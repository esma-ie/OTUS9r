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36" documentId="13_ncr:1_{3CF91079-DE91-4857-9D85-4A6D93B590AA}" xr6:coauthVersionLast="45" xr6:coauthVersionMax="45" xr10:uidLastSave="{17CB0A4D-9981-4052-B9B4-6029ADFC7166}"/>
  <bookViews>
    <workbookView xWindow="-108" yWindow="-108" windowWidth="23256" windowHeight="14016" xr2:uid="{00000000-000D-0000-FFFF-FFFF00000000}"/>
  </bookViews>
  <sheets>
    <sheet name="IND" sheetId="2" r:id="rId1"/>
    <sheet name="Industrial Summary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19" i="2" l="1"/>
  <c r="AB19" i="2"/>
  <c r="AC19" i="2"/>
  <c r="AD19" i="2"/>
  <c r="AE19" i="2"/>
  <c r="AF19" i="2"/>
  <c r="AG19" i="2"/>
  <c r="AH19" i="2"/>
  <c r="AI19" i="2"/>
  <c r="AA20" i="2"/>
  <c r="AB20" i="2"/>
  <c r="AC20" i="2"/>
  <c r="AD20" i="2"/>
  <c r="AE20" i="2"/>
  <c r="AF20" i="2"/>
  <c r="AG20" i="2"/>
  <c r="AH20" i="2"/>
  <c r="AI20" i="2"/>
  <c r="AA21" i="2"/>
  <c r="AB21" i="2"/>
  <c r="AC21" i="2"/>
  <c r="AD21" i="2"/>
  <c r="AE21" i="2"/>
  <c r="AF21" i="2"/>
  <c r="AG21" i="2"/>
  <c r="AH21" i="2"/>
  <c r="AI21" i="2"/>
  <c r="AA22" i="2"/>
  <c r="AB22" i="2"/>
  <c r="AC22" i="2"/>
  <c r="AD22" i="2"/>
  <c r="AE22" i="2"/>
  <c r="AF22" i="2"/>
  <c r="AG22" i="2"/>
  <c r="AH22" i="2"/>
  <c r="AI22" i="2"/>
  <c r="AA23" i="2"/>
  <c r="AB23" i="2"/>
  <c r="AC23" i="2"/>
  <c r="AD23" i="2"/>
  <c r="AE23" i="2"/>
  <c r="AF23" i="2"/>
  <c r="AG23" i="2"/>
  <c r="AH23" i="2"/>
  <c r="AI23" i="2"/>
  <c r="AA24" i="2"/>
  <c r="AB24" i="2"/>
  <c r="AC24" i="2"/>
  <c r="AD24" i="2"/>
  <c r="AE24" i="2"/>
  <c r="AF24" i="2"/>
  <c r="AG24" i="2"/>
  <c r="AH24" i="2"/>
  <c r="AI24" i="2"/>
  <c r="AA25" i="2"/>
  <c r="AB25" i="2"/>
  <c r="AC25" i="2"/>
  <c r="AD25" i="2"/>
  <c r="AE25" i="2"/>
  <c r="AF25" i="2"/>
  <c r="AG25" i="2"/>
  <c r="AH25" i="2"/>
  <c r="AI25" i="2"/>
  <c r="AA26" i="2"/>
  <c r="AB26" i="2"/>
  <c r="AC26" i="2"/>
  <c r="AD26" i="2"/>
  <c r="AE26" i="2"/>
  <c r="AF26" i="2"/>
  <c r="AG26" i="2"/>
  <c r="AH26" i="2"/>
  <c r="AI26" i="2"/>
  <c r="AA27" i="2"/>
  <c r="AB27" i="2"/>
  <c r="AC27" i="2"/>
  <c r="AD27" i="2"/>
  <c r="AE27" i="2"/>
  <c r="AF27" i="2"/>
  <c r="AG27" i="2"/>
  <c r="AH27" i="2"/>
  <c r="AI27" i="2"/>
  <c r="AA28" i="2"/>
  <c r="AB28" i="2"/>
  <c r="AC28" i="2"/>
  <c r="AD28" i="2"/>
  <c r="AE28" i="2"/>
  <c r="AF28" i="2"/>
  <c r="AG28" i="2"/>
  <c r="AH28" i="2"/>
  <c r="AI28" i="2"/>
  <c r="AA29" i="2"/>
  <c r="AB29" i="2"/>
  <c r="AC29" i="2"/>
  <c r="AD29" i="2"/>
  <c r="AE29" i="2"/>
  <c r="AF29" i="2"/>
  <c r="AG29" i="2"/>
  <c r="AH29" i="2"/>
  <c r="AI29" i="2"/>
  <c r="AA30" i="2"/>
  <c r="AB30" i="2"/>
  <c r="AC30" i="2"/>
  <c r="AD30" i="2"/>
  <c r="AE30" i="2"/>
  <c r="AF30" i="2"/>
  <c r="AG30" i="2"/>
  <c r="AH30" i="2"/>
  <c r="AI30" i="2"/>
  <c r="AA31" i="2"/>
  <c r="AB31" i="2"/>
  <c r="AC31" i="2"/>
  <c r="AD31" i="2"/>
  <c r="AE31" i="2"/>
  <c r="AF31" i="2"/>
  <c r="AG31" i="2"/>
  <c r="AH31" i="2"/>
  <c r="AI31" i="2"/>
  <c r="AA32" i="2"/>
  <c r="AB32" i="2"/>
  <c r="AC32" i="2"/>
  <c r="AD32" i="2"/>
  <c r="AE32" i="2"/>
  <c r="AF32" i="2"/>
  <c r="AG32" i="2"/>
  <c r="AH32" i="2"/>
  <c r="AI32" i="2"/>
  <c r="AA33" i="2"/>
  <c r="AB33" i="2"/>
  <c r="AC33" i="2"/>
  <c r="AD33" i="2"/>
  <c r="AE33" i="2"/>
  <c r="AF33" i="2"/>
  <c r="AG33" i="2"/>
  <c r="AH33" i="2"/>
  <c r="AI33" i="2"/>
  <c r="AA34" i="2"/>
  <c r="AB34" i="2"/>
  <c r="AC34" i="2"/>
  <c r="AD34" i="2"/>
  <c r="AE34" i="2"/>
  <c r="AF34" i="2"/>
  <c r="AG34" i="2"/>
  <c r="AH34" i="2"/>
  <c r="AI34" i="2"/>
  <c r="AA35" i="2"/>
  <c r="AB35" i="2"/>
  <c r="AC35" i="2"/>
  <c r="AD35" i="2"/>
  <c r="AE35" i="2"/>
  <c r="AF35" i="2"/>
  <c r="AG35" i="2"/>
  <c r="AH35" i="2"/>
  <c r="AI35" i="2"/>
  <c r="AA36" i="2"/>
  <c r="AB36" i="2"/>
  <c r="AC36" i="2"/>
  <c r="AD36" i="2"/>
  <c r="AE36" i="2"/>
  <c r="AF36" i="2"/>
  <c r="AG36" i="2"/>
  <c r="AH36" i="2"/>
  <c r="AI36" i="2"/>
  <c r="AA37" i="2"/>
  <c r="AB37" i="2"/>
  <c r="AC37" i="2"/>
  <c r="AD37" i="2"/>
  <c r="AE37" i="2"/>
  <c r="AF37" i="2"/>
  <c r="AG37" i="2"/>
  <c r="AH37" i="2"/>
  <c r="AI37" i="2"/>
  <c r="AA38" i="2"/>
  <c r="AB38" i="2"/>
  <c r="AC38" i="2"/>
  <c r="AD38" i="2"/>
  <c r="AE38" i="2"/>
  <c r="AF38" i="2"/>
  <c r="AG38" i="2"/>
  <c r="AH38" i="2"/>
  <c r="AI38" i="2"/>
  <c r="AA39" i="2"/>
  <c r="AB39" i="2"/>
  <c r="AC39" i="2"/>
  <c r="AD39" i="2"/>
  <c r="AE39" i="2"/>
  <c r="AF39" i="2"/>
  <c r="AG39" i="2"/>
  <c r="AH39" i="2"/>
  <c r="AI39" i="2"/>
  <c r="AA40" i="2"/>
  <c r="AB40" i="2"/>
  <c r="AC40" i="2"/>
  <c r="AD40" i="2"/>
  <c r="AE40" i="2"/>
  <c r="AF40" i="2"/>
  <c r="AG40" i="2"/>
  <c r="AH40" i="2"/>
  <c r="AI40" i="2"/>
  <c r="AA41" i="2"/>
  <c r="AB41" i="2"/>
  <c r="AC41" i="2"/>
  <c r="AD41" i="2"/>
  <c r="AE41" i="2"/>
  <c r="AF41" i="2"/>
  <c r="AG41" i="2"/>
  <c r="AH41" i="2"/>
  <c r="AI41" i="2"/>
  <c r="AA42" i="2"/>
  <c r="AB42" i="2"/>
  <c r="AC42" i="2"/>
  <c r="AD42" i="2"/>
  <c r="AE42" i="2"/>
  <c r="AF42" i="2"/>
  <c r="AG42" i="2"/>
  <c r="AH42" i="2"/>
  <c r="AI42" i="2"/>
  <c r="AA43" i="2"/>
  <c r="AB43" i="2"/>
  <c r="AC43" i="2"/>
  <c r="AD43" i="2"/>
  <c r="AE43" i="2"/>
  <c r="AF43" i="2"/>
  <c r="AG43" i="2"/>
  <c r="AH43" i="2"/>
  <c r="AI43" i="2"/>
  <c r="AA44" i="2"/>
  <c r="AB44" i="2"/>
  <c r="AC44" i="2"/>
  <c r="AD44" i="2"/>
  <c r="AE44" i="2"/>
  <c r="AF44" i="2"/>
  <c r="AG44" i="2"/>
  <c r="AH44" i="2"/>
  <c r="AI44" i="2"/>
  <c r="AA45" i="2"/>
  <c r="AB45" i="2"/>
  <c r="AC45" i="2"/>
  <c r="AD45" i="2"/>
  <c r="AE45" i="2"/>
  <c r="AF45" i="2"/>
  <c r="AG45" i="2"/>
  <c r="AH45" i="2"/>
  <c r="AI45" i="2"/>
  <c r="AA46" i="2"/>
  <c r="AB46" i="2"/>
  <c r="AC46" i="2"/>
  <c r="AD46" i="2"/>
  <c r="AE46" i="2"/>
  <c r="AF46" i="2"/>
  <c r="AG46" i="2"/>
  <c r="AH46" i="2"/>
  <c r="AI46" i="2"/>
  <c r="AA47" i="2"/>
  <c r="AB47" i="2"/>
  <c r="AC47" i="2"/>
  <c r="AD47" i="2"/>
  <c r="AE47" i="2"/>
  <c r="AF47" i="2"/>
  <c r="AG47" i="2"/>
  <c r="AH47" i="2"/>
  <c r="AI47" i="2"/>
  <c r="AA48" i="2"/>
  <c r="AB48" i="2"/>
  <c r="AC48" i="2"/>
  <c r="AD48" i="2"/>
  <c r="AE48" i="2"/>
  <c r="AF48" i="2"/>
  <c r="AG48" i="2"/>
  <c r="AH48" i="2"/>
  <c r="AI48" i="2"/>
  <c r="AA49" i="2"/>
  <c r="AB49" i="2"/>
  <c r="AC49" i="2"/>
  <c r="AD49" i="2"/>
  <c r="AE49" i="2"/>
  <c r="AF49" i="2"/>
  <c r="AG49" i="2"/>
  <c r="AH49" i="2"/>
  <c r="AI49" i="2"/>
  <c r="AA50" i="2"/>
  <c r="AB50" i="2"/>
  <c r="AC50" i="2"/>
  <c r="AD50" i="2"/>
  <c r="AE50" i="2"/>
  <c r="AF50" i="2"/>
  <c r="AG50" i="2"/>
  <c r="AH50" i="2"/>
  <c r="AI50" i="2"/>
  <c r="AA51" i="2"/>
  <c r="AB51" i="2"/>
  <c r="AC51" i="2"/>
  <c r="AD51" i="2"/>
  <c r="AE51" i="2"/>
  <c r="AF51" i="2"/>
  <c r="AG51" i="2"/>
  <c r="AH51" i="2"/>
  <c r="AI51" i="2"/>
  <c r="AA52" i="2"/>
  <c r="AB52" i="2"/>
  <c r="AC52" i="2"/>
  <c r="AD52" i="2"/>
  <c r="AE52" i="2"/>
  <c r="AF52" i="2"/>
  <c r="AG52" i="2"/>
  <c r="AH52" i="2"/>
  <c r="AI52" i="2"/>
  <c r="AA53" i="2"/>
  <c r="AB53" i="2"/>
  <c r="AC53" i="2"/>
  <c r="AD53" i="2"/>
  <c r="AE53" i="2"/>
  <c r="AF53" i="2"/>
  <c r="AG53" i="2"/>
  <c r="AH53" i="2"/>
  <c r="AI53" i="2"/>
  <c r="AA54" i="2"/>
  <c r="AB54" i="2"/>
  <c r="AC54" i="2"/>
  <c r="AD54" i="2"/>
  <c r="AE54" i="2"/>
  <c r="AF54" i="2"/>
  <c r="AG54" i="2"/>
  <c r="AH54" i="2"/>
  <c r="AI54" i="2"/>
  <c r="AA55" i="2"/>
  <c r="AB55" i="2"/>
  <c r="AC55" i="2"/>
  <c r="AD55" i="2"/>
  <c r="AE55" i="2"/>
  <c r="AF55" i="2"/>
  <c r="AG55" i="2"/>
  <c r="AH55" i="2"/>
  <c r="AI55" i="2"/>
  <c r="AA56" i="2"/>
  <c r="AB56" i="2"/>
  <c r="AC56" i="2"/>
  <c r="AD56" i="2"/>
  <c r="AE56" i="2"/>
  <c r="AF56" i="2"/>
  <c r="AG56" i="2"/>
  <c r="AH56" i="2"/>
  <c r="AI56" i="2"/>
  <c r="AA57" i="2"/>
  <c r="AB57" i="2"/>
  <c r="AC57" i="2"/>
  <c r="AD57" i="2"/>
  <c r="AE57" i="2"/>
  <c r="AF57" i="2"/>
  <c r="AG57" i="2"/>
  <c r="AH57" i="2"/>
  <c r="AI57" i="2"/>
  <c r="AA58" i="2"/>
  <c r="AB58" i="2"/>
  <c r="AC58" i="2"/>
  <c r="AD58" i="2"/>
  <c r="AE58" i="2"/>
  <c r="AF58" i="2"/>
  <c r="AG58" i="2"/>
  <c r="AH58" i="2"/>
  <c r="AI58" i="2"/>
  <c r="AA59" i="2"/>
  <c r="AB59" i="2"/>
  <c r="AC59" i="2"/>
  <c r="AD59" i="2"/>
  <c r="AE59" i="2"/>
  <c r="AF59" i="2"/>
  <c r="AG59" i="2"/>
  <c r="AH59" i="2"/>
  <c r="AI59" i="2"/>
  <c r="AA60" i="2"/>
  <c r="AB60" i="2"/>
  <c r="AC60" i="2"/>
  <c r="AD60" i="2"/>
  <c r="AE60" i="2"/>
  <c r="AF60" i="2"/>
  <c r="AG60" i="2"/>
  <c r="AH60" i="2"/>
  <c r="AI60" i="2"/>
  <c r="AA61" i="2"/>
  <c r="AB61" i="2"/>
  <c r="AC61" i="2"/>
  <c r="AD61" i="2"/>
  <c r="AE61" i="2"/>
  <c r="AF61" i="2"/>
  <c r="AG61" i="2"/>
  <c r="AH61" i="2"/>
  <c r="AI61" i="2"/>
  <c r="AA62" i="2"/>
  <c r="AB62" i="2"/>
  <c r="AC62" i="2"/>
  <c r="AD62" i="2"/>
  <c r="AE62" i="2"/>
  <c r="AF62" i="2"/>
  <c r="AG62" i="2"/>
  <c r="AH62" i="2"/>
  <c r="AI62" i="2"/>
  <c r="AA63" i="2"/>
  <c r="AB63" i="2"/>
  <c r="AC63" i="2"/>
  <c r="AD63" i="2"/>
  <c r="AE63" i="2"/>
  <c r="AF63" i="2"/>
  <c r="AG63" i="2"/>
  <c r="AH63" i="2"/>
  <c r="AI63" i="2"/>
  <c r="AA64" i="2"/>
  <c r="AB64" i="2"/>
  <c r="AC64" i="2"/>
  <c r="AD64" i="2"/>
  <c r="AE64" i="2"/>
  <c r="AF64" i="2"/>
  <c r="AG64" i="2"/>
  <c r="AH64" i="2"/>
  <c r="AI64" i="2"/>
  <c r="AA65" i="2"/>
  <c r="AB65" i="2"/>
  <c r="AC65" i="2"/>
  <c r="AD65" i="2"/>
  <c r="AE65" i="2"/>
  <c r="AF65" i="2"/>
  <c r="AG65" i="2"/>
  <c r="AH65" i="2"/>
  <c r="AI65" i="2"/>
  <c r="AA66" i="2"/>
  <c r="AB66" i="2"/>
  <c r="AC66" i="2"/>
  <c r="AD66" i="2"/>
  <c r="AE66" i="2"/>
  <c r="AF66" i="2"/>
  <c r="AG66" i="2"/>
  <c r="AH66" i="2"/>
  <c r="AI66" i="2"/>
  <c r="AA67" i="2"/>
  <c r="AB67" i="2"/>
  <c r="AC67" i="2"/>
  <c r="AD67" i="2"/>
  <c r="AE67" i="2"/>
  <c r="AF67" i="2"/>
  <c r="AG67" i="2"/>
  <c r="AH67" i="2"/>
  <c r="AI67" i="2"/>
  <c r="AA68" i="2"/>
  <c r="AB68" i="2"/>
  <c r="AC68" i="2"/>
  <c r="AD68" i="2"/>
  <c r="AE68" i="2"/>
  <c r="AF68" i="2"/>
  <c r="AG68" i="2"/>
  <c r="AH68" i="2"/>
  <c r="AI68" i="2"/>
  <c r="AA69" i="2"/>
  <c r="AB69" i="2"/>
  <c r="AC69" i="2"/>
  <c r="AD69" i="2"/>
  <c r="AE69" i="2"/>
  <c r="AF69" i="2"/>
  <c r="AG69" i="2"/>
  <c r="AH69" i="2"/>
  <c r="AI69" i="2"/>
  <c r="AA70" i="2"/>
  <c r="AB70" i="2"/>
  <c r="AC70" i="2"/>
  <c r="AD70" i="2"/>
  <c r="AE70" i="2"/>
  <c r="AF70" i="2"/>
  <c r="AG70" i="2"/>
  <c r="AH70" i="2"/>
  <c r="AI70" i="2"/>
  <c r="AA71" i="2"/>
  <c r="AB71" i="2"/>
  <c r="AC71" i="2"/>
  <c r="AD71" i="2"/>
  <c r="AE71" i="2"/>
  <c r="AF71" i="2"/>
  <c r="AG71" i="2"/>
  <c r="AH71" i="2"/>
  <c r="AI71" i="2"/>
  <c r="AA72" i="2"/>
  <c r="AB72" i="2"/>
  <c r="AC72" i="2"/>
  <c r="AD72" i="2"/>
  <c r="AE72" i="2"/>
  <c r="AF72" i="2"/>
  <c r="AG72" i="2"/>
  <c r="AH72" i="2"/>
  <c r="AI72" i="2"/>
  <c r="AA73" i="2"/>
  <c r="AB73" i="2"/>
  <c r="AC73" i="2"/>
  <c r="AD73" i="2"/>
  <c r="AE73" i="2"/>
  <c r="AF73" i="2"/>
  <c r="AG73" i="2"/>
  <c r="AH73" i="2"/>
  <c r="AI73" i="2"/>
  <c r="AA74" i="2"/>
  <c r="AB74" i="2"/>
  <c r="AC74" i="2"/>
  <c r="AD74" i="2"/>
  <c r="AE74" i="2"/>
  <c r="AF74" i="2"/>
  <c r="AG74" i="2"/>
  <c r="AH74" i="2"/>
  <c r="AI74" i="2"/>
  <c r="AA75" i="2"/>
  <c r="AB75" i="2"/>
  <c r="AC75" i="2"/>
  <c r="AD75" i="2"/>
  <c r="AE75" i="2"/>
  <c r="AF75" i="2"/>
  <c r="AG75" i="2"/>
  <c r="AH75" i="2"/>
  <c r="AI75" i="2"/>
  <c r="AA76" i="2"/>
  <c r="AB76" i="2"/>
  <c r="AC76" i="2"/>
  <c r="AD76" i="2"/>
  <c r="AE76" i="2"/>
  <c r="AF76" i="2"/>
  <c r="AG76" i="2"/>
  <c r="AH76" i="2"/>
  <c r="AI76" i="2"/>
  <c r="AA77" i="2"/>
  <c r="AB77" i="2"/>
  <c r="AC77" i="2"/>
  <c r="AD77" i="2"/>
  <c r="AE77" i="2"/>
  <c r="AF77" i="2"/>
  <c r="AG77" i="2"/>
  <c r="AH77" i="2"/>
  <c r="AI77" i="2"/>
  <c r="AA78" i="2"/>
  <c r="AB78" i="2"/>
  <c r="AC78" i="2"/>
  <c r="AD78" i="2"/>
  <c r="AE78" i="2"/>
  <c r="AF78" i="2"/>
  <c r="AG78" i="2"/>
  <c r="AH78" i="2"/>
  <c r="AI78" i="2"/>
  <c r="AA79" i="2"/>
  <c r="AB79" i="2"/>
  <c r="AC79" i="2"/>
  <c r="AD79" i="2"/>
  <c r="AE79" i="2"/>
  <c r="AF79" i="2"/>
  <c r="AG79" i="2"/>
  <c r="AH79" i="2"/>
  <c r="AI79" i="2"/>
  <c r="AA80" i="2"/>
  <c r="AB80" i="2"/>
  <c r="AC80" i="2"/>
  <c r="AD80" i="2"/>
  <c r="AE80" i="2"/>
  <c r="AF80" i="2"/>
  <c r="AG80" i="2"/>
  <c r="AH80" i="2"/>
  <c r="AI80" i="2"/>
  <c r="AA81" i="2"/>
  <c r="AB81" i="2"/>
  <c r="AC81" i="2"/>
  <c r="AD81" i="2"/>
  <c r="AE81" i="2"/>
  <c r="AF81" i="2"/>
  <c r="AG81" i="2"/>
  <c r="AH81" i="2"/>
  <c r="AI81" i="2"/>
  <c r="AA82" i="2"/>
  <c r="AB82" i="2"/>
  <c r="AC82" i="2"/>
  <c r="AD82" i="2"/>
  <c r="AE82" i="2"/>
  <c r="AF82" i="2"/>
  <c r="AG82" i="2"/>
  <c r="AH82" i="2"/>
  <c r="AI82" i="2"/>
  <c r="AA83" i="2"/>
  <c r="AB83" i="2"/>
  <c r="AC83" i="2"/>
  <c r="AD83" i="2"/>
  <c r="AE83" i="2"/>
  <c r="AF83" i="2"/>
  <c r="AG83" i="2"/>
  <c r="AH83" i="2"/>
  <c r="AI83" i="2"/>
  <c r="AA84" i="2"/>
  <c r="AB84" i="2"/>
  <c r="AC84" i="2"/>
  <c r="AD84" i="2"/>
  <c r="AE84" i="2"/>
  <c r="AF84" i="2"/>
  <c r="AG84" i="2"/>
  <c r="AH84" i="2"/>
  <c r="AI84" i="2"/>
  <c r="AA85" i="2"/>
  <c r="AB85" i="2"/>
  <c r="AC85" i="2"/>
  <c r="AD85" i="2"/>
  <c r="AE85" i="2"/>
  <c r="AF85" i="2"/>
  <c r="AG85" i="2"/>
  <c r="AH85" i="2"/>
  <c r="AI85" i="2"/>
  <c r="AA86" i="2"/>
  <c r="AB86" i="2"/>
  <c r="AC86" i="2"/>
  <c r="AD86" i="2"/>
  <c r="AE86" i="2"/>
  <c r="AF86" i="2"/>
  <c r="AG86" i="2"/>
  <c r="AH86" i="2"/>
  <c r="AI86" i="2"/>
  <c r="AA87" i="2"/>
  <c r="AB87" i="2"/>
  <c r="AC87" i="2"/>
  <c r="AD87" i="2"/>
  <c r="AE87" i="2"/>
  <c r="AF87" i="2"/>
  <c r="AG87" i="2"/>
  <c r="AH87" i="2"/>
  <c r="AI87" i="2"/>
  <c r="AA88" i="2"/>
  <c r="AB88" i="2"/>
  <c r="AC88" i="2"/>
  <c r="AD88" i="2"/>
  <c r="AE88" i="2"/>
  <c r="AF88" i="2"/>
  <c r="AG88" i="2"/>
  <c r="AH88" i="2"/>
  <c r="AI88" i="2"/>
  <c r="AA89" i="2"/>
  <c r="AB89" i="2"/>
  <c r="AC89" i="2"/>
  <c r="AD89" i="2"/>
  <c r="AE89" i="2"/>
  <c r="AF89" i="2"/>
  <c r="AG89" i="2"/>
  <c r="AH89" i="2"/>
  <c r="AI89" i="2"/>
  <c r="AA90" i="2"/>
  <c r="AB90" i="2"/>
  <c r="AC90" i="2"/>
  <c r="AD90" i="2"/>
  <c r="AE90" i="2"/>
  <c r="AF90" i="2"/>
  <c r="AG90" i="2"/>
  <c r="AH90" i="2"/>
  <c r="AI90" i="2"/>
  <c r="AA91" i="2"/>
  <c r="AB91" i="2"/>
  <c r="AC91" i="2"/>
  <c r="AD91" i="2"/>
  <c r="AE91" i="2"/>
  <c r="AF91" i="2"/>
  <c r="AG91" i="2"/>
  <c r="AH91" i="2"/>
  <c r="AI91" i="2"/>
  <c r="AA92" i="2"/>
  <c r="AB92" i="2"/>
  <c r="AC92" i="2"/>
  <c r="AD92" i="2"/>
  <c r="AE92" i="2"/>
  <c r="AF92" i="2"/>
  <c r="AG92" i="2"/>
  <c r="AH92" i="2"/>
  <c r="AI92" i="2"/>
  <c r="AA93" i="2"/>
  <c r="AB93" i="2"/>
  <c r="AC93" i="2"/>
  <c r="AD93" i="2"/>
  <c r="AE93" i="2"/>
  <c r="AF93" i="2"/>
  <c r="AG93" i="2"/>
  <c r="AH93" i="2"/>
  <c r="AI93" i="2"/>
  <c r="AA94" i="2"/>
  <c r="AB94" i="2"/>
  <c r="AC94" i="2"/>
  <c r="AD94" i="2"/>
  <c r="AE94" i="2"/>
  <c r="AF94" i="2"/>
  <c r="AG94" i="2"/>
  <c r="AH94" i="2"/>
  <c r="AI94" i="2"/>
  <c r="AA95" i="2"/>
  <c r="AB95" i="2"/>
  <c r="AC95" i="2"/>
  <c r="AD95" i="2"/>
  <c r="AE95" i="2"/>
  <c r="AF95" i="2"/>
  <c r="AG95" i="2"/>
  <c r="AH95" i="2"/>
  <c r="AI95" i="2"/>
  <c r="AA96" i="2"/>
  <c r="AB96" i="2"/>
  <c r="AC96" i="2"/>
  <c r="AD96" i="2"/>
  <c r="AE96" i="2"/>
  <c r="AF96" i="2"/>
  <c r="AG96" i="2"/>
  <c r="AH96" i="2"/>
  <c r="AI96" i="2"/>
  <c r="AA97" i="2"/>
  <c r="AB97" i="2"/>
  <c r="AC97" i="2"/>
  <c r="AD97" i="2"/>
  <c r="AE97" i="2"/>
  <c r="AF97" i="2"/>
  <c r="AG97" i="2"/>
  <c r="AH97" i="2"/>
  <c r="AI97" i="2"/>
  <c r="AA98" i="2"/>
  <c r="AB98" i="2"/>
  <c r="AC98" i="2"/>
  <c r="AD98" i="2"/>
  <c r="AE98" i="2"/>
  <c r="AF98" i="2"/>
  <c r="AG98" i="2"/>
  <c r="AH98" i="2"/>
  <c r="AI98" i="2"/>
  <c r="AA99" i="2"/>
  <c r="AB99" i="2"/>
  <c r="AC99" i="2"/>
  <c r="AD99" i="2"/>
  <c r="AE99" i="2"/>
  <c r="AF99" i="2"/>
  <c r="AG99" i="2"/>
  <c r="AH99" i="2"/>
  <c r="AI99" i="2"/>
  <c r="AA100" i="2"/>
  <c r="AB100" i="2"/>
  <c r="AC100" i="2"/>
  <c r="AD100" i="2"/>
  <c r="AE100" i="2"/>
  <c r="AF100" i="2"/>
  <c r="AG100" i="2"/>
  <c r="AH100" i="2"/>
  <c r="AI100" i="2"/>
  <c r="AA101" i="2"/>
  <c r="AB101" i="2"/>
  <c r="AC101" i="2"/>
  <c r="AD101" i="2"/>
  <c r="AE101" i="2"/>
  <c r="AF101" i="2"/>
  <c r="AG101" i="2"/>
  <c r="AH101" i="2"/>
  <c r="AI101" i="2"/>
  <c r="AA102" i="2"/>
  <c r="AB102" i="2"/>
  <c r="AC102" i="2"/>
  <c r="AD102" i="2"/>
  <c r="AE102" i="2"/>
  <c r="AF102" i="2"/>
  <c r="AG102" i="2"/>
  <c r="AH102" i="2"/>
  <c r="AI102" i="2"/>
  <c r="AA103" i="2"/>
  <c r="AB103" i="2"/>
  <c r="AC103" i="2"/>
  <c r="AD103" i="2"/>
  <c r="AE103" i="2"/>
  <c r="AF103" i="2"/>
  <c r="AG103" i="2"/>
  <c r="AH103" i="2"/>
  <c r="AI103" i="2"/>
  <c r="AA104" i="2"/>
  <c r="AB104" i="2"/>
  <c r="AC104" i="2"/>
  <c r="AD104" i="2"/>
  <c r="AE104" i="2"/>
  <c r="AF104" i="2"/>
  <c r="AG104" i="2"/>
  <c r="AH104" i="2"/>
  <c r="AI104" i="2"/>
  <c r="AA105" i="2"/>
  <c r="AB105" i="2"/>
  <c r="AC105" i="2"/>
  <c r="AD105" i="2"/>
  <c r="AE105" i="2"/>
  <c r="AF105" i="2"/>
  <c r="AG105" i="2"/>
  <c r="AH105" i="2"/>
  <c r="AI105" i="2"/>
  <c r="AA106" i="2"/>
  <c r="AB106" i="2"/>
  <c r="AC106" i="2"/>
  <c r="AD106" i="2"/>
  <c r="AE106" i="2"/>
  <c r="AF106" i="2"/>
  <c r="AG106" i="2"/>
  <c r="AH106" i="2"/>
  <c r="AI106" i="2"/>
  <c r="AA107" i="2"/>
  <c r="AB107" i="2"/>
  <c r="AC107" i="2"/>
  <c r="AD107" i="2"/>
  <c r="AE107" i="2"/>
  <c r="AF107" i="2"/>
  <c r="AG107" i="2"/>
  <c r="AH107" i="2"/>
  <c r="AI107" i="2"/>
  <c r="AA108" i="2"/>
  <c r="AB108" i="2"/>
  <c r="AC108" i="2"/>
  <c r="AD108" i="2"/>
  <c r="AE108" i="2"/>
  <c r="AF108" i="2"/>
  <c r="AG108" i="2"/>
  <c r="AH108" i="2"/>
  <c r="AI108" i="2"/>
  <c r="AA109" i="2"/>
  <c r="AB109" i="2"/>
  <c r="AC109" i="2"/>
  <c r="AD109" i="2"/>
  <c r="AE109" i="2"/>
  <c r="AF109" i="2"/>
  <c r="AG109" i="2"/>
  <c r="AH109" i="2"/>
  <c r="AI109" i="2"/>
  <c r="AA110" i="2"/>
  <c r="AB110" i="2"/>
  <c r="AC110" i="2"/>
  <c r="AD110" i="2"/>
  <c r="AE110" i="2"/>
  <c r="AF110" i="2"/>
  <c r="AG110" i="2"/>
  <c r="AH110" i="2"/>
  <c r="AI110" i="2"/>
  <c r="AA111" i="2"/>
  <c r="AB111" i="2"/>
  <c r="AC111" i="2"/>
  <c r="AD111" i="2"/>
  <c r="AE111" i="2"/>
  <c r="AF111" i="2"/>
  <c r="AG111" i="2"/>
  <c r="AH111" i="2"/>
  <c r="AI111" i="2"/>
  <c r="AA112" i="2"/>
  <c r="AB112" i="2"/>
  <c r="AC112" i="2"/>
  <c r="AD112" i="2"/>
  <c r="AE112" i="2"/>
  <c r="AF112" i="2"/>
  <c r="AG112" i="2"/>
  <c r="AH112" i="2"/>
  <c r="AI112" i="2"/>
  <c r="AA113" i="2"/>
  <c r="AB113" i="2"/>
  <c r="AC113" i="2"/>
  <c r="AD113" i="2"/>
  <c r="AE113" i="2"/>
  <c r="AF113" i="2"/>
  <c r="AG113" i="2"/>
  <c r="AH113" i="2"/>
  <c r="AI113" i="2"/>
  <c r="AA114" i="2"/>
  <c r="AB114" i="2"/>
  <c r="AC114" i="2"/>
  <c r="AD114" i="2"/>
  <c r="AE114" i="2"/>
  <c r="AF114" i="2"/>
  <c r="AG114" i="2"/>
  <c r="AH114" i="2"/>
  <c r="AI114" i="2"/>
  <c r="AA115" i="2"/>
  <c r="AB115" i="2"/>
  <c r="AC115" i="2"/>
  <c r="AD115" i="2"/>
  <c r="AE115" i="2"/>
  <c r="AF115" i="2"/>
  <c r="AG115" i="2"/>
  <c r="AH115" i="2"/>
  <c r="AI115" i="2"/>
  <c r="AA116" i="2"/>
  <c r="AB116" i="2"/>
  <c r="AC116" i="2"/>
  <c r="AD116" i="2"/>
  <c r="AE116" i="2"/>
  <c r="AF116" i="2"/>
  <c r="AG116" i="2"/>
  <c r="AH116" i="2"/>
  <c r="AI116" i="2"/>
  <c r="AA117" i="2"/>
  <c r="AB117" i="2"/>
  <c r="AC117" i="2"/>
  <c r="AD117" i="2"/>
  <c r="AE117" i="2"/>
  <c r="AF117" i="2"/>
  <c r="AG117" i="2"/>
  <c r="AH117" i="2"/>
  <c r="AI117" i="2"/>
  <c r="AA118" i="2"/>
  <c r="AB118" i="2"/>
  <c r="AC118" i="2"/>
  <c r="AD118" i="2"/>
  <c r="AE118" i="2"/>
  <c r="AF118" i="2"/>
  <c r="AG118" i="2"/>
  <c r="AH118" i="2"/>
  <c r="AI118" i="2"/>
  <c r="AA119" i="2"/>
  <c r="AB119" i="2"/>
  <c r="AC119" i="2"/>
  <c r="AD119" i="2"/>
  <c r="AE119" i="2"/>
  <c r="AF119" i="2"/>
  <c r="AG119" i="2"/>
  <c r="AH119" i="2"/>
  <c r="AI119" i="2"/>
  <c r="AA120" i="2"/>
  <c r="AB120" i="2"/>
  <c r="AC120" i="2"/>
  <c r="AD120" i="2"/>
  <c r="AE120" i="2"/>
  <c r="AF120" i="2"/>
  <c r="AG120" i="2"/>
  <c r="AH120" i="2"/>
  <c r="AI120" i="2"/>
  <c r="AA121" i="2"/>
  <c r="AB121" i="2"/>
  <c r="AC121" i="2"/>
  <c r="AD121" i="2"/>
  <c r="AE121" i="2"/>
  <c r="AF121" i="2"/>
  <c r="AG121" i="2"/>
  <c r="AH121" i="2"/>
  <c r="AI121" i="2"/>
  <c r="AA122" i="2"/>
  <c r="AB122" i="2"/>
  <c r="AC122" i="2"/>
  <c r="AD122" i="2"/>
  <c r="AE122" i="2"/>
  <c r="AF122" i="2"/>
  <c r="AG122" i="2"/>
  <c r="AH122" i="2"/>
  <c r="AI122" i="2"/>
  <c r="AA123" i="2"/>
  <c r="AB123" i="2"/>
  <c r="AC123" i="2"/>
  <c r="AD123" i="2"/>
  <c r="AE123" i="2"/>
  <c r="AF123" i="2"/>
  <c r="AG123" i="2"/>
  <c r="AH123" i="2"/>
  <c r="AI123" i="2"/>
  <c r="AA124" i="2"/>
  <c r="AB124" i="2"/>
  <c r="AC124" i="2"/>
  <c r="AD124" i="2"/>
  <c r="AE124" i="2"/>
  <c r="AF124" i="2"/>
  <c r="AG124" i="2"/>
  <c r="AH124" i="2"/>
  <c r="AI124" i="2"/>
  <c r="AA125" i="2"/>
  <c r="AB125" i="2"/>
  <c r="AC125" i="2"/>
  <c r="AD125" i="2"/>
  <c r="AE125" i="2"/>
  <c r="AF125" i="2"/>
  <c r="AG125" i="2"/>
  <c r="AH125" i="2"/>
  <c r="AI125" i="2"/>
  <c r="AA126" i="2"/>
  <c r="AB126" i="2"/>
  <c r="AC126" i="2"/>
  <c r="AD126" i="2"/>
  <c r="AE126" i="2"/>
  <c r="AF126" i="2"/>
  <c r="AG126" i="2"/>
  <c r="AH126" i="2"/>
  <c r="AI126" i="2"/>
  <c r="AA127" i="2"/>
  <c r="AB127" i="2"/>
  <c r="AC127" i="2"/>
  <c r="AD127" i="2"/>
  <c r="AE127" i="2"/>
  <c r="AF127" i="2"/>
  <c r="AG127" i="2"/>
  <c r="AH127" i="2"/>
  <c r="AI127" i="2"/>
  <c r="AA128" i="2"/>
  <c r="AB128" i="2"/>
  <c r="AC128" i="2"/>
  <c r="AD128" i="2"/>
  <c r="AE128" i="2"/>
  <c r="AF128" i="2"/>
  <c r="AG128" i="2"/>
  <c r="AH128" i="2"/>
  <c r="AI128" i="2"/>
  <c r="AA129" i="2"/>
  <c r="AB129" i="2"/>
  <c r="AC129" i="2"/>
  <c r="AD129" i="2"/>
  <c r="AE129" i="2"/>
  <c r="AF129" i="2"/>
  <c r="AG129" i="2"/>
  <c r="AH129" i="2"/>
  <c r="AI129" i="2"/>
  <c r="AA130" i="2"/>
  <c r="AB130" i="2"/>
  <c r="AC130" i="2"/>
  <c r="AD130" i="2"/>
  <c r="AE130" i="2"/>
  <c r="AF130" i="2"/>
  <c r="AG130" i="2"/>
  <c r="AH130" i="2"/>
  <c r="AI130" i="2"/>
  <c r="AA131" i="2"/>
  <c r="AB131" i="2"/>
  <c r="AC131" i="2"/>
  <c r="AD131" i="2"/>
  <c r="AE131" i="2"/>
  <c r="AF131" i="2"/>
  <c r="AG131" i="2"/>
  <c r="AH131" i="2"/>
  <c r="AI131" i="2"/>
  <c r="AA132" i="2"/>
  <c r="AB132" i="2"/>
  <c r="AC132" i="2"/>
  <c r="AD132" i="2"/>
  <c r="AE132" i="2"/>
  <c r="AF132" i="2"/>
  <c r="AG132" i="2"/>
  <c r="AH132" i="2"/>
  <c r="AI132" i="2"/>
  <c r="AA133" i="2"/>
  <c r="AB133" i="2"/>
  <c r="AC133" i="2"/>
  <c r="AD133" i="2"/>
  <c r="AE133" i="2"/>
  <c r="AF133" i="2"/>
  <c r="AG133" i="2"/>
  <c r="AH133" i="2"/>
  <c r="AI133" i="2"/>
  <c r="AA134" i="2"/>
  <c r="AB134" i="2"/>
  <c r="AC134" i="2"/>
  <c r="AD134" i="2"/>
  <c r="AE134" i="2"/>
  <c r="AF134" i="2"/>
  <c r="AG134" i="2"/>
  <c r="AH134" i="2"/>
  <c r="AI134" i="2"/>
  <c r="AA135" i="2"/>
  <c r="AB135" i="2"/>
  <c r="AC135" i="2"/>
  <c r="AD135" i="2"/>
  <c r="AE135" i="2"/>
  <c r="AF135" i="2"/>
  <c r="AG135" i="2"/>
  <c r="AH135" i="2"/>
  <c r="AI135" i="2"/>
  <c r="AA136" i="2"/>
  <c r="AB136" i="2"/>
  <c r="AC136" i="2"/>
  <c r="AD136" i="2"/>
  <c r="AE136" i="2"/>
  <c r="AF136" i="2"/>
  <c r="AG136" i="2"/>
  <c r="AH136" i="2"/>
  <c r="AI136" i="2"/>
  <c r="AA137" i="2"/>
  <c r="AB137" i="2"/>
  <c r="AC137" i="2"/>
  <c r="AD137" i="2"/>
  <c r="AE137" i="2"/>
  <c r="AF137" i="2"/>
  <c r="AG137" i="2"/>
  <c r="AH137" i="2"/>
  <c r="AI137" i="2"/>
  <c r="AA138" i="2"/>
  <c r="AB138" i="2"/>
  <c r="AC138" i="2"/>
  <c r="AD138" i="2"/>
  <c r="AE138" i="2"/>
  <c r="AF138" i="2"/>
  <c r="AG138" i="2"/>
  <c r="AH138" i="2"/>
  <c r="AI138" i="2"/>
  <c r="AA139" i="2"/>
  <c r="AB139" i="2"/>
  <c r="AC139" i="2"/>
  <c r="AD139" i="2"/>
  <c r="AE139" i="2"/>
  <c r="AF139" i="2"/>
  <c r="AG139" i="2"/>
  <c r="AH139" i="2"/>
  <c r="AI139" i="2"/>
  <c r="AA140" i="2"/>
  <c r="AB140" i="2"/>
  <c r="AC140" i="2"/>
  <c r="AD140" i="2"/>
  <c r="AE140" i="2"/>
  <c r="AF140" i="2"/>
  <c r="AG140" i="2"/>
  <c r="AH140" i="2"/>
  <c r="AI140" i="2"/>
  <c r="AA141" i="2"/>
  <c r="AB141" i="2"/>
  <c r="AC141" i="2"/>
  <c r="AD141" i="2"/>
  <c r="AE141" i="2"/>
  <c r="AF141" i="2"/>
  <c r="AG141" i="2"/>
  <c r="AH141" i="2"/>
  <c r="AI141" i="2"/>
  <c r="AA142" i="2"/>
  <c r="AB142" i="2"/>
  <c r="AC142" i="2"/>
  <c r="AD142" i="2"/>
  <c r="AE142" i="2"/>
  <c r="AF142" i="2"/>
  <c r="AG142" i="2"/>
  <c r="AH142" i="2"/>
  <c r="AI142" i="2"/>
  <c r="AA143" i="2"/>
  <c r="AB143" i="2"/>
  <c r="AC143" i="2"/>
  <c r="AD143" i="2"/>
  <c r="AE143" i="2"/>
  <c r="AF143" i="2"/>
  <c r="AG143" i="2"/>
  <c r="AH143" i="2"/>
  <c r="AI143" i="2"/>
  <c r="AA144" i="2"/>
  <c r="AB144" i="2"/>
  <c r="AC144" i="2"/>
  <c r="AD144" i="2"/>
  <c r="AE144" i="2"/>
  <c r="AF144" i="2"/>
  <c r="AG144" i="2"/>
  <c r="AH144" i="2"/>
  <c r="AI144" i="2"/>
  <c r="AA145" i="2"/>
  <c r="AB145" i="2"/>
  <c r="AC145" i="2"/>
  <c r="AD145" i="2"/>
  <c r="AE145" i="2"/>
  <c r="AF145" i="2"/>
  <c r="AG145" i="2"/>
  <c r="AH145" i="2"/>
  <c r="AI145" i="2"/>
  <c r="AA146" i="2"/>
  <c r="AB146" i="2"/>
  <c r="AC146" i="2"/>
  <c r="AD146" i="2"/>
  <c r="AE146" i="2"/>
  <c r="AF146" i="2"/>
  <c r="AG146" i="2"/>
  <c r="AH146" i="2"/>
  <c r="AI146" i="2"/>
  <c r="AA147" i="2"/>
  <c r="AB147" i="2"/>
  <c r="AC147" i="2"/>
  <c r="AD147" i="2"/>
  <c r="AE147" i="2"/>
  <c r="AF147" i="2"/>
  <c r="AG147" i="2"/>
  <c r="AH147" i="2"/>
  <c r="AI147" i="2"/>
  <c r="AA148" i="2"/>
  <c r="AB148" i="2"/>
  <c r="AC148" i="2"/>
  <c r="AD148" i="2"/>
  <c r="AE148" i="2"/>
  <c r="AF148" i="2"/>
  <c r="AG148" i="2"/>
  <c r="AH148" i="2"/>
  <c r="AI148" i="2"/>
  <c r="AA149" i="2"/>
  <c r="AB149" i="2"/>
  <c r="AC149" i="2"/>
  <c r="AD149" i="2"/>
  <c r="AE149" i="2"/>
  <c r="AF149" i="2"/>
  <c r="AG149" i="2"/>
  <c r="AH149" i="2"/>
  <c r="AI149" i="2"/>
  <c r="AA150" i="2"/>
  <c r="AB150" i="2"/>
  <c r="AC150" i="2"/>
  <c r="AD150" i="2"/>
  <c r="AE150" i="2"/>
  <c r="AF150" i="2"/>
  <c r="AG150" i="2"/>
  <c r="AH150" i="2"/>
  <c r="AI150" i="2"/>
  <c r="AA151" i="2"/>
  <c r="AB151" i="2"/>
  <c r="AC151" i="2"/>
  <c r="AD151" i="2"/>
  <c r="AE151" i="2"/>
  <c r="AF151" i="2"/>
  <c r="AG151" i="2"/>
  <c r="AH151" i="2"/>
  <c r="AI151" i="2"/>
  <c r="AA152" i="2"/>
  <c r="AB152" i="2"/>
  <c r="AC152" i="2"/>
  <c r="AD152" i="2"/>
  <c r="AE152" i="2"/>
  <c r="AF152" i="2"/>
  <c r="AG152" i="2"/>
  <c r="AH152" i="2"/>
  <c r="AI152" i="2"/>
  <c r="AA153" i="2"/>
  <c r="AB153" i="2"/>
  <c r="AC153" i="2"/>
  <c r="AD153" i="2"/>
  <c r="AE153" i="2"/>
  <c r="AF153" i="2"/>
  <c r="AG153" i="2"/>
  <c r="AH153" i="2"/>
  <c r="AI153" i="2"/>
  <c r="AA154" i="2"/>
  <c r="AB154" i="2"/>
  <c r="AC154" i="2"/>
  <c r="AD154" i="2"/>
  <c r="AE154" i="2"/>
  <c r="AF154" i="2"/>
  <c r="AG154" i="2"/>
  <c r="AH154" i="2"/>
  <c r="AI154" i="2"/>
  <c r="AA155" i="2"/>
  <c r="AB155" i="2"/>
  <c r="AC155" i="2"/>
  <c r="AD155" i="2"/>
  <c r="AE155" i="2"/>
  <c r="AF155" i="2"/>
  <c r="AG155" i="2"/>
  <c r="AH155" i="2"/>
  <c r="AI155" i="2"/>
  <c r="AA156" i="2"/>
  <c r="AB156" i="2"/>
  <c r="AC156" i="2"/>
  <c r="AD156" i="2"/>
  <c r="AE156" i="2"/>
  <c r="AF156" i="2"/>
  <c r="AG156" i="2"/>
  <c r="AH156" i="2"/>
  <c r="AI156" i="2"/>
  <c r="AA157" i="2"/>
  <c r="AB157" i="2"/>
  <c r="AC157" i="2"/>
  <c r="AD157" i="2"/>
  <c r="AE157" i="2"/>
  <c r="AF157" i="2"/>
  <c r="AG157" i="2"/>
  <c r="AH157" i="2"/>
  <c r="AI157" i="2"/>
  <c r="AA158" i="2"/>
  <c r="AB158" i="2"/>
  <c r="AC158" i="2"/>
  <c r="AD158" i="2"/>
  <c r="AE158" i="2"/>
  <c r="AF158" i="2"/>
  <c r="AG158" i="2"/>
  <c r="AH158" i="2"/>
  <c r="AI158" i="2"/>
  <c r="AA159" i="2"/>
  <c r="AB159" i="2"/>
  <c r="AC159" i="2"/>
  <c r="AD159" i="2"/>
  <c r="AE159" i="2"/>
  <c r="AF159" i="2"/>
  <c r="AG159" i="2"/>
  <c r="AH159" i="2"/>
  <c r="AI159" i="2"/>
  <c r="AA160" i="2"/>
  <c r="AB160" i="2"/>
  <c r="AC160" i="2"/>
  <c r="AD160" i="2"/>
  <c r="AE160" i="2"/>
  <c r="AF160" i="2"/>
  <c r="AG160" i="2"/>
  <c r="AH160" i="2"/>
  <c r="AI160" i="2"/>
  <c r="AA161" i="2"/>
  <c r="AB161" i="2"/>
  <c r="AC161" i="2"/>
  <c r="AD161" i="2"/>
  <c r="AE161" i="2"/>
  <c r="AF161" i="2"/>
  <c r="AG161" i="2"/>
  <c r="AH161" i="2"/>
  <c r="AI161" i="2"/>
  <c r="AA162" i="2"/>
  <c r="AB162" i="2"/>
  <c r="AC162" i="2"/>
  <c r="AD162" i="2"/>
  <c r="AE162" i="2"/>
  <c r="AF162" i="2"/>
  <c r="AG162" i="2"/>
  <c r="AH162" i="2"/>
  <c r="AI162" i="2"/>
  <c r="AA163" i="2"/>
  <c r="AB163" i="2"/>
  <c r="AC163" i="2"/>
  <c r="AD163" i="2"/>
  <c r="AE163" i="2"/>
  <c r="AF163" i="2"/>
  <c r="AG163" i="2"/>
  <c r="AH163" i="2"/>
  <c r="AI163" i="2"/>
  <c r="AA164" i="2"/>
  <c r="AB164" i="2"/>
  <c r="AC164" i="2"/>
  <c r="AD164" i="2"/>
  <c r="AE164" i="2"/>
  <c r="AF164" i="2"/>
  <c r="AG164" i="2"/>
  <c r="AH164" i="2"/>
  <c r="AI164" i="2"/>
  <c r="AA165" i="2"/>
  <c r="AB165" i="2"/>
  <c r="AC165" i="2"/>
  <c r="AD165" i="2"/>
  <c r="AE165" i="2"/>
  <c r="AF165" i="2"/>
  <c r="AG165" i="2"/>
  <c r="AH165" i="2"/>
  <c r="AI165" i="2"/>
  <c r="AA166" i="2"/>
  <c r="AB166" i="2"/>
  <c r="AC166" i="2"/>
  <c r="AD166" i="2"/>
  <c r="AE166" i="2"/>
  <c r="AF166" i="2"/>
  <c r="AG166" i="2"/>
  <c r="AH166" i="2"/>
  <c r="AI166" i="2"/>
  <c r="AA167" i="2"/>
  <c r="AB167" i="2"/>
  <c r="AC167" i="2"/>
  <c r="AD167" i="2"/>
  <c r="AE167" i="2"/>
  <c r="AF167" i="2"/>
  <c r="AG167" i="2"/>
  <c r="AH167" i="2"/>
  <c r="AI167" i="2"/>
  <c r="AA168" i="2"/>
  <c r="AB168" i="2"/>
  <c r="AC168" i="2"/>
  <c r="AD168" i="2"/>
  <c r="AE168" i="2"/>
  <c r="AF168" i="2"/>
  <c r="AG168" i="2"/>
  <c r="AH168" i="2"/>
  <c r="AI168" i="2"/>
  <c r="AA169" i="2"/>
  <c r="AB169" i="2"/>
  <c r="AC169" i="2"/>
  <c r="AD169" i="2"/>
  <c r="AE169" i="2"/>
  <c r="AF169" i="2"/>
  <c r="AG169" i="2"/>
  <c r="AH169" i="2"/>
  <c r="AI169" i="2"/>
  <c r="AA170" i="2"/>
  <c r="AB170" i="2"/>
  <c r="AC170" i="2"/>
  <c r="AD170" i="2"/>
  <c r="AE170" i="2"/>
  <c r="AF170" i="2"/>
  <c r="AG170" i="2"/>
  <c r="AH170" i="2"/>
  <c r="AI170" i="2"/>
  <c r="AA171" i="2"/>
  <c r="AB171" i="2"/>
  <c r="AC171" i="2"/>
  <c r="AD171" i="2"/>
  <c r="AE171" i="2"/>
  <c r="AF171" i="2"/>
  <c r="AG171" i="2"/>
  <c r="AH171" i="2"/>
  <c r="AI171" i="2"/>
  <c r="AA172" i="2"/>
  <c r="AB172" i="2"/>
  <c r="AC172" i="2"/>
  <c r="AD172" i="2"/>
  <c r="AE172" i="2"/>
  <c r="AF172" i="2"/>
  <c r="AG172" i="2"/>
  <c r="AH172" i="2"/>
  <c r="AI172" i="2"/>
  <c r="AA173" i="2"/>
  <c r="AB173" i="2"/>
  <c r="AC173" i="2"/>
  <c r="AD173" i="2"/>
  <c r="AE173" i="2"/>
  <c r="AF173" i="2"/>
  <c r="AG173" i="2"/>
  <c r="AH173" i="2"/>
  <c r="AI173" i="2"/>
  <c r="AA174" i="2"/>
  <c r="AB174" i="2"/>
  <c r="AC174" i="2"/>
  <c r="AD174" i="2"/>
  <c r="AE174" i="2"/>
  <c r="AF174" i="2"/>
  <c r="AG174" i="2"/>
  <c r="AH174" i="2"/>
  <c r="AI174" i="2"/>
  <c r="AA175" i="2"/>
  <c r="AB175" i="2"/>
  <c r="AC175" i="2"/>
  <c r="AD175" i="2"/>
  <c r="AE175" i="2"/>
  <c r="AF175" i="2"/>
  <c r="AG175" i="2"/>
  <c r="AH175" i="2"/>
  <c r="AI175" i="2"/>
  <c r="AA176" i="2"/>
  <c r="AB176" i="2"/>
  <c r="AC176" i="2"/>
  <c r="AD176" i="2"/>
  <c r="AE176" i="2"/>
  <c r="AF176" i="2"/>
  <c r="AG176" i="2"/>
  <c r="AH176" i="2"/>
  <c r="AI176" i="2"/>
  <c r="AA177" i="2"/>
  <c r="AB177" i="2"/>
  <c r="AC177" i="2"/>
  <c r="AD177" i="2"/>
  <c r="AE177" i="2"/>
  <c r="AF177" i="2"/>
  <c r="AG177" i="2"/>
  <c r="AH177" i="2"/>
  <c r="AI177" i="2"/>
  <c r="AA178" i="2"/>
  <c r="AB178" i="2"/>
  <c r="AC178" i="2"/>
  <c r="AD178" i="2"/>
  <c r="AE178" i="2"/>
  <c r="AF178" i="2"/>
  <c r="AG178" i="2"/>
  <c r="AH178" i="2"/>
  <c r="AI178" i="2"/>
  <c r="AA179" i="2"/>
  <c r="AB179" i="2"/>
  <c r="AC179" i="2"/>
  <c r="AD179" i="2"/>
  <c r="AE179" i="2"/>
  <c r="AF179" i="2"/>
  <c r="AG179" i="2"/>
  <c r="AH179" i="2"/>
  <c r="AI179" i="2"/>
  <c r="AA180" i="2"/>
  <c r="AB180" i="2"/>
  <c r="AC180" i="2"/>
  <c r="AD180" i="2"/>
  <c r="AE180" i="2"/>
  <c r="AF180" i="2"/>
  <c r="AG180" i="2"/>
  <c r="AH180" i="2"/>
  <c r="AI180" i="2"/>
  <c r="AA181" i="2"/>
  <c r="AB181" i="2"/>
  <c r="AC181" i="2"/>
  <c r="AD181" i="2"/>
  <c r="AE181" i="2"/>
  <c r="AF181" i="2"/>
  <c r="AG181" i="2"/>
  <c r="AH181" i="2"/>
  <c r="AI181" i="2"/>
  <c r="AA182" i="2"/>
  <c r="AB182" i="2"/>
  <c r="AC182" i="2"/>
  <c r="AD182" i="2"/>
  <c r="AE182" i="2"/>
  <c r="AF182" i="2"/>
  <c r="AG182" i="2"/>
  <c r="AH182" i="2"/>
  <c r="AI182" i="2"/>
  <c r="AA183" i="2"/>
  <c r="AB183" i="2"/>
  <c r="AC183" i="2"/>
  <c r="AD183" i="2"/>
  <c r="AE183" i="2"/>
  <c r="AF183" i="2"/>
  <c r="AG183" i="2"/>
  <c r="AH183" i="2"/>
  <c r="AI183" i="2"/>
  <c r="AA184" i="2"/>
  <c r="AB184" i="2"/>
  <c r="AC184" i="2"/>
  <c r="AD184" i="2"/>
  <c r="AE184" i="2"/>
  <c r="AF184" i="2"/>
  <c r="AG184" i="2"/>
  <c r="AH184" i="2"/>
  <c r="AI184" i="2"/>
  <c r="AA185" i="2"/>
  <c r="AB185" i="2"/>
  <c r="AC185" i="2"/>
  <c r="AD185" i="2"/>
  <c r="AE185" i="2"/>
  <c r="AF185" i="2"/>
  <c r="AG185" i="2"/>
  <c r="AH185" i="2"/>
  <c r="AI185" i="2"/>
  <c r="AA186" i="2"/>
  <c r="AB186" i="2"/>
  <c r="AC186" i="2"/>
  <c r="AD186" i="2"/>
  <c r="AE186" i="2"/>
  <c r="AF186" i="2"/>
  <c r="AG186" i="2"/>
  <c r="AH186" i="2"/>
  <c r="AI186" i="2"/>
  <c r="AA187" i="2"/>
  <c r="AB187" i="2"/>
  <c r="AC187" i="2"/>
  <c r="AD187" i="2"/>
  <c r="AE187" i="2"/>
  <c r="AF187" i="2"/>
  <c r="AG187" i="2"/>
  <c r="AH187" i="2"/>
  <c r="AI187" i="2"/>
  <c r="AA188" i="2"/>
  <c r="AB188" i="2"/>
  <c r="AC188" i="2"/>
  <c r="AD188" i="2"/>
  <c r="AE188" i="2"/>
  <c r="AF188" i="2"/>
  <c r="AG188" i="2"/>
  <c r="AH188" i="2"/>
  <c r="AI188" i="2"/>
  <c r="AA189" i="2"/>
  <c r="AB189" i="2"/>
  <c r="AC189" i="2"/>
  <c r="AD189" i="2"/>
  <c r="AE189" i="2"/>
  <c r="AF189" i="2"/>
  <c r="AG189" i="2"/>
  <c r="AH189" i="2"/>
  <c r="AI189" i="2"/>
  <c r="AA190" i="2"/>
  <c r="AB190" i="2"/>
  <c r="AC190" i="2"/>
  <c r="AD190" i="2"/>
  <c r="AE190" i="2"/>
  <c r="AF190" i="2"/>
  <c r="AG190" i="2"/>
  <c r="AH190" i="2"/>
  <c r="AI190" i="2"/>
  <c r="AA191" i="2"/>
  <c r="AB191" i="2"/>
  <c r="AC191" i="2"/>
  <c r="AD191" i="2"/>
  <c r="AE191" i="2"/>
  <c r="AF191" i="2"/>
  <c r="AG191" i="2"/>
  <c r="AH191" i="2"/>
  <c r="AI191" i="2"/>
  <c r="AA192" i="2"/>
  <c r="AB192" i="2"/>
  <c r="AC192" i="2"/>
  <c r="AD192" i="2"/>
  <c r="AE192" i="2"/>
  <c r="AF192" i="2"/>
  <c r="AG192" i="2"/>
  <c r="AH192" i="2"/>
  <c r="AI192" i="2"/>
  <c r="AA193" i="2"/>
  <c r="AB193" i="2"/>
  <c r="AC193" i="2"/>
  <c r="AD193" i="2"/>
  <c r="AE193" i="2"/>
  <c r="AF193" i="2"/>
  <c r="AG193" i="2"/>
  <c r="AH193" i="2"/>
  <c r="AI193" i="2"/>
  <c r="AA194" i="2"/>
  <c r="AB194" i="2"/>
  <c r="AC194" i="2"/>
  <c r="AD194" i="2"/>
  <c r="AE194" i="2"/>
  <c r="AF194" i="2"/>
  <c r="AG194" i="2"/>
  <c r="AH194" i="2"/>
  <c r="AI194" i="2"/>
  <c r="AA195" i="2"/>
  <c r="AB195" i="2"/>
  <c r="AC195" i="2"/>
  <c r="AD195" i="2"/>
  <c r="AE195" i="2"/>
  <c r="AF195" i="2"/>
  <c r="AG195" i="2"/>
  <c r="AH195" i="2"/>
  <c r="AI195" i="2"/>
  <c r="AA196" i="2"/>
  <c r="AB196" i="2"/>
  <c r="AC196" i="2"/>
  <c r="AD196" i="2"/>
  <c r="AE196" i="2"/>
  <c r="AF196" i="2"/>
  <c r="AG196" i="2"/>
  <c r="AH196" i="2"/>
  <c r="AI196" i="2"/>
  <c r="AA197" i="2"/>
  <c r="AB197" i="2"/>
  <c r="AC197" i="2"/>
  <c r="AD197" i="2"/>
  <c r="AE197" i="2"/>
  <c r="AF197" i="2"/>
  <c r="AG197" i="2"/>
  <c r="AH197" i="2"/>
  <c r="AI197" i="2"/>
  <c r="AA198" i="2"/>
  <c r="AB198" i="2"/>
  <c r="AC198" i="2"/>
  <c r="AD198" i="2"/>
  <c r="AE198" i="2"/>
  <c r="AF198" i="2"/>
  <c r="AG198" i="2"/>
  <c r="AH198" i="2"/>
  <c r="AI198" i="2"/>
  <c r="AA199" i="2"/>
  <c r="AB199" i="2"/>
  <c r="AC199" i="2"/>
  <c r="AD199" i="2"/>
  <c r="AE199" i="2"/>
  <c r="AF199" i="2"/>
  <c r="AG199" i="2"/>
  <c r="AH199" i="2"/>
  <c r="AI199" i="2"/>
  <c r="AA200" i="2"/>
  <c r="AB200" i="2"/>
  <c r="AC200" i="2"/>
  <c r="AD200" i="2"/>
  <c r="AE200" i="2"/>
  <c r="AF200" i="2"/>
  <c r="AG200" i="2"/>
  <c r="AH200" i="2"/>
  <c r="AI200" i="2"/>
  <c r="AA201" i="2"/>
  <c r="AB201" i="2"/>
  <c r="AC201" i="2"/>
  <c r="AD201" i="2"/>
  <c r="AE201" i="2"/>
  <c r="AF201" i="2"/>
  <c r="AG201" i="2"/>
  <c r="AH201" i="2"/>
  <c r="AI201" i="2"/>
  <c r="AA202" i="2"/>
  <c r="AB202" i="2"/>
  <c r="AC202" i="2"/>
  <c r="AD202" i="2"/>
  <c r="AE202" i="2"/>
  <c r="AF202" i="2"/>
  <c r="AG202" i="2"/>
  <c r="AH202" i="2"/>
  <c r="AI202" i="2"/>
  <c r="AA203" i="2"/>
  <c r="AB203" i="2"/>
  <c r="AC203" i="2"/>
  <c r="AD203" i="2"/>
  <c r="AE203" i="2"/>
  <c r="AF203" i="2"/>
  <c r="AG203" i="2"/>
  <c r="AH203" i="2"/>
  <c r="AI203" i="2"/>
  <c r="AA204" i="2"/>
  <c r="AB204" i="2"/>
  <c r="AC204" i="2"/>
  <c r="AD204" i="2"/>
  <c r="AE204" i="2"/>
  <c r="AF204" i="2"/>
  <c r="AG204" i="2"/>
  <c r="AH204" i="2"/>
  <c r="AI204" i="2"/>
  <c r="AA205" i="2"/>
  <c r="AB205" i="2"/>
  <c r="AC205" i="2"/>
  <c r="AD205" i="2"/>
  <c r="AE205" i="2"/>
  <c r="AF205" i="2"/>
  <c r="AG205" i="2"/>
  <c r="AH205" i="2"/>
  <c r="AI205" i="2"/>
  <c r="AA206" i="2"/>
  <c r="AB206" i="2"/>
  <c r="AC206" i="2"/>
  <c r="AD206" i="2"/>
  <c r="AE206" i="2"/>
  <c r="AF206" i="2"/>
  <c r="AG206" i="2"/>
  <c r="AH206" i="2"/>
  <c r="AI206" i="2"/>
  <c r="AA207" i="2"/>
  <c r="AB207" i="2"/>
  <c r="AC207" i="2"/>
  <c r="AD207" i="2"/>
  <c r="AE207" i="2"/>
  <c r="AF207" i="2"/>
  <c r="AG207" i="2"/>
  <c r="AH207" i="2"/>
  <c r="AI207" i="2"/>
  <c r="AA208" i="2"/>
  <c r="AB208" i="2"/>
  <c r="AC208" i="2"/>
  <c r="AD208" i="2"/>
  <c r="AE208" i="2"/>
  <c r="AF208" i="2"/>
  <c r="AG208" i="2"/>
  <c r="AH208" i="2"/>
  <c r="AI208" i="2"/>
  <c r="AA209" i="2"/>
  <c r="AB209" i="2"/>
  <c r="AC209" i="2"/>
  <c r="AD209" i="2"/>
  <c r="AE209" i="2"/>
  <c r="AF209" i="2"/>
  <c r="AG209" i="2"/>
  <c r="AH209" i="2"/>
  <c r="AI209" i="2"/>
  <c r="AA210" i="2"/>
  <c r="AB210" i="2"/>
  <c r="AC210" i="2"/>
  <c r="AD210" i="2"/>
  <c r="AE210" i="2"/>
  <c r="AF210" i="2"/>
  <c r="AG210" i="2"/>
  <c r="AH210" i="2"/>
  <c r="AI210" i="2"/>
  <c r="AA211" i="2"/>
  <c r="AB211" i="2"/>
  <c r="AC211" i="2"/>
  <c r="AD211" i="2"/>
  <c r="AE211" i="2"/>
  <c r="AF211" i="2"/>
  <c r="AG211" i="2"/>
  <c r="AH211" i="2"/>
  <c r="AI211" i="2"/>
  <c r="AA212" i="2"/>
  <c r="AB212" i="2"/>
  <c r="AC212" i="2"/>
  <c r="AD212" i="2"/>
  <c r="AE212" i="2"/>
  <c r="AF212" i="2"/>
  <c r="AG212" i="2"/>
  <c r="AH212" i="2"/>
  <c r="AI212" i="2"/>
  <c r="AA213" i="2"/>
  <c r="AB213" i="2"/>
  <c r="AC213" i="2"/>
  <c r="AD213" i="2"/>
  <c r="AE213" i="2"/>
  <c r="AF213" i="2"/>
  <c r="AG213" i="2"/>
  <c r="AH213" i="2"/>
  <c r="AI213" i="2"/>
  <c r="AA214" i="2"/>
  <c r="AB214" i="2"/>
  <c r="AC214" i="2"/>
  <c r="AD214" i="2"/>
  <c r="AE214" i="2"/>
  <c r="AF214" i="2"/>
  <c r="AG214" i="2"/>
  <c r="AH214" i="2"/>
  <c r="AI214" i="2"/>
  <c r="AA215" i="2"/>
  <c r="AB215" i="2"/>
  <c r="AC215" i="2"/>
  <c r="AD215" i="2"/>
  <c r="AE215" i="2"/>
  <c r="AF215" i="2"/>
  <c r="AG215" i="2"/>
  <c r="AH215" i="2"/>
  <c r="AI215" i="2"/>
  <c r="AA216" i="2"/>
  <c r="AB216" i="2"/>
  <c r="AC216" i="2"/>
  <c r="AD216" i="2"/>
  <c r="AE216" i="2"/>
  <c r="AF216" i="2"/>
  <c r="AG216" i="2"/>
  <c r="AH216" i="2"/>
  <c r="AI216" i="2"/>
  <c r="AA217" i="2"/>
  <c r="AB217" i="2"/>
  <c r="AC217" i="2"/>
  <c r="AD217" i="2"/>
  <c r="AE217" i="2"/>
  <c r="AF217" i="2"/>
  <c r="AG217" i="2"/>
  <c r="AH217" i="2"/>
  <c r="AI217" i="2"/>
  <c r="AA218" i="2"/>
  <c r="AB218" i="2"/>
  <c r="AC218" i="2"/>
  <c r="AD218" i="2"/>
  <c r="AE218" i="2"/>
  <c r="AF218" i="2"/>
  <c r="AG218" i="2"/>
  <c r="AH218" i="2"/>
  <c r="AI218" i="2"/>
  <c r="AA219" i="2"/>
  <c r="AB219" i="2"/>
  <c r="AC219" i="2"/>
  <c r="AD219" i="2"/>
  <c r="AE219" i="2"/>
  <c r="AF219" i="2"/>
  <c r="AG219" i="2"/>
  <c r="AH219" i="2"/>
  <c r="AI219" i="2"/>
  <c r="AA220" i="2"/>
  <c r="AB220" i="2"/>
  <c r="AC220" i="2"/>
  <c r="AD220" i="2"/>
  <c r="AE220" i="2"/>
  <c r="AF220" i="2"/>
  <c r="AG220" i="2"/>
  <c r="AH220" i="2"/>
  <c r="AI220" i="2"/>
  <c r="AA221" i="2"/>
  <c r="AB221" i="2"/>
  <c r="AC221" i="2"/>
  <c r="AD221" i="2"/>
  <c r="AE221" i="2"/>
  <c r="AF221" i="2"/>
  <c r="AG221" i="2"/>
  <c r="AH221" i="2"/>
  <c r="AI221" i="2"/>
  <c r="AA222" i="2"/>
  <c r="AB222" i="2"/>
  <c r="AC222" i="2"/>
  <c r="AD222" i="2"/>
  <c r="AE222" i="2"/>
  <c r="AF222" i="2"/>
  <c r="AG222" i="2"/>
  <c r="AH222" i="2"/>
  <c r="AI222" i="2"/>
  <c r="AA223" i="2"/>
  <c r="AB223" i="2"/>
  <c r="AC223" i="2"/>
  <c r="AD223" i="2"/>
  <c r="AE223" i="2"/>
  <c r="AF223" i="2"/>
  <c r="AG223" i="2"/>
  <c r="AH223" i="2"/>
  <c r="AI223" i="2"/>
  <c r="AA224" i="2"/>
  <c r="AB224" i="2"/>
  <c r="AC224" i="2"/>
  <c r="AD224" i="2"/>
  <c r="AE224" i="2"/>
  <c r="AF224" i="2"/>
  <c r="AG224" i="2"/>
  <c r="AH224" i="2"/>
  <c r="AI224" i="2"/>
  <c r="AA225" i="2"/>
  <c r="AB225" i="2"/>
  <c r="AC225" i="2"/>
  <c r="AD225" i="2"/>
  <c r="AE225" i="2"/>
  <c r="AF225" i="2"/>
  <c r="AG225" i="2"/>
  <c r="AH225" i="2"/>
  <c r="AI225" i="2"/>
  <c r="AA226" i="2"/>
  <c r="AB226" i="2"/>
  <c r="AC226" i="2"/>
  <c r="AD226" i="2"/>
  <c r="AE226" i="2"/>
  <c r="AF226" i="2"/>
  <c r="AG226" i="2"/>
  <c r="AH226" i="2"/>
  <c r="AI226" i="2"/>
  <c r="AA227" i="2"/>
  <c r="AB227" i="2"/>
  <c r="AC227" i="2"/>
  <c r="AD227" i="2"/>
  <c r="AE227" i="2"/>
  <c r="AF227" i="2"/>
  <c r="AG227" i="2"/>
  <c r="AH227" i="2"/>
  <c r="AI227" i="2"/>
  <c r="AA228" i="2"/>
  <c r="AB228" i="2"/>
  <c r="AC228" i="2"/>
  <c r="AD228" i="2"/>
  <c r="AE228" i="2"/>
  <c r="AF228" i="2"/>
  <c r="AG228" i="2"/>
  <c r="AH228" i="2"/>
  <c r="AI228" i="2"/>
  <c r="AA229" i="2"/>
  <c r="AB229" i="2"/>
  <c r="AC229" i="2"/>
  <c r="AD229" i="2"/>
  <c r="AE229" i="2"/>
  <c r="AF229" i="2"/>
  <c r="AG229" i="2"/>
  <c r="AH229" i="2"/>
  <c r="AI229" i="2"/>
  <c r="AA230" i="2"/>
  <c r="AB230" i="2"/>
  <c r="AC230" i="2"/>
  <c r="AD230" i="2"/>
  <c r="AE230" i="2"/>
  <c r="AF230" i="2"/>
  <c r="AG230" i="2"/>
  <c r="AH230" i="2"/>
  <c r="AI230" i="2"/>
  <c r="AA231" i="2"/>
  <c r="AB231" i="2"/>
  <c r="AC231" i="2"/>
  <c r="AD231" i="2"/>
  <c r="AE231" i="2"/>
  <c r="AF231" i="2"/>
  <c r="AG231" i="2"/>
  <c r="AH231" i="2"/>
  <c r="AI231" i="2"/>
  <c r="AA232" i="2"/>
  <c r="AB232" i="2"/>
  <c r="AC232" i="2"/>
  <c r="AD232" i="2"/>
  <c r="AE232" i="2"/>
  <c r="AF232" i="2"/>
  <c r="AG232" i="2"/>
  <c r="AH232" i="2"/>
  <c r="AI232" i="2"/>
  <c r="AA233" i="2"/>
  <c r="AB233" i="2"/>
  <c r="AC233" i="2"/>
  <c r="AD233" i="2"/>
  <c r="AE233" i="2"/>
  <c r="AF233" i="2"/>
  <c r="AG233" i="2"/>
  <c r="AH233" i="2"/>
  <c r="AI233" i="2"/>
  <c r="AA234" i="2"/>
  <c r="AB234" i="2"/>
  <c r="AC234" i="2"/>
  <c r="AD234" i="2"/>
  <c r="AE234" i="2"/>
  <c r="AF234" i="2"/>
  <c r="AG234" i="2"/>
  <c r="AH234" i="2"/>
  <c r="AI234" i="2"/>
  <c r="AA235" i="2"/>
  <c r="AB235" i="2"/>
  <c r="AC235" i="2"/>
  <c r="AD235" i="2"/>
  <c r="AE235" i="2"/>
  <c r="AF235" i="2"/>
  <c r="AG235" i="2"/>
  <c r="AH235" i="2"/>
  <c r="AI235" i="2"/>
  <c r="AA236" i="2"/>
  <c r="AB236" i="2"/>
  <c r="AC236" i="2"/>
  <c r="AD236" i="2"/>
  <c r="AE236" i="2"/>
  <c r="AF236" i="2"/>
  <c r="AG236" i="2"/>
  <c r="AH236" i="2"/>
  <c r="AI236" i="2"/>
  <c r="AA237" i="2"/>
  <c r="AB237" i="2"/>
  <c r="AC237" i="2"/>
  <c r="AD237" i="2"/>
  <c r="AE237" i="2"/>
  <c r="AF237" i="2"/>
  <c r="AG237" i="2"/>
  <c r="AH237" i="2"/>
  <c r="AI237" i="2"/>
  <c r="AA238" i="2"/>
  <c r="AB238" i="2"/>
  <c r="AC238" i="2"/>
  <c r="AD238" i="2"/>
  <c r="AE238" i="2"/>
  <c r="AF238" i="2"/>
  <c r="AG238" i="2"/>
  <c r="AH238" i="2"/>
  <c r="AI238" i="2"/>
  <c r="AA239" i="2"/>
  <c r="AB239" i="2"/>
  <c r="AC239" i="2"/>
  <c r="AD239" i="2"/>
  <c r="AE239" i="2"/>
  <c r="AF239" i="2"/>
  <c r="AG239" i="2"/>
  <c r="AH239" i="2"/>
  <c r="AI239" i="2"/>
  <c r="AA240" i="2"/>
  <c r="AB240" i="2"/>
  <c r="AC240" i="2"/>
  <c r="AD240" i="2"/>
  <c r="AE240" i="2"/>
  <c r="AF240" i="2"/>
  <c r="AG240" i="2"/>
  <c r="AH240" i="2"/>
  <c r="AI240" i="2"/>
  <c r="AA241" i="2"/>
  <c r="AB241" i="2"/>
  <c r="AC241" i="2"/>
  <c r="AD241" i="2"/>
  <c r="AE241" i="2"/>
  <c r="AF241" i="2"/>
  <c r="AG241" i="2"/>
  <c r="AH241" i="2"/>
  <c r="AI241" i="2"/>
  <c r="AA242" i="2"/>
  <c r="AB242" i="2"/>
  <c r="AC242" i="2"/>
  <c r="AD242" i="2"/>
  <c r="AE242" i="2"/>
  <c r="AF242" i="2"/>
  <c r="AG242" i="2"/>
  <c r="AH242" i="2"/>
  <c r="AI242" i="2"/>
  <c r="AA243" i="2"/>
  <c r="AB243" i="2"/>
  <c r="AC243" i="2"/>
  <c r="AD243" i="2"/>
  <c r="AE243" i="2"/>
  <c r="AF243" i="2"/>
  <c r="AG243" i="2"/>
  <c r="AH243" i="2"/>
  <c r="AI243" i="2"/>
  <c r="AA244" i="2"/>
  <c r="AB244" i="2"/>
  <c r="AC244" i="2"/>
  <c r="AD244" i="2"/>
  <c r="AE244" i="2"/>
  <c r="AF244" i="2"/>
  <c r="AG244" i="2"/>
  <c r="AH244" i="2"/>
  <c r="AI244" i="2"/>
  <c r="AA245" i="2"/>
  <c r="AB245" i="2"/>
  <c r="AC245" i="2"/>
  <c r="AD245" i="2"/>
  <c r="AE245" i="2"/>
  <c r="AF245" i="2"/>
  <c r="AG245" i="2"/>
  <c r="AH245" i="2"/>
  <c r="AI245" i="2"/>
  <c r="AA246" i="2"/>
  <c r="AB246" i="2"/>
  <c r="AC246" i="2"/>
  <c r="AD246" i="2"/>
  <c r="AE246" i="2"/>
  <c r="AF246" i="2"/>
  <c r="AG246" i="2"/>
  <c r="AH246" i="2"/>
  <c r="AI246" i="2"/>
  <c r="AA247" i="2"/>
  <c r="AB247" i="2"/>
  <c r="AC247" i="2"/>
  <c r="AD247" i="2"/>
  <c r="AE247" i="2"/>
  <c r="AF247" i="2"/>
  <c r="AG247" i="2"/>
  <c r="AH247" i="2"/>
  <c r="AI247" i="2"/>
  <c r="AA248" i="2"/>
  <c r="AB248" i="2"/>
  <c r="AC248" i="2"/>
  <c r="AD248" i="2"/>
  <c r="AE248" i="2"/>
  <c r="AF248" i="2"/>
  <c r="AG248" i="2"/>
  <c r="AH248" i="2"/>
  <c r="AI248" i="2"/>
  <c r="AA249" i="2"/>
  <c r="AB249" i="2"/>
  <c r="AC249" i="2"/>
  <c r="AD249" i="2"/>
  <c r="AE249" i="2"/>
  <c r="AF249" i="2"/>
  <c r="AG249" i="2"/>
  <c r="AH249" i="2"/>
  <c r="AI249" i="2"/>
  <c r="AA250" i="2"/>
  <c r="AB250" i="2"/>
  <c r="AC250" i="2"/>
  <c r="AD250" i="2"/>
  <c r="AE250" i="2"/>
  <c r="AF250" i="2"/>
  <c r="AG250" i="2"/>
  <c r="AH250" i="2"/>
  <c r="AI250" i="2"/>
  <c r="AA251" i="2"/>
  <c r="AB251" i="2"/>
  <c r="AC251" i="2"/>
  <c r="AD251" i="2"/>
  <c r="AE251" i="2"/>
  <c r="AF251" i="2"/>
  <c r="AG251" i="2"/>
  <c r="AH251" i="2"/>
  <c r="AI251" i="2"/>
  <c r="AA252" i="2"/>
  <c r="AB252" i="2"/>
  <c r="AC252" i="2"/>
  <c r="AD252" i="2"/>
  <c r="AE252" i="2"/>
  <c r="AF252" i="2"/>
  <c r="AG252" i="2"/>
  <c r="AH252" i="2"/>
  <c r="AI252" i="2"/>
  <c r="AA253" i="2"/>
  <c r="AB253" i="2"/>
  <c r="AC253" i="2"/>
  <c r="AD253" i="2"/>
  <c r="AE253" i="2"/>
  <c r="AF253" i="2"/>
  <c r="AG253" i="2"/>
  <c r="AH253" i="2"/>
  <c r="AI253" i="2"/>
  <c r="AA254" i="2"/>
  <c r="AB254" i="2"/>
  <c r="AC254" i="2"/>
  <c r="AD254" i="2"/>
  <c r="AE254" i="2"/>
  <c r="AF254" i="2"/>
  <c r="AG254" i="2"/>
  <c r="AH254" i="2"/>
  <c r="AI254" i="2"/>
  <c r="AA255" i="2"/>
  <c r="AB255" i="2"/>
  <c r="AC255" i="2"/>
  <c r="AD255" i="2"/>
  <c r="AE255" i="2"/>
  <c r="AF255" i="2"/>
  <c r="AG255" i="2"/>
  <c r="AH255" i="2"/>
  <c r="AI255" i="2"/>
  <c r="AA256" i="2"/>
  <c r="AB256" i="2"/>
  <c r="AC256" i="2"/>
  <c r="AD256" i="2"/>
  <c r="AE256" i="2"/>
  <c r="AF256" i="2"/>
  <c r="AG256" i="2"/>
  <c r="AH256" i="2"/>
  <c r="AI256" i="2"/>
  <c r="AA257" i="2"/>
  <c r="AB257" i="2"/>
  <c r="AC257" i="2"/>
  <c r="AD257" i="2"/>
  <c r="AE257" i="2"/>
  <c r="AF257" i="2"/>
  <c r="AG257" i="2"/>
  <c r="AH257" i="2"/>
  <c r="AI257" i="2"/>
  <c r="AA258" i="2"/>
  <c r="AB258" i="2"/>
  <c r="AC258" i="2"/>
  <c r="AD258" i="2"/>
  <c r="AE258" i="2"/>
  <c r="AF258" i="2"/>
  <c r="AG258" i="2"/>
  <c r="AH258" i="2"/>
  <c r="AI258" i="2"/>
  <c r="AA259" i="2"/>
  <c r="AB259" i="2"/>
  <c r="AC259" i="2"/>
  <c r="AD259" i="2"/>
  <c r="AE259" i="2"/>
  <c r="AF259" i="2"/>
  <c r="AG259" i="2"/>
  <c r="AH259" i="2"/>
  <c r="AI259" i="2"/>
  <c r="AA260" i="2"/>
  <c r="AB260" i="2"/>
  <c r="AC260" i="2"/>
  <c r="AD260" i="2"/>
  <c r="AE260" i="2"/>
  <c r="AF260" i="2"/>
  <c r="AG260" i="2"/>
  <c r="AH260" i="2"/>
  <c r="AI260" i="2"/>
  <c r="AA261" i="2"/>
  <c r="AB261" i="2"/>
  <c r="AC261" i="2"/>
  <c r="AD261" i="2"/>
  <c r="AE261" i="2"/>
  <c r="AF261" i="2"/>
  <c r="AG261" i="2"/>
  <c r="AH261" i="2"/>
  <c r="AI261" i="2"/>
  <c r="AA262" i="2"/>
  <c r="AB262" i="2"/>
  <c r="AC262" i="2"/>
  <c r="AD262" i="2"/>
  <c r="AE262" i="2"/>
  <c r="AF262" i="2"/>
  <c r="AG262" i="2"/>
  <c r="AH262" i="2"/>
  <c r="AI262" i="2"/>
  <c r="AA263" i="2"/>
  <c r="AB263" i="2"/>
  <c r="AC263" i="2"/>
  <c r="AD263" i="2"/>
  <c r="AE263" i="2"/>
  <c r="AF263" i="2"/>
  <c r="AG263" i="2"/>
  <c r="AH263" i="2"/>
  <c r="AI263" i="2"/>
  <c r="AA264" i="2"/>
  <c r="AB264" i="2"/>
  <c r="AC264" i="2"/>
  <c r="AD264" i="2"/>
  <c r="AE264" i="2"/>
  <c r="AF264" i="2"/>
  <c r="AG264" i="2"/>
  <c r="AH264" i="2"/>
  <c r="AI264" i="2"/>
  <c r="AA265" i="2"/>
  <c r="AB265" i="2"/>
  <c r="AC265" i="2"/>
  <c r="AD265" i="2"/>
  <c r="AE265" i="2"/>
  <c r="AF265" i="2"/>
  <c r="AG265" i="2"/>
  <c r="AH265" i="2"/>
  <c r="AI265" i="2"/>
  <c r="AA266" i="2"/>
  <c r="AB266" i="2"/>
  <c r="AC266" i="2"/>
  <c r="AD266" i="2"/>
  <c r="AE266" i="2"/>
  <c r="AF266" i="2"/>
  <c r="AG266" i="2"/>
  <c r="AH266" i="2"/>
  <c r="AI266" i="2"/>
  <c r="AA267" i="2"/>
  <c r="AB267" i="2"/>
  <c r="AC267" i="2"/>
  <c r="AD267" i="2"/>
  <c r="AE267" i="2"/>
  <c r="AF267" i="2"/>
  <c r="AG267" i="2"/>
  <c r="AH267" i="2"/>
  <c r="AI267" i="2"/>
  <c r="AA268" i="2"/>
  <c r="AB268" i="2"/>
  <c r="AC268" i="2"/>
  <c r="AD268" i="2"/>
  <c r="AE268" i="2"/>
  <c r="AF268" i="2"/>
  <c r="AG268" i="2"/>
  <c r="AH268" i="2"/>
  <c r="AI268" i="2"/>
  <c r="AA269" i="2"/>
  <c r="AB269" i="2"/>
  <c r="AC269" i="2"/>
  <c r="AD269" i="2"/>
  <c r="AE269" i="2"/>
  <c r="AF269" i="2"/>
  <c r="AG269" i="2"/>
  <c r="AH269" i="2"/>
  <c r="AI269" i="2"/>
  <c r="AA270" i="2"/>
  <c r="AB270" i="2"/>
  <c r="AC270" i="2"/>
  <c r="AD270" i="2"/>
  <c r="AE270" i="2"/>
  <c r="AF270" i="2"/>
  <c r="AG270" i="2"/>
  <c r="AH270" i="2"/>
  <c r="AI270" i="2"/>
  <c r="AA271" i="2"/>
  <c r="AB271" i="2"/>
  <c r="AC271" i="2"/>
  <c r="AD271" i="2"/>
  <c r="AE271" i="2"/>
  <c r="AF271" i="2"/>
  <c r="AG271" i="2"/>
  <c r="AH271" i="2"/>
  <c r="AI271" i="2"/>
  <c r="AA272" i="2"/>
  <c r="AB272" i="2"/>
  <c r="AC272" i="2"/>
  <c r="AD272" i="2"/>
  <c r="AE272" i="2"/>
  <c r="AF272" i="2"/>
  <c r="AG272" i="2"/>
  <c r="AH272" i="2"/>
  <c r="AI272" i="2"/>
  <c r="AA273" i="2"/>
  <c r="AB273" i="2"/>
  <c r="AC273" i="2"/>
  <c r="AD273" i="2"/>
  <c r="AE273" i="2"/>
  <c r="AF273" i="2"/>
  <c r="AG273" i="2"/>
  <c r="AH273" i="2"/>
  <c r="AI273" i="2"/>
  <c r="AA274" i="2"/>
  <c r="AB274" i="2"/>
  <c r="AC274" i="2"/>
  <c r="AD274" i="2"/>
  <c r="AE274" i="2"/>
  <c r="AF274" i="2"/>
  <c r="AG274" i="2"/>
  <c r="AH274" i="2"/>
  <c r="AI274" i="2"/>
  <c r="AA275" i="2"/>
  <c r="AB275" i="2"/>
  <c r="AC275" i="2"/>
  <c r="AD275" i="2"/>
  <c r="AE275" i="2"/>
  <c r="AF275" i="2"/>
  <c r="AG275" i="2"/>
  <c r="AH275" i="2"/>
  <c r="AI275" i="2"/>
  <c r="AA276" i="2"/>
  <c r="AB276" i="2"/>
  <c r="AC276" i="2"/>
  <c r="AD276" i="2"/>
  <c r="AE276" i="2"/>
  <c r="AF276" i="2"/>
  <c r="AG276" i="2"/>
  <c r="AH276" i="2"/>
  <c r="AI276" i="2"/>
  <c r="AA277" i="2"/>
  <c r="AB277" i="2"/>
  <c r="AC277" i="2"/>
  <c r="AD277" i="2"/>
  <c r="AE277" i="2"/>
  <c r="AF277" i="2"/>
  <c r="AG277" i="2"/>
  <c r="AH277" i="2"/>
  <c r="AI277" i="2"/>
  <c r="AA278" i="2"/>
  <c r="AB278" i="2"/>
  <c r="AC278" i="2"/>
  <c r="AD278" i="2"/>
  <c r="AE278" i="2"/>
  <c r="AF278" i="2"/>
  <c r="AG278" i="2"/>
  <c r="AH278" i="2"/>
  <c r="AI278" i="2"/>
  <c r="AA279" i="2"/>
  <c r="AB279" i="2"/>
  <c r="AC279" i="2"/>
  <c r="AD279" i="2"/>
  <c r="AE279" i="2"/>
  <c r="AF279" i="2"/>
  <c r="AG279" i="2"/>
  <c r="AH279" i="2"/>
  <c r="AI279" i="2"/>
  <c r="AA280" i="2"/>
  <c r="AB280" i="2"/>
  <c r="AC280" i="2"/>
  <c r="AD280" i="2"/>
  <c r="AE280" i="2"/>
  <c r="AF280" i="2"/>
  <c r="AG280" i="2"/>
  <c r="AH280" i="2"/>
  <c r="AI280" i="2"/>
  <c r="AA281" i="2"/>
  <c r="AB281" i="2"/>
  <c r="AC281" i="2"/>
  <c r="AD281" i="2"/>
  <c r="AE281" i="2"/>
  <c r="AF281" i="2"/>
  <c r="AG281" i="2"/>
  <c r="AH281" i="2"/>
  <c r="AI281" i="2"/>
  <c r="AA282" i="2"/>
  <c r="AB282" i="2"/>
  <c r="AC282" i="2"/>
  <c r="AD282" i="2"/>
  <c r="AE282" i="2"/>
  <c r="AF282" i="2"/>
  <c r="AG282" i="2"/>
  <c r="AH282" i="2"/>
  <c r="AI282" i="2"/>
  <c r="AA283" i="2"/>
  <c r="AB283" i="2"/>
  <c r="AC283" i="2"/>
  <c r="AD283" i="2"/>
  <c r="AE283" i="2"/>
  <c r="AF283" i="2"/>
  <c r="AG283" i="2"/>
  <c r="AH283" i="2"/>
  <c r="AI283" i="2"/>
  <c r="AA284" i="2"/>
  <c r="AB284" i="2"/>
  <c r="AC284" i="2"/>
  <c r="AD284" i="2"/>
  <c r="AE284" i="2"/>
  <c r="AF284" i="2"/>
  <c r="AG284" i="2"/>
  <c r="AH284" i="2"/>
  <c r="AI284" i="2"/>
  <c r="AA285" i="2"/>
  <c r="AB285" i="2"/>
  <c r="AC285" i="2"/>
  <c r="AD285" i="2"/>
  <c r="AE285" i="2"/>
  <c r="AF285" i="2"/>
  <c r="AG285" i="2"/>
  <c r="AH285" i="2"/>
  <c r="AI285" i="2"/>
  <c r="AA286" i="2"/>
  <c r="AB286" i="2"/>
  <c r="AC286" i="2"/>
  <c r="AD286" i="2"/>
  <c r="AE286" i="2"/>
  <c r="AF286" i="2"/>
  <c r="AG286" i="2"/>
  <c r="AH286" i="2"/>
  <c r="AI286" i="2"/>
  <c r="AA287" i="2"/>
  <c r="AB287" i="2"/>
  <c r="AC287" i="2"/>
  <c r="AD287" i="2"/>
  <c r="AE287" i="2"/>
  <c r="AF287" i="2"/>
  <c r="AG287" i="2"/>
  <c r="AH287" i="2"/>
  <c r="AI287" i="2"/>
  <c r="AA288" i="2"/>
  <c r="AB288" i="2"/>
  <c r="AC288" i="2"/>
  <c r="AD288" i="2"/>
  <c r="AE288" i="2"/>
  <c r="AF288" i="2"/>
  <c r="AG288" i="2"/>
  <c r="AH288" i="2"/>
  <c r="AI288" i="2"/>
  <c r="AA289" i="2"/>
  <c r="AB289" i="2"/>
  <c r="AC289" i="2"/>
  <c r="AD289" i="2"/>
  <c r="AE289" i="2"/>
  <c r="AF289" i="2"/>
  <c r="AG289" i="2"/>
  <c r="AH289" i="2"/>
  <c r="AI289" i="2"/>
  <c r="AA290" i="2"/>
  <c r="AB290" i="2"/>
  <c r="AC290" i="2"/>
  <c r="AD290" i="2"/>
  <c r="AE290" i="2"/>
  <c r="AF290" i="2"/>
  <c r="AG290" i="2"/>
  <c r="AH290" i="2"/>
  <c r="AI290" i="2"/>
  <c r="AA291" i="2"/>
  <c r="AB291" i="2"/>
  <c r="AC291" i="2"/>
  <c r="AD291" i="2"/>
  <c r="AE291" i="2"/>
  <c r="AF291" i="2"/>
  <c r="AG291" i="2"/>
  <c r="AH291" i="2"/>
  <c r="AI291" i="2"/>
  <c r="AA292" i="2"/>
  <c r="AB292" i="2"/>
  <c r="AC292" i="2"/>
  <c r="AD292" i="2"/>
  <c r="AE292" i="2"/>
  <c r="AF292" i="2"/>
  <c r="AG292" i="2"/>
  <c r="AH292" i="2"/>
  <c r="AI292" i="2"/>
  <c r="AA293" i="2"/>
  <c r="AB293" i="2"/>
  <c r="AC293" i="2"/>
  <c r="AD293" i="2"/>
  <c r="AE293" i="2"/>
  <c r="AF293" i="2"/>
  <c r="AG293" i="2"/>
  <c r="AH293" i="2"/>
  <c r="AI293" i="2"/>
  <c r="AA294" i="2"/>
  <c r="AB294" i="2"/>
  <c r="AC294" i="2"/>
  <c r="AD294" i="2"/>
  <c r="AE294" i="2"/>
  <c r="AF294" i="2"/>
  <c r="AG294" i="2"/>
  <c r="AH294" i="2"/>
  <c r="AI294" i="2"/>
  <c r="AA295" i="2"/>
  <c r="AB295" i="2"/>
  <c r="AC295" i="2"/>
  <c r="AD295" i="2"/>
  <c r="AE295" i="2"/>
  <c r="AF295" i="2"/>
  <c r="AG295" i="2"/>
  <c r="AH295" i="2"/>
  <c r="AI295" i="2"/>
  <c r="AA296" i="2"/>
  <c r="AB296" i="2"/>
  <c r="AC296" i="2"/>
  <c r="AD296" i="2"/>
  <c r="AE296" i="2"/>
  <c r="AF296" i="2"/>
  <c r="AG296" i="2"/>
  <c r="AH296" i="2"/>
  <c r="AI296" i="2"/>
  <c r="AA297" i="2"/>
  <c r="AB297" i="2"/>
  <c r="AC297" i="2"/>
  <c r="AD297" i="2"/>
  <c r="AE297" i="2"/>
  <c r="AF297" i="2"/>
  <c r="AG297" i="2"/>
  <c r="AH297" i="2"/>
  <c r="AI297" i="2"/>
  <c r="AA298" i="2"/>
  <c r="AB298" i="2"/>
  <c r="AC298" i="2"/>
  <c r="AD298" i="2"/>
  <c r="AE298" i="2"/>
  <c r="AF298" i="2"/>
  <c r="AG298" i="2"/>
  <c r="AH298" i="2"/>
  <c r="AI298" i="2"/>
  <c r="AA299" i="2"/>
  <c r="AB299" i="2"/>
  <c r="AC299" i="2"/>
  <c r="AD299" i="2"/>
  <c r="AE299" i="2"/>
  <c r="AF299" i="2"/>
  <c r="AG299" i="2"/>
  <c r="AH299" i="2"/>
  <c r="AI299" i="2"/>
  <c r="AA300" i="2"/>
  <c r="AB300" i="2"/>
  <c r="AC300" i="2"/>
  <c r="AD300" i="2"/>
  <c r="AE300" i="2"/>
  <c r="AF300" i="2"/>
  <c r="AG300" i="2"/>
  <c r="AH300" i="2"/>
  <c r="AI300" i="2"/>
  <c r="AA301" i="2"/>
  <c r="AB301" i="2"/>
  <c r="AC301" i="2"/>
  <c r="AD301" i="2"/>
  <c r="AE301" i="2"/>
  <c r="AF301" i="2"/>
  <c r="AG301" i="2"/>
  <c r="AH301" i="2"/>
  <c r="AI301" i="2"/>
  <c r="AA302" i="2"/>
  <c r="AB302" i="2"/>
  <c r="AC302" i="2"/>
  <c r="AD302" i="2"/>
  <c r="AE302" i="2"/>
  <c r="AF302" i="2"/>
  <c r="AG302" i="2"/>
  <c r="AH302" i="2"/>
  <c r="AI302" i="2"/>
  <c r="AA303" i="2"/>
  <c r="AB303" i="2"/>
  <c r="AC303" i="2"/>
  <c r="AD303" i="2"/>
  <c r="AE303" i="2"/>
  <c r="AF303" i="2"/>
  <c r="AG303" i="2"/>
  <c r="AH303" i="2"/>
  <c r="AI303" i="2"/>
  <c r="AA304" i="2"/>
  <c r="AB304" i="2"/>
  <c r="AC304" i="2"/>
  <c r="AD304" i="2"/>
  <c r="AE304" i="2"/>
  <c r="AF304" i="2"/>
  <c r="AG304" i="2"/>
  <c r="AH304" i="2"/>
  <c r="AI304" i="2"/>
  <c r="AA305" i="2"/>
  <c r="AB305" i="2"/>
  <c r="AC305" i="2"/>
  <c r="AD305" i="2"/>
  <c r="AE305" i="2"/>
  <c r="AF305" i="2"/>
  <c r="AG305" i="2"/>
  <c r="AH305" i="2"/>
  <c r="AI305" i="2"/>
  <c r="AA306" i="2"/>
  <c r="AB306" i="2"/>
  <c r="AC306" i="2"/>
  <c r="AD306" i="2"/>
  <c r="AE306" i="2"/>
  <c r="AF306" i="2"/>
  <c r="AG306" i="2"/>
  <c r="AH306" i="2"/>
  <c r="AI306" i="2"/>
  <c r="AA307" i="2"/>
  <c r="AB307" i="2"/>
  <c r="AC307" i="2"/>
  <c r="AD307" i="2"/>
  <c r="AE307" i="2"/>
  <c r="AF307" i="2"/>
  <c r="AG307" i="2"/>
  <c r="AH307" i="2"/>
  <c r="AI307" i="2"/>
  <c r="AA308" i="2"/>
  <c r="AB308" i="2"/>
  <c r="AC308" i="2"/>
  <c r="AD308" i="2"/>
  <c r="AE308" i="2"/>
  <c r="AF308" i="2"/>
  <c r="AG308" i="2"/>
  <c r="AH308" i="2"/>
  <c r="AI308" i="2"/>
  <c r="AA309" i="2"/>
  <c r="AB309" i="2"/>
  <c r="AC309" i="2"/>
  <c r="AD309" i="2"/>
  <c r="AE309" i="2"/>
  <c r="AF309" i="2"/>
  <c r="AG309" i="2"/>
  <c r="AH309" i="2"/>
  <c r="AI309" i="2"/>
  <c r="AA310" i="2"/>
  <c r="AB310" i="2"/>
  <c r="AC310" i="2"/>
  <c r="AD310" i="2"/>
  <c r="AE310" i="2"/>
  <c r="AF310" i="2"/>
  <c r="AG310" i="2"/>
  <c r="AH310" i="2"/>
  <c r="AI310" i="2"/>
  <c r="AA311" i="2"/>
  <c r="AB311" i="2"/>
  <c r="AC311" i="2"/>
  <c r="AD311" i="2"/>
  <c r="AE311" i="2"/>
  <c r="AF311" i="2"/>
  <c r="AG311" i="2"/>
  <c r="AH311" i="2"/>
  <c r="AI311" i="2"/>
  <c r="AA312" i="2"/>
  <c r="AB312" i="2"/>
  <c r="AC312" i="2"/>
  <c r="AD312" i="2"/>
  <c r="AE312" i="2"/>
  <c r="AF312" i="2"/>
  <c r="AG312" i="2"/>
  <c r="AH312" i="2"/>
  <c r="AI312" i="2"/>
  <c r="AA313" i="2"/>
  <c r="AB313" i="2"/>
  <c r="AC313" i="2"/>
  <c r="AD313" i="2"/>
  <c r="AE313" i="2"/>
  <c r="AF313" i="2"/>
  <c r="AG313" i="2"/>
  <c r="AH313" i="2"/>
  <c r="AI313" i="2"/>
  <c r="AA314" i="2"/>
  <c r="AB314" i="2"/>
  <c r="AC314" i="2"/>
  <c r="AD314" i="2"/>
  <c r="AE314" i="2"/>
  <c r="AF314" i="2"/>
  <c r="AG314" i="2"/>
  <c r="AH314" i="2"/>
  <c r="AI314" i="2"/>
  <c r="AA315" i="2"/>
  <c r="AB315" i="2"/>
  <c r="AC315" i="2"/>
  <c r="AD315" i="2"/>
  <c r="AE315" i="2"/>
  <c r="AF315" i="2"/>
  <c r="AG315" i="2"/>
  <c r="AH315" i="2"/>
  <c r="AI315" i="2"/>
  <c r="AA316" i="2"/>
  <c r="AB316" i="2"/>
  <c r="AC316" i="2"/>
  <c r="AD316" i="2"/>
  <c r="AE316" i="2"/>
  <c r="AF316" i="2"/>
  <c r="AG316" i="2"/>
  <c r="AH316" i="2"/>
  <c r="AI316" i="2"/>
  <c r="AA317" i="2"/>
  <c r="AB317" i="2"/>
  <c r="AC317" i="2"/>
  <c r="AD317" i="2"/>
  <c r="AE317" i="2"/>
  <c r="AF317" i="2"/>
  <c r="AG317" i="2"/>
  <c r="AH317" i="2"/>
  <c r="AI317" i="2"/>
  <c r="AA318" i="2"/>
  <c r="AB318" i="2"/>
  <c r="AC318" i="2"/>
  <c r="AD318" i="2"/>
  <c r="AE318" i="2"/>
  <c r="AF318" i="2"/>
  <c r="AG318" i="2"/>
  <c r="AH318" i="2"/>
  <c r="AI318" i="2"/>
  <c r="AA319" i="2"/>
  <c r="AB319" i="2"/>
  <c r="AC319" i="2"/>
  <c r="AD319" i="2"/>
  <c r="AE319" i="2"/>
  <c r="AF319" i="2"/>
  <c r="AG319" i="2"/>
  <c r="AH319" i="2"/>
  <c r="AI319" i="2"/>
  <c r="AA320" i="2"/>
  <c r="AB320" i="2"/>
  <c r="AC320" i="2"/>
  <c r="AD320" i="2"/>
  <c r="AE320" i="2"/>
  <c r="AF320" i="2"/>
  <c r="AG320" i="2"/>
  <c r="AH320" i="2"/>
  <c r="AI320" i="2"/>
  <c r="AA321" i="2"/>
  <c r="AB321" i="2"/>
  <c r="AC321" i="2"/>
  <c r="AD321" i="2"/>
  <c r="AE321" i="2"/>
  <c r="AF321" i="2"/>
  <c r="AG321" i="2"/>
  <c r="AH321" i="2"/>
  <c r="AI321" i="2"/>
  <c r="AA322" i="2"/>
  <c r="AB322" i="2"/>
  <c r="AC322" i="2"/>
  <c r="AD322" i="2"/>
  <c r="AE322" i="2"/>
  <c r="AF322" i="2"/>
  <c r="AG322" i="2"/>
  <c r="AH322" i="2"/>
  <c r="AI322" i="2"/>
  <c r="AA323" i="2"/>
  <c r="AB323" i="2"/>
  <c r="AC323" i="2"/>
  <c r="AD323" i="2"/>
  <c r="AE323" i="2"/>
  <c r="AF323" i="2"/>
  <c r="AG323" i="2"/>
  <c r="AH323" i="2"/>
  <c r="AI323" i="2"/>
  <c r="AA324" i="2"/>
  <c r="AB324" i="2"/>
  <c r="AC324" i="2"/>
  <c r="AD324" i="2"/>
  <c r="AE324" i="2"/>
  <c r="AF324" i="2"/>
  <c r="AG324" i="2"/>
  <c r="AH324" i="2"/>
  <c r="AI324" i="2"/>
  <c r="AA325" i="2"/>
  <c r="AB325" i="2"/>
  <c r="AC325" i="2"/>
  <c r="AD325" i="2"/>
  <c r="AE325" i="2"/>
  <c r="AF325" i="2"/>
  <c r="AG325" i="2"/>
  <c r="AH325" i="2"/>
  <c r="AI325" i="2"/>
  <c r="AA326" i="2"/>
  <c r="AB326" i="2"/>
  <c r="AC326" i="2"/>
  <c r="AD326" i="2"/>
  <c r="AE326" i="2"/>
  <c r="AF326" i="2"/>
  <c r="AG326" i="2"/>
  <c r="AH326" i="2"/>
  <c r="AI326" i="2"/>
  <c r="AA327" i="2"/>
  <c r="AB327" i="2"/>
  <c r="AC327" i="2"/>
  <c r="AD327" i="2"/>
  <c r="AE327" i="2"/>
  <c r="AF327" i="2"/>
  <c r="AG327" i="2"/>
  <c r="AH327" i="2"/>
  <c r="AI327" i="2"/>
  <c r="AA328" i="2"/>
  <c r="AB328" i="2"/>
  <c r="AC328" i="2"/>
  <c r="AD328" i="2"/>
  <c r="AE328" i="2"/>
  <c r="AF328" i="2"/>
  <c r="AG328" i="2"/>
  <c r="AH328" i="2"/>
  <c r="AI328" i="2"/>
  <c r="AA329" i="2"/>
  <c r="AB329" i="2"/>
  <c r="AC329" i="2"/>
  <c r="AD329" i="2"/>
  <c r="AE329" i="2"/>
  <c r="AF329" i="2"/>
  <c r="AG329" i="2"/>
  <c r="AH329" i="2"/>
  <c r="AI329" i="2"/>
  <c r="AA330" i="2"/>
  <c r="AB330" i="2"/>
  <c r="AC330" i="2"/>
  <c r="AD330" i="2"/>
  <c r="AE330" i="2"/>
  <c r="AF330" i="2"/>
  <c r="AG330" i="2"/>
  <c r="AH330" i="2"/>
  <c r="AI330" i="2"/>
  <c r="AA331" i="2"/>
  <c r="AB331" i="2"/>
  <c r="AC331" i="2"/>
  <c r="AD331" i="2"/>
  <c r="AE331" i="2"/>
  <c r="AF331" i="2"/>
  <c r="AG331" i="2"/>
  <c r="AH331" i="2"/>
  <c r="AI331" i="2"/>
  <c r="AA332" i="2"/>
  <c r="AB332" i="2"/>
  <c r="AC332" i="2"/>
  <c r="AD332" i="2"/>
  <c r="AE332" i="2"/>
  <c r="AF332" i="2"/>
  <c r="AG332" i="2"/>
  <c r="AH332" i="2"/>
  <c r="AI332" i="2"/>
  <c r="AA333" i="2"/>
  <c r="AB333" i="2"/>
  <c r="AC333" i="2"/>
  <c r="AD333" i="2"/>
  <c r="AE333" i="2"/>
  <c r="AF333" i="2"/>
  <c r="AG333" i="2"/>
  <c r="AH333" i="2"/>
  <c r="AI333" i="2"/>
  <c r="AA334" i="2"/>
  <c r="AB334" i="2"/>
  <c r="AC334" i="2"/>
  <c r="AD334" i="2"/>
  <c r="AE334" i="2"/>
  <c r="AF334" i="2"/>
  <c r="AG334" i="2"/>
  <c r="AH334" i="2"/>
  <c r="AI334" i="2"/>
  <c r="AA335" i="2"/>
  <c r="AB335" i="2"/>
  <c r="AC335" i="2"/>
  <c r="AD335" i="2"/>
  <c r="AE335" i="2"/>
  <c r="AF335" i="2"/>
  <c r="AG335" i="2"/>
  <c r="AH335" i="2"/>
  <c r="AI335" i="2"/>
  <c r="AA336" i="2"/>
  <c r="AB336" i="2"/>
  <c r="AC336" i="2"/>
  <c r="AD336" i="2"/>
  <c r="AE336" i="2"/>
  <c r="AF336" i="2"/>
  <c r="AG336" i="2"/>
  <c r="AH336" i="2"/>
  <c r="AI336" i="2"/>
  <c r="AA337" i="2"/>
  <c r="AB337" i="2"/>
  <c r="AC337" i="2"/>
  <c r="AD337" i="2"/>
  <c r="AE337" i="2"/>
  <c r="AF337" i="2"/>
  <c r="AG337" i="2"/>
  <c r="AH337" i="2"/>
  <c r="AI337" i="2"/>
  <c r="AA338" i="2"/>
  <c r="AB338" i="2"/>
  <c r="AC338" i="2"/>
  <c r="AD338" i="2"/>
  <c r="AE338" i="2"/>
  <c r="AF338" i="2"/>
  <c r="AG338" i="2"/>
  <c r="AH338" i="2"/>
  <c r="AI338" i="2"/>
  <c r="AA339" i="2"/>
  <c r="AB339" i="2"/>
  <c r="AC339" i="2"/>
  <c r="AD339" i="2"/>
  <c r="AE339" i="2"/>
  <c r="AF339" i="2"/>
  <c r="AG339" i="2"/>
  <c r="AH339" i="2"/>
  <c r="AI339" i="2"/>
  <c r="AA340" i="2"/>
  <c r="AB340" i="2"/>
  <c r="AC340" i="2"/>
  <c r="AD340" i="2"/>
  <c r="AE340" i="2"/>
  <c r="AF340" i="2"/>
  <c r="AG340" i="2"/>
  <c r="AH340" i="2"/>
  <c r="AI340" i="2"/>
  <c r="AA341" i="2"/>
  <c r="AB341" i="2"/>
  <c r="AC341" i="2"/>
  <c r="AD341" i="2"/>
  <c r="AE341" i="2"/>
  <c r="AF341" i="2"/>
  <c r="AG341" i="2"/>
  <c r="AH341" i="2"/>
  <c r="AI341" i="2"/>
  <c r="AA342" i="2"/>
  <c r="AB342" i="2"/>
  <c r="AC342" i="2"/>
  <c r="AD342" i="2"/>
  <c r="AE342" i="2"/>
  <c r="AF342" i="2"/>
  <c r="AG342" i="2"/>
  <c r="AH342" i="2"/>
  <c r="AI342" i="2"/>
  <c r="AA343" i="2"/>
  <c r="AB343" i="2"/>
  <c r="AC343" i="2"/>
  <c r="AD343" i="2"/>
  <c r="AE343" i="2"/>
  <c r="AF343" i="2"/>
  <c r="AG343" i="2"/>
  <c r="AH343" i="2"/>
  <c r="AI343" i="2"/>
  <c r="AA344" i="2"/>
  <c r="AB344" i="2"/>
  <c r="AC344" i="2"/>
  <c r="AD344" i="2"/>
  <c r="AE344" i="2"/>
  <c r="AF344" i="2"/>
  <c r="AG344" i="2"/>
  <c r="AH344" i="2"/>
  <c r="AI344" i="2"/>
  <c r="AA345" i="2"/>
  <c r="AB345" i="2"/>
  <c r="AC345" i="2"/>
  <c r="AD345" i="2"/>
  <c r="AE345" i="2"/>
  <c r="AF345" i="2"/>
  <c r="AG345" i="2"/>
  <c r="AH345" i="2"/>
  <c r="AI345" i="2"/>
  <c r="AA346" i="2"/>
  <c r="AB346" i="2"/>
  <c r="AC346" i="2"/>
  <c r="AD346" i="2"/>
  <c r="AE346" i="2"/>
  <c r="AF346" i="2"/>
  <c r="AG346" i="2"/>
  <c r="AH346" i="2"/>
  <c r="AI346" i="2"/>
  <c r="AA347" i="2"/>
  <c r="AB347" i="2"/>
  <c r="AC347" i="2"/>
  <c r="AD347" i="2"/>
  <c r="AE347" i="2"/>
  <c r="AF347" i="2"/>
  <c r="AG347" i="2"/>
  <c r="AH347" i="2"/>
  <c r="AI347" i="2"/>
  <c r="AA348" i="2"/>
  <c r="AB348" i="2"/>
  <c r="AC348" i="2"/>
  <c r="AD348" i="2"/>
  <c r="AE348" i="2"/>
  <c r="AF348" i="2"/>
  <c r="AG348" i="2"/>
  <c r="AH348" i="2"/>
  <c r="AI348" i="2"/>
  <c r="AA349" i="2"/>
  <c r="AB349" i="2"/>
  <c r="AC349" i="2"/>
  <c r="AD349" i="2"/>
  <c r="AE349" i="2"/>
  <c r="AF349" i="2"/>
  <c r="AG349" i="2"/>
  <c r="AH349" i="2"/>
  <c r="AI349" i="2"/>
  <c r="AA350" i="2"/>
  <c r="AB350" i="2"/>
  <c r="AC350" i="2"/>
  <c r="AD350" i="2"/>
  <c r="AE350" i="2"/>
  <c r="AF350" i="2"/>
  <c r="AG350" i="2"/>
  <c r="AH350" i="2"/>
  <c r="AI350" i="2"/>
  <c r="AA351" i="2"/>
  <c r="AB351" i="2"/>
  <c r="AC351" i="2"/>
  <c r="AD351" i="2"/>
  <c r="AE351" i="2"/>
  <c r="AF351" i="2"/>
  <c r="AG351" i="2"/>
  <c r="AH351" i="2"/>
  <c r="AI351" i="2"/>
  <c r="AA352" i="2"/>
  <c r="AB352" i="2"/>
  <c r="AC352" i="2"/>
  <c r="AD352" i="2"/>
  <c r="AE352" i="2"/>
  <c r="AF352" i="2"/>
  <c r="AG352" i="2"/>
  <c r="AH352" i="2"/>
  <c r="AI352" i="2"/>
  <c r="AA353" i="2"/>
  <c r="AB353" i="2"/>
  <c r="AC353" i="2"/>
  <c r="AD353" i="2"/>
  <c r="AE353" i="2"/>
  <c r="AF353" i="2"/>
  <c r="AG353" i="2"/>
  <c r="AH353" i="2"/>
  <c r="AI353" i="2"/>
  <c r="AA354" i="2"/>
  <c r="AB354" i="2"/>
  <c r="AC354" i="2"/>
  <c r="AD354" i="2"/>
  <c r="AE354" i="2"/>
  <c r="AF354" i="2"/>
  <c r="AG354" i="2"/>
  <c r="AH354" i="2"/>
  <c r="AI354" i="2"/>
  <c r="AA355" i="2"/>
  <c r="AB355" i="2"/>
  <c r="AC355" i="2"/>
  <c r="AD355" i="2"/>
  <c r="AE355" i="2"/>
  <c r="AF355" i="2"/>
  <c r="AG355" i="2"/>
  <c r="AH355" i="2"/>
  <c r="AI355" i="2"/>
  <c r="AA356" i="2"/>
  <c r="AB356" i="2"/>
  <c r="AC356" i="2"/>
  <c r="AD356" i="2"/>
  <c r="AE356" i="2"/>
  <c r="AF356" i="2"/>
  <c r="AG356" i="2"/>
  <c r="AH356" i="2"/>
  <c r="AI356" i="2"/>
  <c r="AA357" i="2"/>
  <c r="AB357" i="2"/>
  <c r="AC357" i="2"/>
  <c r="AD357" i="2"/>
  <c r="AE357" i="2"/>
  <c r="AF357" i="2"/>
  <c r="AG357" i="2"/>
  <c r="AH357" i="2"/>
  <c r="AI357" i="2"/>
  <c r="AA358" i="2"/>
  <c r="AB358" i="2"/>
  <c r="AC358" i="2"/>
  <c r="AD358" i="2"/>
  <c r="AE358" i="2"/>
  <c r="AF358" i="2"/>
  <c r="AG358" i="2"/>
  <c r="AH358" i="2"/>
  <c r="AI358" i="2"/>
  <c r="AA359" i="2"/>
  <c r="AB359" i="2"/>
  <c r="AC359" i="2"/>
  <c r="AD359" i="2"/>
  <c r="AE359" i="2"/>
  <c r="AF359" i="2"/>
  <c r="AG359" i="2"/>
  <c r="AH359" i="2"/>
  <c r="AI359" i="2"/>
  <c r="AA360" i="2"/>
  <c r="AB360" i="2"/>
  <c r="AC360" i="2"/>
  <c r="AD360" i="2"/>
  <c r="AE360" i="2"/>
  <c r="AF360" i="2"/>
  <c r="AG360" i="2"/>
  <c r="AH360" i="2"/>
  <c r="AI360" i="2"/>
  <c r="AA361" i="2"/>
  <c r="AB361" i="2"/>
  <c r="AC361" i="2"/>
  <c r="AD361" i="2"/>
  <c r="AE361" i="2"/>
  <c r="AF361" i="2"/>
  <c r="AG361" i="2"/>
  <c r="AH361" i="2"/>
  <c r="AI361" i="2"/>
  <c r="AA362" i="2"/>
  <c r="AB362" i="2"/>
  <c r="AC362" i="2"/>
  <c r="AD362" i="2"/>
  <c r="AE362" i="2"/>
  <c r="AF362" i="2"/>
  <c r="AG362" i="2"/>
  <c r="AH362" i="2"/>
  <c r="AI362" i="2"/>
  <c r="AA363" i="2"/>
  <c r="AB363" i="2"/>
  <c r="AC363" i="2"/>
  <c r="AD363" i="2"/>
  <c r="AE363" i="2"/>
  <c r="AF363" i="2"/>
  <c r="AG363" i="2"/>
  <c r="AH363" i="2"/>
  <c r="AI363" i="2"/>
  <c r="AA364" i="2"/>
  <c r="AB364" i="2"/>
  <c r="AC364" i="2"/>
  <c r="AD364" i="2"/>
  <c r="AE364" i="2"/>
  <c r="AF364" i="2"/>
  <c r="AG364" i="2"/>
  <c r="AH364" i="2"/>
  <c r="AI364" i="2"/>
  <c r="AA365" i="2"/>
  <c r="AB365" i="2"/>
  <c r="AC365" i="2"/>
  <c r="AD365" i="2"/>
  <c r="AE365" i="2"/>
  <c r="AF365" i="2"/>
  <c r="AG365" i="2"/>
  <c r="AH365" i="2"/>
  <c r="AI365" i="2"/>
  <c r="AA366" i="2"/>
  <c r="AB366" i="2"/>
  <c r="AC366" i="2"/>
  <c r="AD366" i="2"/>
  <c r="AE366" i="2"/>
  <c r="AF366" i="2"/>
  <c r="AG366" i="2"/>
  <c r="AH366" i="2"/>
  <c r="AI366" i="2"/>
  <c r="AA367" i="2"/>
  <c r="AB367" i="2"/>
  <c r="AC367" i="2"/>
  <c r="AD367" i="2"/>
  <c r="AE367" i="2"/>
  <c r="AF367" i="2"/>
  <c r="AG367" i="2"/>
  <c r="AH367" i="2"/>
  <c r="AI367" i="2"/>
  <c r="AA368" i="2"/>
  <c r="AB368" i="2"/>
  <c r="AC368" i="2"/>
  <c r="AD368" i="2"/>
  <c r="AE368" i="2"/>
  <c r="AF368" i="2"/>
  <c r="AG368" i="2"/>
  <c r="AH368" i="2"/>
  <c r="AI368" i="2"/>
  <c r="AA369" i="2"/>
  <c r="AB369" i="2"/>
  <c r="AC369" i="2"/>
  <c r="AD369" i="2"/>
  <c r="AE369" i="2"/>
  <c r="AF369" i="2"/>
  <c r="AG369" i="2"/>
  <c r="AH369" i="2"/>
  <c r="AI369" i="2"/>
  <c r="AA370" i="2"/>
  <c r="AB370" i="2"/>
  <c r="AC370" i="2"/>
  <c r="AD370" i="2"/>
  <c r="AE370" i="2"/>
  <c r="AF370" i="2"/>
  <c r="AG370" i="2"/>
  <c r="AH370" i="2"/>
  <c r="AI370" i="2"/>
  <c r="AA371" i="2"/>
  <c r="AB371" i="2"/>
  <c r="AC371" i="2"/>
  <c r="AD371" i="2"/>
  <c r="AE371" i="2"/>
  <c r="AF371" i="2"/>
  <c r="AG371" i="2"/>
  <c r="AH371" i="2"/>
  <c r="AI371" i="2"/>
  <c r="AA372" i="2"/>
  <c r="AB372" i="2"/>
  <c r="AC372" i="2"/>
  <c r="AD372" i="2"/>
  <c r="AE372" i="2"/>
  <c r="AF372" i="2"/>
  <c r="AG372" i="2"/>
  <c r="AH372" i="2"/>
  <c r="AI372" i="2"/>
  <c r="AA373" i="2"/>
  <c r="AB373" i="2"/>
  <c r="AC373" i="2"/>
  <c r="AD373" i="2"/>
  <c r="AE373" i="2"/>
  <c r="AF373" i="2"/>
  <c r="AG373" i="2"/>
  <c r="AH373" i="2"/>
  <c r="AI373" i="2"/>
  <c r="AB18" i="2"/>
  <c r="AC18" i="2"/>
  <c r="AD18" i="2"/>
  <c r="AE18" i="2"/>
  <c r="AF18" i="2"/>
  <c r="AG18" i="2"/>
  <c r="AH18" i="2"/>
  <c r="AI18" i="2"/>
  <c r="AA18" i="2"/>
  <c r="AM334" i="2"/>
  <c r="AM328" i="2"/>
  <c r="AM323" i="2"/>
  <c r="AM317" i="2"/>
  <c r="AM301" i="2"/>
  <c r="AM282" i="2"/>
  <c r="AM271" i="2"/>
  <c r="AM263" i="2"/>
  <c r="AM257" i="2"/>
  <c r="AM244" i="2"/>
  <c r="AM238" i="2"/>
  <c r="AM216" i="2"/>
  <c r="AM210" i="2"/>
  <c r="AM197" i="2"/>
  <c r="AM188" i="2"/>
  <c r="AM177" i="2"/>
  <c r="AM162" i="2"/>
  <c r="AM159" i="2"/>
  <c r="AM145" i="2"/>
  <c r="AM132" i="2"/>
  <c r="AM128" i="2"/>
  <c r="AM116" i="2"/>
  <c r="AM113" i="2"/>
  <c r="AM93" i="2"/>
  <c r="AM76" i="2"/>
  <c r="AM61" i="2"/>
  <c r="AM57" i="2"/>
  <c r="AM346" i="2"/>
  <c r="AM338" i="2"/>
  <c r="AM332" i="2"/>
  <c r="AM326" i="2"/>
  <c r="AM321" i="2"/>
  <c r="AM316" i="2"/>
  <c r="AM307" i="2"/>
  <c r="AM300" i="2"/>
  <c r="AM297" i="2"/>
  <c r="AM294" i="2"/>
  <c r="AM290" i="2"/>
  <c r="AM288" i="2"/>
  <c r="AM283" i="2"/>
  <c r="AM280" i="2"/>
  <c r="AM278" i="2"/>
  <c r="AM275" i="2"/>
  <c r="AM273" i="2"/>
  <c r="AM270" i="2"/>
  <c r="AM268" i="2"/>
  <c r="AM262" i="2"/>
  <c r="AM259" i="2"/>
  <c r="AM256" i="2"/>
  <c r="AM253" i="2"/>
  <c r="AM249" i="2"/>
  <c r="AM243" i="2"/>
  <c r="AM240" i="2"/>
  <c r="AM237" i="2"/>
  <c r="AM234" i="2"/>
  <c r="AM230" i="2"/>
  <c r="AM226" i="2"/>
  <c r="AM222" i="2"/>
  <c r="AM219" i="2"/>
  <c r="AM214" i="2"/>
  <c r="AM211" i="2"/>
  <c r="AM208" i="2"/>
  <c r="AM205" i="2"/>
  <c r="AM203" i="2"/>
  <c r="AM196" i="2"/>
  <c r="AM187" i="2"/>
  <c r="AM184" i="2"/>
  <c r="AM181" i="2"/>
  <c r="AM176" i="2"/>
  <c r="AM169" i="2"/>
  <c r="AM167" i="2"/>
  <c r="AM164" i="2"/>
  <c r="AM161" i="2"/>
  <c r="AM158" i="2"/>
  <c r="AM156" i="2"/>
  <c r="AM151" i="2"/>
  <c r="AM149" i="2"/>
  <c r="AM147" i="2"/>
  <c r="AM143" i="2"/>
  <c r="AM139" i="2"/>
  <c r="AM136" i="2"/>
  <c r="AM134" i="2"/>
  <c r="AM131" i="2"/>
  <c r="AM127" i="2"/>
  <c r="AM125" i="2"/>
  <c r="AM122" i="2"/>
  <c r="AM120" i="2"/>
  <c r="AM118" i="2"/>
  <c r="AM115" i="2"/>
  <c r="AM112" i="2"/>
  <c r="AM107" i="2"/>
  <c r="AM103" i="2"/>
  <c r="AM100" i="2"/>
  <c r="AM98" i="2"/>
  <c r="AM96" i="2"/>
  <c r="AM91" i="2"/>
  <c r="AM86" i="2"/>
  <c r="AM84" i="2"/>
  <c r="AM81" i="2"/>
  <c r="AM79" i="2"/>
  <c r="AM74" i="2"/>
  <c r="AM69" i="2"/>
  <c r="AM67" i="2"/>
  <c r="AM63" i="2"/>
  <c r="AM60" i="2"/>
  <c r="AM56" i="2"/>
  <c r="AM50" i="2"/>
  <c r="AM46" i="2"/>
  <c r="AM52" i="2"/>
  <c r="AM53" i="2"/>
  <c r="AM54" i="2"/>
  <c r="AM55" i="2"/>
  <c r="AM58" i="2"/>
  <c r="AM59" i="2"/>
  <c r="AM62" i="2"/>
  <c r="AM64" i="2"/>
  <c r="AM65" i="2"/>
  <c r="AM66" i="2"/>
  <c r="AM68" i="2"/>
  <c r="AM70" i="2"/>
  <c r="AM71" i="2"/>
  <c r="AM72" i="2"/>
  <c r="AM73" i="2"/>
  <c r="AM75" i="2"/>
  <c r="AM77" i="2"/>
  <c r="AM78" i="2"/>
  <c r="AM80" i="2"/>
  <c r="AM82" i="2"/>
  <c r="AM83" i="2"/>
  <c r="AM85" i="2"/>
  <c r="AM87" i="2"/>
  <c r="AM88" i="2"/>
  <c r="AM89" i="2"/>
  <c r="AM90" i="2"/>
  <c r="AM92" i="2"/>
  <c r="AM94" i="2"/>
  <c r="AM95" i="2"/>
  <c r="AM97" i="2"/>
  <c r="AM99" i="2"/>
  <c r="AM101" i="2"/>
  <c r="AM102" i="2"/>
  <c r="AM104" i="2"/>
  <c r="AM105" i="2"/>
  <c r="AM106" i="2"/>
  <c r="AM108" i="2"/>
  <c r="AM109" i="2"/>
  <c r="AM110" i="2"/>
  <c r="AM111" i="2"/>
  <c r="AM114" i="2"/>
  <c r="AM117" i="2"/>
  <c r="AM119" i="2"/>
  <c r="AM121" i="2"/>
  <c r="AM123" i="2"/>
  <c r="AM124" i="2"/>
  <c r="AM126" i="2"/>
  <c r="AM129" i="2"/>
  <c r="AM130" i="2"/>
  <c r="AM133" i="2"/>
  <c r="AM135" i="2"/>
  <c r="AM137" i="2"/>
  <c r="AM138" i="2"/>
  <c r="AM140" i="2"/>
  <c r="AM141" i="2"/>
  <c r="AM142" i="2"/>
  <c r="AM144" i="2"/>
  <c r="AM146" i="2"/>
  <c r="AM148" i="2"/>
  <c r="AM150" i="2"/>
  <c r="AM152" i="2"/>
  <c r="AM153" i="2"/>
  <c r="AM154" i="2"/>
  <c r="AM155" i="2"/>
  <c r="AM157" i="2"/>
  <c r="AM160" i="2"/>
  <c r="AM163" i="2"/>
  <c r="AM165" i="2"/>
  <c r="AM166" i="2"/>
  <c r="AM168" i="2"/>
  <c r="AM170" i="2"/>
  <c r="AM171" i="2"/>
  <c r="AM172" i="2"/>
  <c r="AM173" i="2"/>
  <c r="AM174" i="2"/>
  <c r="AM175" i="2"/>
  <c r="AM178" i="2"/>
  <c r="AM179" i="2"/>
  <c r="AM180" i="2"/>
  <c r="AM182" i="2"/>
  <c r="AM183" i="2"/>
  <c r="AM185" i="2"/>
  <c r="AM186" i="2"/>
  <c r="AM189" i="2"/>
  <c r="AM190" i="2"/>
  <c r="AM191" i="2"/>
  <c r="AM192" i="2"/>
  <c r="AM193" i="2"/>
  <c r="AM194" i="2"/>
  <c r="AM195" i="2"/>
  <c r="AM198" i="2"/>
  <c r="AM199" i="2"/>
  <c r="AM200" i="2"/>
  <c r="AM201" i="2"/>
  <c r="AM202" i="2"/>
  <c r="AM204" i="2"/>
  <c r="AM206" i="2"/>
  <c r="AM207" i="2"/>
  <c r="AM209" i="2"/>
  <c r="AM212" i="2"/>
  <c r="AM213" i="2"/>
  <c r="AM215" i="2"/>
  <c r="AM217" i="2"/>
  <c r="AM218" i="2"/>
  <c r="AM220" i="2"/>
  <c r="AM221" i="2"/>
  <c r="AM223" i="2"/>
  <c r="AM224" i="2"/>
  <c r="AM225" i="2"/>
  <c r="AM227" i="2"/>
  <c r="AM228" i="2"/>
  <c r="AM229" i="2"/>
  <c r="AM231" i="2"/>
  <c r="AM232" i="2"/>
  <c r="AM233" i="2"/>
  <c r="AM235" i="2"/>
  <c r="AM236" i="2"/>
  <c r="AM239" i="2"/>
  <c r="AM241" i="2"/>
  <c r="AM242" i="2"/>
  <c r="AM245" i="2"/>
  <c r="AM246" i="2"/>
  <c r="AM247" i="2"/>
  <c r="AM248" i="2"/>
  <c r="AM250" i="2"/>
  <c r="AM251" i="2"/>
  <c r="AM252" i="2"/>
  <c r="AM254" i="2"/>
  <c r="AM255" i="2"/>
  <c r="AM258" i="2"/>
  <c r="AM260" i="2"/>
  <c r="AM261" i="2"/>
  <c r="AM264" i="2"/>
  <c r="AM265" i="2"/>
  <c r="AM266" i="2"/>
  <c r="AM267" i="2"/>
  <c r="AM269" i="2"/>
  <c r="AM272" i="2"/>
  <c r="AM274" i="2"/>
  <c r="AM276" i="2"/>
  <c r="AM277" i="2"/>
  <c r="AM279" i="2"/>
  <c r="AM281" i="2"/>
  <c r="AM284" i="2"/>
  <c r="AM285" i="2"/>
  <c r="AM286" i="2"/>
  <c r="AM287" i="2"/>
  <c r="AM289" i="2"/>
  <c r="AM291" i="2"/>
  <c r="AM292" i="2"/>
  <c r="AM293" i="2"/>
  <c r="AM295" i="2"/>
  <c r="AM296" i="2"/>
  <c r="AM298" i="2"/>
  <c r="AM299" i="2"/>
  <c r="AM302" i="2"/>
  <c r="AM303" i="2"/>
  <c r="AM304" i="2"/>
  <c r="AM305" i="2"/>
  <c r="AM306" i="2"/>
  <c r="AM308" i="2"/>
  <c r="AM309" i="2"/>
  <c r="AM310" i="2"/>
  <c r="AM311" i="2"/>
  <c r="AM312" i="2"/>
  <c r="AM313" i="2"/>
  <c r="AM314" i="2"/>
  <c r="AM315" i="2"/>
  <c r="AM318" i="2"/>
  <c r="AM319" i="2"/>
  <c r="AM320" i="2"/>
  <c r="AM322" i="2"/>
  <c r="AM324" i="2"/>
  <c r="AM325" i="2"/>
  <c r="AM327" i="2"/>
  <c r="AM329" i="2"/>
  <c r="AM330" i="2"/>
  <c r="AM331" i="2"/>
  <c r="AM333" i="2"/>
  <c r="AM335" i="2"/>
  <c r="AM336" i="2"/>
  <c r="AM337" i="2"/>
  <c r="AM339" i="2"/>
  <c r="AM340" i="2"/>
  <c r="AM341" i="2"/>
  <c r="AM342" i="2"/>
  <c r="AM343" i="2"/>
  <c r="AM344" i="2"/>
  <c r="AM345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47" i="2"/>
  <c r="AM48" i="2"/>
  <c r="AM49" i="2"/>
  <c r="AM51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18" i="2"/>
  <c r="Y6" i="2"/>
  <c r="Z6" i="2"/>
  <c r="Y7" i="2"/>
  <c r="Z7" i="2"/>
  <c r="Y8" i="2"/>
  <c r="Z8" i="2"/>
  <c r="Y9" i="2"/>
  <c r="Z9" i="2"/>
  <c r="Y10" i="2"/>
  <c r="Z10" i="2"/>
  <c r="Z5" i="2"/>
  <c r="Y5" i="2"/>
  <c r="X343" i="2" l="1"/>
  <c r="X344" i="2"/>
  <c r="X345" i="2"/>
  <c r="X346" i="2"/>
  <c r="X347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18" i="2"/>
  <c r="K271" i="2" l="1"/>
  <c r="L271" i="2"/>
  <c r="O271" i="2"/>
  <c r="P271" i="2"/>
  <c r="H271" i="2"/>
  <c r="X271" i="2"/>
  <c r="W271" i="2"/>
  <c r="V271" i="2"/>
  <c r="S271" i="2"/>
  <c r="S272" i="2"/>
  <c r="V272" i="2"/>
  <c r="W272" i="2"/>
  <c r="X272" i="2"/>
  <c r="K270" i="2"/>
  <c r="L270" i="2"/>
  <c r="O270" i="2"/>
  <c r="P270" i="2"/>
  <c r="H270" i="2"/>
  <c r="K253" i="2"/>
  <c r="N253" i="2"/>
  <c r="K234" i="2"/>
  <c r="N234" i="2"/>
  <c r="N211" i="2"/>
  <c r="H211" i="2"/>
  <c r="H370" i="2"/>
  <c r="H367" i="2"/>
  <c r="O307" i="2"/>
  <c r="P307" i="2"/>
  <c r="O305" i="2"/>
  <c r="P305" i="2"/>
  <c r="O306" i="2"/>
  <c r="P306" i="2"/>
  <c r="O308" i="2"/>
  <c r="P308" i="2"/>
  <c r="O309" i="2"/>
  <c r="P309" i="2"/>
  <c r="O310" i="2"/>
  <c r="P310" i="2"/>
  <c r="O311" i="2"/>
  <c r="P311" i="2"/>
  <c r="O312" i="2"/>
  <c r="P312" i="2"/>
  <c r="L283" i="2"/>
  <c r="M283" i="2"/>
  <c r="N283" i="2"/>
  <c r="O283" i="2"/>
  <c r="P283" i="2"/>
  <c r="L284" i="2"/>
  <c r="M284" i="2"/>
  <c r="N284" i="2"/>
  <c r="O284" i="2"/>
  <c r="P284" i="2"/>
  <c r="L285" i="2"/>
  <c r="M285" i="2"/>
  <c r="N285" i="2"/>
  <c r="O285" i="2"/>
  <c r="P285" i="2"/>
  <c r="L286" i="2"/>
  <c r="M286" i="2"/>
  <c r="N286" i="2"/>
  <c r="O286" i="2"/>
  <c r="P286" i="2"/>
  <c r="I268" i="2"/>
  <c r="I269" i="2"/>
  <c r="H269" i="2"/>
  <c r="H268" i="2"/>
  <c r="N367" i="2" l="1"/>
  <c r="Q367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A2948" i="6" l="1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3132" i="6"/>
  <c r="A3133" i="6"/>
  <c r="A3134" i="6"/>
  <c r="A3135" i="6"/>
  <c r="A3136" i="6"/>
  <c r="A3137" i="6"/>
  <c r="A3138" i="6"/>
  <c r="A3139" i="6"/>
  <c r="A3140" i="6"/>
  <c r="A3141" i="6"/>
  <c r="A3142" i="6"/>
  <c r="A3143" i="6"/>
  <c r="A3144" i="6"/>
  <c r="A3145" i="6"/>
  <c r="A3146" i="6"/>
  <c r="A3147" i="6"/>
  <c r="A3148" i="6"/>
  <c r="A3149" i="6"/>
  <c r="A3150" i="6"/>
  <c r="A3151" i="6"/>
  <c r="A3152" i="6"/>
  <c r="A3153" i="6"/>
  <c r="A3154" i="6"/>
  <c r="A3155" i="6"/>
  <c r="A3156" i="6"/>
  <c r="A3157" i="6"/>
  <c r="A3158" i="6"/>
  <c r="A3159" i="6"/>
  <c r="A3160" i="6"/>
  <c r="A3161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177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92" i="6"/>
  <c r="A3193" i="6"/>
  <c r="A3194" i="6"/>
  <c r="A3195" i="6"/>
  <c r="A3196" i="6"/>
  <c r="A3197" i="6"/>
  <c r="A3198" i="6"/>
  <c r="A3199" i="6"/>
  <c r="A3200" i="6"/>
  <c r="A3201" i="6"/>
  <c r="A3202" i="6"/>
  <c r="A3203" i="6"/>
  <c r="A3204" i="6"/>
  <c r="A3205" i="6"/>
  <c r="A3206" i="6"/>
  <c r="A3207" i="6"/>
  <c r="A3208" i="6"/>
  <c r="A3209" i="6"/>
  <c r="A3210" i="6"/>
  <c r="A3211" i="6"/>
  <c r="H327" i="2" s="1"/>
  <c r="A3212" i="6"/>
  <c r="A3213" i="6"/>
  <c r="A3214" i="6"/>
  <c r="A3215" i="6"/>
  <c r="A3216" i="6"/>
  <c r="A3217" i="6"/>
  <c r="A3218" i="6"/>
  <c r="A3219" i="6"/>
  <c r="A3220" i="6"/>
  <c r="A3221" i="6"/>
  <c r="A3222" i="6"/>
  <c r="A3223" i="6"/>
  <c r="A3224" i="6"/>
  <c r="A3225" i="6"/>
  <c r="A3226" i="6"/>
  <c r="A3227" i="6"/>
  <c r="A3228" i="6"/>
  <c r="A3229" i="6"/>
  <c r="A3230" i="6"/>
  <c r="A3231" i="6"/>
  <c r="A3232" i="6"/>
  <c r="A3233" i="6"/>
  <c r="A3234" i="6"/>
  <c r="A3235" i="6"/>
  <c r="A3236" i="6"/>
  <c r="A3237" i="6"/>
  <c r="A3238" i="6"/>
  <c r="A3239" i="6"/>
  <c r="A3240" i="6"/>
  <c r="A3241" i="6"/>
  <c r="A3242" i="6"/>
  <c r="A3243" i="6"/>
  <c r="A3244" i="6"/>
  <c r="A3245" i="6"/>
  <c r="A3246" i="6"/>
  <c r="A3247" i="6"/>
  <c r="A3248" i="6"/>
  <c r="A3249" i="6"/>
  <c r="A3250" i="6"/>
  <c r="A3251" i="6"/>
  <c r="A3252" i="6"/>
  <c r="A3253" i="6"/>
  <c r="A3254" i="6"/>
  <c r="A3255" i="6"/>
  <c r="A3256" i="6"/>
  <c r="A3257" i="6"/>
  <c r="A3258" i="6"/>
  <c r="A3259" i="6"/>
  <c r="A3260" i="6"/>
  <c r="A3261" i="6"/>
  <c r="A3262" i="6"/>
  <c r="A3263" i="6"/>
  <c r="A3264" i="6"/>
  <c r="A3265" i="6"/>
  <c r="A3266" i="6"/>
  <c r="A3267" i="6"/>
  <c r="A3268" i="6"/>
  <c r="A3269" i="6"/>
  <c r="A3270" i="6"/>
  <c r="A3271" i="6"/>
  <c r="A3272" i="6"/>
  <c r="A3273" i="6"/>
  <c r="A3274" i="6"/>
  <c r="A3275" i="6"/>
  <c r="A3276" i="6"/>
  <c r="A3277" i="6"/>
  <c r="A3278" i="6"/>
  <c r="A3279" i="6"/>
  <c r="A3280" i="6"/>
  <c r="A3281" i="6"/>
  <c r="A3282" i="6"/>
  <c r="A3283" i="6"/>
  <c r="A3284" i="6"/>
  <c r="A3285" i="6"/>
  <c r="A3286" i="6"/>
  <c r="A3287" i="6"/>
  <c r="A3288" i="6"/>
  <c r="A3289" i="6"/>
  <c r="A3290" i="6"/>
  <c r="A3291" i="6"/>
  <c r="A3292" i="6"/>
  <c r="A3293" i="6"/>
  <c r="A3294" i="6"/>
  <c r="A3295" i="6"/>
  <c r="A3296" i="6"/>
  <c r="A3297" i="6"/>
  <c r="A3298" i="6"/>
  <c r="A3299" i="6"/>
  <c r="A3300" i="6"/>
  <c r="A3301" i="6"/>
  <c r="A3302" i="6"/>
  <c r="A3303" i="6"/>
  <c r="A3304" i="6"/>
  <c r="A3305" i="6"/>
  <c r="A3306" i="6"/>
  <c r="A3307" i="6"/>
  <c r="A3308" i="6"/>
  <c r="A3309" i="6"/>
  <c r="A3310" i="6"/>
  <c r="A3311" i="6"/>
  <c r="A3312" i="6"/>
  <c r="A3313" i="6"/>
  <c r="A3314" i="6"/>
  <c r="A3315" i="6"/>
  <c r="A3316" i="6"/>
  <c r="A3317" i="6"/>
  <c r="A3318" i="6"/>
  <c r="A3319" i="6"/>
  <c r="A3320" i="6"/>
  <c r="A3321" i="6"/>
  <c r="A3322" i="6"/>
  <c r="A3323" i="6"/>
  <c r="A3324" i="6"/>
  <c r="A3325" i="6"/>
  <c r="A3326" i="6"/>
  <c r="A3327" i="6"/>
  <c r="A3328" i="6"/>
  <c r="A3329" i="6"/>
  <c r="A3330" i="6"/>
  <c r="A3331" i="6"/>
  <c r="A3332" i="6"/>
  <c r="A3333" i="6"/>
  <c r="A3334" i="6"/>
  <c r="A3335" i="6"/>
  <c r="A3336" i="6"/>
  <c r="A3337" i="6"/>
  <c r="A3338" i="6"/>
  <c r="A3339" i="6"/>
  <c r="A3340" i="6"/>
  <c r="A3341" i="6"/>
  <c r="A3342" i="6"/>
  <c r="A3343" i="6"/>
  <c r="A3344" i="6"/>
  <c r="A3345" i="6"/>
  <c r="A3346" i="6"/>
  <c r="A3347" i="6"/>
  <c r="A3348" i="6"/>
  <c r="A3349" i="6"/>
  <c r="A3350" i="6"/>
  <c r="A3351" i="6"/>
  <c r="A3352" i="6"/>
  <c r="A3353" i="6"/>
  <c r="A3354" i="6"/>
  <c r="A3355" i="6"/>
  <c r="A3356" i="6"/>
  <c r="A3357" i="6"/>
  <c r="A3358" i="6"/>
  <c r="A3359" i="6"/>
  <c r="A3360" i="6"/>
  <c r="A3361" i="6"/>
  <c r="A3362" i="6"/>
  <c r="A3363" i="6"/>
  <c r="A3364" i="6"/>
  <c r="A3365" i="6"/>
  <c r="A3366" i="6"/>
  <c r="A3367" i="6"/>
  <c r="A3368" i="6"/>
  <c r="A3369" i="6"/>
  <c r="A3370" i="6"/>
  <c r="A3371" i="6"/>
  <c r="A3372" i="6"/>
  <c r="A3373" i="6"/>
  <c r="A3374" i="6"/>
  <c r="A3375" i="6"/>
  <c r="A3376" i="6"/>
  <c r="A3377" i="6"/>
  <c r="A3378" i="6"/>
  <c r="A3379" i="6"/>
  <c r="A3380" i="6"/>
  <c r="A3381" i="6"/>
  <c r="A3382" i="6"/>
  <c r="A3383" i="6"/>
  <c r="A3384" i="6"/>
  <c r="A3385" i="6"/>
  <c r="A3386" i="6"/>
  <c r="A3387" i="6"/>
  <c r="A3388" i="6"/>
  <c r="A3389" i="6"/>
  <c r="A3390" i="6"/>
  <c r="A3391" i="6"/>
  <c r="A3392" i="6"/>
  <c r="A3393" i="6"/>
  <c r="A3394" i="6"/>
  <c r="A3395" i="6"/>
  <c r="A3396" i="6"/>
  <c r="A3397" i="6"/>
  <c r="A3398" i="6"/>
  <c r="A3399" i="6"/>
  <c r="A3400" i="6"/>
  <c r="A3401" i="6"/>
  <c r="A3402" i="6"/>
  <c r="A3403" i="6"/>
  <c r="A3404" i="6"/>
  <c r="A3405" i="6"/>
  <c r="A3406" i="6"/>
  <c r="A3407" i="6"/>
  <c r="A3408" i="6"/>
  <c r="A3409" i="6"/>
  <c r="A3410" i="6"/>
  <c r="A3411" i="6"/>
  <c r="A3412" i="6"/>
  <c r="A3413" i="6"/>
  <c r="A3414" i="6"/>
  <c r="A3415" i="6"/>
  <c r="A3416" i="6"/>
  <c r="A3417" i="6"/>
  <c r="A3418" i="6"/>
  <c r="A3419" i="6"/>
  <c r="A3420" i="6"/>
  <c r="A3421" i="6"/>
  <c r="A3422" i="6"/>
  <c r="A3423" i="6"/>
  <c r="A3424" i="6"/>
  <c r="A3425" i="6"/>
  <c r="A3426" i="6"/>
  <c r="A3427" i="6"/>
  <c r="A3428" i="6"/>
  <c r="A3429" i="6"/>
  <c r="A3430" i="6"/>
  <c r="A3431" i="6"/>
  <c r="A3432" i="6"/>
  <c r="A3433" i="6"/>
  <c r="A3434" i="6"/>
  <c r="A3435" i="6"/>
  <c r="A3436" i="6"/>
  <c r="A3437" i="6"/>
  <c r="A3438" i="6"/>
  <c r="A3439" i="6"/>
  <c r="A3440" i="6"/>
  <c r="A3441" i="6"/>
  <c r="A3442" i="6"/>
  <c r="A3443" i="6"/>
  <c r="A3444" i="6"/>
  <c r="A3445" i="6"/>
  <c r="A3446" i="6"/>
  <c r="A3447" i="6"/>
  <c r="A3448" i="6"/>
  <c r="A3449" i="6"/>
  <c r="A3450" i="6"/>
  <c r="A3451" i="6"/>
  <c r="A3452" i="6"/>
  <c r="A3453" i="6"/>
  <c r="A3454" i="6"/>
  <c r="A3455" i="6"/>
  <c r="A3456" i="6"/>
  <c r="A3457" i="6"/>
  <c r="A3458" i="6"/>
  <c r="A3459" i="6"/>
  <c r="A3460" i="6"/>
  <c r="A3461" i="6"/>
  <c r="A3462" i="6"/>
  <c r="A3463" i="6"/>
  <c r="A3464" i="6"/>
  <c r="A3465" i="6"/>
  <c r="A3466" i="6"/>
  <c r="A3467" i="6"/>
  <c r="A3468" i="6"/>
  <c r="A3469" i="6"/>
  <c r="A3470" i="6"/>
  <c r="A3471" i="6"/>
  <c r="A3472" i="6"/>
  <c r="A3473" i="6"/>
  <c r="A3474" i="6"/>
  <c r="A3475" i="6"/>
  <c r="A3476" i="6"/>
  <c r="A3477" i="6"/>
  <c r="A3478" i="6"/>
  <c r="A3479" i="6"/>
  <c r="A3480" i="6"/>
  <c r="A3481" i="6"/>
  <c r="A3482" i="6"/>
  <c r="A3483" i="6"/>
  <c r="A3484" i="6"/>
  <c r="A3485" i="6"/>
  <c r="A3486" i="6"/>
  <c r="A3487" i="6"/>
  <c r="A3488" i="6"/>
  <c r="A3489" i="6"/>
  <c r="A3490" i="6"/>
  <c r="A3491" i="6"/>
  <c r="A3492" i="6"/>
  <c r="A3493" i="6"/>
  <c r="A3494" i="6"/>
  <c r="A3495" i="6"/>
  <c r="A3496" i="6"/>
  <c r="A3497" i="6"/>
  <c r="A3498" i="6"/>
  <c r="A3499" i="6"/>
  <c r="A3500" i="6"/>
  <c r="A3501" i="6"/>
  <c r="A3502" i="6"/>
  <c r="A3503" i="6"/>
  <c r="A3504" i="6"/>
  <c r="A3505" i="6"/>
  <c r="A3506" i="6"/>
  <c r="A3507" i="6"/>
  <c r="A3508" i="6"/>
  <c r="A3509" i="6"/>
  <c r="A3510" i="6"/>
  <c r="A3511" i="6"/>
  <c r="A3512" i="6"/>
  <c r="A3513" i="6"/>
  <c r="A3514" i="6"/>
  <c r="A3515" i="6"/>
  <c r="A3516" i="6"/>
  <c r="A3517" i="6"/>
  <c r="A3518" i="6"/>
  <c r="A3519" i="6"/>
  <c r="A3520" i="6"/>
  <c r="A3521" i="6"/>
  <c r="A3522" i="6"/>
  <c r="A3523" i="6"/>
  <c r="A3524" i="6"/>
  <c r="A3525" i="6"/>
  <c r="A3526" i="6"/>
  <c r="A3527" i="6"/>
  <c r="A3528" i="6"/>
  <c r="A3529" i="6"/>
  <c r="A3530" i="6"/>
  <c r="A3531" i="6"/>
  <c r="A3532" i="6"/>
  <c r="A3533" i="6"/>
  <c r="A3534" i="6"/>
  <c r="A3535" i="6"/>
  <c r="A3536" i="6"/>
  <c r="A3537" i="6"/>
  <c r="A3538" i="6"/>
  <c r="A3539" i="6"/>
  <c r="A3540" i="6"/>
  <c r="A3541" i="6"/>
  <c r="A3542" i="6"/>
  <c r="A3543" i="6"/>
  <c r="A3544" i="6"/>
  <c r="A3545" i="6"/>
  <c r="A3546" i="6"/>
  <c r="A3547" i="6"/>
  <c r="A3548" i="6"/>
  <c r="A3549" i="6"/>
  <c r="A3550" i="6"/>
  <c r="A3551" i="6"/>
  <c r="A3552" i="6"/>
  <c r="A3553" i="6"/>
  <c r="A3554" i="6"/>
  <c r="A3555" i="6"/>
  <c r="A3556" i="6"/>
  <c r="A3557" i="6"/>
  <c r="A3558" i="6"/>
  <c r="A3559" i="6"/>
  <c r="A3560" i="6"/>
  <c r="A3561" i="6"/>
  <c r="A3562" i="6"/>
  <c r="A3563" i="6"/>
  <c r="A3564" i="6"/>
  <c r="A3565" i="6"/>
  <c r="A3566" i="6"/>
  <c r="A3567" i="6"/>
  <c r="A3568" i="6"/>
  <c r="A3569" i="6"/>
  <c r="A3570" i="6"/>
  <c r="A3571" i="6"/>
  <c r="A3572" i="6"/>
  <c r="A3573" i="6"/>
  <c r="A3574" i="6"/>
  <c r="A3575" i="6"/>
  <c r="A3576" i="6"/>
  <c r="A3577" i="6"/>
  <c r="A3578" i="6"/>
  <c r="A3579" i="6"/>
  <c r="A3580" i="6"/>
  <c r="A3581" i="6"/>
  <c r="A3582" i="6"/>
  <c r="A3583" i="6"/>
  <c r="A3584" i="6"/>
  <c r="A3585" i="6"/>
  <c r="A3586" i="6"/>
  <c r="A3587" i="6"/>
  <c r="A3588" i="6"/>
  <c r="A3589" i="6"/>
  <c r="A3590" i="6"/>
  <c r="A3591" i="6"/>
  <c r="A3592" i="6"/>
  <c r="A3593" i="6"/>
  <c r="A3594" i="6"/>
  <c r="A3595" i="6"/>
  <c r="A3596" i="6"/>
  <c r="A3597" i="6"/>
  <c r="A3598" i="6"/>
  <c r="A3599" i="6"/>
  <c r="A3600" i="6"/>
  <c r="A3601" i="6"/>
  <c r="A3602" i="6"/>
  <c r="A3603" i="6"/>
  <c r="A3604" i="6"/>
  <c r="A3605" i="6"/>
  <c r="A3606" i="6"/>
  <c r="A3607" i="6"/>
  <c r="A3608" i="6"/>
  <c r="A3609" i="6"/>
  <c r="A3610" i="6"/>
  <c r="A3611" i="6"/>
  <c r="A3612" i="6"/>
  <c r="A3613" i="6"/>
  <c r="A3614" i="6"/>
  <c r="A3615" i="6"/>
  <c r="A3616" i="6"/>
  <c r="A3617" i="6"/>
  <c r="A3618" i="6"/>
  <c r="A3619" i="6"/>
  <c r="A3620" i="6"/>
  <c r="A3621" i="6"/>
  <c r="A3622" i="6"/>
  <c r="A3623" i="6"/>
  <c r="A3624" i="6"/>
  <c r="A3625" i="6"/>
  <c r="A3626" i="6"/>
  <c r="A3627" i="6"/>
  <c r="A3628" i="6"/>
  <c r="A3629" i="6"/>
  <c r="A3630" i="6"/>
  <c r="A3631" i="6"/>
  <c r="A3632" i="6"/>
  <c r="A3633" i="6"/>
  <c r="A3634" i="6"/>
  <c r="A3635" i="6"/>
  <c r="A3636" i="6"/>
  <c r="A3637" i="6"/>
  <c r="A3638" i="6"/>
  <c r="A3639" i="6"/>
  <c r="A3640" i="6"/>
  <c r="A3641" i="6"/>
  <c r="A3642" i="6"/>
  <c r="A3643" i="6"/>
  <c r="A3644" i="6"/>
  <c r="A3645" i="6"/>
  <c r="A3646" i="6"/>
  <c r="A3647" i="6"/>
  <c r="A3648" i="6"/>
  <c r="A3649" i="6"/>
  <c r="A3650" i="6"/>
  <c r="A3651" i="6"/>
  <c r="A3652" i="6"/>
  <c r="A3653" i="6"/>
  <c r="A3654" i="6"/>
  <c r="A3655" i="6"/>
  <c r="A3656" i="6"/>
  <c r="A3657" i="6"/>
  <c r="A3658" i="6"/>
  <c r="A3659" i="6"/>
  <c r="A3660" i="6"/>
  <c r="A3661" i="6"/>
  <c r="A3662" i="6"/>
  <c r="A3663" i="6"/>
  <c r="A3664" i="6"/>
  <c r="A3665" i="6"/>
  <c r="A3666" i="6"/>
  <c r="A3667" i="6"/>
  <c r="A3668" i="6"/>
  <c r="A3669" i="6"/>
  <c r="A3670" i="6"/>
  <c r="A3671" i="6"/>
  <c r="A3672" i="6"/>
  <c r="A3673" i="6"/>
  <c r="A3674" i="6"/>
  <c r="A3675" i="6"/>
  <c r="A3676" i="6"/>
  <c r="A3677" i="6"/>
  <c r="A3678" i="6"/>
  <c r="A3679" i="6"/>
  <c r="A3680" i="6"/>
  <c r="A3681" i="6"/>
  <c r="A3682" i="6"/>
  <c r="A3683" i="6"/>
  <c r="A3684" i="6"/>
  <c r="A3685" i="6"/>
  <c r="A3686" i="6"/>
  <c r="A3687" i="6"/>
  <c r="A3688" i="6"/>
  <c r="A3689" i="6"/>
  <c r="A3690" i="6"/>
  <c r="A3691" i="6"/>
  <c r="A3692" i="6"/>
  <c r="A3693" i="6"/>
  <c r="A3694" i="6"/>
  <c r="A3695" i="6"/>
  <c r="A3696" i="6"/>
  <c r="A3697" i="6"/>
  <c r="A3698" i="6"/>
  <c r="A3699" i="6"/>
  <c r="A3700" i="6"/>
  <c r="A3701" i="6"/>
  <c r="A3702" i="6"/>
  <c r="A3703" i="6"/>
  <c r="A3704" i="6"/>
  <c r="A3705" i="6"/>
  <c r="A3706" i="6"/>
  <c r="A3707" i="6"/>
  <c r="A3708" i="6"/>
  <c r="A3709" i="6"/>
  <c r="A3710" i="6"/>
  <c r="A3711" i="6"/>
  <c r="A3712" i="6"/>
  <c r="A3713" i="6"/>
  <c r="A3714" i="6"/>
  <c r="A3715" i="6"/>
  <c r="A3716" i="6"/>
  <c r="A3717" i="6"/>
  <c r="A3718" i="6"/>
  <c r="A3719" i="6"/>
  <c r="A3720" i="6"/>
  <c r="A3721" i="6"/>
  <c r="A3722" i="6"/>
  <c r="A3723" i="6"/>
  <c r="A3724" i="6"/>
  <c r="A3725" i="6"/>
  <c r="A3726" i="6"/>
  <c r="A3727" i="6"/>
  <c r="A3728" i="6"/>
  <c r="A3729" i="6"/>
  <c r="A3730" i="6"/>
  <c r="A3731" i="6"/>
  <c r="A3732" i="6"/>
  <c r="A3733" i="6"/>
  <c r="A3734" i="6"/>
  <c r="A3735" i="6"/>
  <c r="A3736" i="6"/>
  <c r="A3737" i="6"/>
  <c r="A3738" i="6"/>
  <c r="A3739" i="6"/>
  <c r="A3740" i="6"/>
  <c r="A3741" i="6"/>
  <c r="A3742" i="6"/>
  <c r="A3743" i="6"/>
  <c r="A3744" i="6"/>
  <c r="A3745" i="6"/>
  <c r="A3746" i="6"/>
  <c r="A3747" i="6"/>
  <c r="A3748" i="6"/>
  <c r="A3749" i="6"/>
  <c r="A3750" i="6"/>
  <c r="A3751" i="6"/>
  <c r="A3752" i="6"/>
  <c r="A3753" i="6"/>
  <c r="A3754" i="6"/>
  <c r="A3755" i="6"/>
  <c r="A3756" i="6"/>
  <c r="A3757" i="6"/>
  <c r="A3758" i="6"/>
  <c r="A3759" i="6"/>
  <c r="A3760" i="6"/>
  <c r="A3761" i="6"/>
  <c r="A3762" i="6"/>
  <c r="A3763" i="6"/>
  <c r="A3764" i="6"/>
  <c r="A3765" i="6"/>
  <c r="A3766" i="6"/>
  <c r="A3767" i="6"/>
  <c r="A3768" i="6"/>
  <c r="A3769" i="6"/>
  <c r="A3770" i="6"/>
  <c r="A3771" i="6"/>
  <c r="A3772" i="6"/>
  <c r="A3773" i="6"/>
  <c r="A3774" i="6"/>
  <c r="A3775" i="6"/>
  <c r="A3776" i="6"/>
  <c r="A3777" i="6"/>
  <c r="A3778" i="6"/>
  <c r="A3779" i="6"/>
  <c r="A3780" i="6"/>
  <c r="A3781" i="6"/>
  <c r="A3782" i="6"/>
  <c r="A3783" i="6"/>
  <c r="A3784" i="6"/>
  <c r="A3785" i="6"/>
  <c r="A3786" i="6"/>
  <c r="A3787" i="6"/>
  <c r="A3788" i="6"/>
  <c r="A3789" i="6"/>
  <c r="A3790" i="6"/>
  <c r="A3791" i="6"/>
  <c r="A3792" i="6"/>
  <c r="A3793" i="6"/>
  <c r="A3794" i="6"/>
  <c r="A3795" i="6"/>
  <c r="A3796" i="6"/>
  <c r="A3797" i="6"/>
  <c r="A3798" i="6"/>
  <c r="A3799" i="6"/>
  <c r="A3800" i="6"/>
  <c r="A3801" i="6"/>
  <c r="A3802" i="6"/>
  <c r="A3803" i="6"/>
  <c r="A3804" i="6"/>
  <c r="A3805" i="6"/>
  <c r="A3806" i="6"/>
  <c r="A3807" i="6"/>
  <c r="A3808" i="6"/>
  <c r="A3809" i="6"/>
  <c r="A3810" i="6"/>
  <c r="A3811" i="6"/>
  <c r="A3812" i="6"/>
  <c r="A3813" i="6"/>
  <c r="A3814" i="6"/>
  <c r="A3815" i="6"/>
  <c r="A3816" i="6"/>
  <c r="A3817" i="6"/>
  <c r="A3818" i="6"/>
  <c r="A3819" i="6"/>
  <c r="A3820" i="6"/>
  <c r="A3821" i="6"/>
  <c r="A3822" i="6"/>
  <c r="A3823" i="6"/>
  <c r="A3824" i="6"/>
  <c r="A3825" i="6"/>
  <c r="A3826" i="6"/>
  <c r="A3827" i="6"/>
  <c r="A3828" i="6"/>
  <c r="A3829" i="6"/>
  <c r="A3830" i="6"/>
  <c r="A3831" i="6"/>
  <c r="A3832" i="6"/>
  <c r="A3833" i="6"/>
  <c r="A3834" i="6"/>
  <c r="A3835" i="6"/>
  <c r="A3836" i="6"/>
  <c r="A3837" i="6"/>
  <c r="A3838" i="6"/>
  <c r="A3839" i="6"/>
  <c r="A3840" i="6"/>
  <c r="A3841" i="6"/>
  <c r="A3842" i="6"/>
  <c r="A3843" i="6"/>
  <c r="A3844" i="6"/>
  <c r="A3845" i="6"/>
  <c r="A3846" i="6"/>
  <c r="A3847" i="6"/>
  <c r="A3848" i="6"/>
  <c r="A3849" i="6"/>
  <c r="A3850" i="6"/>
  <c r="A3851" i="6"/>
  <c r="A3852" i="6"/>
  <c r="A3853" i="6"/>
  <c r="A3854" i="6"/>
  <c r="A3855" i="6"/>
  <c r="A3856" i="6"/>
  <c r="A3857" i="6"/>
  <c r="A3858" i="6"/>
  <c r="A3859" i="6"/>
  <c r="A3860" i="6"/>
  <c r="A3861" i="6"/>
  <c r="A3862" i="6"/>
  <c r="A3863" i="6"/>
  <c r="A3864" i="6"/>
  <c r="A3865" i="6"/>
  <c r="A3866" i="6"/>
  <c r="A3867" i="6"/>
  <c r="A3868" i="6"/>
  <c r="A3869" i="6"/>
  <c r="A3870" i="6"/>
  <c r="A3871" i="6"/>
  <c r="A3872" i="6"/>
  <c r="A3873" i="6"/>
  <c r="A3874" i="6"/>
  <c r="A3875" i="6"/>
  <c r="A3876" i="6"/>
  <c r="A3877" i="6"/>
  <c r="A3878" i="6"/>
  <c r="A3879" i="6"/>
  <c r="A3880" i="6"/>
  <c r="A3881" i="6"/>
  <c r="A3882" i="6"/>
  <c r="A3883" i="6"/>
  <c r="A3884" i="6"/>
  <c r="A3885" i="6"/>
  <c r="A3886" i="6"/>
  <c r="A3887" i="6"/>
  <c r="A3888" i="6"/>
  <c r="A3889" i="6"/>
  <c r="A3890" i="6"/>
  <c r="A3891" i="6"/>
  <c r="A3892" i="6"/>
  <c r="A3893" i="6"/>
  <c r="A3894" i="6"/>
  <c r="A3895" i="6"/>
  <c r="A3896" i="6"/>
  <c r="A3897" i="6"/>
  <c r="A3898" i="6"/>
  <c r="A3899" i="6"/>
  <c r="A3900" i="6"/>
  <c r="A3901" i="6"/>
  <c r="A3902" i="6"/>
  <c r="A3903" i="6"/>
  <c r="A3904" i="6"/>
  <c r="A3905" i="6"/>
  <c r="A3906" i="6"/>
  <c r="A3907" i="6"/>
  <c r="A3908" i="6"/>
  <c r="A3909" i="6"/>
  <c r="A3910" i="6"/>
  <c r="A3911" i="6"/>
  <c r="A3912" i="6"/>
  <c r="A3913" i="6"/>
  <c r="A3914" i="6"/>
  <c r="A3915" i="6"/>
  <c r="A3916" i="6"/>
  <c r="A3917" i="6"/>
  <c r="A3918" i="6"/>
  <c r="A3919" i="6"/>
  <c r="A3920" i="6"/>
  <c r="A3921" i="6"/>
  <c r="A3922" i="6"/>
  <c r="A3923" i="6"/>
  <c r="A3924" i="6"/>
  <c r="A3925" i="6"/>
  <c r="A3926" i="6"/>
  <c r="A3927" i="6"/>
  <c r="A3928" i="6"/>
  <c r="A3929" i="6"/>
  <c r="A3930" i="6"/>
  <c r="A3931" i="6"/>
  <c r="A3932" i="6"/>
  <c r="A3933" i="6"/>
  <c r="A3934" i="6"/>
  <c r="A3935" i="6"/>
  <c r="A3936" i="6"/>
  <c r="A3937" i="6"/>
  <c r="A3938" i="6"/>
  <c r="A3939" i="6"/>
  <c r="A3940" i="6"/>
  <c r="A3941" i="6"/>
  <c r="A3942" i="6"/>
  <c r="A3943" i="6"/>
  <c r="A3944" i="6"/>
  <c r="A3945" i="6"/>
  <c r="A3946" i="6"/>
  <c r="A3947" i="6"/>
  <c r="A3948" i="6"/>
  <c r="A3949" i="6"/>
  <c r="A3950" i="6"/>
  <c r="A3951" i="6"/>
  <c r="A3952" i="6"/>
  <c r="A3953" i="6"/>
  <c r="A3954" i="6"/>
  <c r="A3955" i="6"/>
  <c r="A3956" i="6"/>
  <c r="A3957" i="6"/>
  <c r="A3958" i="6"/>
  <c r="A3959" i="6"/>
  <c r="A3960" i="6"/>
  <c r="A3961" i="6"/>
  <c r="A3962" i="6"/>
  <c r="A3963" i="6"/>
  <c r="A3964" i="6"/>
  <c r="A3965" i="6"/>
  <c r="A3966" i="6"/>
  <c r="A3967" i="6"/>
  <c r="A3968" i="6"/>
  <c r="A3969" i="6"/>
  <c r="A3970" i="6"/>
  <c r="A3971" i="6"/>
  <c r="A3972" i="6"/>
  <c r="A3973" i="6"/>
  <c r="A3974" i="6"/>
  <c r="A3975" i="6"/>
  <c r="A3976" i="6"/>
  <c r="A3977" i="6"/>
  <c r="A3978" i="6"/>
  <c r="H46" i="2" s="1"/>
  <c r="A3979" i="6"/>
  <c r="A3980" i="6"/>
  <c r="A3981" i="6"/>
  <c r="A3982" i="6"/>
  <c r="A3983" i="6"/>
  <c r="A3984" i="6"/>
  <c r="A3985" i="6"/>
  <c r="A3986" i="6"/>
  <c r="A3987" i="6"/>
  <c r="A3988" i="6"/>
  <c r="A3989" i="6"/>
  <c r="A3990" i="6"/>
  <c r="A3991" i="6"/>
  <c r="A3992" i="6"/>
  <c r="A3993" i="6"/>
  <c r="A3994" i="6"/>
  <c r="A3995" i="6"/>
  <c r="A3996" i="6"/>
  <c r="A3997" i="6"/>
  <c r="A3998" i="6"/>
  <c r="A3999" i="6"/>
  <c r="A4000" i="6"/>
  <c r="A4001" i="6"/>
  <c r="A4002" i="6"/>
  <c r="A4003" i="6"/>
  <c r="A4004" i="6"/>
  <c r="A4005" i="6"/>
  <c r="A4006" i="6"/>
  <c r="A4007" i="6"/>
  <c r="A4008" i="6"/>
  <c r="A4009" i="6"/>
  <c r="A4010" i="6"/>
  <c r="A4011" i="6"/>
  <c r="A4012" i="6"/>
  <c r="A4013" i="6"/>
  <c r="A4014" i="6"/>
  <c r="A4015" i="6"/>
  <c r="A4016" i="6"/>
  <c r="A4017" i="6"/>
  <c r="A4018" i="6"/>
  <c r="A4019" i="6"/>
  <c r="A4020" i="6"/>
  <c r="A4021" i="6"/>
  <c r="A4022" i="6"/>
  <c r="A4023" i="6"/>
  <c r="A4024" i="6"/>
  <c r="A4025" i="6"/>
  <c r="A4026" i="6"/>
  <c r="A4027" i="6"/>
  <c r="A4028" i="6"/>
  <c r="A4029" i="6"/>
  <c r="A4030" i="6"/>
  <c r="A4031" i="6"/>
  <c r="A4032" i="6"/>
  <c r="A4033" i="6"/>
  <c r="A4034" i="6"/>
  <c r="M49" i="2" s="1"/>
  <c r="A4035" i="6"/>
  <c r="A4036" i="6"/>
  <c r="A4037" i="6"/>
  <c r="A4038" i="6"/>
  <c r="A4039" i="6"/>
  <c r="A4040" i="6"/>
  <c r="A4041" i="6"/>
  <c r="A4042" i="6"/>
  <c r="A4043" i="6"/>
  <c r="A4044" i="6"/>
  <c r="A4045" i="6"/>
  <c r="A4046" i="6"/>
  <c r="A4047" i="6"/>
  <c r="A4048" i="6"/>
  <c r="A4049" i="6"/>
  <c r="A4050" i="6"/>
  <c r="A4051" i="6"/>
  <c r="A4052" i="6"/>
  <c r="A4053" i="6"/>
  <c r="A4054" i="6"/>
  <c r="A4055" i="6"/>
  <c r="A4056" i="6"/>
  <c r="A4057" i="6"/>
  <c r="A4058" i="6"/>
  <c r="N46" i="2" s="1"/>
  <c r="A4059" i="6"/>
  <c r="O46" i="2" s="1"/>
  <c r="A4060" i="6"/>
  <c r="A4061" i="6"/>
  <c r="A4062" i="6"/>
  <c r="A4063" i="6"/>
  <c r="A4064" i="6"/>
  <c r="A4065" i="6"/>
  <c r="A4066" i="6"/>
  <c r="L46" i="2" s="1"/>
  <c r="A4067" i="6"/>
  <c r="M46" i="2" s="1"/>
  <c r="A4068" i="6"/>
  <c r="A4069" i="6"/>
  <c r="A4070" i="6"/>
  <c r="A4071" i="6"/>
  <c r="A4072" i="6"/>
  <c r="A4073" i="6"/>
  <c r="A4074" i="6"/>
  <c r="A4075" i="6"/>
  <c r="A4076" i="6"/>
  <c r="A4077" i="6"/>
  <c r="A4078" i="6"/>
  <c r="A4079" i="6"/>
  <c r="A4080" i="6"/>
  <c r="A4081" i="6"/>
  <c r="A4082" i="6"/>
  <c r="A4083" i="6"/>
  <c r="A4084" i="6"/>
  <c r="A4085" i="6"/>
  <c r="A4086" i="6"/>
  <c r="A4087" i="6"/>
  <c r="A4088" i="6"/>
  <c r="A4089" i="6"/>
  <c r="A4090" i="6"/>
  <c r="A4091" i="6"/>
  <c r="A4092" i="6"/>
  <c r="A4093" i="6"/>
  <c r="A4094" i="6"/>
  <c r="A4095" i="6"/>
  <c r="A4096" i="6"/>
  <c r="A4097" i="6"/>
  <c r="A4098" i="6"/>
  <c r="A4099" i="6"/>
  <c r="A4100" i="6"/>
  <c r="A4101" i="6"/>
  <c r="A4102" i="6"/>
  <c r="A4103" i="6"/>
  <c r="A4104" i="6"/>
  <c r="A4105" i="6"/>
  <c r="A4106" i="6"/>
  <c r="A4107" i="6"/>
  <c r="A4108" i="6"/>
  <c r="A4109" i="6"/>
  <c r="A4110" i="6"/>
  <c r="A4111" i="6"/>
  <c r="A4112" i="6"/>
  <c r="A4113" i="6"/>
  <c r="A4114" i="6"/>
  <c r="A4115" i="6"/>
  <c r="A4116" i="6"/>
  <c r="A4117" i="6"/>
  <c r="A4118" i="6"/>
  <c r="A4119" i="6"/>
  <c r="A4120" i="6"/>
  <c r="A4121" i="6"/>
  <c r="A4122" i="6"/>
  <c r="A4123" i="6"/>
  <c r="A4124" i="6"/>
  <c r="A4125" i="6"/>
  <c r="A4126" i="6"/>
  <c r="A4127" i="6"/>
  <c r="A4128" i="6"/>
  <c r="A4129" i="6"/>
  <c r="A4130" i="6"/>
  <c r="A4131" i="6"/>
  <c r="A4132" i="6"/>
  <c r="A4133" i="6"/>
  <c r="A4134" i="6"/>
  <c r="A4135" i="6"/>
  <c r="A4136" i="6"/>
  <c r="A4137" i="6"/>
  <c r="A4138" i="6"/>
  <c r="A4139" i="6"/>
  <c r="A4140" i="6"/>
  <c r="A4141" i="6"/>
  <c r="A4142" i="6"/>
  <c r="A4143" i="6"/>
  <c r="A4144" i="6"/>
  <c r="A4145" i="6"/>
  <c r="A4146" i="6"/>
  <c r="A4147" i="6"/>
  <c r="A4148" i="6"/>
  <c r="A4149" i="6"/>
  <c r="A4150" i="6"/>
  <c r="A4151" i="6"/>
  <c r="A4152" i="6"/>
  <c r="A4153" i="6"/>
  <c r="A4154" i="6"/>
  <c r="A4155" i="6"/>
  <c r="A4156" i="6"/>
  <c r="A4157" i="6"/>
  <c r="A4158" i="6"/>
  <c r="A4159" i="6"/>
  <c r="A4160" i="6"/>
  <c r="A4161" i="6"/>
  <c r="A4162" i="6"/>
  <c r="A4163" i="6"/>
  <c r="A4164" i="6"/>
  <c r="A4165" i="6"/>
  <c r="A4166" i="6"/>
  <c r="A4167" i="6"/>
  <c r="A4168" i="6"/>
  <c r="A4169" i="6"/>
  <c r="A4170" i="6"/>
  <c r="A4171" i="6"/>
  <c r="A4172" i="6"/>
  <c r="A4173" i="6"/>
  <c r="A4174" i="6"/>
  <c r="A4175" i="6"/>
  <c r="A4176" i="6"/>
  <c r="A4177" i="6"/>
  <c r="A4178" i="6"/>
  <c r="A4179" i="6"/>
  <c r="A4180" i="6"/>
  <c r="A4181" i="6"/>
  <c r="A4182" i="6"/>
  <c r="A4183" i="6"/>
  <c r="A4184" i="6"/>
  <c r="A4185" i="6"/>
  <c r="A4186" i="6"/>
  <c r="A4187" i="6"/>
  <c r="A4188" i="6"/>
  <c r="A4189" i="6"/>
  <c r="A4190" i="6"/>
  <c r="A4191" i="6"/>
  <c r="A4192" i="6"/>
  <c r="A4193" i="6"/>
  <c r="A4194" i="6"/>
  <c r="A4195" i="6"/>
  <c r="A4196" i="6"/>
  <c r="A4197" i="6"/>
  <c r="A4198" i="6"/>
  <c r="A4199" i="6"/>
  <c r="A4200" i="6"/>
  <c r="A4201" i="6"/>
  <c r="A4202" i="6"/>
  <c r="A4203" i="6"/>
  <c r="A4204" i="6"/>
  <c r="A4205" i="6"/>
  <c r="A4206" i="6"/>
  <c r="A4207" i="6"/>
  <c r="A4208" i="6"/>
  <c r="A4209" i="6"/>
  <c r="A4210" i="6"/>
  <c r="A4211" i="6"/>
  <c r="A4212" i="6"/>
  <c r="A4213" i="6"/>
  <c r="A4214" i="6"/>
  <c r="A4215" i="6"/>
  <c r="A4216" i="6"/>
  <c r="A4217" i="6"/>
  <c r="A4218" i="6"/>
  <c r="A4219" i="6"/>
  <c r="A4220" i="6"/>
  <c r="A4221" i="6"/>
  <c r="A4222" i="6"/>
  <c r="A4223" i="6"/>
  <c r="A4224" i="6"/>
  <c r="A4225" i="6"/>
  <c r="A4226" i="6"/>
  <c r="A4227" i="6"/>
  <c r="A4228" i="6"/>
  <c r="A4229" i="6"/>
  <c r="A4230" i="6"/>
  <c r="A4231" i="6"/>
  <c r="A4232" i="6"/>
  <c r="A4233" i="6"/>
  <c r="A4234" i="6"/>
  <c r="A4235" i="6"/>
  <c r="A4236" i="6"/>
  <c r="A4237" i="6"/>
  <c r="A4238" i="6"/>
  <c r="A4239" i="6"/>
  <c r="A4240" i="6"/>
  <c r="A4241" i="6"/>
  <c r="A4242" i="6"/>
  <c r="A4243" i="6"/>
  <c r="A4244" i="6"/>
  <c r="A4245" i="6"/>
  <c r="A4246" i="6"/>
  <c r="A4247" i="6"/>
  <c r="A4248" i="6"/>
  <c r="A4249" i="6"/>
  <c r="A4250" i="6"/>
  <c r="A4251" i="6"/>
  <c r="A4252" i="6"/>
  <c r="A4253" i="6"/>
  <c r="A4254" i="6"/>
  <c r="A4255" i="6"/>
  <c r="A4256" i="6"/>
  <c r="A4257" i="6"/>
  <c r="A4258" i="6"/>
  <c r="A4259" i="6"/>
  <c r="A4260" i="6"/>
  <c r="A4261" i="6"/>
  <c r="A4262" i="6"/>
  <c r="A4263" i="6"/>
  <c r="A4264" i="6"/>
  <c r="A4265" i="6"/>
  <c r="A4266" i="6"/>
  <c r="A4267" i="6"/>
  <c r="A4268" i="6"/>
  <c r="A4269" i="6"/>
  <c r="A4270" i="6"/>
  <c r="A4271" i="6"/>
  <c r="A4272" i="6"/>
  <c r="A4273" i="6"/>
  <c r="A4274" i="6"/>
  <c r="A4275" i="6"/>
  <c r="A4276" i="6"/>
  <c r="A4277" i="6"/>
  <c r="A4278" i="6"/>
  <c r="A4279" i="6"/>
  <c r="A4280" i="6"/>
  <c r="A4281" i="6"/>
  <c r="A4282" i="6"/>
  <c r="A4283" i="6"/>
  <c r="A4284" i="6"/>
  <c r="A4285" i="6"/>
  <c r="A4286" i="6"/>
  <c r="A4287" i="6"/>
  <c r="A4288" i="6"/>
  <c r="A4289" i="6"/>
  <c r="A4290" i="6"/>
  <c r="A4291" i="6"/>
  <c r="A4292" i="6"/>
  <c r="A4293" i="6"/>
  <c r="A4294" i="6"/>
  <c r="A4295" i="6"/>
  <c r="A4296" i="6"/>
  <c r="A4297" i="6"/>
  <c r="A4298" i="6"/>
  <c r="A4299" i="6"/>
  <c r="A4300" i="6"/>
  <c r="A4301" i="6"/>
  <c r="A4302" i="6"/>
  <c r="A4303" i="6"/>
  <c r="A4304" i="6"/>
  <c r="A4305" i="6"/>
  <c r="A4306" i="6"/>
  <c r="A4307" i="6"/>
  <c r="A4308" i="6"/>
  <c r="A4309" i="6"/>
  <c r="A4310" i="6"/>
  <c r="A4311" i="6"/>
  <c r="A4312" i="6"/>
  <c r="A4313" i="6"/>
  <c r="A4314" i="6"/>
  <c r="A4315" i="6"/>
  <c r="A4316" i="6"/>
  <c r="A4317" i="6"/>
  <c r="A4318" i="6"/>
  <c r="A4319" i="6"/>
  <c r="A4320" i="6"/>
  <c r="A4321" i="6"/>
  <c r="A4322" i="6"/>
  <c r="A4323" i="6"/>
  <c r="A4324" i="6"/>
  <c r="A4325" i="6"/>
  <c r="A4326" i="6"/>
  <c r="A4327" i="6"/>
  <c r="A4328" i="6"/>
  <c r="A4329" i="6"/>
  <c r="A4330" i="6"/>
  <c r="A4331" i="6"/>
  <c r="A4332" i="6"/>
  <c r="A4333" i="6"/>
  <c r="A4334" i="6"/>
  <c r="A4335" i="6"/>
  <c r="A4336" i="6"/>
  <c r="A4337" i="6"/>
  <c r="A4338" i="6"/>
  <c r="A4339" i="6"/>
  <c r="A4340" i="6"/>
  <c r="A4341" i="6"/>
  <c r="A4342" i="6"/>
  <c r="A4343" i="6"/>
  <c r="A4344" i="6"/>
  <c r="A4345" i="6"/>
  <c r="A4346" i="6"/>
  <c r="A4347" i="6"/>
  <c r="A4348" i="6"/>
  <c r="A4349" i="6"/>
  <c r="A4350" i="6"/>
  <c r="A4351" i="6"/>
  <c r="A4352" i="6"/>
  <c r="A4353" i="6"/>
  <c r="A4354" i="6"/>
  <c r="A4355" i="6"/>
  <c r="A4356" i="6"/>
  <c r="A4357" i="6"/>
  <c r="A4358" i="6"/>
  <c r="A4359" i="6"/>
  <c r="A4360" i="6"/>
  <c r="A4361" i="6"/>
  <c r="A4362" i="6"/>
  <c r="A4363" i="6"/>
  <c r="A4364" i="6"/>
  <c r="A4365" i="6"/>
  <c r="A4366" i="6"/>
  <c r="A4367" i="6"/>
  <c r="A4368" i="6"/>
  <c r="A4369" i="6"/>
  <c r="A4370" i="6"/>
  <c r="A4371" i="6"/>
  <c r="A4372" i="6"/>
  <c r="A4373" i="6"/>
  <c r="A4374" i="6"/>
  <c r="A4375" i="6"/>
  <c r="A4376" i="6"/>
  <c r="A4377" i="6"/>
  <c r="A4378" i="6"/>
  <c r="A4379" i="6"/>
  <c r="A4380" i="6"/>
  <c r="A4381" i="6"/>
  <c r="A4382" i="6"/>
  <c r="A4383" i="6"/>
  <c r="A4384" i="6"/>
  <c r="A4385" i="6"/>
  <c r="A4386" i="6"/>
  <c r="A4387" i="6"/>
  <c r="A4388" i="6"/>
  <c r="A4389" i="6"/>
  <c r="A4390" i="6"/>
  <c r="A4391" i="6"/>
  <c r="A4392" i="6"/>
  <c r="A4393" i="6"/>
  <c r="A4394" i="6"/>
  <c r="A4395" i="6"/>
  <c r="A4396" i="6"/>
  <c r="A4397" i="6"/>
  <c r="A4398" i="6"/>
  <c r="A4399" i="6"/>
  <c r="A4400" i="6"/>
  <c r="A4401" i="6"/>
  <c r="A4402" i="6"/>
  <c r="A4403" i="6"/>
  <c r="A4404" i="6"/>
  <c r="A4405" i="6"/>
  <c r="A4406" i="6"/>
  <c r="A4407" i="6"/>
  <c r="A4408" i="6"/>
  <c r="A4409" i="6"/>
  <c r="A4410" i="6"/>
  <c r="A4411" i="6"/>
  <c r="A4412" i="6"/>
  <c r="A4413" i="6"/>
  <c r="A4414" i="6"/>
  <c r="A4415" i="6"/>
  <c r="A4416" i="6"/>
  <c r="A4417" i="6"/>
  <c r="A4418" i="6"/>
  <c r="A4419" i="6"/>
  <c r="A4420" i="6"/>
  <c r="A4421" i="6"/>
  <c r="A4422" i="6"/>
  <c r="A4423" i="6"/>
  <c r="A4424" i="6"/>
  <c r="A4425" i="6"/>
  <c r="A4426" i="6"/>
  <c r="A4427" i="6"/>
  <c r="A4428" i="6"/>
  <c r="A4429" i="6"/>
  <c r="A4430" i="6"/>
  <c r="A4431" i="6"/>
  <c r="A4432" i="6"/>
  <c r="A4433" i="6"/>
  <c r="A4434" i="6"/>
  <c r="A4435" i="6"/>
  <c r="A4436" i="6"/>
  <c r="A4437" i="6"/>
  <c r="A4438" i="6"/>
  <c r="A4439" i="6"/>
  <c r="A4440" i="6"/>
  <c r="A4441" i="6"/>
  <c r="A4442" i="6"/>
  <c r="A4443" i="6"/>
  <c r="A4444" i="6"/>
  <c r="A4445" i="6"/>
  <c r="A4446" i="6"/>
  <c r="A4447" i="6"/>
  <c r="A4448" i="6"/>
  <c r="A4449" i="6"/>
  <c r="A4450" i="6"/>
  <c r="A4451" i="6"/>
  <c r="A4452" i="6"/>
  <c r="A4453" i="6"/>
  <c r="A4454" i="6"/>
  <c r="A4455" i="6"/>
  <c r="A4456" i="6"/>
  <c r="A4457" i="6"/>
  <c r="A4458" i="6"/>
  <c r="A4459" i="6"/>
  <c r="A4460" i="6"/>
  <c r="A4461" i="6"/>
  <c r="A4462" i="6"/>
  <c r="A4463" i="6"/>
  <c r="A4464" i="6"/>
  <c r="A4465" i="6"/>
  <c r="A4466" i="6"/>
  <c r="A4467" i="6"/>
  <c r="A4468" i="6"/>
  <c r="A4469" i="6"/>
  <c r="A4470" i="6"/>
  <c r="A4471" i="6"/>
  <c r="A4472" i="6"/>
  <c r="A4473" i="6"/>
  <c r="A4474" i="6"/>
  <c r="A4475" i="6"/>
  <c r="A4476" i="6"/>
  <c r="A4477" i="6"/>
  <c r="A4478" i="6"/>
  <c r="A4479" i="6"/>
  <c r="A4480" i="6"/>
  <c r="A4481" i="6"/>
  <c r="A4482" i="6"/>
  <c r="A4483" i="6"/>
  <c r="A4484" i="6"/>
  <c r="A4485" i="6"/>
  <c r="A4486" i="6"/>
  <c r="A4487" i="6"/>
  <c r="A4488" i="6"/>
  <c r="A4489" i="6"/>
  <c r="A4490" i="6"/>
  <c r="A4491" i="6"/>
  <c r="A4492" i="6"/>
  <c r="A4493" i="6"/>
  <c r="A4494" i="6"/>
  <c r="A4495" i="6"/>
  <c r="A4496" i="6"/>
  <c r="A4497" i="6"/>
  <c r="A4498" i="6"/>
  <c r="A4499" i="6"/>
  <c r="A4500" i="6"/>
  <c r="A4501" i="6"/>
  <c r="A4502" i="6"/>
  <c r="A4503" i="6"/>
  <c r="A4504" i="6"/>
  <c r="A4505" i="6"/>
  <c r="A4506" i="6"/>
  <c r="A4507" i="6"/>
  <c r="A4508" i="6"/>
  <c r="A4509" i="6"/>
  <c r="A4510" i="6"/>
  <c r="A4511" i="6"/>
  <c r="A4512" i="6"/>
  <c r="A4513" i="6"/>
  <c r="A4514" i="6"/>
  <c r="A4515" i="6"/>
  <c r="A4516" i="6"/>
  <c r="A4517" i="6"/>
  <c r="A4518" i="6"/>
  <c r="A4519" i="6"/>
  <c r="A4520" i="6"/>
  <c r="A4521" i="6"/>
  <c r="A4522" i="6"/>
  <c r="A4523" i="6"/>
  <c r="A4524" i="6"/>
  <c r="A4525" i="6"/>
  <c r="A4526" i="6"/>
  <c r="A4527" i="6"/>
  <c r="A4528" i="6"/>
  <c r="A4529" i="6"/>
  <c r="A4530" i="6"/>
  <c r="A4531" i="6"/>
  <c r="A4532" i="6"/>
  <c r="A4533" i="6"/>
  <c r="A4534" i="6"/>
  <c r="A4535" i="6"/>
  <c r="A4536" i="6"/>
  <c r="A4537" i="6"/>
  <c r="A4538" i="6"/>
  <c r="A4539" i="6"/>
  <c r="A4540" i="6"/>
  <c r="A4541" i="6"/>
  <c r="A4542" i="6"/>
  <c r="A4543" i="6"/>
  <c r="A4544" i="6"/>
  <c r="A4545" i="6"/>
  <c r="A4546" i="6"/>
  <c r="A4547" i="6"/>
  <c r="A4548" i="6"/>
  <c r="A4549" i="6"/>
  <c r="A4550" i="6"/>
  <c r="A4551" i="6"/>
  <c r="A4552" i="6"/>
  <c r="A4553" i="6"/>
  <c r="A4554" i="6"/>
  <c r="A4555" i="6"/>
  <c r="A4556" i="6"/>
  <c r="A4557" i="6"/>
  <c r="A4558" i="6"/>
  <c r="A4559" i="6"/>
  <c r="A4560" i="6"/>
  <c r="A4561" i="6"/>
  <c r="A4562" i="6"/>
  <c r="A4563" i="6"/>
  <c r="A4564" i="6"/>
  <c r="A4565" i="6"/>
  <c r="A4566" i="6"/>
  <c r="A4567" i="6"/>
  <c r="A4568" i="6"/>
  <c r="A4569" i="6"/>
  <c r="A4570" i="6"/>
  <c r="A4571" i="6"/>
  <c r="A4572" i="6"/>
  <c r="A4573" i="6"/>
  <c r="A4574" i="6"/>
  <c r="A4575" i="6"/>
  <c r="A4576" i="6"/>
  <c r="A4577" i="6"/>
  <c r="A4578" i="6"/>
  <c r="A4579" i="6"/>
  <c r="A4580" i="6"/>
  <c r="A4581" i="6"/>
  <c r="A4582" i="6"/>
  <c r="A4583" i="6"/>
  <c r="A4584" i="6"/>
  <c r="A4585" i="6"/>
  <c r="A4586" i="6"/>
  <c r="A4587" i="6"/>
  <c r="A4588" i="6"/>
  <c r="A4589" i="6"/>
  <c r="A4590" i="6"/>
  <c r="A4591" i="6"/>
  <c r="A4592" i="6"/>
  <c r="A4593" i="6"/>
  <c r="A4594" i="6"/>
  <c r="A4595" i="6"/>
  <c r="A4596" i="6"/>
  <c r="A4597" i="6"/>
  <c r="A4598" i="6"/>
  <c r="A4599" i="6"/>
  <c r="A4600" i="6"/>
  <c r="A4601" i="6"/>
  <c r="A4602" i="6"/>
  <c r="A4603" i="6"/>
  <c r="A4604" i="6"/>
  <c r="A4605" i="6"/>
  <c r="A4606" i="6"/>
  <c r="A4607" i="6"/>
  <c r="A4608" i="6"/>
  <c r="A4609" i="6"/>
  <c r="A4610" i="6"/>
  <c r="A4611" i="6"/>
  <c r="A4612" i="6"/>
  <c r="A4613" i="6"/>
  <c r="A4614" i="6"/>
  <c r="A4615" i="6"/>
  <c r="A4616" i="6"/>
  <c r="A4617" i="6"/>
  <c r="A4618" i="6"/>
  <c r="A4619" i="6"/>
  <c r="A4620" i="6"/>
  <c r="A4621" i="6"/>
  <c r="A4622" i="6"/>
  <c r="A4623" i="6"/>
  <c r="A4624" i="6"/>
  <c r="A4625" i="6"/>
  <c r="A4626" i="6"/>
  <c r="A4627" i="6"/>
  <c r="A4628" i="6"/>
  <c r="A4629" i="6"/>
  <c r="A4630" i="6"/>
  <c r="A4631" i="6"/>
  <c r="A4632" i="6"/>
  <c r="A4633" i="6"/>
  <c r="A4634" i="6"/>
  <c r="A4635" i="6"/>
  <c r="A4636" i="6"/>
  <c r="A4637" i="6"/>
  <c r="A4638" i="6"/>
  <c r="A4639" i="6"/>
  <c r="A4640" i="6"/>
  <c r="A4641" i="6"/>
  <c r="A4642" i="6"/>
  <c r="A4643" i="6"/>
  <c r="A4644" i="6"/>
  <c r="A4645" i="6"/>
  <c r="A4646" i="6"/>
  <c r="A4647" i="6"/>
  <c r="A4648" i="6"/>
  <c r="A4649" i="6"/>
  <c r="A4650" i="6"/>
  <c r="A4651" i="6"/>
  <c r="A4652" i="6"/>
  <c r="A4653" i="6"/>
  <c r="A4654" i="6"/>
  <c r="A4655" i="6"/>
  <c r="A4656" i="6"/>
  <c r="A4657" i="6"/>
  <c r="A4658" i="6"/>
  <c r="A4659" i="6"/>
  <c r="A4660" i="6"/>
  <c r="A4661" i="6"/>
  <c r="A4662" i="6"/>
  <c r="A4663" i="6"/>
  <c r="A4664" i="6"/>
  <c r="A4665" i="6"/>
  <c r="A4666" i="6"/>
  <c r="A4667" i="6"/>
  <c r="A4668" i="6"/>
  <c r="A4669" i="6"/>
  <c r="A4670" i="6"/>
  <c r="A4671" i="6"/>
  <c r="A4672" i="6"/>
  <c r="A4673" i="6"/>
  <c r="A4674" i="6"/>
  <c r="A4675" i="6"/>
  <c r="A4676" i="6"/>
  <c r="A4677" i="6"/>
  <c r="A4678" i="6"/>
  <c r="A4679" i="6"/>
  <c r="A4680" i="6"/>
  <c r="A4681" i="6"/>
  <c r="A4682" i="6"/>
  <c r="A4683" i="6"/>
  <c r="A4684" i="6"/>
  <c r="A4685" i="6"/>
  <c r="A4686" i="6"/>
  <c r="A4687" i="6"/>
  <c r="A4688" i="6"/>
  <c r="A4689" i="6"/>
  <c r="A4690" i="6"/>
  <c r="A4691" i="6"/>
  <c r="A4692" i="6"/>
  <c r="A4693" i="6"/>
  <c r="A4694" i="6"/>
  <c r="A4695" i="6"/>
  <c r="A4696" i="6"/>
  <c r="A4697" i="6"/>
  <c r="A4698" i="6"/>
  <c r="A4699" i="6"/>
  <c r="A4700" i="6"/>
  <c r="A4701" i="6"/>
  <c r="A4702" i="6"/>
  <c r="A4703" i="6"/>
  <c r="A4704" i="6"/>
  <c r="A4705" i="6"/>
  <c r="A4706" i="6"/>
  <c r="A4707" i="6"/>
  <c r="A4708" i="6"/>
  <c r="A4709" i="6"/>
  <c r="A4710" i="6"/>
  <c r="A4711" i="6"/>
  <c r="A4712" i="6"/>
  <c r="A4713" i="6"/>
  <c r="A4714" i="6"/>
  <c r="A4715" i="6"/>
  <c r="A4716" i="6"/>
  <c r="A4717" i="6"/>
  <c r="A4718" i="6"/>
  <c r="A4719" i="6"/>
  <c r="A4720" i="6"/>
  <c r="A4721" i="6"/>
  <c r="A4722" i="6"/>
  <c r="A4723" i="6"/>
  <c r="A4724" i="6"/>
  <c r="A4725" i="6"/>
  <c r="A4726" i="6"/>
  <c r="A4727" i="6"/>
  <c r="A4728" i="6"/>
  <c r="A4729" i="6"/>
  <c r="A4730" i="6"/>
  <c r="A4731" i="6"/>
  <c r="A4732" i="6"/>
  <c r="A4733" i="6"/>
  <c r="A4734" i="6"/>
  <c r="A4735" i="6"/>
  <c r="A4736" i="6"/>
  <c r="A4737" i="6"/>
  <c r="A4738" i="6"/>
  <c r="A4739" i="6"/>
  <c r="H193" i="2"/>
  <c r="I193" i="2"/>
  <c r="J193" i="2"/>
  <c r="K193" i="2"/>
  <c r="O193" i="2"/>
  <c r="P193" i="2"/>
  <c r="I194" i="2"/>
  <c r="J194" i="2"/>
  <c r="K194" i="2"/>
  <c r="O194" i="2"/>
  <c r="P194" i="2"/>
  <c r="H194" i="2"/>
  <c r="H318" i="2"/>
  <c r="H366" i="2"/>
  <c r="Q173" i="2"/>
  <c r="Q174" i="2"/>
  <c r="Q175" i="2"/>
  <c r="Q176" i="2"/>
  <c r="Q177" i="2"/>
  <c r="I46" i="2"/>
  <c r="J46" i="2"/>
  <c r="K46" i="2"/>
  <c r="P46" i="2"/>
  <c r="H158" i="2"/>
  <c r="I158" i="2"/>
  <c r="P158" i="2"/>
  <c r="I159" i="2"/>
  <c r="P159" i="2"/>
  <c r="H159" i="2"/>
  <c r="X159" i="2"/>
  <c r="W159" i="2"/>
  <c r="V159" i="2"/>
  <c r="S159" i="2"/>
  <c r="I49" i="2"/>
  <c r="J49" i="2"/>
  <c r="K49" i="2"/>
  <c r="L49" i="2"/>
  <c r="O49" i="2"/>
  <c r="P49" i="2"/>
  <c r="H49" i="2"/>
  <c r="X49" i="2"/>
  <c r="W49" i="2"/>
  <c r="V49" i="2"/>
  <c r="S49" i="2"/>
  <c r="H348" i="2"/>
  <c r="I348" i="2"/>
  <c r="J348" i="2"/>
  <c r="N49" i="2" l="1"/>
  <c r="M328" i="2"/>
  <c r="M313" i="2"/>
  <c r="M314" i="2"/>
  <c r="M315" i="2"/>
  <c r="M316" i="2"/>
  <c r="M317" i="2"/>
  <c r="N318" i="2"/>
  <c r="N319" i="2"/>
  <c r="N320" i="2"/>
  <c r="N321" i="2"/>
  <c r="N322" i="2"/>
  <c r="N323" i="2"/>
  <c r="H335" i="2"/>
  <c r="H336" i="2"/>
  <c r="H340" i="2"/>
  <c r="H342" i="2"/>
  <c r="H341" i="2"/>
  <c r="H339" i="2"/>
  <c r="H338" i="2"/>
  <c r="H337" i="2"/>
  <c r="H373" i="2"/>
  <c r="O325" i="2"/>
  <c r="O328" i="2"/>
  <c r="O326" i="2"/>
  <c r="O324" i="2"/>
  <c r="O327" i="2"/>
  <c r="N305" i="2"/>
  <c r="N306" i="2"/>
  <c r="N308" i="2"/>
  <c r="N309" i="2"/>
  <c r="N310" i="2"/>
  <c r="N311" i="2"/>
  <c r="N312" i="2"/>
  <c r="N307" i="2"/>
  <c r="O330" i="2"/>
  <c r="O333" i="2"/>
  <c r="O331" i="2"/>
  <c r="O334" i="2"/>
  <c r="O329" i="2"/>
  <c r="O332" i="2"/>
  <c r="P216" i="2"/>
  <c r="P215" i="2"/>
  <c r="P212" i="2"/>
  <c r="P213" i="2"/>
  <c r="P214" i="2"/>
  <c r="H214" i="2"/>
  <c r="H213" i="2"/>
  <c r="H216" i="2"/>
  <c r="H215" i="2"/>
  <c r="H212" i="2"/>
  <c r="L313" i="2"/>
  <c r="L314" i="2"/>
  <c r="L315" i="2"/>
  <c r="L316" i="2"/>
  <c r="L317" i="2"/>
  <c r="M318" i="2"/>
  <c r="M319" i="2"/>
  <c r="M320" i="2"/>
  <c r="M321" i="2"/>
  <c r="M322" i="2"/>
  <c r="M323" i="2"/>
  <c r="O340" i="2"/>
  <c r="O335" i="2"/>
  <c r="O336" i="2"/>
  <c r="O337" i="2"/>
  <c r="O338" i="2"/>
  <c r="O339" i="2"/>
  <c r="O341" i="2"/>
  <c r="O342" i="2"/>
  <c r="N335" i="2"/>
  <c r="N336" i="2"/>
  <c r="N337" i="2"/>
  <c r="N338" i="2"/>
  <c r="N339" i="2"/>
  <c r="N341" i="2"/>
  <c r="N342" i="2"/>
  <c r="N340" i="2"/>
  <c r="N325" i="2"/>
  <c r="N328" i="2"/>
  <c r="N326" i="2"/>
  <c r="N324" i="2"/>
  <c r="N327" i="2"/>
  <c r="M307" i="2"/>
  <c r="M310" i="2"/>
  <c r="M306" i="2"/>
  <c r="M309" i="2"/>
  <c r="M312" i="2"/>
  <c r="M305" i="2"/>
  <c r="M308" i="2"/>
  <c r="M311" i="2"/>
  <c r="N333" i="2"/>
  <c r="N331" i="2"/>
  <c r="N334" i="2"/>
  <c r="N329" i="2"/>
  <c r="N332" i="2"/>
  <c r="N330" i="2"/>
  <c r="P367" i="2"/>
  <c r="O212" i="2"/>
  <c r="O216" i="2"/>
  <c r="O213" i="2"/>
  <c r="O214" i="2"/>
  <c r="O215" i="2"/>
  <c r="J313" i="2"/>
  <c r="J314" i="2"/>
  <c r="J315" i="2"/>
  <c r="J316" i="2"/>
  <c r="J317" i="2"/>
  <c r="K318" i="2"/>
  <c r="K319" i="2"/>
  <c r="K320" i="2"/>
  <c r="K321" i="2"/>
  <c r="K322" i="2"/>
  <c r="K323" i="2"/>
  <c r="M340" i="2"/>
  <c r="M335" i="2"/>
  <c r="M336" i="2"/>
  <c r="M337" i="2"/>
  <c r="M338" i="2"/>
  <c r="M339" i="2"/>
  <c r="M341" i="2"/>
  <c r="M342" i="2"/>
  <c r="L324" i="2"/>
  <c r="L325" i="2"/>
  <c r="L326" i="2"/>
  <c r="L327" i="2"/>
  <c r="L328" i="2"/>
  <c r="K305" i="2"/>
  <c r="K306" i="2"/>
  <c r="K308" i="2"/>
  <c r="K309" i="2"/>
  <c r="K310" i="2"/>
  <c r="K312" i="2"/>
  <c r="K311" i="2"/>
  <c r="K307" i="2"/>
  <c r="L329" i="2"/>
  <c r="L330" i="2"/>
  <c r="L331" i="2"/>
  <c r="L332" i="2"/>
  <c r="L333" i="2"/>
  <c r="L334" i="2"/>
  <c r="M367" i="2"/>
  <c r="M212" i="2"/>
  <c r="M213" i="2"/>
  <c r="M214" i="2"/>
  <c r="M215" i="2"/>
  <c r="M216" i="2"/>
  <c r="N313" i="2"/>
  <c r="N314" i="2"/>
  <c r="N315" i="2"/>
  <c r="N316" i="2"/>
  <c r="N317" i="2"/>
  <c r="O318" i="2"/>
  <c r="O322" i="2"/>
  <c r="O323" i="2"/>
  <c r="O319" i="2"/>
  <c r="O320" i="2"/>
  <c r="O321" i="2"/>
  <c r="P340" i="2"/>
  <c r="P335" i="2"/>
  <c r="P336" i="2"/>
  <c r="P337" i="2"/>
  <c r="P338" i="2"/>
  <c r="P339" i="2"/>
  <c r="P341" i="2"/>
  <c r="P342" i="2"/>
  <c r="I340" i="2"/>
  <c r="I335" i="2"/>
  <c r="I336" i="2"/>
  <c r="I337" i="2"/>
  <c r="I338" i="2"/>
  <c r="I339" i="2"/>
  <c r="I341" i="2"/>
  <c r="I342" i="2"/>
  <c r="P324" i="2"/>
  <c r="P325" i="2"/>
  <c r="P326" i="2"/>
  <c r="P327" i="2"/>
  <c r="P328" i="2"/>
  <c r="H328" i="2"/>
  <c r="H326" i="2"/>
  <c r="H325" i="2"/>
  <c r="H324" i="2"/>
  <c r="P329" i="2"/>
  <c r="P330" i="2"/>
  <c r="P331" i="2"/>
  <c r="P332" i="2"/>
  <c r="P333" i="2"/>
  <c r="P334" i="2"/>
  <c r="H333" i="2"/>
  <c r="H332" i="2"/>
  <c r="H330" i="2"/>
  <c r="H334" i="2"/>
  <c r="H331" i="2"/>
  <c r="H329" i="2"/>
  <c r="I367" i="2"/>
  <c r="I215" i="2"/>
  <c r="I216" i="2"/>
  <c r="I214" i="2"/>
  <c r="I212" i="2"/>
  <c r="I213" i="2"/>
  <c r="K313" i="2"/>
  <c r="K314" i="2"/>
  <c r="K315" i="2"/>
  <c r="K316" i="2"/>
  <c r="K317" i="2"/>
  <c r="L318" i="2"/>
  <c r="L319" i="2"/>
  <c r="L320" i="2"/>
  <c r="L321" i="2"/>
  <c r="L322" i="2"/>
  <c r="L323" i="2"/>
  <c r="K340" i="2"/>
  <c r="K335" i="2"/>
  <c r="K336" i="2"/>
  <c r="K337" i="2"/>
  <c r="K338" i="2"/>
  <c r="K339" i="2"/>
  <c r="K341" i="2"/>
  <c r="K342" i="2"/>
  <c r="M324" i="2"/>
  <c r="M325" i="2"/>
  <c r="M326" i="2"/>
  <c r="M327" i="2"/>
  <c r="L307" i="2"/>
  <c r="L310" i="2"/>
  <c r="L306" i="2"/>
  <c r="L309" i="2"/>
  <c r="L312" i="2"/>
  <c r="L305" i="2"/>
  <c r="L308" i="2"/>
  <c r="L311" i="2"/>
  <c r="M329" i="2"/>
  <c r="M330" i="2"/>
  <c r="M331" i="2"/>
  <c r="M332" i="2"/>
  <c r="M333" i="2"/>
  <c r="M334" i="2"/>
  <c r="O367" i="2"/>
  <c r="N212" i="2"/>
  <c r="N213" i="2"/>
  <c r="N214" i="2"/>
  <c r="N215" i="2"/>
  <c r="N216" i="2"/>
  <c r="I313" i="2"/>
  <c r="I314" i="2"/>
  <c r="I315" i="2"/>
  <c r="I316" i="2"/>
  <c r="I317" i="2"/>
  <c r="J318" i="2"/>
  <c r="J319" i="2"/>
  <c r="J320" i="2"/>
  <c r="J321" i="2"/>
  <c r="J323" i="2"/>
  <c r="J322" i="2"/>
  <c r="L340" i="2"/>
  <c r="L335" i="2"/>
  <c r="L336" i="2"/>
  <c r="L337" i="2"/>
  <c r="L338" i="2"/>
  <c r="L339" i="2"/>
  <c r="L341" i="2"/>
  <c r="L342" i="2"/>
  <c r="K324" i="2"/>
  <c r="K325" i="2"/>
  <c r="K326" i="2"/>
  <c r="K327" i="2"/>
  <c r="K328" i="2"/>
  <c r="J305" i="2"/>
  <c r="J306" i="2"/>
  <c r="J308" i="2"/>
  <c r="J309" i="2"/>
  <c r="J310" i="2"/>
  <c r="J311" i="2"/>
  <c r="J312" i="2"/>
  <c r="J307" i="2"/>
  <c r="K329" i="2"/>
  <c r="K330" i="2"/>
  <c r="K331" i="2"/>
  <c r="K332" i="2"/>
  <c r="K333" i="2"/>
  <c r="K334" i="2"/>
  <c r="L367" i="2"/>
  <c r="L212" i="2"/>
  <c r="L213" i="2"/>
  <c r="L214" i="2"/>
  <c r="L215" i="2"/>
  <c r="L216" i="2"/>
  <c r="P313" i="2"/>
  <c r="P314" i="2"/>
  <c r="P315" i="2"/>
  <c r="P316" i="2"/>
  <c r="P317" i="2"/>
  <c r="H317" i="2"/>
  <c r="H316" i="2"/>
  <c r="H315" i="2"/>
  <c r="H314" i="2"/>
  <c r="H313" i="2"/>
  <c r="I318" i="2"/>
  <c r="I319" i="2"/>
  <c r="I320" i="2"/>
  <c r="I321" i="2"/>
  <c r="I322" i="2"/>
  <c r="I323" i="2"/>
  <c r="J328" i="2"/>
  <c r="J326" i="2"/>
  <c r="J324" i="2"/>
  <c r="J327" i="2"/>
  <c r="J325" i="2"/>
  <c r="I307" i="2"/>
  <c r="I306" i="2"/>
  <c r="I309" i="2"/>
  <c r="I312" i="2"/>
  <c r="I305" i="2"/>
  <c r="I311" i="2"/>
  <c r="I308" i="2"/>
  <c r="I310" i="2"/>
  <c r="J331" i="2"/>
  <c r="J334" i="2"/>
  <c r="J329" i="2"/>
  <c r="J332" i="2"/>
  <c r="J330" i="2"/>
  <c r="J333" i="2"/>
  <c r="K367" i="2"/>
  <c r="K213" i="2"/>
  <c r="K214" i="2"/>
  <c r="K215" i="2"/>
  <c r="K216" i="2"/>
  <c r="K212" i="2"/>
  <c r="O313" i="2"/>
  <c r="O314" i="2"/>
  <c r="O315" i="2"/>
  <c r="O316" i="2"/>
  <c r="O317" i="2"/>
  <c r="P318" i="2"/>
  <c r="P319" i="2"/>
  <c r="P320" i="2"/>
  <c r="P321" i="2"/>
  <c r="P322" i="2"/>
  <c r="P323" i="2"/>
  <c r="H319" i="2"/>
  <c r="H323" i="2"/>
  <c r="H322" i="2"/>
  <c r="H321" i="2"/>
  <c r="H320" i="2"/>
  <c r="J340" i="2"/>
  <c r="J335" i="2"/>
  <c r="J336" i="2"/>
  <c r="J337" i="2"/>
  <c r="J338" i="2"/>
  <c r="J339" i="2"/>
  <c r="J341" i="2"/>
  <c r="J342" i="2"/>
  <c r="I324" i="2"/>
  <c r="I325" i="2"/>
  <c r="I326" i="2"/>
  <c r="I327" i="2"/>
  <c r="I328" i="2"/>
  <c r="H305" i="2"/>
  <c r="H307" i="2"/>
  <c r="H310" i="2"/>
  <c r="H312" i="2"/>
  <c r="H311" i="2"/>
  <c r="H309" i="2"/>
  <c r="H308" i="2"/>
  <c r="H306" i="2"/>
  <c r="I329" i="2"/>
  <c r="I330" i="2"/>
  <c r="I331" i="2"/>
  <c r="I332" i="2"/>
  <c r="I333" i="2"/>
  <c r="I334" i="2"/>
  <c r="J367" i="2"/>
  <c r="J214" i="2"/>
  <c r="J213" i="2"/>
  <c r="J215" i="2"/>
  <c r="J216" i="2"/>
  <c r="J212" i="2"/>
  <c r="V19" i="2"/>
  <c r="W19" i="2"/>
  <c r="X19" i="2"/>
  <c r="V20" i="2"/>
  <c r="W20" i="2"/>
  <c r="X20" i="2"/>
  <c r="V21" i="2"/>
  <c r="W21" i="2"/>
  <c r="X21" i="2"/>
  <c r="V22" i="2"/>
  <c r="W22" i="2"/>
  <c r="X22" i="2"/>
  <c r="V23" i="2"/>
  <c r="W23" i="2"/>
  <c r="X23" i="2"/>
  <c r="V24" i="2"/>
  <c r="W24" i="2"/>
  <c r="X24" i="2"/>
  <c r="V25" i="2"/>
  <c r="W25" i="2"/>
  <c r="X25" i="2"/>
  <c r="V26" i="2"/>
  <c r="W26" i="2"/>
  <c r="X26" i="2"/>
  <c r="V27" i="2"/>
  <c r="W27" i="2"/>
  <c r="X27" i="2"/>
  <c r="V28" i="2"/>
  <c r="W28" i="2"/>
  <c r="X28" i="2"/>
  <c r="V29" i="2"/>
  <c r="W29" i="2"/>
  <c r="X29" i="2"/>
  <c r="V30" i="2"/>
  <c r="W30" i="2"/>
  <c r="X30" i="2"/>
  <c r="V31" i="2"/>
  <c r="W31" i="2"/>
  <c r="X31" i="2"/>
  <c r="V32" i="2"/>
  <c r="W32" i="2"/>
  <c r="X32" i="2"/>
  <c r="V33" i="2"/>
  <c r="W33" i="2"/>
  <c r="X33" i="2"/>
  <c r="V34" i="2"/>
  <c r="W34" i="2"/>
  <c r="X34" i="2"/>
  <c r="V35" i="2"/>
  <c r="W35" i="2"/>
  <c r="X35" i="2"/>
  <c r="V36" i="2"/>
  <c r="W36" i="2"/>
  <c r="X36" i="2"/>
  <c r="V37" i="2"/>
  <c r="W37" i="2"/>
  <c r="X37" i="2"/>
  <c r="V38" i="2"/>
  <c r="W38" i="2"/>
  <c r="X38" i="2"/>
  <c r="V39" i="2"/>
  <c r="W39" i="2"/>
  <c r="X39" i="2"/>
  <c r="V40" i="2"/>
  <c r="W40" i="2"/>
  <c r="X40" i="2"/>
  <c r="V41" i="2"/>
  <c r="W41" i="2"/>
  <c r="X41" i="2"/>
  <c r="V42" i="2"/>
  <c r="W42" i="2"/>
  <c r="X42" i="2"/>
  <c r="V43" i="2"/>
  <c r="W43" i="2"/>
  <c r="X43" i="2"/>
  <c r="V44" i="2"/>
  <c r="W44" i="2"/>
  <c r="X44" i="2"/>
  <c r="V45" i="2"/>
  <c r="W45" i="2"/>
  <c r="X45" i="2"/>
  <c r="V46" i="2"/>
  <c r="W46" i="2"/>
  <c r="X46" i="2"/>
  <c r="V47" i="2"/>
  <c r="W47" i="2"/>
  <c r="X47" i="2"/>
  <c r="V48" i="2"/>
  <c r="W48" i="2"/>
  <c r="X48" i="2"/>
  <c r="V50" i="2"/>
  <c r="W50" i="2"/>
  <c r="X50" i="2"/>
  <c r="V51" i="2"/>
  <c r="W51" i="2"/>
  <c r="X51" i="2"/>
  <c r="V52" i="2"/>
  <c r="W52" i="2"/>
  <c r="X52" i="2"/>
  <c r="V53" i="2"/>
  <c r="W53" i="2"/>
  <c r="X53" i="2"/>
  <c r="V54" i="2"/>
  <c r="W54" i="2"/>
  <c r="X54" i="2"/>
  <c r="V55" i="2"/>
  <c r="W55" i="2"/>
  <c r="X55" i="2"/>
  <c r="V56" i="2"/>
  <c r="W56" i="2"/>
  <c r="X56" i="2"/>
  <c r="V57" i="2"/>
  <c r="W57" i="2"/>
  <c r="X57" i="2"/>
  <c r="V58" i="2"/>
  <c r="W58" i="2"/>
  <c r="X58" i="2"/>
  <c r="V59" i="2"/>
  <c r="W59" i="2"/>
  <c r="X59" i="2"/>
  <c r="V60" i="2"/>
  <c r="W60" i="2"/>
  <c r="X60" i="2"/>
  <c r="V61" i="2"/>
  <c r="W61" i="2"/>
  <c r="X61" i="2"/>
  <c r="V62" i="2"/>
  <c r="W62" i="2"/>
  <c r="X62" i="2"/>
  <c r="V63" i="2"/>
  <c r="W63" i="2"/>
  <c r="X63" i="2"/>
  <c r="V64" i="2"/>
  <c r="W64" i="2"/>
  <c r="X64" i="2"/>
  <c r="V65" i="2"/>
  <c r="W65" i="2"/>
  <c r="X65" i="2"/>
  <c r="V66" i="2"/>
  <c r="W66" i="2"/>
  <c r="X66" i="2"/>
  <c r="V67" i="2"/>
  <c r="W67" i="2"/>
  <c r="X67" i="2"/>
  <c r="V68" i="2"/>
  <c r="W68" i="2"/>
  <c r="X68" i="2"/>
  <c r="V69" i="2"/>
  <c r="W69" i="2"/>
  <c r="X69" i="2"/>
  <c r="V70" i="2"/>
  <c r="W70" i="2"/>
  <c r="X70" i="2"/>
  <c r="V71" i="2"/>
  <c r="W71" i="2"/>
  <c r="X71" i="2"/>
  <c r="V72" i="2"/>
  <c r="W72" i="2"/>
  <c r="X72" i="2"/>
  <c r="V73" i="2"/>
  <c r="W73" i="2"/>
  <c r="X73" i="2"/>
  <c r="V74" i="2"/>
  <c r="W74" i="2"/>
  <c r="X74" i="2"/>
  <c r="V75" i="2"/>
  <c r="W75" i="2"/>
  <c r="X75" i="2"/>
  <c r="V76" i="2"/>
  <c r="W76" i="2"/>
  <c r="X76" i="2"/>
  <c r="V77" i="2"/>
  <c r="W77" i="2"/>
  <c r="X77" i="2"/>
  <c r="V78" i="2"/>
  <c r="W78" i="2"/>
  <c r="X78" i="2"/>
  <c r="V79" i="2"/>
  <c r="W79" i="2"/>
  <c r="X79" i="2"/>
  <c r="V80" i="2"/>
  <c r="W80" i="2"/>
  <c r="X80" i="2"/>
  <c r="V81" i="2"/>
  <c r="W81" i="2"/>
  <c r="X81" i="2"/>
  <c r="V82" i="2"/>
  <c r="W82" i="2"/>
  <c r="X82" i="2"/>
  <c r="V83" i="2"/>
  <c r="W83" i="2"/>
  <c r="X83" i="2"/>
  <c r="V84" i="2"/>
  <c r="W84" i="2"/>
  <c r="X84" i="2"/>
  <c r="V85" i="2"/>
  <c r="W85" i="2"/>
  <c r="X85" i="2"/>
  <c r="V86" i="2"/>
  <c r="W86" i="2"/>
  <c r="X86" i="2"/>
  <c r="V87" i="2"/>
  <c r="W87" i="2"/>
  <c r="X87" i="2"/>
  <c r="V88" i="2"/>
  <c r="W88" i="2"/>
  <c r="X88" i="2"/>
  <c r="V89" i="2"/>
  <c r="W89" i="2"/>
  <c r="X89" i="2"/>
  <c r="V90" i="2"/>
  <c r="W90" i="2"/>
  <c r="X90" i="2"/>
  <c r="V91" i="2"/>
  <c r="W91" i="2"/>
  <c r="X91" i="2"/>
  <c r="V92" i="2"/>
  <c r="W92" i="2"/>
  <c r="X92" i="2"/>
  <c r="V93" i="2"/>
  <c r="W93" i="2"/>
  <c r="X93" i="2"/>
  <c r="V94" i="2"/>
  <c r="W94" i="2"/>
  <c r="X94" i="2"/>
  <c r="V95" i="2"/>
  <c r="W95" i="2"/>
  <c r="X95" i="2"/>
  <c r="V96" i="2"/>
  <c r="W96" i="2"/>
  <c r="X96" i="2"/>
  <c r="V97" i="2"/>
  <c r="W97" i="2"/>
  <c r="X97" i="2"/>
  <c r="V98" i="2"/>
  <c r="W98" i="2"/>
  <c r="X98" i="2"/>
  <c r="V99" i="2"/>
  <c r="W99" i="2"/>
  <c r="X99" i="2"/>
  <c r="V100" i="2"/>
  <c r="W100" i="2"/>
  <c r="X100" i="2"/>
  <c r="V101" i="2"/>
  <c r="W101" i="2"/>
  <c r="X101" i="2"/>
  <c r="V102" i="2"/>
  <c r="W102" i="2"/>
  <c r="X102" i="2"/>
  <c r="V103" i="2"/>
  <c r="W103" i="2"/>
  <c r="X103" i="2"/>
  <c r="V104" i="2"/>
  <c r="W104" i="2"/>
  <c r="X104" i="2"/>
  <c r="V105" i="2"/>
  <c r="W105" i="2"/>
  <c r="X105" i="2"/>
  <c r="V106" i="2"/>
  <c r="W106" i="2"/>
  <c r="X106" i="2"/>
  <c r="V107" i="2"/>
  <c r="W107" i="2"/>
  <c r="X107" i="2"/>
  <c r="V108" i="2"/>
  <c r="W108" i="2"/>
  <c r="X108" i="2"/>
  <c r="V109" i="2"/>
  <c r="W109" i="2"/>
  <c r="X109" i="2"/>
  <c r="V110" i="2"/>
  <c r="W110" i="2"/>
  <c r="X110" i="2"/>
  <c r="V111" i="2"/>
  <c r="W111" i="2"/>
  <c r="X111" i="2"/>
  <c r="V112" i="2"/>
  <c r="W112" i="2"/>
  <c r="X112" i="2"/>
  <c r="V113" i="2"/>
  <c r="W113" i="2"/>
  <c r="X113" i="2"/>
  <c r="V114" i="2"/>
  <c r="W114" i="2"/>
  <c r="X114" i="2"/>
  <c r="V115" i="2"/>
  <c r="W115" i="2"/>
  <c r="X115" i="2"/>
  <c r="V116" i="2"/>
  <c r="W116" i="2"/>
  <c r="X116" i="2"/>
  <c r="V117" i="2"/>
  <c r="W117" i="2"/>
  <c r="X117" i="2"/>
  <c r="V118" i="2"/>
  <c r="W118" i="2"/>
  <c r="X118" i="2"/>
  <c r="V119" i="2"/>
  <c r="W119" i="2"/>
  <c r="X119" i="2"/>
  <c r="V120" i="2"/>
  <c r="W120" i="2"/>
  <c r="X120" i="2"/>
  <c r="V121" i="2"/>
  <c r="W121" i="2"/>
  <c r="X121" i="2"/>
  <c r="V122" i="2"/>
  <c r="W122" i="2"/>
  <c r="X122" i="2"/>
  <c r="V123" i="2"/>
  <c r="W123" i="2"/>
  <c r="X123" i="2"/>
  <c r="V124" i="2"/>
  <c r="W124" i="2"/>
  <c r="X124" i="2"/>
  <c r="V125" i="2"/>
  <c r="W125" i="2"/>
  <c r="X125" i="2"/>
  <c r="V126" i="2"/>
  <c r="W126" i="2"/>
  <c r="X126" i="2"/>
  <c r="V127" i="2"/>
  <c r="W127" i="2"/>
  <c r="X127" i="2"/>
  <c r="V128" i="2"/>
  <c r="W128" i="2"/>
  <c r="X128" i="2"/>
  <c r="W363" i="2"/>
  <c r="X363" i="2"/>
  <c r="V129" i="2"/>
  <c r="W129" i="2"/>
  <c r="X129" i="2"/>
  <c r="V130" i="2"/>
  <c r="W130" i="2"/>
  <c r="X130" i="2"/>
  <c r="V131" i="2"/>
  <c r="W131" i="2"/>
  <c r="X131" i="2"/>
  <c r="V132" i="2"/>
  <c r="W132" i="2"/>
  <c r="X132" i="2"/>
  <c r="V133" i="2"/>
  <c r="W133" i="2"/>
  <c r="X133" i="2"/>
  <c r="V134" i="2"/>
  <c r="W134" i="2"/>
  <c r="X134" i="2"/>
  <c r="V135" i="2"/>
  <c r="W135" i="2"/>
  <c r="X135" i="2"/>
  <c r="V136" i="2"/>
  <c r="W136" i="2"/>
  <c r="X136" i="2"/>
  <c r="V137" i="2"/>
  <c r="W137" i="2"/>
  <c r="X137" i="2"/>
  <c r="V138" i="2"/>
  <c r="W138" i="2"/>
  <c r="X138" i="2"/>
  <c r="V139" i="2"/>
  <c r="W139" i="2"/>
  <c r="X139" i="2"/>
  <c r="V140" i="2"/>
  <c r="W140" i="2"/>
  <c r="X140" i="2"/>
  <c r="V141" i="2"/>
  <c r="W141" i="2"/>
  <c r="X141" i="2"/>
  <c r="V142" i="2"/>
  <c r="W142" i="2"/>
  <c r="X142" i="2"/>
  <c r="V143" i="2"/>
  <c r="W143" i="2"/>
  <c r="X143" i="2"/>
  <c r="V144" i="2"/>
  <c r="W144" i="2"/>
  <c r="X144" i="2"/>
  <c r="V145" i="2"/>
  <c r="W145" i="2"/>
  <c r="X145" i="2"/>
  <c r="W362" i="2"/>
  <c r="X362" i="2"/>
  <c r="V146" i="2"/>
  <c r="W146" i="2"/>
  <c r="X146" i="2"/>
  <c r="V147" i="2"/>
  <c r="W147" i="2"/>
  <c r="X147" i="2"/>
  <c r="V148" i="2"/>
  <c r="W148" i="2"/>
  <c r="X148" i="2"/>
  <c r="V149" i="2"/>
  <c r="W149" i="2"/>
  <c r="X149" i="2"/>
  <c r="V150" i="2"/>
  <c r="W150" i="2"/>
  <c r="X150" i="2"/>
  <c r="V151" i="2"/>
  <c r="W151" i="2"/>
  <c r="X151" i="2"/>
  <c r="V152" i="2"/>
  <c r="W152" i="2"/>
  <c r="X152" i="2"/>
  <c r="V153" i="2"/>
  <c r="W153" i="2"/>
  <c r="X153" i="2"/>
  <c r="V154" i="2"/>
  <c r="W154" i="2"/>
  <c r="X154" i="2"/>
  <c r="V155" i="2"/>
  <c r="W155" i="2"/>
  <c r="X155" i="2"/>
  <c r="V156" i="2"/>
  <c r="W156" i="2"/>
  <c r="X156" i="2"/>
  <c r="V157" i="2"/>
  <c r="W157" i="2"/>
  <c r="X157" i="2"/>
  <c r="V158" i="2"/>
  <c r="W158" i="2"/>
  <c r="X158" i="2"/>
  <c r="W361" i="2"/>
  <c r="X361" i="2"/>
  <c r="V160" i="2"/>
  <c r="W160" i="2"/>
  <c r="X160" i="2"/>
  <c r="V161" i="2"/>
  <c r="W161" i="2"/>
  <c r="X161" i="2"/>
  <c r="V162" i="2"/>
  <c r="W162" i="2"/>
  <c r="X162" i="2"/>
  <c r="V163" i="2"/>
  <c r="W163" i="2"/>
  <c r="X163" i="2"/>
  <c r="V164" i="2"/>
  <c r="W164" i="2"/>
  <c r="X164" i="2"/>
  <c r="V165" i="2"/>
  <c r="W165" i="2"/>
  <c r="X165" i="2"/>
  <c r="V166" i="2"/>
  <c r="W166" i="2"/>
  <c r="X166" i="2"/>
  <c r="V167" i="2"/>
  <c r="W167" i="2"/>
  <c r="X167" i="2"/>
  <c r="V168" i="2"/>
  <c r="W168" i="2"/>
  <c r="X168" i="2"/>
  <c r="V169" i="2"/>
  <c r="W169" i="2"/>
  <c r="X169" i="2"/>
  <c r="V170" i="2"/>
  <c r="W170" i="2"/>
  <c r="X170" i="2"/>
  <c r="V171" i="2"/>
  <c r="W171" i="2"/>
  <c r="X171" i="2"/>
  <c r="V172" i="2"/>
  <c r="W172" i="2"/>
  <c r="X172" i="2"/>
  <c r="V173" i="2"/>
  <c r="W173" i="2"/>
  <c r="X173" i="2"/>
  <c r="V174" i="2"/>
  <c r="W174" i="2"/>
  <c r="X174" i="2"/>
  <c r="V175" i="2"/>
  <c r="W175" i="2"/>
  <c r="X175" i="2"/>
  <c r="V176" i="2"/>
  <c r="W176" i="2"/>
  <c r="X176" i="2"/>
  <c r="V177" i="2"/>
  <c r="W177" i="2"/>
  <c r="X177" i="2"/>
  <c r="W364" i="2"/>
  <c r="X364" i="2"/>
  <c r="V178" i="2"/>
  <c r="W178" i="2"/>
  <c r="X178" i="2"/>
  <c r="V179" i="2"/>
  <c r="W179" i="2"/>
  <c r="X179" i="2"/>
  <c r="V180" i="2"/>
  <c r="W180" i="2"/>
  <c r="X180" i="2"/>
  <c r="V181" i="2"/>
  <c r="W181" i="2"/>
  <c r="X181" i="2"/>
  <c r="V182" i="2"/>
  <c r="W182" i="2"/>
  <c r="X182" i="2"/>
  <c r="V183" i="2"/>
  <c r="W183" i="2"/>
  <c r="X183" i="2"/>
  <c r="V184" i="2"/>
  <c r="W184" i="2"/>
  <c r="X184" i="2"/>
  <c r="V185" i="2"/>
  <c r="W185" i="2"/>
  <c r="X185" i="2"/>
  <c r="V186" i="2"/>
  <c r="W186" i="2"/>
  <c r="X186" i="2"/>
  <c r="V187" i="2"/>
  <c r="W187" i="2"/>
  <c r="X187" i="2"/>
  <c r="V188" i="2"/>
  <c r="W188" i="2"/>
  <c r="X188" i="2"/>
  <c r="V189" i="2"/>
  <c r="W189" i="2"/>
  <c r="X189" i="2"/>
  <c r="V190" i="2"/>
  <c r="W190" i="2"/>
  <c r="X190" i="2"/>
  <c r="V191" i="2"/>
  <c r="W191" i="2"/>
  <c r="X191" i="2"/>
  <c r="V192" i="2"/>
  <c r="W192" i="2"/>
  <c r="X192" i="2"/>
  <c r="W365" i="2"/>
  <c r="X365" i="2"/>
  <c r="V193" i="2"/>
  <c r="W193" i="2"/>
  <c r="X193" i="2"/>
  <c r="V194" i="2"/>
  <c r="W194" i="2"/>
  <c r="X194" i="2"/>
  <c r="V195" i="2"/>
  <c r="W195" i="2"/>
  <c r="X195" i="2"/>
  <c r="V196" i="2"/>
  <c r="W196" i="2"/>
  <c r="X196" i="2"/>
  <c r="V197" i="2"/>
  <c r="W197" i="2"/>
  <c r="X197" i="2"/>
  <c r="V198" i="2"/>
  <c r="W198" i="2"/>
  <c r="X198" i="2"/>
  <c r="V199" i="2"/>
  <c r="W199" i="2"/>
  <c r="X199" i="2"/>
  <c r="V200" i="2"/>
  <c r="W200" i="2"/>
  <c r="X200" i="2"/>
  <c r="V201" i="2"/>
  <c r="W201" i="2"/>
  <c r="X201" i="2"/>
  <c r="W366" i="2"/>
  <c r="X366" i="2"/>
  <c r="V202" i="2"/>
  <c r="W202" i="2"/>
  <c r="X202" i="2"/>
  <c r="V203" i="2"/>
  <c r="W203" i="2"/>
  <c r="X203" i="2"/>
  <c r="V204" i="2"/>
  <c r="W204" i="2"/>
  <c r="X204" i="2"/>
  <c r="V205" i="2"/>
  <c r="W205" i="2"/>
  <c r="X205" i="2"/>
  <c r="V206" i="2"/>
  <c r="W206" i="2"/>
  <c r="X206" i="2"/>
  <c r="V207" i="2"/>
  <c r="W207" i="2"/>
  <c r="X207" i="2"/>
  <c r="V208" i="2"/>
  <c r="W208" i="2"/>
  <c r="X208" i="2"/>
  <c r="V209" i="2"/>
  <c r="W209" i="2"/>
  <c r="X209" i="2"/>
  <c r="V210" i="2"/>
  <c r="W210" i="2"/>
  <c r="X210" i="2"/>
  <c r="V211" i="2"/>
  <c r="W211" i="2"/>
  <c r="X211" i="2"/>
  <c r="W367" i="2"/>
  <c r="X367" i="2"/>
  <c r="V212" i="2"/>
  <c r="W212" i="2"/>
  <c r="X212" i="2"/>
  <c r="V213" i="2"/>
  <c r="W213" i="2"/>
  <c r="X213" i="2"/>
  <c r="V214" i="2"/>
  <c r="W214" i="2"/>
  <c r="X214" i="2"/>
  <c r="V215" i="2"/>
  <c r="W215" i="2"/>
  <c r="X215" i="2"/>
  <c r="V216" i="2"/>
  <c r="W216" i="2"/>
  <c r="X216" i="2"/>
  <c r="V217" i="2"/>
  <c r="W217" i="2"/>
  <c r="X217" i="2"/>
  <c r="V218" i="2"/>
  <c r="W218" i="2"/>
  <c r="X218" i="2"/>
  <c r="V219" i="2"/>
  <c r="W219" i="2"/>
  <c r="X219" i="2"/>
  <c r="V220" i="2"/>
  <c r="W220" i="2"/>
  <c r="X220" i="2"/>
  <c r="V221" i="2"/>
  <c r="W221" i="2"/>
  <c r="X221" i="2"/>
  <c r="V222" i="2"/>
  <c r="W222" i="2"/>
  <c r="X222" i="2"/>
  <c r="V223" i="2"/>
  <c r="W223" i="2"/>
  <c r="X223" i="2"/>
  <c r="V224" i="2"/>
  <c r="W224" i="2"/>
  <c r="X224" i="2"/>
  <c r="V225" i="2"/>
  <c r="W225" i="2"/>
  <c r="X225" i="2"/>
  <c r="V226" i="2"/>
  <c r="W226" i="2"/>
  <c r="X226" i="2"/>
  <c r="V227" i="2"/>
  <c r="W227" i="2"/>
  <c r="X227" i="2"/>
  <c r="V228" i="2"/>
  <c r="W228" i="2"/>
  <c r="X228" i="2"/>
  <c r="V229" i="2"/>
  <c r="W229" i="2"/>
  <c r="X229" i="2"/>
  <c r="V230" i="2"/>
  <c r="W230" i="2"/>
  <c r="X230" i="2"/>
  <c r="V231" i="2"/>
  <c r="W231" i="2"/>
  <c r="X231" i="2"/>
  <c r="V232" i="2"/>
  <c r="W232" i="2"/>
  <c r="X232" i="2"/>
  <c r="V233" i="2"/>
  <c r="W233" i="2"/>
  <c r="X233" i="2"/>
  <c r="V234" i="2"/>
  <c r="W234" i="2"/>
  <c r="X234" i="2"/>
  <c r="W368" i="2"/>
  <c r="X368" i="2"/>
  <c r="V235" i="2"/>
  <c r="W235" i="2"/>
  <c r="X235" i="2"/>
  <c r="V236" i="2"/>
  <c r="W236" i="2"/>
  <c r="X236" i="2"/>
  <c r="V237" i="2"/>
  <c r="W237" i="2"/>
  <c r="X237" i="2"/>
  <c r="V238" i="2"/>
  <c r="W238" i="2"/>
  <c r="X238" i="2"/>
  <c r="V239" i="2"/>
  <c r="W239" i="2"/>
  <c r="X239" i="2"/>
  <c r="V240" i="2"/>
  <c r="W240" i="2"/>
  <c r="X240" i="2"/>
  <c r="V241" i="2"/>
  <c r="W241" i="2"/>
  <c r="X241" i="2"/>
  <c r="V242" i="2"/>
  <c r="W242" i="2"/>
  <c r="X242" i="2"/>
  <c r="V243" i="2"/>
  <c r="W243" i="2"/>
  <c r="X243" i="2"/>
  <c r="V244" i="2"/>
  <c r="W244" i="2"/>
  <c r="X244" i="2"/>
  <c r="V245" i="2"/>
  <c r="W245" i="2"/>
  <c r="X245" i="2"/>
  <c r="V246" i="2"/>
  <c r="W246" i="2"/>
  <c r="X246" i="2"/>
  <c r="V247" i="2"/>
  <c r="W247" i="2"/>
  <c r="X247" i="2"/>
  <c r="V248" i="2"/>
  <c r="W248" i="2"/>
  <c r="X248" i="2"/>
  <c r="V249" i="2"/>
  <c r="W249" i="2"/>
  <c r="X249" i="2"/>
  <c r="V250" i="2"/>
  <c r="W250" i="2"/>
  <c r="X250" i="2"/>
  <c r="V251" i="2"/>
  <c r="W251" i="2"/>
  <c r="X251" i="2"/>
  <c r="V252" i="2"/>
  <c r="W252" i="2"/>
  <c r="X252" i="2"/>
  <c r="V253" i="2"/>
  <c r="W253" i="2"/>
  <c r="X253" i="2"/>
  <c r="W369" i="2"/>
  <c r="X369" i="2"/>
  <c r="V254" i="2"/>
  <c r="W254" i="2"/>
  <c r="X254" i="2"/>
  <c r="V255" i="2"/>
  <c r="W255" i="2"/>
  <c r="X255" i="2"/>
  <c r="V256" i="2"/>
  <c r="W256" i="2"/>
  <c r="X256" i="2"/>
  <c r="V257" i="2"/>
  <c r="W257" i="2"/>
  <c r="X257" i="2"/>
  <c r="V258" i="2"/>
  <c r="W258" i="2"/>
  <c r="X258" i="2"/>
  <c r="V259" i="2"/>
  <c r="W259" i="2"/>
  <c r="X259" i="2"/>
  <c r="V260" i="2"/>
  <c r="W260" i="2"/>
  <c r="X260" i="2"/>
  <c r="V261" i="2"/>
  <c r="W261" i="2"/>
  <c r="X261" i="2"/>
  <c r="V262" i="2"/>
  <c r="W262" i="2"/>
  <c r="X262" i="2"/>
  <c r="V263" i="2"/>
  <c r="W263" i="2"/>
  <c r="X263" i="2"/>
  <c r="V264" i="2"/>
  <c r="W264" i="2"/>
  <c r="X264" i="2"/>
  <c r="V265" i="2"/>
  <c r="W265" i="2"/>
  <c r="X265" i="2"/>
  <c r="V266" i="2"/>
  <c r="W266" i="2"/>
  <c r="X266" i="2"/>
  <c r="V267" i="2"/>
  <c r="W267" i="2"/>
  <c r="X267" i="2"/>
  <c r="V268" i="2"/>
  <c r="W268" i="2"/>
  <c r="X268" i="2"/>
  <c r="V269" i="2"/>
  <c r="W269" i="2"/>
  <c r="X269" i="2"/>
  <c r="V270" i="2"/>
  <c r="W270" i="2"/>
  <c r="X270" i="2"/>
  <c r="W370" i="2"/>
  <c r="X370" i="2"/>
  <c r="V273" i="2"/>
  <c r="W273" i="2"/>
  <c r="X273" i="2"/>
  <c r="V274" i="2"/>
  <c r="W274" i="2"/>
  <c r="X274" i="2"/>
  <c r="V275" i="2"/>
  <c r="W275" i="2"/>
  <c r="X275" i="2"/>
  <c r="V276" i="2"/>
  <c r="W276" i="2"/>
  <c r="X276" i="2"/>
  <c r="V277" i="2"/>
  <c r="W277" i="2"/>
  <c r="X277" i="2"/>
  <c r="V278" i="2"/>
  <c r="W278" i="2"/>
  <c r="X278" i="2"/>
  <c r="V279" i="2"/>
  <c r="W279" i="2"/>
  <c r="X279" i="2"/>
  <c r="V280" i="2"/>
  <c r="W280" i="2"/>
  <c r="X280" i="2"/>
  <c r="V281" i="2"/>
  <c r="W281" i="2"/>
  <c r="X281" i="2"/>
  <c r="V282" i="2"/>
  <c r="W282" i="2"/>
  <c r="X282" i="2"/>
  <c r="V283" i="2"/>
  <c r="W283" i="2"/>
  <c r="X283" i="2"/>
  <c r="V284" i="2"/>
  <c r="W284" i="2"/>
  <c r="X284" i="2"/>
  <c r="V285" i="2"/>
  <c r="W285" i="2"/>
  <c r="X285" i="2"/>
  <c r="V286" i="2"/>
  <c r="W286" i="2"/>
  <c r="X286" i="2"/>
  <c r="V287" i="2"/>
  <c r="W287" i="2"/>
  <c r="X287" i="2"/>
  <c r="V288" i="2"/>
  <c r="W288" i="2"/>
  <c r="X288" i="2"/>
  <c r="W371" i="2"/>
  <c r="X371" i="2"/>
  <c r="V289" i="2"/>
  <c r="W289" i="2"/>
  <c r="X289" i="2"/>
  <c r="V290" i="2"/>
  <c r="W290" i="2"/>
  <c r="X290" i="2"/>
  <c r="V291" i="2"/>
  <c r="W291" i="2"/>
  <c r="X291" i="2"/>
  <c r="V292" i="2"/>
  <c r="W292" i="2"/>
  <c r="X292" i="2"/>
  <c r="V293" i="2"/>
  <c r="W293" i="2"/>
  <c r="X293" i="2"/>
  <c r="V294" i="2"/>
  <c r="W294" i="2"/>
  <c r="X294" i="2"/>
  <c r="V295" i="2"/>
  <c r="W295" i="2"/>
  <c r="X295" i="2"/>
  <c r="V296" i="2"/>
  <c r="W296" i="2"/>
  <c r="X296" i="2"/>
  <c r="V297" i="2"/>
  <c r="W297" i="2"/>
  <c r="X297" i="2"/>
  <c r="V298" i="2"/>
  <c r="W298" i="2"/>
  <c r="X298" i="2"/>
  <c r="V299" i="2"/>
  <c r="W299" i="2"/>
  <c r="X299" i="2"/>
  <c r="V300" i="2"/>
  <c r="W300" i="2"/>
  <c r="X300" i="2"/>
  <c r="V301" i="2"/>
  <c r="W301" i="2"/>
  <c r="X301" i="2"/>
  <c r="V302" i="2"/>
  <c r="W302" i="2"/>
  <c r="X302" i="2"/>
  <c r="V303" i="2"/>
  <c r="W303" i="2"/>
  <c r="X303" i="2"/>
  <c r="V304" i="2"/>
  <c r="W304" i="2"/>
  <c r="X304" i="2"/>
  <c r="V305" i="2"/>
  <c r="W305" i="2"/>
  <c r="X305" i="2"/>
  <c r="V306" i="2"/>
  <c r="W306" i="2"/>
  <c r="X306" i="2"/>
  <c r="V307" i="2"/>
  <c r="W307" i="2"/>
  <c r="X307" i="2"/>
  <c r="V308" i="2"/>
  <c r="W308" i="2"/>
  <c r="X308" i="2"/>
  <c r="V309" i="2"/>
  <c r="W309" i="2"/>
  <c r="X309" i="2"/>
  <c r="V310" i="2"/>
  <c r="W310" i="2"/>
  <c r="X310" i="2"/>
  <c r="V311" i="2"/>
  <c r="W311" i="2"/>
  <c r="X311" i="2"/>
  <c r="V312" i="2"/>
  <c r="W312" i="2"/>
  <c r="X312" i="2"/>
  <c r="V313" i="2"/>
  <c r="W313" i="2"/>
  <c r="X313" i="2"/>
  <c r="V314" i="2"/>
  <c r="W314" i="2"/>
  <c r="X314" i="2"/>
  <c r="V315" i="2"/>
  <c r="W315" i="2"/>
  <c r="X315" i="2"/>
  <c r="V316" i="2"/>
  <c r="W316" i="2"/>
  <c r="X316" i="2"/>
  <c r="V317" i="2"/>
  <c r="W317" i="2"/>
  <c r="X317" i="2"/>
  <c r="W372" i="2"/>
  <c r="X372" i="2"/>
  <c r="V318" i="2"/>
  <c r="W318" i="2"/>
  <c r="X318" i="2"/>
  <c r="V319" i="2"/>
  <c r="W319" i="2"/>
  <c r="X319" i="2"/>
  <c r="V320" i="2"/>
  <c r="W320" i="2"/>
  <c r="X320" i="2"/>
  <c r="V321" i="2"/>
  <c r="W321" i="2"/>
  <c r="X321" i="2"/>
  <c r="V322" i="2"/>
  <c r="W322" i="2"/>
  <c r="X322" i="2"/>
  <c r="V323" i="2"/>
  <c r="W323" i="2"/>
  <c r="X323" i="2"/>
  <c r="V324" i="2"/>
  <c r="W324" i="2"/>
  <c r="X324" i="2"/>
  <c r="V325" i="2"/>
  <c r="W325" i="2"/>
  <c r="X325" i="2"/>
  <c r="V326" i="2"/>
  <c r="W326" i="2"/>
  <c r="X326" i="2"/>
  <c r="V327" i="2"/>
  <c r="W327" i="2"/>
  <c r="X327" i="2"/>
  <c r="V328" i="2"/>
  <c r="W328" i="2"/>
  <c r="X328" i="2"/>
  <c r="V329" i="2"/>
  <c r="W329" i="2"/>
  <c r="X329" i="2"/>
  <c r="V330" i="2"/>
  <c r="W330" i="2"/>
  <c r="X330" i="2"/>
  <c r="V331" i="2"/>
  <c r="W331" i="2"/>
  <c r="X331" i="2"/>
  <c r="V332" i="2"/>
  <c r="W332" i="2"/>
  <c r="X332" i="2"/>
  <c r="V333" i="2"/>
  <c r="W333" i="2"/>
  <c r="X333" i="2"/>
  <c r="V334" i="2"/>
  <c r="W334" i="2"/>
  <c r="X334" i="2"/>
  <c r="V335" i="2"/>
  <c r="W335" i="2"/>
  <c r="X335" i="2"/>
  <c r="V336" i="2"/>
  <c r="W336" i="2"/>
  <c r="X336" i="2"/>
  <c r="V337" i="2"/>
  <c r="W337" i="2"/>
  <c r="X337" i="2"/>
  <c r="V338" i="2"/>
  <c r="W338" i="2"/>
  <c r="X338" i="2"/>
  <c r="V339" i="2"/>
  <c r="W339" i="2"/>
  <c r="X339" i="2"/>
  <c r="V340" i="2"/>
  <c r="W340" i="2"/>
  <c r="X340" i="2"/>
  <c r="V341" i="2"/>
  <c r="W341" i="2"/>
  <c r="X341" i="2"/>
  <c r="V342" i="2"/>
  <c r="W342" i="2"/>
  <c r="X342" i="2"/>
  <c r="W373" i="2"/>
  <c r="X373" i="2"/>
  <c r="V343" i="2"/>
  <c r="W343" i="2"/>
  <c r="V344" i="2"/>
  <c r="W344" i="2"/>
  <c r="V345" i="2"/>
  <c r="W345" i="2"/>
  <c r="V346" i="2"/>
  <c r="W346" i="2"/>
  <c r="V347" i="2"/>
  <c r="W347" i="2"/>
  <c r="W18" i="2"/>
  <c r="X18" i="2"/>
  <c r="V18" i="2"/>
  <c r="S92" i="2"/>
  <c r="S75" i="2"/>
  <c r="J52" i="2"/>
  <c r="K52" i="2"/>
  <c r="J53" i="2"/>
  <c r="K53" i="2"/>
  <c r="J51" i="2"/>
  <c r="K51" i="2"/>
  <c r="I160" i="2"/>
  <c r="I161" i="2"/>
  <c r="I162" i="2"/>
  <c r="I163" i="2"/>
  <c r="I164" i="2"/>
  <c r="I165" i="2"/>
  <c r="I166" i="2"/>
  <c r="I167" i="2"/>
  <c r="I168" i="2"/>
  <c r="O168" i="2"/>
  <c r="P168" i="2"/>
  <c r="I169" i="2"/>
  <c r="O169" i="2"/>
  <c r="P169" i="2"/>
  <c r="I170" i="2"/>
  <c r="O170" i="2"/>
  <c r="P170" i="2"/>
  <c r="I171" i="2"/>
  <c r="O171" i="2"/>
  <c r="P171" i="2"/>
  <c r="I172" i="2"/>
  <c r="O172" i="2"/>
  <c r="P172" i="2"/>
  <c r="H172" i="2"/>
  <c r="H171" i="2"/>
  <c r="H170" i="2"/>
  <c r="H169" i="2"/>
  <c r="H168" i="2"/>
  <c r="H167" i="2"/>
  <c r="H166" i="2"/>
  <c r="H165" i="2"/>
  <c r="H163" i="2"/>
  <c r="H162" i="2"/>
  <c r="H160" i="2"/>
  <c r="I156" i="2"/>
  <c r="O156" i="2"/>
  <c r="P156" i="2"/>
  <c r="I157" i="2"/>
  <c r="O157" i="2"/>
  <c r="P157" i="2"/>
  <c r="H157" i="2"/>
  <c r="O139" i="2"/>
  <c r="P139" i="2"/>
  <c r="O140" i="2"/>
  <c r="P140" i="2"/>
  <c r="O141" i="2"/>
  <c r="P141" i="2"/>
  <c r="I125" i="2"/>
  <c r="I126" i="2"/>
  <c r="H126" i="2"/>
  <c r="I107" i="2"/>
  <c r="I108" i="2"/>
  <c r="I109" i="2"/>
  <c r="H109" i="2"/>
  <c r="H108" i="2"/>
  <c r="H107" i="2"/>
  <c r="H125" i="2"/>
  <c r="H156" i="2"/>
  <c r="H361" i="2"/>
  <c r="H161" i="2"/>
  <c r="H164" i="2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K47" i="2" s="1"/>
  <c r="A2301" i="6"/>
  <c r="A2302" i="6"/>
  <c r="A2303" i="6"/>
  <c r="A2304" i="6"/>
  <c r="A2305" i="6"/>
  <c r="P50" i="2" s="1"/>
  <c r="A2306" i="6"/>
  <c r="A2307" i="6"/>
  <c r="A2308" i="6"/>
  <c r="A2309" i="6"/>
  <c r="A2310" i="6"/>
  <c r="A2311" i="6"/>
  <c r="A2312" i="6"/>
  <c r="N48" i="2" s="1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H100" i="2" s="1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M48" i="2" s="1"/>
  <c r="A2454" i="6"/>
  <c r="A2455" i="6"/>
  <c r="A2456" i="6"/>
  <c r="A2457" i="6"/>
  <c r="A2458" i="6"/>
  <c r="A2459" i="6"/>
  <c r="A2460" i="6"/>
  <c r="A2461" i="6"/>
  <c r="L47" i="2" s="1"/>
  <c r="A2462" i="6"/>
  <c r="A2463" i="6"/>
  <c r="A2464" i="6"/>
  <c r="A2465" i="6"/>
  <c r="A2466" i="6"/>
  <c r="A2467" i="6"/>
  <c r="A2468" i="6"/>
  <c r="A2469" i="6"/>
  <c r="O48" i="2" s="1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H96" i="2" s="1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3" i="6"/>
  <c r="A2754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J211" i="2" s="1"/>
  <c r="A2871" i="6"/>
  <c r="K211" i="2" s="1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N66" i="2" s="1"/>
  <c r="A1715" i="6"/>
  <c r="A1716" i="6"/>
  <c r="A1717" i="6"/>
  <c r="A1718" i="6"/>
  <c r="K64" i="2" s="1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H62" i="2" s="1"/>
  <c r="A1798" i="6"/>
  <c r="I62" i="2" s="1"/>
  <c r="A1799" i="6"/>
  <c r="J62" i="2" s="1"/>
  <c r="A1800" i="6"/>
  <c r="K62" i="2" s="1"/>
  <c r="A1801" i="6"/>
  <c r="L62" i="2" s="1"/>
  <c r="A1802" i="6"/>
  <c r="M62" i="2" s="1"/>
  <c r="A1803" i="6"/>
  <c r="N62" i="2" s="1"/>
  <c r="A1804" i="6"/>
  <c r="O62" i="2" s="1"/>
  <c r="A1805" i="6"/>
  <c r="P62" i="2" s="1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P58" i="2" s="1"/>
  <c r="A1900" i="6"/>
  <c r="H59" i="2" s="1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K81" i="2" s="1"/>
  <c r="A2097" i="6"/>
  <c r="A2098" i="6"/>
  <c r="A2099" i="6"/>
  <c r="A2100" i="6"/>
  <c r="O81" i="2" s="1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1342" i="6"/>
  <c r="A1343" i="6"/>
  <c r="A1344" i="6"/>
  <c r="A1345" i="6"/>
  <c r="A1346" i="6"/>
  <c r="A1347" i="6"/>
  <c r="A1348" i="6"/>
  <c r="A1349" i="6"/>
  <c r="A1350" i="6"/>
  <c r="A1351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I47" i="2"/>
  <c r="J47" i="2"/>
  <c r="J48" i="2"/>
  <c r="K48" i="2"/>
  <c r="I50" i="2"/>
  <c r="J50" i="2"/>
  <c r="H50" i="2"/>
  <c r="H149" i="2" l="1"/>
  <c r="H151" i="2"/>
  <c r="H136" i="2"/>
  <c r="L211" i="2"/>
  <c r="O234" i="2"/>
  <c r="P211" i="2"/>
  <c r="H259" i="2"/>
  <c r="O211" i="2"/>
  <c r="P234" i="2"/>
  <c r="O253" i="2"/>
  <c r="H372" i="2"/>
  <c r="M211" i="2"/>
  <c r="I234" i="2"/>
  <c r="I211" i="2"/>
  <c r="M234" i="2"/>
  <c r="K237" i="2"/>
  <c r="K238" i="2"/>
  <c r="K235" i="2"/>
  <c r="K236" i="2"/>
  <c r="I245" i="2"/>
  <c r="I246" i="2"/>
  <c r="I247" i="2"/>
  <c r="I248" i="2"/>
  <c r="K239" i="2"/>
  <c r="K240" i="2"/>
  <c r="P230" i="2"/>
  <c r="P231" i="2"/>
  <c r="P232" i="2"/>
  <c r="P233" i="2"/>
  <c r="H233" i="2"/>
  <c r="H232" i="2"/>
  <c r="H231" i="2"/>
  <c r="H230" i="2"/>
  <c r="P241" i="2"/>
  <c r="P242" i="2"/>
  <c r="P243" i="2"/>
  <c r="P244" i="2"/>
  <c r="H242" i="2"/>
  <c r="H244" i="2"/>
  <c r="H243" i="2"/>
  <c r="O58" i="2"/>
  <c r="P287" i="2"/>
  <c r="P288" i="2"/>
  <c r="H371" i="2"/>
  <c r="H288" i="2"/>
  <c r="H287" i="2"/>
  <c r="I289" i="2"/>
  <c r="I290" i="2"/>
  <c r="I291" i="2"/>
  <c r="O299" i="2"/>
  <c r="O300" i="2"/>
  <c r="O301" i="2"/>
  <c r="O302" i="2"/>
  <c r="O303" i="2"/>
  <c r="O304" i="2"/>
  <c r="N299" i="2"/>
  <c r="N300" i="2"/>
  <c r="N301" i="2"/>
  <c r="N302" i="2"/>
  <c r="N303" i="2"/>
  <c r="N304" i="2"/>
  <c r="N293" i="2"/>
  <c r="N292" i="2"/>
  <c r="N294" i="2"/>
  <c r="J234" i="2"/>
  <c r="I78" i="2"/>
  <c r="K249" i="2"/>
  <c r="K250" i="2"/>
  <c r="K251" i="2"/>
  <c r="K252" i="2"/>
  <c r="J260" i="2"/>
  <c r="J261" i="2"/>
  <c r="J262" i="2"/>
  <c r="J263" i="2"/>
  <c r="P298" i="2"/>
  <c r="P297" i="2"/>
  <c r="P296" i="2"/>
  <c r="P295" i="2"/>
  <c r="O279" i="2"/>
  <c r="O280" i="2"/>
  <c r="P279" i="2"/>
  <c r="P280" i="2"/>
  <c r="N281" i="2"/>
  <c r="N282" i="2"/>
  <c r="M270" i="2"/>
  <c r="M271" i="2"/>
  <c r="L272" i="2"/>
  <c r="L273" i="2"/>
  <c r="L274" i="2"/>
  <c r="L275" i="2"/>
  <c r="L268" i="2"/>
  <c r="L269" i="2"/>
  <c r="L224" i="2"/>
  <c r="L225" i="2"/>
  <c r="L226" i="2"/>
  <c r="L227" i="2"/>
  <c r="L228" i="2"/>
  <c r="L229" i="2"/>
  <c r="O217" i="2"/>
  <c r="O218" i="2"/>
  <c r="O219" i="2"/>
  <c r="J222" i="2"/>
  <c r="J223" i="2"/>
  <c r="J221" i="2"/>
  <c r="J220" i="2"/>
  <c r="I202" i="2"/>
  <c r="I203" i="2"/>
  <c r="N206" i="2"/>
  <c r="N207" i="2"/>
  <c r="N208" i="2"/>
  <c r="N209" i="2"/>
  <c r="N210" i="2"/>
  <c r="N204" i="2"/>
  <c r="N205" i="2"/>
  <c r="I195" i="2"/>
  <c r="I196" i="2"/>
  <c r="I197" i="2"/>
  <c r="J200" i="2"/>
  <c r="J201" i="2"/>
  <c r="J198" i="2"/>
  <c r="J199" i="2"/>
  <c r="H253" i="2"/>
  <c r="H369" i="2"/>
  <c r="P254" i="2"/>
  <c r="P255" i="2"/>
  <c r="P256" i="2"/>
  <c r="P257" i="2"/>
  <c r="H257" i="2"/>
  <c r="H256" i="2"/>
  <c r="H255" i="2"/>
  <c r="J264" i="2"/>
  <c r="J265" i="2"/>
  <c r="J266" i="2"/>
  <c r="J267" i="2"/>
  <c r="L258" i="2"/>
  <c r="L259" i="2"/>
  <c r="M235" i="2"/>
  <c r="M236" i="2"/>
  <c r="M237" i="2"/>
  <c r="M238" i="2"/>
  <c r="K245" i="2"/>
  <c r="K246" i="2"/>
  <c r="K247" i="2"/>
  <c r="K248" i="2"/>
  <c r="M239" i="2"/>
  <c r="M240" i="2"/>
  <c r="J230" i="2"/>
  <c r="J231" i="2"/>
  <c r="J232" i="2"/>
  <c r="J233" i="2"/>
  <c r="J242" i="2"/>
  <c r="J244" i="2"/>
  <c r="J241" i="2"/>
  <c r="J243" i="2"/>
  <c r="M78" i="2"/>
  <c r="O249" i="2"/>
  <c r="O250" i="2"/>
  <c r="O251" i="2"/>
  <c r="O252" i="2"/>
  <c r="N260" i="2"/>
  <c r="N261" i="2"/>
  <c r="N262" i="2"/>
  <c r="N263" i="2"/>
  <c r="N249" i="2"/>
  <c r="N250" i="2"/>
  <c r="N251" i="2"/>
  <c r="N252" i="2"/>
  <c r="M260" i="2"/>
  <c r="M261" i="2"/>
  <c r="M262" i="2"/>
  <c r="M263" i="2"/>
  <c r="L253" i="2"/>
  <c r="K254" i="2"/>
  <c r="K255" i="2"/>
  <c r="K256" i="2"/>
  <c r="K257" i="2"/>
  <c r="M264" i="2"/>
  <c r="M265" i="2"/>
  <c r="M266" i="2"/>
  <c r="M267" i="2"/>
  <c r="O258" i="2"/>
  <c r="O259" i="2"/>
  <c r="P235" i="2"/>
  <c r="P236" i="2"/>
  <c r="P237" i="2"/>
  <c r="P238" i="2"/>
  <c r="H237" i="2"/>
  <c r="H238" i="2"/>
  <c r="H236" i="2"/>
  <c r="N245" i="2"/>
  <c r="N246" i="2"/>
  <c r="N247" i="2"/>
  <c r="N248" i="2"/>
  <c r="P239" i="2"/>
  <c r="P240" i="2"/>
  <c r="H240" i="2"/>
  <c r="M230" i="2"/>
  <c r="M231" i="2"/>
  <c r="M232" i="2"/>
  <c r="M233" i="2"/>
  <c r="M241" i="2"/>
  <c r="M242" i="2"/>
  <c r="M243" i="2"/>
  <c r="M244" i="2"/>
  <c r="L58" i="2"/>
  <c r="M287" i="2"/>
  <c r="M288" i="2"/>
  <c r="N289" i="2"/>
  <c r="N291" i="2"/>
  <c r="N290" i="2"/>
  <c r="K299" i="2"/>
  <c r="K300" i="2"/>
  <c r="K301" i="2"/>
  <c r="K302" i="2"/>
  <c r="K303" i="2"/>
  <c r="K304" i="2"/>
  <c r="K292" i="2"/>
  <c r="K294" i="2"/>
  <c r="K293" i="2"/>
  <c r="J250" i="2"/>
  <c r="J249" i="2"/>
  <c r="J252" i="2"/>
  <c r="J251" i="2"/>
  <c r="I260" i="2"/>
  <c r="I261" i="2"/>
  <c r="I262" i="2"/>
  <c r="I263" i="2"/>
  <c r="H234" i="2"/>
  <c r="H368" i="2"/>
  <c r="O235" i="2"/>
  <c r="O236" i="2"/>
  <c r="O237" i="2"/>
  <c r="O238" i="2"/>
  <c r="M245" i="2"/>
  <c r="M246" i="2"/>
  <c r="M247" i="2"/>
  <c r="M248" i="2"/>
  <c r="O239" i="2"/>
  <c r="O240" i="2"/>
  <c r="L230" i="2"/>
  <c r="L231" i="2"/>
  <c r="L232" i="2"/>
  <c r="L233" i="2"/>
  <c r="L241" i="2"/>
  <c r="L242" i="2"/>
  <c r="L243" i="2"/>
  <c r="L244" i="2"/>
  <c r="K58" i="2"/>
  <c r="L287" i="2"/>
  <c r="L288" i="2"/>
  <c r="M291" i="2"/>
  <c r="M290" i="2"/>
  <c r="M289" i="2"/>
  <c r="J299" i="2"/>
  <c r="J300" i="2"/>
  <c r="J301" i="2"/>
  <c r="J302" i="2"/>
  <c r="J303" i="2"/>
  <c r="J304" i="2"/>
  <c r="J294" i="2"/>
  <c r="J293" i="2"/>
  <c r="J292" i="2"/>
  <c r="O298" i="2"/>
  <c r="O297" i="2"/>
  <c r="O296" i="2"/>
  <c r="O295" i="2"/>
  <c r="H298" i="2"/>
  <c r="H297" i="2"/>
  <c r="H296" i="2"/>
  <c r="N279" i="2"/>
  <c r="N280" i="2"/>
  <c r="H65" i="2"/>
  <c r="M281" i="2"/>
  <c r="M282" i="2"/>
  <c r="J270" i="2"/>
  <c r="J271" i="2"/>
  <c r="K272" i="2"/>
  <c r="K273" i="2"/>
  <c r="K274" i="2"/>
  <c r="K275" i="2"/>
  <c r="K268" i="2"/>
  <c r="K269" i="2"/>
  <c r="K276" i="2"/>
  <c r="K277" i="2"/>
  <c r="K278" i="2"/>
  <c r="K224" i="2"/>
  <c r="K225" i="2"/>
  <c r="K226" i="2"/>
  <c r="K227" i="2"/>
  <c r="K228" i="2"/>
  <c r="K229" i="2"/>
  <c r="N218" i="2"/>
  <c r="N219" i="2"/>
  <c r="N217" i="2"/>
  <c r="I223" i="2"/>
  <c r="I222" i="2"/>
  <c r="I221" i="2"/>
  <c r="I220" i="2"/>
  <c r="P202" i="2"/>
  <c r="P203" i="2"/>
  <c r="H203" i="2"/>
  <c r="M206" i="2"/>
  <c r="M207" i="2"/>
  <c r="M208" i="2"/>
  <c r="M209" i="2"/>
  <c r="M210" i="2"/>
  <c r="M204" i="2"/>
  <c r="M205" i="2"/>
  <c r="P195" i="2"/>
  <c r="P196" i="2"/>
  <c r="P197" i="2"/>
  <c r="H197" i="2"/>
  <c r="H196" i="2"/>
  <c r="I200" i="2"/>
  <c r="I201" i="2"/>
  <c r="I198" i="2"/>
  <c r="I199" i="2"/>
  <c r="O254" i="2"/>
  <c r="O255" i="2"/>
  <c r="O256" i="2"/>
  <c r="O257" i="2"/>
  <c r="I264" i="2"/>
  <c r="I265" i="2"/>
  <c r="I266" i="2"/>
  <c r="I267" i="2"/>
  <c r="K258" i="2"/>
  <c r="K259" i="2"/>
  <c r="L279" i="2"/>
  <c r="L280" i="2"/>
  <c r="I272" i="2"/>
  <c r="I273" i="2"/>
  <c r="H58" i="2"/>
  <c r="I287" i="2"/>
  <c r="I288" i="2"/>
  <c r="J291" i="2"/>
  <c r="J290" i="2"/>
  <c r="J289" i="2"/>
  <c r="P299" i="2"/>
  <c r="P300" i="2"/>
  <c r="P301" i="2"/>
  <c r="P302" i="2"/>
  <c r="P303" i="2"/>
  <c r="P304" i="2"/>
  <c r="H303" i="2"/>
  <c r="H302" i="2"/>
  <c r="H301" i="2"/>
  <c r="H300" i="2"/>
  <c r="H299" i="2"/>
  <c r="H304" i="2"/>
  <c r="O293" i="2"/>
  <c r="O292" i="2"/>
  <c r="O294" i="2"/>
  <c r="H293" i="2"/>
  <c r="H294" i="2"/>
  <c r="O272" i="2"/>
  <c r="O273" i="2"/>
  <c r="O224" i="2"/>
  <c r="O225" i="2"/>
  <c r="O226" i="2"/>
  <c r="O227" i="2"/>
  <c r="O228" i="2"/>
  <c r="O229" i="2"/>
  <c r="J217" i="2"/>
  <c r="J218" i="2"/>
  <c r="J219" i="2"/>
  <c r="L202" i="2"/>
  <c r="L203" i="2"/>
  <c r="L195" i="2"/>
  <c r="L196" i="2"/>
  <c r="L197" i="2"/>
  <c r="M200" i="2"/>
  <c r="M201" i="2"/>
  <c r="M198" i="2"/>
  <c r="M199" i="2"/>
  <c r="H139" i="2"/>
  <c r="H133" i="2"/>
  <c r="I249" i="2"/>
  <c r="I250" i="2"/>
  <c r="I251" i="2"/>
  <c r="I252" i="2"/>
  <c r="P260" i="2"/>
  <c r="P261" i="2"/>
  <c r="P262" i="2"/>
  <c r="P263" i="2"/>
  <c r="H262" i="2"/>
  <c r="H261" i="2"/>
  <c r="H263" i="2"/>
  <c r="N235" i="2"/>
  <c r="N238" i="2"/>
  <c r="N237" i="2"/>
  <c r="N236" i="2"/>
  <c r="L245" i="2"/>
  <c r="L246" i="2"/>
  <c r="L247" i="2"/>
  <c r="L248" i="2"/>
  <c r="N240" i="2"/>
  <c r="N239" i="2"/>
  <c r="K230" i="2"/>
  <c r="K231" i="2"/>
  <c r="K232" i="2"/>
  <c r="K233" i="2"/>
  <c r="K241" i="2"/>
  <c r="K243" i="2"/>
  <c r="K242" i="2"/>
  <c r="K244" i="2"/>
  <c r="J58" i="2"/>
  <c r="K287" i="2"/>
  <c r="K288" i="2"/>
  <c r="L289" i="2"/>
  <c r="L290" i="2"/>
  <c r="L291" i="2"/>
  <c r="I292" i="2"/>
  <c r="I293" i="2"/>
  <c r="I294" i="2"/>
  <c r="N297" i="2"/>
  <c r="N296" i="2"/>
  <c r="N295" i="2"/>
  <c r="N298" i="2"/>
  <c r="M279" i="2"/>
  <c r="M280" i="2"/>
  <c r="L281" i="2"/>
  <c r="L282" i="2"/>
  <c r="I270" i="2"/>
  <c r="I271" i="2"/>
  <c r="J272" i="2"/>
  <c r="J273" i="2"/>
  <c r="J274" i="2"/>
  <c r="J275" i="2"/>
  <c r="J268" i="2"/>
  <c r="J269" i="2"/>
  <c r="J276" i="2"/>
  <c r="J277" i="2"/>
  <c r="J278" i="2"/>
  <c r="J224" i="2"/>
  <c r="J225" i="2"/>
  <c r="J226" i="2"/>
  <c r="J227" i="2"/>
  <c r="J228" i="2"/>
  <c r="J229" i="2"/>
  <c r="M219" i="2"/>
  <c r="M217" i="2"/>
  <c r="M218" i="2"/>
  <c r="P220" i="2"/>
  <c r="P221" i="2"/>
  <c r="P223" i="2"/>
  <c r="P222" i="2"/>
  <c r="H223" i="2"/>
  <c r="H222" i="2"/>
  <c r="H221" i="2"/>
  <c r="O202" i="2"/>
  <c r="O203" i="2"/>
  <c r="L206" i="2"/>
  <c r="L207" i="2"/>
  <c r="L208" i="2"/>
  <c r="L209" i="2"/>
  <c r="L210" i="2"/>
  <c r="L204" i="2"/>
  <c r="L205" i="2"/>
  <c r="O195" i="2"/>
  <c r="O196" i="2"/>
  <c r="O197" i="2"/>
  <c r="P200" i="2"/>
  <c r="P201" i="2"/>
  <c r="H201" i="2"/>
  <c r="H200" i="2"/>
  <c r="H199" i="2"/>
  <c r="H48" i="2"/>
  <c r="P253" i="2"/>
  <c r="N254" i="2"/>
  <c r="N255" i="2"/>
  <c r="N256" i="2"/>
  <c r="N257" i="2"/>
  <c r="P264" i="2"/>
  <c r="P265" i="2"/>
  <c r="P266" i="2"/>
  <c r="P267" i="2"/>
  <c r="H267" i="2"/>
  <c r="H266" i="2"/>
  <c r="H264" i="2"/>
  <c r="H265" i="2"/>
  <c r="J258" i="2"/>
  <c r="J259" i="2"/>
  <c r="M254" i="2"/>
  <c r="M255" i="2"/>
  <c r="M256" i="2"/>
  <c r="M257" i="2"/>
  <c r="O264" i="2"/>
  <c r="O265" i="2"/>
  <c r="O266" i="2"/>
  <c r="O267" i="2"/>
  <c r="I258" i="2"/>
  <c r="I259" i="2"/>
  <c r="M253" i="2"/>
  <c r="L254" i="2"/>
  <c r="L255" i="2"/>
  <c r="L256" i="2"/>
  <c r="L257" i="2"/>
  <c r="N264" i="2"/>
  <c r="N265" i="2"/>
  <c r="N266" i="2"/>
  <c r="N267" i="2"/>
  <c r="P258" i="2"/>
  <c r="P259" i="2"/>
  <c r="I58" i="2"/>
  <c r="J287" i="2"/>
  <c r="J288" i="2"/>
  <c r="K291" i="2"/>
  <c r="K290" i="2"/>
  <c r="K289" i="2"/>
  <c r="I299" i="2"/>
  <c r="I300" i="2"/>
  <c r="I301" i="2"/>
  <c r="I302" i="2"/>
  <c r="I303" i="2"/>
  <c r="I304" i="2"/>
  <c r="P294" i="2"/>
  <c r="P293" i="2"/>
  <c r="P292" i="2"/>
  <c r="K286" i="2"/>
  <c r="K285" i="2"/>
  <c r="K284" i="2"/>
  <c r="K283" i="2"/>
  <c r="M296" i="2"/>
  <c r="M295" i="2"/>
  <c r="M298" i="2"/>
  <c r="M297" i="2"/>
  <c r="K281" i="2"/>
  <c r="K282" i="2"/>
  <c r="I274" i="2"/>
  <c r="I275" i="2"/>
  <c r="I276" i="2"/>
  <c r="I277" i="2"/>
  <c r="I278" i="2"/>
  <c r="I224" i="2"/>
  <c r="I225" i="2"/>
  <c r="I226" i="2"/>
  <c r="I227" i="2"/>
  <c r="I228" i="2"/>
  <c r="I229" i="2"/>
  <c r="L217" i="2"/>
  <c r="L219" i="2"/>
  <c r="L218" i="2"/>
  <c r="O223" i="2"/>
  <c r="O220" i="2"/>
  <c r="O221" i="2"/>
  <c r="O222" i="2"/>
  <c r="N202" i="2"/>
  <c r="N203" i="2"/>
  <c r="K206" i="2"/>
  <c r="K207" i="2"/>
  <c r="K208" i="2"/>
  <c r="K209" i="2"/>
  <c r="K210" i="2"/>
  <c r="K204" i="2"/>
  <c r="K205" i="2"/>
  <c r="N195" i="2"/>
  <c r="N196" i="2"/>
  <c r="N197" i="2"/>
  <c r="O200" i="2"/>
  <c r="O201" i="2"/>
  <c r="O198" i="2"/>
  <c r="O199" i="2"/>
  <c r="P198" i="2"/>
  <c r="P199" i="2"/>
  <c r="J285" i="2"/>
  <c r="J284" i="2"/>
  <c r="J283" i="2"/>
  <c r="J286" i="2"/>
  <c r="L295" i="2"/>
  <c r="L296" i="2"/>
  <c r="L297" i="2"/>
  <c r="L298" i="2"/>
  <c r="K279" i="2"/>
  <c r="K280" i="2"/>
  <c r="J281" i="2"/>
  <c r="J282" i="2"/>
  <c r="P272" i="2"/>
  <c r="P273" i="2"/>
  <c r="H272" i="2"/>
  <c r="H273" i="2"/>
  <c r="P274" i="2"/>
  <c r="P275" i="2"/>
  <c r="H275" i="2"/>
  <c r="H274" i="2"/>
  <c r="P268" i="2"/>
  <c r="P269" i="2"/>
  <c r="P276" i="2"/>
  <c r="P277" i="2"/>
  <c r="P278" i="2"/>
  <c r="H278" i="2"/>
  <c r="H277" i="2"/>
  <c r="P224" i="2"/>
  <c r="P225" i="2"/>
  <c r="P226" i="2"/>
  <c r="P227" i="2"/>
  <c r="P228" i="2"/>
  <c r="P229" i="2"/>
  <c r="H224" i="2"/>
  <c r="H225" i="2"/>
  <c r="H229" i="2"/>
  <c r="H228" i="2"/>
  <c r="H227" i="2"/>
  <c r="H226" i="2"/>
  <c r="K217" i="2"/>
  <c r="K218" i="2"/>
  <c r="K219" i="2"/>
  <c r="N220" i="2"/>
  <c r="N221" i="2"/>
  <c r="N222" i="2"/>
  <c r="N223" i="2"/>
  <c r="M202" i="2"/>
  <c r="M203" i="2"/>
  <c r="J206" i="2"/>
  <c r="J207" i="2"/>
  <c r="J208" i="2"/>
  <c r="J209" i="2"/>
  <c r="J210" i="2"/>
  <c r="J204" i="2"/>
  <c r="J205" i="2"/>
  <c r="M195" i="2"/>
  <c r="M196" i="2"/>
  <c r="M197" i="2"/>
  <c r="N200" i="2"/>
  <c r="N201" i="2"/>
  <c r="N198" i="2"/>
  <c r="N199" i="2"/>
  <c r="I283" i="2"/>
  <c r="I284" i="2"/>
  <c r="I285" i="2"/>
  <c r="I286" i="2"/>
  <c r="K296" i="2"/>
  <c r="K295" i="2"/>
  <c r="K298" i="2"/>
  <c r="K297" i="2"/>
  <c r="O65" i="2"/>
  <c r="J279" i="2"/>
  <c r="J280" i="2"/>
  <c r="I281" i="2"/>
  <c r="I282" i="2"/>
  <c r="O274" i="2"/>
  <c r="O275" i="2"/>
  <c r="O268" i="2"/>
  <c r="O269" i="2"/>
  <c r="O276" i="2"/>
  <c r="O277" i="2"/>
  <c r="O278" i="2"/>
  <c r="M276" i="2"/>
  <c r="M277" i="2"/>
  <c r="M278" i="2"/>
  <c r="M220" i="2"/>
  <c r="M221" i="2"/>
  <c r="M222" i="2"/>
  <c r="M223" i="2"/>
  <c r="I206" i="2"/>
  <c r="I207" i="2"/>
  <c r="I208" i="2"/>
  <c r="I209" i="2"/>
  <c r="I210" i="2"/>
  <c r="I204" i="2"/>
  <c r="I205" i="2"/>
  <c r="L235" i="2"/>
  <c r="L236" i="2"/>
  <c r="L237" i="2"/>
  <c r="L238" i="2"/>
  <c r="J245" i="2"/>
  <c r="J246" i="2"/>
  <c r="J247" i="2"/>
  <c r="J248" i="2"/>
  <c r="L239" i="2"/>
  <c r="L240" i="2"/>
  <c r="I230" i="2"/>
  <c r="I231" i="2"/>
  <c r="I232" i="2"/>
  <c r="I233" i="2"/>
  <c r="I241" i="2"/>
  <c r="I242" i="2"/>
  <c r="I243" i="2"/>
  <c r="I244" i="2"/>
  <c r="H117" i="2"/>
  <c r="M249" i="2"/>
  <c r="M250" i="2"/>
  <c r="M251" i="2"/>
  <c r="M252" i="2"/>
  <c r="L260" i="2"/>
  <c r="L261" i="2"/>
  <c r="L262" i="2"/>
  <c r="L263" i="2"/>
  <c r="L234" i="2"/>
  <c r="J238" i="2"/>
  <c r="J235" i="2"/>
  <c r="J236" i="2"/>
  <c r="J237" i="2"/>
  <c r="P245" i="2"/>
  <c r="P246" i="2"/>
  <c r="P247" i="2"/>
  <c r="P248" i="2"/>
  <c r="H247" i="2"/>
  <c r="H245" i="2"/>
  <c r="H246" i="2"/>
  <c r="H248" i="2"/>
  <c r="J240" i="2"/>
  <c r="J239" i="2"/>
  <c r="O230" i="2"/>
  <c r="O231" i="2"/>
  <c r="O232" i="2"/>
  <c r="O233" i="2"/>
  <c r="O244" i="2"/>
  <c r="O243" i="2"/>
  <c r="O242" i="2"/>
  <c r="O241" i="2"/>
  <c r="N58" i="2"/>
  <c r="O287" i="2"/>
  <c r="O288" i="2"/>
  <c r="P290" i="2"/>
  <c r="P289" i="2"/>
  <c r="P291" i="2"/>
  <c r="H291" i="2"/>
  <c r="H290" i="2"/>
  <c r="M299" i="2"/>
  <c r="M300" i="2"/>
  <c r="M301" i="2"/>
  <c r="M302" i="2"/>
  <c r="M303" i="2"/>
  <c r="M304" i="2"/>
  <c r="M292" i="2"/>
  <c r="M294" i="2"/>
  <c r="M293" i="2"/>
  <c r="H286" i="2"/>
  <c r="H285" i="2"/>
  <c r="H284" i="2"/>
  <c r="H283" i="2"/>
  <c r="J295" i="2"/>
  <c r="J298" i="2"/>
  <c r="J297" i="2"/>
  <c r="J296" i="2"/>
  <c r="I279" i="2"/>
  <c r="I280" i="2"/>
  <c r="P281" i="2"/>
  <c r="P282" i="2"/>
  <c r="H282" i="2"/>
  <c r="H281" i="2"/>
  <c r="N272" i="2"/>
  <c r="N273" i="2"/>
  <c r="N274" i="2"/>
  <c r="N275" i="2"/>
  <c r="N268" i="2"/>
  <c r="N269" i="2"/>
  <c r="N276" i="2"/>
  <c r="N277" i="2"/>
  <c r="N278" i="2"/>
  <c r="L276" i="2"/>
  <c r="L277" i="2"/>
  <c r="L278" i="2"/>
  <c r="N224" i="2"/>
  <c r="N225" i="2"/>
  <c r="N226" i="2"/>
  <c r="N227" i="2"/>
  <c r="N228" i="2"/>
  <c r="N229" i="2"/>
  <c r="I217" i="2"/>
  <c r="I218" i="2"/>
  <c r="I219" i="2"/>
  <c r="L220" i="2"/>
  <c r="L221" i="2"/>
  <c r="L222" i="2"/>
  <c r="L223" i="2"/>
  <c r="K202" i="2"/>
  <c r="K203" i="2"/>
  <c r="P206" i="2"/>
  <c r="P207" i="2"/>
  <c r="P208" i="2"/>
  <c r="P209" i="2"/>
  <c r="P210" i="2"/>
  <c r="H209" i="2"/>
  <c r="H208" i="2"/>
  <c r="H207" i="2"/>
  <c r="H206" i="2"/>
  <c r="H210" i="2"/>
  <c r="P204" i="2"/>
  <c r="P205" i="2"/>
  <c r="H205" i="2"/>
  <c r="K195" i="2"/>
  <c r="K196" i="2"/>
  <c r="K197" i="2"/>
  <c r="L200" i="2"/>
  <c r="L201" i="2"/>
  <c r="L198" i="2"/>
  <c r="L199" i="2"/>
  <c r="J253" i="2"/>
  <c r="J254" i="2"/>
  <c r="J255" i="2"/>
  <c r="J256" i="2"/>
  <c r="J257" i="2"/>
  <c r="L264" i="2"/>
  <c r="L265" i="2"/>
  <c r="L266" i="2"/>
  <c r="L267" i="2"/>
  <c r="N258" i="2"/>
  <c r="N259" i="2"/>
  <c r="P249" i="2"/>
  <c r="P250" i="2"/>
  <c r="P251" i="2"/>
  <c r="P252" i="2"/>
  <c r="H250" i="2"/>
  <c r="H249" i="2"/>
  <c r="H251" i="2"/>
  <c r="H252" i="2"/>
  <c r="O260" i="2"/>
  <c r="O261" i="2"/>
  <c r="O262" i="2"/>
  <c r="O263" i="2"/>
  <c r="L249" i="2"/>
  <c r="L250" i="2"/>
  <c r="L251" i="2"/>
  <c r="L252" i="2"/>
  <c r="K260" i="2"/>
  <c r="K261" i="2"/>
  <c r="K262" i="2"/>
  <c r="K263" i="2"/>
  <c r="I235" i="2"/>
  <c r="I236" i="2"/>
  <c r="I237" i="2"/>
  <c r="I238" i="2"/>
  <c r="O245" i="2"/>
  <c r="O246" i="2"/>
  <c r="O247" i="2"/>
  <c r="O248" i="2"/>
  <c r="I239" i="2"/>
  <c r="I240" i="2"/>
  <c r="N230" i="2"/>
  <c r="N231" i="2"/>
  <c r="N232" i="2"/>
  <c r="N233" i="2"/>
  <c r="N243" i="2"/>
  <c r="N244" i="2"/>
  <c r="N242" i="2"/>
  <c r="N241" i="2"/>
  <c r="M58" i="2"/>
  <c r="N287" i="2"/>
  <c r="N288" i="2"/>
  <c r="O289" i="2"/>
  <c r="O291" i="2"/>
  <c r="O290" i="2"/>
  <c r="L299" i="2"/>
  <c r="L300" i="2"/>
  <c r="L301" i="2"/>
  <c r="L302" i="2"/>
  <c r="L303" i="2"/>
  <c r="L304" i="2"/>
  <c r="L292" i="2"/>
  <c r="L293" i="2"/>
  <c r="L294" i="2"/>
  <c r="I295" i="2"/>
  <c r="I296" i="2"/>
  <c r="I297" i="2"/>
  <c r="I298" i="2"/>
  <c r="H280" i="2"/>
  <c r="L67" i="2"/>
  <c r="O281" i="2"/>
  <c r="O282" i="2"/>
  <c r="N271" i="2"/>
  <c r="N270" i="2"/>
  <c r="M272" i="2"/>
  <c r="M273" i="2"/>
  <c r="M274" i="2"/>
  <c r="M275" i="2"/>
  <c r="M268" i="2"/>
  <c r="M269" i="2"/>
  <c r="M224" i="2"/>
  <c r="M225" i="2"/>
  <c r="M226" i="2"/>
  <c r="M227" i="2"/>
  <c r="M228" i="2"/>
  <c r="M229" i="2"/>
  <c r="P217" i="2"/>
  <c r="P218" i="2"/>
  <c r="P219" i="2"/>
  <c r="H219" i="2"/>
  <c r="H218" i="2"/>
  <c r="K221" i="2"/>
  <c r="K220" i="2"/>
  <c r="K222" i="2"/>
  <c r="K223" i="2"/>
  <c r="J202" i="2"/>
  <c r="J203" i="2"/>
  <c r="O206" i="2"/>
  <c r="O207" i="2"/>
  <c r="O208" i="2"/>
  <c r="O209" i="2"/>
  <c r="O210" i="2"/>
  <c r="O204" i="2"/>
  <c r="O205" i="2"/>
  <c r="J195" i="2"/>
  <c r="J196" i="2"/>
  <c r="J197" i="2"/>
  <c r="K200" i="2"/>
  <c r="K201" i="2"/>
  <c r="I48" i="2"/>
  <c r="K198" i="2"/>
  <c r="K199" i="2"/>
  <c r="I253" i="2"/>
  <c r="I254" i="2"/>
  <c r="I255" i="2"/>
  <c r="I256" i="2"/>
  <c r="I257" i="2"/>
  <c r="K264" i="2"/>
  <c r="K265" i="2"/>
  <c r="K266" i="2"/>
  <c r="K267" i="2"/>
  <c r="M258" i="2"/>
  <c r="M259" i="2"/>
  <c r="O173" i="2"/>
  <c r="O177" i="2"/>
  <c r="O174" i="2"/>
  <c r="O175" i="2"/>
  <c r="O176" i="2"/>
  <c r="K173" i="2"/>
  <c r="K177" i="2"/>
  <c r="K174" i="2"/>
  <c r="K175" i="2"/>
  <c r="K176" i="2"/>
  <c r="H260" i="2"/>
  <c r="N174" i="2"/>
  <c r="N175" i="2"/>
  <c r="N176" i="2"/>
  <c r="N173" i="2"/>
  <c r="N177" i="2"/>
  <c r="J174" i="2"/>
  <c r="J175" i="2"/>
  <c r="J176" i="2"/>
  <c r="J173" i="2"/>
  <c r="J177" i="2"/>
  <c r="H364" i="2"/>
  <c r="N189" i="2"/>
  <c r="N190" i="2"/>
  <c r="N191" i="2"/>
  <c r="N192" i="2"/>
  <c r="J189" i="2"/>
  <c r="J190" i="2"/>
  <c r="J191" i="2"/>
  <c r="J192" i="2"/>
  <c r="P142" i="2"/>
  <c r="P143" i="2"/>
  <c r="P144" i="2"/>
  <c r="P145" i="2"/>
  <c r="L142" i="2"/>
  <c r="L143" i="2"/>
  <c r="L144" i="2"/>
  <c r="L145" i="2"/>
  <c r="H142" i="2"/>
  <c r="H143" i="2"/>
  <c r="H145" i="2"/>
  <c r="H144" i="2"/>
  <c r="P152" i="2"/>
  <c r="P153" i="2"/>
  <c r="P154" i="2"/>
  <c r="P155" i="2"/>
  <c r="H153" i="2"/>
  <c r="H152" i="2"/>
  <c r="H155" i="2"/>
  <c r="H154" i="2"/>
  <c r="J121" i="2"/>
  <c r="J122" i="2"/>
  <c r="J123" i="2"/>
  <c r="J124" i="2"/>
  <c r="L121" i="2"/>
  <c r="L122" i="2"/>
  <c r="L123" i="2"/>
  <c r="L124" i="2"/>
  <c r="M127" i="2"/>
  <c r="M128" i="2"/>
  <c r="I127" i="2"/>
  <c r="I128" i="2"/>
  <c r="P137" i="2"/>
  <c r="P138" i="2"/>
  <c r="L137" i="2"/>
  <c r="L138" i="2"/>
  <c r="H138" i="2"/>
  <c r="H137" i="2"/>
  <c r="P176" i="2"/>
  <c r="P173" i="2"/>
  <c r="P177" i="2"/>
  <c r="P174" i="2"/>
  <c r="P175" i="2"/>
  <c r="L176" i="2"/>
  <c r="L173" i="2"/>
  <c r="L177" i="2"/>
  <c r="L174" i="2"/>
  <c r="L175" i="2"/>
  <c r="H175" i="2"/>
  <c r="H174" i="2"/>
  <c r="H173" i="2"/>
  <c r="H177" i="2"/>
  <c r="H176" i="2"/>
  <c r="H241" i="2"/>
  <c r="H295" i="2"/>
  <c r="H202" i="2"/>
  <c r="H195" i="2"/>
  <c r="L193" i="2"/>
  <c r="L194" i="2"/>
  <c r="I121" i="2"/>
  <c r="I122" i="2"/>
  <c r="I123" i="2"/>
  <c r="I124" i="2"/>
  <c r="H289" i="2"/>
  <c r="H220" i="2"/>
  <c r="H204" i="2"/>
  <c r="H198" i="2"/>
  <c r="H119" i="2"/>
  <c r="P127" i="2"/>
  <c r="P128" i="2"/>
  <c r="L127" i="2"/>
  <c r="L128" i="2"/>
  <c r="H128" i="2"/>
  <c r="H363" i="2"/>
  <c r="H127" i="2"/>
  <c r="O137" i="2"/>
  <c r="O138" i="2"/>
  <c r="K137" i="2"/>
  <c r="K138" i="2"/>
  <c r="P121" i="2"/>
  <c r="P122" i="2"/>
  <c r="P123" i="2"/>
  <c r="P124" i="2"/>
  <c r="H123" i="2"/>
  <c r="H121" i="2"/>
  <c r="H122" i="2"/>
  <c r="H124" i="2"/>
  <c r="N121" i="2"/>
  <c r="N122" i="2"/>
  <c r="N123" i="2"/>
  <c r="N124" i="2"/>
  <c r="O127" i="2"/>
  <c r="O128" i="2"/>
  <c r="K127" i="2"/>
  <c r="K128" i="2"/>
  <c r="N137" i="2"/>
  <c r="N138" i="2"/>
  <c r="J137" i="2"/>
  <c r="J138" i="2"/>
  <c r="H279" i="2"/>
  <c r="H217" i="2"/>
  <c r="N193" i="2"/>
  <c r="N194" i="2"/>
  <c r="M189" i="2"/>
  <c r="M190" i="2"/>
  <c r="M191" i="2"/>
  <c r="M192" i="2"/>
  <c r="I189" i="2"/>
  <c r="I190" i="2"/>
  <c r="I191" i="2"/>
  <c r="I192" i="2"/>
  <c r="O142" i="2"/>
  <c r="O143" i="2"/>
  <c r="O144" i="2"/>
  <c r="O145" i="2"/>
  <c r="K142" i="2"/>
  <c r="K143" i="2"/>
  <c r="K144" i="2"/>
  <c r="K145" i="2"/>
  <c r="O152" i="2"/>
  <c r="O153" i="2"/>
  <c r="O154" i="2"/>
  <c r="O155" i="2"/>
  <c r="K152" i="2"/>
  <c r="K153" i="2"/>
  <c r="K154" i="2"/>
  <c r="K155" i="2"/>
  <c r="N152" i="2"/>
  <c r="N153" i="2"/>
  <c r="N154" i="2"/>
  <c r="N155" i="2"/>
  <c r="P189" i="2"/>
  <c r="P190" i="2"/>
  <c r="P191" i="2"/>
  <c r="P192" i="2"/>
  <c r="L189" i="2"/>
  <c r="L190" i="2"/>
  <c r="L191" i="2"/>
  <c r="L192" i="2"/>
  <c r="H190" i="2"/>
  <c r="H189" i="2"/>
  <c r="H192" i="2"/>
  <c r="H191" i="2"/>
  <c r="N142" i="2"/>
  <c r="N143" i="2"/>
  <c r="N144" i="2"/>
  <c r="N145" i="2"/>
  <c r="J142" i="2"/>
  <c r="J143" i="2"/>
  <c r="J144" i="2"/>
  <c r="J145" i="2"/>
  <c r="J152" i="2"/>
  <c r="J153" i="2"/>
  <c r="J154" i="2"/>
  <c r="J155" i="2"/>
  <c r="M152" i="2"/>
  <c r="M153" i="2"/>
  <c r="M154" i="2"/>
  <c r="M155" i="2"/>
  <c r="O189" i="2"/>
  <c r="O190" i="2"/>
  <c r="O191" i="2"/>
  <c r="O192" i="2"/>
  <c r="K190" i="2"/>
  <c r="K191" i="2"/>
  <c r="K192" i="2"/>
  <c r="K189" i="2"/>
  <c r="H187" i="2"/>
  <c r="M142" i="2"/>
  <c r="M143" i="2"/>
  <c r="M144" i="2"/>
  <c r="M145" i="2"/>
  <c r="I142" i="2"/>
  <c r="I143" i="2"/>
  <c r="I144" i="2"/>
  <c r="I145" i="2"/>
  <c r="I152" i="2"/>
  <c r="I153" i="2"/>
  <c r="I154" i="2"/>
  <c r="I155" i="2"/>
  <c r="L152" i="2"/>
  <c r="L153" i="2"/>
  <c r="L154" i="2"/>
  <c r="L155" i="2"/>
  <c r="O121" i="2"/>
  <c r="O122" i="2"/>
  <c r="O123" i="2"/>
  <c r="O124" i="2"/>
  <c r="K121" i="2"/>
  <c r="K122" i="2"/>
  <c r="K123" i="2"/>
  <c r="K124" i="2"/>
  <c r="M121" i="2"/>
  <c r="M122" i="2"/>
  <c r="M123" i="2"/>
  <c r="M124" i="2"/>
  <c r="N127" i="2"/>
  <c r="N128" i="2"/>
  <c r="J127" i="2"/>
  <c r="J128" i="2"/>
  <c r="M137" i="2"/>
  <c r="M138" i="2"/>
  <c r="I137" i="2"/>
  <c r="I138" i="2"/>
  <c r="M175" i="2"/>
  <c r="M176" i="2"/>
  <c r="M173" i="2"/>
  <c r="M177" i="2"/>
  <c r="M174" i="2"/>
  <c r="I175" i="2"/>
  <c r="I176" i="2"/>
  <c r="I173" i="2"/>
  <c r="I177" i="2"/>
  <c r="I174" i="2"/>
  <c r="H235" i="2"/>
  <c r="H239" i="2"/>
  <c r="H292" i="2"/>
  <c r="H276" i="2"/>
  <c r="M193" i="2"/>
  <c r="M194" i="2"/>
  <c r="H254" i="2"/>
  <c r="H258" i="2"/>
  <c r="H134" i="2"/>
  <c r="H63" i="2"/>
  <c r="O61" i="2"/>
  <c r="K61" i="2"/>
  <c r="O60" i="2"/>
  <c r="K60" i="2"/>
  <c r="O59" i="2"/>
  <c r="K59" i="2"/>
  <c r="N63" i="2"/>
  <c r="J63" i="2"/>
  <c r="H66" i="2"/>
  <c r="N67" i="2"/>
  <c r="O66" i="2"/>
  <c r="K65" i="2"/>
  <c r="M79" i="2"/>
  <c r="M77" i="2"/>
  <c r="O80" i="2"/>
  <c r="N107" i="2"/>
  <c r="N108" i="2"/>
  <c r="N109" i="2"/>
  <c r="P119" i="2"/>
  <c r="P120" i="2"/>
  <c r="L119" i="2"/>
  <c r="L120" i="2"/>
  <c r="H146" i="2"/>
  <c r="N149" i="2"/>
  <c r="N148" i="2"/>
  <c r="K141" i="2"/>
  <c r="K140" i="2"/>
  <c r="K139" i="2"/>
  <c r="K129" i="2"/>
  <c r="K130" i="2"/>
  <c r="K131" i="2"/>
  <c r="K132" i="2"/>
  <c r="K133" i="2"/>
  <c r="K134" i="2"/>
  <c r="M125" i="2"/>
  <c r="M126" i="2"/>
  <c r="N77" i="2"/>
  <c r="N78" i="2"/>
  <c r="N79" i="2"/>
  <c r="I82" i="2"/>
  <c r="I83" i="2"/>
  <c r="I84" i="2"/>
  <c r="L57" i="2"/>
  <c r="L56" i="2"/>
  <c r="L55" i="2"/>
  <c r="L54" i="2"/>
  <c r="M69" i="2"/>
  <c r="M70" i="2"/>
  <c r="M72" i="2"/>
  <c r="M68" i="2"/>
  <c r="M71" i="2"/>
  <c r="P90" i="2"/>
  <c r="P91" i="2"/>
  <c r="P93" i="2"/>
  <c r="P92" i="2"/>
  <c r="L90" i="2"/>
  <c r="L91" i="2"/>
  <c r="L93" i="2"/>
  <c r="L92" i="2"/>
  <c r="H92" i="2"/>
  <c r="H90" i="2"/>
  <c r="H93" i="2"/>
  <c r="H91" i="2"/>
  <c r="O94" i="2"/>
  <c r="O95" i="2"/>
  <c r="O96" i="2"/>
  <c r="N94" i="2"/>
  <c r="N95" i="2"/>
  <c r="N96" i="2"/>
  <c r="J94" i="2"/>
  <c r="J95" i="2"/>
  <c r="J96" i="2"/>
  <c r="P102" i="2"/>
  <c r="P103" i="2"/>
  <c r="P104" i="2"/>
  <c r="P105" i="2"/>
  <c r="P106" i="2"/>
  <c r="I102" i="2"/>
  <c r="I103" i="2"/>
  <c r="I104" i="2"/>
  <c r="I105" i="2"/>
  <c r="I106" i="2"/>
  <c r="O97" i="2"/>
  <c r="O98" i="2"/>
  <c r="K97" i="2"/>
  <c r="K98" i="2"/>
  <c r="O99" i="2"/>
  <c r="O100" i="2"/>
  <c r="O101" i="2"/>
  <c r="K99" i="2"/>
  <c r="K100" i="2"/>
  <c r="K101" i="2"/>
  <c r="O52" i="2"/>
  <c r="O53" i="2"/>
  <c r="O51" i="2"/>
  <c r="I52" i="2"/>
  <c r="I53" i="2"/>
  <c r="I51" i="2"/>
  <c r="O75" i="2"/>
  <c r="O76" i="2"/>
  <c r="O73" i="2"/>
  <c r="O74" i="2"/>
  <c r="K75" i="2"/>
  <c r="K73" i="2"/>
  <c r="K74" i="2"/>
  <c r="K76" i="2"/>
  <c r="H120" i="2"/>
  <c r="H60" i="2"/>
  <c r="N61" i="2"/>
  <c r="J61" i="2"/>
  <c r="N60" i="2"/>
  <c r="J60" i="2"/>
  <c r="N59" i="2"/>
  <c r="J59" i="2"/>
  <c r="M63" i="2"/>
  <c r="I63" i="2"/>
  <c r="H67" i="2"/>
  <c r="O64" i="2"/>
  <c r="I79" i="2"/>
  <c r="I77" i="2"/>
  <c r="K80" i="2"/>
  <c r="P129" i="2"/>
  <c r="P130" i="2"/>
  <c r="P131" i="2"/>
  <c r="P132" i="2"/>
  <c r="L129" i="2"/>
  <c r="L130" i="2"/>
  <c r="L131" i="2"/>
  <c r="L132" i="2"/>
  <c r="H131" i="2"/>
  <c r="H132" i="2"/>
  <c r="H130" i="2"/>
  <c r="H129" i="2"/>
  <c r="P133" i="2"/>
  <c r="P134" i="2"/>
  <c r="L133" i="2"/>
  <c r="L134" i="2"/>
  <c r="J125" i="2"/>
  <c r="J126" i="2"/>
  <c r="N135" i="2"/>
  <c r="N136" i="2"/>
  <c r="L85" i="2"/>
  <c r="L86" i="2"/>
  <c r="L87" i="2"/>
  <c r="L88" i="2"/>
  <c r="L89" i="2"/>
  <c r="P80" i="2"/>
  <c r="P81" i="2"/>
  <c r="J82" i="2"/>
  <c r="J83" i="2"/>
  <c r="J84" i="2"/>
  <c r="M56" i="2"/>
  <c r="M55" i="2"/>
  <c r="M54" i="2"/>
  <c r="M57" i="2"/>
  <c r="P178" i="2"/>
  <c r="P179" i="2"/>
  <c r="P180" i="2"/>
  <c r="P181" i="2"/>
  <c r="L182" i="2"/>
  <c r="L183" i="2"/>
  <c r="L184" i="2"/>
  <c r="M168" i="2"/>
  <c r="M169" i="2"/>
  <c r="M170" i="2"/>
  <c r="M171" i="2"/>
  <c r="M172" i="2"/>
  <c r="M185" i="2"/>
  <c r="M186" i="2"/>
  <c r="M187" i="2"/>
  <c r="M188" i="2"/>
  <c r="L146" i="2"/>
  <c r="L147" i="2"/>
  <c r="M150" i="2"/>
  <c r="M151" i="2"/>
  <c r="M110" i="2"/>
  <c r="M111" i="2"/>
  <c r="M112" i="2"/>
  <c r="M113" i="2"/>
  <c r="O114" i="2"/>
  <c r="O115" i="2"/>
  <c r="O116" i="2"/>
  <c r="K117" i="2"/>
  <c r="K118" i="2"/>
  <c r="M107" i="2"/>
  <c r="M108" i="2"/>
  <c r="M109" i="2"/>
  <c r="O119" i="2"/>
  <c r="O120" i="2"/>
  <c r="O129" i="2"/>
  <c r="O130" i="2"/>
  <c r="O131" i="2"/>
  <c r="O132" i="2"/>
  <c r="O133" i="2"/>
  <c r="O134" i="2"/>
  <c r="I135" i="2"/>
  <c r="I136" i="2"/>
  <c r="J77" i="2"/>
  <c r="J78" i="2"/>
  <c r="J79" i="2"/>
  <c r="I85" i="2"/>
  <c r="I86" i="2"/>
  <c r="I87" i="2"/>
  <c r="I88" i="2"/>
  <c r="I89" i="2"/>
  <c r="K85" i="2"/>
  <c r="K86" i="2"/>
  <c r="K87" i="2"/>
  <c r="K88" i="2"/>
  <c r="K89" i="2"/>
  <c r="H57" i="2"/>
  <c r="H56" i="2"/>
  <c r="H55" i="2"/>
  <c r="H54" i="2"/>
  <c r="L64" i="2"/>
  <c r="L65" i="2"/>
  <c r="L66" i="2"/>
  <c r="P48" i="2"/>
  <c r="H150" i="2"/>
  <c r="P110" i="2"/>
  <c r="P111" i="2"/>
  <c r="P112" i="2"/>
  <c r="P113" i="2"/>
  <c r="L110" i="2"/>
  <c r="L111" i="2"/>
  <c r="L112" i="2"/>
  <c r="L113" i="2"/>
  <c r="H113" i="2"/>
  <c r="H360" i="2"/>
  <c r="H112" i="2"/>
  <c r="H110" i="2"/>
  <c r="H111" i="2"/>
  <c r="N114" i="2"/>
  <c r="N115" i="2"/>
  <c r="N116" i="2"/>
  <c r="J114" i="2"/>
  <c r="J115" i="2"/>
  <c r="J116" i="2"/>
  <c r="N117" i="2"/>
  <c r="N118" i="2"/>
  <c r="J117" i="2"/>
  <c r="J118" i="2"/>
  <c r="O107" i="2"/>
  <c r="O108" i="2"/>
  <c r="O109" i="2"/>
  <c r="K107" i="2"/>
  <c r="K108" i="2"/>
  <c r="K109" i="2"/>
  <c r="L107" i="2"/>
  <c r="L108" i="2"/>
  <c r="L109" i="2"/>
  <c r="N119" i="2"/>
  <c r="N120" i="2"/>
  <c r="J119" i="2"/>
  <c r="J120" i="2"/>
  <c r="N129" i="2"/>
  <c r="N130" i="2"/>
  <c r="N131" i="2"/>
  <c r="N132" i="2"/>
  <c r="J129" i="2"/>
  <c r="J130" i="2"/>
  <c r="J131" i="2"/>
  <c r="J132" i="2"/>
  <c r="N133" i="2"/>
  <c r="N134" i="2"/>
  <c r="J133" i="2"/>
  <c r="J134" i="2"/>
  <c r="P125" i="2"/>
  <c r="P126" i="2"/>
  <c r="L125" i="2"/>
  <c r="L126" i="2"/>
  <c r="P135" i="2"/>
  <c r="P136" i="2"/>
  <c r="L135" i="2"/>
  <c r="L136" i="2"/>
  <c r="H135" i="2"/>
  <c r="H86" i="2"/>
  <c r="H85" i="2"/>
  <c r="H89" i="2"/>
  <c r="H87" i="2"/>
  <c r="H88" i="2"/>
  <c r="N85" i="2"/>
  <c r="N86" i="2"/>
  <c r="N87" i="2"/>
  <c r="N88" i="2"/>
  <c r="N89" i="2"/>
  <c r="J85" i="2"/>
  <c r="J86" i="2"/>
  <c r="J87" i="2"/>
  <c r="J88" i="2"/>
  <c r="J89" i="2"/>
  <c r="N80" i="2"/>
  <c r="N81" i="2"/>
  <c r="J80" i="2"/>
  <c r="J81" i="2"/>
  <c r="H82" i="2"/>
  <c r="H84" i="2"/>
  <c r="H83" i="2"/>
  <c r="M82" i="2"/>
  <c r="M83" i="2"/>
  <c r="M84" i="2"/>
  <c r="O57" i="2"/>
  <c r="O56" i="2"/>
  <c r="O55" i="2"/>
  <c r="O54" i="2"/>
  <c r="K57" i="2"/>
  <c r="K56" i="2"/>
  <c r="K55" i="2"/>
  <c r="K54" i="2"/>
  <c r="P47" i="2"/>
  <c r="P71" i="2"/>
  <c r="P70" i="2"/>
  <c r="P69" i="2"/>
  <c r="P72" i="2"/>
  <c r="P68" i="2"/>
  <c r="L71" i="2"/>
  <c r="L70" i="2"/>
  <c r="L69" i="2"/>
  <c r="L72" i="2"/>
  <c r="L68" i="2"/>
  <c r="H71" i="2"/>
  <c r="H70" i="2"/>
  <c r="H69" i="2"/>
  <c r="H72" i="2"/>
  <c r="H68" i="2"/>
  <c r="P64" i="2"/>
  <c r="P65" i="2"/>
  <c r="P66" i="2"/>
  <c r="I64" i="2"/>
  <c r="I65" i="2"/>
  <c r="I66" i="2"/>
  <c r="I67" i="2"/>
  <c r="O90" i="2"/>
  <c r="O91" i="2"/>
  <c r="O93" i="2"/>
  <c r="O92" i="2"/>
  <c r="K90" i="2"/>
  <c r="K91" i="2"/>
  <c r="K93" i="2"/>
  <c r="K92" i="2"/>
  <c r="M94" i="2"/>
  <c r="M95" i="2"/>
  <c r="M96" i="2"/>
  <c r="O102" i="2"/>
  <c r="O103" i="2"/>
  <c r="O104" i="2"/>
  <c r="O105" i="2"/>
  <c r="O106" i="2"/>
  <c r="K102" i="2"/>
  <c r="K103" i="2"/>
  <c r="K104" i="2"/>
  <c r="K105" i="2"/>
  <c r="K106" i="2"/>
  <c r="N102" i="2"/>
  <c r="N103" i="2"/>
  <c r="N104" i="2"/>
  <c r="N105" i="2"/>
  <c r="N106" i="2"/>
  <c r="H106" i="2"/>
  <c r="H105" i="2"/>
  <c r="H103" i="2"/>
  <c r="H104" i="2"/>
  <c r="H102" i="2"/>
  <c r="N97" i="2"/>
  <c r="N98" i="2"/>
  <c r="J97" i="2"/>
  <c r="J98" i="2"/>
  <c r="N99" i="2"/>
  <c r="N100" i="2"/>
  <c r="N101" i="2"/>
  <c r="J99" i="2"/>
  <c r="J100" i="2"/>
  <c r="J101" i="2"/>
  <c r="N52" i="2"/>
  <c r="N53" i="2"/>
  <c r="N51" i="2"/>
  <c r="H53" i="2"/>
  <c r="H52" i="2"/>
  <c r="H51" i="2"/>
  <c r="N73" i="2"/>
  <c r="N74" i="2"/>
  <c r="N75" i="2"/>
  <c r="N76" i="2"/>
  <c r="J73" i="2"/>
  <c r="J74" i="2"/>
  <c r="J76" i="2"/>
  <c r="J75" i="2"/>
  <c r="H147" i="2"/>
  <c r="H118" i="2"/>
  <c r="H61" i="2"/>
  <c r="M61" i="2"/>
  <c r="I61" i="2"/>
  <c r="M60" i="2"/>
  <c r="I60" i="2"/>
  <c r="M59" i="2"/>
  <c r="I59" i="2"/>
  <c r="P63" i="2"/>
  <c r="L63" i="2"/>
  <c r="H64" i="2"/>
  <c r="P67" i="2"/>
  <c r="K67" i="2"/>
  <c r="K66" i="2"/>
  <c r="L178" i="2"/>
  <c r="L179" i="2"/>
  <c r="L180" i="2"/>
  <c r="L181" i="2"/>
  <c r="H180" i="2"/>
  <c r="H179" i="2"/>
  <c r="H178" i="2"/>
  <c r="M182" i="2"/>
  <c r="M183" i="2"/>
  <c r="M184" i="2"/>
  <c r="N182" i="2"/>
  <c r="N183" i="2"/>
  <c r="N184" i="2"/>
  <c r="I182" i="2"/>
  <c r="I183" i="2"/>
  <c r="I184" i="2"/>
  <c r="N169" i="2"/>
  <c r="N170" i="2"/>
  <c r="N171" i="2"/>
  <c r="N168" i="2"/>
  <c r="N172" i="2"/>
  <c r="J170" i="2"/>
  <c r="J171" i="2"/>
  <c r="J168" i="2"/>
  <c r="J172" i="2"/>
  <c r="J169" i="2"/>
  <c r="N185" i="2"/>
  <c r="N186" i="2"/>
  <c r="N187" i="2"/>
  <c r="N188" i="2"/>
  <c r="J185" i="2"/>
  <c r="J186" i="2"/>
  <c r="J187" i="2"/>
  <c r="J188" i="2"/>
  <c r="M146" i="2"/>
  <c r="M147" i="2"/>
  <c r="I146" i="2"/>
  <c r="I147" i="2"/>
  <c r="O148" i="2"/>
  <c r="O149" i="2"/>
  <c r="K148" i="2"/>
  <c r="K149" i="2"/>
  <c r="L139" i="2"/>
  <c r="L140" i="2"/>
  <c r="L141" i="2"/>
  <c r="H141" i="2"/>
  <c r="H140" i="2"/>
  <c r="N151" i="2"/>
  <c r="N150" i="2"/>
  <c r="J151" i="2"/>
  <c r="J150" i="2"/>
  <c r="N110" i="2"/>
  <c r="N111" i="2"/>
  <c r="N112" i="2"/>
  <c r="N113" i="2"/>
  <c r="J110" i="2"/>
  <c r="J111" i="2"/>
  <c r="J112" i="2"/>
  <c r="J113" i="2"/>
  <c r="P114" i="2"/>
  <c r="P115" i="2"/>
  <c r="P116" i="2"/>
  <c r="L114" i="2"/>
  <c r="L115" i="2"/>
  <c r="L116" i="2"/>
  <c r="H116" i="2"/>
  <c r="H114" i="2"/>
  <c r="P117" i="2"/>
  <c r="P118" i="2"/>
  <c r="L117" i="2"/>
  <c r="L118" i="2"/>
  <c r="N125" i="2"/>
  <c r="N126" i="2"/>
  <c r="J136" i="2"/>
  <c r="J135" i="2"/>
  <c r="O77" i="2"/>
  <c r="O78" i="2"/>
  <c r="O79" i="2"/>
  <c r="K77" i="2"/>
  <c r="K78" i="2"/>
  <c r="K79" i="2"/>
  <c r="P85" i="2"/>
  <c r="P86" i="2"/>
  <c r="P87" i="2"/>
  <c r="P88" i="2"/>
  <c r="P89" i="2"/>
  <c r="L80" i="2"/>
  <c r="L81" i="2"/>
  <c r="H81" i="2"/>
  <c r="H80" i="2"/>
  <c r="O82" i="2"/>
  <c r="O83" i="2"/>
  <c r="O84" i="2"/>
  <c r="I56" i="2"/>
  <c r="I55" i="2"/>
  <c r="I54" i="2"/>
  <c r="I57" i="2"/>
  <c r="N69" i="2"/>
  <c r="N72" i="2"/>
  <c r="N68" i="2"/>
  <c r="N71" i="2"/>
  <c r="N70" i="2"/>
  <c r="J69" i="2"/>
  <c r="J72" i="2"/>
  <c r="J68" i="2"/>
  <c r="J71" i="2"/>
  <c r="J70" i="2"/>
  <c r="J64" i="2"/>
  <c r="J65" i="2"/>
  <c r="J66" i="2"/>
  <c r="M64" i="2"/>
  <c r="M65" i="2"/>
  <c r="M66" i="2"/>
  <c r="M67" i="2"/>
  <c r="M92" i="2"/>
  <c r="M90" i="2"/>
  <c r="M91" i="2"/>
  <c r="M93" i="2"/>
  <c r="I92" i="2"/>
  <c r="I90" i="2"/>
  <c r="I91" i="2"/>
  <c r="I93" i="2"/>
  <c r="P94" i="2"/>
  <c r="P95" i="2"/>
  <c r="P96" i="2"/>
  <c r="H95" i="2"/>
  <c r="H94" i="2"/>
  <c r="K94" i="2"/>
  <c r="K95" i="2"/>
  <c r="K96" i="2"/>
  <c r="L102" i="2"/>
  <c r="L103" i="2"/>
  <c r="L104" i="2"/>
  <c r="L105" i="2"/>
  <c r="L106" i="2"/>
  <c r="P97" i="2"/>
  <c r="P98" i="2"/>
  <c r="L97" i="2"/>
  <c r="L98" i="2"/>
  <c r="H98" i="2"/>
  <c r="H97" i="2"/>
  <c r="P99" i="2"/>
  <c r="P100" i="2"/>
  <c r="P101" i="2"/>
  <c r="L99" i="2"/>
  <c r="L100" i="2"/>
  <c r="L101" i="2"/>
  <c r="H101" i="2"/>
  <c r="H99" i="2"/>
  <c r="P52" i="2"/>
  <c r="P53" i="2"/>
  <c r="P51" i="2"/>
  <c r="L52" i="2"/>
  <c r="L53" i="2"/>
  <c r="L51" i="2"/>
  <c r="P75" i="2"/>
  <c r="P73" i="2"/>
  <c r="P74" i="2"/>
  <c r="P76" i="2"/>
  <c r="L75" i="2"/>
  <c r="L73" i="2"/>
  <c r="L74" i="2"/>
  <c r="L76" i="2"/>
  <c r="H75" i="2"/>
  <c r="H76" i="2"/>
  <c r="H74" i="2"/>
  <c r="H73" i="2"/>
  <c r="H181" i="2"/>
  <c r="K178" i="2"/>
  <c r="K179" i="2"/>
  <c r="K180" i="2"/>
  <c r="K181" i="2"/>
  <c r="H183" i="2"/>
  <c r="H182" i="2"/>
  <c r="I185" i="2"/>
  <c r="I186" i="2"/>
  <c r="I187" i="2"/>
  <c r="I188" i="2"/>
  <c r="P146" i="2"/>
  <c r="P147" i="2"/>
  <c r="J149" i="2"/>
  <c r="J148" i="2"/>
  <c r="I150" i="2"/>
  <c r="I151" i="2"/>
  <c r="I110" i="2"/>
  <c r="I111" i="2"/>
  <c r="I112" i="2"/>
  <c r="I113" i="2"/>
  <c r="K114" i="2"/>
  <c r="K115" i="2"/>
  <c r="K116" i="2"/>
  <c r="O117" i="2"/>
  <c r="O118" i="2"/>
  <c r="P107" i="2"/>
  <c r="P108" i="2"/>
  <c r="P109" i="2"/>
  <c r="K119" i="2"/>
  <c r="K120" i="2"/>
  <c r="M135" i="2"/>
  <c r="M136" i="2"/>
  <c r="O85" i="2"/>
  <c r="O86" i="2"/>
  <c r="O87" i="2"/>
  <c r="O88" i="2"/>
  <c r="O89" i="2"/>
  <c r="N82" i="2"/>
  <c r="N83" i="2"/>
  <c r="N84" i="2"/>
  <c r="P57" i="2"/>
  <c r="P56" i="2"/>
  <c r="P55" i="2"/>
  <c r="P54" i="2"/>
  <c r="I69" i="2"/>
  <c r="I70" i="2"/>
  <c r="I72" i="2"/>
  <c r="I68" i="2"/>
  <c r="I71" i="2"/>
  <c r="H365" i="2"/>
  <c r="N50" i="2"/>
  <c r="H47" i="2"/>
  <c r="O178" i="2"/>
  <c r="O179" i="2"/>
  <c r="O180" i="2"/>
  <c r="O181" i="2"/>
  <c r="J178" i="2"/>
  <c r="J179" i="2"/>
  <c r="J180" i="2"/>
  <c r="J181" i="2"/>
  <c r="P182" i="2"/>
  <c r="P183" i="2"/>
  <c r="P184" i="2"/>
  <c r="K182" i="2"/>
  <c r="K183" i="2"/>
  <c r="K184" i="2"/>
  <c r="L168" i="2"/>
  <c r="L169" i="2"/>
  <c r="L170" i="2"/>
  <c r="L171" i="2"/>
  <c r="L172" i="2"/>
  <c r="P185" i="2"/>
  <c r="P186" i="2"/>
  <c r="P187" i="2"/>
  <c r="P188" i="2"/>
  <c r="L185" i="2"/>
  <c r="L186" i="2"/>
  <c r="L187" i="2"/>
  <c r="L188" i="2"/>
  <c r="H186" i="2"/>
  <c r="H185" i="2"/>
  <c r="H188" i="2"/>
  <c r="O146" i="2"/>
  <c r="O147" i="2"/>
  <c r="K146" i="2"/>
  <c r="K147" i="2"/>
  <c r="M148" i="2"/>
  <c r="M149" i="2"/>
  <c r="I148" i="2"/>
  <c r="I149" i="2"/>
  <c r="N139" i="2"/>
  <c r="N140" i="2"/>
  <c r="N141" i="2"/>
  <c r="J139" i="2"/>
  <c r="J140" i="2"/>
  <c r="J141" i="2"/>
  <c r="P150" i="2"/>
  <c r="P151" i="2"/>
  <c r="L150" i="2"/>
  <c r="L151" i="2"/>
  <c r="K50" i="2"/>
  <c r="M178" i="2"/>
  <c r="M179" i="2"/>
  <c r="M180" i="2"/>
  <c r="M181" i="2"/>
  <c r="N178" i="2"/>
  <c r="N179" i="2"/>
  <c r="N180" i="2"/>
  <c r="N181" i="2"/>
  <c r="I178" i="2"/>
  <c r="I179" i="2"/>
  <c r="I180" i="2"/>
  <c r="I181" i="2"/>
  <c r="O182" i="2"/>
  <c r="O183" i="2"/>
  <c r="O184" i="2"/>
  <c r="J182" i="2"/>
  <c r="J183" i="2"/>
  <c r="J184" i="2"/>
  <c r="K168" i="2"/>
  <c r="K169" i="2"/>
  <c r="K170" i="2"/>
  <c r="K171" i="2"/>
  <c r="K172" i="2"/>
  <c r="O185" i="2"/>
  <c r="O186" i="2"/>
  <c r="O187" i="2"/>
  <c r="O188" i="2"/>
  <c r="K185" i="2"/>
  <c r="K186" i="2"/>
  <c r="K187" i="2"/>
  <c r="K188" i="2"/>
  <c r="N147" i="2"/>
  <c r="N146" i="2"/>
  <c r="J147" i="2"/>
  <c r="J146" i="2"/>
  <c r="P148" i="2"/>
  <c r="P149" i="2"/>
  <c r="L148" i="2"/>
  <c r="L149" i="2"/>
  <c r="H148" i="2"/>
  <c r="M139" i="2"/>
  <c r="M140" i="2"/>
  <c r="M141" i="2"/>
  <c r="I139" i="2"/>
  <c r="I140" i="2"/>
  <c r="I141" i="2"/>
  <c r="O150" i="2"/>
  <c r="O151" i="2"/>
  <c r="K150" i="2"/>
  <c r="K151" i="2"/>
  <c r="O110" i="2"/>
  <c r="O111" i="2"/>
  <c r="O112" i="2"/>
  <c r="O113" i="2"/>
  <c r="K110" i="2"/>
  <c r="K111" i="2"/>
  <c r="K112" i="2"/>
  <c r="K113" i="2"/>
  <c r="M114" i="2"/>
  <c r="M115" i="2"/>
  <c r="M116" i="2"/>
  <c r="I114" i="2"/>
  <c r="I115" i="2"/>
  <c r="I116" i="2"/>
  <c r="M117" i="2"/>
  <c r="M118" i="2"/>
  <c r="I117" i="2"/>
  <c r="I118" i="2"/>
  <c r="J107" i="2"/>
  <c r="J108" i="2"/>
  <c r="J109" i="2"/>
  <c r="M119" i="2"/>
  <c r="M120" i="2"/>
  <c r="I119" i="2"/>
  <c r="I120" i="2"/>
  <c r="M129" i="2"/>
  <c r="M131" i="2"/>
  <c r="M130" i="2"/>
  <c r="M132" i="2"/>
  <c r="I129" i="2"/>
  <c r="I131" i="2"/>
  <c r="I130" i="2"/>
  <c r="I132" i="2"/>
  <c r="M134" i="2"/>
  <c r="M133" i="2"/>
  <c r="I133" i="2"/>
  <c r="I134" i="2"/>
  <c r="O125" i="2"/>
  <c r="O126" i="2"/>
  <c r="K125" i="2"/>
  <c r="K126" i="2"/>
  <c r="O136" i="2"/>
  <c r="O135" i="2"/>
  <c r="K135" i="2"/>
  <c r="K136" i="2"/>
  <c r="P77" i="2"/>
  <c r="P78" i="2"/>
  <c r="P79" i="2"/>
  <c r="L77" i="2"/>
  <c r="L78" i="2"/>
  <c r="L79" i="2"/>
  <c r="H77" i="2"/>
  <c r="M85" i="2"/>
  <c r="M86" i="2"/>
  <c r="M87" i="2"/>
  <c r="M88" i="2"/>
  <c r="M89" i="2"/>
  <c r="M80" i="2"/>
  <c r="M81" i="2"/>
  <c r="I80" i="2"/>
  <c r="I81" i="2"/>
  <c r="K82" i="2"/>
  <c r="K83" i="2"/>
  <c r="K84" i="2"/>
  <c r="P82" i="2"/>
  <c r="P83" i="2"/>
  <c r="P84" i="2"/>
  <c r="L82" i="2"/>
  <c r="L83" i="2"/>
  <c r="L84" i="2"/>
  <c r="N54" i="2"/>
  <c r="N57" i="2"/>
  <c r="N56" i="2"/>
  <c r="N55" i="2"/>
  <c r="J54" i="2"/>
  <c r="J57" i="2"/>
  <c r="J56" i="2"/>
  <c r="J55" i="2"/>
  <c r="N47" i="2"/>
  <c r="O70" i="2"/>
  <c r="O72" i="2"/>
  <c r="O68" i="2"/>
  <c r="O71" i="2"/>
  <c r="O69" i="2"/>
  <c r="K70" i="2"/>
  <c r="K72" i="2"/>
  <c r="K68" i="2"/>
  <c r="K71" i="2"/>
  <c r="K69" i="2"/>
  <c r="N64" i="2"/>
  <c r="N65" i="2"/>
  <c r="N92" i="2"/>
  <c r="N90" i="2"/>
  <c r="N91" i="2"/>
  <c r="N93" i="2"/>
  <c r="J92" i="2"/>
  <c r="J90" i="2"/>
  <c r="J91" i="2"/>
  <c r="J93" i="2"/>
  <c r="I94" i="2"/>
  <c r="I95" i="2"/>
  <c r="I96" i="2"/>
  <c r="L94" i="2"/>
  <c r="L95" i="2"/>
  <c r="L96" i="2"/>
  <c r="J102" i="2"/>
  <c r="J103" i="2"/>
  <c r="J104" i="2"/>
  <c r="J105" i="2"/>
  <c r="J106" i="2"/>
  <c r="M102" i="2"/>
  <c r="M103" i="2"/>
  <c r="M104" i="2"/>
  <c r="M105" i="2"/>
  <c r="M106" i="2"/>
  <c r="M97" i="2"/>
  <c r="M98" i="2"/>
  <c r="I97" i="2"/>
  <c r="I98" i="2"/>
  <c r="M99" i="2"/>
  <c r="M100" i="2"/>
  <c r="M101" i="2"/>
  <c r="I99" i="2"/>
  <c r="I100" i="2"/>
  <c r="I101" i="2"/>
  <c r="M52" i="2"/>
  <c r="M53" i="2"/>
  <c r="M51" i="2"/>
  <c r="M75" i="2"/>
  <c r="M76" i="2"/>
  <c r="M73" i="2"/>
  <c r="M74" i="2"/>
  <c r="I75" i="2"/>
  <c r="I73" i="2"/>
  <c r="I74" i="2"/>
  <c r="I76" i="2"/>
  <c r="H184" i="2"/>
  <c r="H362" i="2"/>
  <c r="H115" i="2"/>
  <c r="H79" i="2"/>
  <c r="P61" i="2"/>
  <c r="L61" i="2"/>
  <c r="P60" i="2"/>
  <c r="L60" i="2"/>
  <c r="P59" i="2"/>
  <c r="L59" i="2"/>
  <c r="O63" i="2"/>
  <c r="K63" i="2"/>
  <c r="O67" i="2"/>
  <c r="J67" i="2"/>
  <c r="H78" i="2"/>
  <c r="L50" i="2"/>
  <c r="L48" i="2"/>
  <c r="O47" i="2"/>
  <c r="O50" i="2"/>
  <c r="M47" i="2"/>
  <c r="M50" i="2"/>
  <c r="I18" i="2"/>
  <c r="J18" i="2"/>
  <c r="K18" i="2"/>
  <c r="L18" i="2"/>
  <c r="M18" i="2"/>
  <c r="N18" i="2"/>
  <c r="O18" i="2"/>
  <c r="P18" i="2"/>
  <c r="I19" i="2"/>
  <c r="J19" i="2"/>
  <c r="K19" i="2"/>
  <c r="L19" i="2"/>
  <c r="M19" i="2"/>
  <c r="N19" i="2"/>
  <c r="O19" i="2"/>
  <c r="P19" i="2"/>
  <c r="I20" i="2"/>
  <c r="J20" i="2"/>
  <c r="K20" i="2"/>
  <c r="L20" i="2"/>
  <c r="M20" i="2"/>
  <c r="N20" i="2"/>
  <c r="O20" i="2"/>
  <c r="P20" i="2"/>
  <c r="I21" i="2"/>
  <c r="J21" i="2"/>
  <c r="K21" i="2"/>
  <c r="L21" i="2"/>
  <c r="M21" i="2"/>
  <c r="N21" i="2"/>
  <c r="O21" i="2"/>
  <c r="P21" i="2"/>
  <c r="I22" i="2"/>
  <c r="J22" i="2"/>
  <c r="K22" i="2"/>
  <c r="L22" i="2"/>
  <c r="M22" i="2"/>
  <c r="N22" i="2"/>
  <c r="O22" i="2"/>
  <c r="P22" i="2"/>
  <c r="I23" i="2"/>
  <c r="J23" i="2"/>
  <c r="K23" i="2"/>
  <c r="L23" i="2"/>
  <c r="M23" i="2"/>
  <c r="N23" i="2"/>
  <c r="O23" i="2"/>
  <c r="P23" i="2"/>
  <c r="I24" i="2"/>
  <c r="J24" i="2"/>
  <c r="K24" i="2"/>
  <c r="L24" i="2"/>
  <c r="M24" i="2"/>
  <c r="N24" i="2"/>
  <c r="O24" i="2"/>
  <c r="P24" i="2"/>
  <c r="I25" i="2"/>
  <c r="J25" i="2"/>
  <c r="K25" i="2"/>
  <c r="L25" i="2"/>
  <c r="M25" i="2"/>
  <c r="N25" i="2"/>
  <c r="O25" i="2"/>
  <c r="P25" i="2"/>
  <c r="K348" i="2"/>
  <c r="L348" i="2"/>
  <c r="M348" i="2"/>
  <c r="N348" i="2"/>
  <c r="O348" i="2"/>
  <c r="P348" i="2"/>
  <c r="I26" i="2"/>
  <c r="J26" i="2"/>
  <c r="K26" i="2"/>
  <c r="L26" i="2"/>
  <c r="M26" i="2"/>
  <c r="N26" i="2"/>
  <c r="O26" i="2"/>
  <c r="P26" i="2"/>
  <c r="I27" i="2"/>
  <c r="J27" i="2"/>
  <c r="K27" i="2"/>
  <c r="L27" i="2"/>
  <c r="M27" i="2"/>
  <c r="N27" i="2"/>
  <c r="O27" i="2"/>
  <c r="P27" i="2"/>
  <c r="I28" i="2"/>
  <c r="J28" i="2"/>
  <c r="K28" i="2"/>
  <c r="L28" i="2"/>
  <c r="M28" i="2"/>
  <c r="N28" i="2"/>
  <c r="O28" i="2"/>
  <c r="P28" i="2"/>
  <c r="I29" i="2"/>
  <c r="J29" i="2"/>
  <c r="K29" i="2"/>
  <c r="L29" i="2"/>
  <c r="M29" i="2"/>
  <c r="N29" i="2"/>
  <c r="O29" i="2"/>
  <c r="P29" i="2"/>
  <c r="I30" i="2"/>
  <c r="J30" i="2"/>
  <c r="K30" i="2"/>
  <c r="L30" i="2"/>
  <c r="M30" i="2"/>
  <c r="N30" i="2"/>
  <c r="O30" i="2"/>
  <c r="P30" i="2"/>
  <c r="I31" i="2"/>
  <c r="J31" i="2"/>
  <c r="K31" i="2"/>
  <c r="L31" i="2"/>
  <c r="M31" i="2"/>
  <c r="N31" i="2"/>
  <c r="O31" i="2"/>
  <c r="P31" i="2"/>
  <c r="I32" i="2"/>
  <c r="J32" i="2"/>
  <c r="K32" i="2"/>
  <c r="L32" i="2"/>
  <c r="M32" i="2"/>
  <c r="N32" i="2"/>
  <c r="O32" i="2"/>
  <c r="P32" i="2"/>
  <c r="I33" i="2"/>
  <c r="J33" i="2"/>
  <c r="K33" i="2"/>
  <c r="L33" i="2"/>
  <c r="M33" i="2"/>
  <c r="N33" i="2"/>
  <c r="O33" i="2"/>
  <c r="P33" i="2"/>
  <c r="I34" i="2"/>
  <c r="J34" i="2"/>
  <c r="K34" i="2"/>
  <c r="L34" i="2"/>
  <c r="M34" i="2"/>
  <c r="N34" i="2"/>
  <c r="O34" i="2"/>
  <c r="P34" i="2"/>
  <c r="I35" i="2"/>
  <c r="J35" i="2"/>
  <c r="K35" i="2"/>
  <c r="L35" i="2"/>
  <c r="M35" i="2"/>
  <c r="N35" i="2"/>
  <c r="O35" i="2"/>
  <c r="P35" i="2"/>
  <c r="I36" i="2"/>
  <c r="J36" i="2"/>
  <c r="K36" i="2"/>
  <c r="L36" i="2"/>
  <c r="M36" i="2"/>
  <c r="N36" i="2"/>
  <c r="O36" i="2"/>
  <c r="P36" i="2"/>
  <c r="I37" i="2"/>
  <c r="J37" i="2"/>
  <c r="K37" i="2"/>
  <c r="L37" i="2"/>
  <c r="M37" i="2"/>
  <c r="N37" i="2"/>
  <c r="O37" i="2"/>
  <c r="P37" i="2"/>
  <c r="I38" i="2"/>
  <c r="J38" i="2"/>
  <c r="K38" i="2"/>
  <c r="L38" i="2"/>
  <c r="M38" i="2"/>
  <c r="N38" i="2"/>
  <c r="O38" i="2"/>
  <c r="P38" i="2"/>
  <c r="I39" i="2"/>
  <c r="J39" i="2"/>
  <c r="K39" i="2"/>
  <c r="L39" i="2"/>
  <c r="M39" i="2"/>
  <c r="N39" i="2"/>
  <c r="O39" i="2"/>
  <c r="P39" i="2"/>
  <c r="I40" i="2"/>
  <c r="J40" i="2"/>
  <c r="K40" i="2"/>
  <c r="L40" i="2"/>
  <c r="M40" i="2"/>
  <c r="N40" i="2"/>
  <c r="O40" i="2"/>
  <c r="P40" i="2"/>
  <c r="I41" i="2"/>
  <c r="J41" i="2"/>
  <c r="K41" i="2"/>
  <c r="L41" i="2"/>
  <c r="M41" i="2"/>
  <c r="N41" i="2"/>
  <c r="O41" i="2"/>
  <c r="P41" i="2"/>
  <c r="I42" i="2"/>
  <c r="J42" i="2"/>
  <c r="K42" i="2"/>
  <c r="L42" i="2"/>
  <c r="M42" i="2"/>
  <c r="N42" i="2"/>
  <c r="O42" i="2"/>
  <c r="P42" i="2"/>
  <c r="I43" i="2"/>
  <c r="J43" i="2"/>
  <c r="K43" i="2"/>
  <c r="L43" i="2"/>
  <c r="M43" i="2"/>
  <c r="N43" i="2"/>
  <c r="O43" i="2"/>
  <c r="P43" i="2"/>
  <c r="I44" i="2"/>
  <c r="J44" i="2"/>
  <c r="K44" i="2"/>
  <c r="L44" i="2"/>
  <c r="M44" i="2"/>
  <c r="N44" i="2"/>
  <c r="O44" i="2"/>
  <c r="P44" i="2"/>
  <c r="I45" i="2"/>
  <c r="J45" i="2"/>
  <c r="K45" i="2"/>
  <c r="L45" i="2"/>
  <c r="M45" i="2"/>
  <c r="N45" i="2"/>
  <c r="O45" i="2"/>
  <c r="P45" i="2"/>
  <c r="I349" i="2"/>
  <c r="J349" i="2"/>
  <c r="K349" i="2"/>
  <c r="L349" i="2"/>
  <c r="M349" i="2"/>
  <c r="N349" i="2"/>
  <c r="O349" i="2"/>
  <c r="P349" i="2"/>
  <c r="H349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A9" i="6" l="1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8" i="6"/>
  <c r="O158" i="2" l="1"/>
  <c r="O159" i="2"/>
  <c r="K158" i="2"/>
  <c r="K159" i="2"/>
  <c r="N159" i="2"/>
  <c r="N158" i="2"/>
  <c r="J158" i="2"/>
  <c r="J159" i="2"/>
  <c r="M159" i="2"/>
  <c r="M158" i="2"/>
  <c r="L159" i="2"/>
  <c r="L158" i="2"/>
  <c r="O165" i="2"/>
  <c r="O166" i="2"/>
  <c r="O167" i="2"/>
  <c r="J160" i="2"/>
  <c r="J161" i="2"/>
  <c r="J162" i="2"/>
  <c r="N163" i="2"/>
  <c r="N164" i="2"/>
  <c r="J164" i="2"/>
  <c r="J163" i="2"/>
  <c r="L156" i="2"/>
  <c r="L157" i="2"/>
  <c r="J166" i="2"/>
  <c r="J165" i="2"/>
  <c r="J167" i="2"/>
  <c r="K160" i="2"/>
  <c r="K161" i="2"/>
  <c r="K162" i="2"/>
  <c r="K163" i="2"/>
  <c r="K164" i="2"/>
  <c r="L165" i="2"/>
  <c r="L166" i="2"/>
  <c r="L167" i="2"/>
  <c r="N160" i="2"/>
  <c r="N161" i="2"/>
  <c r="N162" i="2"/>
  <c r="M160" i="2"/>
  <c r="M161" i="2"/>
  <c r="M162" i="2"/>
  <c r="M163" i="2"/>
  <c r="M164" i="2"/>
  <c r="K156" i="2"/>
  <c r="K157" i="2"/>
  <c r="N167" i="2"/>
  <c r="N166" i="2"/>
  <c r="N165" i="2"/>
  <c r="O160" i="2"/>
  <c r="O161" i="2"/>
  <c r="O162" i="2"/>
  <c r="O163" i="2"/>
  <c r="O164" i="2"/>
  <c r="K165" i="2"/>
  <c r="K166" i="2"/>
  <c r="K167" i="2"/>
  <c r="P160" i="2"/>
  <c r="P161" i="2"/>
  <c r="P162" i="2"/>
  <c r="L160" i="2"/>
  <c r="L161" i="2"/>
  <c r="L162" i="2"/>
  <c r="P163" i="2"/>
  <c r="P164" i="2"/>
  <c r="L163" i="2"/>
  <c r="L164" i="2"/>
  <c r="N156" i="2"/>
  <c r="N157" i="2"/>
  <c r="J156" i="2"/>
  <c r="J157" i="2"/>
  <c r="P165" i="2"/>
  <c r="P166" i="2"/>
  <c r="P167" i="2"/>
  <c r="M165" i="2"/>
  <c r="M166" i="2"/>
  <c r="M167" i="2"/>
  <c r="M156" i="2"/>
  <c r="M157" i="2"/>
  <c r="S19" i="2"/>
  <c r="S20" i="2"/>
  <c r="S21" i="2"/>
  <c r="S22" i="2"/>
  <c r="S23" i="2"/>
  <c r="S24" i="2"/>
  <c r="S25" i="2"/>
  <c r="S348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349" i="2"/>
  <c r="S46" i="2"/>
  <c r="S350" i="2"/>
  <c r="S47" i="2"/>
  <c r="S48" i="2"/>
  <c r="S50" i="2"/>
  <c r="S51" i="2"/>
  <c r="S52" i="2"/>
  <c r="S53" i="2"/>
  <c r="S351" i="2"/>
  <c r="S54" i="2"/>
  <c r="S55" i="2"/>
  <c r="S56" i="2"/>
  <c r="S57" i="2"/>
  <c r="S352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353" i="2"/>
  <c r="S73" i="2"/>
  <c r="S354" i="2"/>
  <c r="S74" i="2"/>
  <c r="S76" i="2"/>
  <c r="S355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356" i="2"/>
  <c r="S90" i="2"/>
  <c r="S357" i="2"/>
  <c r="S91" i="2"/>
  <c r="S93" i="2"/>
  <c r="S358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359" i="2"/>
  <c r="S107" i="2"/>
  <c r="S108" i="2"/>
  <c r="S109" i="2"/>
  <c r="S110" i="2"/>
  <c r="S111" i="2"/>
  <c r="S112" i="2"/>
  <c r="S113" i="2"/>
  <c r="S360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363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362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361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364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365" i="2"/>
  <c r="S193" i="2"/>
  <c r="S194" i="2"/>
  <c r="S195" i="2"/>
  <c r="S196" i="2"/>
  <c r="S197" i="2"/>
  <c r="S198" i="2"/>
  <c r="S199" i="2"/>
  <c r="S200" i="2"/>
  <c r="S201" i="2"/>
  <c r="S366" i="2"/>
  <c r="S202" i="2"/>
  <c r="S203" i="2"/>
  <c r="S204" i="2"/>
  <c r="S205" i="2"/>
  <c r="S206" i="2"/>
  <c r="S207" i="2"/>
  <c r="S208" i="2"/>
  <c r="S209" i="2"/>
  <c r="S210" i="2"/>
  <c r="S211" i="2"/>
  <c r="S367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368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369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370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371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72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73" i="2"/>
  <c r="S343" i="2"/>
  <c r="S344" i="2"/>
  <c r="S345" i="2"/>
  <c r="S346" i="2"/>
  <c r="S347" i="2"/>
  <c r="S18" i="2"/>
</calcChain>
</file>

<file path=xl/sharedStrings.xml><?xml version="1.0" encoding="utf-8"?>
<sst xmlns="http://schemas.openxmlformats.org/spreadsheetml/2006/main" count="20436" uniqueCount="1622">
  <si>
    <t>R1</t>
  </si>
  <si>
    <t>R2</t>
  </si>
  <si>
    <t>R3</t>
  </si>
  <si>
    <t>R4</t>
  </si>
  <si>
    <t>R5</t>
  </si>
  <si>
    <t>R6</t>
  </si>
  <si>
    <t>R7</t>
  </si>
  <si>
    <t>R8</t>
  </si>
  <si>
    <t>R9</t>
  </si>
  <si>
    <t>UC_Desc</t>
  </si>
  <si>
    <t>UC_N</t>
  </si>
  <si>
    <t>CSET_CN</t>
  </si>
  <si>
    <t>UC_FLO</t>
  </si>
  <si>
    <t>PSET_SET</t>
  </si>
  <si>
    <t>UC_RHSRT</t>
  </si>
  <si>
    <t>UC_RHSRT~0</t>
  </si>
  <si>
    <t>LimType</t>
  </si>
  <si>
    <t>~UC_Sets: R_E: R1,R2,R3,R4,R5,R6,R7,R8,R9</t>
  </si>
  <si>
    <t>~UC_Sets: T_E:</t>
  </si>
  <si>
    <t>IXN_ASP</t>
  </si>
  <si>
    <t>IXN_ELC</t>
  </si>
  <si>
    <t>IXN_LPG</t>
  </si>
  <si>
    <t>IXN_NGA</t>
  </si>
  <si>
    <t>IXN_BIO</t>
  </si>
  <si>
    <t>S_IFDFSNGA</t>
  </si>
  <si>
    <t>IFDFS_NGA</t>
  </si>
  <si>
    <t>S_IFDFSLPG</t>
  </si>
  <si>
    <t>IFDFS_LPG</t>
  </si>
  <si>
    <t>S_IFDFSBIO</t>
  </si>
  <si>
    <t>IFDFS_BIO</t>
  </si>
  <si>
    <t>S_IFDSTELC</t>
  </si>
  <si>
    <t>IFDST_ELC</t>
  </si>
  <si>
    <t>S_IFDSTRFL</t>
  </si>
  <si>
    <t>IFDST_RFL</t>
  </si>
  <si>
    <t>S_IFDSTDST</t>
  </si>
  <si>
    <t>IFDST_DST</t>
  </si>
  <si>
    <t>S_IFDSTNGA</t>
  </si>
  <si>
    <t>IFDST_NGA</t>
  </si>
  <si>
    <t>S_IFDSTCOA</t>
  </si>
  <si>
    <t>IFDST_COA</t>
  </si>
  <si>
    <t>IFDST_CHP</t>
  </si>
  <si>
    <t>S_IFDPHELC</t>
  </si>
  <si>
    <t>IFDPH_ELC</t>
  </si>
  <si>
    <t>S_IFDPHRFL</t>
  </si>
  <si>
    <t>IFDPH_RFL</t>
  </si>
  <si>
    <t>S_IFDPHDST</t>
  </si>
  <si>
    <t>IFDPH_DST</t>
  </si>
  <si>
    <t>S_IFDPHNGA</t>
  </si>
  <si>
    <t>IFDPH_NGA</t>
  </si>
  <si>
    <t>S_IFDPHLPG</t>
  </si>
  <si>
    <t>IFDPH_LPG</t>
  </si>
  <si>
    <t>S_IFDPHCOA</t>
  </si>
  <si>
    <t>IFDPH_COA</t>
  </si>
  <si>
    <t>S_IFDMDELC</t>
  </si>
  <si>
    <t>IFDMD_ELC</t>
  </si>
  <si>
    <t>S_IFDMDDST</t>
  </si>
  <si>
    <t>IFDMD_DST</t>
  </si>
  <si>
    <t>S_IFDMDNGA</t>
  </si>
  <si>
    <t>IFDMD_NGA</t>
  </si>
  <si>
    <t>S_IFDFAELC</t>
  </si>
  <si>
    <t>IFDFA_ELC</t>
  </si>
  <si>
    <t>S_IFDFADST</t>
  </si>
  <si>
    <t>IFDFA_DST</t>
  </si>
  <si>
    <t>S_IFDFANGA</t>
  </si>
  <si>
    <t>IFDFA_NGA</t>
  </si>
  <si>
    <t>S_IFDFALPG</t>
  </si>
  <si>
    <t>IFDFA_LPG</t>
  </si>
  <si>
    <t>S_IFDFACOA</t>
  </si>
  <si>
    <t>IFDFA_COA</t>
  </si>
  <si>
    <t>S_IFDOHELC</t>
  </si>
  <si>
    <t>IFDOH_ELC</t>
  </si>
  <si>
    <t>S_IFDOHRFL</t>
  </si>
  <si>
    <t>IFDOH_RFL</t>
  </si>
  <si>
    <t>S_IFDOHDST</t>
  </si>
  <si>
    <t>IFDOH_DST</t>
  </si>
  <si>
    <t>S_IFDOHNGA</t>
  </si>
  <si>
    <t>IFDOH_NGA</t>
  </si>
  <si>
    <t>S_IFDOHCOA</t>
  </si>
  <si>
    <t>IFDOH_COA</t>
  </si>
  <si>
    <t>S_IFDOHBIO</t>
  </si>
  <si>
    <t>IFDOH_BIO</t>
  </si>
  <si>
    <t>IFDOH_CHP</t>
  </si>
  <si>
    <t>S_IPLSTNGA</t>
  </si>
  <si>
    <t>IPLST_NGA</t>
  </si>
  <si>
    <t>S_IPLSTCHP</t>
  </si>
  <si>
    <t>IPLST_CHP</t>
  </si>
  <si>
    <t>S_IPLPHELC</t>
  </si>
  <si>
    <t>IPLPH_ELC</t>
  </si>
  <si>
    <t>S_IPLPHRFL</t>
  </si>
  <si>
    <t>IPLPH_RFL</t>
  </si>
  <si>
    <t>S_IPLPHNGA</t>
  </si>
  <si>
    <t>IPLPH_NGA</t>
  </si>
  <si>
    <t>S_IPLOHBIO</t>
  </si>
  <si>
    <t>IPLOH_BIO</t>
  </si>
  <si>
    <t>S_IPLOHPTC</t>
  </si>
  <si>
    <t>IPLOH_PTC</t>
  </si>
  <si>
    <t>S_IPLOHOTP</t>
  </si>
  <si>
    <t>IPLOH_OTP</t>
  </si>
  <si>
    <t>S_IPLOHCHP</t>
  </si>
  <si>
    <t>IPLOH_CHP</t>
  </si>
  <si>
    <t>S_IPASTELC</t>
  </si>
  <si>
    <t>IPAST_ELC</t>
  </si>
  <si>
    <t>S_IPASTRFL</t>
  </si>
  <si>
    <t>IPAST_RFL</t>
  </si>
  <si>
    <t>S_IPASTNGA</t>
  </si>
  <si>
    <t>IPAST_NGA</t>
  </si>
  <si>
    <t>S_IPASTCOA</t>
  </si>
  <si>
    <t>IPAST_COA</t>
  </si>
  <si>
    <t>S_IPASTCHP</t>
  </si>
  <si>
    <t>IPAST_CHP</t>
  </si>
  <si>
    <t>S_IPAPHELC</t>
  </si>
  <si>
    <t>IPAPH_ELC</t>
  </si>
  <si>
    <t>S_IPAPHRFL</t>
  </si>
  <si>
    <t>IPAPH_RFL</t>
  </si>
  <si>
    <t>S_IPAPHNGA</t>
  </si>
  <si>
    <t>IPAPH_NGA</t>
  </si>
  <si>
    <t>S_IPAPHCOA</t>
  </si>
  <si>
    <t>IPAPH_COA</t>
  </si>
  <si>
    <t>S_IPAMDELC</t>
  </si>
  <si>
    <t>IPAMD_ELC</t>
  </si>
  <si>
    <t>S_IPAMDNGA</t>
  </si>
  <si>
    <t>IPAMD_NGA</t>
  </si>
  <si>
    <t>S_IPAFAELC</t>
  </si>
  <si>
    <t>IPAFA_ELC</t>
  </si>
  <si>
    <t>S_IPAFARFL</t>
  </si>
  <si>
    <t>IPAFA_RFL</t>
  </si>
  <si>
    <t>S_IPAFADST</t>
  </si>
  <si>
    <t>IPAFA_DST</t>
  </si>
  <si>
    <t>S_IPAFANGA</t>
  </si>
  <si>
    <t>IPAFA_NGA</t>
  </si>
  <si>
    <t>S_IPAOHELC</t>
  </si>
  <si>
    <t>IPAOH_ELC</t>
  </si>
  <si>
    <t>S_IPAOHNGA</t>
  </si>
  <si>
    <t>IPAOH_NGA</t>
  </si>
  <si>
    <t>S_IPAOHBIO</t>
  </si>
  <si>
    <t>IPAOH_BIO</t>
  </si>
  <si>
    <t>S_IPAOHPTC</t>
  </si>
  <si>
    <t>IPAOH_PTC</t>
  </si>
  <si>
    <t>S_IPAOHOTP</t>
  </si>
  <si>
    <t>IPAOH_OTP</t>
  </si>
  <si>
    <t>S_IPAOHCHP</t>
  </si>
  <si>
    <t>IPAOH_CHP</t>
  </si>
  <si>
    <t>S_IPBSTELC</t>
  </si>
  <si>
    <t>IPBST_ELC</t>
  </si>
  <si>
    <t>S_IPBSTRFL</t>
  </si>
  <si>
    <t>IPBST_RFL</t>
  </si>
  <si>
    <t>S_IPBSTNGA</t>
  </si>
  <si>
    <t>IPBST_NGA</t>
  </si>
  <si>
    <t>S_IPBSTCOA</t>
  </si>
  <si>
    <t>IPBST_COA</t>
  </si>
  <si>
    <t>S_IPBSTCHP</t>
  </si>
  <si>
    <t>IPBST_CHP</t>
  </si>
  <si>
    <t>S_IPBPHELC</t>
  </si>
  <si>
    <t>IPBPH_ELC</t>
  </si>
  <si>
    <t>S_IPBPHRFL</t>
  </si>
  <si>
    <t>IPBPH_RFL</t>
  </si>
  <si>
    <t>S_IPBPHNGA</t>
  </si>
  <si>
    <t>IPBPH_NGA</t>
  </si>
  <si>
    <t>S_IPBMDELC</t>
  </si>
  <si>
    <t>IPBMD_ELC</t>
  </si>
  <si>
    <t>S_IPBMDNGA</t>
  </si>
  <si>
    <t>IPBMD_NGA</t>
  </si>
  <si>
    <t>S_IPBFAELC</t>
  </si>
  <si>
    <t>IPBFA_ELC</t>
  </si>
  <si>
    <t>S_IPBFADST</t>
  </si>
  <si>
    <t>IPBFA_DST</t>
  </si>
  <si>
    <t>S_IPBFANGA</t>
  </si>
  <si>
    <t>IPBFA_NGA</t>
  </si>
  <si>
    <t>S_IPBOHELC</t>
  </si>
  <si>
    <t>IPBOH_ELC</t>
  </si>
  <si>
    <t>S_IPBOHNGA</t>
  </si>
  <si>
    <t>IPBOH_NGA</t>
  </si>
  <si>
    <t>S_IPBOHBIO</t>
  </si>
  <si>
    <t>IPBOH_BIO</t>
  </si>
  <si>
    <t>S_IPBOHPTC</t>
  </si>
  <si>
    <t>IPBOH_PTC</t>
  </si>
  <si>
    <t>S_IPBOHOTP</t>
  </si>
  <si>
    <t>IPBOH_OTP</t>
  </si>
  <si>
    <t>S_IPBOHCHP</t>
  </si>
  <si>
    <t>IPBOH_CHP</t>
  </si>
  <si>
    <t>S_IPOSTELC</t>
  </si>
  <si>
    <t>IPOST_ELC</t>
  </si>
  <si>
    <t>S_IPOSTRFL</t>
  </si>
  <si>
    <t>IPOST_RFL</t>
  </si>
  <si>
    <t>S_IPOSTNGA</t>
  </si>
  <si>
    <t>IPOST_NGA</t>
  </si>
  <si>
    <t>S_IPOSTCOA</t>
  </si>
  <si>
    <t>IPOST_COA</t>
  </si>
  <si>
    <t>S_IPOSTCHP</t>
  </si>
  <si>
    <t>IPOST_CHP</t>
  </si>
  <si>
    <t>S_IPOPHELC</t>
  </si>
  <si>
    <t>IPOPH_ELC</t>
  </si>
  <si>
    <t>S_IPOPHDST</t>
  </si>
  <si>
    <t>IPOPH_DST</t>
  </si>
  <si>
    <t>S_IPOPHNGA</t>
  </si>
  <si>
    <t>IPOPH_NGA</t>
  </si>
  <si>
    <t>S_IPOMDELC</t>
  </si>
  <si>
    <t>IPOMD_ELC</t>
  </si>
  <si>
    <t>S_IPOMDNGA</t>
  </si>
  <si>
    <t>IPOMD_NGA</t>
  </si>
  <si>
    <t>S_IPOFAELC</t>
  </si>
  <si>
    <t>IPOFA_ELC</t>
  </si>
  <si>
    <t>S_IPOFANGA</t>
  </si>
  <si>
    <t>IPOFA_NGA</t>
  </si>
  <si>
    <t>S_IPOFALPG</t>
  </si>
  <si>
    <t>IPOFA_LPG</t>
  </si>
  <si>
    <t>S_IPOOHELC</t>
  </si>
  <si>
    <t>IPOOH_ELC</t>
  </si>
  <si>
    <t>S_IPOOHNGA</t>
  </si>
  <si>
    <t>IPOOH_NGA</t>
  </si>
  <si>
    <t>S_IPOOHBIO</t>
  </si>
  <si>
    <t>IPOOH_BIO</t>
  </si>
  <si>
    <t>S_IPOOHPTC</t>
  </si>
  <si>
    <t>IPOOH_PTC</t>
  </si>
  <si>
    <t>S_IPOOHOTP</t>
  </si>
  <si>
    <t>IPOOH_OTP</t>
  </si>
  <si>
    <t>S_IPOOHCHP</t>
  </si>
  <si>
    <t>IPOOH_CHP</t>
  </si>
  <si>
    <t>S_ICOFSNGA</t>
  </si>
  <si>
    <t>ICOFS_NGA</t>
  </si>
  <si>
    <t>S_ICOFSLPG</t>
  </si>
  <si>
    <t>ICOFS_LPG</t>
  </si>
  <si>
    <t>S_ICOFSPFS</t>
  </si>
  <si>
    <t>ICOFS_PFS</t>
  </si>
  <si>
    <t>S_ICOSTELC</t>
  </si>
  <si>
    <t>ICOST_ELC</t>
  </si>
  <si>
    <t>S_ICOSTRFL</t>
  </si>
  <si>
    <t>ICOST_RFL</t>
  </si>
  <si>
    <t>S_ICOSTNGA</t>
  </si>
  <si>
    <t>ICOST_NGA</t>
  </si>
  <si>
    <t>S_ICOSTCOA</t>
  </si>
  <si>
    <t>ICOST_COA</t>
  </si>
  <si>
    <t>S_ICOSTCHP</t>
  </si>
  <si>
    <t>ICOST_CHP</t>
  </si>
  <si>
    <t>S_ICOPHELC</t>
  </si>
  <si>
    <t>ICOPH_ELC</t>
  </si>
  <si>
    <t>S_ICOPHNGA</t>
  </si>
  <si>
    <t>ICOPH_NGA</t>
  </si>
  <si>
    <t>S_ICOPHCOA</t>
  </si>
  <si>
    <t>ICOPH_COA</t>
  </si>
  <si>
    <t>S_ICOMDELC</t>
  </si>
  <si>
    <t>ICOMD_ELC</t>
  </si>
  <si>
    <t>S_ICOMDNGA</t>
  </si>
  <si>
    <t>ICOMD_NGA</t>
  </si>
  <si>
    <t>S_ICOFAELC</t>
  </si>
  <si>
    <t>ICOFA_ELC</t>
  </si>
  <si>
    <t>S_ICOFANGA</t>
  </si>
  <si>
    <t>ICOFA_NGA</t>
  </si>
  <si>
    <t>S_ICOOHDST</t>
  </si>
  <si>
    <t>ICOOH_DST</t>
  </si>
  <si>
    <t>S_ICOOHNGA</t>
  </si>
  <si>
    <t>ICOOH_NGA</t>
  </si>
  <si>
    <t>S_ICOOHLPG</t>
  </si>
  <si>
    <t>ICOOH_LPG</t>
  </si>
  <si>
    <t>S_ICOOHOTP</t>
  </si>
  <si>
    <t>ICOOH_OTP</t>
  </si>
  <si>
    <t>S_ICIFSNGA</t>
  </si>
  <si>
    <t>ICIFS_NGA</t>
  </si>
  <si>
    <t>S_ICIFSPFS</t>
  </si>
  <si>
    <t>ICIFS_PFS</t>
  </si>
  <si>
    <t>S_ICISTNGA</t>
  </si>
  <si>
    <t>ICIST_NGA</t>
  </si>
  <si>
    <t>S_ICISTCOA</t>
  </si>
  <si>
    <t>ICIST_COA</t>
  </si>
  <si>
    <t>ICIST_CHP</t>
  </si>
  <si>
    <t>S_ICIPHELC</t>
  </si>
  <si>
    <t>ICIPH_ELC</t>
  </si>
  <si>
    <t>S_ICIPHRFL</t>
  </si>
  <si>
    <t>ICIPH_RFL</t>
  </si>
  <si>
    <t>S_ICIPHNGA</t>
  </si>
  <si>
    <t>ICIPH_NGA</t>
  </si>
  <si>
    <t>S_ICIPHCOA</t>
  </si>
  <si>
    <t>ICIPH_COA</t>
  </si>
  <si>
    <t>S_ICIMDELC</t>
  </si>
  <si>
    <t>ICIMD_ELC</t>
  </si>
  <si>
    <t>S_ICIMDNGA</t>
  </si>
  <si>
    <t>ICIMD_NGA</t>
  </si>
  <si>
    <t>S_ICIFAELC</t>
  </si>
  <si>
    <t>ICIFA_ELC</t>
  </si>
  <si>
    <t>S_ICIFANGA</t>
  </si>
  <si>
    <t>ICIFA_NGA</t>
  </si>
  <si>
    <t>S_ICIOHELC</t>
  </si>
  <si>
    <t>ICIOH_ELC</t>
  </si>
  <si>
    <t>S_ICIOHOTP</t>
  </si>
  <si>
    <t>ICIOH_OTP</t>
  </si>
  <si>
    <t>S_ICPFSNGA</t>
  </si>
  <si>
    <t>ICPFS_NGA</t>
  </si>
  <si>
    <t>S_ICPFSLPG</t>
  </si>
  <si>
    <t>ICPFS_LPG</t>
  </si>
  <si>
    <t>S_ICPFSPFS</t>
  </si>
  <si>
    <t>ICPFS_PFS</t>
  </si>
  <si>
    <t>S_ICPSTELC</t>
  </si>
  <si>
    <t>ICPST_ELC</t>
  </si>
  <si>
    <t>S_ICPSTNGA</t>
  </si>
  <si>
    <t>ICPST_NGA</t>
  </si>
  <si>
    <t>S_ICPSTLPG</t>
  </si>
  <si>
    <t>ICPST_LPG</t>
  </si>
  <si>
    <t>S_ICPSTCOA</t>
  </si>
  <si>
    <t>ICPST_COA</t>
  </si>
  <si>
    <t>ICPST_CHP</t>
  </si>
  <si>
    <t>S_ICPPHELC</t>
  </si>
  <si>
    <t>ICPPH_ELC</t>
  </si>
  <si>
    <t>S_ICPPHNGA</t>
  </si>
  <si>
    <t>ICPPH_NGA</t>
  </si>
  <si>
    <t>S_ICPMDELC</t>
  </si>
  <si>
    <t>ICPMD_ELC</t>
  </si>
  <si>
    <t>S_ICPMDNGA</t>
  </si>
  <si>
    <t>ICPMD_NGA</t>
  </si>
  <si>
    <t>S_ICPFAELC</t>
  </si>
  <si>
    <t>ICPFA_ELC</t>
  </si>
  <si>
    <t>S_ICPFANGA</t>
  </si>
  <si>
    <t>ICPFA_NGA</t>
  </si>
  <si>
    <t>S_ICPOHELC</t>
  </si>
  <si>
    <t>ICPOH_ELC</t>
  </si>
  <si>
    <t>S_ICPOHRFL</t>
  </si>
  <si>
    <t>ICPOH_RFL</t>
  </si>
  <si>
    <t>S_ICPOHDST</t>
  </si>
  <si>
    <t>ICPOH_DST</t>
  </si>
  <si>
    <t>S_ICPOHOTP</t>
  </si>
  <si>
    <t>ICPOH_OTP</t>
  </si>
  <si>
    <t>S_ICAFSNGA</t>
  </si>
  <si>
    <t>ICAFS_NGA</t>
  </si>
  <si>
    <t>S_ICAFSPFS</t>
  </si>
  <si>
    <t>ICAFS_PFS</t>
  </si>
  <si>
    <t>S_ICASTNGA</t>
  </si>
  <si>
    <t>ICAST_NGA</t>
  </si>
  <si>
    <t>ICAST_CHP</t>
  </si>
  <si>
    <t>S_ICAPHELC</t>
  </si>
  <si>
    <t>ICAPH_ELC</t>
  </si>
  <si>
    <t>S_ICAPHNGA</t>
  </si>
  <si>
    <t>ICAPH_NGA</t>
  </si>
  <si>
    <t>S_ICAPHCOA</t>
  </si>
  <si>
    <t>ICAPH_COA</t>
  </si>
  <si>
    <t>S_ICAMDELC</t>
  </si>
  <si>
    <t>ICAMD_ELC</t>
  </si>
  <si>
    <t>S_ICAMDNGA</t>
  </si>
  <si>
    <t>ICAMD_NGA</t>
  </si>
  <si>
    <t>S_ICAFAELC</t>
  </si>
  <si>
    <t>ICAFA_ELC</t>
  </si>
  <si>
    <t>S_ICAFADST</t>
  </si>
  <si>
    <t>ICAFA_DST</t>
  </si>
  <si>
    <t>S_ICAFANGA</t>
  </si>
  <si>
    <t>ICAFA_NGA</t>
  </si>
  <si>
    <t>S_ICTFSRFL</t>
  </si>
  <si>
    <t>ICTFS_RFL</t>
  </si>
  <si>
    <t>S_ICTFSNGA</t>
  </si>
  <si>
    <t>ICTFS_NGA</t>
  </si>
  <si>
    <t>S_ICTFSBIO</t>
  </si>
  <si>
    <t>ICTFS_BIO</t>
  </si>
  <si>
    <t>S_ICTFSPTC</t>
  </si>
  <si>
    <t>ICTFS_PTC</t>
  </si>
  <si>
    <t>S_ICTFSOTP</t>
  </si>
  <si>
    <t>ICTFS_OTP</t>
  </si>
  <si>
    <t>S_ICTSTELC</t>
  </si>
  <si>
    <t>ICTST_ELC</t>
  </si>
  <si>
    <t>S_ICTSTRFL</t>
  </si>
  <si>
    <t>ICTST_RFL</t>
  </si>
  <si>
    <t>S_ICTSTDST</t>
  </si>
  <si>
    <t>ICTST_DST</t>
  </si>
  <si>
    <t>S_ICTSTNGA</t>
  </si>
  <si>
    <t>ICTST_NGA</t>
  </si>
  <si>
    <t>S_ICTSTCOA</t>
  </si>
  <si>
    <t>ICTST_COA</t>
  </si>
  <si>
    <t>ICTST_CHP</t>
  </si>
  <si>
    <t>S_ICTPHELC</t>
  </si>
  <si>
    <t>ICTPH_ELC</t>
  </si>
  <si>
    <t>S_ICTPHRFL</t>
  </si>
  <si>
    <t>ICTPH_RFL</t>
  </si>
  <si>
    <t>S_ICTPHDST</t>
  </si>
  <si>
    <t>ICTPH_DST</t>
  </si>
  <si>
    <t>S_ICTPHNGA</t>
  </si>
  <si>
    <t>ICTPH_NGA</t>
  </si>
  <si>
    <t>S_ICTMDELC</t>
  </si>
  <si>
    <t>ICTMD_ELC</t>
  </si>
  <si>
    <t>S_ICTMDDST</t>
  </si>
  <si>
    <t>ICTMD_DST</t>
  </si>
  <si>
    <t>S_ICTMDNGA</t>
  </si>
  <si>
    <t>ICTMD_NGA</t>
  </si>
  <si>
    <t>S_ICTFAELC</t>
  </si>
  <si>
    <t>ICTFA_ELC</t>
  </si>
  <si>
    <t>S_ICTFADST</t>
  </si>
  <si>
    <t>ICTFA_DST</t>
  </si>
  <si>
    <t>S_ICTFANGA</t>
  </si>
  <si>
    <t>ICTFA_NGA</t>
  </si>
  <si>
    <t>S_ICTFACOA</t>
  </si>
  <si>
    <t>ICTFA_COA</t>
  </si>
  <si>
    <t>S_ICTOHELC</t>
  </si>
  <si>
    <t>ICTOH_ELC</t>
  </si>
  <si>
    <t>S_ICTOHBIO</t>
  </si>
  <si>
    <t>ICTOH_BIO</t>
  </si>
  <si>
    <t>S_ICTOHPTC</t>
  </si>
  <si>
    <t>ICTOH_PTC</t>
  </si>
  <si>
    <t>S_ICTOHOTP</t>
  </si>
  <si>
    <t>ICTOH_OTP</t>
  </si>
  <si>
    <t>ICTOH_CHP</t>
  </si>
  <si>
    <t>S_INCFSPTC</t>
  </si>
  <si>
    <t>INCFS_PTC</t>
  </si>
  <si>
    <t>S_INCFSOTP</t>
  </si>
  <si>
    <t>INCFS_OTP</t>
  </si>
  <si>
    <t>S_INCPHELC</t>
  </si>
  <si>
    <t>INCPH_ELC</t>
  </si>
  <si>
    <t>S_INCPHNGA</t>
  </si>
  <si>
    <t>INCPH_NGA</t>
  </si>
  <si>
    <t>S_INCPHCOA</t>
  </si>
  <si>
    <t>INCPH_COA</t>
  </si>
  <si>
    <t>S_INCFAELC</t>
  </si>
  <si>
    <t>INCFA_ELC</t>
  </si>
  <si>
    <t>S_INCFADST</t>
  </si>
  <si>
    <t>INCFA_DST</t>
  </si>
  <si>
    <t>S_INCOHPTC</t>
  </si>
  <si>
    <t>INCOH_PTC</t>
  </si>
  <si>
    <t>S_INCOHOTP</t>
  </si>
  <si>
    <t>INCOH_OTP</t>
  </si>
  <si>
    <t>INGST_CHP</t>
  </si>
  <si>
    <t>S_INGPHELC</t>
  </si>
  <si>
    <t>INGPH_ELC</t>
  </si>
  <si>
    <t>S_INGPHNGA</t>
  </si>
  <si>
    <t>INGPH_NGA</t>
  </si>
  <si>
    <t>S_INGFAELC</t>
  </si>
  <si>
    <t>INGFA_ELC</t>
  </si>
  <si>
    <t>S_INGFANGA</t>
  </si>
  <si>
    <t>INGFA_NGA</t>
  </si>
  <si>
    <t>S_INGOHRFL</t>
  </si>
  <si>
    <t>INGOH_RFL</t>
  </si>
  <si>
    <t>S_INGOHDST</t>
  </si>
  <si>
    <t>INGOH_DST</t>
  </si>
  <si>
    <t>S_INGOHNGA</t>
  </si>
  <si>
    <t>INGOH_NGA</t>
  </si>
  <si>
    <t>S_INGOHLPG</t>
  </si>
  <si>
    <t>INGOH_LPG</t>
  </si>
  <si>
    <t>S_INGOHCOA</t>
  </si>
  <si>
    <t>INGOH_COA</t>
  </si>
  <si>
    <t>S_INOSTNGA</t>
  </si>
  <si>
    <t>INOST_NGA</t>
  </si>
  <si>
    <t>INOST_CHP</t>
  </si>
  <si>
    <t>S_INOPHELC</t>
  </si>
  <si>
    <t>INOPH_ELC</t>
  </si>
  <si>
    <t>S_INOPHDST</t>
  </si>
  <si>
    <t>INOPH_DST</t>
  </si>
  <si>
    <t>S_INOPHNGA</t>
  </si>
  <si>
    <t>INOPH_NGA</t>
  </si>
  <si>
    <t>S_INOPHLPG</t>
  </si>
  <si>
    <t>INOPH_LPG</t>
  </si>
  <si>
    <t>S_INOPHCOA</t>
  </si>
  <si>
    <t>INOPH_COA</t>
  </si>
  <si>
    <t>S_INOMDELC</t>
  </si>
  <si>
    <t>INOMD_ELC</t>
  </si>
  <si>
    <t>S_INOMDDST</t>
  </si>
  <si>
    <t>INOMD_DST</t>
  </si>
  <si>
    <t>S_INOMDNGA</t>
  </si>
  <si>
    <t>INOMD_NGA</t>
  </si>
  <si>
    <t>S_INOFAELC</t>
  </si>
  <si>
    <t>INOFA_ELC</t>
  </si>
  <si>
    <t>S_INOFADST</t>
  </si>
  <si>
    <t>INOFA_DST</t>
  </si>
  <si>
    <t>S_INOFANGA</t>
  </si>
  <si>
    <t>INOFA_NGA</t>
  </si>
  <si>
    <t>S_INOFALPG</t>
  </si>
  <si>
    <t>INOFA_LPG</t>
  </si>
  <si>
    <t>S_INOOHELC</t>
  </si>
  <si>
    <t>INOOH_ELC</t>
  </si>
  <si>
    <t>S_INOOHRFL</t>
  </si>
  <si>
    <t>INOOH_RFL</t>
  </si>
  <si>
    <t>S_INOOHNGA</t>
  </si>
  <si>
    <t>INOOH_NGA</t>
  </si>
  <si>
    <t>S_INOOHBIO</t>
  </si>
  <si>
    <t>INOOH_BIO</t>
  </si>
  <si>
    <t>S_INOOHPTC</t>
  </si>
  <si>
    <t>INOOH_PTC</t>
  </si>
  <si>
    <t>S_INOOHOTP</t>
  </si>
  <si>
    <t>INOOH_OTP</t>
  </si>
  <si>
    <t>S_IMSFSNGA</t>
  </si>
  <si>
    <t>IMSFS_NGA</t>
  </si>
  <si>
    <t>S_IMSFSCOK</t>
  </si>
  <si>
    <t>IMSFS_COK</t>
  </si>
  <si>
    <t>S_IMSFSBIO</t>
  </si>
  <si>
    <t>IMSFS_BIO</t>
  </si>
  <si>
    <t>S_IMSFSPTC</t>
  </si>
  <si>
    <t>IMSFS_PTC</t>
  </si>
  <si>
    <t>S_IMSSTNGA</t>
  </si>
  <si>
    <t>IMSST_NGA</t>
  </si>
  <si>
    <t>IMSST_CHP</t>
  </si>
  <si>
    <t>S_IMSPHELC</t>
  </si>
  <si>
    <t>IMSPH_ELC</t>
  </si>
  <si>
    <t>S_IMSPHDST</t>
  </si>
  <si>
    <t>IMSPH_DST</t>
  </si>
  <si>
    <t>S_IMSPHNGA</t>
  </si>
  <si>
    <t>IMSPH_NGA</t>
  </si>
  <si>
    <t>S_IMSPHCOA</t>
  </si>
  <si>
    <t>IMSPH_COA</t>
  </si>
  <si>
    <t>S_IMSMDELC</t>
  </si>
  <si>
    <t>IMSMD_ELC</t>
  </si>
  <si>
    <t>S_IMSMDNGA</t>
  </si>
  <si>
    <t>IMSMD_NGA</t>
  </si>
  <si>
    <t>S_IMSFAELC</t>
  </si>
  <si>
    <t>IMSFA_ELC</t>
  </si>
  <si>
    <t>S_IMSFADST</t>
  </si>
  <si>
    <t>IMSFA_DST</t>
  </si>
  <si>
    <t>S_IMSFANGA</t>
  </si>
  <si>
    <t>IMSFA_NGA</t>
  </si>
  <si>
    <t>S_IMSFACOA</t>
  </si>
  <si>
    <t>IMSFA_COA</t>
  </si>
  <si>
    <t>S_IMSOHELC</t>
  </si>
  <si>
    <t>IMSOH_ELC</t>
  </si>
  <si>
    <t>S_IMSOHRFL</t>
  </si>
  <si>
    <t>IMSOH_RFL</t>
  </si>
  <si>
    <t>S_IMSOHBIO</t>
  </si>
  <si>
    <t>IMSOH_BIO</t>
  </si>
  <si>
    <t>S_IMSOHPTC</t>
  </si>
  <si>
    <t>IMSOH_PTC</t>
  </si>
  <si>
    <t>S_IMTFSNGA</t>
  </si>
  <si>
    <t>IMTFS_NGA</t>
  </si>
  <si>
    <t>S_IMTFSCOK</t>
  </si>
  <si>
    <t>IMTFS_COK</t>
  </si>
  <si>
    <t>S_IMTFSBIO</t>
  </si>
  <si>
    <t>IMTFS_BIO</t>
  </si>
  <si>
    <t>S_IMTFSPTC</t>
  </si>
  <si>
    <t>IMTFS_PTC</t>
  </si>
  <si>
    <t>S_IMTSTNGA</t>
  </si>
  <si>
    <t>IMTST_NGA</t>
  </si>
  <si>
    <t>IMTST_CHP</t>
  </si>
  <si>
    <t>S_IMTPHELC</t>
  </si>
  <si>
    <t>IMTPH_ELC</t>
  </si>
  <si>
    <t>S_IMTPHDST</t>
  </si>
  <si>
    <t>IMTPH_DST</t>
  </si>
  <si>
    <t>S_IMTPHNGA</t>
  </si>
  <si>
    <t>IMTPH_NGA</t>
  </si>
  <si>
    <t>S_IMTPHCOA</t>
  </si>
  <si>
    <t>IMTPH_COA</t>
  </si>
  <si>
    <t>S_IMTMDELC</t>
  </si>
  <si>
    <t>IMTMD_ELC</t>
  </si>
  <si>
    <t>S_IMTMDNGA</t>
  </si>
  <si>
    <t>IMTMD_NGA</t>
  </si>
  <si>
    <t>S_IMTFAELC</t>
  </si>
  <si>
    <t>IMTFA_ELC</t>
  </si>
  <si>
    <t>S_IMTFADST</t>
  </si>
  <si>
    <t>IMTFA_DST</t>
  </si>
  <si>
    <t>S_IMTFANGA</t>
  </si>
  <si>
    <t>IMTFA_NGA</t>
  </si>
  <si>
    <t>S_IMTFACOA</t>
  </si>
  <si>
    <t>IMTFA_COA</t>
  </si>
  <si>
    <t>S_IMTOHELC</t>
  </si>
  <si>
    <t>IMTOH_ELC</t>
  </si>
  <si>
    <t>S_IMTOHRFL</t>
  </si>
  <si>
    <t>IMTOH_RFL</t>
  </si>
  <si>
    <t>S_IMTOHBIO</t>
  </si>
  <si>
    <t>IMTOH_BIO</t>
  </si>
  <si>
    <t>S_IMTOHPTC</t>
  </si>
  <si>
    <t>IMTOH_PTC</t>
  </si>
  <si>
    <t>S_IMAFSNGA</t>
  </si>
  <si>
    <t>IMAFS_NGA</t>
  </si>
  <si>
    <t>S_IMAFSPTC</t>
  </si>
  <si>
    <t>IMAFS_PTC</t>
  </si>
  <si>
    <t>S_IMASTNGA</t>
  </si>
  <si>
    <t>IMAST_NGA</t>
  </si>
  <si>
    <t>IMAST_CHP</t>
  </si>
  <si>
    <t>S_IMAPHELC</t>
  </si>
  <si>
    <t>IMAPH_ELC</t>
  </si>
  <si>
    <t>S_IMAPHNGA</t>
  </si>
  <si>
    <t>IMAPH_NGA</t>
  </si>
  <si>
    <t>S_IMAMDELC</t>
  </si>
  <si>
    <t>IMAMD_ELC</t>
  </si>
  <si>
    <t>S_IMAMDNGA</t>
  </si>
  <si>
    <t>IMAMD_NGA</t>
  </si>
  <si>
    <t>S_IMAFAELC</t>
  </si>
  <si>
    <t>IMAFA_ELC</t>
  </si>
  <si>
    <t>S_IMAFADST</t>
  </si>
  <si>
    <t>IMAFA_DST</t>
  </si>
  <si>
    <t>S_IMAFANGA</t>
  </si>
  <si>
    <t>IMAFA_NGA</t>
  </si>
  <si>
    <t>S_IMLPHELC</t>
  </si>
  <si>
    <t>IMLPH_ELC</t>
  </si>
  <si>
    <t>S_IMLPHNGA</t>
  </si>
  <si>
    <t>IMLPH_NGA</t>
  </si>
  <si>
    <t>S_IMLOHLPG</t>
  </si>
  <si>
    <t>IMLOH_LPG</t>
  </si>
  <si>
    <t>S_IMLOHCOA</t>
  </si>
  <si>
    <t>IMLOH_COA</t>
  </si>
  <si>
    <t>S_IMOFSNGA</t>
  </si>
  <si>
    <t>IMOFS_NGA</t>
  </si>
  <si>
    <t>S_IMOFSBIO</t>
  </si>
  <si>
    <t>IMOFS_BIO</t>
  </si>
  <si>
    <t>S_IMOFSPTC</t>
  </si>
  <si>
    <t>IMOFS_PTC</t>
  </si>
  <si>
    <t>S_IMOFSOTP</t>
  </si>
  <si>
    <t>IMOFS_OTP</t>
  </si>
  <si>
    <t>S_IMOSTELC</t>
  </si>
  <si>
    <t>IMOST_ELC</t>
  </si>
  <si>
    <t>S_IMOSTNGA</t>
  </si>
  <si>
    <t>IMOST_NGA</t>
  </si>
  <si>
    <t>IMOST_CHP</t>
  </si>
  <si>
    <t>S_IMOPHELC</t>
  </si>
  <si>
    <t>IMOPH_ELC</t>
  </si>
  <si>
    <t>S_IMOPHNGA</t>
  </si>
  <si>
    <t>IMOPH_NGA</t>
  </si>
  <si>
    <t>S_IMOPHLPG</t>
  </si>
  <si>
    <t>IMOPH_LPG</t>
  </si>
  <si>
    <t>S_IMOMDELC</t>
  </si>
  <si>
    <t>IMOMD_ELC</t>
  </si>
  <si>
    <t>S_IMOMDDST</t>
  </si>
  <si>
    <t>IMOMD_DST</t>
  </si>
  <si>
    <t>S_IMOMDNGA</t>
  </si>
  <si>
    <t>IMOMD_NGA</t>
  </si>
  <si>
    <t>S_IMOFAELC</t>
  </si>
  <si>
    <t>IMOFA_ELC</t>
  </si>
  <si>
    <t>S_IMOFADST</t>
  </si>
  <si>
    <t>IMOFA_DST</t>
  </si>
  <si>
    <t>S_IMOFANGA</t>
  </si>
  <si>
    <t>IMOFA_NGA</t>
  </si>
  <si>
    <t>S_IMOFALPG</t>
  </si>
  <si>
    <t>IMOFA_LPG</t>
  </si>
  <si>
    <t>S_IMOOHRFL</t>
  </si>
  <si>
    <t>IMOOH_RFL</t>
  </si>
  <si>
    <t>S_IMOOHNGA</t>
  </si>
  <si>
    <t>IMOOH_NGA</t>
  </si>
  <si>
    <t>S_IMOOHCOA</t>
  </si>
  <si>
    <t>IMOOH_COA</t>
  </si>
  <si>
    <t>S_IMOOHBIO</t>
  </si>
  <si>
    <t>IMOOH_BIO</t>
  </si>
  <si>
    <t>S_IMOOHPTC</t>
  </si>
  <si>
    <t>IMOOH_PTC</t>
  </si>
  <si>
    <t>S_IMOOHOTP</t>
  </si>
  <si>
    <t>IMOOH_OTP</t>
  </si>
  <si>
    <t>S_IOTFSRFL</t>
  </si>
  <si>
    <t>IOTFS_RFL</t>
  </si>
  <si>
    <t>S_IOTFSDST</t>
  </si>
  <si>
    <t>IOTFS_DST</t>
  </si>
  <si>
    <t>S_IOTFSNGA</t>
  </si>
  <si>
    <t>IOTFS_NGA</t>
  </si>
  <si>
    <t>S_IOTFSLPG</t>
  </si>
  <si>
    <t>IOTFS_LPG</t>
  </si>
  <si>
    <t>S_IOTFSCOK</t>
  </si>
  <si>
    <t>IOTFS_COK</t>
  </si>
  <si>
    <t>S_IOTFSBIO</t>
  </si>
  <si>
    <t>IOTFS_BIO</t>
  </si>
  <si>
    <t>S_IOTFSPTC</t>
  </si>
  <si>
    <t>IOTFS_PTC</t>
  </si>
  <si>
    <t>S_IOTFSOTP</t>
  </si>
  <si>
    <t>IOTFS_OTP</t>
  </si>
  <si>
    <t>S_IOTSTELC</t>
  </si>
  <si>
    <t>IOTST_ELC</t>
  </si>
  <si>
    <t>S_IOTSTRFL</t>
  </si>
  <si>
    <t>IOTST_RFL</t>
  </si>
  <si>
    <t>S_IOTSTDST</t>
  </si>
  <si>
    <t>IOTST_DST</t>
  </si>
  <si>
    <t>S_IOTSTNGA</t>
  </si>
  <si>
    <t>IOTST_NGA</t>
  </si>
  <si>
    <t>S_IOTSTCOA</t>
  </si>
  <si>
    <t>IOTST_COA</t>
  </si>
  <si>
    <t>IOTST_CHP</t>
  </si>
  <si>
    <t>S_IOTPHELC</t>
  </si>
  <si>
    <t>IOTPH_ELC</t>
  </si>
  <si>
    <t>S_IOTPHRFL</t>
  </si>
  <si>
    <t>IOTPH_RFL</t>
  </si>
  <si>
    <t>S_IOTPHDST</t>
  </si>
  <si>
    <t>IOTPH_DST</t>
  </si>
  <si>
    <t>S_IOTPHNGA</t>
  </si>
  <si>
    <t>IOTPH_NGA</t>
  </si>
  <si>
    <t>S_IOTPHLPG</t>
  </si>
  <si>
    <t>IOTPH_LPG</t>
  </si>
  <si>
    <t>S_IOTPHCOA</t>
  </si>
  <si>
    <t>IOTPH_COA</t>
  </si>
  <si>
    <t>S_IOTMDELC</t>
  </si>
  <si>
    <t>IOTMD_ELC</t>
  </si>
  <si>
    <t>S_IOTMDDST</t>
  </si>
  <si>
    <t>IOTMD_DST</t>
  </si>
  <si>
    <t>S_IOTMDNGA</t>
  </si>
  <si>
    <t>IOTMD_NGA</t>
  </si>
  <si>
    <t>S_IOTMDLPG</t>
  </si>
  <si>
    <t>IOTMD_LPG</t>
  </si>
  <si>
    <t>S_IOTMDCOA</t>
  </si>
  <si>
    <t>IOTMD_COA</t>
  </si>
  <si>
    <t>S_IOTFAELC</t>
  </si>
  <si>
    <t>IOTFA_ELC</t>
  </si>
  <si>
    <t>S_IOTFARFL</t>
  </si>
  <si>
    <t>IOTFA_RFL</t>
  </si>
  <si>
    <t>S_IOTFADST</t>
  </si>
  <si>
    <t>IOTFA_DST</t>
  </si>
  <si>
    <t>S_IOTFANGA</t>
  </si>
  <si>
    <t>IOTFA_NGA</t>
  </si>
  <si>
    <t>S_IOTFALPG</t>
  </si>
  <si>
    <t>IOTFA_LPG</t>
  </si>
  <si>
    <t>S_IOTFACOA</t>
  </si>
  <si>
    <t>IOTFA_COA</t>
  </si>
  <si>
    <t>S_IOTOHELC</t>
  </si>
  <si>
    <t>IOTOH_ELC</t>
  </si>
  <si>
    <t>S_IOTOHRFL</t>
  </si>
  <si>
    <t>IOTOH_RFL</t>
  </si>
  <si>
    <t>S_IOTOHDST</t>
  </si>
  <si>
    <t>IOTOH_DST</t>
  </si>
  <si>
    <t>S_IOTOHNGA</t>
  </si>
  <si>
    <t>IOTOH_NGA</t>
  </si>
  <si>
    <t>S_IOTOHLPG</t>
  </si>
  <si>
    <t>IOTOH_LPG</t>
  </si>
  <si>
    <t>S_IOTOHBIO</t>
  </si>
  <si>
    <t>IOTOH_BIO</t>
  </si>
  <si>
    <t>S_IOTOHPTC</t>
  </si>
  <si>
    <t>IOTOH_PTC</t>
  </si>
  <si>
    <t>S_IOTOHOTP</t>
  </si>
  <si>
    <t>IOTOH_OTP</t>
  </si>
  <si>
    <t>IOTOH_CHP</t>
  </si>
  <si>
    <t>S_IXNASP</t>
  </si>
  <si>
    <t>S_IXNELC</t>
  </si>
  <si>
    <t>S_IXNLPG</t>
  </si>
  <si>
    <t>S_IXNNGA</t>
  </si>
  <si>
    <t>S_IXNBIO</t>
  </si>
  <si>
    <t>IFDFEED</t>
  </si>
  <si>
    <t>IFDSTM</t>
  </si>
  <si>
    <t>IFDPRH</t>
  </si>
  <si>
    <t>IFDMDR</t>
  </si>
  <si>
    <t>IFDFAC</t>
  </si>
  <si>
    <t>IFDOHT</t>
  </si>
  <si>
    <t>ICOFEED</t>
  </si>
  <si>
    <t>ICIFEED</t>
  </si>
  <si>
    <t>ICPFEED</t>
  </si>
  <si>
    <t>ICAFEED</t>
  </si>
  <si>
    <t>ICTFEED</t>
  </si>
  <si>
    <t>INCFEED</t>
  </si>
  <si>
    <t>IMSFEED</t>
  </si>
  <si>
    <t>IMTFEED</t>
  </si>
  <si>
    <t>IMAFEED</t>
  </si>
  <si>
    <t>IMOFEED</t>
  </si>
  <si>
    <t>IOTFEED</t>
  </si>
  <si>
    <t>IPAFAC</t>
  </si>
  <si>
    <t>IPBFAC</t>
  </si>
  <si>
    <t>IPOFAC</t>
  </si>
  <si>
    <t>ICOFAC</t>
  </si>
  <si>
    <t>ICIFAC</t>
  </si>
  <si>
    <t>ICPFAC</t>
  </si>
  <si>
    <t>ICAFAC</t>
  </si>
  <si>
    <t>ICTFAC</t>
  </si>
  <si>
    <t>INCFAC</t>
  </si>
  <si>
    <t>INGFAC</t>
  </si>
  <si>
    <t>INOFAC</t>
  </si>
  <si>
    <t>IMSFAC</t>
  </si>
  <si>
    <t>IMTFAC</t>
  </si>
  <si>
    <t>IMAFAC</t>
  </si>
  <si>
    <t>IMOFAC</t>
  </si>
  <si>
    <t>IOTFAC</t>
  </si>
  <si>
    <t>IPAMDR</t>
  </si>
  <si>
    <t>IPBMDR</t>
  </si>
  <si>
    <t>IPOMDR</t>
  </si>
  <si>
    <t>ICOMDR</t>
  </si>
  <si>
    <t>ICIMDR</t>
  </si>
  <si>
    <t>ICPMDR</t>
  </si>
  <si>
    <t>ICAMDR</t>
  </si>
  <si>
    <t>ICTMDR</t>
  </si>
  <si>
    <t>INOMDR</t>
  </si>
  <si>
    <t>IMSMDR</t>
  </si>
  <si>
    <t>IMTMDR</t>
  </si>
  <si>
    <t>IMAMDR</t>
  </si>
  <si>
    <t>IMOMDR</t>
  </si>
  <si>
    <t>IOTMDR</t>
  </si>
  <si>
    <t>IPLOHT</t>
  </si>
  <si>
    <t>IPAOHT</t>
  </si>
  <si>
    <t>IPBOHT</t>
  </si>
  <si>
    <t>IPOOHT</t>
  </si>
  <si>
    <t>ICOOHT</t>
  </si>
  <si>
    <t>ICIOHT</t>
  </si>
  <si>
    <t>ICPOHT</t>
  </si>
  <si>
    <t>ICTOHT</t>
  </si>
  <si>
    <t>INCOHT</t>
  </si>
  <si>
    <t>INGOHT</t>
  </si>
  <si>
    <t>INOOHT</t>
  </si>
  <si>
    <t>IMSOHT</t>
  </si>
  <si>
    <t>IMTOHT</t>
  </si>
  <si>
    <t>IMLOHT</t>
  </si>
  <si>
    <t>IMOOHT</t>
  </si>
  <si>
    <t>IOTOHT</t>
  </si>
  <si>
    <t>IPLSTM</t>
  </si>
  <si>
    <t>IPASTM</t>
  </si>
  <si>
    <t>IPBSTM</t>
  </si>
  <si>
    <t>IPOSTM</t>
  </si>
  <si>
    <t>ICOSTM</t>
  </si>
  <si>
    <t>ICISTM</t>
  </si>
  <si>
    <t>ICPSTM</t>
  </si>
  <si>
    <t>ICASTM</t>
  </si>
  <si>
    <t>ICTSTM</t>
  </si>
  <si>
    <t>INGSTM</t>
  </si>
  <si>
    <t>INOSTM</t>
  </si>
  <si>
    <t>IMSSTM</t>
  </si>
  <si>
    <t>IMTSTM</t>
  </si>
  <si>
    <t>IMASTM</t>
  </si>
  <si>
    <t>IMOSTM</t>
  </si>
  <si>
    <t>IOTSTM</t>
  </si>
  <si>
    <t>IPLPRH</t>
  </si>
  <si>
    <t>IPAPRH</t>
  </si>
  <si>
    <t>IPBPRH</t>
  </si>
  <si>
    <t>IPOPRH</t>
  </si>
  <si>
    <t>ICOPRH</t>
  </si>
  <si>
    <t>ICIPRH</t>
  </si>
  <si>
    <t>ICPPRH</t>
  </si>
  <si>
    <t>ICAPRH</t>
  </si>
  <si>
    <t>ICTPRH</t>
  </si>
  <si>
    <t>INCPRH</t>
  </si>
  <si>
    <t>INGPRH</t>
  </si>
  <si>
    <t>INOPRH</t>
  </si>
  <si>
    <t>IMSPRH</t>
  </si>
  <si>
    <t>IMTPRH</t>
  </si>
  <si>
    <t>IMAPRH</t>
  </si>
  <si>
    <t>IMLPRH</t>
  </si>
  <si>
    <t>IMOPRH</t>
  </si>
  <si>
    <t>IOTPRH</t>
  </si>
  <si>
    <t xml:space="preserve">Page Fields: </t>
  </si>
  <si>
    <t xml:space="preserve">Active Unit:  </t>
  </si>
  <si>
    <t>Attribute</t>
  </si>
  <si>
    <t>Commodity</t>
  </si>
  <si>
    <t>IFDEREGAGR</t>
  </si>
  <si>
    <t>IFDEOHTBIO</t>
  </si>
  <si>
    <t>IFDEFACCOA</t>
  </si>
  <si>
    <t>IFDEOHTCOA</t>
  </si>
  <si>
    <t>IFDEPRHCOA</t>
  </si>
  <si>
    <t>IFDNCFBCOA</t>
  </si>
  <si>
    <t>IFDEBSTDST</t>
  </si>
  <si>
    <t>IFDEFACDST</t>
  </si>
  <si>
    <t>IFDEMDRDST</t>
  </si>
  <si>
    <t>IFDEOHTDST</t>
  </si>
  <si>
    <t>IFDEPRHDST</t>
  </si>
  <si>
    <t>IFDECCTLPG</t>
  </si>
  <si>
    <t>IFDEFACLPG</t>
  </si>
  <si>
    <t>IFDEFCLLPG</t>
  </si>
  <si>
    <t>IFDEPRHLPG</t>
  </si>
  <si>
    <t>IFDEREGLPG</t>
  </si>
  <si>
    <t>IFDECCTNGA</t>
  </si>
  <si>
    <t>IFDEFACNGA</t>
  </si>
  <si>
    <t>IFDEFCLNGA</t>
  </si>
  <si>
    <t>IFDEMDRNGA</t>
  </si>
  <si>
    <t>IFDEOHTNGA</t>
  </si>
  <si>
    <t>IFDEPRHNGA</t>
  </si>
  <si>
    <t>IFDEREGNGA</t>
  </si>
  <si>
    <t>IFDNCCTNGA</t>
  </si>
  <si>
    <t>IFDEBSTRFL</t>
  </si>
  <si>
    <t>IFDEOHTRFL</t>
  </si>
  <si>
    <t>IFDEPRHRFL</t>
  </si>
  <si>
    <t>IFDEBSTAGR</t>
  </si>
  <si>
    <t>IFDECSOCOA</t>
  </si>
  <si>
    <t>IFDNBFBCOA</t>
  </si>
  <si>
    <t>IFDEBASNGA</t>
  </si>
  <si>
    <t>IFDEBOLNGA</t>
  </si>
  <si>
    <t>IFDEBSTNGA</t>
  </si>
  <si>
    <t>IFDEMTTNGA</t>
  </si>
  <si>
    <t>IFDEFEDBIO</t>
  </si>
  <si>
    <t>IFDEBOLCOA</t>
  </si>
  <si>
    <t>IFDEBSTCOA</t>
  </si>
  <si>
    <t>IFDECPVCOA</t>
  </si>
  <si>
    <t>IFDEFEDLPG</t>
  </si>
  <si>
    <t>IFDEFEDNGA</t>
  </si>
  <si>
    <t>IFDNMTTNGA</t>
  </si>
  <si>
    <t>IFDECFBCOA</t>
  </si>
  <si>
    <t>IFDECSGAGR</t>
  </si>
  <si>
    <t>VAR_FOut</t>
  </si>
  <si>
    <t>Table Name: Industrial RESID calcs</t>
  </si>
  <si>
    <t>Process</t>
  </si>
  <si>
    <t>Region\Period</t>
  </si>
  <si>
    <t>IFDETC</t>
  </si>
  <si>
    <t>IFDEETCELC</t>
  </si>
  <si>
    <t>IFDEFACELC</t>
  </si>
  <si>
    <t>IFDFSTM</t>
  </si>
  <si>
    <t>IFDEMDRELC</t>
  </si>
  <si>
    <t>IFDEOHTELC</t>
  </si>
  <si>
    <t>IFDOHTOSTM</t>
  </si>
  <si>
    <t>IFDEPRHELC</t>
  </si>
  <si>
    <t>IFDRSTM</t>
  </si>
  <si>
    <t>IFDBOLFSTM</t>
  </si>
  <si>
    <t>IFDEBOLELC</t>
  </si>
  <si>
    <t>CACHPELC</t>
  </si>
  <si>
    <t>ICAEBSANGA</t>
  </si>
  <si>
    <t>ICAEBSTNGA</t>
  </si>
  <si>
    <t>ICAECCTNGA</t>
  </si>
  <si>
    <t>CICHPELC</t>
  </si>
  <si>
    <t>ICIEBSTCOA</t>
  </si>
  <si>
    <t>ICIEBSTNGA</t>
  </si>
  <si>
    <t>ICIECCTNGA</t>
  </si>
  <si>
    <t>ICIECPVCOA</t>
  </si>
  <si>
    <t>COCHPELC</t>
  </si>
  <si>
    <t>ICOEBSARFL</t>
  </si>
  <si>
    <t>ICOEBSTCOA</t>
  </si>
  <si>
    <t>ICOEBSTNGA</t>
  </si>
  <si>
    <t>ICOEBSTRFL</t>
  </si>
  <si>
    <t>ICOECCTNGA</t>
  </si>
  <si>
    <t>ICOECPVCOA</t>
  </si>
  <si>
    <t>ICONREGNGA</t>
  </si>
  <si>
    <t>CPCHPELC</t>
  </si>
  <si>
    <t>ICPEBSTCOA</t>
  </si>
  <si>
    <t>ICPEBSTNGA</t>
  </si>
  <si>
    <t>ICPECCTNGA</t>
  </si>
  <si>
    <t>ICPECPVCOA</t>
  </si>
  <si>
    <t>ICPECSOCOA</t>
  </si>
  <si>
    <t>ICPEMTTNGA</t>
  </si>
  <si>
    <t>ICPEREGNGA</t>
  </si>
  <si>
    <t>CTCHPELC</t>
  </si>
  <si>
    <t>ICTEBSTCOA</t>
  </si>
  <si>
    <t>ICTEBSTNGA</t>
  </si>
  <si>
    <t>ICTEBSTRFL</t>
  </si>
  <si>
    <t>ICTECCTBIO</t>
  </si>
  <si>
    <t>ICTECCTNGA</t>
  </si>
  <si>
    <t>ICTECSOCOA</t>
  </si>
  <si>
    <t>ICTEFCLNGA</t>
  </si>
  <si>
    <t>ICTEMTTNGA</t>
  </si>
  <si>
    <t>ICTEREGNGA</t>
  </si>
  <si>
    <t>ICTEREGRFL</t>
  </si>
  <si>
    <t>ICTNREGNGA</t>
  </si>
  <si>
    <t>FDCHPELC</t>
  </si>
  <si>
    <t>ICA</t>
  </si>
  <si>
    <t>ICATECHEXT</t>
  </si>
  <si>
    <t>ICAEFACDST</t>
  </si>
  <si>
    <t>ICAEFACELC</t>
  </si>
  <si>
    <t>ICAEFACNGA</t>
  </si>
  <si>
    <t>ICAEFEDNGA</t>
  </si>
  <si>
    <t>ICAEFEDPFS</t>
  </si>
  <si>
    <t>ICAFSTM</t>
  </si>
  <si>
    <t>ICAEMDRELC</t>
  </si>
  <si>
    <t>ICAEMDRNGA</t>
  </si>
  <si>
    <t>ICAOHT</t>
  </si>
  <si>
    <t>ICAEOHTOTP</t>
  </si>
  <si>
    <t>ICAEPRHCOA</t>
  </si>
  <si>
    <t>ICAEPRHELC</t>
  </si>
  <si>
    <t>ICAEPRHNGA</t>
  </si>
  <si>
    <t>ICAEBOLNGA</t>
  </si>
  <si>
    <t>ICI</t>
  </si>
  <si>
    <t>ICITECHEXT</t>
  </si>
  <si>
    <t>ICIETC</t>
  </si>
  <si>
    <t>ICIEETCELC</t>
  </si>
  <si>
    <t>ICIEFACELC</t>
  </si>
  <si>
    <t>ICIEFACNGA</t>
  </si>
  <si>
    <t>ICIEFEDNGA</t>
  </si>
  <si>
    <t>ICIEFEDPFS</t>
  </si>
  <si>
    <t>ICIFSTM</t>
  </si>
  <si>
    <t>ICIEMDRELC</t>
  </si>
  <si>
    <t>ICIEMDRNGA</t>
  </si>
  <si>
    <t>ICIEOHTELC</t>
  </si>
  <si>
    <t>ICIEOHTOTP</t>
  </si>
  <si>
    <t>ICIEPRHCOA</t>
  </si>
  <si>
    <t>ICIEPRHELC</t>
  </si>
  <si>
    <t>ICIEPRHNGA</t>
  </si>
  <si>
    <t>ICIEPRHRFL</t>
  </si>
  <si>
    <t>ICIEBOLNGA</t>
  </si>
  <si>
    <t>ICIEBPVCOA</t>
  </si>
  <si>
    <t>ICO</t>
  </si>
  <si>
    <t>ICOTECHEXT</t>
  </si>
  <si>
    <t>ICOEFACELC</t>
  </si>
  <si>
    <t>ICOEFACNGA</t>
  </si>
  <si>
    <t>ICOEFEDLPG</t>
  </si>
  <si>
    <t>ICOEFEDNGA</t>
  </si>
  <si>
    <t>ICOEFEDPFS</t>
  </si>
  <si>
    <t>ICOFSTM</t>
  </si>
  <si>
    <t>ICOEMDRELC</t>
  </si>
  <si>
    <t>ICOEMDRNGA</t>
  </si>
  <si>
    <t>ICOEOHTDST</t>
  </si>
  <si>
    <t>ICOEOHTLPG</t>
  </si>
  <si>
    <t>ICOEOHTNGA</t>
  </si>
  <si>
    <t>ICOEOHTOTP</t>
  </si>
  <si>
    <t>ICOOSTM</t>
  </si>
  <si>
    <t>ICOEPRHCOA</t>
  </si>
  <si>
    <t>ICOEPRHELC</t>
  </si>
  <si>
    <t>ICOEPRHNGA</t>
  </si>
  <si>
    <t>ICOEBHLRFL</t>
  </si>
  <si>
    <t>ICOEBOLELC</t>
  </si>
  <si>
    <t>ICOEBOLNGA</t>
  </si>
  <si>
    <t>ICOEBSOCOA</t>
  </si>
  <si>
    <t>ICP</t>
  </si>
  <si>
    <t>ICPTECHEXT</t>
  </si>
  <si>
    <t>ICPETC</t>
  </si>
  <si>
    <t>ICPEETCELC</t>
  </si>
  <si>
    <t>ICPEFACELC</t>
  </si>
  <si>
    <t>ICPEFACNGA</t>
  </si>
  <si>
    <t>ICPEFEDLPG</t>
  </si>
  <si>
    <t>ICPEFEDNGA</t>
  </si>
  <si>
    <t>ICPEFEDPFS</t>
  </si>
  <si>
    <t>ICPFSTM</t>
  </si>
  <si>
    <t>ICPEMDRELC</t>
  </si>
  <si>
    <t>ICPEMDRNGA</t>
  </si>
  <si>
    <t>ICPEOHTDST</t>
  </si>
  <si>
    <t>ICPEOHTELC</t>
  </si>
  <si>
    <t>ICPEOHTOTP</t>
  </si>
  <si>
    <t>ICPEOHTRFL</t>
  </si>
  <si>
    <t>ICPEPRHELC</t>
  </si>
  <si>
    <t>ICPEPRHNGA</t>
  </si>
  <si>
    <t>ICPEBFBCOA</t>
  </si>
  <si>
    <t>ICPEBOLELC</t>
  </si>
  <si>
    <t>ICPEBOLLPG</t>
  </si>
  <si>
    <t>ICPEBOLNGA</t>
  </si>
  <si>
    <t>ICPEBPVCOA</t>
  </si>
  <si>
    <t>ICPEBSOCOA</t>
  </si>
  <si>
    <t>ICT</t>
  </si>
  <si>
    <t>ICTTECHEXT</t>
  </si>
  <si>
    <t>ICTEFACCOA</t>
  </si>
  <si>
    <t>ICTEFACDST</t>
  </si>
  <si>
    <t>ICTEFACELC</t>
  </si>
  <si>
    <t>ICTEFACNGA</t>
  </si>
  <si>
    <t>ICTEFEDBIO</t>
  </si>
  <si>
    <t>ICTEFEDNGA</t>
  </si>
  <si>
    <t>ICTEFEDOTP</t>
  </si>
  <si>
    <t>ICTEFEDPTC</t>
  </si>
  <si>
    <t>ICTEFEDRFL</t>
  </si>
  <si>
    <t>ICTFSTM</t>
  </si>
  <si>
    <t>ICTEMDRDST</t>
  </si>
  <si>
    <t>ICTEMDRELC</t>
  </si>
  <si>
    <t>ICTEMDRNGA</t>
  </si>
  <si>
    <t>ICTEBSDBIO</t>
  </si>
  <si>
    <t>ICTEOHTBIO</t>
  </si>
  <si>
    <t>ICTEOHTELC</t>
  </si>
  <si>
    <t>ICTEOHTOTP</t>
  </si>
  <si>
    <t>ICTEOHTPTC</t>
  </si>
  <si>
    <t>ICTEPRHDST</t>
  </si>
  <si>
    <t>ICTEPRHELC</t>
  </si>
  <si>
    <t>ICTEPRHNGA</t>
  </si>
  <si>
    <t>ICTEPRHRFL</t>
  </si>
  <si>
    <t>ICTRSTM</t>
  </si>
  <si>
    <t>ICTEBHLRFL</t>
  </si>
  <si>
    <t>ICTEBOLELC</t>
  </si>
  <si>
    <t>ICTEBOLNGA</t>
  </si>
  <si>
    <t>ICTEBPVCOA</t>
  </si>
  <si>
    <t>ICTEBSOCOA</t>
  </si>
  <si>
    <t>IPAEBASRFL</t>
  </si>
  <si>
    <t>IPAEBASTOM</t>
  </si>
  <si>
    <t>IPAEBFBWOD</t>
  </si>
  <si>
    <t>IPAEBHLTOM</t>
  </si>
  <si>
    <t>IPAEBOLCOA</t>
  </si>
  <si>
    <t>IPAEBOLNGA</t>
  </si>
  <si>
    <t>IPAEBOLTOM</t>
  </si>
  <si>
    <t>IPAEBPVCOA</t>
  </si>
  <si>
    <t>IPAEBSDWOD</t>
  </si>
  <si>
    <t>IPAEBSOCOA</t>
  </si>
  <si>
    <t>IPAEBSTCOA</t>
  </si>
  <si>
    <t>IPAEBSTNGA</t>
  </si>
  <si>
    <t>IPAEBSTRFL</t>
  </si>
  <si>
    <t>IPAEBSTTOM</t>
  </si>
  <si>
    <t>IPAEBSTWOD</t>
  </si>
  <si>
    <t>IPAEBSWWOD</t>
  </si>
  <si>
    <t>IPAECCTBLQ</t>
  </si>
  <si>
    <t>IPAECCTNGA</t>
  </si>
  <si>
    <t>IPAECDSWOD</t>
  </si>
  <si>
    <t>IPAECFBCOA</t>
  </si>
  <si>
    <t>IPAECFBWOD</t>
  </si>
  <si>
    <t>IPAECHLTOM</t>
  </si>
  <si>
    <t>IPAECPVCOA</t>
  </si>
  <si>
    <t>IPAECSDWOD</t>
  </si>
  <si>
    <t>IPAECSOCOA</t>
  </si>
  <si>
    <t>IPAECSWWOD</t>
  </si>
  <si>
    <t>IPAEFACDST</t>
  </si>
  <si>
    <t>IPAEFACNGA</t>
  </si>
  <si>
    <t>IPAEFACRFL</t>
  </si>
  <si>
    <t>IPAEMDRNGA</t>
  </si>
  <si>
    <t>IPAEOHTBIO</t>
  </si>
  <si>
    <t>IPAEOHTNGA</t>
  </si>
  <si>
    <t>IPAEOHTOTP</t>
  </si>
  <si>
    <t>IPAEOHTPTC</t>
  </si>
  <si>
    <t>IPAEPRHCOA</t>
  </si>
  <si>
    <t>IPAEPRHNGA</t>
  </si>
  <si>
    <t>IPAEPRHRFL</t>
  </si>
  <si>
    <t>IPAEREGNGA</t>
  </si>
  <si>
    <t>IPAEREGWOD</t>
  </si>
  <si>
    <t>IPANREGNGA</t>
  </si>
  <si>
    <t>IPBEBASRFL</t>
  </si>
  <si>
    <t>IPBEBASTOM</t>
  </si>
  <si>
    <t>IPBEBFBCOA</t>
  </si>
  <si>
    <t>IPBEBHLTOM</t>
  </si>
  <si>
    <t>IPBEBOLNGA</t>
  </si>
  <si>
    <t>IPBEBPVCOA</t>
  </si>
  <si>
    <t>IPBEBSADST</t>
  </si>
  <si>
    <t>IPBEBSARFL</t>
  </si>
  <si>
    <t>IPBEBSDWOD</t>
  </si>
  <si>
    <t>IPBEBSOCOA</t>
  </si>
  <si>
    <t>IPBEBSTCOA</t>
  </si>
  <si>
    <t>IPBEBSTNGA</t>
  </si>
  <si>
    <t>IPBEBSTRFL</t>
  </si>
  <si>
    <t>IPBEBSTTOM</t>
  </si>
  <si>
    <t>IPBEBSTWOD</t>
  </si>
  <si>
    <t>IPBEBSWWOD</t>
  </si>
  <si>
    <t>IPBECCTNGA</t>
  </si>
  <si>
    <t>IPBECFBCOA</t>
  </si>
  <si>
    <t>IPBECHLTOM</t>
  </si>
  <si>
    <t>IPBECPVCOA</t>
  </si>
  <si>
    <t>IPBECSDWOD</t>
  </si>
  <si>
    <t>IPBECSOCOA</t>
  </si>
  <si>
    <t>IPBECSWWOD</t>
  </si>
  <si>
    <t>IPBEFACDST</t>
  </si>
  <si>
    <t>IPBEFACNGA</t>
  </si>
  <si>
    <t>IPBEMDRNGA</t>
  </si>
  <si>
    <t>IPBEOHTBIO</t>
  </si>
  <si>
    <t>IPBEOHTNGA</t>
  </si>
  <si>
    <t>IPBEOHTOTP</t>
  </si>
  <si>
    <t>IPBEOHTPTC</t>
  </si>
  <si>
    <t>IPBEPRHNGA</t>
  </si>
  <si>
    <t>IPBEPRHRFL</t>
  </si>
  <si>
    <t>IPBEREGNGA</t>
  </si>
  <si>
    <t>IPBNREGNGA</t>
  </si>
  <si>
    <t>IPLEBASTOM</t>
  </si>
  <si>
    <t>IPLEBHLTOM</t>
  </si>
  <si>
    <t>IPLEBOLNGA</t>
  </si>
  <si>
    <t>IPLEBSADST</t>
  </si>
  <si>
    <t>IPLEBSARFL</t>
  </si>
  <si>
    <t>IPLEBSTNGA</t>
  </si>
  <si>
    <t>IPLEBSTTOM</t>
  </si>
  <si>
    <t>IPLECCTNGA</t>
  </si>
  <si>
    <t>IPLEOHTBIO</t>
  </si>
  <si>
    <t>IPLEPRHNGA</t>
  </si>
  <si>
    <t>IPLEPRHRFL</t>
  </si>
  <si>
    <t>IPOEBASRFL</t>
  </si>
  <si>
    <t>IPOEBASTOM</t>
  </si>
  <si>
    <t>IPOEBHLTOM</t>
  </si>
  <si>
    <t>IPOEBOLNGA</t>
  </si>
  <si>
    <t>IPOEBSOCOA</t>
  </si>
  <si>
    <t>IPOEBSTCOA</t>
  </si>
  <si>
    <t>IPOEBSTNGA</t>
  </si>
  <si>
    <t>IPOEBSTTOM</t>
  </si>
  <si>
    <t>IPOEBSTWOD</t>
  </si>
  <si>
    <t>IPOEBSWWOD</t>
  </si>
  <si>
    <t>IPOECCTNGA</t>
  </si>
  <si>
    <t>IPOEFACLPG</t>
  </si>
  <si>
    <t>IPOEFACNGA</t>
  </si>
  <si>
    <t>IPOEMDRNGA</t>
  </si>
  <si>
    <t>IPOEOHTBIO</t>
  </si>
  <si>
    <t>IPOEOHTNGA</t>
  </si>
  <si>
    <t>IPOEOHTOTP</t>
  </si>
  <si>
    <t>IPOEOHTPTC</t>
  </si>
  <si>
    <t>IPOEPRHDST</t>
  </si>
  <si>
    <t>IPOEPRHNGA</t>
  </si>
  <si>
    <t>INDELCCA</t>
  </si>
  <si>
    <t>ICACHPELC0</t>
  </si>
  <si>
    <t>ICAELC00</t>
  </si>
  <si>
    <t>INDELCCI</t>
  </si>
  <si>
    <t>ICICHPELC0</t>
  </si>
  <si>
    <t>ICIELC00</t>
  </si>
  <si>
    <t>INDELCCO</t>
  </si>
  <si>
    <t>ICOCHPELC0</t>
  </si>
  <si>
    <t>ICOELC00</t>
  </si>
  <si>
    <t>INDELCCP</t>
  </si>
  <si>
    <t>ICPCHPELC0</t>
  </si>
  <si>
    <t>ICPELC00</t>
  </si>
  <si>
    <t>INDELCCT</t>
  </si>
  <si>
    <t>ICTCHPELC0</t>
  </si>
  <si>
    <t>ICTELC00</t>
  </si>
  <si>
    <t>INDELCFD</t>
  </si>
  <si>
    <t>IFDELC00</t>
  </si>
  <si>
    <t>INDELCPA</t>
  </si>
  <si>
    <t>IPACHPELC0</t>
  </si>
  <si>
    <t>IPAELC00</t>
  </si>
  <si>
    <t>INDELCPB</t>
  </si>
  <si>
    <t>IPBCHPELC0</t>
  </si>
  <si>
    <t>IPBELC00</t>
  </si>
  <si>
    <t>INDELCPL</t>
  </si>
  <si>
    <t>IPLCHPEL00</t>
  </si>
  <si>
    <t>IPLELC00</t>
  </si>
  <si>
    <t>INDELCPO</t>
  </si>
  <si>
    <t>IPOCHPELC0</t>
  </si>
  <si>
    <t>IPOELC00</t>
  </si>
  <si>
    <t>IPA</t>
  </si>
  <si>
    <t>IPATECHEXT</t>
  </si>
  <si>
    <t>IPAEFACELC</t>
  </si>
  <si>
    <t>IPAFSTM</t>
  </si>
  <si>
    <t>IPAEMDRELC</t>
  </si>
  <si>
    <t>IPAEOHTELC</t>
  </si>
  <si>
    <t>IPAEPRHELC</t>
  </si>
  <si>
    <t>IPARSTM</t>
  </si>
  <si>
    <t>IPAEBOLELC</t>
  </si>
  <si>
    <t>IPB</t>
  </si>
  <si>
    <t>IPBTECHEXT</t>
  </si>
  <si>
    <t>IPBETC</t>
  </si>
  <si>
    <t>IPBEETCELC</t>
  </si>
  <si>
    <t>IPBEFACELC</t>
  </si>
  <si>
    <t>IPBFEED</t>
  </si>
  <si>
    <t>IPBEFEDNGA</t>
  </si>
  <si>
    <t>IPBFSTM</t>
  </si>
  <si>
    <t>IPBEMDRELC</t>
  </si>
  <si>
    <t>IPBEOHTELC</t>
  </si>
  <si>
    <t>IPBEPRHELC</t>
  </si>
  <si>
    <t>IPBRSTM</t>
  </si>
  <si>
    <t>IPBEBOLELC</t>
  </si>
  <si>
    <t>IPL</t>
  </si>
  <si>
    <t>IPLTECHEXT</t>
  </si>
  <si>
    <t>IPLFSTM</t>
  </si>
  <si>
    <t>IPLMDR</t>
  </si>
  <si>
    <t>IPLEMDRELC</t>
  </si>
  <si>
    <t>IPLEPRHELC</t>
  </si>
  <si>
    <t>IPLRSTM</t>
  </si>
  <si>
    <t>IPO</t>
  </si>
  <si>
    <t>IPOTECHEXT</t>
  </si>
  <si>
    <t>IPOEFACELC</t>
  </si>
  <si>
    <t>IPOFSTM</t>
  </si>
  <si>
    <t>IPOEMDRELC</t>
  </si>
  <si>
    <t>IPOEBSDWOD</t>
  </si>
  <si>
    <t>IPOEOHTELC</t>
  </si>
  <si>
    <t>IPOEPRHELC</t>
  </si>
  <si>
    <t>IPORSTM</t>
  </si>
  <si>
    <t>IPOEBOLELC</t>
  </si>
  <si>
    <t>PACHPELC</t>
  </si>
  <si>
    <t>PBCHPELC</t>
  </si>
  <si>
    <t>PLCHPELC</t>
  </si>
  <si>
    <t>POCHPELC</t>
  </si>
  <si>
    <t>ICANCCTNGA</t>
  </si>
  <si>
    <t>ICINBSTNGA</t>
  </si>
  <si>
    <t>ICINCCTNGA</t>
  </si>
  <si>
    <t>ICINCFBCOA</t>
  </si>
  <si>
    <t>ICONBSTNGA</t>
  </si>
  <si>
    <t>ICONCCTNGA</t>
  </si>
  <si>
    <t>ICONCFBCOA</t>
  </si>
  <si>
    <t>ICPNBSTNGA</t>
  </si>
  <si>
    <t>ICPNCCTNGA</t>
  </si>
  <si>
    <t>ICPNCFBCOA</t>
  </si>
  <si>
    <t>ICPNMTTNGA</t>
  </si>
  <si>
    <t>ICTNBSTNGA</t>
  </si>
  <si>
    <t>ICTNCCTNGA</t>
  </si>
  <si>
    <t>ICTNCFBCOA</t>
  </si>
  <si>
    <t>ICTNCHLRFL</t>
  </si>
  <si>
    <t>ICABOLFSTM</t>
  </si>
  <si>
    <t>ICANBSPNGA</t>
  </si>
  <si>
    <t>ICIBOLFSTM</t>
  </si>
  <si>
    <t>ICOOHTOSTM</t>
  </si>
  <si>
    <t>ICOBOLFSTM</t>
  </si>
  <si>
    <t>ICONBFBCOA</t>
  </si>
  <si>
    <t>ICPBOLFSTM</t>
  </si>
  <si>
    <t>ICPNBFBCOA</t>
  </si>
  <si>
    <t>ICTNBFBBIO</t>
  </si>
  <si>
    <t>ICTOHTOSTM</t>
  </si>
  <si>
    <t>ICTBOLFSTM</t>
  </si>
  <si>
    <t>IFDCHPEL00</t>
  </si>
  <si>
    <t>IPANBSTNGA</t>
  </si>
  <si>
    <t>IPANCCTNGA</t>
  </si>
  <si>
    <t>IPANCFBCOA</t>
  </si>
  <si>
    <t>IPANCPVCOA</t>
  </si>
  <si>
    <t>IPAOHTOSTM</t>
  </si>
  <si>
    <t>IPANCHLTOM</t>
  </si>
  <si>
    <t>IPABOLFSTM</t>
  </si>
  <si>
    <t>IPBNBSTNGA</t>
  </si>
  <si>
    <t>IPBNCCTNGA</t>
  </si>
  <si>
    <t>IPBNCFBCOA</t>
  </si>
  <si>
    <t>IPBOHTOSTM</t>
  </si>
  <si>
    <t>IPBNCHLTOM</t>
  </si>
  <si>
    <t>IPBBOLFSTM</t>
  </si>
  <si>
    <t>IPBNBFBCOA</t>
  </si>
  <si>
    <t>IPLNBSTNGA</t>
  </si>
  <si>
    <t>IPLNCCTNGA</t>
  </si>
  <si>
    <t>IPLNCHLRFL</t>
  </si>
  <si>
    <t>IPLOHTOSTM</t>
  </si>
  <si>
    <t>IPLNCHLTOM</t>
  </si>
  <si>
    <t>IPLBOLFSTM</t>
  </si>
  <si>
    <t>IPLNBSPNGA</t>
  </si>
  <si>
    <t>IPONBSTNGA</t>
  </si>
  <si>
    <t>IPONCCTNGA</t>
  </si>
  <si>
    <t>IPONCFBCOA</t>
  </si>
  <si>
    <t>IPOOHTOSTM</t>
  </si>
  <si>
    <t>IPONCHLTOM</t>
  </si>
  <si>
    <t>IPOBOLFSTM</t>
  </si>
  <si>
    <t>INDELC</t>
  </si>
  <si>
    <t>IFDNCPVCOA</t>
  </si>
  <si>
    <t>COKE</t>
  </si>
  <si>
    <t>IFDNBSTNGA</t>
  </si>
  <si>
    <t>INDELCNC</t>
  </si>
  <si>
    <t>INDELCNG</t>
  </si>
  <si>
    <t>INDELCNO</t>
  </si>
  <si>
    <t>IFDNCHLRFL</t>
  </si>
  <si>
    <t>INDELCMS</t>
  </si>
  <si>
    <t>INDELCMT</t>
  </si>
  <si>
    <t>INDELCMA</t>
  </si>
  <si>
    <t>INDELCML</t>
  </si>
  <si>
    <t>INDELCMO</t>
  </si>
  <si>
    <t>INDELCOT</t>
  </si>
  <si>
    <t>ICPOSTM</t>
  </si>
  <si>
    <t>INGFSTM</t>
  </si>
  <si>
    <t>INOFSTM</t>
  </si>
  <si>
    <t>INOOSTM</t>
  </si>
  <si>
    <t>IMSFSTM</t>
  </si>
  <si>
    <t>IMSOSTM</t>
  </si>
  <si>
    <t>IMTFSTM</t>
  </si>
  <si>
    <t>IMTOSTM</t>
  </si>
  <si>
    <t>IMAFSTM</t>
  </si>
  <si>
    <t>IMAOHT</t>
  </si>
  <si>
    <t>IMLFSTM</t>
  </si>
  <si>
    <t>IMOFSTM</t>
  </si>
  <si>
    <t>IOTFSTM</t>
  </si>
  <si>
    <t>IOTOSTM</t>
  </si>
  <si>
    <t>ICPNREGNGA</t>
  </si>
  <si>
    <t>IMAEBSTNGA</t>
  </si>
  <si>
    <t>IMAECCTNGA</t>
  </si>
  <si>
    <t>IMANBSTNGA</t>
  </si>
  <si>
    <t>IMAEBOLNGA</t>
  </si>
  <si>
    <t>IMLECCTNGA</t>
  </si>
  <si>
    <t>IMLEFCLNGA</t>
  </si>
  <si>
    <t>IMLEREGNGA</t>
  </si>
  <si>
    <t>IMLNCCTNGA</t>
  </si>
  <si>
    <t>IMOEBOLELC</t>
  </si>
  <si>
    <t>IMOEBSTNGA</t>
  </si>
  <si>
    <t>IMOECCTNGA</t>
  </si>
  <si>
    <t>IMOEMTTNGA</t>
  </si>
  <si>
    <t>IMOEREGNGA</t>
  </si>
  <si>
    <t>IMONBSTNGA</t>
  </si>
  <si>
    <t>IMOEBOLNGA</t>
  </si>
  <si>
    <t>IMSEBSTNGA</t>
  </si>
  <si>
    <t>IMSECCTNGA</t>
  </si>
  <si>
    <t>IMSEMTTNGA</t>
  </si>
  <si>
    <t>IMSEREGNGA</t>
  </si>
  <si>
    <t>IMSNBSTNGA</t>
  </si>
  <si>
    <t>IMSEBOLNGA</t>
  </si>
  <si>
    <t>IMSNREGNGA</t>
  </si>
  <si>
    <t>INCEFEDPTC</t>
  </si>
  <si>
    <t>INCEFEDOTP</t>
  </si>
  <si>
    <t>INCEPRHELC</t>
  </si>
  <si>
    <t>IMTEBSTNGA</t>
  </si>
  <si>
    <t>INCEPRHNGA</t>
  </si>
  <si>
    <t>IMTECCTNGA</t>
  </si>
  <si>
    <t>INCEPRHCOA</t>
  </si>
  <si>
    <t>IMTEMTTNGA</t>
  </si>
  <si>
    <t>INCEMDRELC</t>
  </si>
  <si>
    <t>INCMDR</t>
  </si>
  <si>
    <t>IMTEREGNGA</t>
  </si>
  <si>
    <t>IMTNBSTNGA</t>
  </si>
  <si>
    <t>INCEFACELC</t>
  </si>
  <si>
    <t>IMTEBOLNGA</t>
  </si>
  <si>
    <t>INCEFACDST</t>
  </si>
  <si>
    <t>INCEOHTPTC</t>
  </si>
  <si>
    <t>INCEOHTOTP</t>
  </si>
  <si>
    <t>IMTNREGNGA</t>
  </si>
  <si>
    <t>INGECCTNGA</t>
  </si>
  <si>
    <t>INGEPRHELC</t>
  </si>
  <si>
    <t>INGEREGNGA</t>
  </si>
  <si>
    <t>INGNCCTNGA</t>
  </si>
  <si>
    <t>INGEPRHNGA</t>
  </si>
  <si>
    <t>INGEMDRELC</t>
  </si>
  <si>
    <t>INGMDR</t>
  </si>
  <si>
    <t>INGEFACELC</t>
  </si>
  <si>
    <t>INGEFACNGA</t>
  </si>
  <si>
    <t>INGEOHTRFL</t>
  </si>
  <si>
    <t>INGEOHTDST</t>
  </si>
  <si>
    <t>INGEOHTNGA</t>
  </si>
  <si>
    <t>INGEOHTLPG</t>
  </si>
  <si>
    <t>INOEBSTNGA</t>
  </si>
  <si>
    <t>INGEOHTCOA</t>
  </si>
  <si>
    <t>INOECCTNGA</t>
  </si>
  <si>
    <t>INOEREGNGA</t>
  </si>
  <si>
    <t>INONBSTNGA</t>
  </si>
  <si>
    <t>INONCCTNGA</t>
  </si>
  <si>
    <t>INONREGNGA</t>
  </si>
  <si>
    <t>INOEBOLNGA</t>
  </si>
  <si>
    <t>INOEBASNGA</t>
  </si>
  <si>
    <t>INONBSPNGA</t>
  </si>
  <si>
    <t>INOEETCELC</t>
  </si>
  <si>
    <t>INOETC</t>
  </si>
  <si>
    <t>IOTEBSTCOA</t>
  </si>
  <si>
    <t>INOEPRHELC</t>
  </si>
  <si>
    <t>INOEPRHDST</t>
  </si>
  <si>
    <t>IOTEBSTNGA</t>
  </si>
  <si>
    <t>INOEPRHNGA</t>
  </si>
  <si>
    <t>IOTEBSTRFL</t>
  </si>
  <si>
    <t>INOEPRHLPG</t>
  </si>
  <si>
    <t>IOTECCTDST</t>
  </si>
  <si>
    <t>INOEPRHCOA</t>
  </si>
  <si>
    <t>IOTECCTLPG</t>
  </si>
  <si>
    <t>INOEMDRELC</t>
  </si>
  <si>
    <t>IOTECCTNGA</t>
  </si>
  <si>
    <t>INOEMDRDST</t>
  </si>
  <si>
    <t>IOTECCTRFL</t>
  </si>
  <si>
    <t>INOEMDRNGA</t>
  </si>
  <si>
    <t>IOTECPVCOA</t>
  </si>
  <si>
    <t>INOEFACELC</t>
  </si>
  <si>
    <t>IOTECSOCOA</t>
  </si>
  <si>
    <t>INOEFACDST</t>
  </si>
  <si>
    <t>IOTEFCLLPG</t>
  </si>
  <si>
    <t>INOEFACNGA</t>
  </si>
  <si>
    <t>IOTEFCLNGA</t>
  </si>
  <si>
    <t>INOEFACLPG</t>
  </si>
  <si>
    <t>IOTEMTTLPG</t>
  </si>
  <si>
    <t>INOEOHTELC</t>
  </si>
  <si>
    <t>IOTEMTTNGA</t>
  </si>
  <si>
    <t>INOEOHTRFL</t>
  </si>
  <si>
    <t>IOTEREGCOA</t>
  </si>
  <si>
    <t>INOEOHTNGA</t>
  </si>
  <si>
    <t>IOTEREGLPG</t>
  </si>
  <si>
    <t>INOEOHTBIO</t>
  </si>
  <si>
    <t>IOTEREGNGA</t>
  </si>
  <si>
    <t>INOEOHTPTC</t>
  </si>
  <si>
    <t>IOTEREGRFL</t>
  </si>
  <si>
    <t>INOEOHTOTP</t>
  </si>
  <si>
    <t>IOTNBSTNGA</t>
  </si>
  <si>
    <t>IOTNCFBCOA</t>
  </si>
  <si>
    <t>IOTEBOLBIO</t>
  </si>
  <si>
    <t>IMSECOKMET</t>
  </si>
  <si>
    <t>IOTEBSDBIO</t>
  </si>
  <si>
    <t>IMSEFEDNGA</t>
  </si>
  <si>
    <t>IOTEBSWBIO</t>
  </si>
  <si>
    <t>IMSEFEDCOK</t>
  </si>
  <si>
    <t>IMSEFEDBIO</t>
  </si>
  <si>
    <t>IOTEBDSBIO</t>
  </si>
  <si>
    <t>IMSEFEDPTC</t>
  </si>
  <si>
    <t>IOTEBFCBIO</t>
  </si>
  <si>
    <t>IOTNBFBBIO</t>
  </si>
  <si>
    <t>IMSEETCELC</t>
  </si>
  <si>
    <t>IMSETC</t>
  </si>
  <si>
    <t>IMSEPRHELC</t>
  </si>
  <si>
    <t>IMSEPRHDST</t>
  </si>
  <si>
    <t>IOTEBSTWOD</t>
  </si>
  <si>
    <t>IMSEPRHNGA</t>
  </si>
  <si>
    <t>IOTECCTWOD</t>
  </si>
  <si>
    <t>IMSEPRHCOA</t>
  </si>
  <si>
    <t>IMSEMDRELC</t>
  </si>
  <si>
    <t>IOTECSDWOD</t>
  </si>
  <si>
    <t>IMSEMDRNGA</t>
  </si>
  <si>
    <t>IOTECSWWOD</t>
  </si>
  <si>
    <t>IMSEFACELC</t>
  </si>
  <si>
    <t>IOTEREGWOD</t>
  </si>
  <si>
    <t>IMSEFACDST</t>
  </si>
  <si>
    <t>IOTNCDSWOD</t>
  </si>
  <si>
    <t>IMSEFACNGA</t>
  </si>
  <si>
    <t>IMSEFACCOA</t>
  </si>
  <si>
    <t>IOTNCFCWOD</t>
  </si>
  <si>
    <t>IMSEOHTELC</t>
  </si>
  <si>
    <t>IMSEOHTRFL</t>
  </si>
  <si>
    <t>IMSEOHTBIO</t>
  </si>
  <si>
    <t>IOTEBOLELC</t>
  </si>
  <si>
    <t>IMSEOHTPTC</t>
  </si>
  <si>
    <t>IOTEBOLNGA</t>
  </si>
  <si>
    <t>IOTEBOLCOA</t>
  </si>
  <si>
    <t>IOTEBHLRFL</t>
  </si>
  <si>
    <t>IOTEBLLDST</t>
  </si>
  <si>
    <t>IOTEBPVCOA</t>
  </si>
  <si>
    <t>IOTEBSOCOA</t>
  </si>
  <si>
    <t>IMTECOKMET</t>
  </si>
  <si>
    <t>IMTEFEDNGA</t>
  </si>
  <si>
    <t>IMTEFEDCOK</t>
  </si>
  <si>
    <t>IMTEFEDBIO</t>
  </si>
  <si>
    <t>IMTEFEDPTC</t>
  </si>
  <si>
    <t>IMTEETCELC</t>
  </si>
  <si>
    <t>IMTETC</t>
  </si>
  <si>
    <t>IMTEPRHELC</t>
  </si>
  <si>
    <t>IMTEPRHDST</t>
  </si>
  <si>
    <t>IMTEPRHNGA</t>
  </si>
  <si>
    <t>IMTEPRHCOA</t>
  </si>
  <si>
    <t>IMTEMDRELC</t>
  </si>
  <si>
    <t>IMTEMDRNGA</t>
  </si>
  <si>
    <t>IMTEFACELC</t>
  </si>
  <si>
    <t>IMTEFACDST</t>
  </si>
  <si>
    <t>IMTEFACNGA</t>
  </si>
  <si>
    <t>IMTEFACCOA</t>
  </si>
  <si>
    <t>IMTEOHTELC</t>
  </si>
  <si>
    <t>IMTEOHTRFL</t>
  </si>
  <si>
    <t>IMTEOHTBIO</t>
  </si>
  <si>
    <t>IMTEOHTPTC</t>
  </si>
  <si>
    <t>IMAEFEDNGA</t>
  </si>
  <si>
    <t>IMAEFEDPTC</t>
  </si>
  <si>
    <t>IPANBFBCOA</t>
  </si>
  <si>
    <t>IMAEETCELC</t>
  </si>
  <si>
    <t>IMAETC</t>
  </si>
  <si>
    <t>IMAEPRHELC</t>
  </si>
  <si>
    <t>IMAEPRHNGA</t>
  </si>
  <si>
    <t>IMAEMDRELC</t>
  </si>
  <si>
    <t>IMAEMDRNGA</t>
  </si>
  <si>
    <t>IMAEFACELC</t>
  </si>
  <si>
    <t>IMAEFACDST</t>
  </si>
  <si>
    <t>IMAEFACNGA</t>
  </si>
  <si>
    <t>IMAEOHTPTC</t>
  </si>
  <si>
    <t>IMLEETCELC</t>
  </si>
  <si>
    <t>IMLETC</t>
  </si>
  <si>
    <t>IMLEPRHELC</t>
  </si>
  <si>
    <t>IMLEPRHNGA</t>
  </si>
  <si>
    <t>IMLEMDRELC</t>
  </si>
  <si>
    <t>IMLMDR</t>
  </si>
  <si>
    <t>IMLEOHTLPG</t>
  </si>
  <si>
    <t>IMLEOHTCOA</t>
  </si>
  <si>
    <t>IMOEFEDNGA</t>
  </si>
  <si>
    <t>IMOEFEDBIO</t>
  </si>
  <si>
    <t>IMOEFEDPTC</t>
  </si>
  <si>
    <t>IMOEFEDOTP</t>
  </si>
  <si>
    <t>IMOEETCELC</t>
  </si>
  <si>
    <t>IMOETC</t>
  </si>
  <si>
    <t>IMOEPRHELC</t>
  </si>
  <si>
    <t>IMOEPRHNGA</t>
  </si>
  <si>
    <t>IMOEPRHLPG</t>
  </si>
  <si>
    <t>IMOEMDRELC</t>
  </si>
  <si>
    <t>IMOEMDRDST</t>
  </si>
  <si>
    <t>IMOEMDRNGA</t>
  </si>
  <si>
    <t>IMOEFACELC</t>
  </si>
  <si>
    <t>IMOEFACDST</t>
  </si>
  <si>
    <t>IMOEFACNGA</t>
  </si>
  <si>
    <t>IMOEOHTRFL</t>
  </si>
  <si>
    <t>IMOEOHTNGA</t>
  </si>
  <si>
    <t>IMOEOHTCOA</t>
  </si>
  <si>
    <t>IMOEOHTBIO</t>
  </si>
  <si>
    <t>IMOEOHTPTC</t>
  </si>
  <si>
    <t>IMOEOHTOTP</t>
  </si>
  <si>
    <t>IOTEMETCOK</t>
  </si>
  <si>
    <t>IOTEFEDRFL</t>
  </si>
  <si>
    <t>IOTEFEDDST</t>
  </si>
  <si>
    <t>IOTEFEDNGA</t>
  </si>
  <si>
    <t>IOTEFEDLPG</t>
  </si>
  <si>
    <t>IOTEFEDCOK</t>
  </si>
  <si>
    <t>IOTEFEDBIO</t>
  </si>
  <si>
    <t>IOTEFEDPTC</t>
  </si>
  <si>
    <t>IOTEFEDOTP</t>
  </si>
  <si>
    <t>IOTEETCELC</t>
  </si>
  <si>
    <t>IOTETC</t>
  </si>
  <si>
    <t>IOTEPRHELC</t>
  </si>
  <si>
    <t>IOTEPRHRFL</t>
  </si>
  <si>
    <t>IOTEPRHDST</t>
  </si>
  <si>
    <t>IOTEPRHNGA</t>
  </si>
  <si>
    <t>IOTEPRHLPG</t>
  </si>
  <si>
    <t>IOTEPRHCOA</t>
  </si>
  <si>
    <t>IOTEMDRELC</t>
  </si>
  <si>
    <t>IOTEMDRDST</t>
  </si>
  <si>
    <t>IOTEMDRNGA</t>
  </si>
  <si>
    <t>IOTEMDRLPG</t>
  </si>
  <si>
    <t>IOTEMDRCOA</t>
  </si>
  <si>
    <t>IOTEFACELC</t>
  </si>
  <si>
    <t>IOTEFACRFL</t>
  </si>
  <si>
    <t>IOTEFACDST</t>
  </si>
  <si>
    <t>IOTEFACNGA</t>
  </si>
  <si>
    <t>IOTEFACLPG</t>
  </si>
  <si>
    <t>IOTEFACCOA</t>
  </si>
  <si>
    <t>IOTEOHTELC</t>
  </si>
  <si>
    <t>IOTEOHTRFL</t>
  </si>
  <si>
    <t>IOTEOHTDST</t>
  </si>
  <si>
    <t>IOTEOHTNGA</t>
  </si>
  <si>
    <t>IOTEOHTLPG</t>
  </si>
  <si>
    <t>IOTEOHTBIO</t>
  </si>
  <si>
    <t>IOTEOHTPTC</t>
  </si>
  <si>
    <t>IOTEOHTOTP</t>
  </si>
  <si>
    <t>IXNONMASP</t>
  </si>
  <si>
    <t>IXNONM</t>
  </si>
  <si>
    <t>IXNONMELC</t>
  </si>
  <si>
    <t>IXNONMDLPG</t>
  </si>
  <si>
    <t>IXNONMNGA</t>
  </si>
  <si>
    <t>IXNONMBIO</t>
  </si>
  <si>
    <t>ICPOHTOSTM</t>
  </si>
  <si>
    <t>S_IPLPHDSL</t>
  </si>
  <si>
    <t>IPLPH_DSL</t>
  </si>
  <si>
    <t>S_ICASTCOA</t>
  </si>
  <si>
    <t>ICAST_COA</t>
  </si>
  <si>
    <t>IFD</t>
  </si>
  <si>
    <t>IFDTECHEXT</t>
  </si>
  <si>
    <t>IMA</t>
  </si>
  <si>
    <t>IMATECHEXT</t>
  </si>
  <si>
    <t>IMABOLFSTM</t>
  </si>
  <si>
    <t>IML</t>
  </si>
  <si>
    <t>IMLTECHEXT</t>
  </si>
  <si>
    <t>IMLSTM</t>
  </si>
  <si>
    <t>IMLBOLFSTM</t>
  </si>
  <si>
    <t>IMO</t>
  </si>
  <si>
    <t>IMOTECHEXT</t>
  </si>
  <si>
    <t>IMOBOLFSTM</t>
  </si>
  <si>
    <t>IMS</t>
  </si>
  <si>
    <t>IMSTECHEXT</t>
  </si>
  <si>
    <t>IMSOHTOSTM</t>
  </si>
  <si>
    <t>IMSBOLFSTM</t>
  </si>
  <si>
    <t>IMT</t>
  </si>
  <si>
    <t>IMTTECHEXT</t>
  </si>
  <si>
    <t>IMTOTHOSTM</t>
  </si>
  <si>
    <t>IMTBOLFSTM</t>
  </si>
  <si>
    <t>INC</t>
  </si>
  <si>
    <t>INCTECHEXT</t>
  </si>
  <si>
    <t>INDELC000</t>
  </si>
  <si>
    <t>IMACHPELC0</t>
  </si>
  <si>
    <t>IMAELC00</t>
  </si>
  <si>
    <t>IMLCHPELC0</t>
  </si>
  <si>
    <t>IMLELC00</t>
  </si>
  <si>
    <t>IMOCHPELC0</t>
  </si>
  <si>
    <t>IMOELC00</t>
  </si>
  <si>
    <t>IMSCHPELC0</t>
  </si>
  <si>
    <t>IMSELC00</t>
  </si>
  <si>
    <t>IMTCHPELC0</t>
  </si>
  <si>
    <t>IMTELC00</t>
  </si>
  <si>
    <t>INCELC00</t>
  </si>
  <si>
    <t>INGCHPELC0</t>
  </si>
  <si>
    <t>INGELC00</t>
  </si>
  <si>
    <t>INOCHPELC0</t>
  </si>
  <si>
    <t>INOELC00</t>
  </si>
  <si>
    <t>IOTCHPELC0</t>
  </si>
  <si>
    <t>IOTELC00</t>
  </si>
  <si>
    <t>ING</t>
  </si>
  <si>
    <t>INGTECHEXT</t>
  </si>
  <si>
    <t>INGBOLFSTM</t>
  </si>
  <si>
    <t>INO</t>
  </si>
  <si>
    <t>INOTECHEXT</t>
  </si>
  <si>
    <t>INOOHTOSTM</t>
  </si>
  <si>
    <t>INOBOLFSTM</t>
  </si>
  <si>
    <t>IOT</t>
  </si>
  <si>
    <t>IOTTECHEXT</t>
  </si>
  <si>
    <t>IOTOHTOSTM</t>
  </si>
  <si>
    <t>IOTBOLFSTM</t>
  </si>
  <si>
    <t>MACHPELC</t>
  </si>
  <si>
    <t>MLCHPELC</t>
  </si>
  <si>
    <t>MOCHPELC</t>
  </si>
  <si>
    <t>MSCHPELC</t>
  </si>
  <si>
    <t>MTCHPELC</t>
  </si>
  <si>
    <t>NGCHPELC</t>
  </si>
  <si>
    <t>NOCHPELC</t>
  </si>
  <si>
    <t>OTCHPELC</t>
  </si>
  <si>
    <t>S_IMASTCOA</t>
  </si>
  <si>
    <t>IMAST_COA</t>
  </si>
  <si>
    <t>LO</t>
  </si>
  <si>
    <t>FX</t>
  </si>
  <si>
    <t>~UC_T: UC_COMPRD~2011</t>
  </si>
  <si>
    <t>UP</t>
  </si>
  <si>
    <t>~UC_T: UC_COMPRD~2055</t>
  </si>
  <si>
    <t>S_IFDSTCHP</t>
  </si>
  <si>
    <t>S_IFDOHCHP</t>
  </si>
  <si>
    <t>S_ICISTCHP</t>
  </si>
  <si>
    <t>S_ICPSTCHP</t>
  </si>
  <si>
    <t>S_ICASTCHP</t>
  </si>
  <si>
    <t>S_ICTSTCHP</t>
  </si>
  <si>
    <t>S_ICTOHCHP</t>
  </si>
  <si>
    <t>S_INGSTCHP</t>
  </si>
  <si>
    <t>S_INOSTCHP</t>
  </si>
  <si>
    <t>S_IMSSTCHP</t>
  </si>
  <si>
    <t>S_IMTSTCHP</t>
  </si>
  <si>
    <t>S_IMASTCHP</t>
  </si>
  <si>
    <t>S_IMOSTCHP</t>
  </si>
  <si>
    <t>S_IOTSTCHP</t>
  </si>
  <si>
    <t>S_IOTOHCHP</t>
  </si>
  <si>
    <t>Table 93. Fuel Relaxation Percentages</t>
  </si>
  <si>
    <t>General Industry Category</t>
  </si>
  <si>
    <t>Natural Gas</t>
  </si>
  <si>
    <t>Coal</t>
  </si>
  <si>
    <t>Feedstocks</t>
  </si>
  <si>
    <t>Food</t>
  </si>
  <si>
    <t>Paper</t>
  </si>
  <si>
    <t>Chemicals</t>
  </si>
  <si>
    <t>Nonmetallic Mineral Products</t>
  </si>
  <si>
    <t>Primary Metals</t>
  </si>
  <si>
    <t>Other</t>
  </si>
  <si>
    <t>Source: 2007 OPEI Report</t>
  </si>
  <si>
    <t>epa.gov/sectors/pdf/energy/report.pdf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</si>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</sst>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.00"/>
    <numFmt numFmtId="166" formatCode="#."/>
    <numFmt numFmtId="167" formatCode="m\o\n\th\ d\,\ yyyy"/>
    <numFmt numFmtId="168" formatCode="_-* #,##0.00_-;\-* #,##0.00_-;_-* &quot;-&quot;??_-;_-@_-"/>
    <numFmt numFmtId="169" formatCode="_-&quot;$&quot;* #,##0.00_-;\-&quot;$&quot;* #,##0.00_-;_-&quot;$&quot;* &quot;-&quot;??_-;_-@_-"/>
    <numFmt numFmtId="170" formatCode="yyyy"/>
  </numFmts>
  <fonts count="5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Helv"/>
    </font>
    <font>
      <sz val="10"/>
      <name val="MS Sans Serif"/>
      <family val="2"/>
    </font>
    <font>
      <sz val="10"/>
      <name val="Verdana"/>
      <family val="2"/>
    </font>
    <font>
      <u/>
      <sz val="11"/>
      <color indexed="12"/>
      <name val="Calibri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8.8000000000000007"/>
      <color theme="10"/>
      <name val="Calibri"/>
      <family val="2"/>
    </font>
    <font>
      <u/>
      <sz val="8.25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b/>
      <sz val="12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73">
    <xf numFmtId="0" fontId="0" fillId="0" borderId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30" fillId="31" borderId="0" applyNumberFormat="0" applyBorder="0" applyAlignment="0" applyProtection="0"/>
    <xf numFmtId="0" fontId="16" fillId="7" borderId="0" applyNumberFormat="0" applyBorder="0" applyAlignment="0" applyProtection="0"/>
    <xf numFmtId="0" fontId="30" fillId="32" borderId="0" applyNumberFormat="0" applyBorder="0" applyAlignment="0" applyProtection="0"/>
    <xf numFmtId="0" fontId="16" fillId="5" borderId="0" applyNumberFormat="0" applyBorder="0" applyAlignment="0" applyProtection="0"/>
    <xf numFmtId="0" fontId="30" fillId="33" borderId="0" applyNumberFormat="0" applyBorder="0" applyAlignment="0" applyProtection="0"/>
    <xf numFmtId="0" fontId="16" fillId="6" borderId="0" applyNumberFormat="0" applyBorder="0" applyAlignment="0" applyProtection="0"/>
    <xf numFmtId="0" fontId="30" fillId="34" borderId="0" applyNumberFormat="0" applyBorder="0" applyAlignment="0" applyProtection="0"/>
    <xf numFmtId="0" fontId="16" fillId="8" borderId="0" applyNumberFormat="0" applyBorder="0" applyAlignment="0" applyProtection="0"/>
    <xf numFmtId="0" fontId="30" fillId="35" borderId="0" applyNumberFormat="0" applyBorder="0" applyAlignment="0" applyProtection="0"/>
    <xf numFmtId="0" fontId="16" fillId="9" borderId="0" applyNumberFormat="0" applyBorder="0" applyAlignment="0" applyProtection="0"/>
    <xf numFmtId="0" fontId="30" fillId="36" borderId="0" applyNumberFormat="0" applyBorder="0" applyAlignment="0" applyProtection="0"/>
    <xf numFmtId="0" fontId="16" fillId="10" borderId="0" applyNumberFormat="0" applyBorder="0" applyAlignment="0" applyProtection="0"/>
    <xf numFmtId="0" fontId="30" fillId="37" borderId="0" applyNumberFormat="0" applyBorder="0" applyAlignment="0" applyProtection="0"/>
    <xf numFmtId="0" fontId="16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38" borderId="0" applyNumberFormat="0" applyBorder="0" applyAlignment="0" applyProtection="0"/>
    <xf numFmtId="0" fontId="16" fillId="12" borderId="0" applyNumberFormat="0" applyBorder="0" applyAlignment="0" applyProtection="0"/>
    <xf numFmtId="0" fontId="30" fillId="39" borderId="0" applyNumberFormat="0" applyBorder="0" applyAlignment="0" applyProtection="0"/>
    <xf numFmtId="0" fontId="16" fillId="13" borderId="0" applyNumberFormat="0" applyBorder="0" applyAlignment="0" applyProtection="0"/>
    <xf numFmtId="0" fontId="30" fillId="40" borderId="0" applyNumberFormat="0" applyBorder="0" applyAlignment="0" applyProtection="0"/>
    <xf numFmtId="0" fontId="16" fillId="8" borderId="0" applyNumberFormat="0" applyBorder="0" applyAlignment="0" applyProtection="0"/>
    <xf numFmtId="0" fontId="30" fillId="41" borderId="0" applyNumberFormat="0" applyBorder="0" applyAlignment="0" applyProtection="0"/>
    <xf numFmtId="0" fontId="16" fillId="9" borderId="0" applyNumberFormat="0" applyBorder="0" applyAlignment="0" applyProtection="0"/>
    <xf numFmtId="0" fontId="30" fillId="42" borderId="0" applyNumberFormat="0" applyBorder="0" applyAlignment="0" applyProtection="0"/>
    <xf numFmtId="0" fontId="16" fillId="14" borderId="0" applyNumberFormat="0" applyBorder="0" applyAlignment="0" applyProtection="0"/>
    <xf numFmtId="0" fontId="31" fillId="43" borderId="0" applyNumberFormat="0" applyBorder="0" applyAlignment="0" applyProtection="0"/>
    <xf numFmtId="0" fontId="7" fillId="2" borderId="0" applyNumberFormat="0" applyBorder="0" applyAlignment="0" applyProtection="0"/>
    <xf numFmtId="0" fontId="32" fillId="44" borderId="10" applyNumberFormat="0" applyAlignment="0" applyProtection="0"/>
    <xf numFmtId="0" fontId="11" fillId="15" borderId="1" applyNumberFormat="0" applyAlignment="0" applyProtection="0"/>
    <xf numFmtId="0" fontId="33" fillId="45" borderId="11" applyNumberFormat="0" applyAlignment="0" applyProtection="0"/>
    <xf numFmtId="0" fontId="13" fillId="16" borderId="2" applyNumberFormat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8" fontId="18" fillId="0" borderId="0" applyFont="0" applyFill="0" applyBorder="0" applyAlignment="0" applyProtection="0"/>
    <xf numFmtId="43" fontId="29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0" fillId="0" borderId="0">
      <protection locked="0"/>
    </xf>
    <xf numFmtId="167" fontId="20" fillId="0" borderId="0">
      <protection locked="0"/>
    </xf>
    <xf numFmtId="167" fontId="20" fillId="0" borderId="0">
      <protection locked="0"/>
    </xf>
    <xf numFmtId="167" fontId="20" fillId="0" borderId="0">
      <protection locked="0"/>
    </xf>
    <xf numFmtId="0" fontId="3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5" fontId="20" fillId="0" borderId="0">
      <protection locked="0"/>
    </xf>
    <xf numFmtId="165" fontId="20" fillId="0" borderId="0">
      <protection locked="0"/>
    </xf>
    <xf numFmtId="165" fontId="20" fillId="0" borderId="0">
      <protection locked="0"/>
    </xf>
    <xf numFmtId="165" fontId="20" fillId="0" borderId="0">
      <protection locked="0"/>
    </xf>
    <xf numFmtId="0" fontId="35" fillId="46" borderId="0" applyNumberFormat="0" applyBorder="0" applyAlignment="0" applyProtection="0"/>
    <xf numFmtId="0" fontId="6" fillId="3" borderId="0" applyNumberFormat="0" applyBorder="0" applyAlignment="0" applyProtection="0"/>
    <xf numFmtId="0" fontId="36" fillId="0" borderId="12" applyNumberFormat="0" applyFill="0" applyAlignment="0" applyProtection="0"/>
    <xf numFmtId="0" fontId="3" fillId="0" borderId="3" applyNumberFormat="0" applyFill="0" applyAlignment="0" applyProtection="0"/>
    <xf numFmtId="0" fontId="37" fillId="0" borderId="13" applyNumberFormat="0" applyFill="0" applyAlignment="0" applyProtection="0"/>
    <xf numFmtId="0" fontId="4" fillId="0" borderId="4" applyNumberFormat="0" applyFill="0" applyAlignment="0" applyProtection="0"/>
    <xf numFmtId="0" fontId="38" fillId="0" borderId="14" applyNumberFormat="0" applyFill="0" applyAlignment="0" applyProtection="0"/>
    <xf numFmtId="0" fontId="5" fillId="0" borderId="5" applyNumberFormat="0" applyFill="0" applyAlignment="0" applyProtection="0"/>
    <xf numFmtId="0" fontId="3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6" fontId="21" fillId="0" borderId="0">
      <protection locked="0"/>
    </xf>
    <xf numFmtId="166" fontId="21" fillId="0" borderId="0">
      <protection locked="0"/>
    </xf>
    <xf numFmtId="166" fontId="21" fillId="0" borderId="0">
      <protection locked="0"/>
    </xf>
    <xf numFmtId="166" fontId="21" fillId="0" borderId="0">
      <protection locked="0"/>
    </xf>
    <xf numFmtId="166" fontId="21" fillId="0" borderId="0">
      <protection locked="0"/>
    </xf>
    <xf numFmtId="166" fontId="21" fillId="0" borderId="0">
      <protection locked="0"/>
    </xf>
    <xf numFmtId="166" fontId="21" fillId="0" borderId="0">
      <protection locked="0"/>
    </xf>
    <xf numFmtId="166" fontId="21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47" borderId="10" applyNumberFormat="0" applyAlignment="0" applyProtection="0"/>
    <xf numFmtId="0" fontId="9" fillId="4" borderId="1" applyNumberFormat="0" applyAlignment="0" applyProtection="0"/>
    <xf numFmtId="0" fontId="43" fillId="0" borderId="15" applyNumberFormat="0" applyFill="0" applyAlignment="0" applyProtection="0"/>
    <xf numFmtId="0" fontId="12" fillId="0" borderId="6" applyNumberFormat="0" applyFill="0" applyAlignment="0" applyProtection="0"/>
    <xf numFmtId="0" fontId="44" fillId="48" borderId="0" applyNumberFormat="0" applyBorder="0" applyAlignment="0" applyProtection="0"/>
    <xf numFmtId="0" fontId="8" fillId="17" borderId="0" applyNumberFormat="0" applyBorder="0" applyAlignment="0" applyProtection="0"/>
    <xf numFmtId="0" fontId="18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29" fillId="0" borderId="0"/>
    <xf numFmtId="0" fontId="18" fillId="0" borderId="0"/>
    <xf numFmtId="0" fontId="18" fillId="0" borderId="0"/>
    <xf numFmtId="0" fontId="18" fillId="0" borderId="0"/>
    <xf numFmtId="0" fontId="45" fillId="0" borderId="0"/>
    <xf numFmtId="0" fontId="29" fillId="0" borderId="0"/>
    <xf numFmtId="0" fontId="25" fillId="0" borderId="0"/>
    <xf numFmtId="0" fontId="18" fillId="0" borderId="0"/>
    <xf numFmtId="0" fontId="18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18" fillId="0" borderId="0"/>
    <xf numFmtId="0" fontId="29" fillId="0" borderId="0"/>
    <xf numFmtId="0" fontId="24" fillId="0" borderId="0"/>
    <xf numFmtId="0" fontId="46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47" fillId="0" borderId="0"/>
    <xf numFmtId="0" fontId="2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8" fillId="0" borderId="0"/>
    <xf numFmtId="0" fontId="24" fillId="0" borderId="0"/>
    <xf numFmtId="0" fontId="29" fillId="0" borderId="0"/>
    <xf numFmtId="0" fontId="18" fillId="0" borderId="0"/>
    <xf numFmtId="0" fontId="18" fillId="0" borderId="0"/>
    <xf numFmtId="0" fontId="18" fillId="0" borderId="0"/>
    <xf numFmtId="0" fontId="45" fillId="0" borderId="0"/>
    <xf numFmtId="0" fontId="25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4" fillId="0" borderId="0"/>
    <xf numFmtId="0" fontId="25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9" fillId="0" borderId="0"/>
    <xf numFmtId="0" fontId="24" fillId="0" borderId="0"/>
    <xf numFmtId="0" fontId="1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29" fillId="0" borderId="0"/>
    <xf numFmtId="0" fontId="18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24" fillId="0" borderId="0"/>
    <xf numFmtId="0" fontId="19" fillId="0" borderId="0"/>
    <xf numFmtId="0" fontId="19" fillId="0" borderId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8" fillId="0" borderId="0"/>
    <xf numFmtId="0" fontId="29" fillId="0" borderId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9" fillId="49" borderId="16" applyNumberFormat="0" applyFont="0" applyAlignment="0" applyProtection="0"/>
    <xf numFmtId="0" fontId="29" fillId="49" borderId="16" applyNumberFormat="0" applyFont="0" applyAlignment="0" applyProtection="0"/>
    <xf numFmtId="0" fontId="29" fillId="49" borderId="16" applyNumberFormat="0" applyFont="0" applyAlignment="0" applyProtection="0"/>
    <xf numFmtId="0" fontId="29" fillId="49" borderId="16" applyNumberFormat="0" applyFont="0" applyAlignment="0" applyProtection="0"/>
    <xf numFmtId="0" fontId="49" fillId="44" borderId="17" applyNumberFormat="0" applyAlignment="0" applyProtection="0"/>
    <xf numFmtId="0" fontId="10" fillId="15" borderId="7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8" fillId="0" borderId="0"/>
    <xf numFmtId="170" fontId="18" fillId="0" borderId="0" applyFill="0" applyBorder="0" applyAlignment="0" applyProtection="0">
      <alignment wrapText="1"/>
    </xf>
    <xf numFmtId="170" fontId="18" fillId="0" borderId="0" applyFill="0" applyBorder="0" applyAlignment="0" applyProtection="0">
      <alignment wrapText="1"/>
    </xf>
    <xf numFmtId="0" fontId="22" fillId="0" borderId="0" applyNumberFormat="0" applyFill="0" applyBorder="0">
      <alignment horizontal="center" wrapText="1"/>
    </xf>
    <xf numFmtId="0" fontId="22" fillId="0" borderId="0" applyNumberFormat="0" applyFill="0" applyBorder="0">
      <alignment horizontal="center" wrapText="1"/>
    </xf>
    <xf numFmtId="0" fontId="5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1" fillId="0" borderId="18" applyNumberFormat="0" applyFill="0" applyAlignment="0" applyProtection="0"/>
    <xf numFmtId="166" fontId="20" fillId="0" borderId="8">
      <protection locked="0"/>
    </xf>
    <xf numFmtId="166" fontId="20" fillId="0" borderId="8">
      <protection locked="0"/>
    </xf>
    <xf numFmtId="166" fontId="20" fillId="0" borderId="8">
      <protection locked="0"/>
    </xf>
    <xf numFmtId="166" fontId="20" fillId="0" borderId="8">
      <protection locked="0"/>
    </xf>
    <xf numFmtId="166" fontId="20" fillId="0" borderId="8">
      <protection locked="0"/>
    </xf>
    <xf numFmtId="166" fontId="20" fillId="0" borderId="8">
      <protection locked="0"/>
    </xf>
    <xf numFmtId="166" fontId="20" fillId="0" borderId="8">
      <protection locked="0"/>
    </xf>
    <xf numFmtId="0" fontId="52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34">
    <xf numFmtId="0" fontId="0" fillId="0" borderId="0" xfId="0"/>
    <xf numFmtId="0" fontId="18" fillId="18" borderId="9" xfId="137" applyFont="1" applyFill="1" applyBorder="1"/>
    <xf numFmtId="0" fontId="18" fillId="18" borderId="0" xfId="137" applyFont="1" applyFill="1" applyBorder="1"/>
    <xf numFmtId="0" fontId="0" fillId="0" borderId="0" xfId="0"/>
    <xf numFmtId="11" fontId="52" fillId="0" borderId="0" xfId="0" applyNumberFormat="1" applyFont="1"/>
    <xf numFmtId="0" fontId="52" fillId="0" borderId="0" xfId="0" applyFont="1"/>
    <xf numFmtId="2" fontId="53" fillId="0" borderId="0" xfId="0" applyNumberFormat="1" applyFont="1" applyFill="1" applyAlignment="1">
      <alignment horizontal="right"/>
    </xf>
    <xf numFmtId="2" fontId="0" fillId="0" borderId="0" xfId="0" applyNumberFormat="1"/>
    <xf numFmtId="2" fontId="52" fillId="0" borderId="0" xfId="0" applyNumberFormat="1" applyFont="1"/>
    <xf numFmtId="2" fontId="54" fillId="0" borderId="0" xfId="0" applyNumberFormat="1" applyFont="1"/>
    <xf numFmtId="0" fontId="55" fillId="0" borderId="0" xfId="0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39" fillId="0" borderId="0" xfId="125" applyFill="1" applyBorder="1" applyAlignment="1" applyProtection="1"/>
    <xf numFmtId="0" fontId="18" fillId="0" borderId="0" xfId="164"/>
    <xf numFmtId="0" fontId="51" fillId="51" borderId="27" xfId="0" applyFont="1" applyFill="1" applyBorder="1" applyAlignment="1">
      <alignment horizontal="center" vertical="center" wrapText="1"/>
    </xf>
    <xf numFmtId="0" fontId="51" fillId="51" borderId="28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/>
    </xf>
    <xf numFmtId="0" fontId="52" fillId="0" borderId="29" xfId="0" applyFont="1" applyBorder="1"/>
    <xf numFmtId="0" fontId="52" fillId="0" borderId="30" xfId="0" applyFont="1" applyBorder="1"/>
    <xf numFmtId="0" fontId="52" fillId="0" borderId="22" xfId="0" applyFont="1" applyBorder="1"/>
    <xf numFmtId="0" fontId="52" fillId="0" borderId="31" xfId="0" applyFont="1" applyBorder="1"/>
    <xf numFmtId="0" fontId="52" fillId="0" borderId="19" xfId="0" applyFont="1" applyBorder="1"/>
    <xf numFmtId="0" fontId="52" fillId="0" borderId="32" xfId="0" applyFont="1" applyBorder="1"/>
    <xf numFmtId="0" fontId="56" fillId="0" borderId="0" xfId="0" applyFont="1"/>
    <xf numFmtId="11" fontId="56" fillId="50" borderId="0" xfId="0" applyNumberFormat="1" applyFont="1" applyFill="1"/>
    <xf numFmtId="0" fontId="56" fillId="50" borderId="0" xfId="0" applyFont="1" applyFill="1"/>
    <xf numFmtId="2" fontId="57" fillId="50" borderId="0" xfId="0" applyNumberFormat="1" applyFont="1" applyFill="1" applyAlignment="1">
      <alignment horizontal="right"/>
    </xf>
    <xf numFmtId="2" fontId="28" fillId="50" borderId="0" xfId="0" applyNumberFormat="1" applyFont="1" applyFill="1" applyAlignment="1">
      <alignment horizontal="right"/>
    </xf>
  </cellXfs>
  <cellStyles count="473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3 3" xfId="19" xr:uid="{00000000-0005-0000-0000-000012000000}"/>
    <cellStyle name="40% - Accent3 3 2" xfId="20" xr:uid="{00000000-0005-0000-0000-000013000000}"/>
    <cellStyle name="40% - Accent3 4" xfId="21" xr:uid="{00000000-0005-0000-0000-000014000000}"/>
    <cellStyle name="40% - Accent4" xfId="22" builtinId="43" customBuiltin="1"/>
    <cellStyle name="40% - Accent4 2" xfId="23" xr:uid="{00000000-0005-0000-0000-000016000000}"/>
    <cellStyle name="40% - Accent5" xfId="24" builtinId="47" customBuiltin="1"/>
    <cellStyle name="40% - Accent5 2" xfId="25" xr:uid="{00000000-0005-0000-0000-000018000000}"/>
    <cellStyle name="40% - Accent6" xfId="26" builtinId="51" customBuiltin="1"/>
    <cellStyle name="40% - Accent6 2" xfId="27" xr:uid="{00000000-0005-0000-0000-00001A000000}"/>
    <cellStyle name="60% - Accent1" xfId="28" builtinId="32" customBuiltin="1"/>
    <cellStyle name="60% - Accent1 2" xfId="29" xr:uid="{00000000-0005-0000-0000-00001C000000}"/>
    <cellStyle name="60% - Accent2" xfId="30" builtinId="36" customBuiltin="1"/>
    <cellStyle name="60% - Accent2 2" xfId="31" xr:uid="{00000000-0005-0000-0000-00001E000000}"/>
    <cellStyle name="60% - Accent3" xfId="32" builtinId="40" customBuiltin="1"/>
    <cellStyle name="60% - Accent3 2" xfId="33" xr:uid="{00000000-0005-0000-0000-000020000000}"/>
    <cellStyle name="60% - Accent4" xfId="34" builtinId="44" customBuiltin="1"/>
    <cellStyle name="60% - Accent4 2" xfId="35" xr:uid="{00000000-0005-0000-0000-000022000000}"/>
    <cellStyle name="60% - Accent5" xfId="36" builtinId="48" customBuiltin="1"/>
    <cellStyle name="60% - Accent5 2" xfId="37" xr:uid="{00000000-0005-0000-0000-000024000000}"/>
    <cellStyle name="60% - Accent6" xfId="38" builtinId="52" customBuiltin="1"/>
    <cellStyle name="60% - Accent6 2" xfId="39" xr:uid="{00000000-0005-0000-0000-000026000000}"/>
    <cellStyle name="Accent1" xfId="40" builtinId="29" customBuiltin="1"/>
    <cellStyle name="Accent1 2" xfId="41" xr:uid="{00000000-0005-0000-0000-000028000000}"/>
    <cellStyle name="Accent1 2 2" xfId="42" xr:uid="{00000000-0005-0000-0000-000029000000}"/>
    <cellStyle name="Accent2" xfId="43" builtinId="33" customBuiltin="1"/>
    <cellStyle name="Accent2 2" xfId="44" xr:uid="{00000000-0005-0000-0000-00002B000000}"/>
    <cellStyle name="Accent3" xfId="45" builtinId="37" customBuiltin="1"/>
    <cellStyle name="Accent3 2" xfId="46" xr:uid="{00000000-0005-0000-0000-00002D000000}"/>
    <cellStyle name="Accent4" xfId="47" builtinId="41" customBuiltin="1"/>
    <cellStyle name="Accent4 2" xfId="48" xr:uid="{00000000-0005-0000-0000-00002F000000}"/>
    <cellStyle name="Accent5" xfId="49" builtinId="45" customBuiltin="1"/>
    <cellStyle name="Accent5 2" xfId="50" xr:uid="{00000000-0005-0000-0000-000031000000}"/>
    <cellStyle name="Accent6" xfId="51" builtinId="49" customBuiltin="1"/>
    <cellStyle name="Accent6 2" xfId="52" xr:uid="{00000000-0005-0000-0000-000033000000}"/>
    <cellStyle name="Bad" xfId="53" builtinId="27" customBuiltin="1"/>
    <cellStyle name="Bad 2" xfId="54" xr:uid="{00000000-0005-0000-0000-000035000000}"/>
    <cellStyle name="Calculation" xfId="55" builtinId="22" customBuiltin="1"/>
    <cellStyle name="Calculation 2" xfId="56" xr:uid="{00000000-0005-0000-0000-000037000000}"/>
    <cellStyle name="Check Cell" xfId="57" builtinId="23" customBuiltin="1"/>
    <cellStyle name="Check Cell 2" xfId="58" xr:uid="{00000000-0005-0000-0000-000039000000}"/>
    <cellStyle name="Comma 2" xfId="59" xr:uid="{00000000-0005-0000-0000-00003A000000}"/>
    <cellStyle name="Comma 2 2" xfId="60" xr:uid="{00000000-0005-0000-0000-00003B000000}"/>
    <cellStyle name="Comma 2 2 2" xfId="61" xr:uid="{00000000-0005-0000-0000-00003C000000}"/>
    <cellStyle name="Comma 2 2 3" xfId="62" xr:uid="{00000000-0005-0000-0000-00003D000000}"/>
    <cellStyle name="Comma 2 3" xfId="63" xr:uid="{00000000-0005-0000-0000-00003E000000}"/>
    <cellStyle name="Comma 2 4" xfId="64" xr:uid="{00000000-0005-0000-0000-00003F000000}"/>
    <cellStyle name="Comma 3" xfId="65" xr:uid="{00000000-0005-0000-0000-000040000000}"/>
    <cellStyle name="Comma 3 2" xfId="66" xr:uid="{00000000-0005-0000-0000-000041000000}"/>
    <cellStyle name="Comma 3 2 2" xfId="67" xr:uid="{00000000-0005-0000-0000-000042000000}"/>
    <cellStyle name="Comma 3 2 3" xfId="68" xr:uid="{00000000-0005-0000-0000-000043000000}"/>
    <cellStyle name="Comma 3 3" xfId="69" xr:uid="{00000000-0005-0000-0000-000044000000}"/>
    <cellStyle name="Comma 4" xfId="70" xr:uid="{00000000-0005-0000-0000-000045000000}"/>
    <cellStyle name="Comma 4 2" xfId="71" xr:uid="{00000000-0005-0000-0000-000046000000}"/>
    <cellStyle name="Comma 4 2 2" xfId="72" xr:uid="{00000000-0005-0000-0000-000047000000}"/>
    <cellStyle name="Comma 4 2 2 2" xfId="73" xr:uid="{00000000-0005-0000-0000-000048000000}"/>
    <cellStyle name="Comma 4 3" xfId="74" xr:uid="{00000000-0005-0000-0000-000049000000}"/>
    <cellStyle name="Comma 4 3 2" xfId="75" xr:uid="{00000000-0005-0000-0000-00004A000000}"/>
    <cellStyle name="Comma 4 4" xfId="76" xr:uid="{00000000-0005-0000-0000-00004B000000}"/>
    <cellStyle name="Comma 4 4 2" xfId="77" xr:uid="{00000000-0005-0000-0000-00004C000000}"/>
    <cellStyle name="Comma 4 5" xfId="78" xr:uid="{00000000-0005-0000-0000-00004D000000}"/>
    <cellStyle name="Comma 5" xfId="79" xr:uid="{00000000-0005-0000-0000-00004E000000}"/>
    <cellStyle name="Currency 2" xfId="80" xr:uid="{00000000-0005-0000-0000-00004F000000}"/>
    <cellStyle name="Currency 2 2" xfId="81" xr:uid="{00000000-0005-0000-0000-000050000000}"/>
    <cellStyle name="Currency 2 2 2" xfId="82" xr:uid="{00000000-0005-0000-0000-000051000000}"/>
    <cellStyle name="Currency 2 2 2 2" xfId="83" xr:uid="{00000000-0005-0000-0000-000052000000}"/>
    <cellStyle name="Currency 2 2 2 3" xfId="84" xr:uid="{00000000-0005-0000-0000-000053000000}"/>
    <cellStyle name="Currency 2 2 3" xfId="85" xr:uid="{00000000-0005-0000-0000-000054000000}"/>
    <cellStyle name="Currency 2 3" xfId="86" xr:uid="{00000000-0005-0000-0000-000055000000}"/>
    <cellStyle name="Currency 2 3 2" xfId="87" xr:uid="{00000000-0005-0000-0000-000056000000}"/>
    <cellStyle name="Currency 2 3 3" xfId="88" xr:uid="{00000000-0005-0000-0000-000057000000}"/>
    <cellStyle name="Currency 2 4" xfId="89" xr:uid="{00000000-0005-0000-0000-000058000000}"/>
    <cellStyle name="Currency 2 4 2" xfId="90" xr:uid="{00000000-0005-0000-0000-000059000000}"/>
    <cellStyle name="Currency 2 5" xfId="91" xr:uid="{00000000-0005-0000-0000-00005A000000}"/>
    <cellStyle name="Currency 3" xfId="92" xr:uid="{00000000-0005-0000-0000-00005B000000}"/>
    <cellStyle name="Currency 3 2" xfId="93" xr:uid="{00000000-0005-0000-0000-00005C000000}"/>
    <cellStyle name="Currency 3 2 2" xfId="94" xr:uid="{00000000-0005-0000-0000-00005D000000}"/>
    <cellStyle name="Currency 3 3" xfId="95" xr:uid="{00000000-0005-0000-0000-00005E000000}"/>
    <cellStyle name="Date" xfId="96" xr:uid="{00000000-0005-0000-0000-00005F000000}"/>
    <cellStyle name="Date 2" xfId="97" xr:uid="{00000000-0005-0000-0000-000060000000}"/>
    <cellStyle name="Date 2 2" xfId="98" xr:uid="{00000000-0005-0000-0000-000061000000}"/>
    <cellStyle name="Date 2 3" xfId="99" xr:uid="{00000000-0005-0000-0000-000062000000}"/>
    <cellStyle name="Explanatory Text" xfId="100" builtinId="53" customBuiltin="1"/>
    <cellStyle name="Explanatory Text 2" xfId="101" xr:uid="{00000000-0005-0000-0000-000064000000}"/>
    <cellStyle name="Fixed" xfId="102" xr:uid="{00000000-0005-0000-0000-000065000000}"/>
    <cellStyle name="Fixed 2" xfId="103" xr:uid="{00000000-0005-0000-0000-000066000000}"/>
    <cellStyle name="Fixed 2 2" xfId="104" xr:uid="{00000000-0005-0000-0000-000067000000}"/>
    <cellStyle name="Fixed 2 3" xfId="105" xr:uid="{00000000-0005-0000-0000-000068000000}"/>
    <cellStyle name="Good" xfId="106" builtinId="26" customBuiltin="1"/>
    <cellStyle name="Good 2" xfId="107" xr:uid="{00000000-0005-0000-0000-00006A000000}"/>
    <cellStyle name="Heading 1" xfId="108" builtinId="16" customBuiltin="1"/>
    <cellStyle name="Heading 1 2" xfId="109" xr:uid="{00000000-0005-0000-0000-00006C000000}"/>
    <cellStyle name="Heading 2" xfId="110" builtinId="17" customBuiltin="1"/>
    <cellStyle name="Heading 2 2" xfId="111" xr:uid="{00000000-0005-0000-0000-00006E000000}"/>
    <cellStyle name="Heading 3" xfId="112" builtinId="18" customBuiltin="1"/>
    <cellStyle name="Heading 3 2" xfId="113" xr:uid="{00000000-0005-0000-0000-000070000000}"/>
    <cellStyle name="Heading 4" xfId="114" builtinId="19" customBuiltin="1"/>
    <cellStyle name="Heading 4 2" xfId="115" xr:uid="{00000000-0005-0000-0000-000072000000}"/>
    <cellStyle name="Heading1" xfId="116" xr:uid="{00000000-0005-0000-0000-000073000000}"/>
    <cellStyle name="Heading1 2" xfId="117" xr:uid="{00000000-0005-0000-0000-000074000000}"/>
    <cellStyle name="Heading1 2 2" xfId="118" xr:uid="{00000000-0005-0000-0000-000075000000}"/>
    <cellStyle name="Heading1 2 3" xfId="119" xr:uid="{00000000-0005-0000-0000-000076000000}"/>
    <cellStyle name="Heading2" xfId="120" xr:uid="{00000000-0005-0000-0000-000077000000}"/>
    <cellStyle name="Heading2 2" xfId="121" xr:uid="{00000000-0005-0000-0000-000078000000}"/>
    <cellStyle name="Heading2 2 2" xfId="122" xr:uid="{00000000-0005-0000-0000-000079000000}"/>
    <cellStyle name="Heading2 2 3" xfId="123" xr:uid="{00000000-0005-0000-0000-00007A000000}"/>
    <cellStyle name="Hyperlink 2" xfId="124" xr:uid="{00000000-0005-0000-0000-00007B000000}"/>
    <cellStyle name="Hyperlink 2 2" xfId="125" xr:uid="{00000000-0005-0000-0000-00007C000000}"/>
    <cellStyle name="Hyperlink 2 3" xfId="126" xr:uid="{00000000-0005-0000-0000-00007D000000}"/>
    <cellStyle name="Hyperlink 2 4" xfId="127" xr:uid="{00000000-0005-0000-0000-00007E000000}"/>
    <cellStyle name="Hyperlink 2 5" xfId="128" xr:uid="{00000000-0005-0000-0000-00007F000000}"/>
    <cellStyle name="Hyperlink 3" xfId="129" xr:uid="{00000000-0005-0000-0000-000080000000}"/>
    <cellStyle name="Hyperlink 4" xfId="130" xr:uid="{00000000-0005-0000-0000-000081000000}"/>
    <cellStyle name="Input" xfId="131" builtinId="20" customBuiltin="1"/>
    <cellStyle name="Input 2" xfId="132" xr:uid="{00000000-0005-0000-0000-000083000000}"/>
    <cellStyle name="Linked Cell" xfId="133" builtinId="24" customBuiltin="1"/>
    <cellStyle name="Linked Cell 2" xfId="134" xr:uid="{00000000-0005-0000-0000-000085000000}"/>
    <cellStyle name="Neutral" xfId="135" builtinId="28" customBuiltin="1"/>
    <cellStyle name="Neutral 2" xfId="136" xr:uid="{00000000-0005-0000-0000-000087000000}"/>
    <cellStyle name="Normal" xfId="0" builtinId="0"/>
    <cellStyle name="Normal 10" xfId="137" xr:uid="{00000000-0005-0000-0000-000089000000}"/>
    <cellStyle name="Normal 10 2" xfId="138" xr:uid="{00000000-0005-0000-0000-00008A000000}"/>
    <cellStyle name="Normal 100" xfId="139" xr:uid="{00000000-0005-0000-0000-00008B000000}"/>
    <cellStyle name="Normal 101" xfId="140" xr:uid="{00000000-0005-0000-0000-00008C000000}"/>
    <cellStyle name="Normal 102" xfId="141" xr:uid="{00000000-0005-0000-0000-00008D000000}"/>
    <cellStyle name="Normal 103" xfId="142" xr:uid="{00000000-0005-0000-0000-00008E000000}"/>
    <cellStyle name="Normal 104" xfId="143" xr:uid="{00000000-0005-0000-0000-00008F000000}"/>
    <cellStyle name="Normal 105" xfId="144" xr:uid="{00000000-0005-0000-0000-000090000000}"/>
    <cellStyle name="Normal 106" xfId="145" xr:uid="{00000000-0005-0000-0000-000091000000}"/>
    <cellStyle name="Normal 11" xfId="146" xr:uid="{00000000-0005-0000-0000-000092000000}"/>
    <cellStyle name="Normal 11 2" xfId="147" xr:uid="{00000000-0005-0000-0000-000093000000}"/>
    <cellStyle name="Normal 12" xfId="148" xr:uid="{00000000-0005-0000-0000-000094000000}"/>
    <cellStyle name="Normal 12 2" xfId="149" xr:uid="{00000000-0005-0000-0000-000095000000}"/>
    <cellStyle name="Normal 13" xfId="150" xr:uid="{00000000-0005-0000-0000-000096000000}"/>
    <cellStyle name="Normal 13 2" xfId="151" xr:uid="{00000000-0005-0000-0000-000097000000}"/>
    <cellStyle name="Normal 14" xfId="152" xr:uid="{00000000-0005-0000-0000-000098000000}"/>
    <cellStyle name="Normal 14 2" xfId="153" xr:uid="{00000000-0005-0000-0000-000099000000}"/>
    <cellStyle name="Normal 15" xfId="154" xr:uid="{00000000-0005-0000-0000-00009A000000}"/>
    <cellStyle name="Normal 15 2" xfId="155" xr:uid="{00000000-0005-0000-0000-00009B000000}"/>
    <cellStyle name="Normal 16" xfId="156" xr:uid="{00000000-0005-0000-0000-00009C000000}"/>
    <cellStyle name="Normal 16 2" xfId="157" xr:uid="{00000000-0005-0000-0000-00009D000000}"/>
    <cellStyle name="Normal 17" xfId="158" xr:uid="{00000000-0005-0000-0000-00009E000000}"/>
    <cellStyle name="Normal 17 2" xfId="159" xr:uid="{00000000-0005-0000-0000-00009F000000}"/>
    <cellStyle name="Normal 18" xfId="160" xr:uid="{00000000-0005-0000-0000-0000A0000000}"/>
    <cellStyle name="Normal 19" xfId="161" xr:uid="{00000000-0005-0000-0000-0000A1000000}"/>
    <cellStyle name="Normal 19 2" xfId="162" xr:uid="{00000000-0005-0000-0000-0000A2000000}"/>
    <cellStyle name="Normal 2" xfId="163" xr:uid="{00000000-0005-0000-0000-0000A3000000}"/>
    <cellStyle name="Normal 2 2" xfId="164" xr:uid="{00000000-0005-0000-0000-0000A4000000}"/>
    <cellStyle name="Normal 2 2 2" xfId="165" xr:uid="{00000000-0005-0000-0000-0000A5000000}"/>
    <cellStyle name="Normal 2 2 2 2" xfId="166" xr:uid="{00000000-0005-0000-0000-0000A6000000}"/>
    <cellStyle name="Normal 2 2 3" xfId="167" xr:uid="{00000000-0005-0000-0000-0000A7000000}"/>
    <cellStyle name="Normal 2 2 4" xfId="168" xr:uid="{00000000-0005-0000-0000-0000A8000000}"/>
    <cellStyle name="Normal 2 3" xfId="169" xr:uid="{00000000-0005-0000-0000-0000A9000000}"/>
    <cellStyle name="Normal 2 3 2" xfId="170" xr:uid="{00000000-0005-0000-0000-0000AA000000}"/>
    <cellStyle name="Normal 2 3 3" xfId="171" xr:uid="{00000000-0005-0000-0000-0000AB000000}"/>
    <cellStyle name="Normal 2 3 4" xfId="172" xr:uid="{00000000-0005-0000-0000-0000AC000000}"/>
    <cellStyle name="Normal 2 4" xfId="173" xr:uid="{00000000-0005-0000-0000-0000AD000000}"/>
    <cellStyle name="Normal 2 4 2" xfId="174" xr:uid="{00000000-0005-0000-0000-0000AE000000}"/>
    <cellStyle name="Normal 2 4 2 2" xfId="175" xr:uid="{00000000-0005-0000-0000-0000AF000000}"/>
    <cellStyle name="Normal 2 4 3" xfId="176" xr:uid="{00000000-0005-0000-0000-0000B0000000}"/>
    <cellStyle name="Normal 2 41" xfId="177" xr:uid="{00000000-0005-0000-0000-0000B1000000}"/>
    <cellStyle name="Normal 2 5" xfId="178" xr:uid="{00000000-0005-0000-0000-0000B2000000}"/>
    <cellStyle name="Normal 2 6" xfId="179" xr:uid="{00000000-0005-0000-0000-0000B3000000}"/>
    <cellStyle name="Normal 2 7" xfId="180" xr:uid="{00000000-0005-0000-0000-0000B4000000}"/>
    <cellStyle name="Normal 20" xfId="181" xr:uid="{00000000-0005-0000-0000-0000B5000000}"/>
    <cellStyle name="Normal 20 2" xfId="182" xr:uid="{00000000-0005-0000-0000-0000B6000000}"/>
    <cellStyle name="Normal 21" xfId="183" xr:uid="{00000000-0005-0000-0000-0000B7000000}"/>
    <cellStyle name="Normal 21 2" xfId="184" xr:uid="{00000000-0005-0000-0000-0000B8000000}"/>
    <cellStyle name="Normal 22" xfId="185" xr:uid="{00000000-0005-0000-0000-0000B9000000}"/>
    <cellStyle name="Normal 22 2" xfId="186" xr:uid="{00000000-0005-0000-0000-0000BA000000}"/>
    <cellStyle name="Normal 23" xfId="187" xr:uid="{00000000-0005-0000-0000-0000BB000000}"/>
    <cellStyle name="Normal 24" xfId="188" xr:uid="{00000000-0005-0000-0000-0000BC000000}"/>
    <cellStyle name="Normal 25" xfId="189" xr:uid="{00000000-0005-0000-0000-0000BD000000}"/>
    <cellStyle name="Normal 25 2" xfId="190" xr:uid="{00000000-0005-0000-0000-0000BE000000}"/>
    <cellStyle name="Normal 26" xfId="191" xr:uid="{00000000-0005-0000-0000-0000BF000000}"/>
    <cellStyle name="Normal 26 2" xfId="192" xr:uid="{00000000-0005-0000-0000-0000C0000000}"/>
    <cellStyle name="Normal 27" xfId="193" xr:uid="{00000000-0005-0000-0000-0000C1000000}"/>
    <cellStyle name="Normal 28" xfId="194" xr:uid="{00000000-0005-0000-0000-0000C2000000}"/>
    <cellStyle name="Normal 28 2" xfId="195" xr:uid="{00000000-0005-0000-0000-0000C3000000}"/>
    <cellStyle name="Normal 29" xfId="196" xr:uid="{00000000-0005-0000-0000-0000C4000000}"/>
    <cellStyle name="Normal 29 2" xfId="197" xr:uid="{00000000-0005-0000-0000-0000C5000000}"/>
    <cellStyle name="Normal 3" xfId="198" xr:uid="{00000000-0005-0000-0000-0000C6000000}"/>
    <cellStyle name="Normal 3 2" xfId="199" xr:uid="{00000000-0005-0000-0000-0000C7000000}"/>
    <cellStyle name="Normal 3 2 2" xfId="200" xr:uid="{00000000-0005-0000-0000-0000C8000000}"/>
    <cellStyle name="Normal 3 2 2 2" xfId="201" xr:uid="{00000000-0005-0000-0000-0000C9000000}"/>
    <cellStyle name="Normal 3 2 3" xfId="202" xr:uid="{00000000-0005-0000-0000-0000CA000000}"/>
    <cellStyle name="Normal 3 2 3 2" xfId="203" xr:uid="{00000000-0005-0000-0000-0000CB000000}"/>
    <cellStyle name="Normal 3 2 4" xfId="204" xr:uid="{00000000-0005-0000-0000-0000CC000000}"/>
    <cellStyle name="Normal 3 2 4 2" xfId="205" xr:uid="{00000000-0005-0000-0000-0000CD000000}"/>
    <cellStyle name="Normal 3 2 5" xfId="206" xr:uid="{00000000-0005-0000-0000-0000CE000000}"/>
    <cellStyle name="Normal 3 2 5 2" xfId="207" xr:uid="{00000000-0005-0000-0000-0000CF000000}"/>
    <cellStyle name="Normal 3 2 6" xfId="208" xr:uid="{00000000-0005-0000-0000-0000D0000000}"/>
    <cellStyle name="Normal 3 2 6 2" xfId="209" xr:uid="{00000000-0005-0000-0000-0000D1000000}"/>
    <cellStyle name="Normal 3 2 7" xfId="210" xr:uid="{00000000-0005-0000-0000-0000D2000000}"/>
    <cellStyle name="Normal 3 2 8" xfId="211" xr:uid="{00000000-0005-0000-0000-0000D3000000}"/>
    <cellStyle name="Normal 3 3" xfId="212" xr:uid="{00000000-0005-0000-0000-0000D4000000}"/>
    <cellStyle name="Normal 3 3 2" xfId="213" xr:uid="{00000000-0005-0000-0000-0000D5000000}"/>
    <cellStyle name="Normal 3 3 2 2" xfId="214" xr:uid="{00000000-0005-0000-0000-0000D6000000}"/>
    <cellStyle name="Normal 3 3 3" xfId="215" xr:uid="{00000000-0005-0000-0000-0000D7000000}"/>
    <cellStyle name="Normal 3 4" xfId="216" xr:uid="{00000000-0005-0000-0000-0000D8000000}"/>
    <cellStyle name="Normal 3 4 2" xfId="217" xr:uid="{00000000-0005-0000-0000-0000D9000000}"/>
    <cellStyle name="Normal 3 5" xfId="218" xr:uid="{00000000-0005-0000-0000-0000DA000000}"/>
    <cellStyle name="Normal 30" xfId="219" xr:uid="{00000000-0005-0000-0000-0000DB000000}"/>
    <cellStyle name="Normal 30 2" xfId="220" xr:uid="{00000000-0005-0000-0000-0000DC000000}"/>
    <cellStyle name="Normal 31" xfId="221" xr:uid="{00000000-0005-0000-0000-0000DD000000}"/>
    <cellStyle name="Normal 32" xfId="222" xr:uid="{00000000-0005-0000-0000-0000DE000000}"/>
    <cellStyle name="Normal 32 2" xfId="223" xr:uid="{00000000-0005-0000-0000-0000DF000000}"/>
    <cellStyle name="Normal 33" xfId="224" xr:uid="{00000000-0005-0000-0000-0000E0000000}"/>
    <cellStyle name="Normal 33 2" xfId="225" xr:uid="{00000000-0005-0000-0000-0000E1000000}"/>
    <cellStyle name="Normal 34" xfId="226" xr:uid="{00000000-0005-0000-0000-0000E2000000}"/>
    <cellStyle name="Normal 34 2" xfId="227" xr:uid="{00000000-0005-0000-0000-0000E3000000}"/>
    <cellStyle name="Normal 35" xfId="228" xr:uid="{00000000-0005-0000-0000-0000E4000000}"/>
    <cellStyle name="Normal 35 2" xfId="229" xr:uid="{00000000-0005-0000-0000-0000E5000000}"/>
    <cellStyle name="Normal 36" xfId="230" xr:uid="{00000000-0005-0000-0000-0000E6000000}"/>
    <cellStyle name="Normal 36 2" xfId="231" xr:uid="{00000000-0005-0000-0000-0000E7000000}"/>
    <cellStyle name="Normal 37" xfId="232" xr:uid="{00000000-0005-0000-0000-0000E8000000}"/>
    <cellStyle name="Normal 38" xfId="233" xr:uid="{00000000-0005-0000-0000-0000E9000000}"/>
    <cellStyle name="Normal 38 2" xfId="234" xr:uid="{00000000-0005-0000-0000-0000EA000000}"/>
    <cellStyle name="Normal 39" xfId="235" xr:uid="{00000000-0005-0000-0000-0000EB000000}"/>
    <cellStyle name="Normal 39 2" xfId="236" xr:uid="{00000000-0005-0000-0000-0000EC000000}"/>
    <cellStyle name="Normal 4" xfId="237" xr:uid="{00000000-0005-0000-0000-0000ED000000}"/>
    <cellStyle name="Normal 4 2" xfId="238" xr:uid="{00000000-0005-0000-0000-0000EE000000}"/>
    <cellStyle name="Normal 4 2 2" xfId="239" xr:uid="{00000000-0005-0000-0000-0000EF000000}"/>
    <cellStyle name="Normal 4 3" xfId="240" xr:uid="{00000000-0005-0000-0000-0000F0000000}"/>
    <cellStyle name="Normal 4 3 2" xfId="241" xr:uid="{00000000-0005-0000-0000-0000F1000000}"/>
    <cellStyle name="Normal 4 3 2 2" xfId="242" xr:uid="{00000000-0005-0000-0000-0000F2000000}"/>
    <cellStyle name="Normal 4 3 3" xfId="243" xr:uid="{00000000-0005-0000-0000-0000F3000000}"/>
    <cellStyle name="Normal 4 4" xfId="244" xr:uid="{00000000-0005-0000-0000-0000F4000000}"/>
    <cellStyle name="Normal 4 4 2" xfId="245" xr:uid="{00000000-0005-0000-0000-0000F5000000}"/>
    <cellStyle name="Normal 4 5" xfId="246" xr:uid="{00000000-0005-0000-0000-0000F6000000}"/>
    <cellStyle name="Normal 4 6" xfId="247" xr:uid="{00000000-0005-0000-0000-0000F7000000}"/>
    <cellStyle name="Normal 40" xfId="248" xr:uid="{00000000-0005-0000-0000-0000F8000000}"/>
    <cellStyle name="Normal 40 2" xfId="249" xr:uid="{00000000-0005-0000-0000-0000F9000000}"/>
    <cellStyle name="Normal 41" xfId="250" xr:uid="{00000000-0005-0000-0000-0000FA000000}"/>
    <cellStyle name="Normal 41 2" xfId="251" xr:uid="{00000000-0005-0000-0000-0000FB000000}"/>
    <cellStyle name="Normal 42" xfId="252" xr:uid="{00000000-0005-0000-0000-0000FC000000}"/>
    <cellStyle name="Normal 42 2" xfId="253" xr:uid="{00000000-0005-0000-0000-0000FD000000}"/>
    <cellStyle name="Normal 43" xfId="254" xr:uid="{00000000-0005-0000-0000-0000FE000000}"/>
    <cellStyle name="Normal 43 2" xfId="255" xr:uid="{00000000-0005-0000-0000-0000FF000000}"/>
    <cellStyle name="Normal 44" xfId="256" xr:uid="{00000000-0005-0000-0000-000000010000}"/>
    <cellStyle name="Normal 44 2" xfId="257" xr:uid="{00000000-0005-0000-0000-000001010000}"/>
    <cellStyle name="Normal 45" xfId="258" xr:uid="{00000000-0005-0000-0000-000002010000}"/>
    <cellStyle name="Normal 45 2" xfId="259" xr:uid="{00000000-0005-0000-0000-000003010000}"/>
    <cellStyle name="Normal 46" xfId="260" xr:uid="{00000000-0005-0000-0000-000004010000}"/>
    <cellStyle name="Normal 47" xfId="261" xr:uid="{00000000-0005-0000-0000-000005010000}"/>
    <cellStyle name="Normal 47 2" xfId="262" xr:uid="{00000000-0005-0000-0000-000006010000}"/>
    <cellStyle name="Normal 48" xfId="263" xr:uid="{00000000-0005-0000-0000-000007010000}"/>
    <cellStyle name="Normal 48 2" xfId="264" xr:uid="{00000000-0005-0000-0000-000008010000}"/>
    <cellStyle name="Normal 49" xfId="265" xr:uid="{00000000-0005-0000-0000-000009010000}"/>
    <cellStyle name="Normal 49 2" xfId="266" xr:uid="{00000000-0005-0000-0000-00000A010000}"/>
    <cellStyle name="Normal 5" xfId="267" xr:uid="{00000000-0005-0000-0000-00000B010000}"/>
    <cellStyle name="Normal 5 2" xfId="268" xr:uid="{00000000-0005-0000-0000-00000C010000}"/>
    <cellStyle name="Normal 5 2 2" xfId="269" xr:uid="{00000000-0005-0000-0000-00000D010000}"/>
    <cellStyle name="Normal 5 2 2 2" xfId="270" xr:uid="{00000000-0005-0000-0000-00000E010000}"/>
    <cellStyle name="Normal 5 2 3" xfId="271" xr:uid="{00000000-0005-0000-0000-00000F010000}"/>
    <cellStyle name="Normal 5 3" xfId="272" xr:uid="{00000000-0005-0000-0000-000010010000}"/>
    <cellStyle name="Normal 5 3 2" xfId="273" xr:uid="{00000000-0005-0000-0000-000011010000}"/>
    <cellStyle name="Normal 5 4" xfId="274" xr:uid="{00000000-0005-0000-0000-000012010000}"/>
    <cellStyle name="Normal 5 5" xfId="275" xr:uid="{00000000-0005-0000-0000-000013010000}"/>
    <cellStyle name="Normal 5 6" xfId="276" xr:uid="{00000000-0005-0000-0000-000014010000}"/>
    <cellStyle name="Normal 50" xfId="277" xr:uid="{00000000-0005-0000-0000-000015010000}"/>
    <cellStyle name="Normal 50 2" xfId="278" xr:uid="{00000000-0005-0000-0000-000016010000}"/>
    <cellStyle name="Normal 51" xfId="279" xr:uid="{00000000-0005-0000-0000-000017010000}"/>
    <cellStyle name="Normal 51 2" xfId="280" xr:uid="{00000000-0005-0000-0000-000018010000}"/>
    <cellStyle name="Normal 52" xfId="281" xr:uid="{00000000-0005-0000-0000-000019010000}"/>
    <cellStyle name="Normal 52 2" xfId="282" xr:uid="{00000000-0005-0000-0000-00001A010000}"/>
    <cellStyle name="Normal 53" xfId="283" xr:uid="{00000000-0005-0000-0000-00001B010000}"/>
    <cellStyle name="Normal 54" xfId="284" xr:uid="{00000000-0005-0000-0000-00001C010000}"/>
    <cellStyle name="Normal 54 2" xfId="285" xr:uid="{00000000-0005-0000-0000-00001D010000}"/>
    <cellStyle name="Normal 55" xfId="286" xr:uid="{00000000-0005-0000-0000-00001E010000}"/>
    <cellStyle name="Normal 55 2" xfId="287" xr:uid="{00000000-0005-0000-0000-00001F010000}"/>
    <cellStyle name="Normal 56" xfId="288" xr:uid="{00000000-0005-0000-0000-000020010000}"/>
    <cellStyle name="Normal 56 2" xfId="289" xr:uid="{00000000-0005-0000-0000-000021010000}"/>
    <cellStyle name="Normal 57" xfId="290" xr:uid="{00000000-0005-0000-0000-000022010000}"/>
    <cellStyle name="Normal 57 2" xfId="291" xr:uid="{00000000-0005-0000-0000-000023010000}"/>
    <cellStyle name="Normal 58" xfId="292" xr:uid="{00000000-0005-0000-0000-000024010000}"/>
    <cellStyle name="Normal 58 2" xfId="293" xr:uid="{00000000-0005-0000-0000-000025010000}"/>
    <cellStyle name="Normal 59" xfId="294" xr:uid="{00000000-0005-0000-0000-000026010000}"/>
    <cellStyle name="Normal 6" xfId="295" xr:uid="{00000000-0005-0000-0000-000027010000}"/>
    <cellStyle name="Normal 6 2" xfId="296" xr:uid="{00000000-0005-0000-0000-000028010000}"/>
    <cellStyle name="Normal 6 2 2" xfId="297" xr:uid="{00000000-0005-0000-0000-000029010000}"/>
    <cellStyle name="Normal 6 2 2 2" xfId="298" xr:uid="{00000000-0005-0000-0000-00002A010000}"/>
    <cellStyle name="Normal 6 2 3" xfId="299" xr:uid="{00000000-0005-0000-0000-00002B010000}"/>
    <cellStyle name="Normal 6 3" xfId="300" xr:uid="{00000000-0005-0000-0000-00002C010000}"/>
    <cellStyle name="Normal 6 3 2" xfId="301" xr:uid="{00000000-0005-0000-0000-00002D010000}"/>
    <cellStyle name="Normal 6 4" xfId="302" xr:uid="{00000000-0005-0000-0000-00002E010000}"/>
    <cellStyle name="Normal 6 5" xfId="303" xr:uid="{00000000-0005-0000-0000-00002F010000}"/>
    <cellStyle name="Normal 60" xfId="304" xr:uid="{00000000-0005-0000-0000-000030010000}"/>
    <cellStyle name="Normal 60 2" xfId="305" xr:uid="{00000000-0005-0000-0000-000031010000}"/>
    <cellStyle name="Normal 61" xfId="306" xr:uid="{00000000-0005-0000-0000-000032010000}"/>
    <cellStyle name="Normal 61 2" xfId="307" xr:uid="{00000000-0005-0000-0000-000033010000}"/>
    <cellStyle name="Normal 62" xfId="308" xr:uid="{00000000-0005-0000-0000-000034010000}"/>
    <cellStyle name="Normal 62 2" xfId="309" xr:uid="{00000000-0005-0000-0000-000035010000}"/>
    <cellStyle name="Normal 63" xfId="310" xr:uid="{00000000-0005-0000-0000-000036010000}"/>
    <cellStyle name="Normal 63 2" xfId="311" xr:uid="{00000000-0005-0000-0000-000037010000}"/>
    <cellStyle name="Normal 64" xfId="312" xr:uid="{00000000-0005-0000-0000-000038010000}"/>
    <cellStyle name="Normal 64 2" xfId="313" xr:uid="{00000000-0005-0000-0000-000039010000}"/>
    <cellStyle name="Normal 65" xfId="314" xr:uid="{00000000-0005-0000-0000-00003A010000}"/>
    <cellStyle name="Normal 65 2" xfId="315" xr:uid="{00000000-0005-0000-0000-00003B010000}"/>
    <cellStyle name="Normal 66" xfId="316" xr:uid="{00000000-0005-0000-0000-00003C010000}"/>
    <cellStyle name="Normal 66 2" xfId="317" xr:uid="{00000000-0005-0000-0000-00003D010000}"/>
    <cellStyle name="Normal 67" xfId="318" xr:uid="{00000000-0005-0000-0000-00003E010000}"/>
    <cellStyle name="Normal 68" xfId="319" xr:uid="{00000000-0005-0000-0000-00003F010000}"/>
    <cellStyle name="Normal 69" xfId="320" xr:uid="{00000000-0005-0000-0000-000040010000}"/>
    <cellStyle name="Normal 7" xfId="321" xr:uid="{00000000-0005-0000-0000-000041010000}"/>
    <cellStyle name="Normal 7 2" xfId="322" xr:uid="{00000000-0005-0000-0000-000042010000}"/>
    <cellStyle name="Normal 7 2 2" xfId="323" xr:uid="{00000000-0005-0000-0000-000043010000}"/>
    <cellStyle name="Normal 7 3" xfId="324" xr:uid="{00000000-0005-0000-0000-000044010000}"/>
    <cellStyle name="Normal 70" xfId="325" xr:uid="{00000000-0005-0000-0000-000045010000}"/>
    <cellStyle name="Normal 71" xfId="326" xr:uid="{00000000-0005-0000-0000-000046010000}"/>
    <cellStyle name="Normal 72" xfId="327" xr:uid="{00000000-0005-0000-0000-000047010000}"/>
    <cellStyle name="Normal 73" xfId="328" xr:uid="{00000000-0005-0000-0000-000048010000}"/>
    <cellStyle name="Normal 74" xfId="329" xr:uid="{00000000-0005-0000-0000-000049010000}"/>
    <cellStyle name="Normal 75" xfId="330" xr:uid="{00000000-0005-0000-0000-00004A010000}"/>
    <cellStyle name="Normal 76" xfId="331" xr:uid="{00000000-0005-0000-0000-00004B010000}"/>
    <cellStyle name="Normal 77" xfId="332" xr:uid="{00000000-0005-0000-0000-00004C010000}"/>
    <cellStyle name="Normal 78" xfId="333" xr:uid="{00000000-0005-0000-0000-00004D010000}"/>
    <cellStyle name="Normal 79" xfId="334" xr:uid="{00000000-0005-0000-0000-00004E010000}"/>
    <cellStyle name="Normal 8" xfId="335" xr:uid="{00000000-0005-0000-0000-00004F010000}"/>
    <cellStyle name="Normal 8 2" xfId="336" xr:uid="{00000000-0005-0000-0000-000050010000}"/>
    <cellStyle name="Normal 80" xfId="337" xr:uid="{00000000-0005-0000-0000-000051010000}"/>
    <cellStyle name="Normal 81" xfId="338" xr:uid="{00000000-0005-0000-0000-000052010000}"/>
    <cellStyle name="Normal 82" xfId="339" xr:uid="{00000000-0005-0000-0000-000053010000}"/>
    <cellStyle name="Normal 83" xfId="340" xr:uid="{00000000-0005-0000-0000-000054010000}"/>
    <cellStyle name="Normal 84" xfId="341" xr:uid="{00000000-0005-0000-0000-000055010000}"/>
    <cellStyle name="Normal 85" xfId="342" xr:uid="{00000000-0005-0000-0000-000056010000}"/>
    <cellStyle name="Normal 86" xfId="343" xr:uid="{00000000-0005-0000-0000-000057010000}"/>
    <cellStyle name="Normal 87" xfId="344" xr:uid="{00000000-0005-0000-0000-000058010000}"/>
    <cellStyle name="Normal 88" xfId="345" xr:uid="{00000000-0005-0000-0000-000059010000}"/>
    <cellStyle name="Normal 89" xfId="346" xr:uid="{00000000-0005-0000-0000-00005A010000}"/>
    <cellStyle name="Normal 9" xfId="347" xr:uid="{00000000-0005-0000-0000-00005B010000}"/>
    <cellStyle name="Normal 9 2" xfId="348" xr:uid="{00000000-0005-0000-0000-00005C010000}"/>
    <cellStyle name="Normal 90" xfId="349" xr:uid="{00000000-0005-0000-0000-00005D010000}"/>
    <cellStyle name="Normal 91" xfId="350" xr:uid="{00000000-0005-0000-0000-00005E010000}"/>
    <cellStyle name="Normal 92" xfId="351" xr:uid="{00000000-0005-0000-0000-00005F010000}"/>
    <cellStyle name="Normal 93" xfId="352" xr:uid="{00000000-0005-0000-0000-000060010000}"/>
    <cellStyle name="Normal 94" xfId="353" xr:uid="{00000000-0005-0000-0000-000061010000}"/>
    <cellStyle name="Normal 95" xfId="354" xr:uid="{00000000-0005-0000-0000-000062010000}"/>
    <cellStyle name="Normal 96" xfId="355" xr:uid="{00000000-0005-0000-0000-000063010000}"/>
    <cellStyle name="Normal 97" xfId="356" xr:uid="{00000000-0005-0000-0000-000064010000}"/>
    <cellStyle name="Normal 98" xfId="357" xr:uid="{00000000-0005-0000-0000-000065010000}"/>
    <cellStyle name="Normal 99" xfId="358" xr:uid="{00000000-0005-0000-0000-000066010000}"/>
    <cellStyle name="Normale_B2020" xfId="359" xr:uid="{00000000-0005-0000-0000-000067010000}"/>
    <cellStyle name="Note" xfId="360" builtinId="10" customBuiltin="1"/>
    <cellStyle name="Note 2" xfId="361" xr:uid="{00000000-0005-0000-0000-000069010000}"/>
    <cellStyle name="Note 3" xfId="362" xr:uid="{00000000-0005-0000-0000-00006A010000}"/>
    <cellStyle name="Note 4" xfId="363" xr:uid="{00000000-0005-0000-0000-00006B010000}"/>
    <cellStyle name="Output" xfId="364" builtinId="21" customBuiltin="1"/>
    <cellStyle name="Output 2" xfId="365" xr:uid="{00000000-0005-0000-0000-00006D010000}"/>
    <cellStyle name="Percent 11" xfId="366" xr:uid="{00000000-0005-0000-0000-00006E010000}"/>
    <cellStyle name="Percent 12" xfId="367" xr:uid="{00000000-0005-0000-0000-00006F010000}"/>
    <cellStyle name="Percent 13" xfId="368" xr:uid="{00000000-0005-0000-0000-000070010000}"/>
    <cellStyle name="Percent 14" xfId="369" xr:uid="{00000000-0005-0000-0000-000071010000}"/>
    <cellStyle name="Percent 15" xfId="370" xr:uid="{00000000-0005-0000-0000-000072010000}"/>
    <cellStyle name="Percent 16" xfId="371" xr:uid="{00000000-0005-0000-0000-000073010000}"/>
    <cellStyle name="Percent 17" xfId="372" xr:uid="{00000000-0005-0000-0000-000074010000}"/>
    <cellStyle name="Percent 18" xfId="373" xr:uid="{00000000-0005-0000-0000-000075010000}"/>
    <cellStyle name="Percent 19" xfId="374" xr:uid="{00000000-0005-0000-0000-000076010000}"/>
    <cellStyle name="Percent 2" xfId="375" xr:uid="{00000000-0005-0000-0000-000077010000}"/>
    <cellStyle name="Percent 2 2" xfId="376" xr:uid="{00000000-0005-0000-0000-000078010000}"/>
    <cellStyle name="Percent 2 2 2" xfId="377" xr:uid="{00000000-0005-0000-0000-000079010000}"/>
    <cellStyle name="Percent 2 2 3" xfId="378" xr:uid="{00000000-0005-0000-0000-00007A010000}"/>
    <cellStyle name="Percent 2 3" xfId="379" xr:uid="{00000000-0005-0000-0000-00007B010000}"/>
    <cellStyle name="Percent 2 4" xfId="380" xr:uid="{00000000-0005-0000-0000-00007C010000}"/>
    <cellStyle name="Percent 2 5" xfId="381" xr:uid="{00000000-0005-0000-0000-00007D010000}"/>
    <cellStyle name="Percent 20" xfId="382" xr:uid="{00000000-0005-0000-0000-00007E010000}"/>
    <cellStyle name="Percent 21" xfId="383" xr:uid="{00000000-0005-0000-0000-00007F010000}"/>
    <cellStyle name="Percent 22" xfId="384" xr:uid="{00000000-0005-0000-0000-000080010000}"/>
    <cellStyle name="Percent 23" xfId="385" xr:uid="{00000000-0005-0000-0000-000081010000}"/>
    <cellStyle name="Percent 24" xfId="386" xr:uid="{00000000-0005-0000-0000-000082010000}"/>
    <cellStyle name="Percent 25" xfId="387" xr:uid="{00000000-0005-0000-0000-000083010000}"/>
    <cellStyle name="Percent 26" xfId="388" xr:uid="{00000000-0005-0000-0000-000084010000}"/>
    <cellStyle name="Percent 27" xfId="389" xr:uid="{00000000-0005-0000-0000-000085010000}"/>
    <cellStyle name="Percent 28" xfId="390" xr:uid="{00000000-0005-0000-0000-000086010000}"/>
    <cellStyle name="Percent 29" xfId="391" xr:uid="{00000000-0005-0000-0000-000087010000}"/>
    <cellStyle name="Percent 3" xfId="392" xr:uid="{00000000-0005-0000-0000-000088010000}"/>
    <cellStyle name="Percent 3 2" xfId="393" xr:uid="{00000000-0005-0000-0000-000089010000}"/>
    <cellStyle name="Percent 3 2 2" xfId="394" xr:uid="{00000000-0005-0000-0000-00008A010000}"/>
    <cellStyle name="Percent 3 2 2 2" xfId="395" xr:uid="{00000000-0005-0000-0000-00008B010000}"/>
    <cellStyle name="Percent 3 2 2 3" xfId="396" xr:uid="{00000000-0005-0000-0000-00008C010000}"/>
    <cellStyle name="Percent 3 2 3" xfId="397" xr:uid="{00000000-0005-0000-0000-00008D010000}"/>
    <cellStyle name="Percent 3 3" xfId="398" xr:uid="{00000000-0005-0000-0000-00008E010000}"/>
    <cellStyle name="Percent 3 3 2" xfId="399" xr:uid="{00000000-0005-0000-0000-00008F010000}"/>
    <cellStyle name="Percent 3 3 3" xfId="400" xr:uid="{00000000-0005-0000-0000-000090010000}"/>
    <cellStyle name="Percent 3 4" xfId="401" xr:uid="{00000000-0005-0000-0000-000091010000}"/>
    <cellStyle name="Percent 3 4 2" xfId="402" xr:uid="{00000000-0005-0000-0000-000092010000}"/>
    <cellStyle name="Percent 3 4 3" xfId="403" xr:uid="{00000000-0005-0000-0000-000093010000}"/>
    <cellStyle name="Percent 30" xfId="404" xr:uid="{00000000-0005-0000-0000-000094010000}"/>
    <cellStyle name="Percent 31" xfId="405" xr:uid="{00000000-0005-0000-0000-000095010000}"/>
    <cellStyle name="Percent 32" xfId="406" xr:uid="{00000000-0005-0000-0000-000096010000}"/>
    <cellStyle name="Percent 33" xfId="407" xr:uid="{00000000-0005-0000-0000-000097010000}"/>
    <cellStyle name="Percent 34" xfId="408" xr:uid="{00000000-0005-0000-0000-000098010000}"/>
    <cellStyle name="Percent 35" xfId="409" xr:uid="{00000000-0005-0000-0000-000099010000}"/>
    <cellStyle name="Percent 36" xfId="410" xr:uid="{00000000-0005-0000-0000-00009A010000}"/>
    <cellStyle name="Percent 37" xfId="411" xr:uid="{00000000-0005-0000-0000-00009B010000}"/>
    <cellStyle name="Percent 4" xfId="412" xr:uid="{00000000-0005-0000-0000-00009C010000}"/>
    <cellStyle name="Percent 4 2" xfId="413" xr:uid="{00000000-0005-0000-0000-00009D010000}"/>
    <cellStyle name="Percent 4 3" xfId="414" xr:uid="{00000000-0005-0000-0000-00009E010000}"/>
    <cellStyle name="Percent 40" xfId="415" xr:uid="{00000000-0005-0000-0000-00009F010000}"/>
    <cellStyle name="Percent 41" xfId="416" xr:uid="{00000000-0005-0000-0000-0000A0010000}"/>
    <cellStyle name="Percent 42" xfId="417" xr:uid="{00000000-0005-0000-0000-0000A1010000}"/>
    <cellStyle name="Percent 43" xfId="418" xr:uid="{00000000-0005-0000-0000-0000A2010000}"/>
    <cellStyle name="Percent 44" xfId="419" xr:uid="{00000000-0005-0000-0000-0000A3010000}"/>
    <cellStyle name="Percent 45" xfId="420" xr:uid="{00000000-0005-0000-0000-0000A4010000}"/>
    <cellStyle name="Percent 46" xfId="421" xr:uid="{00000000-0005-0000-0000-0000A5010000}"/>
    <cellStyle name="Percent 47" xfId="422" xr:uid="{00000000-0005-0000-0000-0000A6010000}"/>
    <cellStyle name="Percent 48" xfId="423" xr:uid="{00000000-0005-0000-0000-0000A7010000}"/>
    <cellStyle name="Percent 49" xfId="424" xr:uid="{00000000-0005-0000-0000-0000A8010000}"/>
    <cellStyle name="Percent 5" xfId="425" xr:uid="{00000000-0005-0000-0000-0000A9010000}"/>
    <cellStyle name="Percent 5 2" xfId="426" xr:uid="{00000000-0005-0000-0000-0000AA010000}"/>
    <cellStyle name="Percent 5 3" xfId="427" xr:uid="{00000000-0005-0000-0000-0000AB010000}"/>
    <cellStyle name="Percent 50" xfId="428" xr:uid="{00000000-0005-0000-0000-0000AC010000}"/>
    <cellStyle name="Percent 51" xfId="429" xr:uid="{00000000-0005-0000-0000-0000AD010000}"/>
    <cellStyle name="Percent 52" xfId="430" xr:uid="{00000000-0005-0000-0000-0000AE010000}"/>
    <cellStyle name="Percent 53" xfId="431" xr:uid="{00000000-0005-0000-0000-0000AF010000}"/>
    <cellStyle name="Percent 54" xfId="432" xr:uid="{00000000-0005-0000-0000-0000B0010000}"/>
    <cellStyle name="Percent 55" xfId="433" xr:uid="{00000000-0005-0000-0000-0000B1010000}"/>
    <cellStyle name="Percent 56" xfId="434" xr:uid="{00000000-0005-0000-0000-0000B2010000}"/>
    <cellStyle name="Percent 57" xfId="435" xr:uid="{00000000-0005-0000-0000-0000B3010000}"/>
    <cellStyle name="Percent 58" xfId="436" xr:uid="{00000000-0005-0000-0000-0000B4010000}"/>
    <cellStyle name="Percent 59" xfId="437" xr:uid="{00000000-0005-0000-0000-0000B5010000}"/>
    <cellStyle name="Percent 6" xfId="438" xr:uid="{00000000-0005-0000-0000-0000B6010000}"/>
    <cellStyle name="Percent 6 2" xfId="439" xr:uid="{00000000-0005-0000-0000-0000B7010000}"/>
    <cellStyle name="Percent 60" xfId="440" xr:uid="{00000000-0005-0000-0000-0000B8010000}"/>
    <cellStyle name="Percent 61" xfId="441" xr:uid="{00000000-0005-0000-0000-0000B9010000}"/>
    <cellStyle name="Percent 62" xfId="442" xr:uid="{00000000-0005-0000-0000-0000BA010000}"/>
    <cellStyle name="Percent 63" xfId="443" xr:uid="{00000000-0005-0000-0000-0000BB010000}"/>
    <cellStyle name="Percent 64" xfId="444" xr:uid="{00000000-0005-0000-0000-0000BC010000}"/>
    <cellStyle name="Percent 65" xfId="445" xr:uid="{00000000-0005-0000-0000-0000BD010000}"/>
    <cellStyle name="Percent 66" xfId="446" xr:uid="{00000000-0005-0000-0000-0000BE010000}"/>
    <cellStyle name="Percent 67" xfId="447" xr:uid="{00000000-0005-0000-0000-0000BF010000}"/>
    <cellStyle name="Percent 68" xfId="448" xr:uid="{00000000-0005-0000-0000-0000C0010000}"/>
    <cellStyle name="Percent 69" xfId="449" xr:uid="{00000000-0005-0000-0000-0000C1010000}"/>
    <cellStyle name="Percent 7" xfId="450" xr:uid="{00000000-0005-0000-0000-0000C2010000}"/>
    <cellStyle name="Percent 7 2" xfId="451" xr:uid="{00000000-0005-0000-0000-0000C3010000}"/>
    <cellStyle name="Percent 70" xfId="452" xr:uid="{00000000-0005-0000-0000-0000C4010000}"/>
    <cellStyle name="Percent 8" xfId="453" xr:uid="{00000000-0005-0000-0000-0000C5010000}"/>
    <cellStyle name="Percent 8 2" xfId="454" xr:uid="{00000000-0005-0000-0000-0000C6010000}"/>
    <cellStyle name="Percent 9" xfId="455" xr:uid="{00000000-0005-0000-0000-0000C7010000}"/>
    <cellStyle name="Standard_Sce_D_Extraction" xfId="456" xr:uid="{00000000-0005-0000-0000-0000C8010000}"/>
    <cellStyle name="Style 29" xfId="457" xr:uid="{00000000-0005-0000-0000-0000C9010000}"/>
    <cellStyle name="Style 29 2" xfId="458" xr:uid="{00000000-0005-0000-0000-0000CA010000}"/>
    <cellStyle name="Style 35" xfId="459" xr:uid="{00000000-0005-0000-0000-0000CB010000}"/>
    <cellStyle name="Style 36" xfId="460" xr:uid="{00000000-0005-0000-0000-0000CC010000}"/>
    <cellStyle name="Title" xfId="461" builtinId="15" customBuiltin="1"/>
    <cellStyle name="Title 2" xfId="462" xr:uid="{00000000-0005-0000-0000-0000CE010000}"/>
    <cellStyle name="Total" xfId="463" builtinId="25" customBuiltin="1"/>
    <cellStyle name="Total 2" xfId="464" xr:uid="{00000000-0005-0000-0000-0000D0010000}"/>
    <cellStyle name="Total 2 2" xfId="465" xr:uid="{00000000-0005-0000-0000-0000D1010000}"/>
    <cellStyle name="Total 2 3" xfId="466" xr:uid="{00000000-0005-0000-0000-0000D2010000}"/>
    <cellStyle name="Total 3" xfId="467" xr:uid="{00000000-0005-0000-0000-0000D3010000}"/>
    <cellStyle name="Total 3 2" xfId="468" xr:uid="{00000000-0005-0000-0000-0000D4010000}"/>
    <cellStyle name="Total 4" xfId="469" xr:uid="{00000000-0005-0000-0000-0000D5010000}"/>
    <cellStyle name="Total 4 2" xfId="470" xr:uid="{00000000-0005-0000-0000-0000D6010000}"/>
    <cellStyle name="Warning Text" xfId="471" builtinId="11" customBuiltin="1"/>
    <cellStyle name="Warning Text 2" xfId="472" xr:uid="{00000000-0005-0000-0000-0000D801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73"/>
  <sheetViews>
    <sheetView tabSelected="1" zoomScale="75" zoomScaleNormal="75" workbookViewId="0">
      <pane ySplit="17" topLeftCell="A18" activePane="bottomLeft" state="frozen"/>
      <selection pane="bottomLeft" activeCell="A18" sqref="A18"/>
    </sheetView>
  </sheetViews>
  <sheetFormatPr defaultRowHeight="14.4" x14ac:dyDescent="0.3"/>
  <cols>
    <col min="1" max="1" width="8.88671875" style="3"/>
    <col min="3" max="3" width="14.109375" customWidth="1"/>
    <col min="4" max="5" width="12.109375" bestFit="1" customWidth="1"/>
    <col min="6" max="6" width="12.109375" style="3" customWidth="1"/>
    <col min="19" max="19" width="39.33203125" bestFit="1" customWidth="1"/>
    <col min="22" max="22" width="13.88671875" bestFit="1" customWidth="1"/>
    <col min="23" max="23" width="12.6640625" bestFit="1" customWidth="1"/>
    <col min="24" max="24" width="11.6640625" bestFit="1" customWidth="1"/>
    <col min="25" max="25" width="12.109375" style="3" customWidth="1"/>
    <col min="39" max="39" width="10.21875" customWidth="1"/>
  </cols>
  <sheetData>
    <row r="1" spans="2:36" s="3" customFormat="1" x14ac:dyDescent="0.3"/>
    <row r="2" spans="2:36" s="3" customFormat="1" ht="15" thickBot="1" x14ac:dyDescent="0.35">
      <c r="V2" s="10" t="s">
        <v>1608</v>
      </c>
      <c r="Y2" s="5"/>
      <c r="Z2" s="5"/>
    </row>
    <row r="3" spans="2:36" s="3" customFormat="1" ht="43.8" thickBot="1" x14ac:dyDescent="0.35">
      <c r="V3" s="20" t="s">
        <v>1609</v>
      </c>
      <c r="W3" s="20" t="s">
        <v>1610</v>
      </c>
      <c r="X3" s="21" t="s">
        <v>1611</v>
      </c>
      <c r="Y3" s="22" t="s">
        <v>1621</v>
      </c>
      <c r="Z3" s="22" t="s">
        <v>1611</v>
      </c>
    </row>
    <row r="4" spans="2:36" s="3" customFormat="1" x14ac:dyDescent="0.3">
      <c r="V4" s="11" t="s">
        <v>1612</v>
      </c>
      <c r="W4" s="11">
        <v>0.9</v>
      </c>
      <c r="X4" s="12"/>
      <c r="Y4" s="23"/>
      <c r="Z4" s="24"/>
    </row>
    <row r="5" spans="2:36" s="3" customFormat="1" x14ac:dyDescent="0.3">
      <c r="V5" s="13" t="s">
        <v>1613</v>
      </c>
      <c r="W5" s="13">
        <v>28</v>
      </c>
      <c r="X5" s="14">
        <v>20</v>
      </c>
      <c r="Y5" s="25">
        <f>1-(W5/100)</f>
        <v>0.72</v>
      </c>
      <c r="Z5" s="26">
        <f>1-(X5/100)</f>
        <v>0.8</v>
      </c>
    </row>
    <row r="6" spans="2:36" s="3" customFormat="1" x14ac:dyDescent="0.3">
      <c r="V6" s="13" t="s">
        <v>1614</v>
      </c>
      <c r="W6" s="13">
        <v>32</v>
      </c>
      <c r="X6" s="14">
        <v>23</v>
      </c>
      <c r="Y6" s="25">
        <f t="shared" ref="Y6:Y10" si="0">1-(W6/100)</f>
        <v>0.67999999999999994</v>
      </c>
      <c r="Z6" s="26">
        <f t="shared" ref="Z6:Z10" si="1">1-(X6/100)</f>
        <v>0.77</v>
      </c>
    </row>
    <row r="7" spans="2:36" s="3" customFormat="1" x14ac:dyDescent="0.3">
      <c r="V7" s="13" t="s">
        <v>1615</v>
      </c>
      <c r="W7" s="13">
        <v>10</v>
      </c>
      <c r="X7" s="14">
        <v>36</v>
      </c>
      <c r="Y7" s="25">
        <f t="shared" si="0"/>
        <v>0.9</v>
      </c>
      <c r="Z7" s="26">
        <f t="shared" si="1"/>
        <v>0.64</v>
      </c>
    </row>
    <row r="8" spans="2:36" s="3" customFormat="1" x14ac:dyDescent="0.3">
      <c r="V8" s="13" t="s">
        <v>1616</v>
      </c>
      <c r="W8" s="13">
        <v>29</v>
      </c>
      <c r="X8" s="14">
        <v>51</v>
      </c>
      <c r="Y8" s="25">
        <f t="shared" si="0"/>
        <v>0.71</v>
      </c>
      <c r="Z8" s="26">
        <f t="shared" si="1"/>
        <v>0.49</v>
      </c>
    </row>
    <row r="9" spans="2:36" s="3" customFormat="1" x14ac:dyDescent="0.3">
      <c r="V9" s="13" t="s">
        <v>1617</v>
      </c>
      <c r="W9" s="13">
        <v>12</v>
      </c>
      <c r="X9" s="14">
        <v>3</v>
      </c>
      <c r="Y9" s="25">
        <f t="shared" si="0"/>
        <v>0.88</v>
      </c>
      <c r="Z9" s="26">
        <f t="shared" si="1"/>
        <v>0.97</v>
      </c>
    </row>
    <row r="10" spans="2:36" s="3" customFormat="1" ht="15" thickBot="1" x14ac:dyDescent="0.35">
      <c r="V10" s="15" t="s">
        <v>1618</v>
      </c>
      <c r="W10" s="16">
        <v>20</v>
      </c>
      <c r="X10" s="17">
        <v>20</v>
      </c>
      <c r="Y10" s="27">
        <f t="shared" si="0"/>
        <v>0.8</v>
      </c>
      <c r="Z10" s="28">
        <f t="shared" si="1"/>
        <v>0.8</v>
      </c>
    </row>
    <row r="11" spans="2:36" s="3" customFormat="1" x14ac:dyDescent="0.3">
      <c r="V11" s="3" t="s">
        <v>1619</v>
      </c>
      <c r="Y11" s="5"/>
      <c r="Z11" s="5"/>
    </row>
    <row r="12" spans="2:36" s="3" customFormat="1" x14ac:dyDescent="0.3">
      <c r="V12" s="18" t="s">
        <v>1620</v>
      </c>
      <c r="W12" s="19"/>
      <c r="X12" s="19"/>
      <c r="Y12" s="5"/>
      <c r="Z12" s="5"/>
    </row>
    <row r="13" spans="2:36" s="3" customFormat="1" x14ac:dyDescent="0.3">
      <c r="B13" s="3" t="s">
        <v>17</v>
      </c>
      <c r="H13" s="7"/>
      <c r="I13" s="7"/>
      <c r="J13" s="7"/>
      <c r="K13" s="7"/>
      <c r="L13" s="7"/>
      <c r="M13" s="7"/>
      <c r="N13" s="7"/>
      <c r="O13" s="7"/>
      <c r="P13" s="7"/>
    </row>
    <row r="14" spans="2:36" s="3" customFormat="1" x14ac:dyDescent="0.3">
      <c r="B14" s="3" t="s">
        <v>18</v>
      </c>
    </row>
    <row r="15" spans="2:36" s="3" customFormat="1" x14ac:dyDescent="0.3"/>
    <row r="16" spans="2:36" x14ac:dyDescent="0.3">
      <c r="B16" s="3"/>
      <c r="C16" s="3"/>
      <c r="D16" s="3"/>
      <c r="F16" s="3" t="s">
        <v>1590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Y16" s="3" t="s">
        <v>1592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9" ht="15" thickBot="1" x14ac:dyDescent="0.35">
      <c r="B17" s="3"/>
      <c r="C17" s="1" t="s">
        <v>10</v>
      </c>
      <c r="D17" s="1" t="s">
        <v>13</v>
      </c>
      <c r="E17" s="1" t="s">
        <v>11</v>
      </c>
      <c r="F17" s="1" t="s">
        <v>16</v>
      </c>
      <c r="G17" s="1" t="s">
        <v>12</v>
      </c>
      <c r="H17" s="1" t="s">
        <v>0</v>
      </c>
      <c r="I17" s="1" t="s">
        <v>1</v>
      </c>
      <c r="J17" s="1" t="s">
        <v>2</v>
      </c>
      <c r="K17" s="1" t="s">
        <v>3</v>
      </c>
      <c r="L17" s="1" t="s">
        <v>4</v>
      </c>
      <c r="M17" s="1" t="s">
        <v>5</v>
      </c>
      <c r="N17" s="1" t="s">
        <v>6</v>
      </c>
      <c r="O17" s="1" t="s">
        <v>7</v>
      </c>
      <c r="P17" s="1" t="s">
        <v>8</v>
      </c>
      <c r="Q17" s="2" t="s">
        <v>14</v>
      </c>
      <c r="R17" s="2" t="s">
        <v>15</v>
      </c>
      <c r="S17" s="1" t="s">
        <v>9</v>
      </c>
      <c r="T17" s="3"/>
      <c r="U17" s="3"/>
      <c r="V17" s="1" t="s">
        <v>10</v>
      </c>
      <c r="W17" s="1" t="s">
        <v>13</v>
      </c>
      <c r="X17" s="1" t="s">
        <v>11</v>
      </c>
      <c r="Y17" s="1" t="s">
        <v>16</v>
      </c>
      <c r="Z17" s="1" t="s">
        <v>12</v>
      </c>
      <c r="AA17" s="1" t="s">
        <v>0</v>
      </c>
      <c r="AB17" s="1" t="s">
        <v>1</v>
      </c>
      <c r="AC17" s="1" t="s">
        <v>2</v>
      </c>
      <c r="AD17" s="1" t="s">
        <v>3</v>
      </c>
      <c r="AE17" s="1" t="s">
        <v>4</v>
      </c>
      <c r="AF17" s="1" t="s">
        <v>5</v>
      </c>
      <c r="AG17" s="1" t="s">
        <v>6</v>
      </c>
      <c r="AH17" s="1" t="s">
        <v>7</v>
      </c>
      <c r="AI17" s="1" t="s">
        <v>8</v>
      </c>
      <c r="AJ17" s="1" t="s">
        <v>9</v>
      </c>
    </row>
    <row r="18" spans="1:39" s="5" customFormat="1" x14ac:dyDescent="0.3">
      <c r="C18" s="4" t="s">
        <v>24</v>
      </c>
      <c r="D18" s="5" t="s">
        <v>25</v>
      </c>
      <c r="E18" s="5" t="s">
        <v>706</v>
      </c>
      <c r="F18" s="5" t="s">
        <v>1588</v>
      </c>
      <c r="G18" s="5">
        <v>1</v>
      </c>
      <c r="H18" s="6">
        <f>IF(SUMIFS('Industrial Summary'!$G:$G,'Industrial Summary'!$F:$F,H$17,'Industrial Summary'!$D:$D,$E18)&gt;0,(-SUMIFS('Industrial Summary'!$G:$G,'Industrial Summary'!$F:$F,H$17,'Industrial Summary'!$D:$D,$E18,'Industrial Summary'!$A:$A,"NGA")/SUMIFS('Industrial Summary'!$G:$G,'Industrial Summary'!$F:$F,H$17,'Industrial Summary'!$D:$D,$E18)),0)*0.98</f>
        <v>0</v>
      </c>
      <c r="I18" s="6">
        <f>IF(SUMIFS('Industrial Summary'!$G:$G,'Industrial Summary'!$F:$F,I$17,'Industrial Summary'!$D:$D,$E18)&gt;0,(-SUMIFS('Industrial Summary'!$G:$G,'Industrial Summary'!$F:$F,I$17,'Industrial Summary'!$D:$D,$E18,'Industrial Summary'!$A:$A,"NGA")/SUMIFS('Industrial Summary'!$G:$G,'Industrial Summary'!$F:$F,I$17,'Industrial Summary'!$D:$D,$E18)),0)*0.98</f>
        <v>0</v>
      </c>
      <c r="J18" s="6">
        <f>IF(SUMIFS('Industrial Summary'!$G:$G,'Industrial Summary'!$F:$F,J$17,'Industrial Summary'!$D:$D,$E18)&gt;0,(-SUMIFS('Industrial Summary'!$G:$G,'Industrial Summary'!$F:$F,J$17,'Industrial Summary'!$D:$D,$E18,'Industrial Summary'!$A:$A,"NGA")/SUMIFS('Industrial Summary'!$G:$G,'Industrial Summary'!$F:$F,J$17,'Industrial Summary'!$D:$D,$E18)),0)*0.98</f>
        <v>-0.67515688870710688</v>
      </c>
      <c r="K18" s="6">
        <f>IF(SUMIFS('Industrial Summary'!$G:$G,'Industrial Summary'!$F:$F,K$17,'Industrial Summary'!$D:$D,$E18)&gt;0,(-SUMIFS('Industrial Summary'!$G:$G,'Industrial Summary'!$F:$F,K$17,'Industrial Summary'!$D:$D,$E18,'Industrial Summary'!$A:$A,"NGA")/SUMIFS('Industrial Summary'!$G:$G,'Industrial Summary'!$F:$F,K$17,'Industrial Summary'!$D:$D,$E18)),0)*0.98</f>
        <v>-0.71812059675287065</v>
      </c>
      <c r="L18" s="6">
        <f>IF(SUMIFS('Industrial Summary'!$G:$G,'Industrial Summary'!$F:$F,L$17,'Industrial Summary'!$D:$D,$E18)&gt;0,(-SUMIFS('Industrial Summary'!$G:$G,'Industrial Summary'!$F:$F,L$17,'Industrial Summary'!$D:$D,$E18,'Industrial Summary'!$A:$A,"NGA")/SUMIFS('Industrial Summary'!$G:$G,'Industrial Summary'!$F:$F,L$17,'Industrial Summary'!$D:$D,$E18)),0)*0.98</f>
        <v>0</v>
      </c>
      <c r="M18" s="6">
        <f>IF(SUMIFS('Industrial Summary'!$G:$G,'Industrial Summary'!$F:$F,M$17,'Industrial Summary'!$D:$D,$E18)&gt;0,(-SUMIFS('Industrial Summary'!$G:$G,'Industrial Summary'!$F:$F,M$17,'Industrial Summary'!$D:$D,$E18,'Industrial Summary'!$A:$A,"NGA")/SUMIFS('Industrial Summary'!$G:$G,'Industrial Summary'!$F:$F,M$17,'Industrial Summary'!$D:$D,$E18)),0)*0.98</f>
        <v>0</v>
      </c>
      <c r="N18" s="6">
        <f>IF(SUMIFS('Industrial Summary'!$G:$G,'Industrial Summary'!$F:$F,N$17,'Industrial Summary'!$D:$D,$E18)&gt;0,(-SUMIFS('Industrial Summary'!$G:$G,'Industrial Summary'!$F:$F,N$17,'Industrial Summary'!$D:$D,$E18,'Industrial Summary'!$A:$A,"NGA")/SUMIFS('Industrial Summary'!$G:$G,'Industrial Summary'!$F:$F,N$17,'Industrial Summary'!$D:$D,$E18)),0)*0.98</f>
        <v>0</v>
      </c>
      <c r="O18" s="6">
        <f>IF(SUMIFS('Industrial Summary'!$G:$G,'Industrial Summary'!$F:$F,O$17,'Industrial Summary'!$D:$D,$E18)&gt;0,(-SUMIFS('Industrial Summary'!$G:$G,'Industrial Summary'!$F:$F,O$17,'Industrial Summary'!$D:$D,$E18,'Industrial Summary'!$A:$A,"NGA")/SUMIFS('Industrial Summary'!$G:$G,'Industrial Summary'!$F:$F,O$17,'Industrial Summary'!$D:$D,$E18)),0)*0.98</f>
        <v>-0.98</v>
      </c>
      <c r="P18" s="6">
        <f>IF(SUMIFS('Industrial Summary'!$G:$G,'Industrial Summary'!$F:$F,P$17,'Industrial Summary'!$D:$D,$E18)&gt;0,(-SUMIFS('Industrial Summary'!$G:$G,'Industrial Summary'!$F:$F,P$17,'Industrial Summary'!$D:$D,$E18,'Industrial Summary'!$A:$A,"NGA")/SUMIFS('Industrial Summary'!$G:$G,'Industrial Summary'!$F:$F,P$17,'Industrial Summary'!$D:$D,$E18)),0)*0.98</f>
        <v>-0.98</v>
      </c>
      <c r="Q18" s="5">
        <v>0</v>
      </c>
      <c r="R18" s="5">
        <v>15</v>
      </c>
      <c r="S18" s="5" t="str">
        <f t="shared" ref="S18:S81" si="2">_xlfn.CONCAT("UC_",D18)</f>
        <v>UC_IFDFS_NGA</v>
      </c>
      <c r="V18" s="4" t="str">
        <f>C18</f>
        <v>S_IFDFSNGA</v>
      </c>
      <c r="W18" s="4" t="str">
        <f>D18</f>
        <v>IFDFS_NGA</v>
      </c>
      <c r="X18" s="4" t="str">
        <f>E18</f>
        <v>IFDFEED</v>
      </c>
      <c r="Y18" s="5" t="str">
        <f>F18</f>
        <v>LO</v>
      </c>
      <c r="Z18" s="5">
        <v>1</v>
      </c>
      <c r="AA18" s="6">
        <f>H18*$AM18</f>
        <v>0</v>
      </c>
      <c r="AB18" s="6">
        <f t="shared" ref="AB18:AI18" si="3">I18*$AM18</f>
        <v>0</v>
      </c>
      <c r="AC18" s="6">
        <f t="shared" si="3"/>
        <v>-0.48611295986911696</v>
      </c>
      <c r="AD18" s="6">
        <f t="shared" si="3"/>
        <v>-0.51704682966206683</v>
      </c>
      <c r="AE18" s="6">
        <f t="shared" si="3"/>
        <v>0</v>
      </c>
      <c r="AF18" s="6">
        <f t="shared" si="3"/>
        <v>0</v>
      </c>
      <c r="AG18" s="6">
        <f t="shared" si="3"/>
        <v>0</v>
      </c>
      <c r="AH18" s="6">
        <f t="shared" si="3"/>
        <v>-0.7056</v>
      </c>
      <c r="AI18" s="6">
        <f t="shared" si="3"/>
        <v>-0.7056</v>
      </c>
      <c r="AL18" s="5" t="str">
        <f>RIGHT(W18,3)</f>
        <v>NGA</v>
      </c>
      <c r="AM18" s="5">
        <f>Y5</f>
        <v>0.72</v>
      </c>
    </row>
    <row r="19" spans="1:39" s="5" customFormat="1" x14ac:dyDescent="0.3">
      <c r="C19" s="4" t="s">
        <v>26</v>
      </c>
      <c r="D19" s="5" t="s">
        <v>27</v>
      </c>
      <c r="E19" s="5" t="s">
        <v>706</v>
      </c>
      <c r="F19" s="5" t="s">
        <v>1588</v>
      </c>
      <c r="G19" s="5">
        <v>1</v>
      </c>
      <c r="H19" s="6">
        <f>IF(SUMIFS('Industrial Summary'!$G:$G,'Industrial Summary'!$F:$F,H$17,'Industrial Summary'!$D:$D,$E19)&gt;0,(-SUMIFS('Industrial Summary'!$G:$G,'Industrial Summary'!$F:$F,H$17,'Industrial Summary'!$D:$D,$E19,'Industrial Summary'!$A:$A,"LPG")/SUMIFS('Industrial Summary'!$G:$G,'Industrial Summary'!$F:$F,H$17,'Industrial Summary'!$D:$D,$E19)),0)*0.98</f>
        <v>0</v>
      </c>
      <c r="I19" s="6">
        <f>IF(SUMIFS('Industrial Summary'!$G:$G,'Industrial Summary'!$F:$F,I$17,'Industrial Summary'!$D:$D,$E19)&gt;0,(-SUMIFS('Industrial Summary'!$G:$G,'Industrial Summary'!$F:$F,I$17,'Industrial Summary'!$D:$D,$E19,'Industrial Summary'!$A:$A,"LPG")/SUMIFS('Industrial Summary'!$G:$G,'Industrial Summary'!$F:$F,I$17,'Industrial Summary'!$D:$D,$E19)),0)*0.98</f>
        <v>0</v>
      </c>
      <c r="J19" s="6">
        <f>IF(SUMIFS('Industrial Summary'!$G:$G,'Industrial Summary'!$F:$F,J$17,'Industrial Summary'!$D:$D,$E19)&gt;0,(-SUMIFS('Industrial Summary'!$G:$G,'Industrial Summary'!$F:$F,J$17,'Industrial Summary'!$D:$D,$E19,'Industrial Summary'!$A:$A,"LPG")/SUMIFS('Industrial Summary'!$G:$G,'Industrial Summary'!$F:$F,J$17,'Industrial Summary'!$D:$D,$E19)),0)*0.98</f>
        <v>-2.9486177536601862E-2</v>
      </c>
      <c r="K19" s="6">
        <f>IF(SUMIFS('Industrial Summary'!$G:$G,'Industrial Summary'!$F:$F,K$17,'Industrial Summary'!$D:$D,$E19)&gt;0,(-SUMIFS('Industrial Summary'!$G:$G,'Industrial Summary'!$F:$F,K$17,'Industrial Summary'!$D:$D,$E19,'Industrial Summary'!$A:$A,"LPG")/SUMIFS('Industrial Summary'!$G:$G,'Industrial Summary'!$F:$F,K$17,'Industrial Summary'!$D:$D,$E19)),0)*0.98</f>
        <v>0</v>
      </c>
      <c r="L19" s="6">
        <f>IF(SUMIFS('Industrial Summary'!$G:$G,'Industrial Summary'!$F:$F,L$17,'Industrial Summary'!$D:$D,$E19)&gt;0,(-SUMIFS('Industrial Summary'!$G:$G,'Industrial Summary'!$F:$F,L$17,'Industrial Summary'!$D:$D,$E19,'Industrial Summary'!$A:$A,"LPG")/SUMIFS('Industrial Summary'!$G:$G,'Industrial Summary'!$F:$F,L$17,'Industrial Summary'!$D:$D,$E19)),0)*0.98</f>
        <v>0</v>
      </c>
      <c r="M19" s="6">
        <f>IF(SUMIFS('Industrial Summary'!$G:$G,'Industrial Summary'!$F:$F,M$17,'Industrial Summary'!$D:$D,$E19)&gt;0,(-SUMIFS('Industrial Summary'!$G:$G,'Industrial Summary'!$F:$F,M$17,'Industrial Summary'!$D:$D,$E19,'Industrial Summary'!$A:$A,"LPG")/SUMIFS('Industrial Summary'!$G:$G,'Industrial Summary'!$F:$F,M$17,'Industrial Summary'!$D:$D,$E19)),0)*0.98</f>
        <v>0</v>
      </c>
      <c r="N19" s="6">
        <f>IF(SUMIFS('Industrial Summary'!$G:$G,'Industrial Summary'!$F:$F,N$17,'Industrial Summary'!$D:$D,$E19)&gt;0,(-SUMIFS('Industrial Summary'!$G:$G,'Industrial Summary'!$F:$F,N$17,'Industrial Summary'!$D:$D,$E19,'Industrial Summary'!$A:$A,"LPG")/SUMIFS('Industrial Summary'!$G:$G,'Industrial Summary'!$F:$F,N$17,'Industrial Summary'!$D:$D,$E19)),0)*0.98</f>
        <v>0</v>
      </c>
      <c r="O19" s="6">
        <f>IF(SUMIFS('Industrial Summary'!$G:$G,'Industrial Summary'!$F:$F,O$17,'Industrial Summary'!$D:$D,$E19)&gt;0,(-SUMIFS('Industrial Summary'!$G:$G,'Industrial Summary'!$F:$F,O$17,'Industrial Summary'!$D:$D,$E19,'Industrial Summary'!$A:$A,"LPG")/SUMIFS('Industrial Summary'!$G:$G,'Industrial Summary'!$F:$F,O$17,'Industrial Summary'!$D:$D,$E19)),0)*0.98</f>
        <v>0</v>
      </c>
      <c r="P19" s="6">
        <f>IF(SUMIFS('Industrial Summary'!$G:$G,'Industrial Summary'!$F:$F,P$17,'Industrial Summary'!$D:$D,$E19)&gt;0,(-SUMIFS('Industrial Summary'!$G:$G,'Industrial Summary'!$F:$F,P$17,'Industrial Summary'!$D:$D,$E19,'Industrial Summary'!$A:$A,"LPG")/SUMIFS('Industrial Summary'!$G:$G,'Industrial Summary'!$F:$F,P$17,'Industrial Summary'!$D:$D,$E19)),0)*0.98</f>
        <v>0</v>
      </c>
      <c r="Q19" s="5">
        <v>0</v>
      </c>
      <c r="R19" s="5">
        <v>15</v>
      </c>
      <c r="S19" s="5" t="str">
        <f t="shared" si="2"/>
        <v>UC_IFDFS_LPG</v>
      </c>
      <c r="V19" s="4" t="str">
        <f t="shared" ref="V19:V82" si="4">C19</f>
        <v>S_IFDFSLPG</v>
      </c>
      <c r="W19" s="4" t="str">
        <f t="shared" ref="W19:W82" si="5">D19</f>
        <v>IFDFS_LPG</v>
      </c>
      <c r="X19" s="4" t="str">
        <f t="shared" ref="X19:X82" si="6">E19</f>
        <v>IFDFEED</v>
      </c>
      <c r="Y19" s="5" t="str">
        <f t="shared" ref="Y19:Y82" si="7">F19</f>
        <v>LO</v>
      </c>
      <c r="Z19" s="5">
        <v>1</v>
      </c>
      <c r="AA19" s="6">
        <f t="shared" ref="AA19:AA82" si="8">H19*$AM19</f>
        <v>0</v>
      </c>
      <c r="AB19" s="6">
        <f t="shared" ref="AB19:AB82" si="9">I19*$AM19</f>
        <v>0</v>
      </c>
      <c r="AC19" s="6">
        <f t="shared" ref="AC19:AC82" si="10">J19*$AM19</f>
        <v>-2.1230047826353342E-2</v>
      </c>
      <c r="AD19" s="6">
        <f t="shared" ref="AD19:AD82" si="11">K19*$AM19</f>
        <v>0</v>
      </c>
      <c r="AE19" s="6">
        <f t="shared" ref="AE19:AE82" si="12">L19*$AM19</f>
        <v>0</v>
      </c>
      <c r="AF19" s="6">
        <f t="shared" ref="AF19:AF82" si="13">M19*$AM19</f>
        <v>0</v>
      </c>
      <c r="AG19" s="6">
        <f t="shared" ref="AG19:AG82" si="14">N19*$AM19</f>
        <v>0</v>
      </c>
      <c r="AH19" s="6">
        <f t="shared" ref="AH19:AH82" si="15">O19*$AM19</f>
        <v>0</v>
      </c>
      <c r="AI19" s="6">
        <f t="shared" ref="AI19:AI82" si="16">P19*$AM19</f>
        <v>0</v>
      </c>
      <c r="AL19" s="5" t="str">
        <f t="shared" ref="AL19:AL82" si="17">RIGHT(W19,3)</f>
        <v>LPG</v>
      </c>
      <c r="AM19" s="5">
        <f>Y5</f>
        <v>0.72</v>
      </c>
    </row>
    <row r="20" spans="1:39" s="5" customFormat="1" x14ac:dyDescent="0.3">
      <c r="A20" s="8"/>
      <c r="C20" s="4" t="s">
        <v>28</v>
      </c>
      <c r="D20" s="5" t="s">
        <v>29</v>
      </c>
      <c r="E20" s="5" t="s">
        <v>706</v>
      </c>
      <c r="F20" s="5" t="s">
        <v>1588</v>
      </c>
      <c r="G20" s="5">
        <v>1</v>
      </c>
      <c r="H20" s="6">
        <f>IF(SUMIFS('Industrial Summary'!$G:$G,'Industrial Summary'!$F:$F,H$17,'Industrial Summary'!$D:$D,$E20)&gt;0,(-SUMIFS('Industrial Summary'!$G:$G,'Industrial Summary'!$F:$F,H$17,'Industrial Summary'!$D:$D,$E20,'Industrial Summary'!$A:$A,"BIO")/SUMIFS('Industrial Summary'!$G:$G,'Industrial Summary'!$F:$F,H$17,'Industrial Summary'!$D:$D,$E20)),0)*0.98</f>
        <v>0</v>
      </c>
      <c r="I20" s="6">
        <f>IF(SUMIFS('Industrial Summary'!$G:$G,'Industrial Summary'!$F:$F,I$17,'Industrial Summary'!$D:$D,$E20)&gt;0,(-SUMIFS('Industrial Summary'!$G:$G,'Industrial Summary'!$F:$F,I$17,'Industrial Summary'!$D:$D,$E20,'Industrial Summary'!$A:$A,"BIO")/SUMIFS('Industrial Summary'!$G:$G,'Industrial Summary'!$F:$F,I$17,'Industrial Summary'!$D:$D,$E20)),0)*0.98</f>
        <v>0</v>
      </c>
      <c r="J20" s="6">
        <f>IF(SUMIFS('Industrial Summary'!$G:$G,'Industrial Summary'!$F:$F,J$17,'Industrial Summary'!$D:$D,$E20)&gt;0,(-SUMIFS('Industrial Summary'!$G:$G,'Industrial Summary'!$F:$F,J$17,'Industrial Summary'!$D:$D,$E20,'Industrial Summary'!$A:$A,"BIO")/SUMIFS('Industrial Summary'!$G:$G,'Industrial Summary'!$F:$F,J$17,'Industrial Summary'!$D:$D,$E20)),0)*0.98</f>
        <v>-0.27535693375629106</v>
      </c>
      <c r="K20" s="6">
        <f>IF(SUMIFS('Industrial Summary'!$G:$G,'Industrial Summary'!$F:$F,K$17,'Industrial Summary'!$D:$D,$E20)&gt;0,(-SUMIFS('Industrial Summary'!$G:$G,'Industrial Summary'!$F:$F,K$17,'Industrial Summary'!$D:$D,$E20,'Industrial Summary'!$A:$A,"BIO")/SUMIFS('Industrial Summary'!$G:$G,'Industrial Summary'!$F:$F,K$17,'Industrial Summary'!$D:$D,$E20)),0)*0.98</f>
        <v>-0.26187940324712944</v>
      </c>
      <c r="L20" s="6">
        <f>IF(SUMIFS('Industrial Summary'!$G:$G,'Industrial Summary'!$F:$F,L$17,'Industrial Summary'!$D:$D,$E20)&gt;0,(-SUMIFS('Industrial Summary'!$G:$G,'Industrial Summary'!$F:$F,L$17,'Industrial Summary'!$D:$D,$E20,'Industrial Summary'!$A:$A,"BIO")/SUMIFS('Industrial Summary'!$G:$G,'Industrial Summary'!$F:$F,L$17,'Industrial Summary'!$D:$D,$E20)),0)*0.98</f>
        <v>0</v>
      </c>
      <c r="M20" s="6">
        <f>IF(SUMIFS('Industrial Summary'!$G:$G,'Industrial Summary'!$F:$F,M$17,'Industrial Summary'!$D:$D,$E20)&gt;0,(-SUMIFS('Industrial Summary'!$G:$G,'Industrial Summary'!$F:$F,M$17,'Industrial Summary'!$D:$D,$E20,'Industrial Summary'!$A:$A,"BIO")/SUMIFS('Industrial Summary'!$G:$G,'Industrial Summary'!$F:$F,M$17,'Industrial Summary'!$D:$D,$E20)),0)*0.98</f>
        <v>0</v>
      </c>
      <c r="N20" s="6">
        <f>IF(SUMIFS('Industrial Summary'!$G:$G,'Industrial Summary'!$F:$F,N$17,'Industrial Summary'!$D:$D,$E20)&gt;0,(-SUMIFS('Industrial Summary'!$G:$G,'Industrial Summary'!$F:$F,N$17,'Industrial Summary'!$D:$D,$E20,'Industrial Summary'!$A:$A,"BIO")/SUMIFS('Industrial Summary'!$G:$G,'Industrial Summary'!$F:$F,N$17,'Industrial Summary'!$D:$D,$E20)),0)*0.98</f>
        <v>0</v>
      </c>
      <c r="O20" s="6">
        <f>IF(SUMIFS('Industrial Summary'!$G:$G,'Industrial Summary'!$F:$F,O$17,'Industrial Summary'!$D:$D,$E20)&gt;0,(-SUMIFS('Industrial Summary'!$G:$G,'Industrial Summary'!$F:$F,O$17,'Industrial Summary'!$D:$D,$E20,'Industrial Summary'!$A:$A,"BIO")/SUMIFS('Industrial Summary'!$G:$G,'Industrial Summary'!$F:$F,O$17,'Industrial Summary'!$D:$D,$E20)),0)*0.98</f>
        <v>0</v>
      </c>
      <c r="P20" s="6">
        <f>IF(SUMIFS('Industrial Summary'!$G:$G,'Industrial Summary'!$F:$F,P$17,'Industrial Summary'!$D:$D,$E20)&gt;0,(-SUMIFS('Industrial Summary'!$G:$G,'Industrial Summary'!$F:$F,P$17,'Industrial Summary'!$D:$D,$E20,'Industrial Summary'!$A:$A,"BIO")/SUMIFS('Industrial Summary'!$G:$G,'Industrial Summary'!$F:$F,P$17,'Industrial Summary'!$D:$D,$E20)),0)*0.98</f>
        <v>0</v>
      </c>
      <c r="Q20" s="5">
        <v>0</v>
      </c>
      <c r="R20" s="5">
        <v>15</v>
      </c>
      <c r="S20" s="5" t="str">
        <f t="shared" si="2"/>
        <v>UC_IFDFS_BIO</v>
      </c>
      <c r="V20" s="4" t="str">
        <f t="shared" si="4"/>
        <v>S_IFDFSBIO</v>
      </c>
      <c r="W20" s="4" t="str">
        <f t="shared" si="5"/>
        <v>IFDFS_BIO</v>
      </c>
      <c r="X20" s="4" t="str">
        <f t="shared" si="6"/>
        <v>IFDFEED</v>
      </c>
      <c r="Y20" s="5" t="str">
        <f t="shared" si="7"/>
        <v>LO</v>
      </c>
      <c r="Z20" s="5">
        <v>1</v>
      </c>
      <c r="AA20" s="6">
        <f t="shared" si="8"/>
        <v>0</v>
      </c>
      <c r="AB20" s="6">
        <f t="shared" si="9"/>
        <v>0</v>
      </c>
      <c r="AC20" s="6">
        <f t="shared" si="10"/>
        <v>-0.27535693375629106</v>
      </c>
      <c r="AD20" s="6">
        <f t="shared" si="11"/>
        <v>-0.26187940324712944</v>
      </c>
      <c r="AE20" s="6">
        <f t="shared" si="12"/>
        <v>0</v>
      </c>
      <c r="AF20" s="6">
        <f t="shared" si="13"/>
        <v>0</v>
      </c>
      <c r="AG20" s="6">
        <f t="shared" si="14"/>
        <v>0</v>
      </c>
      <c r="AH20" s="6">
        <f t="shared" si="15"/>
        <v>0</v>
      </c>
      <c r="AI20" s="6">
        <f t="shared" si="16"/>
        <v>0</v>
      </c>
      <c r="AL20" s="5" t="str">
        <f t="shared" si="17"/>
        <v>BIO</v>
      </c>
      <c r="AM20" s="5">
        <f>1</f>
        <v>1</v>
      </c>
    </row>
    <row r="21" spans="1:39" s="5" customFormat="1" x14ac:dyDescent="0.3">
      <c r="C21" s="4" t="s">
        <v>30</v>
      </c>
      <c r="D21" s="5" t="s">
        <v>31</v>
      </c>
      <c r="E21" s="5" t="s">
        <v>707</v>
      </c>
      <c r="F21" s="5" t="s">
        <v>1588</v>
      </c>
      <c r="G21" s="5">
        <v>1</v>
      </c>
      <c r="H21" s="6">
        <f>(IF(SUMIFS('Industrial Summary'!$G:$G,'Industrial Summary'!$F:$F,H$17,'Industrial Summary'!$D:$D,$E21)&gt;0,((-SUMIFS('Industrial Summary'!$G:$G,'Industrial Summary'!$F:$F,H$17,'Industrial Summary'!$D:$D,$E21,'Industrial Summary'!$A:$A,"ELC")+-SUMIFS('Industrial Summary'!$G:$G,'Industrial Summary'!$F:$F,H$17,'Industrial Summary'!$D:$D,"IFDFSTM",'Industrial Summary'!$A:$A,"ELC"))/SUMIFS('Industrial Summary'!$G:$G,'Industrial Summary'!$F:$F,H$17,'Industrial Summary'!$D:$D,$E21)),0))*0.98</f>
        <v>-4.93600461753919E-2</v>
      </c>
      <c r="I21" s="6">
        <f>(IF(SUMIFS('Industrial Summary'!$G:$G,'Industrial Summary'!$F:$F,I$17,'Industrial Summary'!$D:$D,$E21)&gt;0,((-SUMIFS('Industrial Summary'!$G:$G,'Industrial Summary'!$F:$F,I$17,'Industrial Summary'!$D:$D,$E21,'Industrial Summary'!$A:$A,"ELC")+-SUMIFS('Industrial Summary'!$G:$G,'Industrial Summary'!$F:$F,I$17,'Industrial Summary'!$D:$D,"IFDFSTM",'Industrial Summary'!$A:$A,"ELC"))/SUMIFS('Industrial Summary'!$G:$G,'Industrial Summary'!$F:$F,I$17,'Industrial Summary'!$D:$D,$E21)),0))*0.98</f>
        <v>-5.5348419697864915E-2</v>
      </c>
      <c r="J21" s="6">
        <f>(IF(SUMIFS('Industrial Summary'!$G:$G,'Industrial Summary'!$F:$F,J$17,'Industrial Summary'!$D:$D,$E21)&gt;0,((-SUMIFS('Industrial Summary'!$G:$G,'Industrial Summary'!$F:$F,J$17,'Industrial Summary'!$D:$D,$E21,'Industrial Summary'!$A:$A,"ELC")+-SUMIFS('Industrial Summary'!$G:$G,'Industrial Summary'!$F:$F,J$17,'Industrial Summary'!$D:$D,"IFDFSTM",'Industrial Summary'!$A:$A,"ELC"))/SUMIFS('Industrial Summary'!$G:$G,'Industrial Summary'!$F:$F,J$17,'Industrial Summary'!$D:$D,$E21)),0))*0.98</f>
        <v>-2.4687584284985326E-2</v>
      </c>
      <c r="K21" s="6">
        <f>(IF(SUMIFS('Industrial Summary'!$G:$G,'Industrial Summary'!$F:$F,K$17,'Industrial Summary'!$D:$D,$E21)&gt;0,((-SUMIFS('Industrial Summary'!$G:$G,'Industrial Summary'!$F:$F,K$17,'Industrial Summary'!$D:$D,$E21,'Industrial Summary'!$A:$A,"ELC")+-SUMIFS('Industrial Summary'!$G:$G,'Industrial Summary'!$F:$F,K$17,'Industrial Summary'!$D:$D,"IFDFSTM",'Industrial Summary'!$A:$A,"ELC"))/SUMIFS('Industrial Summary'!$G:$G,'Industrial Summary'!$F:$F,K$17,'Industrial Summary'!$D:$D,$E21)),0))*0.98</f>
        <v>-1.1623229807557672E-2</v>
      </c>
      <c r="L21" s="6">
        <f>(IF(SUMIFS('Industrial Summary'!$G:$G,'Industrial Summary'!$F:$F,L$17,'Industrial Summary'!$D:$D,$E21)&gt;0,((-SUMIFS('Industrial Summary'!$G:$G,'Industrial Summary'!$F:$F,L$17,'Industrial Summary'!$D:$D,$E21,'Industrial Summary'!$A:$A,"ELC")+-SUMIFS('Industrial Summary'!$G:$G,'Industrial Summary'!$F:$F,L$17,'Industrial Summary'!$D:$D,"IFDFSTM",'Industrial Summary'!$A:$A,"ELC"))/SUMIFS('Industrial Summary'!$G:$G,'Industrial Summary'!$F:$F,L$17,'Industrial Summary'!$D:$D,$E21)),0))*0.98</f>
        <v>-1.0565124202218683E-2</v>
      </c>
      <c r="M21" s="6">
        <f>(IF(SUMIFS('Industrial Summary'!$G:$G,'Industrial Summary'!$F:$F,M$17,'Industrial Summary'!$D:$D,$E21)&gt;0,((-SUMIFS('Industrial Summary'!$G:$G,'Industrial Summary'!$F:$F,M$17,'Industrial Summary'!$D:$D,$E21,'Industrial Summary'!$A:$A,"ELC")+-SUMIFS('Industrial Summary'!$G:$G,'Industrial Summary'!$F:$F,M$17,'Industrial Summary'!$D:$D,"IFDFSTM",'Industrial Summary'!$A:$A,"ELC"))/SUMIFS('Industrial Summary'!$G:$G,'Industrial Summary'!$F:$F,M$17,'Industrial Summary'!$D:$D,$E21)),0))*0.98</f>
        <v>-2.2965710763560982E-2</v>
      </c>
      <c r="N21" s="6">
        <f>(IF(SUMIFS('Industrial Summary'!$G:$G,'Industrial Summary'!$F:$F,N$17,'Industrial Summary'!$D:$D,$E21)&gt;0,((-SUMIFS('Industrial Summary'!$G:$G,'Industrial Summary'!$F:$F,N$17,'Industrial Summary'!$D:$D,$E21,'Industrial Summary'!$A:$A,"ELC")+-SUMIFS('Industrial Summary'!$G:$G,'Industrial Summary'!$F:$F,N$17,'Industrial Summary'!$D:$D,"IFDFSTM",'Industrial Summary'!$A:$A,"ELC"))/SUMIFS('Industrial Summary'!$G:$G,'Industrial Summary'!$F:$F,N$17,'Industrial Summary'!$D:$D,$E21)),0))*0.98</f>
        <v>-0.22216611702965039</v>
      </c>
      <c r="O21" s="6">
        <f>(IF(SUMIFS('Industrial Summary'!$G:$G,'Industrial Summary'!$F:$F,O$17,'Industrial Summary'!$D:$D,$E21)&gt;0,((-SUMIFS('Industrial Summary'!$G:$G,'Industrial Summary'!$F:$F,O$17,'Industrial Summary'!$D:$D,$E21,'Industrial Summary'!$A:$A,"ELC")+-SUMIFS('Industrial Summary'!$G:$G,'Industrial Summary'!$F:$F,O$17,'Industrial Summary'!$D:$D,"IFDFSTM",'Industrial Summary'!$A:$A,"ELC"))/SUMIFS('Industrial Summary'!$G:$G,'Industrial Summary'!$F:$F,O$17,'Industrial Summary'!$D:$D,$E21)),0))*0.98</f>
        <v>-6.5067146567058171E-2</v>
      </c>
      <c r="P21" s="6">
        <f>(IF(SUMIFS('Industrial Summary'!$G:$G,'Industrial Summary'!$F:$F,P$17,'Industrial Summary'!$D:$D,$E21)&gt;0,((-SUMIFS('Industrial Summary'!$G:$G,'Industrial Summary'!$F:$F,P$17,'Industrial Summary'!$D:$D,$E21,'Industrial Summary'!$A:$A,"ELC")+-SUMIFS('Industrial Summary'!$G:$G,'Industrial Summary'!$F:$F,P$17,'Industrial Summary'!$D:$D,"IFDFSTM",'Industrial Summary'!$A:$A,"ELC"))/SUMIFS('Industrial Summary'!$G:$G,'Industrial Summary'!$F:$F,P$17,'Industrial Summary'!$D:$D,$E21)),0))*0.98</f>
        <v>-1.0304791592470048E-2</v>
      </c>
      <c r="Q21" s="5">
        <v>0</v>
      </c>
      <c r="R21" s="5">
        <v>15</v>
      </c>
      <c r="S21" s="5" t="str">
        <f t="shared" si="2"/>
        <v>UC_IFDST_ELC</v>
      </c>
      <c r="V21" s="4" t="str">
        <f t="shared" si="4"/>
        <v>S_IFDSTELC</v>
      </c>
      <c r="W21" s="4" t="str">
        <f t="shared" si="5"/>
        <v>IFDST_ELC</v>
      </c>
      <c r="X21" s="4" t="str">
        <f t="shared" si="6"/>
        <v>IFDSTM</v>
      </c>
      <c r="Y21" s="5" t="str">
        <f t="shared" si="7"/>
        <v>LO</v>
      </c>
      <c r="Z21" s="5">
        <v>1</v>
      </c>
      <c r="AA21" s="6">
        <f t="shared" si="8"/>
        <v>-4.93600461753919E-2</v>
      </c>
      <c r="AB21" s="6">
        <f t="shared" si="9"/>
        <v>-5.5348419697864915E-2</v>
      </c>
      <c r="AC21" s="6">
        <f t="shared" si="10"/>
        <v>-2.4687584284985326E-2</v>
      </c>
      <c r="AD21" s="6">
        <f t="shared" si="11"/>
        <v>-1.1623229807557672E-2</v>
      </c>
      <c r="AE21" s="6">
        <f t="shared" si="12"/>
        <v>-1.0565124202218683E-2</v>
      </c>
      <c r="AF21" s="6">
        <f t="shared" si="13"/>
        <v>-2.2965710763560982E-2</v>
      </c>
      <c r="AG21" s="6">
        <f t="shared" si="14"/>
        <v>-0.22216611702965039</v>
      </c>
      <c r="AH21" s="6">
        <f t="shared" si="15"/>
        <v>-6.5067146567058171E-2</v>
      </c>
      <c r="AI21" s="6">
        <f t="shared" si="16"/>
        <v>-1.0304791592470048E-2</v>
      </c>
      <c r="AL21" s="5" t="str">
        <f t="shared" si="17"/>
        <v>ELC</v>
      </c>
      <c r="AM21" s="5">
        <f>1</f>
        <v>1</v>
      </c>
    </row>
    <row r="22" spans="1:39" s="5" customFormat="1" x14ac:dyDescent="0.3">
      <c r="C22" s="4" t="s">
        <v>32</v>
      </c>
      <c r="D22" s="5" t="s">
        <v>33</v>
      </c>
      <c r="E22" s="5" t="s">
        <v>707</v>
      </c>
      <c r="F22" s="5" t="s">
        <v>1588</v>
      </c>
      <c r="G22" s="5">
        <v>1</v>
      </c>
      <c r="H22" s="6">
        <f>(IF(SUMIFS('Industrial Summary'!$G:$G,'Industrial Summary'!$F:$F,H$17,'Industrial Summary'!$D:$D,$E22)&gt;0,((-SUMIFS('Industrial Summary'!$G:$G,'Industrial Summary'!$F:$F,H$17,'Industrial Summary'!$D:$D,$E22,'Industrial Summary'!$A:$A,"RFL")+-SUMIFS('Industrial Summary'!$G:$G,'Industrial Summary'!$F:$F,H$17,'Industrial Summary'!$D:$D,"IFDFSTM",'Industrial Summary'!$A:$A,"RFL"))/SUMIFS('Industrial Summary'!$G:$G,'Industrial Summary'!$F:$F,H$17,'Industrial Summary'!$D:$D,$E22)),0))*0.98</f>
        <v>-6.749905658304324E-2</v>
      </c>
      <c r="I22" s="6">
        <f>(IF(SUMIFS('Industrial Summary'!$G:$G,'Industrial Summary'!$F:$F,I$17,'Industrial Summary'!$D:$D,$E22)&gt;0,((-SUMIFS('Industrial Summary'!$G:$G,'Industrial Summary'!$F:$F,I$17,'Industrial Summary'!$D:$D,$E22,'Industrial Summary'!$A:$A,"RFL")+-SUMIFS('Industrial Summary'!$G:$G,'Industrial Summary'!$F:$F,I$17,'Industrial Summary'!$D:$D,"IFDFSTM",'Industrial Summary'!$A:$A,"RFL"))/SUMIFS('Industrial Summary'!$G:$G,'Industrial Summary'!$F:$F,I$17,'Industrial Summary'!$D:$D,$E22)),0))*0.98</f>
        <v>0</v>
      </c>
      <c r="J22" s="6">
        <f>(IF(SUMIFS('Industrial Summary'!$G:$G,'Industrial Summary'!$F:$F,J$17,'Industrial Summary'!$D:$D,$E22)&gt;0,((-SUMIFS('Industrial Summary'!$G:$G,'Industrial Summary'!$F:$F,J$17,'Industrial Summary'!$D:$D,$E22,'Industrial Summary'!$A:$A,"RFL")+-SUMIFS('Industrial Summary'!$G:$G,'Industrial Summary'!$F:$F,J$17,'Industrial Summary'!$D:$D,"IFDFSTM",'Industrial Summary'!$A:$A,"RFL"))/SUMIFS('Industrial Summary'!$G:$G,'Industrial Summary'!$F:$F,J$17,'Industrial Summary'!$D:$D,$E22)),0))*0.98</f>
        <v>0</v>
      </c>
      <c r="K22" s="6">
        <f>(IF(SUMIFS('Industrial Summary'!$G:$G,'Industrial Summary'!$F:$F,K$17,'Industrial Summary'!$D:$D,$E22)&gt;0,((-SUMIFS('Industrial Summary'!$G:$G,'Industrial Summary'!$F:$F,K$17,'Industrial Summary'!$D:$D,$E22,'Industrial Summary'!$A:$A,"RFL")+-SUMIFS('Industrial Summary'!$G:$G,'Industrial Summary'!$F:$F,K$17,'Industrial Summary'!$D:$D,"IFDFSTM",'Industrial Summary'!$A:$A,"RFL"))/SUMIFS('Industrial Summary'!$G:$G,'Industrial Summary'!$F:$F,K$17,'Industrial Summary'!$D:$D,$E22)),0))*0.98</f>
        <v>0</v>
      </c>
      <c r="L22" s="6">
        <f>(IF(SUMIFS('Industrial Summary'!$G:$G,'Industrial Summary'!$F:$F,L$17,'Industrial Summary'!$D:$D,$E22)&gt;0,((-SUMIFS('Industrial Summary'!$G:$G,'Industrial Summary'!$F:$F,L$17,'Industrial Summary'!$D:$D,$E22,'Industrial Summary'!$A:$A,"RFL")+-SUMIFS('Industrial Summary'!$G:$G,'Industrial Summary'!$F:$F,L$17,'Industrial Summary'!$D:$D,"IFDFSTM",'Industrial Summary'!$A:$A,"RFL"))/SUMIFS('Industrial Summary'!$G:$G,'Industrial Summary'!$F:$F,L$17,'Industrial Summary'!$D:$D,$E22)),0))*0.98</f>
        <v>0</v>
      </c>
      <c r="M22" s="6">
        <f>(IF(SUMIFS('Industrial Summary'!$G:$G,'Industrial Summary'!$F:$F,M$17,'Industrial Summary'!$D:$D,$E22)&gt;0,((-SUMIFS('Industrial Summary'!$G:$G,'Industrial Summary'!$F:$F,M$17,'Industrial Summary'!$D:$D,$E22,'Industrial Summary'!$A:$A,"RFL")+-SUMIFS('Industrial Summary'!$G:$G,'Industrial Summary'!$F:$F,M$17,'Industrial Summary'!$D:$D,"IFDFSTM",'Industrial Summary'!$A:$A,"RFL"))/SUMIFS('Industrial Summary'!$G:$G,'Industrial Summary'!$F:$F,M$17,'Industrial Summary'!$D:$D,$E22)),0))*0.98</f>
        <v>0</v>
      </c>
      <c r="N22" s="6">
        <f>(IF(SUMIFS('Industrial Summary'!$G:$G,'Industrial Summary'!$F:$F,N$17,'Industrial Summary'!$D:$D,$E22)&gt;0,((-SUMIFS('Industrial Summary'!$G:$G,'Industrial Summary'!$F:$F,N$17,'Industrial Summary'!$D:$D,$E22,'Industrial Summary'!$A:$A,"RFL")+-SUMIFS('Industrial Summary'!$G:$G,'Industrial Summary'!$F:$F,N$17,'Industrial Summary'!$D:$D,"IFDFSTM",'Industrial Summary'!$A:$A,"RFL"))/SUMIFS('Industrial Summary'!$G:$G,'Industrial Summary'!$F:$F,N$17,'Industrial Summary'!$D:$D,$E22)),0))*0.98</f>
        <v>0</v>
      </c>
      <c r="O22" s="6">
        <f>(IF(SUMIFS('Industrial Summary'!$G:$G,'Industrial Summary'!$F:$F,O$17,'Industrial Summary'!$D:$D,$E22)&gt;0,((-SUMIFS('Industrial Summary'!$G:$G,'Industrial Summary'!$F:$F,O$17,'Industrial Summary'!$D:$D,$E22,'Industrial Summary'!$A:$A,"RFL")+-SUMIFS('Industrial Summary'!$G:$G,'Industrial Summary'!$F:$F,O$17,'Industrial Summary'!$D:$D,"IFDFSTM",'Industrial Summary'!$A:$A,"RFL"))/SUMIFS('Industrial Summary'!$G:$G,'Industrial Summary'!$F:$F,O$17,'Industrial Summary'!$D:$D,$E22)),0))*0.98</f>
        <v>0</v>
      </c>
      <c r="P22" s="6">
        <f>(IF(SUMIFS('Industrial Summary'!$G:$G,'Industrial Summary'!$F:$F,P$17,'Industrial Summary'!$D:$D,$E22)&gt;0,((-SUMIFS('Industrial Summary'!$G:$G,'Industrial Summary'!$F:$F,P$17,'Industrial Summary'!$D:$D,$E22,'Industrial Summary'!$A:$A,"RFL")+-SUMIFS('Industrial Summary'!$G:$G,'Industrial Summary'!$F:$F,P$17,'Industrial Summary'!$D:$D,"IFDFSTM",'Industrial Summary'!$A:$A,"RFL"))/SUMIFS('Industrial Summary'!$G:$G,'Industrial Summary'!$F:$F,P$17,'Industrial Summary'!$D:$D,$E22)),0))*0.98</f>
        <v>0</v>
      </c>
      <c r="Q22" s="5">
        <v>0</v>
      </c>
      <c r="R22" s="5">
        <v>15</v>
      </c>
      <c r="S22" s="5" t="str">
        <f t="shared" si="2"/>
        <v>UC_IFDST_RFL</v>
      </c>
      <c r="V22" s="4" t="str">
        <f t="shared" si="4"/>
        <v>S_IFDSTRFL</v>
      </c>
      <c r="W22" s="4" t="str">
        <f t="shared" si="5"/>
        <v>IFDST_RFL</v>
      </c>
      <c r="X22" s="4" t="str">
        <f t="shared" si="6"/>
        <v>IFDSTM</v>
      </c>
      <c r="Y22" s="5" t="str">
        <f t="shared" si="7"/>
        <v>LO</v>
      </c>
      <c r="Z22" s="5">
        <v>1</v>
      </c>
      <c r="AA22" s="6">
        <f t="shared" si="8"/>
        <v>-6.749905658304324E-2</v>
      </c>
      <c r="AB22" s="6">
        <f t="shared" si="9"/>
        <v>0</v>
      </c>
      <c r="AC22" s="6">
        <f t="shared" si="10"/>
        <v>0</v>
      </c>
      <c r="AD22" s="6">
        <f t="shared" si="11"/>
        <v>0</v>
      </c>
      <c r="AE22" s="6">
        <f t="shared" si="12"/>
        <v>0</v>
      </c>
      <c r="AF22" s="6">
        <f t="shared" si="13"/>
        <v>0</v>
      </c>
      <c r="AG22" s="6">
        <f t="shared" si="14"/>
        <v>0</v>
      </c>
      <c r="AH22" s="6">
        <f t="shared" si="15"/>
        <v>0</v>
      </c>
      <c r="AI22" s="6">
        <f t="shared" si="16"/>
        <v>0</v>
      </c>
      <c r="AL22" s="5" t="str">
        <f t="shared" si="17"/>
        <v>RFL</v>
      </c>
      <c r="AM22" s="5">
        <f>1</f>
        <v>1</v>
      </c>
    </row>
    <row r="23" spans="1:39" s="5" customFormat="1" x14ac:dyDescent="0.3">
      <c r="C23" s="4" t="s">
        <v>34</v>
      </c>
      <c r="D23" s="5" t="s">
        <v>35</v>
      </c>
      <c r="E23" s="5" t="s">
        <v>707</v>
      </c>
      <c r="F23" s="5" t="s">
        <v>1588</v>
      </c>
      <c r="G23" s="5">
        <v>1</v>
      </c>
      <c r="H23" s="6">
        <f>(IF(SUMIFS('Industrial Summary'!$G:$G,'Industrial Summary'!$F:$F,H$17,'Industrial Summary'!$D:$D,$E23)&gt;0,((-SUMIFS('Industrial Summary'!$G:$G,'Industrial Summary'!$F:$F,H$17,'Industrial Summary'!$D:$D,$E23,'Industrial Summary'!$A:$A,"DST")+-SUMIFS('Industrial Summary'!$G:$G,'Industrial Summary'!$F:$F,H$17,'Industrial Summary'!$D:$D,"IFDFSTM",'Industrial Summary'!$A:$A,"DST"))/SUMIFS('Industrial Summary'!$G:$G,'Industrial Summary'!$F:$F,H$17,'Industrial Summary'!$D:$D,$E23)),0))*0.98</f>
        <v>-8.3222865811429542E-2</v>
      </c>
      <c r="I23" s="6">
        <f>(IF(SUMIFS('Industrial Summary'!$G:$G,'Industrial Summary'!$F:$F,I$17,'Industrial Summary'!$D:$D,$E23)&gt;0,((-SUMIFS('Industrial Summary'!$G:$G,'Industrial Summary'!$F:$F,I$17,'Industrial Summary'!$D:$D,$E23,'Industrial Summary'!$A:$A,"DST")+-SUMIFS('Industrial Summary'!$G:$G,'Industrial Summary'!$F:$F,I$17,'Industrial Summary'!$D:$D,"IFDFSTM",'Industrial Summary'!$A:$A,"DST"))/SUMIFS('Industrial Summary'!$G:$G,'Industrial Summary'!$F:$F,I$17,'Industrial Summary'!$D:$D,$E23)),0))*0.98</f>
        <v>0</v>
      </c>
      <c r="J23" s="6">
        <f>(IF(SUMIFS('Industrial Summary'!$G:$G,'Industrial Summary'!$F:$F,J$17,'Industrial Summary'!$D:$D,$E23)&gt;0,((-SUMIFS('Industrial Summary'!$G:$G,'Industrial Summary'!$F:$F,J$17,'Industrial Summary'!$D:$D,$E23,'Industrial Summary'!$A:$A,"DST")+-SUMIFS('Industrial Summary'!$G:$G,'Industrial Summary'!$F:$F,J$17,'Industrial Summary'!$D:$D,"IFDFSTM",'Industrial Summary'!$A:$A,"DST"))/SUMIFS('Industrial Summary'!$G:$G,'Industrial Summary'!$F:$F,J$17,'Industrial Summary'!$D:$D,$E23)),0))*0.98</f>
        <v>0</v>
      </c>
      <c r="K23" s="6">
        <f>(IF(SUMIFS('Industrial Summary'!$G:$G,'Industrial Summary'!$F:$F,K$17,'Industrial Summary'!$D:$D,$E23)&gt;0,((-SUMIFS('Industrial Summary'!$G:$G,'Industrial Summary'!$F:$F,K$17,'Industrial Summary'!$D:$D,$E23,'Industrial Summary'!$A:$A,"DST")+-SUMIFS('Industrial Summary'!$G:$G,'Industrial Summary'!$F:$F,K$17,'Industrial Summary'!$D:$D,"IFDFSTM",'Industrial Summary'!$A:$A,"DST"))/SUMIFS('Industrial Summary'!$G:$G,'Industrial Summary'!$F:$F,K$17,'Industrial Summary'!$D:$D,$E23)),0))*0.98</f>
        <v>0</v>
      </c>
      <c r="L23" s="6">
        <f>(IF(SUMIFS('Industrial Summary'!$G:$G,'Industrial Summary'!$F:$F,L$17,'Industrial Summary'!$D:$D,$E23)&gt;0,((-SUMIFS('Industrial Summary'!$G:$G,'Industrial Summary'!$F:$F,L$17,'Industrial Summary'!$D:$D,$E23,'Industrial Summary'!$A:$A,"DST")+-SUMIFS('Industrial Summary'!$G:$G,'Industrial Summary'!$F:$F,L$17,'Industrial Summary'!$D:$D,"IFDFSTM",'Industrial Summary'!$A:$A,"DST"))/SUMIFS('Industrial Summary'!$G:$G,'Industrial Summary'!$F:$F,L$17,'Industrial Summary'!$D:$D,$E23)),0))*0.98</f>
        <v>0</v>
      </c>
      <c r="M23" s="6">
        <f>(IF(SUMIFS('Industrial Summary'!$G:$G,'Industrial Summary'!$F:$F,M$17,'Industrial Summary'!$D:$D,$E23)&gt;0,((-SUMIFS('Industrial Summary'!$G:$G,'Industrial Summary'!$F:$F,M$17,'Industrial Summary'!$D:$D,$E23,'Industrial Summary'!$A:$A,"DST")+-SUMIFS('Industrial Summary'!$G:$G,'Industrial Summary'!$F:$F,M$17,'Industrial Summary'!$D:$D,"IFDFSTM",'Industrial Summary'!$A:$A,"DST"))/SUMIFS('Industrial Summary'!$G:$G,'Industrial Summary'!$F:$F,M$17,'Industrial Summary'!$D:$D,$E23)),0))*0.98</f>
        <v>0</v>
      </c>
      <c r="N23" s="6">
        <f>(IF(SUMIFS('Industrial Summary'!$G:$G,'Industrial Summary'!$F:$F,N$17,'Industrial Summary'!$D:$D,$E23)&gt;0,((-SUMIFS('Industrial Summary'!$G:$G,'Industrial Summary'!$F:$F,N$17,'Industrial Summary'!$D:$D,$E23,'Industrial Summary'!$A:$A,"DST")+-SUMIFS('Industrial Summary'!$G:$G,'Industrial Summary'!$F:$F,N$17,'Industrial Summary'!$D:$D,"IFDFSTM",'Industrial Summary'!$A:$A,"DST"))/SUMIFS('Industrial Summary'!$G:$G,'Industrial Summary'!$F:$F,N$17,'Industrial Summary'!$D:$D,$E23)),0))*0.98</f>
        <v>0</v>
      </c>
      <c r="O23" s="6">
        <f>(IF(SUMIFS('Industrial Summary'!$G:$G,'Industrial Summary'!$F:$F,O$17,'Industrial Summary'!$D:$D,$E23)&gt;0,((-SUMIFS('Industrial Summary'!$G:$G,'Industrial Summary'!$F:$F,O$17,'Industrial Summary'!$D:$D,$E23,'Industrial Summary'!$A:$A,"DST")+-SUMIFS('Industrial Summary'!$G:$G,'Industrial Summary'!$F:$F,O$17,'Industrial Summary'!$D:$D,"IFDFSTM",'Industrial Summary'!$A:$A,"DST"))/SUMIFS('Industrial Summary'!$G:$G,'Industrial Summary'!$F:$F,O$17,'Industrial Summary'!$D:$D,$E23)),0))*0.98</f>
        <v>0</v>
      </c>
      <c r="P23" s="6">
        <f>(IF(SUMIFS('Industrial Summary'!$G:$G,'Industrial Summary'!$F:$F,P$17,'Industrial Summary'!$D:$D,$E23)&gt;0,((-SUMIFS('Industrial Summary'!$G:$G,'Industrial Summary'!$F:$F,P$17,'Industrial Summary'!$D:$D,$E23,'Industrial Summary'!$A:$A,"DST")+-SUMIFS('Industrial Summary'!$G:$G,'Industrial Summary'!$F:$F,P$17,'Industrial Summary'!$D:$D,"IFDFSTM",'Industrial Summary'!$A:$A,"DST"))/SUMIFS('Industrial Summary'!$G:$G,'Industrial Summary'!$F:$F,P$17,'Industrial Summary'!$D:$D,$E23)),0))*0.98</f>
        <v>0</v>
      </c>
      <c r="Q23" s="5">
        <v>0</v>
      </c>
      <c r="R23" s="5">
        <v>15</v>
      </c>
      <c r="S23" s="5" t="str">
        <f t="shared" si="2"/>
        <v>UC_IFDST_DST</v>
      </c>
      <c r="V23" s="4" t="str">
        <f t="shared" si="4"/>
        <v>S_IFDSTDST</v>
      </c>
      <c r="W23" s="4" t="str">
        <f t="shared" si="5"/>
        <v>IFDST_DST</v>
      </c>
      <c r="X23" s="4" t="str">
        <f t="shared" si="6"/>
        <v>IFDSTM</v>
      </c>
      <c r="Y23" s="5" t="str">
        <f t="shared" si="7"/>
        <v>LO</v>
      </c>
      <c r="Z23" s="5">
        <v>1</v>
      </c>
      <c r="AA23" s="6">
        <f t="shared" si="8"/>
        <v>-8.3222865811429542E-2</v>
      </c>
      <c r="AB23" s="6">
        <f t="shared" si="9"/>
        <v>0</v>
      </c>
      <c r="AC23" s="6">
        <f t="shared" si="10"/>
        <v>0</v>
      </c>
      <c r="AD23" s="6">
        <f t="shared" si="11"/>
        <v>0</v>
      </c>
      <c r="AE23" s="6">
        <f t="shared" si="12"/>
        <v>0</v>
      </c>
      <c r="AF23" s="6">
        <f t="shared" si="13"/>
        <v>0</v>
      </c>
      <c r="AG23" s="6">
        <f t="shared" si="14"/>
        <v>0</v>
      </c>
      <c r="AH23" s="6">
        <f t="shared" si="15"/>
        <v>0</v>
      </c>
      <c r="AI23" s="6">
        <f t="shared" si="16"/>
        <v>0</v>
      </c>
      <c r="AL23" s="5" t="str">
        <f t="shared" si="17"/>
        <v>DST</v>
      </c>
      <c r="AM23" s="5">
        <f>1</f>
        <v>1</v>
      </c>
    </row>
    <row r="24" spans="1:39" s="5" customFormat="1" x14ac:dyDescent="0.3">
      <c r="C24" s="4" t="s">
        <v>36</v>
      </c>
      <c r="D24" s="5" t="s">
        <v>37</v>
      </c>
      <c r="E24" s="5" t="s">
        <v>707</v>
      </c>
      <c r="F24" s="5" t="s">
        <v>1588</v>
      </c>
      <c r="G24" s="5">
        <v>1</v>
      </c>
      <c r="H24" s="6">
        <f>(IF(SUMIFS('Industrial Summary'!$G:$G,'Industrial Summary'!$F:$F,H$17,'Industrial Summary'!$D:$D,$E24)&gt;0,((-SUMIFS('Industrial Summary'!$G:$G,'Industrial Summary'!$F:$F,H$17,'Industrial Summary'!$D:$D,$E24,'Industrial Summary'!$A:$A,"NGA")+-SUMIFS('Industrial Summary'!$G:$G,'Industrial Summary'!$F:$F,H$17,'Industrial Summary'!$D:$D,"IFDFSTM",'Industrial Summary'!$A:$A,"NGA"))/SUMIFS('Industrial Summary'!$G:$G,'Industrial Summary'!$F:$F,H$17,'Industrial Summary'!$D:$D,$E24)),0))*0.98</f>
        <v>-0.77715738740019946</v>
      </c>
      <c r="I24" s="6">
        <f>(IF(SUMIFS('Industrial Summary'!$G:$G,'Industrial Summary'!$F:$F,I$17,'Industrial Summary'!$D:$D,$E24)&gt;0,((-SUMIFS('Industrial Summary'!$G:$G,'Industrial Summary'!$F:$F,I$17,'Industrial Summary'!$D:$D,$E24,'Industrial Summary'!$A:$A,"NGA")+-SUMIFS('Industrial Summary'!$G:$G,'Industrial Summary'!$F:$F,I$17,'Industrial Summary'!$D:$D,"IFDFSTM",'Industrial Summary'!$A:$A,"NGA"))/SUMIFS('Industrial Summary'!$G:$G,'Industrial Summary'!$F:$F,I$17,'Industrial Summary'!$D:$D,$E24)),0))*0.98</f>
        <v>-0.87736153978014075</v>
      </c>
      <c r="J24" s="6">
        <f>(IF(SUMIFS('Industrial Summary'!$G:$G,'Industrial Summary'!$F:$F,J$17,'Industrial Summary'!$D:$D,$E24)&gt;0,((-SUMIFS('Industrial Summary'!$G:$G,'Industrial Summary'!$F:$F,J$17,'Industrial Summary'!$D:$D,$E24,'Industrial Summary'!$A:$A,"NGA")+-SUMIFS('Industrial Summary'!$G:$G,'Industrial Summary'!$F:$F,J$17,'Industrial Summary'!$D:$D,"IFDFSTM",'Industrial Summary'!$A:$A,"NGA"))/SUMIFS('Industrial Summary'!$G:$G,'Industrial Summary'!$F:$F,J$17,'Industrial Summary'!$D:$D,$E24)),0))*0.98</f>
        <v>-0.58836464760448903</v>
      </c>
      <c r="K24" s="6">
        <f>(IF(SUMIFS('Industrial Summary'!$G:$G,'Industrial Summary'!$F:$F,K$17,'Industrial Summary'!$D:$D,$E24)&gt;0,((-SUMIFS('Industrial Summary'!$G:$G,'Industrial Summary'!$F:$F,K$17,'Industrial Summary'!$D:$D,$E24,'Industrial Summary'!$A:$A,"NGA")+-SUMIFS('Industrial Summary'!$G:$G,'Industrial Summary'!$F:$F,K$17,'Industrial Summary'!$D:$D,"IFDFSTM",'Industrial Summary'!$A:$A,"NGA"))/SUMIFS('Industrial Summary'!$G:$G,'Industrial Summary'!$F:$F,K$17,'Industrial Summary'!$D:$D,$E24)),0))*0.98</f>
        <v>-0.73966074120308578</v>
      </c>
      <c r="L24" s="6">
        <f>(IF(SUMIFS('Industrial Summary'!$G:$G,'Industrial Summary'!$F:$F,L$17,'Industrial Summary'!$D:$D,$E24)&gt;0,((-SUMIFS('Industrial Summary'!$G:$G,'Industrial Summary'!$F:$F,L$17,'Industrial Summary'!$D:$D,$E24,'Industrial Summary'!$A:$A,"NGA")+-SUMIFS('Industrial Summary'!$G:$G,'Industrial Summary'!$F:$F,L$17,'Industrial Summary'!$D:$D,"IFDFSTM",'Industrial Summary'!$A:$A,"NGA"))/SUMIFS('Industrial Summary'!$G:$G,'Industrial Summary'!$F:$F,L$17,'Industrial Summary'!$D:$D,$E24)),0))*0.98</f>
        <v>-0.32791351518159728</v>
      </c>
      <c r="M24" s="6">
        <f>(IF(SUMIFS('Industrial Summary'!$G:$G,'Industrial Summary'!$F:$F,M$17,'Industrial Summary'!$D:$D,$E24)&gt;0,((-SUMIFS('Industrial Summary'!$G:$G,'Industrial Summary'!$F:$F,M$17,'Industrial Summary'!$D:$D,$E24,'Industrial Summary'!$A:$A,"NGA")+-SUMIFS('Industrial Summary'!$G:$G,'Industrial Summary'!$F:$F,M$17,'Industrial Summary'!$D:$D,"IFDFSTM",'Industrial Summary'!$A:$A,"NGA"))/SUMIFS('Industrial Summary'!$G:$G,'Industrial Summary'!$F:$F,M$17,'Industrial Summary'!$D:$D,$E24)),0))*0.98</f>
        <v>-0.88655923446508622</v>
      </c>
      <c r="N24" s="6">
        <f>(IF(SUMIFS('Industrial Summary'!$G:$G,'Industrial Summary'!$F:$F,N$17,'Industrial Summary'!$D:$D,$E24)&gt;0,((-SUMIFS('Industrial Summary'!$G:$G,'Industrial Summary'!$F:$F,N$17,'Industrial Summary'!$D:$D,$E24,'Industrial Summary'!$A:$A,"NGA")+-SUMIFS('Industrial Summary'!$G:$G,'Industrial Summary'!$F:$F,N$17,'Industrial Summary'!$D:$D,"IFDFSTM",'Industrial Summary'!$A:$A,"NGA"))/SUMIFS('Industrial Summary'!$G:$G,'Industrial Summary'!$F:$F,N$17,'Industrial Summary'!$D:$D,$E24)),0))*0.98</f>
        <v>-0.75783388297034959</v>
      </c>
      <c r="O24" s="6">
        <f>(IF(SUMIFS('Industrial Summary'!$G:$G,'Industrial Summary'!$F:$F,O$17,'Industrial Summary'!$D:$D,$E24)&gt;0,((-SUMIFS('Industrial Summary'!$G:$G,'Industrial Summary'!$F:$F,O$17,'Industrial Summary'!$D:$D,$E24,'Industrial Summary'!$A:$A,"NGA")+-SUMIFS('Industrial Summary'!$G:$G,'Industrial Summary'!$F:$F,O$17,'Industrial Summary'!$D:$D,"IFDFSTM",'Industrial Summary'!$A:$A,"NGA"))/SUMIFS('Industrial Summary'!$G:$G,'Industrial Summary'!$F:$F,O$17,'Industrial Summary'!$D:$D,$E24)),0))*0.98</f>
        <v>-0.53593575763923629</v>
      </c>
      <c r="P24" s="6">
        <f>(IF(SUMIFS('Industrial Summary'!$G:$G,'Industrial Summary'!$F:$F,P$17,'Industrial Summary'!$D:$D,$E24)&gt;0,((-SUMIFS('Industrial Summary'!$G:$G,'Industrial Summary'!$F:$F,P$17,'Industrial Summary'!$D:$D,$E24,'Industrial Summary'!$A:$A,"NGA")+-SUMIFS('Industrial Summary'!$G:$G,'Industrial Summary'!$F:$F,P$17,'Industrial Summary'!$D:$D,"IFDFSTM",'Industrial Summary'!$A:$A,"NGA"))/SUMIFS('Industrial Summary'!$G:$G,'Industrial Summary'!$F:$F,P$17,'Industrial Summary'!$D:$D,$E24)),0))*0.98</f>
        <v>-0.84170957445586425</v>
      </c>
      <c r="Q24" s="5">
        <v>0</v>
      </c>
      <c r="R24" s="5">
        <v>15</v>
      </c>
      <c r="S24" s="5" t="str">
        <f t="shared" si="2"/>
        <v>UC_IFDST_NGA</v>
      </c>
      <c r="V24" s="4" t="str">
        <f t="shared" si="4"/>
        <v>S_IFDSTNGA</v>
      </c>
      <c r="W24" s="4" t="str">
        <f t="shared" si="5"/>
        <v>IFDST_NGA</v>
      </c>
      <c r="X24" s="4" t="str">
        <f t="shared" si="6"/>
        <v>IFDSTM</v>
      </c>
      <c r="Y24" s="5" t="str">
        <f t="shared" si="7"/>
        <v>LO</v>
      </c>
      <c r="Z24" s="5">
        <v>1</v>
      </c>
      <c r="AA24" s="6">
        <f t="shared" si="8"/>
        <v>-0.55955331892814364</v>
      </c>
      <c r="AB24" s="6">
        <f t="shared" si="9"/>
        <v>-0.63170030864170135</v>
      </c>
      <c r="AC24" s="6">
        <f t="shared" si="10"/>
        <v>-0.4236225462752321</v>
      </c>
      <c r="AD24" s="6">
        <f t="shared" si="11"/>
        <v>-0.53255573366622178</v>
      </c>
      <c r="AE24" s="6">
        <f t="shared" si="12"/>
        <v>-0.23609773093075004</v>
      </c>
      <c r="AF24" s="6">
        <f t="shared" si="13"/>
        <v>-0.638322648814862</v>
      </c>
      <c r="AG24" s="6">
        <f t="shared" si="14"/>
        <v>-0.54564039573865164</v>
      </c>
      <c r="AH24" s="6">
        <f t="shared" si="15"/>
        <v>-0.38587374550025011</v>
      </c>
      <c r="AI24" s="6">
        <f t="shared" si="16"/>
        <v>-0.60603089360822227</v>
      </c>
      <c r="AL24" s="5" t="str">
        <f t="shared" si="17"/>
        <v>NGA</v>
      </c>
      <c r="AM24" s="5">
        <f>Y5</f>
        <v>0.72</v>
      </c>
    </row>
    <row r="25" spans="1:39" s="5" customFormat="1" x14ac:dyDescent="0.3">
      <c r="A25" s="8"/>
      <c r="C25" s="4" t="s">
        <v>38</v>
      </c>
      <c r="D25" s="5" t="s">
        <v>39</v>
      </c>
      <c r="E25" s="5" t="s">
        <v>707</v>
      </c>
      <c r="F25" s="5" t="s">
        <v>1591</v>
      </c>
      <c r="G25" s="5">
        <v>1</v>
      </c>
      <c r="H25" s="6">
        <f>(IF(SUMIFS('Industrial Summary'!$G:$G,'Industrial Summary'!$F:$F,H$17,'Industrial Summary'!$D:$D,$E25)&gt;0,((-SUMIFS('Industrial Summary'!$G:$G,'Industrial Summary'!$F:$F,H$17,'Industrial Summary'!$D:$D,$E25,'Industrial Summary'!$A:$A,"COA")+-SUMIFS('Industrial Summary'!$G:$G,'Industrial Summary'!$F:$F,H$17,'Industrial Summary'!$D:$D,"IFDFSTM",'Industrial Summary'!$A:$A,"COA"))/SUMIFS('Industrial Summary'!$G:$G,'Industrial Summary'!$F:$F,H$17,'Industrial Summary'!$D:$D,$E25)),0))*0.98</f>
        <v>0</v>
      </c>
      <c r="I25" s="6">
        <f>(IF(SUMIFS('Industrial Summary'!$G:$G,'Industrial Summary'!$F:$F,I$17,'Industrial Summary'!$D:$D,$E25)&gt;0,((-SUMIFS('Industrial Summary'!$G:$G,'Industrial Summary'!$F:$F,I$17,'Industrial Summary'!$D:$D,$E25,'Industrial Summary'!$A:$A,"COA")+-SUMIFS('Industrial Summary'!$G:$G,'Industrial Summary'!$F:$F,I$17,'Industrial Summary'!$D:$D,"IFDFSTM",'Industrial Summary'!$A:$A,"COA"))/SUMIFS('Industrial Summary'!$G:$G,'Industrial Summary'!$F:$F,I$17,'Industrial Summary'!$D:$D,$E25)),0))*0.98</f>
        <v>-4.7290040521994224E-2</v>
      </c>
      <c r="J25" s="6">
        <f>(IF(SUMIFS('Industrial Summary'!$G:$G,'Industrial Summary'!$F:$F,J$17,'Industrial Summary'!$D:$D,$E25)&gt;0,((-SUMIFS('Industrial Summary'!$G:$G,'Industrial Summary'!$F:$F,J$17,'Industrial Summary'!$D:$D,$E25,'Industrial Summary'!$A:$A,"COA")+-SUMIFS('Industrial Summary'!$G:$G,'Industrial Summary'!$F:$F,J$17,'Industrial Summary'!$D:$D,"IFDFSTM",'Industrial Summary'!$A:$A,"COA"))/SUMIFS('Industrial Summary'!$G:$G,'Industrial Summary'!$F:$F,J$17,'Industrial Summary'!$D:$D,$E25)),0))*0.98</f>
        <v>-0.36694776811052515</v>
      </c>
      <c r="K25" s="6">
        <f>(IF(SUMIFS('Industrial Summary'!$G:$G,'Industrial Summary'!$F:$F,K$17,'Industrial Summary'!$D:$D,$E25)&gt;0,((-SUMIFS('Industrial Summary'!$G:$G,'Industrial Summary'!$F:$F,K$17,'Industrial Summary'!$D:$D,$E25,'Industrial Summary'!$A:$A,"COA")+-SUMIFS('Industrial Summary'!$G:$G,'Industrial Summary'!$F:$F,K$17,'Industrial Summary'!$D:$D,"IFDFSTM",'Industrial Summary'!$A:$A,"COA"))/SUMIFS('Industrial Summary'!$G:$G,'Industrial Summary'!$F:$F,K$17,'Industrial Summary'!$D:$D,$E25)),0))*0.98</f>
        <v>-0.2287160289893567</v>
      </c>
      <c r="L25" s="6">
        <f>(IF(SUMIFS('Industrial Summary'!$G:$G,'Industrial Summary'!$F:$F,L$17,'Industrial Summary'!$D:$D,$E25)&gt;0,((-SUMIFS('Industrial Summary'!$G:$G,'Industrial Summary'!$F:$F,L$17,'Industrial Summary'!$D:$D,$E25,'Industrial Summary'!$A:$A,"COA")+-SUMIFS('Industrial Summary'!$G:$G,'Industrial Summary'!$F:$F,L$17,'Industrial Summary'!$D:$D,"IFDFSTM",'Industrial Summary'!$A:$A,"COA"))/SUMIFS('Industrial Summary'!$G:$G,'Industrial Summary'!$F:$F,L$17,'Industrial Summary'!$D:$D,$E25)),0))*0.98</f>
        <v>-0.64152136061618414</v>
      </c>
      <c r="M25" s="6">
        <f>(IF(SUMIFS('Industrial Summary'!$G:$G,'Industrial Summary'!$F:$F,M$17,'Industrial Summary'!$D:$D,$E25)&gt;0,((-SUMIFS('Industrial Summary'!$G:$G,'Industrial Summary'!$F:$F,M$17,'Industrial Summary'!$D:$D,$E25,'Industrial Summary'!$A:$A,"COA")+-SUMIFS('Industrial Summary'!$G:$G,'Industrial Summary'!$F:$F,M$17,'Industrial Summary'!$D:$D,"IFDFSTM",'Industrial Summary'!$A:$A,"COA"))/SUMIFS('Industrial Summary'!$G:$G,'Industrial Summary'!$F:$F,M$17,'Industrial Summary'!$D:$D,$E25)),0))*0.98</f>
        <v>-7.0475054771352824E-2</v>
      </c>
      <c r="N25" s="6">
        <f>(IF(SUMIFS('Industrial Summary'!$G:$G,'Industrial Summary'!$F:$F,N$17,'Industrial Summary'!$D:$D,$E25)&gt;0,((-SUMIFS('Industrial Summary'!$G:$G,'Industrial Summary'!$F:$F,N$17,'Industrial Summary'!$D:$D,$E25,'Industrial Summary'!$A:$A,"COA")+-SUMIFS('Industrial Summary'!$G:$G,'Industrial Summary'!$F:$F,N$17,'Industrial Summary'!$D:$D,"IFDFSTM",'Industrial Summary'!$A:$A,"COA"))/SUMIFS('Industrial Summary'!$G:$G,'Industrial Summary'!$F:$F,N$17,'Industrial Summary'!$D:$D,$E25)),0))*0.98</f>
        <v>0</v>
      </c>
      <c r="O25" s="6">
        <f>(IF(SUMIFS('Industrial Summary'!$G:$G,'Industrial Summary'!$F:$F,O$17,'Industrial Summary'!$D:$D,$E25)&gt;0,((-SUMIFS('Industrial Summary'!$G:$G,'Industrial Summary'!$F:$F,O$17,'Industrial Summary'!$D:$D,$E25,'Industrial Summary'!$A:$A,"COA")+-SUMIFS('Industrial Summary'!$G:$G,'Industrial Summary'!$F:$F,O$17,'Industrial Summary'!$D:$D,"IFDFSTM",'Industrial Summary'!$A:$A,"COA"))/SUMIFS('Industrial Summary'!$G:$G,'Industrial Summary'!$F:$F,O$17,'Industrial Summary'!$D:$D,$E25)),0))*0.98</f>
        <v>-0.37899709579370533</v>
      </c>
      <c r="P25" s="6">
        <f>(IF(SUMIFS('Industrial Summary'!$G:$G,'Industrial Summary'!$F:$F,P$17,'Industrial Summary'!$D:$D,$E25)&gt;0,((-SUMIFS('Industrial Summary'!$G:$G,'Industrial Summary'!$F:$F,P$17,'Industrial Summary'!$D:$D,$E25,'Industrial Summary'!$A:$A,"COA")+-SUMIFS('Industrial Summary'!$G:$G,'Industrial Summary'!$F:$F,P$17,'Industrial Summary'!$D:$D,"IFDFSTM",'Industrial Summary'!$A:$A,"COA"))/SUMIFS('Industrial Summary'!$G:$G,'Industrial Summary'!$F:$F,P$17,'Industrial Summary'!$D:$D,$E25)),0))*0.98</f>
        <v>-0.12798563395166532</v>
      </c>
      <c r="Q25" s="5">
        <v>0</v>
      </c>
      <c r="R25" s="5">
        <v>15</v>
      </c>
      <c r="S25" s="5" t="str">
        <f t="shared" si="2"/>
        <v>UC_IFDST_COA</v>
      </c>
      <c r="V25" s="4" t="str">
        <f t="shared" si="4"/>
        <v>S_IFDSTCOA</v>
      </c>
      <c r="W25" s="4" t="str">
        <f t="shared" si="5"/>
        <v>IFDST_COA</v>
      </c>
      <c r="X25" s="4" t="str">
        <f t="shared" si="6"/>
        <v>IFDSTM</v>
      </c>
      <c r="Y25" s="5" t="str">
        <f t="shared" si="7"/>
        <v>UP</v>
      </c>
      <c r="Z25" s="5">
        <v>1</v>
      </c>
      <c r="AA25" s="6">
        <f t="shared" si="8"/>
        <v>0</v>
      </c>
      <c r="AB25" s="6">
        <f t="shared" si="9"/>
        <v>-3.7832032417595383E-2</v>
      </c>
      <c r="AC25" s="6">
        <f t="shared" si="10"/>
        <v>-0.29355821448842012</v>
      </c>
      <c r="AD25" s="6">
        <f t="shared" si="11"/>
        <v>-0.18297282319148536</v>
      </c>
      <c r="AE25" s="6">
        <f t="shared" si="12"/>
        <v>-0.51321708849294734</v>
      </c>
      <c r="AF25" s="6">
        <f t="shared" si="13"/>
        <v>-5.6380043817082261E-2</v>
      </c>
      <c r="AG25" s="6">
        <f t="shared" si="14"/>
        <v>0</v>
      </c>
      <c r="AH25" s="6">
        <f t="shared" si="15"/>
        <v>-0.30319767663496427</v>
      </c>
      <c r="AI25" s="6">
        <f t="shared" si="16"/>
        <v>-0.10238850716133226</v>
      </c>
      <c r="AL25" s="5" t="str">
        <f t="shared" si="17"/>
        <v>COA</v>
      </c>
      <c r="AM25" s="5">
        <f>Z5</f>
        <v>0.8</v>
      </c>
    </row>
    <row r="26" spans="1:39" s="5" customFormat="1" x14ac:dyDescent="0.3">
      <c r="C26" s="4" t="s">
        <v>41</v>
      </c>
      <c r="D26" s="5" t="s">
        <v>42</v>
      </c>
      <c r="E26" s="5" t="s">
        <v>708</v>
      </c>
      <c r="F26" s="5" t="s">
        <v>1588</v>
      </c>
      <c r="G26" s="5">
        <v>1</v>
      </c>
      <c r="H26" s="6">
        <f>IF(SUMIFS('Industrial Summary'!$G:$G,'Industrial Summary'!$F:$F,H$17,'Industrial Summary'!$D:$D,$E26)&gt;0,(-SUMIFS('Industrial Summary'!$G:$G,'Industrial Summary'!$F:$F,H$17,'Industrial Summary'!$D:$D,$E26,'Industrial Summary'!$A:$A,"ELC")/SUMIFS('Industrial Summary'!$G:$G,'Industrial Summary'!$F:$F,H$17,'Industrial Summary'!$D:$D,$E26)),0)*0.98</f>
        <v>-8.9657252097256446E-2</v>
      </c>
      <c r="I26" s="6">
        <f>IF(SUMIFS('Industrial Summary'!$G:$G,'Industrial Summary'!$F:$F,I$17,'Industrial Summary'!$D:$D,$E26)&gt;0,(-SUMIFS('Industrial Summary'!$G:$G,'Industrial Summary'!$F:$F,I$17,'Industrial Summary'!$D:$D,$E26,'Industrial Summary'!$A:$A,"ELC")/SUMIFS('Industrial Summary'!$G:$G,'Industrial Summary'!$F:$F,I$17,'Industrial Summary'!$D:$D,$E26)),0)*0.98</f>
        <v>-8.9657252097256196E-2</v>
      </c>
      <c r="J26" s="6">
        <f>IF(SUMIFS('Industrial Summary'!$G:$G,'Industrial Summary'!$F:$F,J$17,'Industrial Summary'!$D:$D,$E26)&gt;0,(-SUMIFS('Industrial Summary'!$G:$G,'Industrial Summary'!$F:$F,J$17,'Industrial Summary'!$D:$D,$E26,'Industrial Summary'!$A:$A,"ELC")/SUMIFS('Industrial Summary'!$G:$G,'Industrial Summary'!$F:$F,J$17,'Industrial Summary'!$D:$D,$E26)),0)*0.98</f>
        <v>-0.10030697146657679</v>
      </c>
      <c r="K26" s="6">
        <f>IF(SUMIFS('Industrial Summary'!$G:$G,'Industrial Summary'!$F:$F,K$17,'Industrial Summary'!$D:$D,$E26)&gt;0,(-SUMIFS('Industrial Summary'!$G:$G,'Industrial Summary'!$F:$F,K$17,'Industrial Summary'!$D:$D,$E26,'Industrial Summary'!$A:$A,"ELC")/SUMIFS('Industrial Summary'!$G:$G,'Industrial Summary'!$F:$F,K$17,'Industrial Summary'!$D:$D,$E26)),0)*0.98</f>
        <v>-0.10669002036843668</v>
      </c>
      <c r="L26" s="6">
        <f>IF(SUMIFS('Industrial Summary'!$G:$G,'Industrial Summary'!$F:$F,L$17,'Industrial Summary'!$D:$D,$E26)&gt;0,(-SUMIFS('Industrial Summary'!$G:$G,'Industrial Summary'!$F:$F,L$17,'Industrial Summary'!$D:$D,$E26,'Industrial Summary'!$A:$A,"ELC")/SUMIFS('Industrial Summary'!$G:$G,'Industrial Summary'!$F:$F,L$17,'Industrial Summary'!$D:$D,$E26)),0)*0.98</f>
        <v>-0.13545689689048129</v>
      </c>
      <c r="M26" s="6">
        <f>IF(SUMIFS('Industrial Summary'!$G:$G,'Industrial Summary'!$F:$F,M$17,'Industrial Summary'!$D:$D,$E26)&gt;0,(-SUMIFS('Industrial Summary'!$G:$G,'Industrial Summary'!$F:$F,M$17,'Industrial Summary'!$D:$D,$E26,'Industrial Summary'!$A:$A,"ELC")/SUMIFS('Industrial Summary'!$G:$G,'Industrial Summary'!$F:$F,M$17,'Industrial Summary'!$D:$D,$E26)),0)*0.98</f>
        <v>-0.10836551751238578</v>
      </c>
      <c r="N26" s="6">
        <f>IF(SUMIFS('Industrial Summary'!$G:$G,'Industrial Summary'!$F:$F,N$17,'Industrial Summary'!$D:$D,$E26)&gt;0,(-SUMIFS('Industrial Summary'!$G:$G,'Industrial Summary'!$F:$F,N$17,'Industrial Summary'!$D:$D,$E26,'Industrial Summary'!$A:$A,"ELC")/SUMIFS('Industrial Summary'!$G:$G,'Industrial Summary'!$F:$F,N$17,'Industrial Summary'!$D:$D,$E26)),0)*0.98</f>
        <v>-0.10836551751238561</v>
      </c>
      <c r="O26" s="6">
        <f>IF(SUMIFS('Industrial Summary'!$G:$G,'Industrial Summary'!$F:$F,O$17,'Industrial Summary'!$D:$D,$E26)&gt;0,(-SUMIFS('Industrial Summary'!$G:$G,'Industrial Summary'!$F:$F,O$17,'Industrial Summary'!$D:$D,$E26,'Industrial Summary'!$A:$A,"ELC")/SUMIFS('Industrial Summary'!$G:$G,'Industrial Summary'!$F:$F,O$17,'Industrial Summary'!$D:$D,$E26)),0)*0.98</f>
        <v>-6.7582226643351756E-2</v>
      </c>
      <c r="P26" s="6">
        <f>IF(SUMIFS('Industrial Summary'!$G:$G,'Industrial Summary'!$F:$F,P$17,'Industrial Summary'!$D:$D,$E26)&gt;0,(-SUMIFS('Industrial Summary'!$G:$G,'Industrial Summary'!$F:$F,P$17,'Industrial Summary'!$D:$D,$E26,'Industrial Summary'!$A:$A,"ELC")/SUMIFS('Industrial Summary'!$G:$G,'Industrial Summary'!$F:$F,P$17,'Industrial Summary'!$D:$D,$E26)),0)*0.98</f>
        <v>-7.9508501933355472E-2</v>
      </c>
      <c r="Q26" s="5">
        <v>0</v>
      </c>
      <c r="R26" s="5">
        <v>15</v>
      </c>
      <c r="S26" s="5" t="str">
        <f t="shared" si="2"/>
        <v>UC_IFDPH_ELC</v>
      </c>
      <c r="V26" s="4" t="str">
        <f t="shared" si="4"/>
        <v>S_IFDPHELC</v>
      </c>
      <c r="W26" s="4" t="str">
        <f t="shared" si="5"/>
        <v>IFDPH_ELC</v>
      </c>
      <c r="X26" s="4" t="str">
        <f t="shared" si="6"/>
        <v>IFDPRH</v>
      </c>
      <c r="Y26" s="5" t="str">
        <f t="shared" si="7"/>
        <v>LO</v>
      </c>
      <c r="Z26" s="5">
        <v>1</v>
      </c>
      <c r="AA26" s="6">
        <f t="shared" si="8"/>
        <v>-8.9657252097256446E-2</v>
      </c>
      <c r="AB26" s="6">
        <f t="shared" si="9"/>
        <v>-8.9657252097256196E-2</v>
      </c>
      <c r="AC26" s="6">
        <f t="shared" si="10"/>
        <v>-0.10030697146657679</v>
      </c>
      <c r="AD26" s="6">
        <f t="shared" si="11"/>
        <v>-0.10669002036843668</v>
      </c>
      <c r="AE26" s="6">
        <f t="shared" si="12"/>
        <v>-0.13545689689048129</v>
      </c>
      <c r="AF26" s="6">
        <f t="shared" si="13"/>
        <v>-0.10836551751238578</v>
      </c>
      <c r="AG26" s="6">
        <f t="shared" si="14"/>
        <v>-0.10836551751238561</v>
      </c>
      <c r="AH26" s="6">
        <f t="shared" si="15"/>
        <v>-6.7582226643351756E-2</v>
      </c>
      <c r="AI26" s="6">
        <f t="shared" si="16"/>
        <v>-7.9508501933355472E-2</v>
      </c>
      <c r="AL26" s="5" t="str">
        <f t="shared" si="17"/>
        <v>ELC</v>
      </c>
      <c r="AM26" s="5">
        <f>1</f>
        <v>1</v>
      </c>
    </row>
    <row r="27" spans="1:39" s="5" customFormat="1" x14ac:dyDescent="0.3">
      <c r="C27" s="4" t="s">
        <v>43</v>
      </c>
      <c r="D27" s="5" t="s">
        <v>44</v>
      </c>
      <c r="E27" s="5" t="s">
        <v>708</v>
      </c>
      <c r="F27" s="5" t="s">
        <v>1588</v>
      </c>
      <c r="G27" s="5">
        <v>1</v>
      </c>
      <c r="H27" s="6">
        <f>IF(SUMIFS('Industrial Summary'!$G:$G,'Industrial Summary'!$F:$F,H$17,'Industrial Summary'!$D:$D,$E27)&gt;0,(-SUMIFS('Industrial Summary'!$G:$G,'Industrial Summary'!$F:$F,H$17,'Industrial Summary'!$D:$D,$E27,'Industrial Summary'!$A:$A,"RFL")/SUMIFS('Industrial Summary'!$G:$G,'Industrial Summary'!$F:$F,H$17,'Industrial Summary'!$D:$D,$E27)),0)*0.98</f>
        <v>-4.0003545719082007E-3</v>
      </c>
      <c r="I27" s="6">
        <f>IF(SUMIFS('Industrial Summary'!$G:$G,'Industrial Summary'!$F:$F,I$17,'Industrial Summary'!$D:$D,$E27)&gt;0,(-SUMIFS('Industrial Summary'!$G:$G,'Industrial Summary'!$F:$F,I$17,'Industrial Summary'!$D:$D,$E27,'Industrial Summary'!$A:$A,"RFL")/SUMIFS('Industrial Summary'!$G:$G,'Industrial Summary'!$F:$F,I$17,'Industrial Summary'!$D:$D,$E27)),0)*0.98</f>
        <v>-4.0003545719081894E-3</v>
      </c>
      <c r="J27" s="6">
        <f>IF(SUMIFS('Industrial Summary'!$G:$G,'Industrial Summary'!$F:$F,J$17,'Industrial Summary'!$D:$D,$E27)&gt;0,(-SUMIFS('Industrial Summary'!$G:$G,'Industrial Summary'!$F:$F,J$17,'Industrial Summary'!$D:$D,$E27,'Industrial Summary'!$A:$A,"RFL")/SUMIFS('Industrial Summary'!$G:$G,'Industrial Summary'!$F:$F,J$17,'Industrial Summary'!$D:$D,$E27)),0)*0.98</f>
        <v>0</v>
      </c>
      <c r="K27" s="6">
        <f>IF(SUMIFS('Industrial Summary'!$G:$G,'Industrial Summary'!$F:$F,K$17,'Industrial Summary'!$D:$D,$E27)&gt;0,(-SUMIFS('Industrial Summary'!$G:$G,'Industrial Summary'!$F:$F,K$17,'Industrial Summary'!$D:$D,$E27,'Industrial Summary'!$A:$A,"RFL")/SUMIFS('Industrial Summary'!$G:$G,'Industrial Summary'!$F:$F,K$17,'Industrial Summary'!$D:$D,$E27)),0)*0.98</f>
        <v>0</v>
      </c>
      <c r="L27" s="6">
        <f>IF(SUMIFS('Industrial Summary'!$G:$G,'Industrial Summary'!$F:$F,L$17,'Industrial Summary'!$D:$D,$E27)&gt;0,(-SUMIFS('Industrial Summary'!$G:$G,'Industrial Summary'!$F:$F,L$17,'Industrial Summary'!$D:$D,$E27,'Industrial Summary'!$A:$A,"RFL")/SUMIFS('Industrial Summary'!$G:$G,'Industrial Summary'!$F:$F,L$17,'Industrial Summary'!$D:$D,$E27)),0)*0.98</f>
        <v>0</v>
      </c>
      <c r="M27" s="6">
        <f>IF(SUMIFS('Industrial Summary'!$G:$G,'Industrial Summary'!$F:$F,M$17,'Industrial Summary'!$D:$D,$E27)&gt;0,(-SUMIFS('Industrial Summary'!$G:$G,'Industrial Summary'!$F:$F,M$17,'Industrial Summary'!$D:$D,$E27,'Industrial Summary'!$A:$A,"RFL")/SUMIFS('Industrial Summary'!$G:$G,'Industrial Summary'!$F:$F,M$17,'Industrial Summary'!$D:$D,$E27)),0)*0.98</f>
        <v>-2.9377735620959499E-3</v>
      </c>
      <c r="N27" s="6">
        <f>IF(SUMIFS('Industrial Summary'!$G:$G,'Industrial Summary'!$F:$F,N$17,'Industrial Summary'!$D:$D,$E27)&gt;0,(-SUMIFS('Industrial Summary'!$G:$G,'Industrial Summary'!$F:$F,N$17,'Industrial Summary'!$D:$D,$E27,'Industrial Summary'!$A:$A,"RFL")/SUMIFS('Industrial Summary'!$G:$G,'Industrial Summary'!$F:$F,N$17,'Industrial Summary'!$D:$D,$E27)),0)*0.98</f>
        <v>-2.9377735620959534E-3</v>
      </c>
      <c r="O27" s="6">
        <f>IF(SUMIFS('Industrial Summary'!$G:$G,'Industrial Summary'!$F:$F,O$17,'Industrial Summary'!$D:$D,$E27)&gt;0,(-SUMIFS('Industrial Summary'!$G:$G,'Industrial Summary'!$F:$F,O$17,'Industrial Summary'!$D:$D,$E27,'Industrial Summary'!$A:$A,"RFL")/SUMIFS('Industrial Summary'!$G:$G,'Industrial Summary'!$F:$F,O$17,'Industrial Summary'!$D:$D,$E27)),0)*0.98</f>
        <v>0</v>
      </c>
      <c r="P27" s="6">
        <f>IF(SUMIFS('Industrial Summary'!$G:$G,'Industrial Summary'!$F:$F,P$17,'Industrial Summary'!$D:$D,$E27)&gt;0,(-SUMIFS('Industrial Summary'!$G:$G,'Industrial Summary'!$F:$F,P$17,'Industrial Summary'!$D:$D,$E27,'Industrial Summary'!$A:$A,"RFL")/SUMIFS('Industrial Summary'!$G:$G,'Industrial Summary'!$F:$F,P$17,'Industrial Summary'!$D:$D,$E27)),0)*0.98</f>
        <v>0</v>
      </c>
      <c r="Q27" s="5">
        <v>0</v>
      </c>
      <c r="R27" s="5">
        <v>15</v>
      </c>
      <c r="S27" s="5" t="str">
        <f t="shared" si="2"/>
        <v>UC_IFDPH_RFL</v>
      </c>
      <c r="V27" s="4" t="str">
        <f t="shared" si="4"/>
        <v>S_IFDPHRFL</v>
      </c>
      <c r="W27" s="4" t="str">
        <f t="shared" si="5"/>
        <v>IFDPH_RFL</v>
      </c>
      <c r="X27" s="4" t="str">
        <f t="shared" si="6"/>
        <v>IFDPRH</v>
      </c>
      <c r="Y27" s="5" t="str">
        <f t="shared" si="7"/>
        <v>LO</v>
      </c>
      <c r="Z27" s="5">
        <v>1</v>
      </c>
      <c r="AA27" s="6">
        <f t="shared" si="8"/>
        <v>-4.0003545719082007E-3</v>
      </c>
      <c r="AB27" s="6">
        <f t="shared" si="9"/>
        <v>-4.0003545719081894E-3</v>
      </c>
      <c r="AC27" s="6">
        <f t="shared" si="10"/>
        <v>0</v>
      </c>
      <c r="AD27" s="6">
        <f t="shared" si="11"/>
        <v>0</v>
      </c>
      <c r="AE27" s="6">
        <f t="shared" si="12"/>
        <v>0</v>
      </c>
      <c r="AF27" s="6">
        <f t="shared" si="13"/>
        <v>-2.9377735620959499E-3</v>
      </c>
      <c r="AG27" s="6">
        <f t="shared" si="14"/>
        <v>-2.9377735620959534E-3</v>
      </c>
      <c r="AH27" s="6">
        <f t="shared" si="15"/>
        <v>0</v>
      </c>
      <c r="AI27" s="6">
        <f t="shared" si="16"/>
        <v>0</v>
      </c>
      <c r="AL27" s="5" t="str">
        <f t="shared" si="17"/>
        <v>RFL</v>
      </c>
      <c r="AM27" s="5">
        <f>1</f>
        <v>1</v>
      </c>
    </row>
    <row r="28" spans="1:39" s="5" customFormat="1" x14ac:dyDescent="0.3">
      <c r="C28" s="4" t="s">
        <v>45</v>
      </c>
      <c r="D28" s="5" t="s">
        <v>46</v>
      </c>
      <c r="E28" s="5" t="s">
        <v>708</v>
      </c>
      <c r="F28" s="5" t="s">
        <v>1588</v>
      </c>
      <c r="G28" s="5">
        <v>1</v>
      </c>
      <c r="H28" s="6">
        <f>IF(SUMIFS('Industrial Summary'!$G:$G,'Industrial Summary'!$F:$F,H$17,'Industrial Summary'!$D:$D,$E28)&gt;0,(-SUMIFS('Industrial Summary'!$G:$G,'Industrial Summary'!$F:$F,H$17,'Industrial Summary'!$D:$D,$E28,'Industrial Summary'!$A:$A,"DST")/SUMIFS('Industrial Summary'!$G:$G,'Industrial Summary'!$F:$F,H$17,'Industrial Summary'!$D:$D,$E28)),0)*0.98</f>
        <v>-1.1013887339252522E-2</v>
      </c>
      <c r="I28" s="6">
        <f>IF(SUMIFS('Industrial Summary'!$G:$G,'Industrial Summary'!$F:$F,I$17,'Industrial Summary'!$D:$D,$E28)&gt;0,(-SUMIFS('Industrial Summary'!$G:$G,'Industrial Summary'!$F:$F,I$17,'Industrial Summary'!$D:$D,$E28,'Industrial Summary'!$A:$A,"DST")/SUMIFS('Industrial Summary'!$G:$G,'Industrial Summary'!$F:$F,I$17,'Industrial Summary'!$D:$D,$E28)),0)*0.98</f>
        <v>-1.1013887339252487E-2</v>
      </c>
      <c r="J28" s="6">
        <f>IF(SUMIFS('Industrial Summary'!$G:$G,'Industrial Summary'!$F:$F,J$17,'Industrial Summary'!$D:$D,$E28)&gt;0,(-SUMIFS('Industrial Summary'!$G:$G,'Industrial Summary'!$F:$F,J$17,'Industrial Summary'!$D:$D,$E28,'Industrial Summary'!$A:$A,"DST")/SUMIFS('Industrial Summary'!$G:$G,'Industrial Summary'!$F:$F,J$17,'Industrial Summary'!$D:$D,$E28)),0)*0.98</f>
        <v>0</v>
      </c>
      <c r="K28" s="6">
        <f>IF(SUMIFS('Industrial Summary'!$G:$G,'Industrial Summary'!$F:$F,K$17,'Industrial Summary'!$D:$D,$E28)&gt;0,(-SUMIFS('Industrial Summary'!$G:$G,'Industrial Summary'!$F:$F,K$17,'Industrial Summary'!$D:$D,$E28,'Industrial Summary'!$A:$A,"DST")/SUMIFS('Industrial Summary'!$G:$G,'Industrial Summary'!$F:$F,K$17,'Industrial Summary'!$D:$D,$E28)),0)*0.98</f>
        <v>0</v>
      </c>
      <c r="L28" s="6">
        <f>IF(SUMIFS('Industrial Summary'!$G:$G,'Industrial Summary'!$F:$F,L$17,'Industrial Summary'!$D:$D,$E28)&gt;0,(-SUMIFS('Industrial Summary'!$G:$G,'Industrial Summary'!$F:$F,L$17,'Industrial Summary'!$D:$D,$E28,'Industrial Summary'!$A:$A,"DST")/SUMIFS('Industrial Summary'!$G:$G,'Industrial Summary'!$F:$F,L$17,'Industrial Summary'!$D:$D,$E28)),0)*0.98</f>
        <v>0</v>
      </c>
      <c r="M28" s="6">
        <f>IF(SUMIFS('Industrial Summary'!$G:$G,'Industrial Summary'!$F:$F,M$17,'Industrial Summary'!$D:$D,$E28)&gt;0,(-SUMIFS('Industrial Summary'!$G:$G,'Industrial Summary'!$F:$F,M$17,'Industrial Summary'!$D:$D,$E28,'Industrial Summary'!$A:$A,"DST")/SUMIFS('Industrial Summary'!$G:$G,'Industrial Summary'!$F:$F,M$17,'Industrial Summary'!$D:$D,$E28)),0)*0.98</f>
        <v>-8.0883597839991155E-3</v>
      </c>
      <c r="N28" s="6">
        <f>IF(SUMIFS('Industrial Summary'!$G:$G,'Industrial Summary'!$F:$F,N$17,'Industrial Summary'!$D:$D,$E28)&gt;0,(-SUMIFS('Industrial Summary'!$G:$G,'Industrial Summary'!$F:$F,N$17,'Industrial Summary'!$D:$D,$E28,'Industrial Summary'!$A:$A,"DST")/SUMIFS('Industrial Summary'!$G:$G,'Industrial Summary'!$F:$F,N$17,'Industrial Summary'!$D:$D,$E28)),0)*0.98</f>
        <v>-8.0883597839991103E-3</v>
      </c>
      <c r="O28" s="6">
        <f>IF(SUMIFS('Industrial Summary'!$G:$G,'Industrial Summary'!$F:$F,O$17,'Industrial Summary'!$D:$D,$E28)&gt;0,(-SUMIFS('Industrial Summary'!$G:$G,'Industrial Summary'!$F:$F,O$17,'Industrial Summary'!$D:$D,$E28,'Industrial Summary'!$A:$A,"DST")/SUMIFS('Industrial Summary'!$G:$G,'Industrial Summary'!$F:$F,O$17,'Industrial Summary'!$D:$D,$E28)),0)*0.98</f>
        <v>-1.7819130876189797E-2</v>
      </c>
      <c r="P28" s="6">
        <f>IF(SUMIFS('Industrial Summary'!$G:$G,'Industrial Summary'!$F:$F,P$17,'Industrial Summary'!$D:$D,$E28)&gt;0,(-SUMIFS('Industrial Summary'!$G:$G,'Industrial Summary'!$F:$F,P$17,'Industrial Summary'!$D:$D,$E28,'Industrial Summary'!$A:$A,"DST")/SUMIFS('Industrial Summary'!$G:$G,'Industrial Summary'!$F:$F,P$17,'Industrial Summary'!$D:$D,$E28)),0)*0.98</f>
        <v>0</v>
      </c>
      <c r="Q28" s="5">
        <v>0</v>
      </c>
      <c r="R28" s="5">
        <v>15</v>
      </c>
      <c r="S28" s="5" t="str">
        <f t="shared" si="2"/>
        <v>UC_IFDPH_DST</v>
      </c>
      <c r="V28" s="4" t="str">
        <f t="shared" si="4"/>
        <v>S_IFDPHDST</v>
      </c>
      <c r="W28" s="4" t="str">
        <f t="shared" si="5"/>
        <v>IFDPH_DST</v>
      </c>
      <c r="X28" s="4" t="str">
        <f t="shared" si="6"/>
        <v>IFDPRH</v>
      </c>
      <c r="Y28" s="5" t="str">
        <f t="shared" si="7"/>
        <v>LO</v>
      </c>
      <c r="Z28" s="5">
        <v>1</v>
      </c>
      <c r="AA28" s="6">
        <f t="shared" si="8"/>
        <v>-1.1013887339252522E-2</v>
      </c>
      <c r="AB28" s="6">
        <f t="shared" si="9"/>
        <v>-1.1013887339252487E-2</v>
      </c>
      <c r="AC28" s="6">
        <f t="shared" si="10"/>
        <v>0</v>
      </c>
      <c r="AD28" s="6">
        <f t="shared" si="11"/>
        <v>0</v>
      </c>
      <c r="AE28" s="6">
        <f t="shared" si="12"/>
        <v>0</v>
      </c>
      <c r="AF28" s="6">
        <f t="shared" si="13"/>
        <v>-8.0883597839991155E-3</v>
      </c>
      <c r="AG28" s="6">
        <f t="shared" si="14"/>
        <v>-8.0883597839991103E-3</v>
      </c>
      <c r="AH28" s="6">
        <f t="shared" si="15"/>
        <v>-1.7819130876189797E-2</v>
      </c>
      <c r="AI28" s="6">
        <f t="shared" si="16"/>
        <v>0</v>
      </c>
      <c r="AL28" s="5" t="str">
        <f t="shared" si="17"/>
        <v>DST</v>
      </c>
      <c r="AM28" s="5">
        <f>1</f>
        <v>1</v>
      </c>
    </row>
    <row r="29" spans="1:39" s="5" customFormat="1" x14ac:dyDescent="0.3">
      <c r="C29" s="4" t="s">
        <v>47</v>
      </c>
      <c r="D29" s="5" t="s">
        <v>48</v>
      </c>
      <c r="E29" s="5" t="s">
        <v>708</v>
      </c>
      <c r="F29" s="5" t="s">
        <v>1588</v>
      </c>
      <c r="G29" s="5">
        <v>1</v>
      </c>
      <c r="H29" s="6">
        <f>IF(SUMIFS('Industrial Summary'!$G:$G,'Industrial Summary'!$F:$F,H$17,'Industrial Summary'!$D:$D,$E29)&gt;0,(-SUMIFS('Industrial Summary'!$G:$G,'Industrial Summary'!$F:$F,H$17,'Industrial Summary'!$D:$D,$E29,'Industrial Summary'!$A:$A,"NGA")/SUMIFS('Industrial Summary'!$G:$G,'Industrial Summary'!$F:$F,H$17,'Industrial Summary'!$D:$D,$E29)),0)*0.98</f>
        <v>-0.86412735511241789</v>
      </c>
      <c r="I29" s="6">
        <f>IF(SUMIFS('Industrial Summary'!$G:$G,'Industrial Summary'!$F:$F,I$17,'Industrial Summary'!$D:$D,$E29)&gt;0,(-SUMIFS('Industrial Summary'!$G:$G,'Industrial Summary'!$F:$F,I$17,'Industrial Summary'!$D:$D,$E29,'Industrial Summary'!$A:$A,"NGA")/SUMIFS('Industrial Summary'!$G:$G,'Industrial Summary'!$F:$F,I$17,'Industrial Summary'!$D:$D,$E29)),0)*0.98</f>
        <v>-0.86412735511241512</v>
      </c>
      <c r="J29" s="6">
        <f>IF(SUMIFS('Industrial Summary'!$G:$G,'Industrial Summary'!$F:$F,J$17,'Industrial Summary'!$D:$D,$E29)&gt;0,(-SUMIFS('Industrial Summary'!$G:$G,'Industrial Summary'!$F:$F,J$17,'Industrial Summary'!$D:$D,$E29,'Industrial Summary'!$A:$A,"NGA")/SUMIFS('Industrial Summary'!$G:$G,'Industrial Summary'!$F:$F,J$17,'Industrial Summary'!$D:$D,$E29)),0)*0.98</f>
        <v>-0.74916612313861997</v>
      </c>
      <c r="K29" s="6">
        <f>IF(SUMIFS('Industrial Summary'!$G:$G,'Industrial Summary'!$F:$F,K$17,'Industrial Summary'!$D:$D,$E29)&gt;0,(-SUMIFS('Industrial Summary'!$G:$G,'Industrial Summary'!$F:$F,K$17,'Industrial Summary'!$D:$D,$E29,'Industrial Summary'!$A:$A,"NGA")/SUMIFS('Industrial Summary'!$G:$G,'Industrial Summary'!$F:$F,K$17,'Industrial Summary'!$D:$D,$E29)),0)*0.98</f>
        <v>-0.73447697538877454</v>
      </c>
      <c r="L29" s="6">
        <f>IF(SUMIFS('Industrial Summary'!$G:$G,'Industrial Summary'!$F:$F,L$17,'Industrial Summary'!$D:$D,$E29)&gt;0,(-SUMIFS('Industrial Summary'!$G:$G,'Industrial Summary'!$F:$F,L$17,'Industrial Summary'!$D:$D,$E29,'Industrial Summary'!$A:$A,"NGA")/SUMIFS('Industrial Summary'!$G:$G,'Industrial Summary'!$F:$F,L$17,'Industrial Summary'!$D:$D,$E29)),0)*0.98</f>
        <v>-0.81672206196620678</v>
      </c>
      <c r="M29" s="6">
        <f>IF(SUMIFS('Industrial Summary'!$G:$G,'Industrial Summary'!$F:$F,M$17,'Industrial Summary'!$D:$D,$E29)&gt;0,(-SUMIFS('Industrial Summary'!$G:$G,'Industrial Summary'!$F:$F,M$17,'Industrial Summary'!$D:$D,$E29,'Industrial Summary'!$A:$A,"NGA")/SUMIFS('Industrial Summary'!$G:$G,'Industrial Summary'!$F:$F,M$17,'Industrial Summary'!$D:$D,$E29)),0)*0.98</f>
        <v>-0.83290773827840936</v>
      </c>
      <c r="N29" s="6">
        <f>IF(SUMIFS('Industrial Summary'!$G:$G,'Industrial Summary'!$F:$F,N$17,'Industrial Summary'!$D:$D,$E29)&gt;0,(-SUMIFS('Industrial Summary'!$G:$G,'Industrial Summary'!$F:$F,N$17,'Industrial Summary'!$D:$D,$E29,'Industrial Summary'!$A:$A,"NGA")/SUMIFS('Industrial Summary'!$G:$G,'Industrial Summary'!$F:$F,N$17,'Industrial Summary'!$D:$D,$E29)),0)*0.98</f>
        <v>-0.83290773827841091</v>
      </c>
      <c r="O29" s="6">
        <f>IF(SUMIFS('Industrial Summary'!$G:$G,'Industrial Summary'!$F:$F,O$17,'Industrial Summary'!$D:$D,$E29)&gt;0,(-SUMIFS('Industrial Summary'!$G:$G,'Industrial Summary'!$F:$F,O$17,'Industrial Summary'!$D:$D,$E29,'Industrial Summary'!$A:$A,"NGA")/SUMIFS('Industrial Summary'!$G:$G,'Industrial Summary'!$F:$F,O$17,'Industrial Summary'!$D:$D,$E29)),0)*0.98</f>
        <v>-0.85789617013022323</v>
      </c>
      <c r="P29" s="6">
        <f>IF(SUMIFS('Industrial Summary'!$G:$G,'Industrial Summary'!$F:$F,P$17,'Industrial Summary'!$D:$D,$E29)&gt;0,(-SUMIFS('Industrial Summary'!$G:$G,'Industrial Summary'!$F:$F,P$17,'Industrial Summary'!$D:$D,$E29,'Industrial Summary'!$A:$A,"NGA")/SUMIFS('Industrial Summary'!$G:$G,'Industrial Summary'!$F:$F,P$17,'Industrial Summary'!$D:$D,$E29)),0)*0.98</f>
        <v>-0.8611601280365786</v>
      </c>
      <c r="Q29" s="5">
        <v>0</v>
      </c>
      <c r="R29" s="5">
        <v>15</v>
      </c>
      <c r="S29" s="5" t="str">
        <f t="shared" si="2"/>
        <v>UC_IFDPH_NGA</v>
      </c>
      <c r="V29" s="4" t="str">
        <f t="shared" si="4"/>
        <v>S_IFDPHNGA</v>
      </c>
      <c r="W29" s="4" t="str">
        <f t="shared" si="5"/>
        <v>IFDPH_NGA</v>
      </c>
      <c r="X29" s="4" t="str">
        <f t="shared" si="6"/>
        <v>IFDPRH</v>
      </c>
      <c r="Y29" s="5" t="str">
        <f t="shared" si="7"/>
        <v>LO</v>
      </c>
      <c r="Z29" s="5">
        <v>1</v>
      </c>
      <c r="AA29" s="6">
        <f t="shared" si="8"/>
        <v>-0.62217169568094088</v>
      </c>
      <c r="AB29" s="6">
        <f t="shared" si="9"/>
        <v>-0.62217169568093889</v>
      </c>
      <c r="AC29" s="6">
        <f t="shared" si="10"/>
        <v>-0.53939960865980641</v>
      </c>
      <c r="AD29" s="6">
        <f t="shared" si="11"/>
        <v>-0.52882342227991763</v>
      </c>
      <c r="AE29" s="6">
        <f t="shared" si="12"/>
        <v>-0.58803988461566881</v>
      </c>
      <c r="AF29" s="6">
        <f t="shared" si="13"/>
        <v>-0.59969357156045466</v>
      </c>
      <c r="AG29" s="6">
        <f t="shared" si="14"/>
        <v>-0.59969357156045588</v>
      </c>
      <c r="AH29" s="6">
        <f t="shared" si="15"/>
        <v>-0.61768524249376067</v>
      </c>
      <c r="AI29" s="6">
        <f t="shared" si="16"/>
        <v>-0.62003529218633657</v>
      </c>
      <c r="AL29" s="5" t="str">
        <f t="shared" si="17"/>
        <v>NGA</v>
      </c>
      <c r="AM29" s="5">
        <f>Y5</f>
        <v>0.72</v>
      </c>
    </row>
    <row r="30" spans="1:39" s="5" customFormat="1" x14ac:dyDescent="0.3">
      <c r="C30" s="4" t="s">
        <v>49</v>
      </c>
      <c r="D30" s="5" t="s">
        <v>50</v>
      </c>
      <c r="E30" s="5" t="s">
        <v>708</v>
      </c>
      <c r="F30" s="5" t="s">
        <v>1588</v>
      </c>
      <c r="G30" s="5">
        <v>1</v>
      </c>
      <c r="H30" s="6">
        <f>IF(SUMIFS('Industrial Summary'!$G:$G,'Industrial Summary'!$F:$F,H$17,'Industrial Summary'!$D:$D,$E30)&gt;0,(-SUMIFS('Industrial Summary'!$G:$G,'Industrial Summary'!$F:$F,H$17,'Industrial Summary'!$D:$D,$E30,'Industrial Summary'!$A:$A,"LPG")/SUMIFS('Industrial Summary'!$G:$G,'Industrial Summary'!$F:$F,H$17,'Industrial Summary'!$D:$D,$E30)),0)*0.98</f>
        <v>-7.4127707749647677E-3</v>
      </c>
      <c r="I30" s="6">
        <f>IF(SUMIFS('Industrial Summary'!$G:$G,'Industrial Summary'!$F:$F,I$17,'Industrial Summary'!$D:$D,$E30)&gt;0,(-SUMIFS('Industrial Summary'!$G:$G,'Industrial Summary'!$F:$F,I$17,'Industrial Summary'!$D:$D,$E30,'Industrial Summary'!$A:$A,"LPG")/SUMIFS('Industrial Summary'!$G:$G,'Industrial Summary'!$F:$F,I$17,'Industrial Summary'!$D:$D,$E30)),0)*0.98</f>
        <v>-7.4127707749678034E-3</v>
      </c>
      <c r="J30" s="6">
        <f>IF(SUMIFS('Industrial Summary'!$G:$G,'Industrial Summary'!$F:$F,J$17,'Industrial Summary'!$D:$D,$E30)&gt;0,(-SUMIFS('Industrial Summary'!$G:$G,'Industrial Summary'!$F:$F,J$17,'Industrial Summary'!$D:$D,$E30,'Industrial Summary'!$A:$A,"LPG")/SUMIFS('Industrial Summary'!$G:$G,'Industrial Summary'!$F:$F,J$17,'Industrial Summary'!$D:$D,$E30)),0)*0.98</f>
        <v>0</v>
      </c>
      <c r="K30" s="6">
        <f>IF(SUMIFS('Industrial Summary'!$G:$G,'Industrial Summary'!$F:$F,K$17,'Industrial Summary'!$D:$D,$E30)&gt;0,(-SUMIFS('Industrial Summary'!$G:$G,'Industrial Summary'!$F:$F,K$17,'Industrial Summary'!$D:$D,$E30,'Industrial Summary'!$A:$A,"LPG")/SUMIFS('Industrial Summary'!$G:$G,'Industrial Summary'!$F:$F,K$17,'Industrial Summary'!$D:$D,$E30)),0)*0.98</f>
        <v>0</v>
      </c>
      <c r="L30" s="6">
        <f>IF(SUMIFS('Industrial Summary'!$G:$G,'Industrial Summary'!$F:$F,L$17,'Industrial Summary'!$D:$D,$E30)&gt;0,(-SUMIFS('Industrial Summary'!$G:$G,'Industrial Summary'!$F:$F,L$17,'Industrial Summary'!$D:$D,$E30,'Industrial Summary'!$A:$A,"LPG")/SUMIFS('Industrial Summary'!$G:$G,'Industrial Summary'!$F:$F,L$17,'Industrial Summary'!$D:$D,$E30)),0)*0.98</f>
        <v>0</v>
      </c>
      <c r="M30" s="6">
        <f>IF(SUMIFS('Industrial Summary'!$G:$G,'Industrial Summary'!$F:$F,M$17,'Industrial Summary'!$D:$D,$E30)&gt;0,(-SUMIFS('Industrial Summary'!$G:$G,'Industrial Summary'!$F:$F,M$17,'Industrial Summary'!$D:$D,$E30,'Industrial Summary'!$A:$A,"LPG")/SUMIFS('Industrial Summary'!$G:$G,'Industrial Summary'!$F:$F,M$17,'Industrial Summary'!$D:$D,$E30)),0)*0.98</f>
        <v>-5.443777948460073E-3</v>
      </c>
      <c r="N30" s="6">
        <f>IF(SUMIFS('Industrial Summary'!$G:$G,'Industrial Summary'!$F:$F,N$17,'Industrial Summary'!$D:$D,$E30)&gt;0,(-SUMIFS('Industrial Summary'!$G:$G,'Industrial Summary'!$F:$F,N$17,'Industrial Summary'!$D:$D,$E30,'Industrial Summary'!$A:$A,"LPG")/SUMIFS('Industrial Summary'!$G:$G,'Industrial Summary'!$F:$F,N$17,'Industrial Summary'!$D:$D,$E30)),0)*0.98</f>
        <v>-5.4437779484587017E-3</v>
      </c>
      <c r="O30" s="6">
        <f>IF(SUMIFS('Industrial Summary'!$G:$G,'Industrial Summary'!$F:$F,O$17,'Industrial Summary'!$D:$D,$E30)&gt;0,(-SUMIFS('Industrial Summary'!$G:$G,'Industrial Summary'!$F:$F,O$17,'Industrial Summary'!$D:$D,$E30,'Industrial Summary'!$A:$A,"LPG")/SUMIFS('Industrial Summary'!$G:$G,'Industrial Summary'!$F:$F,O$17,'Industrial Summary'!$D:$D,$E30)),0)*0.98</f>
        <v>-3.2708078246795943E-3</v>
      </c>
      <c r="P30" s="6">
        <f>IF(SUMIFS('Industrial Summary'!$G:$G,'Industrial Summary'!$F:$F,P$17,'Industrial Summary'!$D:$D,$E30)&gt;0,(-SUMIFS('Industrial Summary'!$G:$G,'Industrial Summary'!$F:$F,P$17,'Industrial Summary'!$D:$D,$E30,'Industrial Summary'!$A:$A,"LPG")/SUMIFS('Industrial Summary'!$G:$G,'Industrial Summary'!$F:$F,P$17,'Industrial Summary'!$D:$D,$E30)),0)*0.98</f>
        <v>0</v>
      </c>
      <c r="Q30" s="5">
        <v>0</v>
      </c>
      <c r="R30" s="5">
        <v>15</v>
      </c>
      <c r="S30" s="5" t="str">
        <f t="shared" si="2"/>
        <v>UC_IFDPH_LPG</v>
      </c>
      <c r="V30" s="4" t="str">
        <f t="shared" si="4"/>
        <v>S_IFDPHLPG</v>
      </c>
      <c r="W30" s="4" t="str">
        <f t="shared" si="5"/>
        <v>IFDPH_LPG</v>
      </c>
      <c r="X30" s="4" t="str">
        <f t="shared" si="6"/>
        <v>IFDPRH</v>
      </c>
      <c r="Y30" s="5" t="str">
        <f t="shared" si="7"/>
        <v>LO</v>
      </c>
      <c r="Z30" s="5">
        <v>1</v>
      </c>
      <c r="AA30" s="6">
        <f t="shared" si="8"/>
        <v>-5.3371949579746327E-3</v>
      </c>
      <c r="AB30" s="6">
        <f t="shared" si="9"/>
        <v>-5.3371949579768185E-3</v>
      </c>
      <c r="AC30" s="6">
        <f t="shared" si="10"/>
        <v>0</v>
      </c>
      <c r="AD30" s="6">
        <f t="shared" si="11"/>
        <v>0</v>
      </c>
      <c r="AE30" s="6">
        <f t="shared" si="12"/>
        <v>0</v>
      </c>
      <c r="AF30" s="6">
        <f t="shared" si="13"/>
        <v>-3.919520122891252E-3</v>
      </c>
      <c r="AG30" s="6">
        <f t="shared" si="14"/>
        <v>-3.9195201228902649E-3</v>
      </c>
      <c r="AH30" s="6">
        <f t="shared" si="15"/>
        <v>-2.3549816337693078E-3</v>
      </c>
      <c r="AI30" s="6">
        <f t="shared" si="16"/>
        <v>0</v>
      </c>
      <c r="AL30" s="5" t="str">
        <f t="shared" si="17"/>
        <v>LPG</v>
      </c>
      <c r="AM30" s="5">
        <f>Y5</f>
        <v>0.72</v>
      </c>
    </row>
    <row r="31" spans="1:39" s="5" customFormat="1" x14ac:dyDescent="0.3">
      <c r="A31" s="8"/>
      <c r="C31" s="4" t="s">
        <v>51</v>
      </c>
      <c r="D31" s="5" t="s">
        <v>52</v>
      </c>
      <c r="E31" s="5" t="s">
        <v>708</v>
      </c>
      <c r="F31" s="5" t="s">
        <v>1591</v>
      </c>
      <c r="G31" s="5">
        <v>1</v>
      </c>
      <c r="H31" s="6">
        <f>IF(SUMIFS('Industrial Summary'!$G:$G,'Industrial Summary'!$F:$F,H$17,'Industrial Summary'!$D:$D,$E31)&gt;0,(-SUMIFS('Industrial Summary'!$G:$G,'Industrial Summary'!$F:$F,H$17,'Industrial Summary'!$D:$D,$E31,'Industrial Summary'!$A:$A,"COA")/SUMIFS('Industrial Summary'!$G:$G,'Industrial Summary'!$F:$F,H$17,'Industrial Summary'!$D:$D,$E31)),0)*0.98</f>
        <v>-3.7883801042001499E-3</v>
      </c>
      <c r="I31" s="6">
        <f>IF(SUMIFS('Industrial Summary'!$G:$G,'Industrial Summary'!$F:$F,I$17,'Industrial Summary'!$D:$D,$E31)&gt;0,(-SUMIFS('Industrial Summary'!$G:$G,'Industrial Summary'!$F:$F,I$17,'Industrial Summary'!$D:$D,$E31,'Industrial Summary'!$A:$A,"COA")/SUMIFS('Industrial Summary'!$G:$G,'Industrial Summary'!$F:$F,I$17,'Industrial Summary'!$D:$D,$E31)),0)*0.98</f>
        <v>-3.7883801042001325E-3</v>
      </c>
      <c r="J31" s="6">
        <f>IF(SUMIFS('Industrial Summary'!$G:$G,'Industrial Summary'!$F:$F,J$17,'Industrial Summary'!$D:$D,$E31)&gt;0,(-SUMIFS('Industrial Summary'!$G:$G,'Industrial Summary'!$F:$F,J$17,'Industrial Summary'!$D:$D,$E31,'Industrial Summary'!$A:$A,"COA")/SUMIFS('Industrial Summary'!$G:$G,'Industrial Summary'!$F:$F,J$17,'Industrial Summary'!$D:$D,$E31)),0)*0.98</f>
        <v>-0.13052690539480338</v>
      </c>
      <c r="K31" s="6">
        <f>IF(SUMIFS('Industrial Summary'!$G:$G,'Industrial Summary'!$F:$F,K$17,'Industrial Summary'!$D:$D,$E31)&gt;0,(-SUMIFS('Industrial Summary'!$G:$G,'Industrial Summary'!$F:$F,K$17,'Industrial Summary'!$D:$D,$E31,'Industrial Summary'!$A:$A,"COA")/SUMIFS('Industrial Summary'!$G:$G,'Industrial Summary'!$F:$F,K$17,'Industrial Summary'!$D:$D,$E31)),0)*0.98</f>
        <v>-0.13883300424278883</v>
      </c>
      <c r="L31" s="6">
        <f>IF(SUMIFS('Industrial Summary'!$G:$G,'Industrial Summary'!$F:$F,L$17,'Industrial Summary'!$D:$D,$E31)&gt;0,(-SUMIFS('Industrial Summary'!$G:$G,'Industrial Summary'!$F:$F,L$17,'Industrial Summary'!$D:$D,$E31,'Industrial Summary'!$A:$A,"COA")/SUMIFS('Industrial Summary'!$G:$G,'Industrial Summary'!$F:$F,L$17,'Industrial Summary'!$D:$D,$E31)),0)*0.98</f>
        <v>-2.7821041143311999E-2</v>
      </c>
      <c r="M31" s="6">
        <f>IF(SUMIFS('Industrial Summary'!$G:$G,'Industrial Summary'!$F:$F,M$17,'Industrial Summary'!$D:$D,$E31)&gt;0,(-SUMIFS('Industrial Summary'!$G:$G,'Industrial Summary'!$F:$F,M$17,'Industrial Summary'!$D:$D,$E31,'Industrial Summary'!$A:$A,"COA")/SUMIFS('Industrial Summary'!$G:$G,'Industrial Summary'!$F:$F,M$17,'Industrial Summary'!$D:$D,$E31)),0)*0.98</f>
        <v>-2.2256832914649683E-2</v>
      </c>
      <c r="N31" s="6">
        <f>IF(SUMIFS('Industrial Summary'!$G:$G,'Industrial Summary'!$F:$F,N$17,'Industrial Summary'!$D:$D,$E31)&gt;0,(-SUMIFS('Industrial Summary'!$G:$G,'Industrial Summary'!$F:$F,N$17,'Industrial Summary'!$D:$D,$E31,'Industrial Summary'!$A:$A,"COA")/SUMIFS('Industrial Summary'!$G:$G,'Industrial Summary'!$F:$F,N$17,'Industrial Summary'!$D:$D,$E31)),0)*0.98</f>
        <v>-2.2256832914649628E-2</v>
      </c>
      <c r="O31" s="6">
        <f>IF(SUMIFS('Industrial Summary'!$G:$G,'Industrial Summary'!$F:$F,O$17,'Industrial Summary'!$D:$D,$E31)&gt;0,(-SUMIFS('Industrial Summary'!$G:$G,'Industrial Summary'!$F:$F,O$17,'Industrial Summary'!$D:$D,$E31,'Industrial Summary'!$A:$A,"COA")/SUMIFS('Industrial Summary'!$G:$G,'Industrial Summary'!$F:$F,O$17,'Industrial Summary'!$D:$D,$E31)),0)*0.98</f>
        <v>-3.3431664525555647E-2</v>
      </c>
      <c r="P31" s="6">
        <f>IF(SUMIFS('Industrial Summary'!$G:$G,'Industrial Summary'!$F:$F,P$17,'Industrial Summary'!$D:$D,$E31)&gt;0,(-SUMIFS('Industrial Summary'!$G:$G,'Industrial Summary'!$F:$F,P$17,'Industrial Summary'!$D:$D,$E31,'Industrial Summary'!$A:$A,"COA")/SUMIFS('Industrial Summary'!$G:$G,'Industrial Summary'!$F:$F,P$17,'Industrial Summary'!$D:$D,$E31)),0)*0.98</f>
        <v>-3.9331370030065774E-2</v>
      </c>
      <c r="Q31" s="5">
        <v>0</v>
      </c>
      <c r="R31" s="5">
        <v>15</v>
      </c>
      <c r="S31" s="5" t="str">
        <f t="shared" si="2"/>
        <v>UC_IFDPH_COA</v>
      </c>
      <c r="V31" s="4" t="str">
        <f t="shared" si="4"/>
        <v>S_IFDPHCOA</v>
      </c>
      <c r="W31" s="4" t="str">
        <f t="shared" si="5"/>
        <v>IFDPH_COA</v>
      </c>
      <c r="X31" s="4" t="str">
        <f t="shared" si="6"/>
        <v>IFDPRH</v>
      </c>
      <c r="Y31" s="5" t="str">
        <f t="shared" si="7"/>
        <v>UP</v>
      </c>
      <c r="Z31" s="5">
        <v>1</v>
      </c>
      <c r="AA31" s="6">
        <f t="shared" si="8"/>
        <v>-3.03070408336012E-3</v>
      </c>
      <c r="AB31" s="6">
        <f t="shared" si="9"/>
        <v>-3.0307040833601061E-3</v>
      </c>
      <c r="AC31" s="6">
        <f t="shared" si="10"/>
        <v>-0.10442152431584271</v>
      </c>
      <c r="AD31" s="6">
        <f t="shared" si="11"/>
        <v>-0.11106640339423107</v>
      </c>
      <c r="AE31" s="6">
        <f t="shared" si="12"/>
        <v>-2.22568329146496E-2</v>
      </c>
      <c r="AF31" s="6">
        <f t="shared" si="13"/>
        <v>-1.7805466331719748E-2</v>
      </c>
      <c r="AG31" s="6">
        <f t="shared" si="14"/>
        <v>-1.7805466331719703E-2</v>
      </c>
      <c r="AH31" s="6">
        <f t="shared" si="15"/>
        <v>-2.6745331620444519E-2</v>
      </c>
      <c r="AI31" s="6">
        <f t="shared" si="16"/>
        <v>-3.1465096024052619E-2</v>
      </c>
      <c r="AL31" s="5" t="str">
        <f t="shared" si="17"/>
        <v>COA</v>
      </c>
      <c r="AM31" s="5">
        <f>Z5</f>
        <v>0.8</v>
      </c>
    </row>
    <row r="32" spans="1:39" s="5" customFormat="1" x14ac:dyDescent="0.3">
      <c r="C32" s="4" t="s">
        <v>53</v>
      </c>
      <c r="D32" s="5" t="s">
        <v>54</v>
      </c>
      <c r="E32" s="5" t="s">
        <v>709</v>
      </c>
      <c r="F32" s="5" t="s">
        <v>1588</v>
      </c>
      <c r="G32" s="5">
        <v>1</v>
      </c>
      <c r="H32" s="6">
        <f>IF(SUMIFS('Industrial Summary'!$G:$G,'Industrial Summary'!$F:$F,H$17,'Industrial Summary'!$D:$D,$E32)&gt;0,(-SUMIFS('Industrial Summary'!$G:$G,'Industrial Summary'!$F:$F,H$17,'Industrial Summary'!$D:$D,$E32,'Industrial Summary'!$A:$A,"ELC")/SUMIFS('Industrial Summary'!$G:$G,'Industrial Summary'!$F:$F,H$17,'Industrial Summary'!$D:$D,$E32)),0)*0.98</f>
        <v>-0.93628716666822409</v>
      </c>
      <c r="I32" s="6">
        <f>IF(SUMIFS('Industrial Summary'!$G:$G,'Industrial Summary'!$F:$F,I$17,'Industrial Summary'!$D:$D,$E32)&gt;0,(-SUMIFS('Industrial Summary'!$G:$G,'Industrial Summary'!$F:$F,I$17,'Industrial Summary'!$D:$D,$E32,'Industrial Summary'!$A:$A,"ELC")/SUMIFS('Industrial Summary'!$G:$G,'Industrial Summary'!$F:$F,I$17,'Industrial Summary'!$D:$D,$E32)),0)*0.98</f>
        <v>-0.93628716666822054</v>
      </c>
      <c r="J32" s="6">
        <f>IF(SUMIFS('Industrial Summary'!$G:$G,'Industrial Summary'!$F:$F,J$17,'Industrial Summary'!$D:$D,$E32)&gt;0,(-SUMIFS('Industrial Summary'!$G:$G,'Industrial Summary'!$F:$F,J$17,'Industrial Summary'!$D:$D,$E32,'Industrial Summary'!$A:$A,"ELC")/SUMIFS('Industrial Summary'!$G:$G,'Industrial Summary'!$F:$F,J$17,'Industrial Summary'!$D:$D,$E32)),0)*0.98</f>
        <v>-0.98</v>
      </c>
      <c r="K32" s="6">
        <f>IF(SUMIFS('Industrial Summary'!$G:$G,'Industrial Summary'!$F:$F,K$17,'Industrial Summary'!$D:$D,$E32)&gt;0,(-SUMIFS('Industrial Summary'!$G:$G,'Industrial Summary'!$F:$F,K$17,'Industrial Summary'!$D:$D,$E32,'Industrial Summary'!$A:$A,"ELC")/SUMIFS('Industrial Summary'!$G:$G,'Industrial Summary'!$F:$F,K$17,'Industrial Summary'!$D:$D,$E32)),0)*0.98</f>
        <v>-0.98</v>
      </c>
      <c r="L32" s="6">
        <f>IF(SUMIFS('Industrial Summary'!$G:$G,'Industrial Summary'!$F:$F,L$17,'Industrial Summary'!$D:$D,$E32)&gt;0,(-SUMIFS('Industrial Summary'!$G:$G,'Industrial Summary'!$F:$F,L$17,'Industrial Summary'!$D:$D,$E32,'Industrial Summary'!$A:$A,"ELC")/SUMIFS('Industrial Summary'!$G:$G,'Industrial Summary'!$F:$F,L$17,'Industrial Summary'!$D:$D,$E32)),0)*0.98</f>
        <v>-0.98</v>
      </c>
      <c r="M32" s="6">
        <f>IF(SUMIFS('Industrial Summary'!$G:$G,'Industrial Summary'!$F:$F,M$17,'Industrial Summary'!$D:$D,$E32)&gt;0,(-SUMIFS('Industrial Summary'!$G:$G,'Industrial Summary'!$F:$F,M$17,'Industrial Summary'!$D:$D,$E32,'Industrial Summary'!$A:$A,"ELC")/SUMIFS('Industrial Summary'!$G:$G,'Industrial Summary'!$F:$F,M$17,'Industrial Summary'!$D:$D,$E32)),0)*0.98</f>
        <v>-0.94595706089758724</v>
      </c>
      <c r="N32" s="6">
        <f>IF(SUMIFS('Industrial Summary'!$G:$G,'Industrial Summary'!$F:$F,N$17,'Industrial Summary'!$D:$D,$E32)&gt;0,(-SUMIFS('Industrial Summary'!$G:$G,'Industrial Summary'!$F:$F,N$17,'Industrial Summary'!$D:$D,$E32,'Industrial Summary'!$A:$A,"ELC")/SUMIFS('Industrial Summary'!$G:$G,'Industrial Summary'!$F:$F,N$17,'Industrial Summary'!$D:$D,$E32)),0)*0.98</f>
        <v>-0.9459570608975868</v>
      </c>
      <c r="O32" s="6">
        <f>IF(SUMIFS('Industrial Summary'!$G:$G,'Industrial Summary'!$F:$F,O$17,'Industrial Summary'!$D:$D,$E32)&gt;0,(-SUMIFS('Industrial Summary'!$G:$G,'Industrial Summary'!$F:$F,O$17,'Industrial Summary'!$D:$D,$E32,'Industrial Summary'!$A:$A,"ELC")/SUMIFS('Industrial Summary'!$G:$G,'Industrial Summary'!$F:$F,O$17,'Industrial Summary'!$D:$D,$E32)),0)*0.98</f>
        <v>-0.91852881939964748</v>
      </c>
      <c r="P32" s="6">
        <f>IF(SUMIFS('Industrial Summary'!$G:$G,'Industrial Summary'!$F:$F,P$17,'Industrial Summary'!$D:$D,$E32)&gt;0,(-SUMIFS('Industrial Summary'!$G:$G,'Industrial Summary'!$F:$F,P$17,'Industrial Summary'!$D:$D,$E32,'Industrial Summary'!$A:$A,"ELC")/SUMIFS('Industrial Summary'!$G:$G,'Industrial Summary'!$F:$F,P$17,'Industrial Summary'!$D:$D,$E32)),0)*0.98</f>
        <v>-0.98</v>
      </c>
      <c r="Q32" s="5">
        <v>0</v>
      </c>
      <c r="R32" s="5">
        <v>15</v>
      </c>
      <c r="S32" s="5" t="str">
        <f t="shared" si="2"/>
        <v>UC_IFDMD_ELC</v>
      </c>
      <c r="V32" s="4" t="str">
        <f t="shared" si="4"/>
        <v>S_IFDMDELC</v>
      </c>
      <c r="W32" s="4" t="str">
        <f t="shared" si="5"/>
        <v>IFDMD_ELC</v>
      </c>
      <c r="X32" s="4" t="str">
        <f t="shared" si="6"/>
        <v>IFDMDR</v>
      </c>
      <c r="Y32" s="5" t="str">
        <f t="shared" si="7"/>
        <v>LO</v>
      </c>
      <c r="Z32" s="5">
        <v>1</v>
      </c>
      <c r="AA32" s="6">
        <f t="shared" si="8"/>
        <v>-0.93628716666822409</v>
      </c>
      <c r="AB32" s="6">
        <f t="shared" si="9"/>
        <v>-0.93628716666822054</v>
      </c>
      <c r="AC32" s="6">
        <f t="shared" si="10"/>
        <v>-0.98</v>
      </c>
      <c r="AD32" s="6">
        <f t="shared" si="11"/>
        <v>-0.98</v>
      </c>
      <c r="AE32" s="6">
        <f t="shared" si="12"/>
        <v>-0.98</v>
      </c>
      <c r="AF32" s="6">
        <f t="shared" si="13"/>
        <v>-0.94595706089758724</v>
      </c>
      <c r="AG32" s="6">
        <f t="shared" si="14"/>
        <v>-0.9459570608975868</v>
      </c>
      <c r="AH32" s="6">
        <f t="shared" si="15"/>
        <v>-0.91852881939964748</v>
      </c>
      <c r="AI32" s="6">
        <f t="shared" si="16"/>
        <v>-0.98</v>
      </c>
      <c r="AL32" s="5" t="str">
        <f t="shared" si="17"/>
        <v>ELC</v>
      </c>
      <c r="AM32" s="5">
        <f>1</f>
        <v>1</v>
      </c>
    </row>
    <row r="33" spans="1:39" s="5" customFormat="1" x14ac:dyDescent="0.3">
      <c r="C33" s="4" t="s">
        <v>55</v>
      </c>
      <c r="D33" s="5" t="s">
        <v>56</v>
      </c>
      <c r="E33" s="5" t="s">
        <v>709</v>
      </c>
      <c r="F33" s="5" t="s">
        <v>1588</v>
      </c>
      <c r="G33" s="5">
        <v>1</v>
      </c>
      <c r="H33" s="6">
        <f>IF(SUMIFS('Industrial Summary'!$G:$G,'Industrial Summary'!$F:$F,H$17,'Industrial Summary'!$D:$D,$E33)&gt;0,(-SUMIFS('Industrial Summary'!$G:$G,'Industrial Summary'!$F:$F,H$17,'Industrial Summary'!$D:$D,$E33,'Industrial Summary'!$A:$A,"DST")/SUMIFS('Industrial Summary'!$G:$G,'Industrial Summary'!$F:$F,H$17,'Industrial Summary'!$D:$D,$E33)),0)*0.98</f>
        <v>-6.1338793878713931E-3</v>
      </c>
      <c r="I33" s="6">
        <f>IF(SUMIFS('Industrial Summary'!$G:$G,'Industrial Summary'!$F:$F,I$17,'Industrial Summary'!$D:$D,$E33)&gt;0,(-SUMIFS('Industrial Summary'!$G:$G,'Industrial Summary'!$F:$F,I$17,'Industrial Summary'!$D:$D,$E33,'Industrial Summary'!$A:$A,"DST")/SUMIFS('Industrial Summary'!$G:$G,'Industrial Summary'!$F:$F,I$17,'Industrial Summary'!$D:$D,$E33)),0)*0.98</f>
        <v>-6.1338793878749614E-3</v>
      </c>
      <c r="J33" s="6">
        <f>IF(SUMIFS('Industrial Summary'!$G:$G,'Industrial Summary'!$F:$F,J$17,'Industrial Summary'!$D:$D,$E33)&gt;0,(-SUMIFS('Industrial Summary'!$G:$G,'Industrial Summary'!$F:$F,J$17,'Industrial Summary'!$D:$D,$E33,'Industrial Summary'!$A:$A,"DST")/SUMIFS('Industrial Summary'!$G:$G,'Industrial Summary'!$F:$F,J$17,'Industrial Summary'!$D:$D,$E33)),0)*0.98</f>
        <v>0</v>
      </c>
      <c r="K33" s="6">
        <f>IF(SUMIFS('Industrial Summary'!$G:$G,'Industrial Summary'!$F:$F,K$17,'Industrial Summary'!$D:$D,$E33)&gt;0,(-SUMIFS('Industrial Summary'!$G:$G,'Industrial Summary'!$F:$F,K$17,'Industrial Summary'!$D:$D,$E33,'Industrial Summary'!$A:$A,"DST")/SUMIFS('Industrial Summary'!$G:$G,'Industrial Summary'!$F:$F,K$17,'Industrial Summary'!$D:$D,$E33)),0)*0.98</f>
        <v>0</v>
      </c>
      <c r="L33" s="6">
        <f>IF(SUMIFS('Industrial Summary'!$G:$G,'Industrial Summary'!$F:$F,L$17,'Industrial Summary'!$D:$D,$E33)&gt;0,(-SUMIFS('Industrial Summary'!$G:$G,'Industrial Summary'!$F:$F,L$17,'Industrial Summary'!$D:$D,$E33,'Industrial Summary'!$A:$A,"DST")/SUMIFS('Industrial Summary'!$G:$G,'Industrial Summary'!$F:$F,L$17,'Industrial Summary'!$D:$D,$E33)),0)*0.98</f>
        <v>0</v>
      </c>
      <c r="M33" s="6">
        <f>IF(SUMIFS('Industrial Summary'!$G:$G,'Industrial Summary'!$F:$F,M$17,'Industrial Summary'!$D:$D,$E33)&gt;0,(-SUMIFS('Industrial Summary'!$G:$G,'Industrial Summary'!$F:$F,M$17,'Industrial Summary'!$D:$D,$E33,'Industrial Summary'!$A:$A,"DST")/SUMIFS('Industrial Summary'!$G:$G,'Industrial Summary'!$F:$F,M$17,'Industrial Summary'!$D:$D,$E33)),0)*0.98</f>
        <v>-3.7654053098880287E-3</v>
      </c>
      <c r="N33" s="6">
        <f>IF(SUMIFS('Industrial Summary'!$G:$G,'Industrial Summary'!$F:$F,N$17,'Industrial Summary'!$D:$D,$E33)&gt;0,(-SUMIFS('Industrial Summary'!$G:$G,'Industrial Summary'!$F:$F,N$17,'Industrial Summary'!$D:$D,$E33,'Industrial Summary'!$A:$A,"DST")/SUMIFS('Industrial Summary'!$G:$G,'Industrial Summary'!$F:$F,N$17,'Industrial Summary'!$D:$D,$E33)),0)*0.98</f>
        <v>-3.7654053098882963E-3</v>
      </c>
      <c r="O33" s="6">
        <f>IF(SUMIFS('Industrial Summary'!$G:$G,'Industrial Summary'!$F:$F,O$17,'Industrial Summary'!$D:$D,$E33)&gt;0,(-SUMIFS('Industrial Summary'!$G:$G,'Industrial Summary'!$F:$F,O$17,'Industrial Summary'!$D:$D,$E33,'Industrial Summary'!$A:$A,"DST")/SUMIFS('Industrial Summary'!$G:$G,'Industrial Summary'!$F:$F,O$17,'Industrial Summary'!$D:$D,$E33)),0)*0.98</f>
        <v>-1.2915694499247234E-2</v>
      </c>
      <c r="P33" s="6">
        <f>IF(SUMIFS('Industrial Summary'!$G:$G,'Industrial Summary'!$F:$F,P$17,'Industrial Summary'!$D:$D,$E33)&gt;0,(-SUMIFS('Industrial Summary'!$G:$G,'Industrial Summary'!$F:$F,P$17,'Industrial Summary'!$D:$D,$E33,'Industrial Summary'!$A:$A,"DST")/SUMIFS('Industrial Summary'!$G:$G,'Industrial Summary'!$F:$F,P$17,'Industrial Summary'!$D:$D,$E33)),0)*0.98</f>
        <v>0</v>
      </c>
      <c r="Q33" s="5">
        <v>0</v>
      </c>
      <c r="R33" s="5">
        <v>15</v>
      </c>
      <c r="S33" s="5" t="str">
        <f t="shared" si="2"/>
        <v>UC_IFDMD_DST</v>
      </c>
      <c r="V33" s="4" t="str">
        <f t="shared" si="4"/>
        <v>S_IFDMDDST</v>
      </c>
      <c r="W33" s="4" t="str">
        <f t="shared" si="5"/>
        <v>IFDMD_DST</v>
      </c>
      <c r="X33" s="4" t="str">
        <f t="shared" si="6"/>
        <v>IFDMDR</v>
      </c>
      <c r="Y33" s="5" t="str">
        <f t="shared" si="7"/>
        <v>LO</v>
      </c>
      <c r="Z33" s="5">
        <v>1</v>
      </c>
      <c r="AA33" s="6">
        <f t="shared" si="8"/>
        <v>-6.1338793878713931E-3</v>
      </c>
      <c r="AB33" s="6">
        <f t="shared" si="9"/>
        <v>-6.1338793878749614E-3</v>
      </c>
      <c r="AC33" s="6">
        <f t="shared" si="10"/>
        <v>0</v>
      </c>
      <c r="AD33" s="6">
        <f t="shared" si="11"/>
        <v>0</v>
      </c>
      <c r="AE33" s="6">
        <f t="shared" si="12"/>
        <v>0</v>
      </c>
      <c r="AF33" s="6">
        <f t="shared" si="13"/>
        <v>-3.7654053098880287E-3</v>
      </c>
      <c r="AG33" s="6">
        <f t="shared" si="14"/>
        <v>-3.7654053098882963E-3</v>
      </c>
      <c r="AH33" s="6">
        <f t="shared" si="15"/>
        <v>-1.2915694499247234E-2</v>
      </c>
      <c r="AI33" s="6">
        <f t="shared" si="16"/>
        <v>0</v>
      </c>
      <c r="AL33" s="5" t="str">
        <f t="shared" si="17"/>
        <v>DST</v>
      </c>
      <c r="AM33" s="5">
        <f>1</f>
        <v>1</v>
      </c>
    </row>
    <row r="34" spans="1:39" s="5" customFormat="1" x14ac:dyDescent="0.3">
      <c r="A34" s="8"/>
      <c r="C34" s="4" t="s">
        <v>57</v>
      </c>
      <c r="D34" s="5" t="s">
        <v>58</v>
      </c>
      <c r="E34" s="5" t="s">
        <v>709</v>
      </c>
      <c r="F34" s="5" t="s">
        <v>1588</v>
      </c>
      <c r="G34" s="5">
        <v>1</v>
      </c>
      <c r="H34" s="6">
        <f>IF(SUMIFS('Industrial Summary'!$G:$G,'Industrial Summary'!$F:$F,H$17,'Industrial Summary'!$D:$D,$E34)&gt;0,(-SUMIFS('Industrial Summary'!$G:$G,'Industrial Summary'!$F:$F,H$17,'Industrial Summary'!$D:$D,$E34,'Industrial Summary'!$A:$A,"NGA")/SUMIFS('Industrial Summary'!$G:$G,'Industrial Summary'!$F:$F,H$17,'Industrial Summary'!$D:$D,$E34)),0)*0.98</f>
        <v>-3.7578953943904474E-2</v>
      </c>
      <c r="I34" s="6">
        <f>IF(SUMIFS('Industrial Summary'!$G:$G,'Industrial Summary'!$F:$F,I$17,'Industrial Summary'!$D:$D,$E34)&gt;0,(-SUMIFS('Industrial Summary'!$G:$G,'Industrial Summary'!$F:$F,I$17,'Industrial Summary'!$D:$D,$E34,'Industrial Summary'!$A:$A,"NGA")/SUMIFS('Industrial Summary'!$G:$G,'Industrial Summary'!$F:$F,I$17,'Industrial Summary'!$D:$D,$E34)),0)*0.98</f>
        <v>-3.7578953943904404E-2</v>
      </c>
      <c r="J34" s="6">
        <f>IF(SUMIFS('Industrial Summary'!$G:$G,'Industrial Summary'!$F:$F,J$17,'Industrial Summary'!$D:$D,$E34)&gt;0,(-SUMIFS('Industrial Summary'!$G:$G,'Industrial Summary'!$F:$F,J$17,'Industrial Summary'!$D:$D,$E34,'Industrial Summary'!$A:$A,"NGA")/SUMIFS('Industrial Summary'!$G:$G,'Industrial Summary'!$F:$F,J$17,'Industrial Summary'!$D:$D,$E34)),0)*0.98</f>
        <v>0</v>
      </c>
      <c r="K34" s="6">
        <f>IF(SUMIFS('Industrial Summary'!$G:$G,'Industrial Summary'!$F:$F,K$17,'Industrial Summary'!$D:$D,$E34)&gt;0,(-SUMIFS('Industrial Summary'!$G:$G,'Industrial Summary'!$F:$F,K$17,'Industrial Summary'!$D:$D,$E34,'Industrial Summary'!$A:$A,"NGA")/SUMIFS('Industrial Summary'!$G:$G,'Industrial Summary'!$F:$F,K$17,'Industrial Summary'!$D:$D,$E34)),0)*0.98</f>
        <v>0</v>
      </c>
      <c r="L34" s="6">
        <f>IF(SUMIFS('Industrial Summary'!$G:$G,'Industrial Summary'!$F:$F,L$17,'Industrial Summary'!$D:$D,$E34)&gt;0,(-SUMIFS('Industrial Summary'!$G:$G,'Industrial Summary'!$F:$F,L$17,'Industrial Summary'!$D:$D,$E34,'Industrial Summary'!$A:$A,"NGA")/SUMIFS('Industrial Summary'!$G:$G,'Industrial Summary'!$F:$F,L$17,'Industrial Summary'!$D:$D,$E34)),0)*0.98</f>
        <v>0</v>
      </c>
      <c r="M34" s="6">
        <f>IF(SUMIFS('Industrial Summary'!$G:$G,'Industrial Summary'!$F:$F,M$17,'Industrial Summary'!$D:$D,$E34)&gt;0,(-SUMIFS('Industrial Summary'!$G:$G,'Industrial Summary'!$F:$F,M$17,'Industrial Summary'!$D:$D,$E34,'Industrial Summary'!$A:$A,"NGA")/SUMIFS('Industrial Summary'!$G:$G,'Industrial Summary'!$F:$F,M$17,'Industrial Summary'!$D:$D,$E34)),0)*0.98</f>
        <v>-3.0277533792524586E-2</v>
      </c>
      <c r="N34" s="6">
        <f>IF(SUMIFS('Industrial Summary'!$G:$G,'Industrial Summary'!$F:$F,N$17,'Industrial Summary'!$D:$D,$E34)&gt;0,(-SUMIFS('Industrial Summary'!$G:$G,'Industrial Summary'!$F:$F,N$17,'Industrial Summary'!$D:$D,$E34,'Industrial Summary'!$A:$A,"NGA")/SUMIFS('Industrial Summary'!$G:$G,'Industrial Summary'!$F:$F,N$17,'Industrial Summary'!$D:$D,$E34)),0)*0.98</f>
        <v>-3.0277533792524774E-2</v>
      </c>
      <c r="O34" s="6">
        <f>IF(SUMIFS('Industrial Summary'!$G:$G,'Industrial Summary'!$F:$F,O$17,'Industrial Summary'!$D:$D,$E34)&gt;0,(-SUMIFS('Industrial Summary'!$G:$G,'Industrial Summary'!$F:$F,O$17,'Industrial Summary'!$D:$D,$E34,'Industrial Summary'!$A:$A,"NGA")/SUMIFS('Industrial Summary'!$G:$G,'Industrial Summary'!$F:$F,O$17,'Industrial Summary'!$D:$D,$E34)),0)*0.98</f>
        <v>-4.8555486101105098E-2</v>
      </c>
      <c r="P34" s="6">
        <f>IF(SUMIFS('Industrial Summary'!$G:$G,'Industrial Summary'!$F:$F,P$17,'Industrial Summary'!$D:$D,$E34)&gt;0,(-SUMIFS('Industrial Summary'!$G:$G,'Industrial Summary'!$F:$F,P$17,'Industrial Summary'!$D:$D,$E34,'Industrial Summary'!$A:$A,"NGA")/SUMIFS('Industrial Summary'!$G:$G,'Industrial Summary'!$F:$F,P$17,'Industrial Summary'!$D:$D,$E34)),0)*0.98</f>
        <v>0</v>
      </c>
      <c r="Q34" s="5">
        <v>0</v>
      </c>
      <c r="R34" s="5">
        <v>15</v>
      </c>
      <c r="S34" s="5" t="str">
        <f t="shared" si="2"/>
        <v>UC_IFDMD_NGA</v>
      </c>
      <c r="V34" s="4" t="str">
        <f t="shared" si="4"/>
        <v>S_IFDMDNGA</v>
      </c>
      <c r="W34" s="4" t="str">
        <f t="shared" si="5"/>
        <v>IFDMD_NGA</v>
      </c>
      <c r="X34" s="4" t="str">
        <f t="shared" si="6"/>
        <v>IFDMDR</v>
      </c>
      <c r="Y34" s="5" t="str">
        <f t="shared" si="7"/>
        <v>LO</v>
      </c>
      <c r="Z34" s="5">
        <v>1</v>
      </c>
      <c r="AA34" s="6">
        <f t="shared" si="8"/>
        <v>-2.705684683961122E-2</v>
      </c>
      <c r="AB34" s="6">
        <f t="shared" si="9"/>
        <v>-2.7056846839611171E-2</v>
      </c>
      <c r="AC34" s="6">
        <f t="shared" si="10"/>
        <v>0</v>
      </c>
      <c r="AD34" s="6">
        <f t="shared" si="11"/>
        <v>0</v>
      </c>
      <c r="AE34" s="6">
        <f t="shared" si="12"/>
        <v>0</v>
      </c>
      <c r="AF34" s="6">
        <f t="shared" si="13"/>
        <v>-2.1799824330617702E-2</v>
      </c>
      <c r="AG34" s="6">
        <f t="shared" si="14"/>
        <v>-2.1799824330617838E-2</v>
      </c>
      <c r="AH34" s="6">
        <f t="shared" si="15"/>
        <v>-3.4959949992795669E-2</v>
      </c>
      <c r="AI34" s="6">
        <f t="shared" si="16"/>
        <v>0</v>
      </c>
      <c r="AL34" s="5" t="str">
        <f t="shared" si="17"/>
        <v>NGA</v>
      </c>
      <c r="AM34" s="5">
        <f>Y5</f>
        <v>0.72</v>
      </c>
    </row>
    <row r="35" spans="1:39" s="5" customFormat="1" x14ac:dyDescent="0.3">
      <c r="C35" s="4" t="s">
        <v>59</v>
      </c>
      <c r="D35" s="5" t="s">
        <v>60</v>
      </c>
      <c r="E35" s="5" t="s">
        <v>710</v>
      </c>
      <c r="F35" s="5" t="s">
        <v>1588</v>
      </c>
      <c r="G35" s="5">
        <v>1</v>
      </c>
      <c r="H35" s="6">
        <f>IF(SUMIFS('Industrial Summary'!$G:$G,'Industrial Summary'!$F:$F,H$17,'Industrial Summary'!$D:$D,$E35)&gt;0,(-SUMIFS('Industrial Summary'!$G:$G,'Industrial Summary'!$F:$F,H$17,'Industrial Summary'!$D:$D,$E35,'Industrial Summary'!$A:$A,"ELC")/SUMIFS('Industrial Summary'!$G:$G,'Industrial Summary'!$F:$F,H$17,'Industrial Summary'!$D:$D,$E35)),0)*0.98</f>
        <v>-0.37292600410438786</v>
      </c>
      <c r="I35" s="6">
        <f>IF(SUMIFS('Industrial Summary'!$G:$G,'Industrial Summary'!$F:$F,I$17,'Industrial Summary'!$D:$D,$E35)&gt;0,(-SUMIFS('Industrial Summary'!$G:$G,'Industrial Summary'!$F:$F,I$17,'Industrial Summary'!$D:$D,$E35,'Industrial Summary'!$A:$A,"ELC")/SUMIFS('Industrial Summary'!$G:$G,'Industrial Summary'!$F:$F,I$17,'Industrial Summary'!$D:$D,$E35)),0)*0.98</f>
        <v>-0.37292600410438997</v>
      </c>
      <c r="J35" s="6">
        <f>IF(SUMIFS('Industrial Summary'!$G:$G,'Industrial Summary'!$F:$F,J$17,'Industrial Summary'!$D:$D,$E35)&gt;0,(-SUMIFS('Industrial Summary'!$G:$G,'Industrial Summary'!$F:$F,J$17,'Industrial Summary'!$D:$D,$E35,'Industrial Summary'!$A:$A,"ELC")/SUMIFS('Industrial Summary'!$G:$G,'Industrial Summary'!$F:$F,J$17,'Industrial Summary'!$D:$D,$E35)),0)*0.98</f>
        <v>-0.5012871554687931</v>
      </c>
      <c r="K35" s="6">
        <f>IF(SUMIFS('Industrial Summary'!$G:$G,'Industrial Summary'!$F:$F,K$17,'Industrial Summary'!$D:$D,$E35)&gt;0,(-SUMIFS('Industrial Summary'!$G:$G,'Industrial Summary'!$F:$F,K$17,'Industrial Summary'!$D:$D,$E35,'Industrial Summary'!$A:$A,"ELC")/SUMIFS('Industrial Summary'!$G:$G,'Industrial Summary'!$F:$F,K$17,'Industrial Summary'!$D:$D,$E35)),0)*0.98</f>
        <v>-0.53318663743349137</v>
      </c>
      <c r="L35" s="6">
        <f>IF(SUMIFS('Industrial Summary'!$G:$G,'Industrial Summary'!$F:$F,L$17,'Industrial Summary'!$D:$D,$E35)&gt;0,(-SUMIFS('Industrial Summary'!$G:$G,'Industrial Summary'!$F:$F,L$17,'Industrial Summary'!$D:$D,$E35,'Industrial Summary'!$A:$A,"ELC")/SUMIFS('Industrial Summary'!$G:$G,'Industrial Summary'!$F:$F,L$17,'Industrial Summary'!$D:$D,$E35)),0)*0.98</f>
        <v>-0.54803619307100504</v>
      </c>
      <c r="M35" s="6">
        <f>IF(SUMIFS('Industrial Summary'!$G:$G,'Industrial Summary'!$F:$F,M$17,'Industrial Summary'!$D:$D,$E35)&gt;0,(-SUMIFS('Industrial Summary'!$G:$G,'Industrial Summary'!$F:$F,M$17,'Industrial Summary'!$D:$D,$E35,'Industrial Summary'!$A:$A,"ELC")/SUMIFS('Industrial Summary'!$G:$G,'Industrial Summary'!$F:$F,M$17,'Industrial Summary'!$D:$D,$E35)),0)*0.98</f>
        <v>-0.43842895445680474</v>
      </c>
      <c r="N35" s="6">
        <f>IF(SUMIFS('Industrial Summary'!$G:$G,'Industrial Summary'!$F:$F,N$17,'Industrial Summary'!$D:$D,$E35)&gt;0,(-SUMIFS('Industrial Summary'!$G:$G,'Industrial Summary'!$F:$F,N$17,'Industrial Summary'!$D:$D,$E35,'Industrial Summary'!$A:$A,"ELC")/SUMIFS('Industrial Summary'!$G:$G,'Industrial Summary'!$F:$F,N$17,'Industrial Summary'!$D:$D,$E35)),0)*0.98</f>
        <v>-0.43842895445680674</v>
      </c>
      <c r="O35" s="6">
        <f>IF(SUMIFS('Industrial Summary'!$G:$G,'Industrial Summary'!$F:$F,O$17,'Industrial Summary'!$D:$D,$E35)&gt;0,(-SUMIFS('Industrial Summary'!$G:$G,'Industrial Summary'!$F:$F,O$17,'Industrial Summary'!$D:$D,$E35,'Industrial Summary'!$A:$A,"ELC")/SUMIFS('Industrial Summary'!$G:$G,'Industrial Summary'!$F:$F,O$17,'Industrial Summary'!$D:$D,$E35)),0)*0.98</f>
        <v>-0.29460726739253884</v>
      </c>
      <c r="P35" s="6">
        <f>IF(SUMIFS('Industrial Summary'!$G:$G,'Industrial Summary'!$F:$F,P$17,'Industrial Summary'!$D:$D,$E35)&gt;0,(-SUMIFS('Industrial Summary'!$G:$G,'Industrial Summary'!$F:$F,P$17,'Industrial Summary'!$D:$D,$E35,'Industrial Summary'!$A:$A,"ELC")/SUMIFS('Industrial Summary'!$G:$G,'Industrial Summary'!$F:$F,P$17,'Industrial Summary'!$D:$D,$E35)),0)*0.98</f>
        <v>-0.34659678516769116</v>
      </c>
      <c r="Q35" s="5">
        <v>0</v>
      </c>
      <c r="R35" s="5">
        <v>15</v>
      </c>
      <c r="S35" s="5" t="str">
        <f t="shared" si="2"/>
        <v>UC_IFDFA_ELC</v>
      </c>
      <c r="V35" s="4" t="str">
        <f t="shared" si="4"/>
        <v>S_IFDFAELC</v>
      </c>
      <c r="W35" s="4" t="str">
        <f t="shared" si="5"/>
        <v>IFDFA_ELC</v>
      </c>
      <c r="X35" s="4" t="str">
        <f t="shared" si="6"/>
        <v>IFDFAC</v>
      </c>
      <c r="Y35" s="5" t="str">
        <f t="shared" si="7"/>
        <v>LO</v>
      </c>
      <c r="Z35" s="5">
        <v>1</v>
      </c>
      <c r="AA35" s="6">
        <f t="shared" si="8"/>
        <v>-0.37292600410438786</v>
      </c>
      <c r="AB35" s="6">
        <f t="shared" si="9"/>
        <v>-0.37292600410438997</v>
      </c>
      <c r="AC35" s="6">
        <f t="shared" si="10"/>
        <v>-0.5012871554687931</v>
      </c>
      <c r="AD35" s="6">
        <f t="shared" si="11"/>
        <v>-0.53318663743349137</v>
      </c>
      <c r="AE35" s="6">
        <f t="shared" si="12"/>
        <v>-0.54803619307100504</v>
      </c>
      <c r="AF35" s="6">
        <f t="shared" si="13"/>
        <v>-0.43842895445680474</v>
      </c>
      <c r="AG35" s="6">
        <f t="shared" si="14"/>
        <v>-0.43842895445680674</v>
      </c>
      <c r="AH35" s="6">
        <f t="shared" si="15"/>
        <v>-0.29460726739253884</v>
      </c>
      <c r="AI35" s="6">
        <f t="shared" si="16"/>
        <v>-0.34659678516769116</v>
      </c>
      <c r="AL35" s="5" t="str">
        <f t="shared" si="17"/>
        <v>ELC</v>
      </c>
      <c r="AM35" s="5">
        <f>1</f>
        <v>1</v>
      </c>
    </row>
    <row r="36" spans="1:39" s="5" customFormat="1" x14ac:dyDescent="0.3">
      <c r="C36" s="4" t="s">
        <v>61</v>
      </c>
      <c r="D36" s="5" t="s">
        <v>62</v>
      </c>
      <c r="E36" s="5" t="s">
        <v>710</v>
      </c>
      <c r="F36" s="5" t="s">
        <v>1588</v>
      </c>
      <c r="G36" s="5">
        <v>1</v>
      </c>
      <c r="H36" s="6">
        <f>IF(SUMIFS('Industrial Summary'!$G:$G,'Industrial Summary'!$F:$F,H$17,'Industrial Summary'!$D:$D,$E36)&gt;0,(-SUMIFS('Industrial Summary'!$G:$G,'Industrial Summary'!$F:$F,H$17,'Industrial Summary'!$D:$D,$E36,'Industrial Summary'!$A:$A,"DST")/SUMIFS('Industrial Summary'!$G:$G,'Industrial Summary'!$F:$F,H$17,'Industrial Summary'!$D:$D,$E36)),0)*0.98</f>
        <v>-0.10293395674615262</v>
      </c>
      <c r="I36" s="6">
        <f>IF(SUMIFS('Industrial Summary'!$G:$G,'Industrial Summary'!$F:$F,I$17,'Industrial Summary'!$D:$D,$E36)&gt;0,(-SUMIFS('Industrial Summary'!$G:$G,'Industrial Summary'!$F:$F,I$17,'Industrial Summary'!$D:$D,$E36,'Industrial Summary'!$A:$A,"DST")/SUMIFS('Industrial Summary'!$G:$G,'Industrial Summary'!$F:$F,I$17,'Industrial Summary'!$D:$D,$E36)),0)*0.98</f>
        <v>-0.10293395674615269</v>
      </c>
      <c r="J36" s="6">
        <f>IF(SUMIFS('Industrial Summary'!$G:$G,'Industrial Summary'!$F:$F,J$17,'Industrial Summary'!$D:$D,$E36)&gt;0,(-SUMIFS('Industrial Summary'!$G:$G,'Industrial Summary'!$F:$F,J$17,'Industrial Summary'!$D:$D,$E36,'Industrial Summary'!$A:$A,"DST")/SUMIFS('Industrial Summary'!$G:$G,'Industrial Summary'!$F:$F,J$17,'Industrial Summary'!$D:$D,$E36)),0)*0.98</f>
        <v>0</v>
      </c>
      <c r="K36" s="6">
        <f>IF(SUMIFS('Industrial Summary'!$G:$G,'Industrial Summary'!$F:$F,K$17,'Industrial Summary'!$D:$D,$E36)&gt;0,(-SUMIFS('Industrial Summary'!$G:$G,'Industrial Summary'!$F:$F,K$17,'Industrial Summary'!$D:$D,$E36,'Industrial Summary'!$A:$A,"DST")/SUMIFS('Industrial Summary'!$G:$G,'Industrial Summary'!$F:$F,K$17,'Industrial Summary'!$D:$D,$E36)),0)*0.98</f>
        <v>0</v>
      </c>
      <c r="L36" s="6">
        <f>IF(SUMIFS('Industrial Summary'!$G:$G,'Industrial Summary'!$F:$F,L$17,'Industrial Summary'!$D:$D,$E36)&gt;0,(-SUMIFS('Industrial Summary'!$G:$G,'Industrial Summary'!$F:$F,L$17,'Industrial Summary'!$D:$D,$E36,'Industrial Summary'!$A:$A,"DST")/SUMIFS('Industrial Summary'!$G:$G,'Industrial Summary'!$F:$F,L$17,'Industrial Summary'!$D:$D,$E36)),0)*0.98</f>
        <v>0</v>
      </c>
      <c r="M36" s="6">
        <f>IF(SUMIFS('Industrial Summary'!$G:$G,'Industrial Summary'!$F:$F,M$17,'Industrial Summary'!$D:$D,$E36)&gt;0,(-SUMIFS('Industrial Summary'!$G:$G,'Industrial Summary'!$F:$F,M$17,'Industrial Summary'!$D:$D,$E36,'Industrial Summary'!$A:$A,"DST")/SUMIFS('Industrial Summary'!$G:$G,'Industrial Summary'!$F:$F,M$17,'Industrial Summary'!$D:$D,$E36)),0)*0.98</f>
        <v>-7.3527427805652662E-2</v>
      </c>
      <c r="N36" s="6">
        <f>IF(SUMIFS('Industrial Summary'!$G:$G,'Industrial Summary'!$F:$F,N$17,'Industrial Summary'!$D:$D,$E36)&gt;0,(-SUMIFS('Industrial Summary'!$G:$G,'Industrial Summary'!$F:$F,N$17,'Industrial Summary'!$D:$D,$E36,'Industrial Summary'!$A:$A,"DST")/SUMIFS('Industrial Summary'!$G:$G,'Industrial Summary'!$F:$F,N$17,'Industrial Summary'!$D:$D,$E36)),0)*0.98</f>
        <v>-7.3527427805653009E-2</v>
      </c>
      <c r="O36" s="6">
        <f>IF(SUMIFS('Industrial Summary'!$G:$G,'Industrial Summary'!$F:$F,O$17,'Industrial Summary'!$D:$D,$E36)&gt;0,(-SUMIFS('Industrial Summary'!$G:$G,'Industrial Summary'!$F:$F,O$17,'Industrial Summary'!$D:$D,$E36,'Industrial Summary'!$A:$A,"DST")/SUMIFS('Industrial Summary'!$G:$G,'Industrial Summary'!$F:$F,O$17,'Industrial Summary'!$D:$D,$E36)),0)*0.98</f>
        <v>-0.17453328816372099</v>
      </c>
      <c r="P36" s="6">
        <f>IF(SUMIFS('Industrial Summary'!$G:$G,'Industrial Summary'!$F:$F,P$17,'Industrial Summary'!$D:$D,$E36)&gt;0,(-SUMIFS('Industrial Summary'!$G:$G,'Industrial Summary'!$F:$F,P$17,'Industrial Summary'!$D:$D,$E36,'Industrial Summary'!$A:$A,"DST")/SUMIFS('Industrial Summary'!$G:$G,'Industrial Summary'!$F:$F,P$17,'Industrial Summary'!$D:$D,$E36)),0)*0.98</f>
        <v>-3.2392103722028942E-2</v>
      </c>
      <c r="Q36" s="5">
        <v>0</v>
      </c>
      <c r="R36" s="5">
        <v>15</v>
      </c>
      <c r="S36" s="5" t="str">
        <f t="shared" si="2"/>
        <v>UC_IFDFA_DST</v>
      </c>
      <c r="V36" s="4" t="str">
        <f t="shared" si="4"/>
        <v>S_IFDFADST</v>
      </c>
      <c r="W36" s="4" t="str">
        <f t="shared" si="5"/>
        <v>IFDFA_DST</v>
      </c>
      <c r="X36" s="4" t="str">
        <f t="shared" si="6"/>
        <v>IFDFAC</v>
      </c>
      <c r="Y36" s="5" t="str">
        <f t="shared" si="7"/>
        <v>LO</v>
      </c>
      <c r="Z36" s="5">
        <v>1</v>
      </c>
      <c r="AA36" s="6">
        <f t="shared" si="8"/>
        <v>-0.10293395674615262</v>
      </c>
      <c r="AB36" s="6">
        <f t="shared" si="9"/>
        <v>-0.10293395674615269</v>
      </c>
      <c r="AC36" s="6">
        <f t="shared" si="10"/>
        <v>0</v>
      </c>
      <c r="AD36" s="6">
        <f t="shared" si="11"/>
        <v>0</v>
      </c>
      <c r="AE36" s="6">
        <f t="shared" si="12"/>
        <v>0</v>
      </c>
      <c r="AF36" s="6">
        <f t="shared" si="13"/>
        <v>-7.3527427805652662E-2</v>
      </c>
      <c r="AG36" s="6">
        <f t="shared" si="14"/>
        <v>-7.3527427805653009E-2</v>
      </c>
      <c r="AH36" s="6">
        <f t="shared" si="15"/>
        <v>-0.17453328816372099</v>
      </c>
      <c r="AI36" s="6">
        <f t="shared" si="16"/>
        <v>-3.2392103722028942E-2</v>
      </c>
      <c r="AL36" s="5" t="str">
        <f t="shared" si="17"/>
        <v>DST</v>
      </c>
      <c r="AM36" s="5">
        <f>1</f>
        <v>1</v>
      </c>
    </row>
    <row r="37" spans="1:39" s="5" customFormat="1" x14ac:dyDescent="0.3">
      <c r="C37" s="4" t="s">
        <v>63</v>
      </c>
      <c r="D37" s="5" t="s">
        <v>64</v>
      </c>
      <c r="E37" s="5" t="s">
        <v>710</v>
      </c>
      <c r="F37" s="5" t="s">
        <v>1588</v>
      </c>
      <c r="G37" s="5">
        <v>1</v>
      </c>
      <c r="H37" s="6">
        <f>IF(SUMIFS('Industrial Summary'!$G:$G,'Industrial Summary'!$F:$F,H$17,'Industrial Summary'!$D:$D,$E37)&gt;0,(-SUMIFS('Industrial Summary'!$G:$G,'Industrial Summary'!$F:$F,H$17,'Industrial Summary'!$D:$D,$E37,'Industrial Summary'!$A:$A,"NGA")/SUMIFS('Industrial Summary'!$G:$G,'Industrial Summary'!$F:$F,H$17,'Industrial Summary'!$D:$D,$E37)),0)*0.98</f>
        <v>-0.47406789924079723</v>
      </c>
      <c r="I37" s="6">
        <f>IF(SUMIFS('Industrial Summary'!$G:$G,'Industrial Summary'!$F:$F,I$17,'Industrial Summary'!$D:$D,$E37)&gt;0,(-SUMIFS('Industrial Summary'!$G:$G,'Industrial Summary'!$F:$F,I$17,'Industrial Summary'!$D:$D,$E37,'Industrial Summary'!$A:$A,"NGA")/SUMIFS('Industrial Summary'!$G:$G,'Industrial Summary'!$F:$F,I$17,'Industrial Summary'!$D:$D,$E37)),0)*0.98</f>
        <v>-0.47406789924079734</v>
      </c>
      <c r="J37" s="6">
        <f>IF(SUMIFS('Industrial Summary'!$G:$G,'Industrial Summary'!$F:$F,J$17,'Industrial Summary'!$D:$D,$E37)&gt;0,(-SUMIFS('Industrial Summary'!$G:$G,'Industrial Summary'!$F:$F,J$17,'Industrial Summary'!$D:$D,$E37,'Industrial Summary'!$A:$A,"NGA")/SUMIFS('Industrial Summary'!$G:$G,'Industrial Summary'!$F:$F,J$17,'Industrial Summary'!$D:$D,$E37)),0)*0.98</f>
        <v>-0.46128765292299573</v>
      </c>
      <c r="K37" s="6">
        <f>IF(SUMIFS('Industrial Summary'!$G:$G,'Industrial Summary'!$F:$F,K$17,'Industrial Summary'!$D:$D,$E37)&gt;0,(-SUMIFS('Industrial Summary'!$G:$G,'Industrial Summary'!$F:$F,K$17,'Industrial Summary'!$D:$D,$E37,'Industrial Summary'!$A:$A,"NGA")/SUMIFS('Industrial Summary'!$G:$G,'Industrial Summary'!$F:$F,K$17,'Industrial Summary'!$D:$D,$E37)),0)*0.98</f>
        <v>-0.42827931632403543</v>
      </c>
      <c r="L37" s="6">
        <f>IF(SUMIFS('Industrial Summary'!$G:$G,'Industrial Summary'!$F:$F,L$17,'Industrial Summary'!$D:$D,$E37)&gt;0,(-SUMIFS('Industrial Summary'!$G:$G,'Industrial Summary'!$F:$F,L$17,'Industrial Summary'!$D:$D,$E37,'Industrial Summary'!$A:$A,"NGA")/SUMIFS('Industrial Summary'!$G:$G,'Industrial Summary'!$F:$F,L$17,'Industrial Summary'!$D:$D,$E37)),0)*0.98</f>
        <v>-0.42895701373182266</v>
      </c>
      <c r="M37" s="6">
        <f>IF(SUMIFS('Industrial Summary'!$G:$G,'Industrial Summary'!$F:$F,M$17,'Industrial Summary'!$D:$D,$E37)&gt;0,(-SUMIFS('Industrial Summary'!$G:$G,'Industrial Summary'!$F:$F,M$17,'Industrial Summary'!$D:$D,$E37,'Industrial Summary'!$A:$A,"NGA")/SUMIFS('Industrial Summary'!$G:$G,'Industrial Summary'!$F:$F,M$17,'Industrial Summary'!$D:$D,$E37)),0)*0.98</f>
        <v>-0.4444578355770985</v>
      </c>
      <c r="N37" s="6">
        <f>IF(SUMIFS('Industrial Summary'!$G:$G,'Industrial Summary'!$F:$F,N$17,'Industrial Summary'!$D:$D,$E37)&gt;0,(-SUMIFS('Industrial Summary'!$G:$G,'Industrial Summary'!$F:$F,N$17,'Industrial Summary'!$D:$D,$E37,'Industrial Summary'!$A:$A,"NGA")/SUMIFS('Industrial Summary'!$G:$G,'Industrial Summary'!$F:$F,N$17,'Industrial Summary'!$D:$D,$E37)),0)*0.98</f>
        <v>-0.44445783557710117</v>
      </c>
      <c r="O37" s="6">
        <f>IF(SUMIFS('Industrial Summary'!$G:$G,'Industrial Summary'!$F:$F,O$17,'Industrial Summary'!$D:$D,$E37)&gt;0,(-SUMIFS('Industrial Summary'!$G:$G,'Industrial Summary'!$F:$F,O$17,'Industrial Summary'!$D:$D,$E37,'Industrial Summary'!$A:$A,"NGA")/SUMIFS('Industrial Summary'!$G:$G,'Industrial Summary'!$F:$F,O$17,'Industrial Summary'!$D:$D,$E37)),0)*0.98</f>
        <v>-0.49325470887921868</v>
      </c>
      <c r="P37" s="6">
        <f>IF(SUMIFS('Industrial Summary'!$G:$G,'Industrial Summary'!$F:$F,P$17,'Industrial Summary'!$D:$D,$E37)&gt;0,(-SUMIFS('Industrial Summary'!$G:$G,'Industrial Summary'!$F:$F,P$17,'Industrial Summary'!$D:$D,$E37,'Industrial Summary'!$A:$A,"NGA")/SUMIFS('Industrial Summary'!$G:$G,'Industrial Summary'!$F:$F,P$17,'Industrial Summary'!$D:$D,$E37)),0)*0.98</f>
        <v>-0.58029965750496071</v>
      </c>
      <c r="Q37" s="5">
        <v>0</v>
      </c>
      <c r="R37" s="5">
        <v>15</v>
      </c>
      <c r="S37" s="5" t="str">
        <f t="shared" si="2"/>
        <v>UC_IFDFA_NGA</v>
      </c>
      <c r="V37" s="4" t="str">
        <f t="shared" si="4"/>
        <v>S_IFDFANGA</v>
      </c>
      <c r="W37" s="4" t="str">
        <f t="shared" si="5"/>
        <v>IFDFA_NGA</v>
      </c>
      <c r="X37" s="4" t="str">
        <f t="shared" si="6"/>
        <v>IFDFAC</v>
      </c>
      <c r="Y37" s="5" t="str">
        <f t="shared" si="7"/>
        <v>LO</v>
      </c>
      <c r="Z37" s="5">
        <v>1</v>
      </c>
      <c r="AA37" s="6">
        <f t="shared" si="8"/>
        <v>-0.34132888745337397</v>
      </c>
      <c r="AB37" s="6">
        <f t="shared" si="9"/>
        <v>-0.34132888745337409</v>
      </c>
      <c r="AC37" s="6">
        <f t="shared" si="10"/>
        <v>-0.33212711010455692</v>
      </c>
      <c r="AD37" s="6">
        <f t="shared" si="11"/>
        <v>-0.3083611077533055</v>
      </c>
      <c r="AE37" s="6">
        <f t="shared" si="12"/>
        <v>-0.30884904988691231</v>
      </c>
      <c r="AF37" s="6">
        <f t="shared" si="13"/>
        <v>-0.32000964161551093</v>
      </c>
      <c r="AG37" s="6">
        <f t="shared" si="14"/>
        <v>-0.32000964161551282</v>
      </c>
      <c r="AH37" s="6">
        <f t="shared" si="15"/>
        <v>-0.35514339039303744</v>
      </c>
      <c r="AI37" s="6">
        <f t="shared" si="16"/>
        <v>-0.41781575340357169</v>
      </c>
      <c r="AL37" s="5" t="str">
        <f t="shared" si="17"/>
        <v>NGA</v>
      </c>
      <c r="AM37" s="5">
        <f>Y5</f>
        <v>0.72</v>
      </c>
    </row>
    <row r="38" spans="1:39" s="5" customFormat="1" x14ac:dyDescent="0.3">
      <c r="C38" s="4" t="s">
        <v>65</v>
      </c>
      <c r="D38" s="5" t="s">
        <v>66</v>
      </c>
      <c r="E38" s="5" t="s">
        <v>710</v>
      </c>
      <c r="F38" s="5" t="s">
        <v>1588</v>
      </c>
      <c r="G38" s="5">
        <v>1</v>
      </c>
      <c r="H38" s="6">
        <f>IF(SUMIFS('Industrial Summary'!$G:$G,'Industrial Summary'!$F:$F,H$17,'Industrial Summary'!$D:$D,$E38)&gt;0,(-SUMIFS('Industrial Summary'!$G:$G,'Industrial Summary'!$F:$F,H$17,'Industrial Summary'!$D:$D,$E38,'Industrial Summary'!$A:$A,"LPG")/SUMIFS('Industrial Summary'!$G:$G,'Industrial Summary'!$F:$F,H$17,'Industrial Summary'!$D:$D,$E38)),0)*0.98</f>
        <v>-2.9651207026689975E-2</v>
      </c>
      <c r="I38" s="6">
        <f>IF(SUMIFS('Industrial Summary'!$G:$G,'Industrial Summary'!$F:$F,I$17,'Industrial Summary'!$D:$D,$E38)&gt;0,(-SUMIFS('Industrial Summary'!$G:$G,'Industrial Summary'!$F:$F,I$17,'Industrial Summary'!$D:$D,$E38,'Industrial Summary'!$A:$A,"LPG")/SUMIFS('Industrial Summary'!$G:$G,'Industrial Summary'!$F:$F,I$17,'Industrial Summary'!$D:$D,$E38)),0)*0.98</f>
        <v>-2.9651207026687606E-2</v>
      </c>
      <c r="J38" s="6">
        <f>IF(SUMIFS('Industrial Summary'!$G:$G,'Industrial Summary'!$F:$F,J$17,'Industrial Summary'!$D:$D,$E38)&gt;0,(-SUMIFS('Industrial Summary'!$G:$G,'Industrial Summary'!$F:$F,J$17,'Industrial Summary'!$D:$D,$E38,'Industrial Summary'!$A:$A,"LPG")/SUMIFS('Industrial Summary'!$G:$G,'Industrial Summary'!$F:$F,J$17,'Industrial Summary'!$D:$D,$E38)),0)*0.98</f>
        <v>0</v>
      </c>
      <c r="K38" s="6">
        <f>IF(SUMIFS('Industrial Summary'!$G:$G,'Industrial Summary'!$F:$F,K$17,'Industrial Summary'!$D:$D,$E38)&gt;0,(-SUMIFS('Industrial Summary'!$G:$G,'Industrial Summary'!$F:$F,K$17,'Industrial Summary'!$D:$D,$E38,'Industrial Summary'!$A:$A,"LPG")/SUMIFS('Industrial Summary'!$G:$G,'Industrial Summary'!$F:$F,K$17,'Industrial Summary'!$D:$D,$E38)),0)*0.98</f>
        <v>0</v>
      </c>
      <c r="L38" s="6">
        <f>IF(SUMIFS('Industrial Summary'!$G:$G,'Industrial Summary'!$F:$F,L$17,'Industrial Summary'!$D:$D,$E38)&gt;0,(-SUMIFS('Industrial Summary'!$G:$G,'Industrial Summary'!$F:$F,L$17,'Industrial Summary'!$D:$D,$E38,'Industrial Summary'!$A:$A,"LPG")/SUMIFS('Industrial Summary'!$G:$G,'Industrial Summary'!$F:$F,L$17,'Industrial Summary'!$D:$D,$E38)),0)*0.98</f>
        <v>0</v>
      </c>
      <c r="M38" s="6">
        <f>IF(SUMIFS('Industrial Summary'!$G:$G,'Industrial Summary'!$F:$F,M$17,'Industrial Summary'!$D:$D,$E38)&gt;0,(-SUMIFS('Industrial Summary'!$G:$G,'Industrial Summary'!$F:$F,M$17,'Industrial Summary'!$D:$D,$E38,'Industrial Summary'!$A:$A,"LPG")/SUMIFS('Industrial Summary'!$G:$G,'Industrial Summary'!$F:$F,M$17,'Industrial Summary'!$D:$D,$E38)),0)*0.98</f>
        <v>-2.1180347602706338E-2</v>
      </c>
      <c r="N38" s="6">
        <f>IF(SUMIFS('Industrial Summary'!$G:$G,'Industrial Summary'!$F:$F,N$17,'Industrial Summary'!$D:$D,$E38)&gt;0,(-SUMIFS('Industrial Summary'!$G:$G,'Industrial Summary'!$F:$F,N$17,'Industrial Summary'!$D:$D,$E38,'Industrial Summary'!$A:$A,"LPG")/SUMIFS('Industrial Summary'!$G:$G,'Industrial Summary'!$F:$F,N$17,'Industrial Summary'!$D:$D,$E38)),0)*0.98</f>
        <v>-2.118034760270129E-2</v>
      </c>
      <c r="O38" s="6">
        <f>IF(SUMIFS('Industrial Summary'!$G:$G,'Industrial Summary'!$F:$F,O$17,'Industrial Summary'!$D:$D,$E38)&gt;0,(-SUMIFS('Industrial Summary'!$G:$G,'Industrial Summary'!$F:$F,O$17,'Industrial Summary'!$D:$D,$E38,'Industrial Summary'!$A:$A,"LPG")/SUMIFS('Industrial Summary'!$G:$G,'Industrial Summary'!$F:$F,O$17,'Industrial Summary'!$D:$D,$E38)),0)*0.98</f>
        <v>-1.3711676241867974E-2</v>
      </c>
      <c r="P38" s="6">
        <f>IF(SUMIFS('Industrial Summary'!$G:$G,'Industrial Summary'!$F:$F,P$17,'Industrial Summary'!$D:$D,$E38)&gt;0,(-SUMIFS('Industrial Summary'!$G:$G,'Industrial Summary'!$F:$F,P$17,'Industrial Summary'!$D:$D,$E38,'Industrial Summary'!$A:$A,"LPG")/SUMIFS('Industrial Summary'!$G:$G,'Industrial Summary'!$F:$F,P$17,'Industrial Summary'!$D:$D,$E38)),0)*0.98</f>
        <v>-1.6131383813962265E-2</v>
      </c>
      <c r="Q38" s="5">
        <v>0</v>
      </c>
      <c r="R38" s="5">
        <v>15</v>
      </c>
      <c r="S38" s="5" t="str">
        <f t="shared" si="2"/>
        <v>UC_IFDFA_LPG</v>
      </c>
      <c r="V38" s="4" t="str">
        <f t="shared" si="4"/>
        <v>S_IFDFALPG</v>
      </c>
      <c r="W38" s="4" t="str">
        <f t="shared" si="5"/>
        <v>IFDFA_LPG</v>
      </c>
      <c r="X38" s="4" t="str">
        <f t="shared" si="6"/>
        <v>IFDFAC</v>
      </c>
      <c r="Y38" s="5" t="str">
        <f t="shared" si="7"/>
        <v>LO</v>
      </c>
      <c r="Z38" s="5">
        <v>1</v>
      </c>
      <c r="AA38" s="6">
        <f t="shared" si="8"/>
        <v>-2.134886905921678E-2</v>
      </c>
      <c r="AB38" s="6">
        <f t="shared" si="9"/>
        <v>-2.1348869059215077E-2</v>
      </c>
      <c r="AC38" s="6">
        <f t="shared" si="10"/>
        <v>0</v>
      </c>
      <c r="AD38" s="6">
        <f t="shared" si="11"/>
        <v>0</v>
      </c>
      <c r="AE38" s="6">
        <f t="shared" si="12"/>
        <v>0</v>
      </c>
      <c r="AF38" s="6">
        <f t="shared" si="13"/>
        <v>-1.5249850273948562E-2</v>
      </c>
      <c r="AG38" s="6">
        <f t="shared" si="14"/>
        <v>-1.5249850273944928E-2</v>
      </c>
      <c r="AH38" s="6">
        <f t="shared" si="15"/>
        <v>-9.8724068941449406E-3</v>
      </c>
      <c r="AI38" s="6">
        <f t="shared" si="16"/>
        <v>-1.161459634605283E-2</v>
      </c>
      <c r="AL38" s="5" t="str">
        <f t="shared" si="17"/>
        <v>LPG</v>
      </c>
      <c r="AM38" s="5">
        <f>Y5</f>
        <v>0.72</v>
      </c>
    </row>
    <row r="39" spans="1:39" s="5" customFormat="1" x14ac:dyDescent="0.3">
      <c r="A39" s="8"/>
      <c r="C39" s="4" t="s">
        <v>67</v>
      </c>
      <c r="D39" s="5" t="s">
        <v>68</v>
      </c>
      <c r="E39" s="5" t="s">
        <v>710</v>
      </c>
      <c r="F39" s="5" t="s">
        <v>1591</v>
      </c>
      <c r="G39" s="5">
        <v>1</v>
      </c>
      <c r="H39" s="6">
        <f>IF(SUMIFS('Industrial Summary'!$G:$G,'Industrial Summary'!$F:$F,H$17,'Industrial Summary'!$D:$D,$E39)&gt;0,(-SUMIFS('Industrial Summary'!$G:$G,'Industrial Summary'!$F:$F,H$17,'Industrial Summary'!$D:$D,$E39,'Industrial Summary'!$A:$A,"COA")/SUMIFS('Industrial Summary'!$G:$G,'Industrial Summary'!$F:$F,H$17,'Industrial Summary'!$D:$D,$E39)),0)*0.98</f>
        <v>-4.2093288197220127E-4</v>
      </c>
      <c r="I39" s="6">
        <f>IF(SUMIFS('Industrial Summary'!$G:$G,'Industrial Summary'!$F:$F,I$17,'Industrial Summary'!$D:$D,$E39)&gt;0,(-SUMIFS('Industrial Summary'!$G:$G,'Industrial Summary'!$F:$F,I$17,'Industrial Summary'!$D:$D,$E39,'Industrial Summary'!$A:$A,"COA")/SUMIFS('Industrial Summary'!$G:$G,'Industrial Summary'!$F:$F,I$17,'Industrial Summary'!$D:$D,$E39)),0)*0.98</f>
        <v>-4.209328819722016E-4</v>
      </c>
      <c r="J39" s="6">
        <f>IF(SUMIFS('Industrial Summary'!$G:$G,'Industrial Summary'!$F:$F,J$17,'Industrial Summary'!$D:$D,$E39)&gt;0,(-SUMIFS('Industrial Summary'!$G:$G,'Industrial Summary'!$F:$F,J$17,'Industrial Summary'!$D:$D,$E39,'Industrial Summary'!$A:$A,"COA")/SUMIFS('Industrial Summary'!$G:$G,'Industrial Summary'!$F:$F,J$17,'Industrial Summary'!$D:$D,$E39)),0)*0.98</f>
        <v>-1.74251916082112E-2</v>
      </c>
      <c r="K39" s="6">
        <f>IF(SUMIFS('Industrial Summary'!$G:$G,'Industrial Summary'!$F:$F,K$17,'Industrial Summary'!$D:$D,$E39)&gt;0,(-SUMIFS('Industrial Summary'!$G:$G,'Industrial Summary'!$F:$F,K$17,'Industrial Summary'!$D:$D,$E39,'Industrial Summary'!$A:$A,"COA")/SUMIFS('Industrial Summary'!$G:$G,'Industrial Summary'!$F:$F,K$17,'Industrial Summary'!$D:$D,$E39)),0)*0.98</f>
        <v>-1.8534046242473085E-2</v>
      </c>
      <c r="L39" s="6">
        <f>IF(SUMIFS('Industrial Summary'!$G:$G,'Industrial Summary'!$F:$F,L$17,'Industrial Summary'!$D:$D,$E39)&gt;0,(-SUMIFS('Industrial Summary'!$G:$G,'Industrial Summary'!$F:$F,L$17,'Industrial Summary'!$D:$D,$E39,'Industrial Summary'!$A:$A,"COA")/SUMIFS('Industrial Summary'!$G:$G,'Industrial Summary'!$F:$F,L$17,'Industrial Summary'!$D:$D,$E39)),0)*0.98</f>
        <v>-3.0067931971723442E-3</v>
      </c>
      <c r="M39" s="6">
        <f>IF(SUMIFS('Industrial Summary'!$G:$G,'Industrial Summary'!$F:$F,M$17,'Industrial Summary'!$D:$D,$E39)&gt;0,(-SUMIFS('Industrial Summary'!$G:$G,'Industrial Summary'!$F:$F,M$17,'Industrial Summary'!$D:$D,$E39,'Industrial Summary'!$A:$A,"COA")/SUMIFS('Industrial Summary'!$G:$G,'Industrial Summary'!$F:$F,M$17,'Industrial Summary'!$D:$D,$E39)),0)*0.98</f>
        <v>-2.4054345577378664E-3</v>
      </c>
      <c r="N39" s="6">
        <f>IF(SUMIFS('Industrial Summary'!$G:$G,'Industrial Summary'!$F:$F,N$17,'Industrial Summary'!$D:$D,$E39)&gt;0,(-SUMIFS('Industrial Summary'!$G:$G,'Industrial Summary'!$F:$F,N$17,'Industrial Summary'!$D:$D,$E39,'Industrial Summary'!$A:$A,"COA")/SUMIFS('Industrial Summary'!$G:$G,'Industrial Summary'!$F:$F,N$17,'Industrial Summary'!$D:$D,$E39)),0)*0.98</f>
        <v>-2.4054345577378838E-3</v>
      </c>
      <c r="O39" s="6">
        <f>IF(SUMIFS('Industrial Summary'!$G:$G,'Industrial Summary'!$F:$F,O$17,'Industrial Summary'!$D:$D,$E39)&gt;0,(-SUMIFS('Industrial Summary'!$G:$G,'Industrial Summary'!$F:$F,O$17,'Industrial Summary'!$D:$D,$E39,'Industrial Summary'!$A:$A,"COA")/SUMIFS('Industrial Summary'!$G:$G,'Industrial Summary'!$F:$F,O$17,'Industrial Summary'!$D:$D,$E39)),0)*0.98</f>
        <v>-3.893059322653449E-3</v>
      </c>
      <c r="P39" s="6">
        <f>IF(SUMIFS('Industrial Summary'!$G:$G,'Industrial Summary'!$F:$F,P$17,'Industrial Summary'!$D:$D,$E39)&gt;0,(-SUMIFS('Industrial Summary'!$G:$G,'Industrial Summary'!$F:$F,P$17,'Industrial Summary'!$D:$D,$E39,'Industrial Summary'!$A:$A,"COA")/SUMIFS('Industrial Summary'!$G:$G,'Industrial Summary'!$F:$F,P$17,'Industrial Summary'!$D:$D,$E39)),0)*0.98</f>
        <v>-4.580069791356986E-3</v>
      </c>
      <c r="Q39" s="5">
        <v>0</v>
      </c>
      <c r="R39" s="5">
        <v>15</v>
      </c>
      <c r="S39" s="5" t="str">
        <f t="shared" si="2"/>
        <v>UC_IFDFA_COA</v>
      </c>
      <c r="V39" s="4" t="str">
        <f t="shared" si="4"/>
        <v>S_IFDFACOA</v>
      </c>
      <c r="W39" s="4" t="str">
        <f t="shared" si="5"/>
        <v>IFDFA_COA</v>
      </c>
      <c r="X39" s="4" t="str">
        <f t="shared" si="6"/>
        <v>IFDFAC</v>
      </c>
      <c r="Y39" s="5" t="str">
        <f t="shared" si="7"/>
        <v>UP</v>
      </c>
      <c r="Z39" s="5">
        <v>1</v>
      </c>
      <c r="AA39" s="6">
        <f t="shared" si="8"/>
        <v>-3.3674630557776103E-4</v>
      </c>
      <c r="AB39" s="6">
        <f t="shared" si="9"/>
        <v>-3.367463055777613E-4</v>
      </c>
      <c r="AC39" s="6">
        <f t="shared" si="10"/>
        <v>-1.394015328656896E-2</v>
      </c>
      <c r="AD39" s="6">
        <f t="shared" si="11"/>
        <v>-1.482723699397847E-2</v>
      </c>
      <c r="AE39" s="6">
        <f t="shared" si="12"/>
        <v>-2.4054345577378755E-3</v>
      </c>
      <c r="AF39" s="6">
        <f t="shared" si="13"/>
        <v>-1.9243476461902932E-3</v>
      </c>
      <c r="AG39" s="6">
        <f t="shared" si="14"/>
        <v>-1.9243476461903071E-3</v>
      </c>
      <c r="AH39" s="6">
        <f t="shared" si="15"/>
        <v>-3.1144474581227596E-3</v>
      </c>
      <c r="AI39" s="6">
        <f t="shared" si="16"/>
        <v>-3.6640558330855891E-3</v>
      </c>
      <c r="AL39" s="5" t="str">
        <f t="shared" si="17"/>
        <v>COA</v>
      </c>
      <c r="AM39" s="5">
        <f>Z5</f>
        <v>0.8</v>
      </c>
    </row>
    <row r="40" spans="1:39" s="5" customFormat="1" x14ac:dyDescent="0.3">
      <c r="C40" s="4" t="s">
        <v>69</v>
      </c>
      <c r="D40" s="5" t="s">
        <v>70</v>
      </c>
      <c r="E40" s="5" t="s">
        <v>711</v>
      </c>
      <c r="F40" s="5" t="s">
        <v>1588</v>
      </c>
      <c r="G40" s="5">
        <v>1</v>
      </c>
      <c r="H40" s="6">
        <f>(IF(SUMIFS('Industrial Summary'!$G:$G,'Industrial Summary'!$F:$F,H$17,'Industrial Summary'!$D:$D,$E40)&gt;0,((-SUMIFS('Industrial Summary'!$G:$G,'Industrial Summary'!$F:$F,H$17,'Industrial Summary'!$D:$D,$E40,'Industrial Summary'!$A:$A,"ELC")+-SUMIFS('Industrial Summary'!$G:$G,'Industrial Summary'!$F:$F,H$17,'Industrial Summary'!$D:$D,"IFDRSTM",'Industrial Summary'!$A:$A,"ELC"))/SUMIFS('Industrial Summary'!$G:$G,'Industrial Summary'!$F:$F,H$17,'Industrial Summary'!$D:$D,$E40)),0))*0.98</f>
        <v>-0.21972954840739697</v>
      </c>
      <c r="I40" s="6">
        <f>(IF(SUMIFS('Industrial Summary'!$G:$G,'Industrial Summary'!$F:$F,I$17,'Industrial Summary'!$D:$D,$E40)&gt;0,((-SUMIFS('Industrial Summary'!$G:$G,'Industrial Summary'!$F:$F,I$17,'Industrial Summary'!$D:$D,$E40,'Industrial Summary'!$A:$A,"ELC")+-SUMIFS('Industrial Summary'!$G:$G,'Industrial Summary'!$F:$F,I$17,'Industrial Summary'!$D:$D,"IFDRSTM",'Industrial Summary'!$A:$A,"ELC"))/SUMIFS('Industrial Summary'!$G:$G,'Industrial Summary'!$F:$F,I$17,'Industrial Summary'!$D:$D,$E40)),0))*0.98</f>
        <v>-0.2431473765429554</v>
      </c>
      <c r="J40" s="6">
        <f>(IF(SUMIFS('Industrial Summary'!$G:$G,'Industrial Summary'!$F:$F,J$17,'Industrial Summary'!$D:$D,$E40)&gt;0,((-SUMIFS('Industrial Summary'!$G:$G,'Industrial Summary'!$F:$F,J$17,'Industrial Summary'!$D:$D,$E40,'Industrial Summary'!$A:$A,"ELC")+-SUMIFS('Industrial Summary'!$G:$G,'Industrial Summary'!$F:$F,J$17,'Industrial Summary'!$D:$D,"IFDRSTM",'Industrial Summary'!$A:$A,"ELC"))/SUMIFS('Industrial Summary'!$G:$G,'Industrial Summary'!$F:$F,J$17,'Industrial Summary'!$D:$D,$E40)),0))*0.98</f>
        <v>-0.12334720644202259</v>
      </c>
      <c r="K40" s="6">
        <f>(IF(SUMIFS('Industrial Summary'!$G:$G,'Industrial Summary'!$F:$F,K$17,'Industrial Summary'!$D:$D,$E40)&gt;0,((-SUMIFS('Industrial Summary'!$G:$G,'Industrial Summary'!$F:$F,K$17,'Industrial Summary'!$D:$D,$E40,'Industrial Summary'!$A:$A,"ELC")+-SUMIFS('Industrial Summary'!$G:$G,'Industrial Summary'!$F:$F,K$17,'Industrial Summary'!$D:$D,"IFDRSTM",'Industrial Summary'!$A:$A,"ELC"))/SUMIFS('Industrial Summary'!$G:$G,'Industrial Summary'!$F:$F,K$17,'Industrial Summary'!$D:$D,$E40)),0))*0.98</f>
        <v>-0.15005391831044548</v>
      </c>
      <c r="L40" s="6">
        <f>(IF(SUMIFS('Industrial Summary'!$G:$G,'Industrial Summary'!$F:$F,L$17,'Industrial Summary'!$D:$D,$E40)&gt;0,((-SUMIFS('Industrial Summary'!$G:$G,'Industrial Summary'!$F:$F,L$17,'Industrial Summary'!$D:$D,$E40,'Industrial Summary'!$A:$A,"ELC")+-SUMIFS('Industrial Summary'!$G:$G,'Industrial Summary'!$F:$F,L$17,'Industrial Summary'!$D:$D,"IFDRSTM",'Industrial Summary'!$A:$A,"ELC"))/SUMIFS('Industrial Summary'!$G:$G,'Industrial Summary'!$F:$F,L$17,'Industrial Summary'!$D:$D,$E40)),0))*0.98</f>
        <v>-0.11689816763198932</v>
      </c>
      <c r="M40" s="6">
        <f>(IF(SUMIFS('Industrial Summary'!$G:$G,'Industrial Summary'!$F:$F,M$17,'Industrial Summary'!$D:$D,$E40)&gt;0,((-SUMIFS('Industrial Summary'!$G:$G,'Industrial Summary'!$F:$F,M$17,'Industrial Summary'!$D:$D,$E40,'Industrial Summary'!$A:$A,"ELC")+-SUMIFS('Industrial Summary'!$G:$G,'Industrial Summary'!$F:$F,M$17,'Industrial Summary'!$D:$D,"IFDRSTM",'Industrial Summary'!$A:$A,"ELC"))/SUMIFS('Industrial Summary'!$G:$G,'Industrial Summary'!$F:$F,M$17,'Industrial Summary'!$D:$D,$E40)),0))*0.98</f>
        <v>-0.11551608873883508</v>
      </c>
      <c r="N40" s="6">
        <f>(IF(SUMIFS('Industrial Summary'!$G:$G,'Industrial Summary'!$F:$F,N$17,'Industrial Summary'!$D:$D,$E40)&gt;0,((-SUMIFS('Industrial Summary'!$G:$G,'Industrial Summary'!$F:$F,N$17,'Industrial Summary'!$D:$D,$E40,'Industrial Summary'!$A:$A,"ELC")+-SUMIFS('Industrial Summary'!$G:$G,'Industrial Summary'!$F:$F,N$17,'Industrial Summary'!$D:$D,"IFDRSTM",'Industrial Summary'!$A:$A,"ELC"))/SUMIFS('Industrial Summary'!$G:$G,'Industrial Summary'!$F:$F,N$17,'Industrial Summary'!$D:$D,$E40)),0))*0.98</f>
        <v>-9.5625324076452717E-2</v>
      </c>
      <c r="O40" s="6">
        <f>(IF(SUMIFS('Industrial Summary'!$G:$G,'Industrial Summary'!$F:$F,O$17,'Industrial Summary'!$D:$D,$E40)&gt;0,((-SUMIFS('Industrial Summary'!$G:$G,'Industrial Summary'!$F:$F,O$17,'Industrial Summary'!$D:$D,$E40,'Industrial Summary'!$A:$A,"ELC")+-SUMIFS('Industrial Summary'!$G:$G,'Industrial Summary'!$F:$F,O$17,'Industrial Summary'!$D:$D,"IFDRSTM",'Industrial Summary'!$A:$A,"ELC"))/SUMIFS('Industrial Summary'!$G:$G,'Industrial Summary'!$F:$F,O$17,'Industrial Summary'!$D:$D,$E40)),0))*0.98</f>
        <v>-9.7419435673270799E-2</v>
      </c>
      <c r="P40" s="6">
        <f>(IF(SUMIFS('Industrial Summary'!$G:$G,'Industrial Summary'!$F:$F,P$17,'Industrial Summary'!$D:$D,$E40)&gt;0,((-SUMIFS('Industrial Summary'!$G:$G,'Industrial Summary'!$F:$F,P$17,'Industrial Summary'!$D:$D,$E40,'Industrial Summary'!$A:$A,"ELC")+-SUMIFS('Industrial Summary'!$G:$G,'Industrial Summary'!$F:$F,P$17,'Industrial Summary'!$D:$D,"IFDRSTM",'Industrial Summary'!$A:$A,"ELC"))/SUMIFS('Industrial Summary'!$G:$G,'Industrial Summary'!$F:$F,P$17,'Industrial Summary'!$D:$D,$E40)),0))*0.98</f>
        <v>-0.15084974398187936</v>
      </c>
      <c r="Q40" s="5">
        <v>0</v>
      </c>
      <c r="R40" s="5">
        <v>15</v>
      </c>
      <c r="S40" s="5" t="str">
        <f t="shared" si="2"/>
        <v>UC_IFDOH_ELC</v>
      </c>
      <c r="V40" s="4" t="str">
        <f t="shared" si="4"/>
        <v>S_IFDOHELC</v>
      </c>
      <c r="W40" s="4" t="str">
        <f t="shared" si="5"/>
        <v>IFDOH_ELC</v>
      </c>
      <c r="X40" s="4" t="str">
        <f t="shared" si="6"/>
        <v>IFDOHT</v>
      </c>
      <c r="Y40" s="5" t="str">
        <f t="shared" si="7"/>
        <v>LO</v>
      </c>
      <c r="Z40" s="5">
        <v>1</v>
      </c>
      <c r="AA40" s="6">
        <f t="shared" si="8"/>
        <v>-0.21972954840739697</v>
      </c>
      <c r="AB40" s="6">
        <f t="shared" si="9"/>
        <v>-0.2431473765429554</v>
      </c>
      <c r="AC40" s="6">
        <f t="shared" si="10"/>
        <v>-0.12334720644202259</v>
      </c>
      <c r="AD40" s="6">
        <f t="shared" si="11"/>
        <v>-0.15005391831044548</v>
      </c>
      <c r="AE40" s="6">
        <f t="shared" si="12"/>
        <v>-0.11689816763198932</v>
      </c>
      <c r="AF40" s="6">
        <f t="shared" si="13"/>
        <v>-0.11551608873883508</v>
      </c>
      <c r="AG40" s="6">
        <f t="shared" si="14"/>
        <v>-9.5625324076452717E-2</v>
      </c>
      <c r="AH40" s="6">
        <f t="shared" si="15"/>
        <v>-9.7419435673270799E-2</v>
      </c>
      <c r="AI40" s="6">
        <f t="shared" si="16"/>
        <v>-0.15084974398187936</v>
      </c>
      <c r="AL40" s="5" t="str">
        <f t="shared" si="17"/>
        <v>ELC</v>
      </c>
      <c r="AM40" s="5">
        <f>1</f>
        <v>1</v>
      </c>
    </row>
    <row r="41" spans="1:39" s="5" customFormat="1" x14ac:dyDescent="0.3">
      <c r="C41" s="4" t="s">
        <v>71</v>
      </c>
      <c r="D41" s="5" t="s">
        <v>72</v>
      </c>
      <c r="E41" s="5" t="s">
        <v>711</v>
      </c>
      <c r="F41" s="5" t="s">
        <v>1588</v>
      </c>
      <c r="G41" s="5">
        <v>1</v>
      </c>
      <c r="H41" s="6">
        <f>(IF(SUMIFS('Industrial Summary'!$G:$G,'Industrial Summary'!$F:$F,H$17,'Industrial Summary'!$D:$D,$E41)&gt;0,((-SUMIFS('Industrial Summary'!$G:$G,'Industrial Summary'!$F:$F,H$17,'Industrial Summary'!$D:$D,$E41,'Industrial Summary'!$A:$A,"RFL")+-SUMIFS('Industrial Summary'!$G:$G,'Industrial Summary'!$F:$F,H$17,'Industrial Summary'!$D:$D,"IFDRSTM",'Industrial Summary'!$A:$A,"RFL"))/SUMIFS('Industrial Summary'!$G:$G,'Industrial Summary'!$F:$F,H$17,'Industrial Summary'!$D:$D,$E41)),0))*0.98</f>
        <v>-4.5255078859743128E-2</v>
      </c>
      <c r="I41" s="6">
        <f>(IF(SUMIFS('Industrial Summary'!$G:$G,'Industrial Summary'!$F:$F,I$17,'Industrial Summary'!$D:$D,$E41)&gt;0,((-SUMIFS('Industrial Summary'!$G:$G,'Industrial Summary'!$F:$F,I$17,'Industrial Summary'!$D:$D,$E41,'Industrial Summary'!$A:$A,"RFL")+-SUMIFS('Industrial Summary'!$G:$G,'Industrial Summary'!$F:$F,I$17,'Industrial Summary'!$D:$D,"IFDRSTM",'Industrial Summary'!$A:$A,"RFL"))/SUMIFS('Industrial Summary'!$G:$G,'Industrial Summary'!$F:$F,I$17,'Industrial Summary'!$D:$D,$E41)),0))*0.98</f>
        <v>-5.0078170094763147E-2</v>
      </c>
      <c r="J41" s="6">
        <f>(IF(SUMIFS('Industrial Summary'!$G:$G,'Industrial Summary'!$F:$F,J$17,'Industrial Summary'!$D:$D,$E41)&gt;0,((-SUMIFS('Industrial Summary'!$G:$G,'Industrial Summary'!$F:$F,J$17,'Industrial Summary'!$D:$D,$E41,'Industrial Summary'!$A:$A,"RFL")+-SUMIFS('Industrial Summary'!$G:$G,'Industrial Summary'!$F:$F,J$17,'Industrial Summary'!$D:$D,"IFDRSTM",'Industrial Summary'!$A:$A,"RFL"))/SUMIFS('Industrial Summary'!$G:$G,'Industrial Summary'!$F:$F,J$17,'Industrial Summary'!$D:$D,$E41)),0))*0.98</f>
        <v>0</v>
      </c>
      <c r="K41" s="6">
        <f>(IF(SUMIFS('Industrial Summary'!$G:$G,'Industrial Summary'!$F:$F,K$17,'Industrial Summary'!$D:$D,$E41)&gt;0,((-SUMIFS('Industrial Summary'!$G:$G,'Industrial Summary'!$F:$F,K$17,'Industrial Summary'!$D:$D,$E41,'Industrial Summary'!$A:$A,"RFL")+-SUMIFS('Industrial Summary'!$G:$G,'Industrial Summary'!$F:$F,K$17,'Industrial Summary'!$D:$D,"IFDRSTM",'Industrial Summary'!$A:$A,"RFL"))/SUMIFS('Industrial Summary'!$G:$G,'Industrial Summary'!$F:$F,K$17,'Industrial Summary'!$D:$D,$E41)),0))*0.98</f>
        <v>0</v>
      </c>
      <c r="L41" s="6">
        <f>(IF(SUMIFS('Industrial Summary'!$G:$G,'Industrial Summary'!$F:$F,L$17,'Industrial Summary'!$D:$D,$E41)&gt;0,((-SUMIFS('Industrial Summary'!$G:$G,'Industrial Summary'!$F:$F,L$17,'Industrial Summary'!$D:$D,$E41,'Industrial Summary'!$A:$A,"RFL")+-SUMIFS('Industrial Summary'!$G:$G,'Industrial Summary'!$F:$F,L$17,'Industrial Summary'!$D:$D,"IFDRSTM",'Industrial Summary'!$A:$A,"RFL"))/SUMIFS('Industrial Summary'!$G:$G,'Industrial Summary'!$F:$F,L$17,'Industrial Summary'!$D:$D,$E41)),0))*0.98</f>
        <v>-1.4628530874343355E-2</v>
      </c>
      <c r="M41" s="6">
        <f>(IF(SUMIFS('Industrial Summary'!$G:$G,'Industrial Summary'!$F:$F,M$17,'Industrial Summary'!$D:$D,$E41)&gt;0,((-SUMIFS('Industrial Summary'!$G:$G,'Industrial Summary'!$F:$F,M$17,'Industrial Summary'!$D:$D,$E41,'Industrial Summary'!$A:$A,"RFL")+-SUMIFS('Industrial Summary'!$G:$G,'Industrial Summary'!$F:$F,M$17,'Industrial Summary'!$D:$D,"IFDRSTM",'Industrial Summary'!$A:$A,"RFL"))/SUMIFS('Industrial Summary'!$G:$G,'Industrial Summary'!$F:$F,M$17,'Industrial Summary'!$D:$D,$E41)),0))*0.98</f>
        <v>-1.4455578772793482E-2</v>
      </c>
      <c r="N41" s="6">
        <f>(IF(SUMIFS('Industrial Summary'!$G:$G,'Industrial Summary'!$F:$F,N$17,'Industrial Summary'!$D:$D,$E41)&gt;0,((-SUMIFS('Industrial Summary'!$G:$G,'Industrial Summary'!$F:$F,N$17,'Industrial Summary'!$D:$D,$E41,'Industrial Summary'!$A:$A,"RFL")+-SUMIFS('Industrial Summary'!$G:$G,'Industrial Summary'!$F:$F,N$17,'Industrial Summary'!$D:$D,"IFDRSTM",'Industrial Summary'!$A:$A,"RFL"))/SUMIFS('Industrial Summary'!$G:$G,'Industrial Summary'!$F:$F,N$17,'Industrial Summary'!$D:$D,$E41)),0))*0.98</f>
        <v>-1.1966466489237682E-2</v>
      </c>
      <c r="O41" s="6">
        <f>(IF(SUMIFS('Industrial Summary'!$G:$G,'Industrial Summary'!$F:$F,O$17,'Industrial Summary'!$D:$D,$E41)&gt;0,((-SUMIFS('Industrial Summary'!$G:$G,'Industrial Summary'!$F:$F,O$17,'Industrial Summary'!$D:$D,$E41,'Industrial Summary'!$A:$A,"RFL")+-SUMIFS('Industrial Summary'!$G:$G,'Industrial Summary'!$F:$F,O$17,'Industrial Summary'!$D:$D,"IFDRSTM",'Industrial Summary'!$A:$A,"RFL"))/SUMIFS('Industrial Summary'!$G:$G,'Industrial Summary'!$F:$F,O$17,'Industrial Summary'!$D:$D,$E41)),0))*0.98</f>
        <v>0</v>
      </c>
      <c r="P41" s="6">
        <f>(IF(SUMIFS('Industrial Summary'!$G:$G,'Industrial Summary'!$F:$F,P$17,'Industrial Summary'!$D:$D,$E41)&gt;0,((-SUMIFS('Industrial Summary'!$G:$G,'Industrial Summary'!$F:$F,P$17,'Industrial Summary'!$D:$D,$E41,'Industrial Summary'!$A:$A,"RFL")+-SUMIFS('Industrial Summary'!$G:$G,'Industrial Summary'!$F:$F,P$17,'Industrial Summary'!$D:$D,"IFDRSTM",'Industrial Summary'!$A:$A,"RFL"))/SUMIFS('Industrial Summary'!$G:$G,'Industrial Summary'!$F:$F,P$17,'Industrial Summary'!$D:$D,$E41)),0))*0.98</f>
        <v>0</v>
      </c>
      <c r="Q41" s="5">
        <v>0</v>
      </c>
      <c r="R41" s="5">
        <v>15</v>
      </c>
      <c r="S41" s="5" t="str">
        <f t="shared" si="2"/>
        <v>UC_IFDOH_RFL</v>
      </c>
      <c r="V41" s="4" t="str">
        <f t="shared" si="4"/>
        <v>S_IFDOHRFL</v>
      </c>
      <c r="W41" s="4" t="str">
        <f t="shared" si="5"/>
        <v>IFDOH_RFL</v>
      </c>
      <c r="X41" s="4" t="str">
        <f t="shared" si="6"/>
        <v>IFDOHT</v>
      </c>
      <c r="Y41" s="5" t="str">
        <f t="shared" si="7"/>
        <v>LO</v>
      </c>
      <c r="Z41" s="5">
        <v>1</v>
      </c>
      <c r="AA41" s="6">
        <f t="shared" si="8"/>
        <v>-4.5255078859743128E-2</v>
      </c>
      <c r="AB41" s="6">
        <f t="shared" si="9"/>
        <v>-5.0078170094763147E-2</v>
      </c>
      <c r="AC41" s="6">
        <f t="shared" si="10"/>
        <v>0</v>
      </c>
      <c r="AD41" s="6">
        <f t="shared" si="11"/>
        <v>0</v>
      </c>
      <c r="AE41" s="6">
        <f t="shared" si="12"/>
        <v>-1.4628530874343355E-2</v>
      </c>
      <c r="AF41" s="6">
        <f t="shared" si="13"/>
        <v>-1.4455578772793482E-2</v>
      </c>
      <c r="AG41" s="6">
        <f t="shared" si="14"/>
        <v>-1.1966466489237682E-2</v>
      </c>
      <c r="AH41" s="6">
        <f t="shared" si="15"/>
        <v>0</v>
      </c>
      <c r="AI41" s="6">
        <f t="shared" si="16"/>
        <v>0</v>
      </c>
      <c r="AL41" s="5" t="str">
        <f t="shared" si="17"/>
        <v>RFL</v>
      </c>
      <c r="AM41" s="5">
        <f>1</f>
        <v>1</v>
      </c>
    </row>
    <row r="42" spans="1:39" s="5" customFormat="1" x14ac:dyDescent="0.3">
      <c r="C42" s="4" t="s">
        <v>73</v>
      </c>
      <c r="D42" s="5" t="s">
        <v>74</v>
      </c>
      <c r="E42" s="5" t="s">
        <v>711</v>
      </c>
      <c r="F42" s="5" t="s">
        <v>1588</v>
      </c>
      <c r="G42" s="5">
        <v>1</v>
      </c>
      <c r="H42" s="6">
        <f>(IF(SUMIFS('Industrial Summary'!$G:$G,'Industrial Summary'!$F:$F,H$17,'Industrial Summary'!$D:$D,$E42)&gt;0,((-SUMIFS('Industrial Summary'!$G:$G,'Industrial Summary'!$F:$F,H$17,'Industrial Summary'!$D:$D,$E42,'Industrial Summary'!$A:$A,"DST")+-SUMIFS('Industrial Summary'!$G:$G,'Industrial Summary'!$F:$F,H$17,'Industrial Summary'!$D:$D,"IFDRSTM",'Industrial Summary'!$A:$A,"DST"))/SUMIFS('Industrial Summary'!$G:$G,'Industrial Summary'!$F:$F,H$17,'Industrial Summary'!$D:$D,$E42)),0))*0.98</f>
        <v>-0.11644629936975912</v>
      </c>
      <c r="I42" s="6">
        <f>(IF(SUMIFS('Industrial Summary'!$G:$G,'Industrial Summary'!$F:$F,I$17,'Industrial Summary'!$D:$D,$E42)&gt;0,((-SUMIFS('Industrial Summary'!$G:$G,'Industrial Summary'!$F:$F,I$17,'Industrial Summary'!$D:$D,$E42,'Industrial Summary'!$A:$A,"DST")+-SUMIFS('Industrial Summary'!$G:$G,'Industrial Summary'!$F:$F,I$17,'Industrial Summary'!$D:$D,"IFDRSTM",'Industrial Summary'!$A:$A,"DST"))/SUMIFS('Industrial Summary'!$G:$G,'Industrial Summary'!$F:$F,I$17,'Industrial Summary'!$D:$D,$E42)),0))*0.98</f>
        <v>-0.12885664402038804</v>
      </c>
      <c r="J42" s="6">
        <f>(IF(SUMIFS('Industrial Summary'!$G:$G,'Industrial Summary'!$F:$F,J$17,'Industrial Summary'!$D:$D,$E42)&gt;0,((-SUMIFS('Industrial Summary'!$G:$G,'Industrial Summary'!$F:$F,J$17,'Industrial Summary'!$D:$D,$E42,'Industrial Summary'!$A:$A,"DST")+-SUMIFS('Industrial Summary'!$G:$G,'Industrial Summary'!$F:$F,J$17,'Industrial Summary'!$D:$D,"IFDRSTM",'Industrial Summary'!$A:$A,"DST"))/SUMIFS('Industrial Summary'!$G:$G,'Industrial Summary'!$F:$F,J$17,'Industrial Summary'!$D:$D,$E42)),0))*0.98</f>
        <v>0</v>
      </c>
      <c r="K42" s="6">
        <f>(IF(SUMIFS('Industrial Summary'!$G:$G,'Industrial Summary'!$F:$F,K$17,'Industrial Summary'!$D:$D,$E42)&gt;0,((-SUMIFS('Industrial Summary'!$G:$G,'Industrial Summary'!$F:$F,K$17,'Industrial Summary'!$D:$D,$E42,'Industrial Summary'!$A:$A,"DST")+-SUMIFS('Industrial Summary'!$G:$G,'Industrial Summary'!$F:$F,K$17,'Industrial Summary'!$D:$D,"IFDRSTM",'Industrial Summary'!$A:$A,"DST"))/SUMIFS('Industrial Summary'!$G:$G,'Industrial Summary'!$F:$F,K$17,'Industrial Summary'!$D:$D,$E42)),0))*0.98</f>
        <v>0</v>
      </c>
      <c r="L42" s="6">
        <f>(IF(SUMIFS('Industrial Summary'!$G:$G,'Industrial Summary'!$F:$F,L$17,'Industrial Summary'!$D:$D,$E42)&gt;0,((-SUMIFS('Industrial Summary'!$G:$G,'Industrial Summary'!$F:$F,L$17,'Industrial Summary'!$D:$D,$E42,'Industrial Summary'!$A:$A,"DST")+-SUMIFS('Industrial Summary'!$G:$G,'Industrial Summary'!$F:$F,L$17,'Industrial Summary'!$D:$D,"IFDRSTM",'Industrial Summary'!$A:$A,"DST"))/SUMIFS('Industrial Summary'!$G:$G,'Industrial Summary'!$F:$F,L$17,'Industrial Summary'!$D:$D,$E42)),0))*0.98</f>
        <v>-3.7640820178723611E-2</v>
      </c>
      <c r="M42" s="6">
        <f>(IF(SUMIFS('Industrial Summary'!$G:$G,'Industrial Summary'!$F:$F,M$17,'Industrial Summary'!$D:$D,$E42)&gt;0,((-SUMIFS('Industrial Summary'!$G:$G,'Industrial Summary'!$F:$F,M$17,'Industrial Summary'!$D:$D,$E42,'Industrial Summary'!$A:$A,"DST")+-SUMIFS('Industrial Summary'!$G:$G,'Industrial Summary'!$F:$F,M$17,'Industrial Summary'!$D:$D,"IFDRSTM",'Industrial Summary'!$A:$A,"DST"))/SUMIFS('Industrial Summary'!$G:$G,'Industrial Summary'!$F:$F,M$17,'Industrial Summary'!$D:$D,$E42)),0))*0.98</f>
        <v>-3.7195795383691777E-2</v>
      </c>
      <c r="N42" s="6">
        <f>(IF(SUMIFS('Industrial Summary'!$G:$G,'Industrial Summary'!$F:$F,N$17,'Industrial Summary'!$D:$D,$E42)&gt;0,((-SUMIFS('Industrial Summary'!$G:$G,'Industrial Summary'!$F:$F,N$17,'Industrial Summary'!$D:$D,$E42,'Industrial Summary'!$A:$A,"DST")+-SUMIFS('Industrial Summary'!$G:$G,'Industrial Summary'!$F:$F,N$17,'Industrial Summary'!$D:$D,"IFDRSTM",'Industrial Summary'!$A:$A,"DST"))/SUMIFS('Industrial Summary'!$G:$G,'Industrial Summary'!$F:$F,N$17,'Industrial Summary'!$D:$D,$E42)),0))*0.98</f>
        <v>-3.0791035488470318E-2</v>
      </c>
      <c r="O42" s="6">
        <f>(IF(SUMIFS('Industrial Summary'!$G:$G,'Industrial Summary'!$F:$F,O$17,'Industrial Summary'!$D:$D,$E42)&gt;0,((-SUMIFS('Industrial Summary'!$G:$G,'Industrial Summary'!$F:$F,O$17,'Industrial Summary'!$D:$D,$E42,'Industrial Summary'!$A:$A,"DST")+-SUMIFS('Industrial Summary'!$G:$G,'Industrial Summary'!$F:$F,O$17,'Industrial Summary'!$D:$D,"IFDRSTM",'Industrial Summary'!$A:$A,"DST"))/SUMIFS('Industrial Summary'!$G:$G,'Industrial Summary'!$F:$F,O$17,'Industrial Summary'!$D:$D,$E42)),0))*0.98</f>
        <v>-0.11081068845321147</v>
      </c>
      <c r="P42" s="6">
        <f>(IF(SUMIFS('Industrial Summary'!$G:$G,'Industrial Summary'!$F:$F,P$17,'Industrial Summary'!$D:$D,$E42)&gt;0,((-SUMIFS('Industrial Summary'!$G:$G,'Industrial Summary'!$F:$F,P$17,'Industrial Summary'!$D:$D,$E42,'Industrial Summary'!$A:$A,"DST")+-SUMIFS('Industrial Summary'!$G:$G,'Industrial Summary'!$F:$F,P$17,'Industrial Summary'!$D:$D,"IFDRSTM",'Industrial Summary'!$A:$A,"DST"))/SUMIFS('Industrial Summary'!$G:$G,'Industrial Summary'!$F:$F,P$17,'Industrial Summary'!$D:$D,$E42)),0))*0.98</f>
        <v>0</v>
      </c>
      <c r="Q42" s="5">
        <v>0</v>
      </c>
      <c r="R42" s="5">
        <v>15</v>
      </c>
      <c r="S42" s="5" t="str">
        <f t="shared" si="2"/>
        <v>UC_IFDOH_DST</v>
      </c>
      <c r="V42" s="4" t="str">
        <f t="shared" si="4"/>
        <v>S_IFDOHDST</v>
      </c>
      <c r="W42" s="4" t="str">
        <f t="shared" si="5"/>
        <v>IFDOH_DST</v>
      </c>
      <c r="X42" s="4" t="str">
        <f t="shared" si="6"/>
        <v>IFDOHT</v>
      </c>
      <c r="Y42" s="5" t="str">
        <f t="shared" si="7"/>
        <v>LO</v>
      </c>
      <c r="Z42" s="5">
        <v>1</v>
      </c>
      <c r="AA42" s="6">
        <f t="shared" si="8"/>
        <v>-0.11644629936975912</v>
      </c>
      <c r="AB42" s="6">
        <f t="shared" si="9"/>
        <v>-0.12885664402038804</v>
      </c>
      <c r="AC42" s="6">
        <f t="shared" si="10"/>
        <v>0</v>
      </c>
      <c r="AD42" s="6">
        <f t="shared" si="11"/>
        <v>0</v>
      </c>
      <c r="AE42" s="6">
        <f t="shared" si="12"/>
        <v>-3.7640820178723611E-2</v>
      </c>
      <c r="AF42" s="6">
        <f t="shared" si="13"/>
        <v>-3.7195795383691777E-2</v>
      </c>
      <c r="AG42" s="6">
        <f t="shared" si="14"/>
        <v>-3.0791035488470318E-2</v>
      </c>
      <c r="AH42" s="6">
        <f t="shared" si="15"/>
        <v>-0.11081068845321147</v>
      </c>
      <c r="AI42" s="6">
        <f t="shared" si="16"/>
        <v>0</v>
      </c>
      <c r="AL42" s="5" t="str">
        <f t="shared" si="17"/>
        <v>DST</v>
      </c>
      <c r="AM42" s="5">
        <f>1</f>
        <v>1</v>
      </c>
    </row>
    <row r="43" spans="1:39" s="5" customFormat="1" x14ac:dyDescent="0.3">
      <c r="C43" s="4" t="s">
        <v>75</v>
      </c>
      <c r="D43" s="5" t="s">
        <v>76</v>
      </c>
      <c r="E43" s="5" t="s">
        <v>711</v>
      </c>
      <c r="F43" s="5" t="s">
        <v>1588</v>
      </c>
      <c r="G43" s="5">
        <v>1</v>
      </c>
      <c r="H43" s="6">
        <f>(IF(SUMIFS('Industrial Summary'!$G:$G,'Industrial Summary'!$F:$F,H$17,'Industrial Summary'!$D:$D,$E43)&gt;0,((-SUMIFS('Industrial Summary'!$G:$G,'Industrial Summary'!$F:$F,H$17,'Industrial Summary'!$D:$D,$E43,'Industrial Summary'!$A:$A,"NGA")+-SUMIFS('Industrial Summary'!$G:$G,'Industrial Summary'!$F:$F,H$17,'Industrial Summary'!$D:$D,"IFDRSTM",'Industrial Summary'!$A:$A,"NGA"))/SUMIFS('Industrial Summary'!$G:$G,'Industrial Summary'!$F:$F,H$17,'Industrial Summary'!$D:$D,$E43)),0))*0.98</f>
        <v>-0.37540980627906334</v>
      </c>
      <c r="I43" s="6">
        <f>(IF(SUMIFS('Industrial Summary'!$G:$G,'Industrial Summary'!$F:$F,I$17,'Industrial Summary'!$D:$D,$E43)&gt;0,((-SUMIFS('Industrial Summary'!$G:$G,'Industrial Summary'!$F:$F,I$17,'Industrial Summary'!$D:$D,$E43,'Industrial Summary'!$A:$A,"NGA")+-SUMIFS('Industrial Summary'!$G:$G,'Industrial Summary'!$F:$F,I$17,'Industrial Summary'!$D:$D,"IFDRSTM",'Industrial Summary'!$A:$A,"NGA"))/SUMIFS('Industrial Summary'!$G:$G,'Industrial Summary'!$F:$F,I$17,'Industrial Summary'!$D:$D,$E43)),0))*0.98</f>
        <v>-0.41541936524628381</v>
      </c>
      <c r="J43" s="6">
        <f>(IF(SUMIFS('Industrial Summary'!$G:$G,'Industrial Summary'!$F:$F,J$17,'Industrial Summary'!$D:$D,$E43)&gt;0,((-SUMIFS('Industrial Summary'!$G:$G,'Industrial Summary'!$F:$F,J$17,'Industrial Summary'!$D:$D,$E43,'Industrial Summary'!$A:$A,"NGA")+-SUMIFS('Industrial Summary'!$G:$G,'Industrial Summary'!$F:$F,J$17,'Industrial Summary'!$D:$D,"IFDRSTM",'Industrial Summary'!$A:$A,"NGA"))/SUMIFS('Industrial Summary'!$G:$G,'Industrial Summary'!$F:$F,J$17,'Industrial Summary'!$D:$D,$E43)),0))*0.98</f>
        <v>-0.20061571986211885</v>
      </c>
      <c r="K43" s="6">
        <f>(IF(SUMIFS('Industrial Summary'!$G:$G,'Industrial Summary'!$F:$F,K$17,'Industrial Summary'!$D:$D,$E43)&gt;0,((-SUMIFS('Industrial Summary'!$G:$G,'Industrial Summary'!$F:$F,K$17,'Industrial Summary'!$D:$D,$E43,'Industrial Summary'!$A:$A,"NGA")+-SUMIFS('Industrial Summary'!$G:$G,'Industrial Summary'!$F:$F,K$17,'Industrial Summary'!$D:$D,"IFDRSTM",'Industrial Summary'!$A:$A,"NGA"))/SUMIFS('Industrial Summary'!$G:$G,'Industrial Summary'!$F:$F,K$17,'Industrial Summary'!$D:$D,$E43)),0))*0.98</f>
        <v>-0.24405234385369809</v>
      </c>
      <c r="L43" s="6">
        <f>(IF(SUMIFS('Industrial Summary'!$G:$G,'Industrial Summary'!$F:$F,L$17,'Industrial Summary'!$D:$D,$E43)&gt;0,((-SUMIFS('Industrial Summary'!$G:$G,'Industrial Summary'!$F:$F,L$17,'Industrial Summary'!$D:$D,$E43,'Industrial Summary'!$A:$A,"NGA")+-SUMIFS('Industrial Summary'!$G:$G,'Industrial Summary'!$F:$F,L$17,'Industrial Summary'!$D:$D,"IFDRSTM",'Industrial Summary'!$A:$A,"NGA"))/SUMIFS('Industrial Summary'!$G:$G,'Industrial Summary'!$F:$F,L$17,'Industrial Summary'!$D:$D,$E43)),0))*0.98</f>
        <v>-0.15927158851716708</v>
      </c>
      <c r="M43" s="6">
        <f>(IF(SUMIFS('Industrial Summary'!$G:$G,'Industrial Summary'!$F:$F,M$17,'Industrial Summary'!$D:$D,$E43)&gt;0,((-SUMIFS('Industrial Summary'!$G:$G,'Industrial Summary'!$F:$F,M$17,'Industrial Summary'!$D:$D,$E43,'Industrial Summary'!$A:$A,"NGA")+-SUMIFS('Industrial Summary'!$G:$G,'Industrial Summary'!$F:$F,M$17,'Industrial Summary'!$D:$D,"IFDRSTM",'Industrial Summary'!$A:$A,"NGA"))/SUMIFS('Industrial Summary'!$G:$G,'Industrial Summary'!$F:$F,M$17,'Industrial Summary'!$D:$D,$E43)),0))*0.98</f>
        <v>-0.15738853162048666</v>
      </c>
      <c r="N43" s="6">
        <f>(IF(SUMIFS('Industrial Summary'!$G:$G,'Industrial Summary'!$F:$F,N$17,'Industrial Summary'!$D:$D,$E43)&gt;0,((-SUMIFS('Industrial Summary'!$G:$G,'Industrial Summary'!$F:$F,N$17,'Industrial Summary'!$D:$D,$E43,'Industrial Summary'!$A:$A,"NGA")+-SUMIFS('Industrial Summary'!$G:$G,'Industrial Summary'!$F:$F,N$17,'Industrial Summary'!$D:$D,"IFDRSTM",'Industrial Summary'!$A:$A,"NGA"))/SUMIFS('Industrial Summary'!$G:$G,'Industrial Summary'!$F:$F,N$17,'Industrial Summary'!$D:$D,$E43)),0))*0.98</f>
        <v>-0.13028773313259204</v>
      </c>
      <c r="O43" s="6">
        <f>(IF(SUMIFS('Industrial Summary'!$G:$G,'Industrial Summary'!$F:$F,O$17,'Industrial Summary'!$D:$D,$E43)&gt;0,((-SUMIFS('Industrial Summary'!$G:$G,'Industrial Summary'!$F:$F,O$17,'Industrial Summary'!$D:$D,$E43,'Industrial Summary'!$A:$A,"NGA")+-SUMIFS('Industrial Summary'!$G:$G,'Industrial Summary'!$F:$F,O$17,'Industrial Summary'!$D:$D,"IFDRSTM",'Industrial Summary'!$A:$A,"NGA"))/SUMIFS('Industrial Summary'!$G:$G,'Industrial Summary'!$F:$F,O$17,'Industrial Summary'!$D:$D,$E43)),0))*0.98</f>
        <v>-0.21921620863351526</v>
      </c>
      <c r="P43" s="6">
        <f>(IF(SUMIFS('Industrial Summary'!$G:$G,'Industrial Summary'!$F:$F,P$17,'Industrial Summary'!$D:$D,$E43)&gt;0,((-SUMIFS('Industrial Summary'!$G:$G,'Industrial Summary'!$F:$F,P$17,'Industrial Summary'!$D:$D,$E43,'Industrial Summary'!$A:$A,"NGA")+-SUMIFS('Industrial Summary'!$G:$G,'Industrial Summary'!$F:$F,P$17,'Industrial Summary'!$D:$D,"IFDRSTM",'Industrial Summary'!$A:$A,"NGA"))/SUMIFS('Industrial Summary'!$G:$G,'Industrial Summary'!$F:$F,P$17,'Industrial Summary'!$D:$D,$E43)),0))*0.98</f>
        <v>-0.33809106867234529</v>
      </c>
      <c r="Q43" s="5">
        <v>0</v>
      </c>
      <c r="R43" s="5">
        <v>15</v>
      </c>
      <c r="S43" s="5" t="str">
        <f t="shared" si="2"/>
        <v>UC_IFDOH_NGA</v>
      </c>
      <c r="V43" s="4" t="str">
        <f t="shared" si="4"/>
        <v>S_IFDOHNGA</v>
      </c>
      <c r="W43" s="4" t="str">
        <f t="shared" si="5"/>
        <v>IFDOH_NGA</v>
      </c>
      <c r="X43" s="4" t="str">
        <f t="shared" si="6"/>
        <v>IFDOHT</v>
      </c>
      <c r="Y43" s="5" t="str">
        <f t="shared" si="7"/>
        <v>LO</v>
      </c>
      <c r="Z43" s="5">
        <v>1</v>
      </c>
      <c r="AA43" s="6">
        <f t="shared" si="8"/>
        <v>-0.27029506052092561</v>
      </c>
      <c r="AB43" s="6">
        <f t="shared" si="9"/>
        <v>-0.29910194297732434</v>
      </c>
      <c r="AC43" s="6">
        <f t="shared" si="10"/>
        <v>-0.14444331830072557</v>
      </c>
      <c r="AD43" s="6">
        <f t="shared" si="11"/>
        <v>-0.17571768757466261</v>
      </c>
      <c r="AE43" s="6">
        <f t="shared" si="12"/>
        <v>-0.11467554373236029</v>
      </c>
      <c r="AF43" s="6">
        <f t="shared" si="13"/>
        <v>-0.11331974276675039</v>
      </c>
      <c r="AG43" s="6">
        <f t="shared" si="14"/>
        <v>-9.3807167855466264E-2</v>
      </c>
      <c r="AH43" s="6">
        <f t="shared" si="15"/>
        <v>-0.15783567021613099</v>
      </c>
      <c r="AI43" s="6">
        <f t="shared" si="16"/>
        <v>-0.24342556944408861</v>
      </c>
      <c r="AL43" s="5" t="str">
        <f t="shared" si="17"/>
        <v>NGA</v>
      </c>
      <c r="AM43" s="5">
        <f>Y5</f>
        <v>0.72</v>
      </c>
    </row>
    <row r="44" spans="1:39" s="5" customFormat="1" x14ac:dyDescent="0.3">
      <c r="C44" s="4" t="s">
        <v>77</v>
      </c>
      <c r="D44" s="5" t="s">
        <v>78</v>
      </c>
      <c r="E44" s="5" t="s">
        <v>711</v>
      </c>
      <c r="F44" s="5" t="s">
        <v>1591</v>
      </c>
      <c r="G44" s="5">
        <v>1</v>
      </c>
      <c r="H44" s="6">
        <f>(IF(SUMIFS('Industrial Summary'!$G:$G,'Industrial Summary'!$F:$F,H$17,'Industrial Summary'!$D:$D,$E44)&gt;0,((-SUMIFS('Industrial Summary'!$G:$G,'Industrial Summary'!$F:$F,H$17,'Industrial Summary'!$D:$D,$E44,'Industrial Summary'!$A:$A,"COA")+-SUMIFS('Industrial Summary'!$G:$G,'Industrial Summary'!$F:$F,H$17,'Industrial Summary'!$D:$D,"IFDRSTM",'Industrial Summary'!$A:$A,"COA"))/SUMIFS('Industrial Summary'!$G:$G,'Industrial Summary'!$F:$F,H$17,'Industrial Summary'!$D:$D,$E44)),0))*0.98</f>
        <v>-2.38094783967112E-3</v>
      </c>
      <c r="I44" s="6">
        <f>(IF(SUMIFS('Industrial Summary'!$G:$G,'Industrial Summary'!$F:$F,I$17,'Industrial Summary'!$D:$D,$E44)&gt;0,((-SUMIFS('Industrial Summary'!$G:$G,'Industrial Summary'!$F:$F,I$17,'Industrial Summary'!$D:$D,$E44,'Industrial Summary'!$A:$A,"COA")+-SUMIFS('Industrial Summary'!$G:$G,'Industrial Summary'!$F:$F,I$17,'Industrial Summary'!$D:$D,"IFDRSTM",'Industrial Summary'!$A:$A,"COA"))/SUMIFS('Industrial Summary'!$G:$G,'Industrial Summary'!$F:$F,I$17,'Industrial Summary'!$D:$D,$E44)),0))*0.98</f>
        <v>-2.634698997461556E-3</v>
      </c>
      <c r="J44" s="6">
        <f>(IF(SUMIFS('Industrial Summary'!$G:$G,'Industrial Summary'!$F:$F,J$17,'Industrial Summary'!$D:$D,$E44)&gt;0,((-SUMIFS('Industrial Summary'!$G:$G,'Industrial Summary'!$F:$F,J$17,'Industrial Summary'!$D:$D,$E44,'Industrial Summary'!$A:$A,"COA")+-SUMIFS('Industrial Summary'!$G:$G,'Industrial Summary'!$F:$F,J$17,'Industrial Summary'!$D:$D,"IFDRSTM",'Industrial Summary'!$A:$A,"COA"))/SUMIFS('Industrial Summary'!$G:$G,'Industrial Summary'!$F:$F,J$17,'Industrial Summary'!$D:$D,$E44)),0))*0.98</f>
        <v>-4.1161532582988478E-2</v>
      </c>
      <c r="K44" s="6">
        <f>(IF(SUMIFS('Industrial Summary'!$G:$G,'Industrial Summary'!$F:$F,K$17,'Industrial Summary'!$D:$D,$E44)&gt;0,((-SUMIFS('Industrial Summary'!$G:$G,'Industrial Summary'!$F:$F,K$17,'Industrial Summary'!$D:$D,$E44,'Industrial Summary'!$A:$A,"COA")+-SUMIFS('Industrial Summary'!$G:$G,'Industrial Summary'!$F:$F,K$17,'Industrial Summary'!$D:$D,"IFDRSTM",'Industrial Summary'!$A:$A,"COA"))/SUMIFS('Industrial Summary'!$G:$G,'Industrial Summary'!$F:$F,K$17,'Industrial Summary'!$D:$D,$E44)),0))*0.98</f>
        <v>-5.0073685703158795E-2</v>
      </c>
      <c r="L44" s="6">
        <f>(IF(SUMIFS('Industrial Summary'!$G:$G,'Industrial Summary'!$F:$F,L$17,'Industrial Summary'!$D:$D,$E44)&gt;0,((-SUMIFS('Industrial Summary'!$G:$G,'Industrial Summary'!$F:$F,L$17,'Industrial Summary'!$D:$D,$E44,'Industrial Summary'!$A:$A,"COA")+-SUMIFS('Industrial Summary'!$G:$G,'Industrial Summary'!$F:$F,L$17,'Industrial Summary'!$D:$D,"IFDRSTM",'Industrial Summary'!$A:$A,"COA"))/SUMIFS('Industrial Summary'!$G:$G,'Industrial Summary'!$F:$F,L$17,'Industrial Summary'!$D:$D,$E44)),0))*0.98</f>
        <v>-6.1570581442628855E-3</v>
      </c>
      <c r="M44" s="6">
        <f>(IF(SUMIFS('Industrial Summary'!$G:$G,'Industrial Summary'!$F:$F,M$17,'Industrial Summary'!$D:$D,$E44)&gt;0,((-SUMIFS('Industrial Summary'!$G:$G,'Industrial Summary'!$F:$F,M$17,'Industrial Summary'!$D:$D,$E44,'Industrial Summary'!$A:$A,"COA")+-SUMIFS('Industrial Summary'!$G:$G,'Industrial Summary'!$F:$F,M$17,'Industrial Summary'!$D:$D,"IFDRSTM",'Industrial Summary'!$A:$A,"COA"))/SUMIFS('Industrial Summary'!$G:$G,'Industrial Summary'!$F:$F,M$17,'Industrial Summary'!$D:$D,$E44)),0))*0.98</f>
        <v>-6.0842636747045539E-3</v>
      </c>
      <c r="N44" s="6">
        <f>(IF(SUMIFS('Industrial Summary'!$G:$G,'Industrial Summary'!$F:$F,N$17,'Industrial Summary'!$D:$D,$E44)&gt;0,((-SUMIFS('Industrial Summary'!$G:$G,'Industrial Summary'!$F:$F,N$17,'Industrial Summary'!$D:$D,$E44,'Industrial Summary'!$A:$A,"COA")+-SUMIFS('Industrial Summary'!$G:$G,'Industrial Summary'!$F:$F,N$17,'Industrial Summary'!$D:$D,"IFDRSTM",'Industrial Summary'!$A:$A,"COA"))/SUMIFS('Industrial Summary'!$G:$G,'Industrial Summary'!$F:$F,N$17,'Industrial Summary'!$D:$D,$E44)),0))*0.98</f>
        <v>-5.0366117136774113E-3</v>
      </c>
      <c r="O44" s="6">
        <f>(IF(SUMIFS('Industrial Summary'!$G:$G,'Industrial Summary'!$F:$F,O$17,'Industrial Summary'!$D:$D,$E44)&gt;0,((-SUMIFS('Industrial Summary'!$G:$G,'Industrial Summary'!$F:$F,O$17,'Industrial Summary'!$D:$D,$E44,'Industrial Summary'!$A:$A,"COA")+-SUMIFS('Industrial Summary'!$G:$G,'Industrial Summary'!$F:$F,O$17,'Industrial Summary'!$D:$D,"IFDRSTM",'Industrial Summary'!$A:$A,"COA"))/SUMIFS('Industrial Summary'!$G:$G,'Industrial Summary'!$F:$F,O$17,'Industrial Summary'!$D:$D,$E44)),0))*0.98</f>
        <v>-1.235846147950345E-2</v>
      </c>
      <c r="P44" s="6">
        <f>(IF(SUMIFS('Industrial Summary'!$G:$G,'Industrial Summary'!$F:$F,P$17,'Industrial Summary'!$D:$D,$E44)&gt;0,((-SUMIFS('Industrial Summary'!$G:$G,'Industrial Summary'!$F:$F,P$17,'Industrial Summary'!$D:$D,$E44,'Industrial Summary'!$A:$A,"COA")+-SUMIFS('Industrial Summary'!$G:$G,'Industrial Summary'!$F:$F,P$17,'Industrial Summary'!$D:$D,"IFDRSTM",'Industrial Summary'!$A:$A,"COA"))/SUMIFS('Industrial Summary'!$G:$G,'Industrial Summary'!$F:$F,P$17,'Industrial Summary'!$D:$D,$E44)),0))*0.98</f>
        <v>-1.9136538179562852E-2</v>
      </c>
      <c r="Q44" s="5">
        <v>0</v>
      </c>
      <c r="R44" s="5">
        <v>15</v>
      </c>
      <c r="S44" s="5" t="str">
        <f t="shared" si="2"/>
        <v>UC_IFDOH_COA</v>
      </c>
      <c r="V44" s="4" t="str">
        <f t="shared" si="4"/>
        <v>S_IFDOHCOA</v>
      </c>
      <c r="W44" s="4" t="str">
        <f t="shared" si="5"/>
        <v>IFDOH_COA</v>
      </c>
      <c r="X44" s="4" t="str">
        <f t="shared" si="6"/>
        <v>IFDOHT</v>
      </c>
      <c r="Y44" s="5" t="str">
        <f t="shared" si="7"/>
        <v>UP</v>
      </c>
      <c r="Z44" s="5">
        <v>1</v>
      </c>
      <c r="AA44" s="6">
        <f t="shared" si="8"/>
        <v>-1.9047582717368961E-3</v>
      </c>
      <c r="AB44" s="6">
        <f t="shared" si="9"/>
        <v>-2.107759197969245E-3</v>
      </c>
      <c r="AC44" s="6">
        <f t="shared" si="10"/>
        <v>-3.2929226066390781E-2</v>
      </c>
      <c r="AD44" s="6">
        <f t="shared" si="11"/>
        <v>-4.0058948562527036E-2</v>
      </c>
      <c r="AE44" s="6">
        <f t="shared" si="12"/>
        <v>-4.9256465154103087E-3</v>
      </c>
      <c r="AF44" s="6">
        <f t="shared" si="13"/>
        <v>-4.8674109397636436E-3</v>
      </c>
      <c r="AG44" s="6">
        <f t="shared" si="14"/>
        <v>-4.0292893709419292E-3</v>
      </c>
      <c r="AH44" s="6">
        <f t="shared" si="15"/>
        <v>-9.8867691836027616E-3</v>
      </c>
      <c r="AI44" s="6">
        <f t="shared" si="16"/>
        <v>-1.5309230543650283E-2</v>
      </c>
      <c r="AL44" s="5" t="str">
        <f t="shared" si="17"/>
        <v>COA</v>
      </c>
      <c r="AM44" s="5">
        <f>Z5</f>
        <v>0.8</v>
      </c>
    </row>
    <row r="45" spans="1:39" s="5" customFormat="1" x14ac:dyDescent="0.3">
      <c r="A45" s="8"/>
      <c r="B45" s="8"/>
      <c r="C45" s="4" t="s">
        <v>79</v>
      </c>
      <c r="D45" s="5" t="s">
        <v>80</v>
      </c>
      <c r="E45" s="5" t="s">
        <v>711</v>
      </c>
      <c r="F45" s="5" t="s">
        <v>1588</v>
      </c>
      <c r="G45" s="5">
        <v>1</v>
      </c>
      <c r="H45" s="6">
        <f>(IF(SUMIFS('Industrial Summary'!$G:$G,'Industrial Summary'!$F:$F,H$17,'Industrial Summary'!$D:$D,$E45)&gt;0,((-SUMIFS('Industrial Summary'!$G:$G,'Industrial Summary'!$F:$F,H$17,'Industrial Summary'!$D:$D,$E45,'Industrial Summary'!$A:$A,"BIO")+-SUMIFS('Industrial Summary'!$G:$G,'Industrial Summary'!$F:$F,H$17,'Industrial Summary'!$D:$D,"IFDRSTM",'Industrial Summary'!$A:$A,"AGR"))/SUMIFS('Industrial Summary'!$G:$G,'Industrial Summary'!$F:$F,H$17,'Industrial Summary'!$D:$D,$E45)),0))*0.98</f>
        <v>-0.22077831924436622</v>
      </c>
      <c r="I45" s="6">
        <f>(IF(SUMIFS('Industrial Summary'!$G:$G,'Industrial Summary'!$F:$F,I$17,'Industrial Summary'!$D:$D,$E45)&gt;0,((-SUMIFS('Industrial Summary'!$G:$G,'Industrial Summary'!$F:$F,I$17,'Industrial Summary'!$D:$D,$E45,'Industrial Summary'!$A:$A,"BIO")+-SUMIFS('Industrial Summary'!$G:$G,'Industrial Summary'!$F:$F,I$17,'Industrial Summary'!$D:$D,"IFDRSTM",'Industrial Summary'!$A:$A,"AGR"))/SUMIFS('Industrial Summary'!$G:$G,'Industrial Summary'!$F:$F,I$17,'Industrial Summary'!$D:$D,$E45)),0))*0.98</f>
        <v>-0.13986374509814797</v>
      </c>
      <c r="J45" s="6">
        <f>(IF(SUMIFS('Industrial Summary'!$G:$G,'Industrial Summary'!$F:$F,J$17,'Industrial Summary'!$D:$D,$E45)&gt;0,((-SUMIFS('Industrial Summary'!$G:$G,'Industrial Summary'!$F:$F,J$17,'Industrial Summary'!$D:$D,$E45,'Industrial Summary'!$A:$A,"BIO")+-SUMIFS('Industrial Summary'!$G:$G,'Industrial Summary'!$F:$F,J$17,'Industrial Summary'!$D:$D,"IFDRSTM",'Industrial Summary'!$A:$A,"AGR"))/SUMIFS('Industrial Summary'!$G:$G,'Industrial Summary'!$F:$F,J$17,'Industrial Summary'!$D:$D,$E45)),0))*0.98</f>
        <v>-0.61487554111287002</v>
      </c>
      <c r="K45" s="6">
        <f>(IF(SUMIFS('Industrial Summary'!$G:$G,'Industrial Summary'!$F:$F,K$17,'Industrial Summary'!$D:$D,$E45)&gt;0,((-SUMIFS('Industrial Summary'!$G:$G,'Industrial Summary'!$F:$F,K$17,'Industrial Summary'!$D:$D,$E45,'Industrial Summary'!$A:$A,"BIO")+-SUMIFS('Industrial Summary'!$G:$G,'Industrial Summary'!$F:$F,K$17,'Industrial Summary'!$D:$D,"IFDRSTM",'Industrial Summary'!$A:$A,"AGR"))/SUMIFS('Industrial Summary'!$G:$G,'Industrial Summary'!$F:$F,K$17,'Industrial Summary'!$D:$D,$E45)),0))*0.98</f>
        <v>-0.53582005213269746</v>
      </c>
      <c r="L45" s="6">
        <f>(IF(SUMIFS('Industrial Summary'!$G:$G,'Industrial Summary'!$F:$F,L$17,'Industrial Summary'!$D:$D,$E45)&gt;0,((-SUMIFS('Industrial Summary'!$G:$G,'Industrial Summary'!$F:$F,L$17,'Industrial Summary'!$D:$D,$E45,'Industrial Summary'!$A:$A,"BIO")+-SUMIFS('Industrial Summary'!$G:$G,'Industrial Summary'!$F:$F,L$17,'Industrial Summary'!$D:$D,"IFDRSTM",'Industrial Summary'!$A:$A,"AGR"))/SUMIFS('Industrial Summary'!$G:$G,'Industrial Summary'!$F:$F,L$17,'Industrial Summary'!$D:$D,$E45)),0))*0.98</f>
        <v>-0.3143540155031036</v>
      </c>
      <c r="M45" s="6">
        <f>(IF(SUMIFS('Industrial Summary'!$G:$G,'Industrial Summary'!$F:$F,M$17,'Industrial Summary'!$D:$D,$E45)&gt;0,((-SUMIFS('Industrial Summary'!$G:$G,'Industrial Summary'!$F:$F,M$17,'Industrial Summary'!$D:$D,$E45,'Industrial Summary'!$A:$A,"BIO")+-SUMIFS('Industrial Summary'!$G:$G,'Industrial Summary'!$F:$F,M$17,'Industrial Summary'!$D:$D,"IFDRSTM",'Industrial Summary'!$A:$A,"AGR"))/SUMIFS('Industrial Summary'!$G:$G,'Industrial Summary'!$F:$F,M$17,'Industrial Summary'!$D:$D,$E45)),0))*0.98</f>
        <v>-0.64935974180948852</v>
      </c>
      <c r="N45" s="6">
        <f>(IF(SUMIFS('Industrial Summary'!$G:$G,'Industrial Summary'!$F:$F,N$17,'Industrial Summary'!$D:$D,$E45)&gt;0,((-SUMIFS('Industrial Summary'!$G:$G,'Industrial Summary'!$F:$F,N$17,'Industrial Summary'!$D:$D,$E45,'Industrial Summary'!$A:$A,"BIO")+-SUMIFS('Industrial Summary'!$G:$G,'Industrial Summary'!$F:$F,N$17,'Industrial Summary'!$D:$D,"IFDRSTM",'Industrial Summary'!$A:$A,"AGR"))/SUMIFS('Industrial Summary'!$G:$G,'Industrial Summary'!$F:$F,N$17,'Industrial Summary'!$D:$D,$E45)),0))*0.98</f>
        <v>-0.70629282909956981</v>
      </c>
      <c r="O45" s="6">
        <f>(IF(SUMIFS('Industrial Summary'!$G:$G,'Industrial Summary'!$F:$F,O$17,'Industrial Summary'!$D:$D,$E45)&gt;0,((-SUMIFS('Industrial Summary'!$G:$G,'Industrial Summary'!$F:$F,O$17,'Industrial Summary'!$D:$D,$E45,'Industrial Summary'!$A:$A,"BIO")+-SUMIFS('Industrial Summary'!$G:$G,'Industrial Summary'!$F:$F,O$17,'Industrial Summary'!$D:$D,"IFDRSTM",'Industrial Summary'!$A:$A,"AGR"))/SUMIFS('Industrial Summary'!$G:$G,'Industrial Summary'!$F:$F,O$17,'Industrial Summary'!$D:$D,$E45)),0))*0.98</f>
        <v>-0.54019520576049906</v>
      </c>
      <c r="P45" s="6">
        <f>(IF(SUMIFS('Industrial Summary'!$G:$G,'Industrial Summary'!$F:$F,P$17,'Industrial Summary'!$D:$D,$E45)&gt;0,((-SUMIFS('Industrial Summary'!$G:$G,'Industrial Summary'!$F:$F,P$17,'Industrial Summary'!$D:$D,$E45,'Industrial Summary'!$A:$A,"BIO")+-SUMIFS('Industrial Summary'!$G:$G,'Industrial Summary'!$F:$F,P$17,'Industrial Summary'!$D:$D,"IFDRSTM",'Industrial Summary'!$A:$A,"AGR"))/SUMIFS('Industrial Summary'!$G:$G,'Industrial Summary'!$F:$F,P$17,'Industrial Summary'!$D:$D,$E45)),0))*0.98</f>
        <v>-0.47192264916621263</v>
      </c>
      <c r="Q45" s="5">
        <v>0</v>
      </c>
      <c r="R45" s="5">
        <v>15</v>
      </c>
      <c r="S45" s="5" t="str">
        <f t="shared" si="2"/>
        <v>UC_IFDOH_BIO</v>
      </c>
      <c r="V45" s="4" t="str">
        <f t="shared" si="4"/>
        <v>S_IFDOHBIO</v>
      </c>
      <c r="W45" s="4" t="str">
        <f t="shared" si="5"/>
        <v>IFDOH_BIO</v>
      </c>
      <c r="X45" s="4" t="str">
        <f t="shared" si="6"/>
        <v>IFDOHT</v>
      </c>
      <c r="Y45" s="5" t="str">
        <f t="shared" si="7"/>
        <v>LO</v>
      </c>
      <c r="Z45" s="5">
        <v>1</v>
      </c>
      <c r="AA45" s="6">
        <f t="shared" si="8"/>
        <v>-0.22077831924436622</v>
      </c>
      <c r="AB45" s="6">
        <f t="shared" si="9"/>
        <v>-0.13986374509814797</v>
      </c>
      <c r="AC45" s="6">
        <f t="shared" si="10"/>
        <v>-0.61487554111287002</v>
      </c>
      <c r="AD45" s="6">
        <f t="shared" si="11"/>
        <v>-0.53582005213269746</v>
      </c>
      <c r="AE45" s="6">
        <f t="shared" si="12"/>
        <v>-0.3143540155031036</v>
      </c>
      <c r="AF45" s="6">
        <f t="shared" si="13"/>
        <v>-0.64935974180948852</v>
      </c>
      <c r="AG45" s="6">
        <f t="shared" si="14"/>
        <v>-0.70629282909956981</v>
      </c>
      <c r="AH45" s="6">
        <f t="shared" si="15"/>
        <v>-0.54019520576049906</v>
      </c>
      <c r="AI45" s="6">
        <f t="shared" si="16"/>
        <v>-0.47192264916621263</v>
      </c>
      <c r="AL45" s="5" t="str">
        <f t="shared" si="17"/>
        <v>BIO</v>
      </c>
      <c r="AM45" s="5">
        <f>1</f>
        <v>1</v>
      </c>
    </row>
    <row r="46" spans="1:39" s="5" customFormat="1" ht="15.6" x14ac:dyDescent="0.3">
      <c r="A46" s="9"/>
      <c r="C46" s="4" t="s">
        <v>82</v>
      </c>
      <c r="D46" s="5" t="s">
        <v>83</v>
      </c>
      <c r="E46" s="5" t="s">
        <v>769</v>
      </c>
      <c r="F46" s="5" t="s">
        <v>1588</v>
      </c>
      <c r="G46" s="5">
        <v>1</v>
      </c>
      <c r="H46" s="6">
        <f>(IF(SUMIFS('Industrial Summary'!$G:$G,'Industrial Summary'!$F:$F,H$17,'Industrial Summary'!$D:$D,$E46)&gt;0,((-SUMIFS('Industrial Summary'!$G:$G,'Industrial Summary'!$F:$F,H$17,'Industrial Summary'!$D:$D,$E46,'Industrial Summary'!$A:$A,"NGA")+-SUMIFS('Industrial Summary'!$G:$G,'Industrial Summary'!$F:$F,H$17,'Industrial Summary'!$D:$D,"IPLFSTM",'Industrial Summary'!$A:$A,"NGA"))/SUMIFS('Industrial Summary'!$G:$G,'Industrial Summary'!$F:$F,H$17,'Industrial Summary'!$D:$D,$E46)),0))*0.98</f>
        <v>-0.19560019697819961</v>
      </c>
      <c r="I46" s="6">
        <f>(IF(SUMIFS('Industrial Summary'!$G:$G,'Industrial Summary'!$F:$F,I$17,'Industrial Summary'!$D:$D,$E46)&gt;0,((-SUMIFS('Industrial Summary'!$G:$G,'Industrial Summary'!$F:$F,I$17,'Industrial Summary'!$D:$D,$E46,'Industrial Summary'!$A:$A,"NGA")+-SUMIFS('Industrial Summary'!$G:$G,'Industrial Summary'!$F:$F,I$17,'Industrial Summary'!$D:$D,"IPLFSTM",'Industrial Summary'!$A:$A,"NGA"))/SUMIFS('Industrial Summary'!$G:$G,'Industrial Summary'!$F:$F,I$17,'Industrial Summary'!$D:$D,$E46)),0))*0.98</f>
        <v>0</v>
      </c>
      <c r="J46" s="6">
        <f>(IF(SUMIFS('Industrial Summary'!$G:$G,'Industrial Summary'!$F:$F,J$17,'Industrial Summary'!$D:$D,$E46)&gt;0,((-SUMIFS('Industrial Summary'!$G:$G,'Industrial Summary'!$F:$F,J$17,'Industrial Summary'!$D:$D,$E46,'Industrial Summary'!$A:$A,"NGA")+-SUMIFS('Industrial Summary'!$G:$G,'Industrial Summary'!$F:$F,J$17,'Industrial Summary'!$D:$D,"IPLFSTM",'Industrial Summary'!$A:$A,"NGA"))/SUMIFS('Industrial Summary'!$G:$G,'Industrial Summary'!$F:$F,J$17,'Industrial Summary'!$D:$D,$E46)),0))*0.98</f>
        <v>0</v>
      </c>
      <c r="K46" s="6">
        <f>(IF(SUMIFS('Industrial Summary'!$G:$G,'Industrial Summary'!$F:$F,K$17,'Industrial Summary'!$D:$D,$E46)&gt;0,((-SUMIFS('Industrial Summary'!$G:$G,'Industrial Summary'!$F:$F,K$17,'Industrial Summary'!$D:$D,$E46,'Industrial Summary'!$A:$A,"NGA")+-SUMIFS('Industrial Summary'!$G:$G,'Industrial Summary'!$F:$F,K$17,'Industrial Summary'!$D:$D,"IPLFSTM",'Industrial Summary'!$A:$A,"NGA"))/SUMIFS('Industrial Summary'!$G:$G,'Industrial Summary'!$F:$F,K$17,'Industrial Summary'!$D:$D,$E46)),0))*0.98</f>
        <v>0</v>
      </c>
      <c r="L46" s="6">
        <f>(IF(SUMIFS('Industrial Summary'!$G:$G,'Industrial Summary'!$F:$F,L$17,'Industrial Summary'!$D:$D,$E46)&gt;0,((-SUMIFS('Industrial Summary'!$G:$G,'Industrial Summary'!$F:$F,L$17,'Industrial Summary'!$D:$D,$E46,'Industrial Summary'!$A:$A,"NGA")+-SUMIFS('Industrial Summary'!$G:$G,'Industrial Summary'!$F:$F,L$17,'Industrial Summary'!$D:$D,"IPLFSTM",'Industrial Summary'!$A:$A,"NGA"))/SUMIFS('Industrial Summary'!$G:$G,'Industrial Summary'!$F:$F,L$17,'Industrial Summary'!$D:$D,$E46)),0))*0.98</f>
        <v>-0.39687009797963324</v>
      </c>
      <c r="M46" s="6">
        <f>(IF(SUMIFS('Industrial Summary'!$G:$G,'Industrial Summary'!$F:$F,M$17,'Industrial Summary'!$D:$D,$E46)&gt;0,((-SUMIFS('Industrial Summary'!$G:$G,'Industrial Summary'!$F:$F,M$17,'Industrial Summary'!$D:$D,$E46,'Industrial Summary'!$A:$A,"NGA")+-SUMIFS('Industrial Summary'!$G:$G,'Industrial Summary'!$F:$F,M$17,'Industrial Summary'!$D:$D,"IPLFSTM",'Industrial Summary'!$A:$A,"NGA"))/SUMIFS('Industrial Summary'!$G:$G,'Industrial Summary'!$F:$F,M$17,'Industrial Summary'!$D:$D,$E46)),0))*0.98</f>
        <v>-0.13504141783189122</v>
      </c>
      <c r="N46" s="6">
        <f>(IF(SUMIFS('Industrial Summary'!$G:$G,'Industrial Summary'!$F:$F,N$17,'Industrial Summary'!$D:$D,$E46)&gt;0,((-SUMIFS('Industrial Summary'!$G:$G,'Industrial Summary'!$F:$F,N$17,'Industrial Summary'!$D:$D,$E46,'Industrial Summary'!$A:$A,"NGA")+-SUMIFS('Industrial Summary'!$G:$G,'Industrial Summary'!$F:$F,N$17,'Industrial Summary'!$D:$D,"IPLFSTM",'Industrial Summary'!$A:$A,"NGA"))/SUMIFS('Industrial Summary'!$G:$G,'Industrial Summary'!$F:$F,N$17,'Industrial Summary'!$D:$D,$E46)),0))*0.98</f>
        <v>-0.35994933508500343</v>
      </c>
      <c r="O46" s="6">
        <f>(IF(SUMIFS('Industrial Summary'!$G:$G,'Industrial Summary'!$F:$F,O$17,'Industrial Summary'!$D:$D,$E46)&gt;0,((-SUMIFS('Industrial Summary'!$G:$G,'Industrial Summary'!$F:$F,O$17,'Industrial Summary'!$D:$D,$E46,'Industrial Summary'!$A:$A,"NGA")+-SUMIFS('Industrial Summary'!$G:$G,'Industrial Summary'!$F:$F,O$17,'Industrial Summary'!$D:$D,"IPLFSTM",'Industrial Summary'!$A:$A,"NGA"))/SUMIFS('Industrial Summary'!$G:$G,'Industrial Summary'!$F:$F,O$17,'Industrial Summary'!$D:$D,$E46)),0))*0.98</f>
        <v>0</v>
      </c>
      <c r="P46" s="6">
        <f>(IF(SUMIFS('Industrial Summary'!$G:$G,'Industrial Summary'!$F:$F,P$17,'Industrial Summary'!$D:$D,$E46)&gt;0,((-SUMIFS('Industrial Summary'!$G:$G,'Industrial Summary'!$F:$F,P$17,'Industrial Summary'!$D:$D,$E46,'Industrial Summary'!$A:$A,"NGA")+-SUMIFS('Industrial Summary'!$G:$G,'Industrial Summary'!$F:$F,P$17,'Industrial Summary'!$D:$D,"IPLFSTM",'Industrial Summary'!$A:$A,"NGA"))/SUMIFS('Industrial Summary'!$G:$G,'Industrial Summary'!$F:$F,P$17,'Industrial Summary'!$D:$D,$E46)),0))*0.98</f>
        <v>-0.98</v>
      </c>
      <c r="Q46" s="5">
        <v>0</v>
      </c>
      <c r="R46" s="5">
        <v>15</v>
      </c>
      <c r="S46" s="5" t="str">
        <f t="shared" si="2"/>
        <v>UC_IPLST_NGA</v>
      </c>
      <c r="V46" s="4" t="str">
        <f t="shared" si="4"/>
        <v>S_IPLSTNGA</v>
      </c>
      <c r="W46" s="4" t="str">
        <f t="shared" si="5"/>
        <v>IPLST_NGA</v>
      </c>
      <c r="X46" s="4" t="str">
        <f t="shared" si="6"/>
        <v>IPLSTM</v>
      </c>
      <c r="Y46" s="5" t="str">
        <f t="shared" si="7"/>
        <v>LO</v>
      </c>
      <c r="Z46" s="5">
        <v>1</v>
      </c>
      <c r="AA46" s="6">
        <f t="shared" si="8"/>
        <v>-0.13300813394517572</v>
      </c>
      <c r="AB46" s="6">
        <f t="shared" si="9"/>
        <v>0</v>
      </c>
      <c r="AC46" s="6">
        <f t="shared" si="10"/>
        <v>0</v>
      </c>
      <c r="AD46" s="6">
        <f t="shared" si="11"/>
        <v>0</v>
      </c>
      <c r="AE46" s="6">
        <f t="shared" si="12"/>
        <v>-0.26987166662615059</v>
      </c>
      <c r="AF46" s="6">
        <f t="shared" si="13"/>
        <v>-9.1828164125686021E-2</v>
      </c>
      <c r="AG46" s="6">
        <f t="shared" si="14"/>
        <v>-0.2447655478578023</v>
      </c>
      <c r="AH46" s="6">
        <f t="shared" si="15"/>
        <v>0</v>
      </c>
      <c r="AI46" s="6">
        <f t="shared" si="16"/>
        <v>-0.66639999999999988</v>
      </c>
      <c r="AL46" s="5" t="str">
        <f t="shared" si="17"/>
        <v>NGA</v>
      </c>
      <c r="AM46" s="5">
        <f>Y6</f>
        <v>0.67999999999999994</v>
      </c>
    </row>
    <row r="47" spans="1:39" s="5" customFormat="1" x14ac:dyDescent="0.3">
      <c r="C47" s="4" t="s">
        <v>86</v>
      </c>
      <c r="D47" s="5" t="s">
        <v>87</v>
      </c>
      <c r="E47" s="5" t="s">
        <v>785</v>
      </c>
      <c r="F47" s="5" t="s">
        <v>1588</v>
      </c>
      <c r="G47" s="5">
        <v>1</v>
      </c>
      <c r="H47" s="6">
        <f>IF(SUMIFS('Industrial Summary'!$G:$G,'Industrial Summary'!$F:$F,H$17,'Industrial Summary'!$D:$D,$E47)&gt;0,(-SUMIFS('Industrial Summary'!$G:$G,'Industrial Summary'!$F:$F,H$17,'Industrial Summary'!$D:$D,$E47,'Industrial Summary'!$A:$A,"ELC")/SUMIFS('Industrial Summary'!$G:$G,'Industrial Summary'!$F:$F,H$17,'Industrial Summary'!$D:$D,$E47)),0)*0.98</f>
        <v>-0.15543839673425844</v>
      </c>
      <c r="I47" s="6">
        <f>IF(SUMIFS('Industrial Summary'!$G:$G,'Industrial Summary'!$F:$F,I$17,'Industrial Summary'!$D:$D,$E47)&gt;0,(-SUMIFS('Industrial Summary'!$G:$G,'Industrial Summary'!$F:$F,I$17,'Industrial Summary'!$D:$D,$E47,'Industrial Summary'!$A:$A,"ELC")/SUMIFS('Industrial Summary'!$G:$G,'Industrial Summary'!$F:$F,I$17,'Industrial Summary'!$D:$D,$E47)),0)*0.98</f>
        <v>-0.15543839673425855</v>
      </c>
      <c r="J47" s="6">
        <f>IF(SUMIFS('Industrial Summary'!$G:$G,'Industrial Summary'!$F:$F,J$17,'Industrial Summary'!$D:$D,$E47)&gt;0,(-SUMIFS('Industrial Summary'!$G:$G,'Industrial Summary'!$F:$F,J$17,'Industrial Summary'!$D:$D,$E47,'Industrial Summary'!$A:$A,"ELC")/SUMIFS('Industrial Summary'!$G:$G,'Industrial Summary'!$F:$F,J$17,'Industrial Summary'!$D:$D,$E47)),0)*0.98</f>
        <v>-0.2960267438748399</v>
      </c>
      <c r="K47" s="6">
        <f>IF(SUMIFS('Industrial Summary'!$G:$G,'Industrial Summary'!$F:$F,K$17,'Industrial Summary'!$D:$D,$E47)&gt;0,(-SUMIFS('Industrial Summary'!$G:$G,'Industrial Summary'!$F:$F,K$17,'Industrial Summary'!$D:$D,$E47,'Industrial Summary'!$A:$A,"ELC")/SUMIFS('Industrial Summary'!$G:$G,'Industrial Summary'!$F:$F,K$17,'Industrial Summary'!$D:$D,$E47)),0)*0.98</f>
        <v>-0.29602674387483868</v>
      </c>
      <c r="L47" s="6">
        <f>IF(SUMIFS('Industrial Summary'!$G:$G,'Industrial Summary'!$F:$F,L$17,'Industrial Summary'!$D:$D,$E47)&gt;0,(-SUMIFS('Industrial Summary'!$G:$G,'Industrial Summary'!$F:$F,L$17,'Industrial Summary'!$D:$D,$E47,'Industrial Summary'!$A:$A,"ELC")/SUMIFS('Industrial Summary'!$G:$G,'Industrial Summary'!$F:$F,L$17,'Industrial Summary'!$D:$D,$E47)),0)*0.98</f>
        <v>-7.6001861189200395E-2</v>
      </c>
      <c r="M47" s="6">
        <f>IF(SUMIFS('Industrial Summary'!$G:$G,'Industrial Summary'!$F:$F,M$17,'Industrial Summary'!$D:$D,$E47)&gt;0,(-SUMIFS('Industrial Summary'!$G:$G,'Industrial Summary'!$F:$F,M$17,'Industrial Summary'!$D:$D,$E47,'Industrial Summary'!$A:$A,"ELC")/SUMIFS('Industrial Summary'!$G:$G,'Industrial Summary'!$F:$F,M$17,'Industrial Summary'!$D:$D,$E47)),0)*0.98</f>
        <v>-7.6001861189200381E-2</v>
      </c>
      <c r="N47" s="6">
        <f>IF(SUMIFS('Industrial Summary'!$G:$G,'Industrial Summary'!$F:$F,N$17,'Industrial Summary'!$D:$D,$E47)&gt;0,(-SUMIFS('Industrial Summary'!$G:$G,'Industrial Summary'!$F:$F,N$17,'Industrial Summary'!$D:$D,$E47,'Industrial Summary'!$A:$A,"ELC")/SUMIFS('Industrial Summary'!$G:$G,'Industrial Summary'!$F:$F,N$17,'Industrial Summary'!$D:$D,$E47)),0)*0.98</f>
        <v>-7.6001861189200437E-2</v>
      </c>
      <c r="O47" s="6">
        <f>IF(SUMIFS('Industrial Summary'!$G:$G,'Industrial Summary'!$F:$F,O$17,'Industrial Summary'!$D:$D,$E47)&gt;0,(-SUMIFS('Industrial Summary'!$G:$G,'Industrial Summary'!$F:$F,O$17,'Industrial Summary'!$D:$D,$E47,'Industrial Summary'!$A:$A,"ELC")/SUMIFS('Industrial Summary'!$G:$G,'Industrial Summary'!$F:$F,O$17,'Industrial Summary'!$D:$D,$E47)),0)*0.98</f>
        <v>-0.39245235583894278</v>
      </c>
      <c r="P47" s="6">
        <f>IF(SUMIFS('Industrial Summary'!$G:$G,'Industrial Summary'!$F:$F,P$17,'Industrial Summary'!$D:$D,$E47)&gt;0,(-SUMIFS('Industrial Summary'!$G:$G,'Industrial Summary'!$F:$F,P$17,'Industrial Summary'!$D:$D,$E47,'Industrial Summary'!$A:$A,"ELC")/SUMIFS('Industrial Summary'!$G:$G,'Industrial Summary'!$F:$F,P$17,'Industrial Summary'!$D:$D,$E47)),0)*0.98</f>
        <v>-0.49056544479867786</v>
      </c>
      <c r="Q47" s="5">
        <v>0</v>
      </c>
      <c r="R47" s="5">
        <v>15</v>
      </c>
      <c r="S47" s="5" t="str">
        <f t="shared" si="2"/>
        <v>UC_IPLPH_ELC</v>
      </c>
      <c r="V47" s="4" t="str">
        <f t="shared" si="4"/>
        <v>S_IPLPHELC</v>
      </c>
      <c r="W47" s="4" t="str">
        <f t="shared" si="5"/>
        <v>IPLPH_ELC</v>
      </c>
      <c r="X47" s="4" t="str">
        <f t="shared" si="6"/>
        <v>IPLPRH</v>
      </c>
      <c r="Y47" s="5" t="str">
        <f t="shared" si="7"/>
        <v>LO</v>
      </c>
      <c r="Z47" s="5">
        <v>1</v>
      </c>
      <c r="AA47" s="6">
        <f t="shared" si="8"/>
        <v>-0.15543839673425844</v>
      </c>
      <c r="AB47" s="6">
        <f t="shared" si="9"/>
        <v>-0.15543839673425855</v>
      </c>
      <c r="AC47" s="6">
        <f t="shared" si="10"/>
        <v>-0.2960267438748399</v>
      </c>
      <c r="AD47" s="6">
        <f t="shared" si="11"/>
        <v>-0.29602674387483868</v>
      </c>
      <c r="AE47" s="6">
        <f t="shared" si="12"/>
        <v>-7.6001861189200395E-2</v>
      </c>
      <c r="AF47" s="6">
        <f t="shared" si="13"/>
        <v>-7.6001861189200381E-2</v>
      </c>
      <c r="AG47" s="6">
        <f t="shared" si="14"/>
        <v>-7.6001861189200437E-2</v>
      </c>
      <c r="AH47" s="6">
        <f t="shared" si="15"/>
        <v>-0.39245235583894278</v>
      </c>
      <c r="AI47" s="6">
        <f t="shared" si="16"/>
        <v>-0.49056544479867786</v>
      </c>
      <c r="AL47" s="5" t="str">
        <f t="shared" si="17"/>
        <v>ELC</v>
      </c>
      <c r="AM47" s="5">
        <f>1</f>
        <v>1</v>
      </c>
    </row>
    <row r="48" spans="1:39" s="5" customFormat="1" x14ac:dyDescent="0.3">
      <c r="C48" s="4" t="s">
        <v>88</v>
      </c>
      <c r="D48" s="5" t="s">
        <v>89</v>
      </c>
      <c r="E48" s="5" t="s">
        <v>785</v>
      </c>
      <c r="F48" s="5" t="s">
        <v>1588</v>
      </c>
      <c r="G48" s="5">
        <v>1</v>
      </c>
      <c r="H48" s="6">
        <f>IF(SUMIFS('Industrial Summary'!$G:$G,'Industrial Summary'!$F:$F,H$17,'Industrial Summary'!$D:$D,$E48)&gt;0,(-SUMIFS('Industrial Summary'!$G:$G,'Industrial Summary'!$F:$F,H$17,'Industrial Summary'!$D:$D,$E48,'Industrial Summary'!$A:$A,"RFL")/SUMIFS('Industrial Summary'!$G:$G,'Industrial Summary'!$F:$F,H$17,'Industrial Summary'!$D:$D,$E48)),0)*0.98</f>
        <v>-0.46541936851496524</v>
      </c>
      <c r="I48" s="6">
        <f>IF(SUMIFS('Industrial Summary'!$G:$G,'Industrial Summary'!$F:$F,I$17,'Industrial Summary'!$D:$D,$E48)&gt;0,(-SUMIFS('Industrial Summary'!$G:$G,'Industrial Summary'!$F:$F,I$17,'Industrial Summary'!$D:$D,$E48,'Industrial Summary'!$A:$A,"RFL")/SUMIFS('Industrial Summary'!$G:$G,'Industrial Summary'!$F:$F,I$17,'Industrial Summary'!$D:$D,$E48)),0)*0.98</f>
        <v>-0.46541936851496585</v>
      </c>
      <c r="J48" s="6">
        <f>IF(SUMIFS('Industrial Summary'!$G:$G,'Industrial Summary'!$F:$F,J$17,'Industrial Summary'!$D:$D,$E48)&gt;0,(-SUMIFS('Industrial Summary'!$G:$G,'Industrial Summary'!$F:$F,J$17,'Industrial Summary'!$D:$D,$E48,'Industrial Summary'!$A:$A,"RFL")/SUMIFS('Industrial Summary'!$G:$G,'Industrial Summary'!$F:$F,J$17,'Industrial Summary'!$D:$D,$E48)),0)*0.98</f>
        <v>0</v>
      </c>
      <c r="K48" s="6">
        <f>IF(SUMIFS('Industrial Summary'!$G:$G,'Industrial Summary'!$F:$F,K$17,'Industrial Summary'!$D:$D,$E48)&gt;0,(-SUMIFS('Industrial Summary'!$G:$G,'Industrial Summary'!$F:$F,K$17,'Industrial Summary'!$D:$D,$E48,'Industrial Summary'!$A:$A,"RFL")/SUMIFS('Industrial Summary'!$G:$G,'Industrial Summary'!$F:$F,K$17,'Industrial Summary'!$D:$D,$E48)),0)*0.98</f>
        <v>0</v>
      </c>
      <c r="L48" s="6">
        <f>IF(SUMIFS('Industrial Summary'!$G:$G,'Industrial Summary'!$F:$F,L$17,'Industrial Summary'!$D:$D,$E48)&gt;0,(-SUMIFS('Industrial Summary'!$G:$G,'Industrial Summary'!$F:$F,L$17,'Industrial Summary'!$D:$D,$E48,'Industrial Summary'!$A:$A,"RFL")/SUMIFS('Industrial Summary'!$G:$G,'Industrial Summary'!$F:$F,L$17,'Industrial Summary'!$D:$D,$E48)),0)*0.98</f>
        <v>-0.11378378503579589</v>
      </c>
      <c r="M48" s="6">
        <f>IF(SUMIFS('Industrial Summary'!$G:$G,'Industrial Summary'!$F:$F,M$17,'Industrial Summary'!$D:$D,$E48)&gt;0,(-SUMIFS('Industrial Summary'!$G:$G,'Industrial Summary'!$F:$F,M$17,'Industrial Summary'!$D:$D,$E48,'Industrial Summary'!$A:$A,"RFL")/SUMIFS('Industrial Summary'!$G:$G,'Industrial Summary'!$F:$F,M$17,'Industrial Summary'!$D:$D,$E48)),0)*0.98</f>
        <v>-0.1137837850357967</v>
      </c>
      <c r="N48" s="6">
        <f>IF(SUMIFS('Industrial Summary'!$G:$G,'Industrial Summary'!$F:$F,N$17,'Industrial Summary'!$D:$D,$E48)&gt;0,(-SUMIFS('Industrial Summary'!$G:$G,'Industrial Summary'!$F:$F,N$17,'Industrial Summary'!$D:$D,$E48,'Industrial Summary'!$A:$A,"RFL")/SUMIFS('Industrial Summary'!$G:$G,'Industrial Summary'!$F:$F,N$17,'Industrial Summary'!$D:$D,$E48)),0)*0.98</f>
        <v>-0.11378378503579474</v>
      </c>
      <c r="O48" s="6">
        <f>IF(SUMIFS('Industrial Summary'!$G:$G,'Industrial Summary'!$F:$F,O$17,'Industrial Summary'!$D:$D,$E48)&gt;0,(-SUMIFS('Industrial Summary'!$G:$G,'Industrial Summary'!$F:$F,O$17,'Industrial Summary'!$D:$D,$E48,'Industrial Summary'!$A:$A,"RFL")/SUMIFS('Industrial Summary'!$G:$G,'Industrial Summary'!$F:$F,O$17,'Industrial Summary'!$D:$D,$E48)),0)*0.98</f>
        <v>-0.58754764416105709</v>
      </c>
      <c r="P48" s="6">
        <f>IF(SUMIFS('Industrial Summary'!$G:$G,'Industrial Summary'!$F:$F,P$17,'Industrial Summary'!$D:$D,$E48)&gt;0,(-SUMIFS('Industrial Summary'!$G:$G,'Industrial Summary'!$F:$F,P$17,'Industrial Summary'!$D:$D,$E48,'Industrial Summary'!$A:$A,"RFL")/SUMIFS('Industrial Summary'!$G:$G,'Industrial Summary'!$F:$F,P$17,'Industrial Summary'!$D:$D,$E48)),0)*0.98</f>
        <v>-0.48943455520132206</v>
      </c>
      <c r="Q48" s="5">
        <v>0</v>
      </c>
      <c r="R48" s="5">
        <v>15</v>
      </c>
      <c r="S48" s="5" t="str">
        <f t="shared" si="2"/>
        <v>UC_IPLPH_RFL</v>
      </c>
      <c r="V48" s="4" t="str">
        <f t="shared" si="4"/>
        <v>S_IPLPHRFL</v>
      </c>
      <c r="W48" s="4" t="str">
        <f t="shared" si="5"/>
        <v>IPLPH_RFL</v>
      </c>
      <c r="X48" s="4" t="str">
        <f t="shared" si="6"/>
        <v>IPLPRH</v>
      </c>
      <c r="Y48" s="5" t="str">
        <f t="shared" si="7"/>
        <v>LO</v>
      </c>
      <c r="Z48" s="5">
        <v>1</v>
      </c>
      <c r="AA48" s="6">
        <f t="shared" si="8"/>
        <v>-0.46541936851496524</v>
      </c>
      <c r="AB48" s="6">
        <f t="shared" si="9"/>
        <v>-0.46541936851496585</v>
      </c>
      <c r="AC48" s="6">
        <f t="shared" si="10"/>
        <v>0</v>
      </c>
      <c r="AD48" s="6">
        <f t="shared" si="11"/>
        <v>0</v>
      </c>
      <c r="AE48" s="6">
        <f t="shared" si="12"/>
        <v>-0.11378378503579589</v>
      </c>
      <c r="AF48" s="6">
        <f t="shared" si="13"/>
        <v>-0.1137837850357967</v>
      </c>
      <c r="AG48" s="6">
        <f t="shared" si="14"/>
        <v>-0.11378378503579474</v>
      </c>
      <c r="AH48" s="6">
        <f t="shared" si="15"/>
        <v>-0.58754764416105709</v>
      </c>
      <c r="AI48" s="6">
        <f t="shared" si="16"/>
        <v>-0.48943455520132206</v>
      </c>
      <c r="AL48" s="5" t="str">
        <f t="shared" si="17"/>
        <v>RFL</v>
      </c>
      <c r="AM48" s="5">
        <f>1</f>
        <v>1</v>
      </c>
    </row>
    <row r="49" spans="1:39" s="5" customFormat="1" x14ac:dyDescent="0.3">
      <c r="C49" s="4" t="s">
        <v>1523</v>
      </c>
      <c r="D49" s="5" t="s">
        <v>1524</v>
      </c>
      <c r="E49" s="5" t="s">
        <v>785</v>
      </c>
      <c r="F49" s="5" t="s">
        <v>1588</v>
      </c>
      <c r="G49" s="5">
        <v>1</v>
      </c>
      <c r="H49" s="6">
        <f>IF(SUMIFS('Industrial Summary'!$G:$G,'Industrial Summary'!$F:$F,H$17,'Industrial Summary'!$D:$D,$E49)&gt;0,(-SUMIFS('Industrial Summary'!$G:$G,'Industrial Summary'!$F:$F,H$17,'Industrial Summary'!$D:$D,$E49,'Industrial Summary'!$A:$A,"DSL")/SUMIFS('Industrial Summary'!$G:$G,'Industrial Summary'!$F:$F,H$17,'Industrial Summary'!$D:$D,$E49)),0)*0.98</f>
        <v>0</v>
      </c>
      <c r="I49" s="6">
        <f>IF(SUMIFS('Industrial Summary'!$G:$G,'Industrial Summary'!$F:$F,I$17,'Industrial Summary'!$D:$D,$E49)&gt;0,(-SUMIFS('Industrial Summary'!$G:$G,'Industrial Summary'!$F:$F,I$17,'Industrial Summary'!$D:$D,$E49,'Industrial Summary'!$A:$A,"DSL")/SUMIFS('Industrial Summary'!$G:$G,'Industrial Summary'!$F:$F,I$17,'Industrial Summary'!$D:$D,$E49)),0)*0.98</f>
        <v>0</v>
      </c>
      <c r="J49" s="6">
        <f>IF(SUMIFS('Industrial Summary'!$G:$G,'Industrial Summary'!$F:$F,J$17,'Industrial Summary'!$D:$D,$E49)&gt;0,(-SUMIFS('Industrial Summary'!$G:$G,'Industrial Summary'!$F:$F,J$17,'Industrial Summary'!$D:$D,$E49,'Industrial Summary'!$A:$A,"DSL")/SUMIFS('Industrial Summary'!$G:$G,'Industrial Summary'!$F:$F,J$17,'Industrial Summary'!$D:$D,$E49)),0)*0.98</f>
        <v>0</v>
      </c>
      <c r="K49" s="6">
        <f>IF(SUMIFS('Industrial Summary'!$G:$G,'Industrial Summary'!$F:$F,K$17,'Industrial Summary'!$D:$D,$E49)&gt;0,(-SUMIFS('Industrial Summary'!$G:$G,'Industrial Summary'!$F:$F,K$17,'Industrial Summary'!$D:$D,$E49,'Industrial Summary'!$A:$A,"DSL")/SUMIFS('Industrial Summary'!$G:$G,'Industrial Summary'!$F:$F,K$17,'Industrial Summary'!$D:$D,$E49)),0)*0.98</f>
        <v>0</v>
      </c>
      <c r="L49" s="6">
        <f>IF(SUMIFS('Industrial Summary'!$G:$G,'Industrial Summary'!$F:$F,L$17,'Industrial Summary'!$D:$D,$E49)&gt;0,(-SUMIFS('Industrial Summary'!$G:$G,'Industrial Summary'!$F:$F,L$17,'Industrial Summary'!$D:$D,$E49,'Industrial Summary'!$A:$A,"DSL")/SUMIFS('Industrial Summary'!$G:$G,'Industrial Summary'!$F:$F,L$17,'Industrial Summary'!$D:$D,$E49)),0)*0.98</f>
        <v>0</v>
      </c>
      <c r="M49" s="6">
        <f>IF(SUMIFS('Industrial Summary'!$G:$G,'Industrial Summary'!$F:$F,M$17,'Industrial Summary'!$D:$D,$E49)&gt;0,(-SUMIFS('Industrial Summary'!$G:$G,'Industrial Summary'!$F:$F,M$17,'Industrial Summary'!$D:$D,$E49,'Industrial Summary'!$A:$A,"DSL")/SUMIFS('Industrial Summary'!$G:$G,'Industrial Summary'!$F:$F,M$17,'Industrial Summary'!$D:$D,$E49)),0)*0.98</f>
        <v>0</v>
      </c>
      <c r="N49" s="6">
        <f>IF(SUMIFS('Industrial Summary'!$G:$G,'Industrial Summary'!$F:$F,N$17,'Industrial Summary'!$D:$D,$E49)&gt;0,(-SUMIFS('Industrial Summary'!$G:$G,'Industrial Summary'!$F:$F,N$17,'Industrial Summary'!$D:$D,$E49,'Industrial Summary'!$A:$A,"DSL")/SUMIFS('Industrial Summary'!$G:$G,'Industrial Summary'!$F:$F,N$17,'Industrial Summary'!$D:$D,$E49)),0)*0.98</f>
        <v>0</v>
      </c>
      <c r="O49" s="6">
        <f>IF(SUMIFS('Industrial Summary'!$G:$G,'Industrial Summary'!$F:$F,O$17,'Industrial Summary'!$D:$D,$E49)&gt;0,(-SUMIFS('Industrial Summary'!$G:$G,'Industrial Summary'!$F:$F,O$17,'Industrial Summary'!$D:$D,$E49,'Industrial Summary'!$A:$A,"DSL")/SUMIFS('Industrial Summary'!$G:$G,'Industrial Summary'!$F:$F,O$17,'Industrial Summary'!$D:$D,$E49)),0)*0.98</f>
        <v>0</v>
      </c>
      <c r="P49" s="6">
        <f>IF(SUMIFS('Industrial Summary'!$G:$G,'Industrial Summary'!$F:$F,P$17,'Industrial Summary'!$D:$D,$E49)&gt;0,(-SUMIFS('Industrial Summary'!$G:$G,'Industrial Summary'!$F:$F,P$17,'Industrial Summary'!$D:$D,$E49,'Industrial Summary'!$A:$A,"DSL")/SUMIFS('Industrial Summary'!$G:$G,'Industrial Summary'!$F:$F,P$17,'Industrial Summary'!$D:$D,$E49)),0)*0.98</f>
        <v>0</v>
      </c>
      <c r="Q49" s="5">
        <v>0</v>
      </c>
      <c r="R49" s="5">
        <v>15</v>
      </c>
      <c r="S49" s="5" t="str">
        <f t="shared" si="2"/>
        <v>UC_IPLPH_DSL</v>
      </c>
      <c r="V49" s="4" t="str">
        <f t="shared" si="4"/>
        <v>S_IPLPHDSL</v>
      </c>
      <c r="W49" s="4" t="str">
        <f t="shared" si="5"/>
        <v>IPLPH_DSL</v>
      </c>
      <c r="X49" s="4" t="str">
        <f t="shared" si="6"/>
        <v>IPLPRH</v>
      </c>
      <c r="Y49" s="5" t="str">
        <f t="shared" si="7"/>
        <v>LO</v>
      </c>
      <c r="Z49" s="5">
        <v>1</v>
      </c>
      <c r="AA49" s="6">
        <f t="shared" si="8"/>
        <v>0</v>
      </c>
      <c r="AB49" s="6">
        <f t="shared" si="9"/>
        <v>0</v>
      </c>
      <c r="AC49" s="6">
        <f t="shared" si="10"/>
        <v>0</v>
      </c>
      <c r="AD49" s="6">
        <f t="shared" si="11"/>
        <v>0</v>
      </c>
      <c r="AE49" s="6">
        <f t="shared" si="12"/>
        <v>0</v>
      </c>
      <c r="AF49" s="6">
        <f t="shared" si="13"/>
        <v>0</v>
      </c>
      <c r="AG49" s="6">
        <f t="shared" si="14"/>
        <v>0</v>
      </c>
      <c r="AH49" s="6">
        <f t="shared" si="15"/>
        <v>0</v>
      </c>
      <c r="AI49" s="6">
        <f t="shared" si="16"/>
        <v>0</v>
      </c>
      <c r="AL49" s="5" t="str">
        <f t="shared" si="17"/>
        <v>DSL</v>
      </c>
      <c r="AM49" s="5">
        <f>1</f>
        <v>1</v>
      </c>
    </row>
    <row r="50" spans="1:39" s="5" customFormat="1" x14ac:dyDescent="0.3">
      <c r="A50" s="8"/>
      <c r="C50" s="4" t="s">
        <v>90</v>
      </c>
      <c r="D50" s="5" t="s">
        <v>91</v>
      </c>
      <c r="E50" s="5" t="s">
        <v>785</v>
      </c>
      <c r="F50" s="5" t="s">
        <v>1588</v>
      </c>
      <c r="G50" s="5">
        <v>1</v>
      </c>
      <c r="H50" s="6">
        <f>IF(SUMIFS('Industrial Summary'!$G:$G,'Industrial Summary'!$F:$F,H$17,'Industrial Summary'!$D:$D,$E50)&gt;0,(-SUMIFS('Industrial Summary'!$G:$G,'Industrial Summary'!$F:$F,H$17,'Industrial Summary'!$D:$D,$E50,'Industrial Summary'!$A:$A,"NGA")/SUMIFS('Industrial Summary'!$G:$G,'Industrial Summary'!$F:$F,H$17,'Industrial Summary'!$D:$D,$E50)),0)*0.98</f>
        <v>-0.35914223475077628</v>
      </c>
      <c r="I50" s="6">
        <f>IF(SUMIFS('Industrial Summary'!$G:$G,'Industrial Summary'!$F:$F,I$17,'Industrial Summary'!$D:$D,$E50)&gt;0,(-SUMIFS('Industrial Summary'!$G:$G,'Industrial Summary'!$F:$F,I$17,'Industrial Summary'!$D:$D,$E50,'Industrial Summary'!$A:$A,"NGA")/SUMIFS('Industrial Summary'!$G:$G,'Industrial Summary'!$F:$F,I$17,'Industrial Summary'!$D:$D,$E50)),0)*0.98</f>
        <v>-0.35914223475077556</v>
      </c>
      <c r="J50" s="6">
        <f>IF(SUMIFS('Industrial Summary'!$G:$G,'Industrial Summary'!$F:$F,J$17,'Industrial Summary'!$D:$D,$E50)&gt;0,(-SUMIFS('Industrial Summary'!$G:$G,'Industrial Summary'!$F:$F,J$17,'Industrial Summary'!$D:$D,$E50,'Industrial Summary'!$A:$A,"NGA")/SUMIFS('Industrial Summary'!$G:$G,'Industrial Summary'!$F:$F,J$17,'Industrial Summary'!$D:$D,$E50)),0)*0.98</f>
        <v>-0.68397325612516013</v>
      </c>
      <c r="K50" s="6">
        <f>IF(SUMIFS('Industrial Summary'!$G:$G,'Industrial Summary'!$F:$F,K$17,'Industrial Summary'!$D:$D,$E50)&gt;0,(-SUMIFS('Industrial Summary'!$G:$G,'Industrial Summary'!$F:$F,K$17,'Industrial Summary'!$D:$D,$E50,'Industrial Summary'!$A:$A,"NGA")/SUMIFS('Industrial Summary'!$G:$G,'Industrial Summary'!$F:$F,K$17,'Industrial Summary'!$D:$D,$E50)),0)*0.98</f>
        <v>-0.68397325612516136</v>
      </c>
      <c r="L50" s="6">
        <f>IF(SUMIFS('Industrial Summary'!$G:$G,'Industrial Summary'!$F:$F,L$17,'Industrial Summary'!$D:$D,$E50)&gt;0,(-SUMIFS('Industrial Summary'!$G:$G,'Industrial Summary'!$F:$F,L$17,'Industrial Summary'!$D:$D,$E50,'Industrial Summary'!$A:$A,"NGA")/SUMIFS('Industrial Summary'!$G:$G,'Industrial Summary'!$F:$F,L$17,'Industrial Summary'!$D:$D,$E50)),0)*0.98</f>
        <v>-0.79021435377500382</v>
      </c>
      <c r="M50" s="6">
        <f>IF(SUMIFS('Industrial Summary'!$G:$G,'Industrial Summary'!$F:$F,M$17,'Industrial Summary'!$D:$D,$E50)&gt;0,(-SUMIFS('Industrial Summary'!$G:$G,'Industrial Summary'!$F:$F,M$17,'Industrial Summary'!$D:$D,$E50,'Industrial Summary'!$A:$A,"NGA")/SUMIFS('Industrial Summary'!$G:$G,'Industrial Summary'!$F:$F,M$17,'Industrial Summary'!$D:$D,$E50)),0)*0.98</f>
        <v>-0.79021435377500293</v>
      </c>
      <c r="N50" s="6">
        <f>IF(SUMIFS('Industrial Summary'!$G:$G,'Industrial Summary'!$F:$F,N$17,'Industrial Summary'!$D:$D,$E50)&gt;0,(-SUMIFS('Industrial Summary'!$G:$G,'Industrial Summary'!$F:$F,N$17,'Industrial Summary'!$D:$D,$E50,'Industrial Summary'!$A:$A,"NGA")/SUMIFS('Industrial Summary'!$G:$G,'Industrial Summary'!$F:$F,N$17,'Industrial Summary'!$D:$D,$E50)),0)*0.98</f>
        <v>-0.79021435377500471</v>
      </c>
      <c r="O50" s="6">
        <f>IF(SUMIFS('Industrial Summary'!$G:$G,'Industrial Summary'!$F:$F,O$17,'Industrial Summary'!$D:$D,$E50)&gt;0,(-SUMIFS('Industrial Summary'!$G:$G,'Industrial Summary'!$F:$F,O$17,'Industrial Summary'!$D:$D,$E50,'Industrial Summary'!$A:$A,"NGA")/SUMIFS('Industrial Summary'!$G:$G,'Industrial Summary'!$F:$F,O$17,'Industrial Summary'!$D:$D,$E50)),0)*0.98</f>
        <v>0</v>
      </c>
      <c r="P50" s="6">
        <f>IF(SUMIFS('Industrial Summary'!$G:$G,'Industrial Summary'!$F:$F,P$17,'Industrial Summary'!$D:$D,$E50)&gt;0,(-SUMIFS('Industrial Summary'!$G:$G,'Industrial Summary'!$F:$F,P$17,'Industrial Summary'!$D:$D,$E50,'Industrial Summary'!$A:$A,"NGA")/SUMIFS('Industrial Summary'!$G:$G,'Industrial Summary'!$F:$F,P$17,'Industrial Summary'!$D:$D,$E50)),0)*0.98</f>
        <v>0</v>
      </c>
      <c r="Q50" s="5">
        <v>0</v>
      </c>
      <c r="R50" s="5">
        <v>15</v>
      </c>
      <c r="S50" s="5" t="str">
        <f t="shared" si="2"/>
        <v>UC_IPLPH_NGA</v>
      </c>
      <c r="V50" s="4" t="str">
        <f t="shared" si="4"/>
        <v>S_IPLPHNGA</v>
      </c>
      <c r="W50" s="4" t="str">
        <f t="shared" si="5"/>
        <v>IPLPH_NGA</v>
      </c>
      <c r="X50" s="4" t="str">
        <f t="shared" si="6"/>
        <v>IPLPRH</v>
      </c>
      <c r="Y50" s="5" t="str">
        <f t="shared" si="7"/>
        <v>LO</v>
      </c>
      <c r="Z50" s="5">
        <v>1</v>
      </c>
      <c r="AA50" s="6">
        <f t="shared" si="8"/>
        <v>-0.24421671963052785</v>
      </c>
      <c r="AB50" s="6">
        <f t="shared" si="9"/>
        <v>-0.24421671963052735</v>
      </c>
      <c r="AC50" s="6">
        <f t="shared" si="10"/>
        <v>-0.46510181416510887</v>
      </c>
      <c r="AD50" s="6">
        <f t="shared" si="11"/>
        <v>-0.46510181416510971</v>
      </c>
      <c r="AE50" s="6">
        <f t="shared" si="12"/>
        <v>-0.53734576056700256</v>
      </c>
      <c r="AF50" s="6">
        <f t="shared" si="13"/>
        <v>-0.5373457605670019</v>
      </c>
      <c r="AG50" s="6">
        <f t="shared" si="14"/>
        <v>-0.53734576056700312</v>
      </c>
      <c r="AH50" s="6">
        <f t="shared" si="15"/>
        <v>0</v>
      </c>
      <c r="AI50" s="6">
        <f t="shared" si="16"/>
        <v>0</v>
      </c>
      <c r="AL50" s="5" t="str">
        <f t="shared" si="17"/>
        <v>NGA</v>
      </c>
      <c r="AM50" s="5">
        <f>Y6</f>
        <v>0.67999999999999994</v>
      </c>
    </row>
    <row r="51" spans="1:39" s="5" customFormat="1" x14ac:dyDescent="0.3">
      <c r="C51" s="4" t="s">
        <v>92</v>
      </c>
      <c r="D51" s="5" t="s">
        <v>93</v>
      </c>
      <c r="E51" s="5" t="s">
        <v>753</v>
      </c>
      <c r="F51" s="5" t="s">
        <v>1588</v>
      </c>
      <c r="G51" s="5">
        <v>1</v>
      </c>
      <c r="H51" s="6">
        <f>(IF(SUMIFS('Industrial Summary'!$G:$G,'Industrial Summary'!$F:$F,H$17,'Industrial Summary'!$D:$D,$E51)&gt;0,((-SUMIFS('Industrial Summary'!$G:$G,'Industrial Summary'!$F:$F,H$17,'Industrial Summary'!$D:$D,$E51,'Industrial Summary'!$A:$A,"BIO")+-SUMIFS('Industrial Summary'!$G:$G,'Industrial Summary'!$F:$F,H$17,'Industrial Summary'!$D:$D,$E51,'Industrial Summary'!$A:$A,"WOD")+-SUMIFS('Industrial Summary'!$G:$G,'Industrial Summary'!$F:$F,H$17,'Industrial Summary'!$D:$D,$E51,'Industrial Summary'!$A:$A,"TOM")+-SUMIFS('Industrial Summary'!$G:$G,'Industrial Summary'!$F:$F,H$17,'Industrial Summary'!$D:$D,"IPLRSTM",'Industrial Summary'!$A:$A,"BIO")+-SUMIFS('Industrial Summary'!$G:$G,'Industrial Summary'!$F:$F,H$17,'Industrial Summary'!$D:$D,"IPLRSTM",'Industrial Summary'!$A:$A,"WOD")+-SUMIFS('Industrial Summary'!$G:$G,'Industrial Summary'!$F:$F,H$17,'Industrial Summary'!$D:$D,"IPLRSTM",'Industrial Summary'!$A:$A,"TOM")+-SUMIFS('Industrial Summary'!$G:$G,'Industrial Summary'!$F:$F,H$17,'Industrial Summary'!$D:$D,"IPLRSTM",'Industrial Summary'!$A:$A,"BLQ"))/SUMIFS('Industrial Summary'!$G:$G,'Industrial Summary'!$F:$F,H$17,'Industrial Summary'!$D:$D,$E51)),0))*0.98</f>
        <v>-0.98</v>
      </c>
      <c r="I51" s="6">
        <f>(IF(SUMIFS('Industrial Summary'!$G:$G,'Industrial Summary'!$F:$F,I$17,'Industrial Summary'!$D:$D,$E51)&gt;0,((-SUMIFS('Industrial Summary'!$G:$G,'Industrial Summary'!$F:$F,I$17,'Industrial Summary'!$D:$D,$E51,'Industrial Summary'!$A:$A,"BIO")+-SUMIFS('Industrial Summary'!$G:$G,'Industrial Summary'!$F:$F,I$17,'Industrial Summary'!$D:$D,$E51,'Industrial Summary'!$A:$A,"WOD")+-SUMIFS('Industrial Summary'!$G:$G,'Industrial Summary'!$F:$F,I$17,'Industrial Summary'!$D:$D,$E51,'Industrial Summary'!$A:$A,"TOM")+-SUMIFS('Industrial Summary'!$G:$G,'Industrial Summary'!$F:$F,I$17,'Industrial Summary'!$D:$D,"IPLRSTM",'Industrial Summary'!$A:$A,"BIO")+-SUMIFS('Industrial Summary'!$G:$G,'Industrial Summary'!$F:$F,I$17,'Industrial Summary'!$D:$D,"IPLRSTM",'Industrial Summary'!$A:$A,"WOD")+-SUMIFS('Industrial Summary'!$G:$G,'Industrial Summary'!$F:$F,I$17,'Industrial Summary'!$D:$D,"IPLRSTM",'Industrial Summary'!$A:$A,"TOM")+-SUMIFS('Industrial Summary'!$G:$G,'Industrial Summary'!$F:$F,I$17,'Industrial Summary'!$D:$D,"IPLRSTM",'Industrial Summary'!$A:$A,"BLQ"))/SUMIFS('Industrial Summary'!$G:$G,'Industrial Summary'!$F:$F,I$17,'Industrial Summary'!$D:$D,$E51)),0))*0.98</f>
        <v>-0.98</v>
      </c>
      <c r="J51" s="6">
        <f>(IF(SUMIFS('Industrial Summary'!$G:$G,'Industrial Summary'!$F:$F,J$17,'Industrial Summary'!$D:$D,$E51)&gt;0,((-SUMIFS('Industrial Summary'!$G:$G,'Industrial Summary'!$F:$F,J$17,'Industrial Summary'!$D:$D,$E51,'Industrial Summary'!$A:$A,"BIO")+-SUMIFS('Industrial Summary'!$G:$G,'Industrial Summary'!$F:$F,J$17,'Industrial Summary'!$D:$D,$E51,'Industrial Summary'!$A:$A,"WOD")+-SUMIFS('Industrial Summary'!$G:$G,'Industrial Summary'!$F:$F,J$17,'Industrial Summary'!$D:$D,$E51,'Industrial Summary'!$A:$A,"TOM")+-SUMIFS('Industrial Summary'!$G:$G,'Industrial Summary'!$F:$F,J$17,'Industrial Summary'!$D:$D,"IPLRSTM",'Industrial Summary'!$A:$A,"BIO")+-SUMIFS('Industrial Summary'!$G:$G,'Industrial Summary'!$F:$F,J$17,'Industrial Summary'!$D:$D,"IPLRSTM",'Industrial Summary'!$A:$A,"WOD")+-SUMIFS('Industrial Summary'!$G:$G,'Industrial Summary'!$F:$F,J$17,'Industrial Summary'!$D:$D,"IPLRSTM",'Industrial Summary'!$A:$A,"TOM")+-SUMIFS('Industrial Summary'!$G:$G,'Industrial Summary'!$F:$F,J$17,'Industrial Summary'!$D:$D,"IPLRSTM",'Industrial Summary'!$A:$A,"BLQ"))/SUMIFS('Industrial Summary'!$G:$G,'Industrial Summary'!$F:$F,J$17,'Industrial Summary'!$D:$D,$E51)),0))*0.98</f>
        <v>0</v>
      </c>
      <c r="K51" s="6">
        <f>(IF(SUMIFS('Industrial Summary'!$G:$G,'Industrial Summary'!$F:$F,K$17,'Industrial Summary'!$D:$D,$E51)&gt;0,((-SUMIFS('Industrial Summary'!$G:$G,'Industrial Summary'!$F:$F,K$17,'Industrial Summary'!$D:$D,$E51,'Industrial Summary'!$A:$A,"BIO")+-SUMIFS('Industrial Summary'!$G:$G,'Industrial Summary'!$F:$F,K$17,'Industrial Summary'!$D:$D,$E51,'Industrial Summary'!$A:$A,"WOD")+-SUMIFS('Industrial Summary'!$G:$G,'Industrial Summary'!$F:$F,K$17,'Industrial Summary'!$D:$D,$E51,'Industrial Summary'!$A:$A,"TOM")+-SUMIFS('Industrial Summary'!$G:$G,'Industrial Summary'!$F:$F,K$17,'Industrial Summary'!$D:$D,"IPLRSTM",'Industrial Summary'!$A:$A,"BIO")+-SUMIFS('Industrial Summary'!$G:$G,'Industrial Summary'!$F:$F,K$17,'Industrial Summary'!$D:$D,"IPLRSTM",'Industrial Summary'!$A:$A,"WOD")+-SUMIFS('Industrial Summary'!$G:$G,'Industrial Summary'!$F:$F,K$17,'Industrial Summary'!$D:$D,"IPLRSTM",'Industrial Summary'!$A:$A,"TOM")+-SUMIFS('Industrial Summary'!$G:$G,'Industrial Summary'!$F:$F,K$17,'Industrial Summary'!$D:$D,"IPLRSTM",'Industrial Summary'!$A:$A,"BLQ"))/SUMIFS('Industrial Summary'!$G:$G,'Industrial Summary'!$F:$F,K$17,'Industrial Summary'!$D:$D,$E51)),0))*0.98</f>
        <v>0</v>
      </c>
      <c r="L51" s="6">
        <f>(IF(SUMIFS('Industrial Summary'!$G:$G,'Industrial Summary'!$F:$F,L$17,'Industrial Summary'!$D:$D,$E51)&gt;0,((-SUMIFS('Industrial Summary'!$G:$G,'Industrial Summary'!$F:$F,L$17,'Industrial Summary'!$D:$D,$E51,'Industrial Summary'!$A:$A,"BIO")+-SUMIFS('Industrial Summary'!$G:$G,'Industrial Summary'!$F:$F,L$17,'Industrial Summary'!$D:$D,$E51,'Industrial Summary'!$A:$A,"WOD")+-SUMIFS('Industrial Summary'!$G:$G,'Industrial Summary'!$F:$F,L$17,'Industrial Summary'!$D:$D,$E51,'Industrial Summary'!$A:$A,"TOM")+-SUMIFS('Industrial Summary'!$G:$G,'Industrial Summary'!$F:$F,L$17,'Industrial Summary'!$D:$D,"IPLRSTM",'Industrial Summary'!$A:$A,"BIO")+-SUMIFS('Industrial Summary'!$G:$G,'Industrial Summary'!$F:$F,L$17,'Industrial Summary'!$D:$D,"IPLRSTM",'Industrial Summary'!$A:$A,"WOD")+-SUMIFS('Industrial Summary'!$G:$G,'Industrial Summary'!$F:$F,L$17,'Industrial Summary'!$D:$D,"IPLRSTM",'Industrial Summary'!$A:$A,"TOM")+-SUMIFS('Industrial Summary'!$G:$G,'Industrial Summary'!$F:$F,L$17,'Industrial Summary'!$D:$D,"IPLRSTM",'Industrial Summary'!$A:$A,"BLQ"))/SUMIFS('Industrial Summary'!$G:$G,'Industrial Summary'!$F:$F,L$17,'Industrial Summary'!$D:$D,$E51)),0))*0.98</f>
        <v>-0.98</v>
      </c>
      <c r="M51" s="6">
        <f>(IF(SUMIFS('Industrial Summary'!$G:$G,'Industrial Summary'!$F:$F,M$17,'Industrial Summary'!$D:$D,$E51)&gt;0,((-SUMIFS('Industrial Summary'!$G:$G,'Industrial Summary'!$F:$F,M$17,'Industrial Summary'!$D:$D,$E51,'Industrial Summary'!$A:$A,"BIO")+-SUMIFS('Industrial Summary'!$G:$G,'Industrial Summary'!$F:$F,M$17,'Industrial Summary'!$D:$D,$E51,'Industrial Summary'!$A:$A,"WOD")+-SUMIFS('Industrial Summary'!$G:$G,'Industrial Summary'!$F:$F,M$17,'Industrial Summary'!$D:$D,$E51,'Industrial Summary'!$A:$A,"TOM")+-SUMIFS('Industrial Summary'!$G:$G,'Industrial Summary'!$F:$F,M$17,'Industrial Summary'!$D:$D,"IPLRSTM",'Industrial Summary'!$A:$A,"BIO")+-SUMIFS('Industrial Summary'!$G:$G,'Industrial Summary'!$F:$F,M$17,'Industrial Summary'!$D:$D,"IPLRSTM",'Industrial Summary'!$A:$A,"WOD")+-SUMIFS('Industrial Summary'!$G:$G,'Industrial Summary'!$F:$F,M$17,'Industrial Summary'!$D:$D,"IPLRSTM",'Industrial Summary'!$A:$A,"TOM")+-SUMIFS('Industrial Summary'!$G:$G,'Industrial Summary'!$F:$F,M$17,'Industrial Summary'!$D:$D,"IPLRSTM",'Industrial Summary'!$A:$A,"BLQ"))/SUMIFS('Industrial Summary'!$G:$G,'Industrial Summary'!$F:$F,M$17,'Industrial Summary'!$D:$D,$E51)),0))*0.98</f>
        <v>-0.98</v>
      </c>
      <c r="N51" s="6">
        <f>(IF(SUMIFS('Industrial Summary'!$G:$G,'Industrial Summary'!$F:$F,N$17,'Industrial Summary'!$D:$D,$E51)&gt;0,((-SUMIFS('Industrial Summary'!$G:$G,'Industrial Summary'!$F:$F,N$17,'Industrial Summary'!$D:$D,$E51,'Industrial Summary'!$A:$A,"BIO")+-SUMIFS('Industrial Summary'!$G:$G,'Industrial Summary'!$F:$F,N$17,'Industrial Summary'!$D:$D,$E51,'Industrial Summary'!$A:$A,"WOD")+-SUMIFS('Industrial Summary'!$G:$G,'Industrial Summary'!$F:$F,N$17,'Industrial Summary'!$D:$D,$E51,'Industrial Summary'!$A:$A,"TOM")+-SUMIFS('Industrial Summary'!$G:$G,'Industrial Summary'!$F:$F,N$17,'Industrial Summary'!$D:$D,"IPLRSTM",'Industrial Summary'!$A:$A,"BIO")+-SUMIFS('Industrial Summary'!$G:$G,'Industrial Summary'!$F:$F,N$17,'Industrial Summary'!$D:$D,"IPLRSTM",'Industrial Summary'!$A:$A,"WOD")+-SUMIFS('Industrial Summary'!$G:$G,'Industrial Summary'!$F:$F,N$17,'Industrial Summary'!$D:$D,"IPLRSTM",'Industrial Summary'!$A:$A,"TOM")+-SUMIFS('Industrial Summary'!$G:$G,'Industrial Summary'!$F:$F,N$17,'Industrial Summary'!$D:$D,"IPLRSTM",'Industrial Summary'!$A:$A,"BLQ"))/SUMIFS('Industrial Summary'!$G:$G,'Industrial Summary'!$F:$F,N$17,'Industrial Summary'!$D:$D,$E51)),0))*0.98</f>
        <v>-0.98</v>
      </c>
      <c r="O51" s="6">
        <f>(IF(SUMIFS('Industrial Summary'!$G:$G,'Industrial Summary'!$F:$F,O$17,'Industrial Summary'!$D:$D,$E51)&gt;0,((-SUMIFS('Industrial Summary'!$G:$G,'Industrial Summary'!$F:$F,O$17,'Industrial Summary'!$D:$D,$E51,'Industrial Summary'!$A:$A,"BIO")+-SUMIFS('Industrial Summary'!$G:$G,'Industrial Summary'!$F:$F,O$17,'Industrial Summary'!$D:$D,$E51,'Industrial Summary'!$A:$A,"WOD")+-SUMIFS('Industrial Summary'!$G:$G,'Industrial Summary'!$F:$F,O$17,'Industrial Summary'!$D:$D,$E51,'Industrial Summary'!$A:$A,"TOM")+-SUMIFS('Industrial Summary'!$G:$G,'Industrial Summary'!$F:$F,O$17,'Industrial Summary'!$D:$D,"IPLRSTM",'Industrial Summary'!$A:$A,"BIO")+-SUMIFS('Industrial Summary'!$G:$G,'Industrial Summary'!$F:$F,O$17,'Industrial Summary'!$D:$D,"IPLRSTM",'Industrial Summary'!$A:$A,"WOD")+-SUMIFS('Industrial Summary'!$G:$G,'Industrial Summary'!$F:$F,O$17,'Industrial Summary'!$D:$D,"IPLRSTM",'Industrial Summary'!$A:$A,"TOM")+-SUMIFS('Industrial Summary'!$G:$G,'Industrial Summary'!$F:$F,O$17,'Industrial Summary'!$D:$D,"IPLRSTM",'Industrial Summary'!$A:$A,"BLQ"))/SUMIFS('Industrial Summary'!$G:$G,'Industrial Summary'!$F:$F,O$17,'Industrial Summary'!$D:$D,$E51)),0))*0.98</f>
        <v>-0.98</v>
      </c>
      <c r="P51" s="6">
        <f>(IF(SUMIFS('Industrial Summary'!$G:$G,'Industrial Summary'!$F:$F,P$17,'Industrial Summary'!$D:$D,$E51)&gt;0,((-SUMIFS('Industrial Summary'!$G:$G,'Industrial Summary'!$F:$F,P$17,'Industrial Summary'!$D:$D,$E51,'Industrial Summary'!$A:$A,"BIO")+-SUMIFS('Industrial Summary'!$G:$G,'Industrial Summary'!$F:$F,P$17,'Industrial Summary'!$D:$D,$E51,'Industrial Summary'!$A:$A,"WOD")+-SUMIFS('Industrial Summary'!$G:$G,'Industrial Summary'!$F:$F,P$17,'Industrial Summary'!$D:$D,$E51,'Industrial Summary'!$A:$A,"TOM")+-SUMIFS('Industrial Summary'!$G:$G,'Industrial Summary'!$F:$F,P$17,'Industrial Summary'!$D:$D,"IPLRSTM",'Industrial Summary'!$A:$A,"BIO")+-SUMIFS('Industrial Summary'!$G:$G,'Industrial Summary'!$F:$F,P$17,'Industrial Summary'!$D:$D,"IPLRSTM",'Industrial Summary'!$A:$A,"WOD")+-SUMIFS('Industrial Summary'!$G:$G,'Industrial Summary'!$F:$F,P$17,'Industrial Summary'!$D:$D,"IPLRSTM",'Industrial Summary'!$A:$A,"TOM")+-SUMIFS('Industrial Summary'!$G:$G,'Industrial Summary'!$F:$F,P$17,'Industrial Summary'!$D:$D,"IPLRSTM",'Industrial Summary'!$A:$A,"BLQ"))/SUMIFS('Industrial Summary'!$G:$G,'Industrial Summary'!$F:$F,P$17,'Industrial Summary'!$D:$D,$E51)),0))*0.98</f>
        <v>-0.98</v>
      </c>
      <c r="Q51" s="5">
        <v>0</v>
      </c>
      <c r="R51" s="5">
        <v>15</v>
      </c>
      <c r="S51" s="5" t="str">
        <f t="shared" si="2"/>
        <v>UC_IPLOH_BIO</v>
      </c>
      <c r="V51" s="4" t="str">
        <f t="shared" si="4"/>
        <v>S_IPLOHBIO</v>
      </c>
      <c r="W51" s="4" t="str">
        <f t="shared" si="5"/>
        <v>IPLOH_BIO</v>
      </c>
      <c r="X51" s="4" t="str">
        <f t="shared" si="6"/>
        <v>IPLOHT</v>
      </c>
      <c r="Y51" s="5" t="str">
        <f t="shared" si="7"/>
        <v>LO</v>
      </c>
      <c r="Z51" s="5">
        <v>1</v>
      </c>
      <c r="AA51" s="6">
        <f t="shared" si="8"/>
        <v>-0.98</v>
      </c>
      <c r="AB51" s="6">
        <f t="shared" si="9"/>
        <v>-0.98</v>
      </c>
      <c r="AC51" s="6">
        <f t="shared" si="10"/>
        <v>0</v>
      </c>
      <c r="AD51" s="6">
        <f t="shared" si="11"/>
        <v>0</v>
      </c>
      <c r="AE51" s="6">
        <f t="shared" si="12"/>
        <v>-0.98</v>
      </c>
      <c r="AF51" s="6">
        <f t="shared" si="13"/>
        <v>-0.98</v>
      </c>
      <c r="AG51" s="6">
        <f t="shared" si="14"/>
        <v>-0.98</v>
      </c>
      <c r="AH51" s="6">
        <f t="shared" si="15"/>
        <v>-0.98</v>
      </c>
      <c r="AI51" s="6">
        <f t="shared" si="16"/>
        <v>-0.98</v>
      </c>
      <c r="AL51" s="5" t="str">
        <f t="shared" si="17"/>
        <v>BIO</v>
      </c>
      <c r="AM51" s="5">
        <f>1</f>
        <v>1</v>
      </c>
    </row>
    <row r="52" spans="1:39" s="5" customFormat="1" x14ac:dyDescent="0.3">
      <c r="C52" s="4" t="s">
        <v>94</v>
      </c>
      <c r="D52" s="5" t="s">
        <v>95</v>
      </c>
      <c r="E52" s="5" t="s">
        <v>753</v>
      </c>
      <c r="F52" s="5" t="s">
        <v>1588</v>
      </c>
      <c r="G52" s="5">
        <v>1</v>
      </c>
      <c r="H52" s="6">
        <f>(IF(SUMIFS('Industrial Summary'!$G:$G,'Industrial Summary'!$F:$F,H$17,'Industrial Summary'!$D:$D,$E52)&gt;0,((-SUMIFS('Industrial Summary'!$G:$G,'Industrial Summary'!$F:$F,H$17,'Industrial Summary'!$D:$D,$E52,'Industrial Summary'!$A:$A,"PTC")+-SUMIFS('Industrial Summary'!$G:$G,'Industrial Summary'!$F:$F,H$17,'Industrial Summary'!$D:$D,"IPLRSTM",'Industrial Summary'!$A:$A,"PTC"))/SUMIFS('Industrial Summary'!$G:$G,'Industrial Summary'!$F:$F,H$17,'Industrial Summary'!$D:$D,$E52)),0))*0.98</f>
        <v>0</v>
      </c>
      <c r="I52" s="6">
        <f>(IF(SUMIFS('Industrial Summary'!$G:$G,'Industrial Summary'!$F:$F,I$17,'Industrial Summary'!$D:$D,$E52)&gt;0,((-SUMIFS('Industrial Summary'!$G:$G,'Industrial Summary'!$F:$F,I$17,'Industrial Summary'!$D:$D,$E52,'Industrial Summary'!$A:$A,"PTC")+-SUMIFS('Industrial Summary'!$G:$G,'Industrial Summary'!$F:$F,I$17,'Industrial Summary'!$D:$D,"IPLRSTM",'Industrial Summary'!$A:$A,"PTC"))/SUMIFS('Industrial Summary'!$G:$G,'Industrial Summary'!$F:$F,I$17,'Industrial Summary'!$D:$D,$E52)),0))*0.98</f>
        <v>0</v>
      </c>
      <c r="J52" s="6">
        <f>(IF(SUMIFS('Industrial Summary'!$G:$G,'Industrial Summary'!$F:$F,J$17,'Industrial Summary'!$D:$D,$E52)&gt;0,((-SUMIFS('Industrial Summary'!$G:$G,'Industrial Summary'!$F:$F,J$17,'Industrial Summary'!$D:$D,$E52,'Industrial Summary'!$A:$A,"PTC")+-SUMIFS('Industrial Summary'!$G:$G,'Industrial Summary'!$F:$F,J$17,'Industrial Summary'!$D:$D,"IPLRSTM",'Industrial Summary'!$A:$A,"PTC"))/SUMIFS('Industrial Summary'!$G:$G,'Industrial Summary'!$F:$F,J$17,'Industrial Summary'!$D:$D,$E52)),0))*0.98</f>
        <v>0</v>
      </c>
      <c r="K52" s="6">
        <f>(IF(SUMIFS('Industrial Summary'!$G:$G,'Industrial Summary'!$F:$F,K$17,'Industrial Summary'!$D:$D,$E52)&gt;0,((-SUMIFS('Industrial Summary'!$G:$G,'Industrial Summary'!$F:$F,K$17,'Industrial Summary'!$D:$D,$E52,'Industrial Summary'!$A:$A,"PTC")+-SUMIFS('Industrial Summary'!$G:$G,'Industrial Summary'!$F:$F,K$17,'Industrial Summary'!$D:$D,"IPLRSTM",'Industrial Summary'!$A:$A,"PTC"))/SUMIFS('Industrial Summary'!$G:$G,'Industrial Summary'!$F:$F,K$17,'Industrial Summary'!$D:$D,$E52)),0))*0.98</f>
        <v>0</v>
      </c>
      <c r="L52" s="6">
        <f>(IF(SUMIFS('Industrial Summary'!$G:$G,'Industrial Summary'!$F:$F,L$17,'Industrial Summary'!$D:$D,$E52)&gt;0,((-SUMIFS('Industrial Summary'!$G:$G,'Industrial Summary'!$F:$F,L$17,'Industrial Summary'!$D:$D,$E52,'Industrial Summary'!$A:$A,"PTC")+-SUMIFS('Industrial Summary'!$G:$G,'Industrial Summary'!$F:$F,L$17,'Industrial Summary'!$D:$D,"IPLRSTM",'Industrial Summary'!$A:$A,"PTC"))/SUMIFS('Industrial Summary'!$G:$G,'Industrial Summary'!$F:$F,L$17,'Industrial Summary'!$D:$D,$E52)),0))*0.98</f>
        <v>0</v>
      </c>
      <c r="M52" s="6">
        <f>(IF(SUMIFS('Industrial Summary'!$G:$G,'Industrial Summary'!$F:$F,M$17,'Industrial Summary'!$D:$D,$E52)&gt;0,((-SUMIFS('Industrial Summary'!$G:$G,'Industrial Summary'!$F:$F,M$17,'Industrial Summary'!$D:$D,$E52,'Industrial Summary'!$A:$A,"PTC")+-SUMIFS('Industrial Summary'!$G:$G,'Industrial Summary'!$F:$F,M$17,'Industrial Summary'!$D:$D,"IPLRSTM",'Industrial Summary'!$A:$A,"PTC"))/SUMIFS('Industrial Summary'!$G:$G,'Industrial Summary'!$F:$F,M$17,'Industrial Summary'!$D:$D,$E52)),0))*0.98</f>
        <v>0</v>
      </c>
      <c r="N52" s="6">
        <f>(IF(SUMIFS('Industrial Summary'!$G:$G,'Industrial Summary'!$F:$F,N$17,'Industrial Summary'!$D:$D,$E52)&gt;0,((-SUMIFS('Industrial Summary'!$G:$G,'Industrial Summary'!$F:$F,N$17,'Industrial Summary'!$D:$D,$E52,'Industrial Summary'!$A:$A,"PTC")+-SUMIFS('Industrial Summary'!$G:$G,'Industrial Summary'!$F:$F,N$17,'Industrial Summary'!$D:$D,"IPLRSTM",'Industrial Summary'!$A:$A,"PTC"))/SUMIFS('Industrial Summary'!$G:$G,'Industrial Summary'!$F:$F,N$17,'Industrial Summary'!$D:$D,$E52)),0))*0.98</f>
        <v>0</v>
      </c>
      <c r="O52" s="6">
        <f>(IF(SUMIFS('Industrial Summary'!$G:$G,'Industrial Summary'!$F:$F,O$17,'Industrial Summary'!$D:$D,$E52)&gt;0,((-SUMIFS('Industrial Summary'!$G:$G,'Industrial Summary'!$F:$F,O$17,'Industrial Summary'!$D:$D,$E52,'Industrial Summary'!$A:$A,"PTC")+-SUMIFS('Industrial Summary'!$G:$G,'Industrial Summary'!$F:$F,O$17,'Industrial Summary'!$D:$D,"IPLRSTM",'Industrial Summary'!$A:$A,"PTC"))/SUMIFS('Industrial Summary'!$G:$G,'Industrial Summary'!$F:$F,O$17,'Industrial Summary'!$D:$D,$E52)),0))*0.98</f>
        <v>0</v>
      </c>
      <c r="P52" s="6">
        <f>(IF(SUMIFS('Industrial Summary'!$G:$G,'Industrial Summary'!$F:$F,P$17,'Industrial Summary'!$D:$D,$E52)&gt;0,((-SUMIFS('Industrial Summary'!$G:$G,'Industrial Summary'!$F:$F,P$17,'Industrial Summary'!$D:$D,$E52,'Industrial Summary'!$A:$A,"PTC")+-SUMIFS('Industrial Summary'!$G:$G,'Industrial Summary'!$F:$F,P$17,'Industrial Summary'!$D:$D,"IPLRSTM",'Industrial Summary'!$A:$A,"PTC"))/SUMIFS('Industrial Summary'!$G:$G,'Industrial Summary'!$F:$F,P$17,'Industrial Summary'!$D:$D,$E52)),0))*0.98</f>
        <v>0</v>
      </c>
      <c r="Q52" s="5">
        <v>0</v>
      </c>
      <c r="R52" s="5">
        <v>15</v>
      </c>
      <c r="S52" s="5" t="str">
        <f t="shared" si="2"/>
        <v>UC_IPLOH_PTC</v>
      </c>
      <c r="V52" s="4" t="str">
        <f t="shared" si="4"/>
        <v>S_IPLOHPTC</v>
      </c>
      <c r="W52" s="4" t="str">
        <f t="shared" si="5"/>
        <v>IPLOH_PTC</v>
      </c>
      <c r="X52" s="4" t="str">
        <f t="shared" si="6"/>
        <v>IPLOHT</v>
      </c>
      <c r="Y52" s="5" t="str">
        <f t="shared" si="7"/>
        <v>LO</v>
      </c>
      <c r="Z52" s="5">
        <v>1</v>
      </c>
      <c r="AA52" s="6">
        <f t="shared" si="8"/>
        <v>0</v>
      </c>
      <c r="AB52" s="6">
        <f t="shared" si="9"/>
        <v>0</v>
      </c>
      <c r="AC52" s="6">
        <f t="shared" si="10"/>
        <v>0</v>
      </c>
      <c r="AD52" s="6">
        <f t="shared" si="11"/>
        <v>0</v>
      </c>
      <c r="AE52" s="6">
        <f t="shared" si="12"/>
        <v>0</v>
      </c>
      <c r="AF52" s="6">
        <f t="shared" si="13"/>
        <v>0</v>
      </c>
      <c r="AG52" s="6">
        <f t="shared" si="14"/>
        <v>0</v>
      </c>
      <c r="AH52" s="6">
        <f t="shared" si="15"/>
        <v>0</v>
      </c>
      <c r="AI52" s="6">
        <f t="shared" si="16"/>
        <v>0</v>
      </c>
      <c r="AL52" s="5" t="str">
        <f t="shared" si="17"/>
        <v>PTC</v>
      </c>
      <c r="AM52" s="5">
        <f>1</f>
        <v>1</v>
      </c>
    </row>
    <row r="53" spans="1:39" s="5" customFormat="1" x14ac:dyDescent="0.3">
      <c r="A53" s="8"/>
      <c r="C53" s="4" t="s">
        <v>96</v>
      </c>
      <c r="D53" s="5" t="s">
        <v>97</v>
      </c>
      <c r="E53" s="5" t="s">
        <v>753</v>
      </c>
      <c r="F53" s="5" t="s">
        <v>1588</v>
      </c>
      <c r="G53" s="5">
        <v>1</v>
      </c>
      <c r="H53" s="6">
        <f>(IF(SUMIFS('Industrial Summary'!$G:$G,'Industrial Summary'!$F:$F,H$17,'Industrial Summary'!$D:$D,$E53)&gt;0,((-SUMIFS('Industrial Summary'!$G:$G,'Industrial Summary'!$F:$F,H$17,'Industrial Summary'!$D:$D,$E53,'Industrial Summary'!$A:$A,"OTP")+-SUMIFS('Industrial Summary'!$G:$G,'Industrial Summary'!$F:$F,H$17,'Industrial Summary'!$D:$D,"IPLRSTM",'Industrial Summary'!$A:$A,"OTP"))/SUMIFS('Industrial Summary'!$G:$G,'Industrial Summary'!$F:$F,H$17,'Industrial Summary'!$D:$D,$E53)),0))*0.98</f>
        <v>0</v>
      </c>
      <c r="I53" s="6">
        <f>(IF(SUMIFS('Industrial Summary'!$G:$G,'Industrial Summary'!$F:$F,I$17,'Industrial Summary'!$D:$D,$E53)&gt;0,((-SUMIFS('Industrial Summary'!$G:$G,'Industrial Summary'!$F:$F,I$17,'Industrial Summary'!$D:$D,$E53,'Industrial Summary'!$A:$A,"OTP")+-SUMIFS('Industrial Summary'!$G:$G,'Industrial Summary'!$F:$F,I$17,'Industrial Summary'!$D:$D,"IPLRSTM",'Industrial Summary'!$A:$A,"OTP"))/SUMIFS('Industrial Summary'!$G:$G,'Industrial Summary'!$F:$F,I$17,'Industrial Summary'!$D:$D,$E53)),0))*0.98</f>
        <v>0</v>
      </c>
      <c r="J53" s="6">
        <f>(IF(SUMIFS('Industrial Summary'!$G:$G,'Industrial Summary'!$F:$F,J$17,'Industrial Summary'!$D:$D,$E53)&gt;0,((-SUMIFS('Industrial Summary'!$G:$G,'Industrial Summary'!$F:$F,J$17,'Industrial Summary'!$D:$D,$E53,'Industrial Summary'!$A:$A,"OTP")+-SUMIFS('Industrial Summary'!$G:$G,'Industrial Summary'!$F:$F,J$17,'Industrial Summary'!$D:$D,"IPLRSTM",'Industrial Summary'!$A:$A,"OTP"))/SUMIFS('Industrial Summary'!$G:$G,'Industrial Summary'!$F:$F,J$17,'Industrial Summary'!$D:$D,$E53)),0))*0.98</f>
        <v>0</v>
      </c>
      <c r="K53" s="6">
        <f>(IF(SUMIFS('Industrial Summary'!$G:$G,'Industrial Summary'!$F:$F,K$17,'Industrial Summary'!$D:$D,$E53)&gt;0,((-SUMIFS('Industrial Summary'!$G:$G,'Industrial Summary'!$F:$F,K$17,'Industrial Summary'!$D:$D,$E53,'Industrial Summary'!$A:$A,"OTP")+-SUMIFS('Industrial Summary'!$G:$G,'Industrial Summary'!$F:$F,K$17,'Industrial Summary'!$D:$D,"IPLRSTM",'Industrial Summary'!$A:$A,"OTP"))/SUMIFS('Industrial Summary'!$G:$G,'Industrial Summary'!$F:$F,K$17,'Industrial Summary'!$D:$D,$E53)),0))*0.98</f>
        <v>0</v>
      </c>
      <c r="L53" s="6">
        <f>(IF(SUMIFS('Industrial Summary'!$G:$G,'Industrial Summary'!$F:$F,L$17,'Industrial Summary'!$D:$D,$E53)&gt;0,((-SUMIFS('Industrial Summary'!$G:$G,'Industrial Summary'!$F:$F,L$17,'Industrial Summary'!$D:$D,$E53,'Industrial Summary'!$A:$A,"OTP")+-SUMIFS('Industrial Summary'!$G:$G,'Industrial Summary'!$F:$F,L$17,'Industrial Summary'!$D:$D,"IPLRSTM",'Industrial Summary'!$A:$A,"OTP"))/SUMIFS('Industrial Summary'!$G:$G,'Industrial Summary'!$F:$F,L$17,'Industrial Summary'!$D:$D,$E53)),0))*0.98</f>
        <v>0</v>
      </c>
      <c r="M53" s="6">
        <f>(IF(SUMIFS('Industrial Summary'!$G:$G,'Industrial Summary'!$F:$F,M$17,'Industrial Summary'!$D:$D,$E53)&gt;0,((-SUMIFS('Industrial Summary'!$G:$G,'Industrial Summary'!$F:$F,M$17,'Industrial Summary'!$D:$D,$E53,'Industrial Summary'!$A:$A,"OTP")+-SUMIFS('Industrial Summary'!$G:$G,'Industrial Summary'!$F:$F,M$17,'Industrial Summary'!$D:$D,"IPLRSTM",'Industrial Summary'!$A:$A,"OTP"))/SUMIFS('Industrial Summary'!$G:$G,'Industrial Summary'!$F:$F,M$17,'Industrial Summary'!$D:$D,$E53)),0))*0.98</f>
        <v>0</v>
      </c>
      <c r="N53" s="6">
        <f>(IF(SUMIFS('Industrial Summary'!$G:$G,'Industrial Summary'!$F:$F,N$17,'Industrial Summary'!$D:$D,$E53)&gt;0,((-SUMIFS('Industrial Summary'!$G:$G,'Industrial Summary'!$F:$F,N$17,'Industrial Summary'!$D:$D,$E53,'Industrial Summary'!$A:$A,"OTP")+-SUMIFS('Industrial Summary'!$G:$G,'Industrial Summary'!$F:$F,N$17,'Industrial Summary'!$D:$D,"IPLRSTM",'Industrial Summary'!$A:$A,"OTP"))/SUMIFS('Industrial Summary'!$G:$G,'Industrial Summary'!$F:$F,N$17,'Industrial Summary'!$D:$D,$E53)),0))*0.98</f>
        <v>0</v>
      </c>
      <c r="O53" s="6">
        <f>(IF(SUMIFS('Industrial Summary'!$G:$G,'Industrial Summary'!$F:$F,O$17,'Industrial Summary'!$D:$D,$E53)&gt;0,((-SUMIFS('Industrial Summary'!$G:$G,'Industrial Summary'!$F:$F,O$17,'Industrial Summary'!$D:$D,$E53,'Industrial Summary'!$A:$A,"OTP")+-SUMIFS('Industrial Summary'!$G:$G,'Industrial Summary'!$F:$F,O$17,'Industrial Summary'!$D:$D,"IPLRSTM",'Industrial Summary'!$A:$A,"OTP"))/SUMIFS('Industrial Summary'!$G:$G,'Industrial Summary'!$F:$F,O$17,'Industrial Summary'!$D:$D,$E53)),0))*0.98</f>
        <v>0</v>
      </c>
      <c r="P53" s="6">
        <f>(IF(SUMIFS('Industrial Summary'!$G:$G,'Industrial Summary'!$F:$F,P$17,'Industrial Summary'!$D:$D,$E53)&gt;0,((-SUMIFS('Industrial Summary'!$G:$G,'Industrial Summary'!$F:$F,P$17,'Industrial Summary'!$D:$D,$E53,'Industrial Summary'!$A:$A,"OTP")+-SUMIFS('Industrial Summary'!$G:$G,'Industrial Summary'!$F:$F,P$17,'Industrial Summary'!$D:$D,"IPLRSTM",'Industrial Summary'!$A:$A,"OTP"))/SUMIFS('Industrial Summary'!$G:$G,'Industrial Summary'!$F:$F,P$17,'Industrial Summary'!$D:$D,$E53)),0))*0.98</f>
        <v>0</v>
      </c>
      <c r="Q53" s="5">
        <v>0</v>
      </c>
      <c r="R53" s="5">
        <v>15</v>
      </c>
      <c r="S53" s="5" t="str">
        <f t="shared" si="2"/>
        <v>UC_IPLOH_OTP</v>
      </c>
      <c r="V53" s="4" t="str">
        <f t="shared" si="4"/>
        <v>S_IPLOHOTP</v>
      </c>
      <c r="W53" s="4" t="str">
        <f t="shared" si="5"/>
        <v>IPLOH_OTP</v>
      </c>
      <c r="X53" s="4" t="str">
        <f t="shared" si="6"/>
        <v>IPLOHT</v>
      </c>
      <c r="Y53" s="5" t="str">
        <f t="shared" si="7"/>
        <v>LO</v>
      </c>
      <c r="Z53" s="5">
        <v>1</v>
      </c>
      <c r="AA53" s="6">
        <f t="shared" si="8"/>
        <v>0</v>
      </c>
      <c r="AB53" s="6">
        <f t="shared" si="9"/>
        <v>0</v>
      </c>
      <c r="AC53" s="6">
        <f t="shared" si="10"/>
        <v>0</v>
      </c>
      <c r="AD53" s="6">
        <f t="shared" si="11"/>
        <v>0</v>
      </c>
      <c r="AE53" s="6">
        <f t="shared" si="12"/>
        <v>0</v>
      </c>
      <c r="AF53" s="6">
        <f t="shared" si="13"/>
        <v>0</v>
      </c>
      <c r="AG53" s="6">
        <f t="shared" si="14"/>
        <v>0</v>
      </c>
      <c r="AH53" s="6">
        <f t="shared" si="15"/>
        <v>0</v>
      </c>
      <c r="AI53" s="6">
        <f t="shared" si="16"/>
        <v>0</v>
      </c>
      <c r="AL53" s="5" t="str">
        <f t="shared" si="17"/>
        <v>OTP</v>
      </c>
      <c r="AM53" s="5">
        <f>1</f>
        <v>1</v>
      </c>
    </row>
    <row r="54" spans="1:39" s="5" customFormat="1" x14ac:dyDescent="0.3">
      <c r="C54" s="4" t="s">
        <v>100</v>
      </c>
      <c r="D54" s="5" t="s">
        <v>101</v>
      </c>
      <c r="E54" s="5" t="s">
        <v>770</v>
      </c>
      <c r="F54" s="5" t="s">
        <v>1588</v>
      </c>
      <c r="G54" s="5">
        <v>1</v>
      </c>
      <c r="H54" s="6">
        <f>(IF(SUMIFS('Industrial Summary'!$G:$G,'Industrial Summary'!$F:$F,H$17,'Industrial Summary'!$D:$D,$E54)&gt;0,((-SUMIFS('Industrial Summary'!$G:$G,'Industrial Summary'!$F:$F,H$17,'Industrial Summary'!$D:$D,$E54,'Industrial Summary'!$A:$A,"ELC")+-SUMIFS('Industrial Summary'!$G:$G,'Industrial Summary'!$F:$F,H$17,'Industrial Summary'!$D:$D,"IPAFSTM",'Industrial Summary'!$A:$A,"ELC"))/SUMIFS('Industrial Summary'!$G:$G,'Industrial Summary'!$F:$F,H$17,'Industrial Summary'!$D:$D,$E54)),0))*0.98</f>
        <v>-1.3432413592627762E-3</v>
      </c>
      <c r="I54" s="6">
        <f>(IF(SUMIFS('Industrial Summary'!$G:$G,'Industrial Summary'!$F:$F,I$17,'Industrial Summary'!$D:$D,$E54)&gt;0,((-SUMIFS('Industrial Summary'!$G:$G,'Industrial Summary'!$F:$F,I$17,'Industrial Summary'!$D:$D,$E54,'Industrial Summary'!$A:$A,"ELC")+-SUMIFS('Industrial Summary'!$G:$G,'Industrial Summary'!$F:$F,I$17,'Industrial Summary'!$D:$D,"IPAFSTM",'Industrial Summary'!$A:$A,"ELC"))/SUMIFS('Industrial Summary'!$G:$G,'Industrial Summary'!$F:$F,I$17,'Industrial Summary'!$D:$D,$E54)),0))*0.98</f>
        <v>-1.7949408667205257E-3</v>
      </c>
      <c r="J54" s="6">
        <f>(IF(SUMIFS('Industrial Summary'!$G:$G,'Industrial Summary'!$F:$F,J$17,'Industrial Summary'!$D:$D,$E54)&gt;0,((-SUMIFS('Industrial Summary'!$G:$G,'Industrial Summary'!$F:$F,J$17,'Industrial Summary'!$D:$D,$E54,'Industrial Summary'!$A:$A,"ELC")+-SUMIFS('Industrial Summary'!$G:$G,'Industrial Summary'!$F:$F,J$17,'Industrial Summary'!$D:$D,"IPAFSTM",'Industrial Summary'!$A:$A,"ELC"))/SUMIFS('Industrial Summary'!$G:$G,'Industrial Summary'!$F:$F,J$17,'Industrial Summary'!$D:$D,$E54)),0))*0.98</f>
        <v>-7.7483422784935226E-3</v>
      </c>
      <c r="K54" s="6">
        <f>(IF(SUMIFS('Industrial Summary'!$G:$G,'Industrial Summary'!$F:$F,K$17,'Industrial Summary'!$D:$D,$E54)&gt;0,((-SUMIFS('Industrial Summary'!$G:$G,'Industrial Summary'!$F:$F,K$17,'Industrial Summary'!$D:$D,$E54,'Industrial Summary'!$A:$A,"ELC")+-SUMIFS('Industrial Summary'!$G:$G,'Industrial Summary'!$F:$F,K$17,'Industrial Summary'!$D:$D,"IPAFSTM",'Industrial Summary'!$A:$A,"ELC"))/SUMIFS('Industrial Summary'!$G:$G,'Industrial Summary'!$F:$F,K$17,'Industrial Summary'!$D:$D,$E54)),0))*0.98</f>
        <v>-2.4203155172108332E-2</v>
      </c>
      <c r="L54" s="6">
        <f>(IF(SUMIFS('Industrial Summary'!$G:$G,'Industrial Summary'!$F:$F,L$17,'Industrial Summary'!$D:$D,$E54)&gt;0,((-SUMIFS('Industrial Summary'!$G:$G,'Industrial Summary'!$F:$F,L$17,'Industrial Summary'!$D:$D,$E54,'Industrial Summary'!$A:$A,"ELC")+-SUMIFS('Industrial Summary'!$G:$G,'Industrial Summary'!$F:$F,L$17,'Industrial Summary'!$D:$D,"IPAFSTM",'Industrial Summary'!$A:$A,"ELC"))/SUMIFS('Industrial Summary'!$G:$G,'Industrial Summary'!$F:$F,L$17,'Industrial Summary'!$D:$D,$E54)),0))*0.98</f>
        <v>-4.2359997598406885E-3</v>
      </c>
      <c r="M54" s="6">
        <f>(IF(SUMIFS('Industrial Summary'!$G:$G,'Industrial Summary'!$F:$F,M$17,'Industrial Summary'!$D:$D,$E54)&gt;0,((-SUMIFS('Industrial Summary'!$G:$G,'Industrial Summary'!$F:$F,M$17,'Industrial Summary'!$D:$D,$E54,'Industrial Summary'!$A:$A,"ELC")+-SUMIFS('Industrial Summary'!$G:$G,'Industrial Summary'!$F:$F,M$17,'Industrial Summary'!$D:$D,"IPAFSTM",'Industrial Summary'!$A:$A,"ELC"))/SUMIFS('Industrial Summary'!$G:$G,'Industrial Summary'!$F:$F,M$17,'Industrial Summary'!$D:$D,$E54)),0))*0.98</f>
        <v>-5.6179039970963851E-3</v>
      </c>
      <c r="N54" s="6">
        <f>(IF(SUMIFS('Industrial Summary'!$G:$G,'Industrial Summary'!$F:$F,N$17,'Industrial Summary'!$D:$D,$E54)&gt;0,((-SUMIFS('Industrial Summary'!$G:$G,'Industrial Summary'!$F:$F,N$17,'Industrial Summary'!$D:$D,$E54,'Industrial Summary'!$A:$A,"ELC")+-SUMIFS('Industrial Summary'!$G:$G,'Industrial Summary'!$F:$F,N$17,'Industrial Summary'!$D:$D,"IPAFSTM",'Industrial Summary'!$A:$A,"ELC"))/SUMIFS('Industrial Summary'!$G:$G,'Industrial Summary'!$F:$F,N$17,'Industrial Summary'!$D:$D,$E54)),0))*0.98</f>
        <v>-7.4118545273066713E-3</v>
      </c>
      <c r="O54" s="6">
        <f>(IF(SUMIFS('Industrial Summary'!$G:$G,'Industrial Summary'!$F:$F,O$17,'Industrial Summary'!$D:$D,$E54)&gt;0,((-SUMIFS('Industrial Summary'!$G:$G,'Industrial Summary'!$F:$F,O$17,'Industrial Summary'!$D:$D,$E54,'Industrial Summary'!$A:$A,"ELC")+-SUMIFS('Industrial Summary'!$G:$G,'Industrial Summary'!$F:$F,O$17,'Industrial Summary'!$D:$D,"IPAFSTM",'Industrial Summary'!$A:$A,"ELC"))/SUMIFS('Industrial Summary'!$G:$G,'Industrial Summary'!$F:$F,O$17,'Industrial Summary'!$D:$D,$E54)),0))*0.98</f>
        <v>-8.6453633303868703E-3</v>
      </c>
      <c r="P54" s="6">
        <f>(IF(SUMIFS('Industrial Summary'!$G:$G,'Industrial Summary'!$F:$F,P$17,'Industrial Summary'!$D:$D,$E54)&gt;0,((-SUMIFS('Industrial Summary'!$G:$G,'Industrial Summary'!$F:$F,P$17,'Industrial Summary'!$D:$D,$E54,'Industrial Summary'!$A:$A,"ELC")+-SUMIFS('Industrial Summary'!$G:$G,'Industrial Summary'!$F:$F,P$17,'Industrial Summary'!$D:$D,"IPAFSTM",'Industrial Summary'!$A:$A,"ELC"))/SUMIFS('Industrial Summary'!$G:$G,'Industrial Summary'!$F:$F,P$17,'Industrial Summary'!$D:$D,$E54)),0))*0.98</f>
        <v>0</v>
      </c>
      <c r="Q54" s="5">
        <v>0</v>
      </c>
      <c r="R54" s="5">
        <v>15</v>
      </c>
      <c r="S54" s="5" t="str">
        <f t="shared" si="2"/>
        <v>UC_IPAST_ELC</v>
      </c>
      <c r="V54" s="4" t="str">
        <f t="shared" si="4"/>
        <v>S_IPASTELC</v>
      </c>
      <c r="W54" s="4" t="str">
        <f t="shared" si="5"/>
        <v>IPAST_ELC</v>
      </c>
      <c r="X54" s="4" t="str">
        <f t="shared" si="6"/>
        <v>IPASTM</v>
      </c>
      <c r="Y54" s="5" t="str">
        <f t="shared" si="7"/>
        <v>LO</v>
      </c>
      <c r="Z54" s="5">
        <v>1</v>
      </c>
      <c r="AA54" s="6">
        <f t="shared" si="8"/>
        <v>-1.3432413592627762E-3</v>
      </c>
      <c r="AB54" s="6">
        <f t="shared" si="9"/>
        <v>-1.7949408667205257E-3</v>
      </c>
      <c r="AC54" s="6">
        <f t="shared" si="10"/>
        <v>-7.7483422784935226E-3</v>
      </c>
      <c r="AD54" s="6">
        <f t="shared" si="11"/>
        <v>-2.4203155172108332E-2</v>
      </c>
      <c r="AE54" s="6">
        <f t="shared" si="12"/>
        <v>-4.2359997598406885E-3</v>
      </c>
      <c r="AF54" s="6">
        <f t="shared" si="13"/>
        <v>-5.6179039970963851E-3</v>
      </c>
      <c r="AG54" s="6">
        <f t="shared" si="14"/>
        <v>-7.4118545273066713E-3</v>
      </c>
      <c r="AH54" s="6">
        <f t="shared" si="15"/>
        <v>-8.6453633303868703E-3</v>
      </c>
      <c r="AI54" s="6">
        <f t="shared" si="16"/>
        <v>0</v>
      </c>
      <c r="AL54" s="5" t="str">
        <f t="shared" si="17"/>
        <v>ELC</v>
      </c>
      <c r="AM54" s="5">
        <f>1</f>
        <v>1</v>
      </c>
    </row>
    <row r="55" spans="1:39" s="5" customFormat="1" x14ac:dyDescent="0.3">
      <c r="C55" s="4" t="s">
        <v>102</v>
      </c>
      <c r="D55" s="5" t="s">
        <v>103</v>
      </c>
      <c r="E55" s="5" t="s">
        <v>770</v>
      </c>
      <c r="F55" s="5" t="s">
        <v>1588</v>
      </c>
      <c r="G55" s="5">
        <v>1</v>
      </c>
      <c r="H55" s="6">
        <f>(IF(SUMIFS('Industrial Summary'!$G:$G,'Industrial Summary'!$F:$F,H$17,'Industrial Summary'!$D:$D,$E55)&gt;0,((-SUMIFS('Industrial Summary'!$G:$G,'Industrial Summary'!$F:$F,H$17,'Industrial Summary'!$D:$D,$E55,'Industrial Summary'!$A:$A,"RFL")+-SUMIFS('Industrial Summary'!$G:$G,'Industrial Summary'!$F:$F,H$17,'Industrial Summary'!$D:$D,"IPAFSTM",'Industrial Summary'!$A:$A,"RFL"))/SUMIFS('Industrial Summary'!$G:$G,'Industrial Summary'!$F:$F,H$17,'Industrial Summary'!$D:$D,$E55)),0))*0.98</f>
        <v>0</v>
      </c>
      <c r="I55" s="6">
        <f>(IF(SUMIFS('Industrial Summary'!$G:$G,'Industrial Summary'!$F:$F,I$17,'Industrial Summary'!$D:$D,$E55)&gt;0,((-SUMIFS('Industrial Summary'!$G:$G,'Industrial Summary'!$F:$F,I$17,'Industrial Summary'!$D:$D,$E55,'Industrial Summary'!$A:$A,"RFL")+-SUMIFS('Industrial Summary'!$G:$G,'Industrial Summary'!$F:$F,I$17,'Industrial Summary'!$D:$D,"IPAFSTM",'Industrial Summary'!$A:$A,"RFL"))/SUMIFS('Industrial Summary'!$G:$G,'Industrial Summary'!$F:$F,I$17,'Industrial Summary'!$D:$D,$E55)),0))*0.98</f>
        <v>-0.50326805555705756</v>
      </c>
      <c r="J55" s="6">
        <f>(IF(SUMIFS('Industrial Summary'!$G:$G,'Industrial Summary'!$F:$F,J$17,'Industrial Summary'!$D:$D,$E55)&gt;0,((-SUMIFS('Industrial Summary'!$G:$G,'Industrial Summary'!$F:$F,J$17,'Industrial Summary'!$D:$D,$E55,'Industrial Summary'!$A:$A,"RFL")+-SUMIFS('Industrial Summary'!$G:$G,'Industrial Summary'!$F:$F,J$17,'Industrial Summary'!$D:$D,"IPAFSTM",'Industrial Summary'!$A:$A,"RFL"))/SUMIFS('Industrial Summary'!$G:$G,'Industrial Summary'!$F:$F,J$17,'Industrial Summary'!$D:$D,$E55)),0))*0.98</f>
        <v>0</v>
      </c>
      <c r="K55" s="6">
        <f>(IF(SUMIFS('Industrial Summary'!$G:$G,'Industrial Summary'!$F:$F,K$17,'Industrial Summary'!$D:$D,$E55)&gt;0,((-SUMIFS('Industrial Summary'!$G:$G,'Industrial Summary'!$F:$F,K$17,'Industrial Summary'!$D:$D,$E55,'Industrial Summary'!$A:$A,"RFL")+-SUMIFS('Industrial Summary'!$G:$G,'Industrial Summary'!$F:$F,K$17,'Industrial Summary'!$D:$D,"IPAFSTM",'Industrial Summary'!$A:$A,"RFL"))/SUMIFS('Industrial Summary'!$G:$G,'Industrial Summary'!$F:$F,K$17,'Industrial Summary'!$D:$D,$E55)),0))*0.98</f>
        <v>-1.7285060340098572E-2</v>
      </c>
      <c r="L55" s="6">
        <f>(IF(SUMIFS('Industrial Summary'!$G:$G,'Industrial Summary'!$F:$F,L$17,'Industrial Summary'!$D:$D,$E55)&gt;0,((-SUMIFS('Industrial Summary'!$G:$G,'Industrial Summary'!$F:$F,L$17,'Industrial Summary'!$D:$D,$E55,'Industrial Summary'!$A:$A,"RFL")+-SUMIFS('Industrial Summary'!$G:$G,'Industrial Summary'!$F:$F,L$17,'Industrial Summary'!$D:$D,"IPAFSTM",'Industrial Summary'!$A:$A,"RFL"))/SUMIFS('Industrial Summary'!$G:$G,'Industrial Summary'!$F:$F,L$17,'Industrial Summary'!$D:$D,$E55)),0))*0.98</f>
        <v>0</v>
      </c>
      <c r="M55" s="6">
        <f>(IF(SUMIFS('Industrial Summary'!$G:$G,'Industrial Summary'!$F:$F,M$17,'Industrial Summary'!$D:$D,$E55)&gt;0,((-SUMIFS('Industrial Summary'!$G:$G,'Industrial Summary'!$F:$F,M$17,'Industrial Summary'!$D:$D,$E55,'Industrial Summary'!$A:$A,"RFL")+-SUMIFS('Industrial Summary'!$G:$G,'Industrial Summary'!$F:$F,M$17,'Industrial Summary'!$D:$D,"IPAFSTM",'Industrial Summary'!$A:$A,"RFL"))/SUMIFS('Industrial Summary'!$G:$G,'Industrial Summary'!$F:$F,M$17,'Industrial Summary'!$D:$D,$E55)),0))*0.98</f>
        <v>-3.8690658634555814E-3</v>
      </c>
      <c r="N55" s="6">
        <f>(IF(SUMIFS('Industrial Summary'!$G:$G,'Industrial Summary'!$F:$F,N$17,'Industrial Summary'!$D:$D,$E55)&gt;0,((-SUMIFS('Industrial Summary'!$G:$G,'Industrial Summary'!$F:$F,N$17,'Industrial Summary'!$D:$D,$E55,'Industrial Summary'!$A:$A,"RFL")+-SUMIFS('Industrial Summary'!$G:$G,'Industrial Summary'!$F:$F,N$17,'Industrial Summary'!$D:$D,"IPAFSTM",'Industrial Summary'!$A:$A,"RFL"))/SUMIFS('Industrial Summary'!$G:$G,'Industrial Summary'!$F:$F,N$17,'Industrial Summary'!$D:$D,$E55)),0))*0.98</f>
        <v>0</v>
      </c>
      <c r="O55" s="6">
        <f>(IF(SUMIFS('Industrial Summary'!$G:$G,'Industrial Summary'!$F:$F,O$17,'Industrial Summary'!$D:$D,$E55)&gt;0,((-SUMIFS('Industrial Summary'!$G:$G,'Industrial Summary'!$F:$F,O$17,'Industrial Summary'!$D:$D,$E55,'Industrial Summary'!$A:$A,"RFL")+-SUMIFS('Industrial Summary'!$G:$G,'Industrial Summary'!$F:$F,O$17,'Industrial Summary'!$D:$D,"IPAFSTM",'Industrial Summary'!$A:$A,"RFL"))/SUMIFS('Industrial Summary'!$G:$G,'Industrial Summary'!$F:$F,O$17,'Industrial Summary'!$D:$D,$E55)),0))*0.98</f>
        <v>0</v>
      </c>
      <c r="P55" s="6">
        <f>(IF(SUMIFS('Industrial Summary'!$G:$G,'Industrial Summary'!$F:$F,P$17,'Industrial Summary'!$D:$D,$E55)&gt;0,((-SUMIFS('Industrial Summary'!$G:$G,'Industrial Summary'!$F:$F,P$17,'Industrial Summary'!$D:$D,$E55,'Industrial Summary'!$A:$A,"RFL")+-SUMIFS('Industrial Summary'!$G:$G,'Industrial Summary'!$F:$F,P$17,'Industrial Summary'!$D:$D,"IPAFSTM",'Industrial Summary'!$A:$A,"RFL"))/SUMIFS('Industrial Summary'!$G:$G,'Industrial Summary'!$F:$F,P$17,'Industrial Summary'!$D:$D,$E55)),0))*0.98</f>
        <v>0</v>
      </c>
      <c r="Q55" s="5">
        <v>0</v>
      </c>
      <c r="R55" s="5">
        <v>15</v>
      </c>
      <c r="S55" s="5" t="str">
        <f t="shared" si="2"/>
        <v>UC_IPAST_RFL</v>
      </c>
      <c r="V55" s="4" t="str">
        <f t="shared" si="4"/>
        <v>S_IPASTRFL</v>
      </c>
      <c r="W55" s="4" t="str">
        <f t="shared" si="5"/>
        <v>IPAST_RFL</v>
      </c>
      <c r="X55" s="4" t="str">
        <f t="shared" si="6"/>
        <v>IPASTM</v>
      </c>
      <c r="Y55" s="5" t="str">
        <f t="shared" si="7"/>
        <v>LO</v>
      </c>
      <c r="Z55" s="5">
        <v>1</v>
      </c>
      <c r="AA55" s="6">
        <f t="shared" si="8"/>
        <v>0</v>
      </c>
      <c r="AB55" s="6">
        <f t="shared" si="9"/>
        <v>-0.50326805555705756</v>
      </c>
      <c r="AC55" s="6">
        <f t="shared" si="10"/>
        <v>0</v>
      </c>
      <c r="AD55" s="6">
        <f t="shared" si="11"/>
        <v>-1.7285060340098572E-2</v>
      </c>
      <c r="AE55" s="6">
        <f t="shared" si="12"/>
        <v>0</v>
      </c>
      <c r="AF55" s="6">
        <f t="shared" si="13"/>
        <v>-3.8690658634555814E-3</v>
      </c>
      <c r="AG55" s="6">
        <f t="shared" si="14"/>
        <v>0</v>
      </c>
      <c r="AH55" s="6">
        <f t="shared" si="15"/>
        <v>0</v>
      </c>
      <c r="AI55" s="6">
        <f t="shared" si="16"/>
        <v>0</v>
      </c>
      <c r="AL55" s="5" t="str">
        <f t="shared" si="17"/>
        <v>RFL</v>
      </c>
      <c r="AM55" s="5">
        <f>1</f>
        <v>1</v>
      </c>
    </row>
    <row r="56" spans="1:39" s="5" customFormat="1" x14ac:dyDescent="0.3">
      <c r="C56" s="4" t="s">
        <v>104</v>
      </c>
      <c r="D56" s="5" t="s">
        <v>105</v>
      </c>
      <c r="E56" s="5" t="s">
        <v>770</v>
      </c>
      <c r="F56" s="5" t="s">
        <v>1588</v>
      </c>
      <c r="G56" s="5">
        <v>1</v>
      </c>
      <c r="H56" s="6">
        <f>(IF(SUMIFS('Industrial Summary'!$G:$G,'Industrial Summary'!$F:$F,H$17,'Industrial Summary'!$D:$D,$E56)&gt;0,((-SUMIFS('Industrial Summary'!$G:$G,'Industrial Summary'!$F:$F,H$17,'Industrial Summary'!$D:$D,$E56,'Industrial Summary'!$A:$A,"NGA")+-SUMIFS('Industrial Summary'!$G:$G,'Industrial Summary'!$F:$F,H$17,'Industrial Summary'!$D:$D,"IPAFSTM",'Industrial Summary'!$A:$A,"NGA"))/SUMIFS('Industrial Summary'!$G:$G,'Industrial Summary'!$F:$F,H$17,'Industrial Summary'!$D:$D,$E56)),0))*0.98</f>
        <v>-1.5935233000417076E-2</v>
      </c>
      <c r="I56" s="6">
        <f>(IF(SUMIFS('Industrial Summary'!$G:$G,'Industrial Summary'!$F:$F,I$17,'Industrial Summary'!$D:$D,$E56)&gt;0,((-SUMIFS('Industrial Summary'!$G:$G,'Industrial Summary'!$F:$F,I$17,'Industrial Summary'!$D:$D,$E56,'Industrial Summary'!$A:$A,"NGA")+-SUMIFS('Industrial Summary'!$G:$G,'Industrial Summary'!$F:$F,I$17,'Industrial Summary'!$D:$D,"IPAFSTM",'Industrial Summary'!$A:$A,"NGA"))/SUMIFS('Industrial Summary'!$G:$G,'Industrial Summary'!$F:$F,I$17,'Industrial Summary'!$D:$D,$E56)),0))*0.98</f>
        <v>-0.17234757140092205</v>
      </c>
      <c r="J56" s="6">
        <f>(IF(SUMIFS('Industrial Summary'!$G:$G,'Industrial Summary'!$F:$F,J$17,'Industrial Summary'!$D:$D,$E56)&gt;0,((-SUMIFS('Industrial Summary'!$G:$G,'Industrial Summary'!$F:$F,J$17,'Industrial Summary'!$D:$D,$E56,'Industrial Summary'!$A:$A,"NGA")+-SUMIFS('Industrial Summary'!$G:$G,'Industrial Summary'!$F:$F,J$17,'Industrial Summary'!$D:$D,"IPAFSTM",'Industrial Summary'!$A:$A,"NGA"))/SUMIFS('Industrial Summary'!$G:$G,'Industrial Summary'!$F:$F,J$17,'Industrial Summary'!$D:$D,$E56)),0))*0.98</f>
        <v>0</v>
      </c>
      <c r="K56" s="6">
        <f>(IF(SUMIFS('Industrial Summary'!$G:$G,'Industrial Summary'!$F:$F,K$17,'Industrial Summary'!$D:$D,$E56)&gt;0,((-SUMIFS('Industrial Summary'!$G:$G,'Industrial Summary'!$F:$F,K$17,'Industrial Summary'!$D:$D,$E56,'Industrial Summary'!$A:$A,"NGA")+-SUMIFS('Industrial Summary'!$G:$G,'Industrial Summary'!$F:$F,K$17,'Industrial Summary'!$D:$D,"IPAFSTM",'Industrial Summary'!$A:$A,"NGA"))/SUMIFS('Industrial Summary'!$G:$G,'Industrial Summary'!$F:$F,K$17,'Industrial Summary'!$D:$D,$E56)),0))*0.98</f>
        <v>-0.51527150452845827</v>
      </c>
      <c r="L56" s="6">
        <f>(IF(SUMIFS('Industrial Summary'!$G:$G,'Industrial Summary'!$F:$F,L$17,'Industrial Summary'!$D:$D,$E56)&gt;0,((-SUMIFS('Industrial Summary'!$G:$G,'Industrial Summary'!$F:$F,L$17,'Industrial Summary'!$D:$D,$E56,'Industrial Summary'!$A:$A,"NGA")+-SUMIFS('Industrial Summary'!$G:$G,'Industrial Summary'!$F:$F,L$17,'Industrial Summary'!$D:$D,"IPAFSTM",'Industrial Summary'!$A:$A,"NGA"))/SUMIFS('Industrial Summary'!$G:$G,'Industrial Summary'!$F:$F,L$17,'Industrial Summary'!$D:$D,$E56)),0))*0.98</f>
        <v>0</v>
      </c>
      <c r="M56" s="6">
        <f>(IF(SUMIFS('Industrial Summary'!$G:$G,'Industrial Summary'!$F:$F,M$17,'Industrial Summary'!$D:$D,$E56)&gt;0,((-SUMIFS('Industrial Summary'!$G:$G,'Industrial Summary'!$F:$F,M$17,'Industrial Summary'!$D:$D,$E56,'Industrial Summary'!$A:$A,"NGA")+-SUMIFS('Industrial Summary'!$G:$G,'Industrial Summary'!$F:$F,M$17,'Industrial Summary'!$D:$D,"IPAFSTM",'Industrial Summary'!$A:$A,"NGA"))/SUMIFS('Industrial Summary'!$G:$G,'Industrial Summary'!$F:$F,M$17,'Industrial Summary'!$D:$D,$E56)),0))*0.98</f>
        <v>-0.58307922241663834</v>
      </c>
      <c r="N56" s="6">
        <f>(IF(SUMIFS('Industrial Summary'!$G:$G,'Industrial Summary'!$F:$F,N$17,'Industrial Summary'!$D:$D,$E56)&gt;0,((-SUMIFS('Industrial Summary'!$G:$G,'Industrial Summary'!$F:$F,N$17,'Industrial Summary'!$D:$D,$E56,'Industrial Summary'!$A:$A,"NGA")+-SUMIFS('Industrial Summary'!$G:$G,'Industrial Summary'!$F:$F,N$17,'Industrial Summary'!$D:$D,"IPAFSTM",'Industrial Summary'!$A:$A,"NGA"))/SUMIFS('Industrial Summary'!$G:$G,'Industrial Summary'!$F:$F,N$17,'Industrial Summary'!$D:$D,$E56)),0))*0.98</f>
        <v>-7.2960364648932644E-2</v>
      </c>
      <c r="O56" s="6">
        <f>(IF(SUMIFS('Industrial Summary'!$G:$G,'Industrial Summary'!$F:$F,O$17,'Industrial Summary'!$D:$D,$E56)&gt;0,((-SUMIFS('Industrial Summary'!$G:$G,'Industrial Summary'!$F:$F,O$17,'Industrial Summary'!$D:$D,$E56,'Industrial Summary'!$A:$A,"NGA")+-SUMIFS('Industrial Summary'!$G:$G,'Industrial Summary'!$F:$F,O$17,'Industrial Summary'!$D:$D,"IPAFSTM",'Industrial Summary'!$A:$A,"NGA"))/SUMIFS('Industrial Summary'!$G:$G,'Industrial Summary'!$F:$F,O$17,'Industrial Summary'!$D:$D,$E56)),0))*0.98</f>
        <v>0</v>
      </c>
      <c r="P56" s="6">
        <f>(IF(SUMIFS('Industrial Summary'!$G:$G,'Industrial Summary'!$F:$F,P$17,'Industrial Summary'!$D:$D,$E56)&gt;0,((-SUMIFS('Industrial Summary'!$G:$G,'Industrial Summary'!$F:$F,P$17,'Industrial Summary'!$D:$D,$E56,'Industrial Summary'!$A:$A,"NGA")+-SUMIFS('Industrial Summary'!$G:$G,'Industrial Summary'!$F:$F,P$17,'Industrial Summary'!$D:$D,"IPAFSTM",'Industrial Summary'!$A:$A,"NGA"))/SUMIFS('Industrial Summary'!$G:$G,'Industrial Summary'!$F:$F,P$17,'Industrial Summary'!$D:$D,$E56)),0))*0.98</f>
        <v>-0.98</v>
      </c>
      <c r="Q56" s="5">
        <v>0</v>
      </c>
      <c r="R56" s="5">
        <v>15</v>
      </c>
      <c r="S56" s="5" t="str">
        <f t="shared" si="2"/>
        <v>UC_IPAST_NGA</v>
      </c>
      <c r="V56" s="4" t="str">
        <f t="shared" si="4"/>
        <v>S_IPASTNGA</v>
      </c>
      <c r="W56" s="4" t="str">
        <f t="shared" si="5"/>
        <v>IPAST_NGA</v>
      </c>
      <c r="X56" s="4" t="str">
        <f t="shared" si="6"/>
        <v>IPASTM</v>
      </c>
      <c r="Y56" s="5" t="str">
        <f t="shared" si="7"/>
        <v>LO</v>
      </c>
      <c r="Z56" s="5">
        <v>1</v>
      </c>
      <c r="AA56" s="6">
        <f t="shared" si="8"/>
        <v>-1.0835958440283611E-2</v>
      </c>
      <c r="AB56" s="6">
        <f t="shared" si="9"/>
        <v>-0.11719634855262698</v>
      </c>
      <c r="AC56" s="6">
        <f t="shared" si="10"/>
        <v>0</v>
      </c>
      <c r="AD56" s="6">
        <f t="shared" si="11"/>
        <v>-0.35038462307935159</v>
      </c>
      <c r="AE56" s="6">
        <f t="shared" si="12"/>
        <v>0</v>
      </c>
      <c r="AF56" s="6">
        <f t="shared" si="13"/>
        <v>-0.39649387124331403</v>
      </c>
      <c r="AG56" s="6">
        <f t="shared" si="14"/>
        <v>-4.9613047961274193E-2</v>
      </c>
      <c r="AH56" s="6">
        <f t="shared" si="15"/>
        <v>0</v>
      </c>
      <c r="AI56" s="6">
        <f t="shared" si="16"/>
        <v>-0.66639999999999988</v>
      </c>
      <c r="AL56" s="5" t="str">
        <f t="shared" si="17"/>
        <v>NGA</v>
      </c>
      <c r="AM56" s="5">
        <f>Y6</f>
        <v>0.67999999999999994</v>
      </c>
    </row>
    <row r="57" spans="1:39" s="5" customFormat="1" x14ac:dyDescent="0.3">
      <c r="A57" s="8"/>
      <c r="C57" s="4" t="s">
        <v>106</v>
      </c>
      <c r="D57" s="5" t="s">
        <v>107</v>
      </c>
      <c r="E57" s="5" t="s">
        <v>770</v>
      </c>
      <c r="F57" s="5" t="s">
        <v>1591</v>
      </c>
      <c r="G57" s="5">
        <v>1</v>
      </c>
      <c r="H57" s="6">
        <f>(IF(SUMIFS('Industrial Summary'!$G:$G,'Industrial Summary'!$F:$F,H$17,'Industrial Summary'!$D:$D,$E57)&gt;0,((-SUMIFS('Industrial Summary'!$G:$G,'Industrial Summary'!$F:$F,H$17,'Industrial Summary'!$D:$D,$E57,'Industrial Summary'!$A:$A,"COA")+-SUMIFS('Industrial Summary'!$G:$G,'Industrial Summary'!$F:$F,H$17,'Industrial Summary'!$D:$D,"IPAFSTM",'Industrial Summary'!$A:$A,"COA"))/SUMIFS('Industrial Summary'!$G:$G,'Industrial Summary'!$F:$F,H$17,'Industrial Summary'!$D:$D,$E57)),0))*0.98</f>
        <v>-0.96272152564031832</v>
      </c>
      <c r="I57" s="6">
        <f>(IF(SUMIFS('Industrial Summary'!$G:$G,'Industrial Summary'!$F:$F,I$17,'Industrial Summary'!$D:$D,$E57)&gt;0,((-SUMIFS('Industrial Summary'!$G:$G,'Industrial Summary'!$F:$F,I$17,'Industrial Summary'!$D:$D,$E57,'Industrial Summary'!$A:$A,"COA")+-SUMIFS('Industrial Summary'!$G:$G,'Industrial Summary'!$F:$F,I$17,'Industrial Summary'!$D:$D,"IPAFSTM",'Industrial Summary'!$A:$A,"COA"))/SUMIFS('Industrial Summary'!$G:$G,'Industrial Summary'!$F:$F,I$17,'Industrial Summary'!$D:$D,$E57)),0))*0.98</f>
        <v>-0.30258943217529721</v>
      </c>
      <c r="J57" s="6">
        <f>(IF(SUMIFS('Industrial Summary'!$G:$G,'Industrial Summary'!$F:$F,J$17,'Industrial Summary'!$D:$D,$E57)&gt;0,((-SUMIFS('Industrial Summary'!$G:$G,'Industrial Summary'!$F:$F,J$17,'Industrial Summary'!$D:$D,$E57,'Industrial Summary'!$A:$A,"COA")+-SUMIFS('Industrial Summary'!$G:$G,'Industrial Summary'!$F:$F,J$17,'Industrial Summary'!$D:$D,"IPAFSTM",'Industrial Summary'!$A:$A,"COA"))/SUMIFS('Industrial Summary'!$G:$G,'Industrial Summary'!$F:$F,J$17,'Industrial Summary'!$D:$D,$E57)),0))*0.98</f>
        <v>-0.97225165772150601</v>
      </c>
      <c r="K57" s="6">
        <f>(IF(SUMIFS('Industrial Summary'!$G:$G,'Industrial Summary'!$F:$F,K$17,'Industrial Summary'!$D:$D,$E57)&gt;0,((-SUMIFS('Industrial Summary'!$G:$G,'Industrial Summary'!$F:$F,K$17,'Industrial Summary'!$D:$D,$E57,'Industrial Summary'!$A:$A,"COA")+-SUMIFS('Industrial Summary'!$G:$G,'Industrial Summary'!$F:$F,K$17,'Industrial Summary'!$D:$D,"IPAFSTM",'Industrial Summary'!$A:$A,"COA"))/SUMIFS('Industrial Summary'!$G:$G,'Industrial Summary'!$F:$F,K$17,'Industrial Summary'!$D:$D,$E57)),0))*0.98</f>
        <v>-0.42324027995933544</v>
      </c>
      <c r="L57" s="6">
        <f>(IF(SUMIFS('Industrial Summary'!$G:$G,'Industrial Summary'!$F:$F,L$17,'Industrial Summary'!$D:$D,$E57)&gt;0,((-SUMIFS('Industrial Summary'!$G:$G,'Industrial Summary'!$F:$F,L$17,'Industrial Summary'!$D:$D,$E57,'Industrial Summary'!$A:$A,"COA")+-SUMIFS('Industrial Summary'!$G:$G,'Industrial Summary'!$F:$F,L$17,'Industrial Summary'!$D:$D,"IPAFSTM",'Industrial Summary'!$A:$A,"COA"))/SUMIFS('Industrial Summary'!$G:$G,'Industrial Summary'!$F:$F,L$17,'Industrial Summary'!$D:$D,$E57)),0))*0.98</f>
        <v>-0.9757640002401593</v>
      </c>
      <c r="M57" s="6">
        <f>(IF(SUMIFS('Industrial Summary'!$G:$G,'Industrial Summary'!$F:$F,M$17,'Industrial Summary'!$D:$D,$E57)&gt;0,((-SUMIFS('Industrial Summary'!$G:$G,'Industrial Summary'!$F:$F,M$17,'Industrial Summary'!$D:$D,$E57,'Industrial Summary'!$A:$A,"COA")+-SUMIFS('Industrial Summary'!$G:$G,'Industrial Summary'!$F:$F,M$17,'Industrial Summary'!$D:$D,"IPAFSTM",'Industrial Summary'!$A:$A,"COA"))/SUMIFS('Industrial Summary'!$G:$G,'Industrial Summary'!$F:$F,M$17,'Industrial Summary'!$D:$D,$E57)),0))*0.98</f>
        <v>-0.38743380772281116</v>
      </c>
      <c r="N57" s="6">
        <f>(IF(SUMIFS('Industrial Summary'!$G:$G,'Industrial Summary'!$F:$F,N$17,'Industrial Summary'!$D:$D,$E57)&gt;0,((-SUMIFS('Industrial Summary'!$G:$G,'Industrial Summary'!$F:$F,N$17,'Industrial Summary'!$D:$D,$E57,'Industrial Summary'!$A:$A,"COA")+-SUMIFS('Industrial Summary'!$G:$G,'Industrial Summary'!$F:$F,N$17,'Industrial Summary'!$D:$D,"IPAFSTM",'Industrial Summary'!$A:$A,"COA"))/SUMIFS('Industrial Summary'!$G:$G,'Industrial Summary'!$F:$F,N$17,'Industrial Summary'!$D:$D,$E57)),0))*0.98</f>
        <v>-0.89962778082376083</v>
      </c>
      <c r="O57" s="6">
        <f>(IF(SUMIFS('Industrial Summary'!$G:$G,'Industrial Summary'!$F:$F,O$17,'Industrial Summary'!$D:$D,$E57)&gt;0,((-SUMIFS('Industrial Summary'!$G:$G,'Industrial Summary'!$F:$F,O$17,'Industrial Summary'!$D:$D,$E57,'Industrial Summary'!$A:$A,"COA")+-SUMIFS('Industrial Summary'!$G:$G,'Industrial Summary'!$F:$F,O$17,'Industrial Summary'!$D:$D,"IPAFSTM",'Industrial Summary'!$A:$A,"COA"))/SUMIFS('Industrial Summary'!$G:$G,'Industrial Summary'!$F:$F,O$17,'Industrial Summary'!$D:$D,$E57)),0))*0.98</f>
        <v>-0.97135463666961319</v>
      </c>
      <c r="P57" s="6">
        <f>(IF(SUMIFS('Industrial Summary'!$G:$G,'Industrial Summary'!$F:$F,P$17,'Industrial Summary'!$D:$D,$E57)&gt;0,((-SUMIFS('Industrial Summary'!$G:$G,'Industrial Summary'!$F:$F,P$17,'Industrial Summary'!$D:$D,$E57,'Industrial Summary'!$A:$A,"COA")+-SUMIFS('Industrial Summary'!$G:$G,'Industrial Summary'!$F:$F,P$17,'Industrial Summary'!$D:$D,"IPAFSTM",'Industrial Summary'!$A:$A,"COA"))/SUMIFS('Industrial Summary'!$G:$G,'Industrial Summary'!$F:$F,P$17,'Industrial Summary'!$D:$D,$E57)),0))*0.98</f>
        <v>0</v>
      </c>
      <c r="Q57" s="5">
        <v>0</v>
      </c>
      <c r="R57" s="5">
        <v>15</v>
      </c>
      <c r="S57" s="5" t="str">
        <f t="shared" si="2"/>
        <v>UC_IPAST_COA</v>
      </c>
      <c r="V57" s="4" t="str">
        <f t="shared" si="4"/>
        <v>S_IPASTCOA</v>
      </c>
      <c r="W57" s="4" t="str">
        <f t="shared" si="5"/>
        <v>IPAST_COA</v>
      </c>
      <c r="X57" s="4" t="str">
        <f t="shared" si="6"/>
        <v>IPASTM</v>
      </c>
      <c r="Y57" s="5" t="str">
        <f t="shared" si="7"/>
        <v>UP</v>
      </c>
      <c r="Z57" s="5">
        <v>1</v>
      </c>
      <c r="AA57" s="6">
        <f t="shared" si="8"/>
        <v>-0.74129557474304508</v>
      </c>
      <c r="AB57" s="6">
        <f t="shared" si="9"/>
        <v>-0.23299386277497885</v>
      </c>
      <c r="AC57" s="6">
        <f t="shared" si="10"/>
        <v>-0.74863377644555962</v>
      </c>
      <c r="AD57" s="6">
        <f t="shared" si="11"/>
        <v>-0.32589501556868827</v>
      </c>
      <c r="AE57" s="6">
        <f t="shared" si="12"/>
        <v>-0.75133828018492266</v>
      </c>
      <c r="AF57" s="6">
        <f t="shared" si="13"/>
        <v>-0.29832403194656459</v>
      </c>
      <c r="AG57" s="6">
        <f t="shared" si="14"/>
        <v>-0.69271339123429587</v>
      </c>
      <c r="AH57" s="6">
        <f t="shared" si="15"/>
        <v>-0.74794307023560214</v>
      </c>
      <c r="AI57" s="6">
        <f t="shared" si="16"/>
        <v>0</v>
      </c>
      <c r="AL57" s="5" t="str">
        <f t="shared" si="17"/>
        <v>COA</v>
      </c>
      <c r="AM57" s="5">
        <f>Z6</f>
        <v>0.77</v>
      </c>
    </row>
    <row r="58" spans="1:39" s="5" customFormat="1" x14ac:dyDescent="0.3">
      <c r="C58" s="4" t="s">
        <v>110</v>
      </c>
      <c r="D58" s="5" t="s">
        <v>111</v>
      </c>
      <c r="E58" s="5" t="s">
        <v>786</v>
      </c>
      <c r="F58" s="5" t="s">
        <v>1588</v>
      </c>
      <c r="G58" s="5">
        <v>1</v>
      </c>
      <c r="H58" s="6">
        <f>IF(SUMIFS('Industrial Summary'!$G:$G,'Industrial Summary'!$F:$F,H$17,'Industrial Summary'!$D:$D,$E58)&gt;0,(-SUMIFS('Industrial Summary'!$G:$G,'Industrial Summary'!$F:$F,H$17,'Industrial Summary'!$D:$D,$E58,'Industrial Summary'!$A:$A,"ELC")/SUMIFS('Industrial Summary'!$G:$G,'Industrial Summary'!$F:$F,H$17,'Industrial Summary'!$D:$D,$E58)),0)*0.98</f>
        <v>-2.8500675215530756E-2</v>
      </c>
      <c r="I58" s="6">
        <f>IF(SUMIFS('Industrial Summary'!$G:$G,'Industrial Summary'!$F:$F,I$17,'Industrial Summary'!$D:$D,$E58)&gt;0,(-SUMIFS('Industrial Summary'!$G:$G,'Industrial Summary'!$F:$F,I$17,'Industrial Summary'!$D:$D,$E58,'Industrial Summary'!$A:$A,"ELC")/SUMIFS('Industrial Summary'!$G:$G,'Industrial Summary'!$F:$F,I$17,'Industrial Summary'!$D:$D,$E58)),0)*0.98</f>
        <v>-2.8500675215530635E-2</v>
      </c>
      <c r="J58" s="6">
        <f>IF(SUMIFS('Industrial Summary'!$G:$G,'Industrial Summary'!$F:$F,J$17,'Industrial Summary'!$D:$D,$E58)&gt;0,(-SUMIFS('Industrial Summary'!$G:$G,'Industrial Summary'!$F:$F,J$17,'Industrial Summary'!$D:$D,$E58,'Industrial Summary'!$A:$A,"ELC")/SUMIFS('Industrial Summary'!$G:$G,'Industrial Summary'!$F:$F,J$17,'Industrial Summary'!$D:$D,$E58)),0)*0.98</f>
        <v>-0.1800922757505892</v>
      </c>
      <c r="K58" s="6">
        <f>IF(SUMIFS('Industrial Summary'!$G:$G,'Industrial Summary'!$F:$F,K$17,'Industrial Summary'!$D:$D,$E58)&gt;0,(-SUMIFS('Industrial Summary'!$G:$G,'Industrial Summary'!$F:$F,K$17,'Industrial Summary'!$D:$D,$E58,'Industrial Summary'!$A:$A,"ELC")/SUMIFS('Industrial Summary'!$G:$G,'Industrial Summary'!$F:$F,K$17,'Industrial Summary'!$D:$D,$E58)),0)*0.98</f>
        <v>-0.18009227575058762</v>
      </c>
      <c r="L58" s="6">
        <f>IF(SUMIFS('Industrial Summary'!$G:$G,'Industrial Summary'!$F:$F,L$17,'Industrial Summary'!$D:$D,$E58)&gt;0,(-SUMIFS('Industrial Summary'!$G:$G,'Industrial Summary'!$F:$F,L$17,'Industrial Summary'!$D:$D,$E58,'Industrial Summary'!$A:$A,"ELC")/SUMIFS('Industrial Summary'!$G:$G,'Industrial Summary'!$F:$F,L$17,'Industrial Summary'!$D:$D,$E58)),0)*0.98</f>
        <v>-0.17048398000313983</v>
      </c>
      <c r="M58" s="6">
        <f>IF(SUMIFS('Industrial Summary'!$G:$G,'Industrial Summary'!$F:$F,M$17,'Industrial Summary'!$D:$D,$E58)&gt;0,(-SUMIFS('Industrial Summary'!$G:$G,'Industrial Summary'!$F:$F,M$17,'Industrial Summary'!$D:$D,$E58,'Industrial Summary'!$A:$A,"ELC")/SUMIFS('Industrial Summary'!$G:$G,'Industrial Summary'!$F:$F,M$17,'Industrial Summary'!$D:$D,$E58)),0)*0.98</f>
        <v>-0.16910850682470741</v>
      </c>
      <c r="N58" s="6">
        <f>IF(SUMIFS('Industrial Summary'!$G:$G,'Industrial Summary'!$F:$F,N$17,'Industrial Summary'!$D:$D,$E58)&gt;0,(-SUMIFS('Industrial Summary'!$G:$G,'Industrial Summary'!$F:$F,N$17,'Industrial Summary'!$D:$D,$E58,'Industrial Summary'!$A:$A,"ELC")/SUMIFS('Industrial Summary'!$G:$G,'Industrial Summary'!$F:$F,N$17,'Industrial Summary'!$D:$D,$E58)),0)*0.98</f>
        <v>-0.16910850682470743</v>
      </c>
      <c r="O58" s="6">
        <f>IF(SUMIFS('Industrial Summary'!$G:$G,'Industrial Summary'!$F:$F,O$17,'Industrial Summary'!$D:$D,$E58)&gt;0,(-SUMIFS('Industrial Summary'!$G:$G,'Industrial Summary'!$F:$F,O$17,'Industrial Summary'!$D:$D,$E58,'Industrial Summary'!$A:$A,"ELC")/SUMIFS('Industrial Summary'!$G:$G,'Industrial Summary'!$F:$F,O$17,'Industrial Summary'!$D:$D,$E58)),0)*0.98</f>
        <v>-0.25456828862495123</v>
      </c>
      <c r="P58" s="6">
        <f>IF(SUMIFS('Industrial Summary'!$G:$G,'Industrial Summary'!$F:$F,P$17,'Industrial Summary'!$D:$D,$E58)&gt;0,(-SUMIFS('Industrial Summary'!$G:$G,'Industrial Summary'!$F:$F,P$17,'Industrial Summary'!$D:$D,$E58,'Industrial Summary'!$A:$A,"ELC")/SUMIFS('Industrial Summary'!$G:$G,'Industrial Summary'!$F:$F,P$17,'Industrial Summary'!$D:$D,$E58)),0)*0.98</f>
        <v>-0.25456828862495318</v>
      </c>
      <c r="Q58" s="5">
        <v>0</v>
      </c>
      <c r="R58" s="5">
        <v>15</v>
      </c>
      <c r="S58" s="5" t="str">
        <f t="shared" si="2"/>
        <v>UC_IPAPH_ELC</v>
      </c>
      <c r="V58" s="4" t="str">
        <f t="shared" si="4"/>
        <v>S_IPAPHELC</v>
      </c>
      <c r="W58" s="4" t="str">
        <f t="shared" si="5"/>
        <v>IPAPH_ELC</v>
      </c>
      <c r="X58" s="4" t="str">
        <f t="shared" si="6"/>
        <v>IPAPRH</v>
      </c>
      <c r="Y58" s="5" t="str">
        <f t="shared" si="7"/>
        <v>LO</v>
      </c>
      <c r="Z58" s="5">
        <v>1</v>
      </c>
      <c r="AA58" s="6">
        <f t="shared" si="8"/>
        <v>-2.8500675215530756E-2</v>
      </c>
      <c r="AB58" s="6">
        <f t="shared" si="9"/>
        <v>-2.8500675215530635E-2</v>
      </c>
      <c r="AC58" s="6">
        <f t="shared" si="10"/>
        <v>-0.1800922757505892</v>
      </c>
      <c r="AD58" s="6">
        <f t="shared" si="11"/>
        <v>-0.18009227575058762</v>
      </c>
      <c r="AE58" s="6">
        <f t="shared" si="12"/>
        <v>-0.17048398000313983</v>
      </c>
      <c r="AF58" s="6">
        <f t="shared" si="13"/>
        <v>-0.16910850682470741</v>
      </c>
      <c r="AG58" s="6">
        <f t="shared" si="14"/>
        <v>-0.16910850682470743</v>
      </c>
      <c r="AH58" s="6">
        <f t="shared" si="15"/>
        <v>-0.25456828862495123</v>
      </c>
      <c r="AI58" s="6">
        <f t="shared" si="16"/>
        <v>-0.25456828862495318</v>
      </c>
      <c r="AL58" s="5" t="str">
        <f t="shared" si="17"/>
        <v>ELC</v>
      </c>
      <c r="AM58" s="5">
        <f>1</f>
        <v>1</v>
      </c>
    </row>
    <row r="59" spans="1:39" s="5" customFormat="1" x14ac:dyDescent="0.3">
      <c r="C59" s="4" t="s">
        <v>112</v>
      </c>
      <c r="D59" s="5" t="s">
        <v>113</v>
      </c>
      <c r="E59" s="5" t="s">
        <v>786</v>
      </c>
      <c r="F59" s="5" t="s">
        <v>1588</v>
      </c>
      <c r="G59" s="5">
        <v>1</v>
      </c>
      <c r="H59" s="6">
        <f>IF(SUMIFS('Industrial Summary'!$G:$G,'Industrial Summary'!$F:$F,H$17,'Industrial Summary'!$D:$D,$E59)&gt;0,(-SUMIFS('Industrial Summary'!$G:$G,'Industrial Summary'!$F:$F,H$17,'Industrial Summary'!$D:$D,$E59,'Industrial Summary'!$A:$A,"RFL")/SUMIFS('Industrial Summary'!$G:$G,'Industrial Summary'!$F:$F,H$17,'Industrial Summary'!$D:$D,$E59)),0)*0.98</f>
        <v>-0.13500222596584111</v>
      </c>
      <c r="I59" s="6">
        <f>IF(SUMIFS('Industrial Summary'!$G:$G,'Industrial Summary'!$F:$F,I$17,'Industrial Summary'!$D:$D,$E59)&gt;0,(-SUMIFS('Industrial Summary'!$G:$G,'Industrial Summary'!$F:$F,I$17,'Industrial Summary'!$D:$D,$E59,'Industrial Summary'!$A:$A,"RFL")/SUMIFS('Industrial Summary'!$G:$G,'Industrial Summary'!$F:$F,I$17,'Industrial Summary'!$D:$D,$E59)),0)*0.98</f>
        <v>-0.13500222596584349</v>
      </c>
      <c r="J59" s="6">
        <f>IF(SUMIFS('Industrial Summary'!$G:$G,'Industrial Summary'!$F:$F,J$17,'Industrial Summary'!$D:$D,$E59)&gt;0,(-SUMIFS('Industrial Summary'!$G:$G,'Industrial Summary'!$F:$F,J$17,'Industrial Summary'!$D:$D,$E59,'Industrial Summary'!$A:$A,"RFL")/SUMIFS('Industrial Summary'!$G:$G,'Industrial Summary'!$F:$F,J$17,'Industrial Summary'!$D:$D,$E59)),0)*0.98</f>
        <v>-1.904157432997142E-2</v>
      </c>
      <c r="K59" s="6">
        <f>IF(SUMIFS('Industrial Summary'!$G:$G,'Industrial Summary'!$F:$F,K$17,'Industrial Summary'!$D:$D,$E59)&gt;0,(-SUMIFS('Industrial Summary'!$G:$G,'Industrial Summary'!$F:$F,K$17,'Industrial Summary'!$D:$D,$E59,'Industrial Summary'!$A:$A,"RFL")/SUMIFS('Industrial Summary'!$G:$G,'Industrial Summary'!$F:$F,K$17,'Industrial Summary'!$D:$D,$E59)),0)*0.98</f>
        <v>-1.9041574329980888E-2</v>
      </c>
      <c r="L59" s="6">
        <f>IF(SUMIFS('Industrial Summary'!$G:$G,'Industrial Summary'!$F:$F,L$17,'Industrial Summary'!$D:$D,$E59)&gt;0,(-SUMIFS('Industrial Summary'!$G:$G,'Industrial Summary'!$F:$F,L$17,'Industrial Summary'!$D:$D,$E59,'Industrial Summary'!$A:$A,"RFL")/SUMIFS('Industrial Summary'!$G:$G,'Industrial Summary'!$F:$F,L$17,'Industrial Summary'!$D:$D,$E59)),0)*0.98</f>
        <v>-6.773680219978287E-2</v>
      </c>
      <c r="M59" s="6">
        <f>IF(SUMIFS('Industrial Summary'!$G:$G,'Industrial Summary'!$F:$F,M$17,'Industrial Summary'!$D:$D,$E59)&gt;0,(-SUMIFS('Industrial Summary'!$G:$G,'Industrial Summary'!$F:$F,M$17,'Industrial Summary'!$D:$D,$E59,'Industrial Summary'!$A:$A,"RFL")/SUMIFS('Industrial Summary'!$G:$G,'Industrial Summary'!$F:$F,M$17,'Industrial Summary'!$D:$D,$E59)),0)*0.98</f>
        <v>-7.5096986776785654E-2</v>
      </c>
      <c r="N59" s="6">
        <f>IF(SUMIFS('Industrial Summary'!$G:$G,'Industrial Summary'!$F:$F,N$17,'Industrial Summary'!$D:$D,$E59)&gt;0,(-SUMIFS('Industrial Summary'!$G:$G,'Industrial Summary'!$F:$F,N$17,'Industrial Summary'!$D:$D,$E59,'Industrial Summary'!$A:$A,"RFL")/SUMIFS('Industrial Summary'!$G:$G,'Industrial Summary'!$F:$F,N$17,'Industrial Summary'!$D:$D,$E59)),0)*0.98</f>
        <v>-7.5096986776785141E-2</v>
      </c>
      <c r="O59" s="6">
        <f>IF(SUMIFS('Industrial Summary'!$G:$G,'Industrial Summary'!$F:$F,O$17,'Industrial Summary'!$D:$D,$E59)&gt;0,(-SUMIFS('Industrial Summary'!$G:$G,'Industrial Summary'!$F:$F,O$17,'Industrial Summary'!$D:$D,$E59,'Industrial Summary'!$A:$A,"RFL")/SUMIFS('Industrial Summary'!$G:$G,'Industrial Summary'!$F:$F,O$17,'Industrial Summary'!$D:$D,$E59)),0)*0.98</f>
        <v>0</v>
      </c>
      <c r="P59" s="6">
        <f>IF(SUMIFS('Industrial Summary'!$G:$G,'Industrial Summary'!$F:$F,P$17,'Industrial Summary'!$D:$D,$E59)&gt;0,(-SUMIFS('Industrial Summary'!$G:$G,'Industrial Summary'!$F:$F,P$17,'Industrial Summary'!$D:$D,$E59,'Industrial Summary'!$A:$A,"RFL")/SUMIFS('Industrial Summary'!$G:$G,'Industrial Summary'!$F:$F,P$17,'Industrial Summary'!$D:$D,$E59)),0)*0.98</f>
        <v>0</v>
      </c>
      <c r="Q59" s="5">
        <v>0</v>
      </c>
      <c r="R59" s="5">
        <v>15</v>
      </c>
      <c r="S59" s="5" t="str">
        <f t="shared" si="2"/>
        <v>UC_IPAPH_RFL</v>
      </c>
      <c r="V59" s="4" t="str">
        <f t="shared" si="4"/>
        <v>S_IPAPHRFL</v>
      </c>
      <c r="W59" s="4" t="str">
        <f t="shared" si="5"/>
        <v>IPAPH_RFL</v>
      </c>
      <c r="X59" s="4" t="str">
        <f t="shared" si="6"/>
        <v>IPAPRH</v>
      </c>
      <c r="Y59" s="5" t="str">
        <f t="shared" si="7"/>
        <v>LO</v>
      </c>
      <c r="Z59" s="5">
        <v>1</v>
      </c>
      <c r="AA59" s="6">
        <f t="shared" si="8"/>
        <v>-0.13500222596584111</v>
      </c>
      <c r="AB59" s="6">
        <f t="shared" si="9"/>
        <v>-0.13500222596584349</v>
      </c>
      <c r="AC59" s="6">
        <f t="shared" si="10"/>
        <v>-1.904157432997142E-2</v>
      </c>
      <c r="AD59" s="6">
        <f t="shared" si="11"/>
        <v>-1.9041574329980888E-2</v>
      </c>
      <c r="AE59" s="6">
        <f t="shared" si="12"/>
        <v>-6.773680219978287E-2</v>
      </c>
      <c r="AF59" s="6">
        <f t="shared" si="13"/>
        <v>-7.5096986776785654E-2</v>
      </c>
      <c r="AG59" s="6">
        <f t="shared" si="14"/>
        <v>-7.5096986776785141E-2</v>
      </c>
      <c r="AH59" s="6">
        <f t="shared" si="15"/>
        <v>0</v>
      </c>
      <c r="AI59" s="6">
        <f t="shared" si="16"/>
        <v>0</v>
      </c>
      <c r="AL59" s="5" t="str">
        <f t="shared" si="17"/>
        <v>RFL</v>
      </c>
      <c r="AM59" s="5">
        <f>1</f>
        <v>1</v>
      </c>
    </row>
    <row r="60" spans="1:39" s="5" customFormat="1" x14ac:dyDescent="0.3">
      <c r="C60" s="4" t="s">
        <v>114</v>
      </c>
      <c r="D60" s="5" t="s">
        <v>115</v>
      </c>
      <c r="E60" s="5" t="s">
        <v>786</v>
      </c>
      <c r="F60" s="5" t="s">
        <v>1588</v>
      </c>
      <c r="G60" s="5">
        <v>1</v>
      </c>
      <c r="H60" s="6">
        <f>IF(SUMIFS('Industrial Summary'!$G:$G,'Industrial Summary'!$F:$F,H$17,'Industrial Summary'!$D:$D,$E60)&gt;0,(-SUMIFS('Industrial Summary'!$G:$G,'Industrial Summary'!$F:$F,H$17,'Industrial Summary'!$D:$D,$E60,'Industrial Summary'!$A:$A,"NGA")/SUMIFS('Industrial Summary'!$G:$G,'Industrial Summary'!$F:$F,H$17,'Industrial Summary'!$D:$D,$E60)),0)*0.98</f>
        <v>-0.77872201801502383</v>
      </c>
      <c r="I60" s="6">
        <f>IF(SUMIFS('Industrial Summary'!$G:$G,'Industrial Summary'!$F:$F,I$17,'Industrial Summary'!$D:$D,$E60)&gt;0,(-SUMIFS('Industrial Summary'!$G:$G,'Industrial Summary'!$F:$F,I$17,'Industrial Summary'!$D:$D,$E60,'Industrial Summary'!$A:$A,"NGA")/SUMIFS('Industrial Summary'!$G:$G,'Industrial Summary'!$F:$F,I$17,'Industrial Summary'!$D:$D,$E60)),0)*0.98</f>
        <v>-0.77872201801502172</v>
      </c>
      <c r="J60" s="6">
        <f>IF(SUMIFS('Industrial Summary'!$G:$G,'Industrial Summary'!$F:$F,J$17,'Industrial Summary'!$D:$D,$E60)&gt;0,(-SUMIFS('Industrial Summary'!$G:$G,'Industrial Summary'!$F:$F,J$17,'Industrial Summary'!$D:$D,$E60,'Industrial Summary'!$A:$A,"NGA")/SUMIFS('Industrial Summary'!$G:$G,'Industrial Summary'!$F:$F,J$17,'Industrial Summary'!$D:$D,$E60)),0)*0.98</f>
        <v>-0.67193737016653809</v>
      </c>
      <c r="K60" s="6">
        <f>IF(SUMIFS('Industrial Summary'!$G:$G,'Industrial Summary'!$F:$F,K$17,'Industrial Summary'!$D:$D,$E60)&gt;0,(-SUMIFS('Industrial Summary'!$G:$G,'Industrial Summary'!$F:$F,K$17,'Industrial Summary'!$D:$D,$E60,'Industrial Summary'!$A:$A,"NGA")/SUMIFS('Industrial Summary'!$G:$G,'Industrial Summary'!$F:$F,K$17,'Industrial Summary'!$D:$D,$E60)),0)*0.98</f>
        <v>-0.67193737016653143</v>
      </c>
      <c r="L60" s="6">
        <f>IF(SUMIFS('Industrial Summary'!$G:$G,'Industrial Summary'!$F:$F,L$17,'Industrial Summary'!$D:$D,$E60)&gt;0,(-SUMIFS('Industrial Summary'!$G:$G,'Industrial Summary'!$F:$F,L$17,'Industrial Summary'!$D:$D,$E60,'Industrial Summary'!$A:$A,"NGA")/SUMIFS('Industrial Summary'!$G:$G,'Industrial Summary'!$F:$F,L$17,'Industrial Summary'!$D:$D,$E60)),0)*0.98</f>
        <v>-0.65076707701372749</v>
      </c>
      <c r="M60" s="6">
        <f>IF(SUMIFS('Industrial Summary'!$G:$G,'Industrial Summary'!$F:$F,M$17,'Industrial Summary'!$D:$D,$E60)&gt;0,(-SUMIFS('Industrial Summary'!$G:$G,'Industrial Summary'!$F:$F,M$17,'Industrial Summary'!$D:$D,$E60,'Industrial Summary'!$A:$A,"NGA")/SUMIFS('Industrial Summary'!$G:$G,'Industrial Summary'!$F:$F,M$17,'Industrial Summary'!$D:$D,$E60)),0)*0.98</f>
        <v>-0.64551665606612474</v>
      </c>
      <c r="N60" s="6">
        <f>IF(SUMIFS('Industrial Summary'!$G:$G,'Industrial Summary'!$F:$F,N$17,'Industrial Summary'!$D:$D,$E60)&gt;0,(-SUMIFS('Industrial Summary'!$G:$G,'Industrial Summary'!$F:$F,N$17,'Industrial Summary'!$D:$D,$E60,'Industrial Summary'!$A:$A,"NGA")/SUMIFS('Industrial Summary'!$G:$G,'Industrial Summary'!$F:$F,N$17,'Industrial Summary'!$D:$D,$E60)),0)*0.98</f>
        <v>-0.64551665606612529</v>
      </c>
      <c r="O60" s="6">
        <f>IF(SUMIFS('Industrial Summary'!$G:$G,'Industrial Summary'!$F:$F,O$17,'Industrial Summary'!$D:$D,$E60)&gt;0,(-SUMIFS('Industrial Summary'!$G:$G,'Industrial Summary'!$F:$F,O$17,'Industrial Summary'!$D:$D,$E60,'Industrial Summary'!$A:$A,"NGA")/SUMIFS('Industrial Summary'!$G:$G,'Industrial Summary'!$F:$F,O$17,'Industrial Summary'!$D:$D,$E60)),0)*0.98</f>
        <v>-0.6819168728718592</v>
      </c>
      <c r="P60" s="6">
        <f>IF(SUMIFS('Industrial Summary'!$G:$G,'Industrial Summary'!$F:$F,P$17,'Industrial Summary'!$D:$D,$E60)&gt;0,(-SUMIFS('Industrial Summary'!$G:$G,'Industrial Summary'!$F:$F,P$17,'Industrial Summary'!$D:$D,$E60,'Industrial Summary'!$A:$A,"NGA")/SUMIFS('Industrial Summary'!$G:$G,'Industrial Summary'!$F:$F,P$17,'Industrial Summary'!$D:$D,$E60)),0)*0.98</f>
        <v>-0.6819168728718572</v>
      </c>
      <c r="Q60" s="5">
        <v>0</v>
      </c>
      <c r="R60" s="5">
        <v>15</v>
      </c>
      <c r="S60" s="5" t="str">
        <f t="shared" si="2"/>
        <v>UC_IPAPH_NGA</v>
      </c>
      <c r="V60" s="4" t="str">
        <f t="shared" si="4"/>
        <v>S_IPAPHNGA</v>
      </c>
      <c r="W60" s="4" t="str">
        <f t="shared" si="5"/>
        <v>IPAPH_NGA</v>
      </c>
      <c r="X60" s="4" t="str">
        <f t="shared" si="6"/>
        <v>IPAPRH</v>
      </c>
      <c r="Y60" s="5" t="str">
        <f t="shared" si="7"/>
        <v>LO</v>
      </c>
      <c r="Z60" s="5">
        <v>1</v>
      </c>
      <c r="AA60" s="6">
        <f t="shared" si="8"/>
        <v>-0.52953097225021617</v>
      </c>
      <c r="AB60" s="6">
        <f t="shared" si="9"/>
        <v>-0.52953097225021473</v>
      </c>
      <c r="AC60" s="6">
        <f t="shared" si="10"/>
        <v>-0.45691741171324585</v>
      </c>
      <c r="AD60" s="6">
        <f t="shared" si="11"/>
        <v>-0.45691741171324135</v>
      </c>
      <c r="AE60" s="6">
        <f t="shared" si="12"/>
        <v>-0.44252161236933463</v>
      </c>
      <c r="AF60" s="6">
        <f t="shared" si="13"/>
        <v>-0.43895132612496479</v>
      </c>
      <c r="AG60" s="6">
        <f t="shared" si="14"/>
        <v>-0.43895132612496518</v>
      </c>
      <c r="AH60" s="6">
        <f t="shared" si="15"/>
        <v>-0.46370347355286423</v>
      </c>
      <c r="AI60" s="6">
        <f t="shared" si="16"/>
        <v>-0.46370347355286284</v>
      </c>
      <c r="AL60" s="5" t="str">
        <f t="shared" si="17"/>
        <v>NGA</v>
      </c>
      <c r="AM60" s="5">
        <f>Y6</f>
        <v>0.67999999999999994</v>
      </c>
    </row>
    <row r="61" spans="1:39" s="5" customFormat="1" x14ac:dyDescent="0.3">
      <c r="A61" s="8"/>
      <c r="C61" s="4" t="s">
        <v>116</v>
      </c>
      <c r="D61" s="5" t="s">
        <v>117</v>
      </c>
      <c r="E61" s="5" t="s">
        <v>786</v>
      </c>
      <c r="F61" s="5" t="s">
        <v>1591</v>
      </c>
      <c r="G61" s="5">
        <v>1</v>
      </c>
      <c r="H61" s="6">
        <f>IF(SUMIFS('Industrial Summary'!$G:$G,'Industrial Summary'!$F:$F,H$17,'Industrial Summary'!$D:$D,$E61)&gt;0,(-SUMIFS('Industrial Summary'!$G:$G,'Industrial Summary'!$F:$F,H$17,'Industrial Summary'!$D:$D,$E61,'Industrial Summary'!$A:$A,"COA")/SUMIFS('Industrial Summary'!$G:$G,'Industrial Summary'!$F:$F,H$17,'Industrial Summary'!$D:$D,$E61)),0)*0.98</f>
        <v>-3.7775080803604262E-2</v>
      </c>
      <c r="I61" s="6">
        <f>IF(SUMIFS('Industrial Summary'!$G:$G,'Industrial Summary'!$F:$F,I$17,'Industrial Summary'!$D:$D,$E61)&gt;0,(-SUMIFS('Industrial Summary'!$G:$G,'Industrial Summary'!$F:$F,I$17,'Industrial Summary'!$D:$D,$E61,'Industrial Summary'!$A:$A,"COA")/SUMIFS('Industrial Summary'!$G:$G,'Industrial Summary'!$F:$F,I$17,'Industrial Summary'!$D:$D,$E61)),0)*0.98</f>
        <v>-3.777508080360413E-2</v>
      </c>
      <c r="J61" s="6">
        <f>IF(SUMIFS('Industrial Summary'!$G:$G,'Industrial Summary'!$F:$F,J$17,'Industrial Summary'!$D:$D,$E61)&gt;0,(-SUMIFS('Industrial Summary'!$G:$G,'Industrial Summary'!$F:$F,J$17,'Industrial Summary'!$D:$D,$E61,'Industrial Summary'!$A:$A,"COA")/SUMIFS('Industrial Summary'!$G:$G,'Industrial Summary'!$F:$F,J$17,'Industrial Summary'!$D:$D,$E61)),0)*0.98</f>
        <v>-0.10892877975290129</v>
      </c>
      <c r="K61" s="6">
        <f>IF(SUMIFS('Industrial Summary'!$G:$G,'Industrial Summary'!$F:$F,K$17,'Industrial Summary'!$D:$D,$E61)&gt;0,(-SUMIFS('Industrial Summary'!$G:$G,'Industrial Summary'!$F:$F,K$17,'Industrial Summary'!$D:$D,$E61,'Industrial Summary'!$A:$A,"COA")/SUMIFS('Industrial Summary'!$G:$G,'Industrial Summary'!$F:$F,K$17,'Industrial Summary'!$D:$D,$E61)),0)*0.98</f>
        <v>-0.10892877975290005</v>
      </c>
      <c r="L61" s="6">
        <f>IF(SUMIFS('Industrial Summary'!$G:$G,'Industrial Summary'!$F:$F,L$17,'Industrial Summary'!$D:$D,$E61)&gt;0,(-SUMIFS('Industrial Summary'!$G:$G,'Industrial Summary'!$F:$F,L$17,'Industrial Summary'!$D:$D,$E61,'Industrial Summary'!$A:$A,"COA")/SUMIFS('Industrial Summary'!$G:$G,'Industrial Summary'!$F:$F,L$17,'Industrial Summary'!$D:$D,$E61)),0)*0.98</f>
        <v>-9.1012140783349765E-2</v>
      </c>
      <c r="M61" s="6">
        <f>IF(SUMIFS('Industrial Summary'!$G:$G,'Industrial Summary'!$F:$F,M$17,'Industrial Summary'!$D:$D,$E61)&gt;0,(-SUMIFS('Industrial Summary'!$G:$G,'Industrial Summary'!$F:$F,M$17,'Industrial Summary'!$D:$D,$E61,'Industrial Summary'!$A:$A,"COA")/SUMIFS('Industrial Summary'!$G:$G,'Industrial Summary'!$F:$F,M$17,'Industrial Summary'!$D:$D,$E61)),0)*0.98</f>
        <v>-9.0277850332382156E-2</v>
      </c>
      <c r="N61" s="6">
        <f>IF(SUMIFS('Industrial Summary'!$G:$G,'Industrial Summary'!$F:$F,N$17,'Industrial Summary'!$D:$D,$E61)&gt;0,(-SUMIFS('Industrial Summary'!$G:$G,'Industrial Summary'!$F:$F,N$17,'Industrial Summary'!$D:$D,$E61,'Industrial Summary'!$A:$A,"COA")/SUMIFS('Industrial Summary'!$G:$G,'Industrial Summary'!$F:$F,N$17,'Industrial Summary'!$D:$D,$E61)),0)*0.98</f>
        <v>-9.0277850332382129E-2</v>
      </c>
      <c r="O61" s="6">
        <f>IF(SUMIFS('Industrial Summary'!$G:$G,'Industrial Summary'!$F:$F,O$17,'Industrial Summary'!$D:$D,$E61)&gt;0,(-SUMIFS('Industrial Summary'!$G:$G,'Industrial Summary'!$F:$F,O$17,'Industrial Summary'!$D:$D,$E61,'Industrial Summary'!$A:$A,"COA")/SUMIFS('Industrial Summary'!$G:$G,'Industrial Summary'!$F:$F,O$17,'Industrial Summary'!$D:$D,$E61)),0)*0.98</f>
        <v>-4.3514838503189476E-2</v>
      </c>
      <c r="P61" s="6">
        <f>IF(SUMIFS('Industrial Summary'!$G:$G,'Industrial Summary'!$F:$F,P$17,'Industrial Summary'!$D:$D,$E61)&gt;0,(-SUMIFS('Industrial Summary'!$G:$G,'Industrial Summary'!$F:$F,P$17,'Industrial Summary'!$D:$D,$E61,'Industrial Summary'!$A:$A,"COA")/SUMIFS('Industrial Summary'!$G:$G,'Industrial Summary'!$F:$F,P$17,'Industrial Summary'!$D:$D,$E61)),0)*0.98</f>
        <v>-4.3514838503189678E-2</v>
      </c>
      <c r="Q61" s="5">
        <v>0</v>
      </c>
      <c r="R61" s="5">
        <v>15</v>
      </c>
      <c r="S61" s="5" t="str">
        <f t="shared" si="2"/>
        <v>UC_IPAPH_COA</v>
      </c>
      <c r="V61" s="4" t="str">
        <f t="shared" si="4"/>
        <v>S_IPAPHCOA</v>
      </c>
      <c r="W61" s="4" t="str">
        <f t="shared" si="5"/>
        <v>IPAPH_COA</v>
      </c>
      <c r="X61" s="4" t="str">
        <f t="shared" si="6"/>
        <v>IPAPRH</v>
      </c>
      <c r="Y61" s="5" t="str">
        <f t="shared" si="7"/>
        <v>UP</v>
      </c>
      <c r="Z61" s="5">
        <v>1</v>
      </c>
      <c r="AA61" s="6">
        <f t="shared" si="8"/>
        <v>-2.9086812218775283E-2</v>
      </c>
      <c r="AB61" s="6">
        <f t="shared" si="9"/>
        <v>-2.9086812218775182E-2</v>
      </c>
      <c r="AC61" s="6">
        <f t="shared" si="10"/>
        <v>-8.3875160409733987E-2</v>
      </c>
      <c r="AD61" s="6">
        <f t="shared" si="11"/>
        <v>-8.3875160409733043E-2</v>
      </c>
      <c r="AE61" s="6">
        <f t="shared" si="12"/>
        <v>-7.0079348403179323E-2</v>
      </c>
      <c r="AF61" s="6">
        <f t="shared" si="13"/>
        <v>-6.9513944755934268E-2</v>
      </c>
      <c r="AG61" s="6">
        <f t="shared" si="14"/>
        <v>-6.951394475593424E-2</v>
      </c>
      <c r="AH61" s="6">
        <f t="shared" si="15"/>
        <v>-3.3506425647455901E-2</v>
      </c>
      <c r="AI61" s="6">
        <f t="shared" si="16"/>
        <v>-3.3506425647456053E-2</v>
      </c>
      <c r="AL61" s="5" t="str">
        <f t="shared" si="17"/>
        <v>COA</v>
      </c>
      <c r="AM61" s="5">
        <f>Z6</f>
        <v>0.77</v>
      </c>
    </row>
    <row r="62" spans="1:39" s="5" customFormat="1" x14ac:dyDescent="0.3">
      <c r="C62" s="4" t="s">
        <v>118</v>
      </c>
      <c r="D62" s="5" t="s">
        <v>119</v>
      </c>
      <c r="E62" s="5" t="s">
        <v>739</v>
      </c>
      <c r="F62" s="5" t="s">
        <v>1588</v>
      </c>
      <c r="G62" s="5">
        <v>1</v>
      </c>
      <c r="H62" s="6">
        <f>IF(SUMIFS('Industrial Summary'!$G:$G,'Industrial Summary'!$F:$F,H$17,'Industrial Summary'!$D:$D,$E62)&gt;0,(-SUMIFS('Industrial Summary'!$G:$G,'Industrial Summary'!$F:$F,H$17,'Industrial Summary'!$D:$D,$E62,'Industrial Summary'!$A:$A,"ELC")/SUMIFS('Industrial Summary'!$G:$G,'Industrial Summary'!$F:$F,H$17,'Industrial Summary'!$D:$D,$E62)),0)*0.98</f>
        <v>-0.73880096359369563</v>
      </c>
      <c r="I62" s="6">
        <f>IF(SUMIFS('Industrial Summary'!$G:$G,'Industrial Summary'!$F:$F,I$17,'Industrial Summary'!$D:$D,$E62)&gt;0,(-SUMIFS('Industrial Summary'!$G:$G,'Industrial Summary'!$F:$F,I$17,'Industrial Summary'!$D:$D,$E62,'Industrial Summary'!$A:$A,"ELC")/SUMIFS('Industrial Summary'!$G:$G,'Industrial Summary'!$F:$F,I$17,'Industrial Summary'!$D:$D,$E62)),0)*0.98</f>
        <v>-0.73880096359369696</v>
      </c>
      <c r="J62" s="6">
        <f>IF(SUMIFS('Industrial Summary'!$G:$G,'Industrial Summary'!$F:$F,J$17,'Industrial Summary'!$D:$D,$E62)&gt;0,(-SUMIFS('Industrial Summary'!$G:$G,'Industrial Summary'!$F:$F,J$17,'Industrial Summary'!$D:$D,$E62,'Industrial Summary'!$A:$A,"ELC")/SUMIFS('Industrial Summary'!$G:$G,'Industrial Summary'!$F:$F,J$17,'Industrial Summary'!$D:$D,$E62)),0)*0.98</f>
        <v>-0.93817477638366609</v>
      </c>
      <c r="K62" s="6">
        <f>IF(SUMIFS('Industrial Summary'!$G:$G,'Industrial Summary'!$F:$F,K$17,'Industrial Summary'!$D:$D,$E62)&gt;0,(-SUMIFS('Industrial Summary'!$G:$G,'Industrial Summary'!$F:$F,K$17,'Industrial Summary'!$D:$D,$E62,'Industrial Summary'!$A:$A,"ELC")/SUMIFS('Industrial Summary'!$G:$G,'Industrial Summary'!$F:$F,K$17,'Industrial Summary'!$D:$D,$E62)),0)*0.98</f>
        <v>-0.93817477638366309</v>
      </c>
      <c r="L62" s="6">
        <f>IF(SUMIFS('Industrial Summary'!$G:$G,'Industrial Summary'!$F:$F,L$17,'Industrial Summary'!$D:$D,$E62)&gt;0,(-SUMIFS('Industrial Summary'!$G:$G,'Industrial Summary'!$F:$F,L$17,'Industrial Summary'!$D:$D,$E62,'Industrial Summary'!$A:$A,"ELC")/SUMIFS('Industrial Summary'!$G:$G,'Industrial Summary'!$F:$F,L$17,'Industrial Summary'!$D:$D,$E62)),0)*0.98</f>
        <v>-0.94487497958132172</v>
      </c>
      <c r="M62" s="6">
        <f>IF(SUMIFS('Industrial Summary'!$G:$G,'Industrial Summary'!$F:$F,M$17,'Industrial Summary'!$D:$D,$E62)&gt;0,(-SUMIFS('Industrial Summary'!$G:$G,'Industrial Summary'!$F:$F,M$17,'Industrial Summary'!$D:$D,$E62,'Industrial Summary'!$A:$A,"ELC")/SUMIFS('Industrial Summary'!$G:$G,'Industrial Summary'!$F:$F,M$17,'Industrial Summary'!$D:$D,$E62)),0)*0.98</f>
        <v>-0.93725168153676353</v>
      </c>
      <c r="N62" s="6">
        <f>IF(SUMIFS('Industrial Summary'!$G:$G,'Industrial Summary'!$F:$F,N$17,'Industrial Summary'!$D:$D,$E62)&gt;0,(-SUMIFS('Industrial Summary'!$G:$G,'Industrial Summary'!$F:$F,N$17,'Industrial Summary'!$D:$D,$E62,'Industrial Summary'!$A:$A,"ELC")/SUMIFS('Industrial Summary'!$G:$G,'Industrial Summary'!$F:$F,N$17,'Industrial Summary'!$D:$D,$E62)),0)*0.98</f>
        <v>-0.93725168153676564</v>
      </c>
      <c r="O62" s="6">
        <f>IF(SUMIFS('Industrial Summary'!$G:$G,'Industrial Summary'!$F:$F,O$17,'Industrial Summary'!$D:$D,$E62)&gt;0,(-SUMIFS('Industrial Summary'!$G:$G,'Industrial Summary'!$F:$F,O$17,'Industrial Summary'!$D:$D,$E62,'Industrial Summary'!$A:$A,"ELC")/SUMIFS('Industrial Summary'!$G:$G,'Industrial Summary'!$F:$F,O$17,'Industrial Summary'!$D:$D,$E62)),0)*0.98</f>
        <v>-0.94960576031877009</v>
      </c>
      <c r="P62" s="6">
        <f>IF(SUMIFS('Industrial Summary'!$G:$G,'Industrial Summary'!$F:$F,P$17,'Industrial Summary'!$D:$D,$E62)&gt;0,(-SUMIFS('Industrial Summary'!$G:$G,'Industrial Summary'!$F:$F,P$17,'Industrial Summary'!$D:$D,$E62,'Industrial Summary'!$A:$A,"ELC")/SUMIFS('Industrial Summary'!$G:$G,'Industrial Summary'!$F:$F,P$17,'Industrial Summary'!$D:$D,$E62)),0)*0.98</f>
        <v>-0.94960576031876731</v>
      </c>
      <c r="Q62" s="5">
        <v>0</v>
      </c>
      <c r="R62" s="5">
        <v>15</v>
      </c>
      <c r="S62" s="5" t="str">
        <f t="shared" si="2"/>
        <v>UC_IPAMD_ELC</v>
      </c>
      <c r="V62" s="4" t="str">
        <f t="shared" si="4"/>
        <v>S_IPAMDELC</v>
      </c>
      <c r="W62" s="4" t="str">
        <f t="shared" si="5"/>
        <v>IPAMD_ELC</v>
      </c>
      <c r="X62" s="4" t="str">
        <f t="shared" si="6"/>
        <v>IPAMDR</v>
      </c>
      <c r="Y62" s="5" t="str">
        <f t="shared" si="7"/>
        <v>LO</v>
      </c>
      <c r="Z62" s="5">
        <v>1</v>
      </c>
      <c r="AA62" s="6">
        <f t="shared" si="8"/>
        <v>-0.73880096359369563</v>
      </c>
      <c r="AB62" s="6">
        <f t="shared" si="9"/>
        <v>-0.73880096359369696</v>
      </c>
      <c r="AC62" s="6">
        <f t="shared" si="10"/>
        <v>-0.93817477638366609</v>
      </c>
      <c r="AD62" s="6">
        <f t="shared" si="11"/>
        <v>-0.93817477638366309</v>
      </c>
      <c r="AE62" s="6">
        <f t="shared" si="12"/>
        <v>-0.94487497958132172</v>
      </c>
      <c r="AF62" s="6">
        <f t="shared" si="13"/>
        <v>-0.93725168153676353</v>
      </c>
      <c r="AG62" s="6">
        <f t="shared" si="14"/>
        <v>-0.93725168153676564</v>
      </c>
      <c r="AH62" s="6">
        <f t="shared" si="15"/>
        <v>-0.94960576031877009</v>
      </c>
      <c r="AI62" s="6">
        <f t="shared" si="16"/>
        <v>-0.94960576031876731</v>
      </c>
      <c r="AL62" s="5" t="str">
        <f t="shared" si="17"/>
        <v>ELC</v>
      </c>
      <c r="AM62" s="5">
        <f>1</f>
        <v>1</v>
      </c>
    </row>
    <row r="63" spans="1:39" s="5" customFormat="1" x14ac:dyDescent="0.3">
      <c r="A63" s="8"/>
      <c r="C63" s="4" t="s">
        <v>120</v>
      </c>
      <c r="D63" s="5" t="s">
        <v>121</v>
      </c>
      <c r="E63" s="5" t="s">
        <v>739</v>
      </c>
      <c r="F63" s="5" t="s">
        <v>1588</v>
      </c>
      <c r="G63" s="5">
        <v>1</v>
      </c>
      <c r="H63" s="6">
        <f>IF(SUMIFS('Industrial Summary'!$G:$G,'Industrial Summary'!$F:$F,H$17,'Industrial Summary'!$D:$D,$E63)&gt;0,(-SUMIFS('Industrial Summary'!$G:$G,'Industrial Summary'!$F:$F,H$17,'Industrial Summary'!$D:$D,$E63,'Industrial Summary'!$A:$A,"NGA")/SUMIFS('Industrial Summary'!$G:$G,'Industrial Summary'!$F:$F,H$17,'Industrial Summary'!$D:$D,$E63)),0)*0.98</f>
        <v>-0.24119903640630433</v>
      </c>
      <c r="I63" s="6">
        <f>IF(SUMIFS('Industrial Summary'!$G:$G,'Industrial Summary'!$F:$F,I$17,'Industrial Summary'!$D:$D,$E63)&gt;0,(-SUMIFS('Industrial Summary'!$G:$G,'Industrial Summary'!$F:$F,I$17,'Industrial Summary'!$D:$D,$E63,'Industrial Summary'!$A:$A,"NGA")/SUMIFS('Industrial Summary'!$G:$G,'Industrial Summary'!$F:$F,I$17,'Industrial Summary'!$D:$D,$E63)),0)*0.98</f>
        <v>-0.24119903640630311</v>
      </c>
      <c r="J63" s="6">
        <f>IF(SUMIFS('Industrial Summary'!$G:$G,'Industrial Summary'!$F:$F,J$17,'Industrial Summary'!$D:$D,$E63)&gt;0,(-SUMIFS('Industrial Summary'!$G:$G,'Industrial Summary'!$F:$F,J$17,'Industrial Summary'!$D:$D,$E63,'Industrial Summary'!$A:$A,"NGA")/SUMIFS('Industrial Summary'!$G:$G,'Industrial Summary'!$F:$F,J$17,'Industrial Summary'!$D:$D,$E63)),0)*0.98</f>
        <v>-4.1825223616333854E-2</v>
      </c>
      <c r="K63" s="6">
        <f>IF(SUMIFS('Industrial Summary'!$G:$G,'Industrial Summary'!$F:$F,K$17,'Industrial Summary'!$D:$D,$E63)&gt;0,(-SUMIFS('Industrial Summary'!$G:$G,'Industrial Summary'!$F:$F,K$17,'Industrial Summary'!$D:$D,$E63,'Industrial Summary'!$A:$A,"NGA")/SUMIFS('Industrial Summary'!$G:$G,'Industrial Summary'!$F:$F,K$17,'Industrial Summary'!$D:$D,$E63)),0)*0.98</f>
        <v>-4.1825223616336844E-2</v>
      </c>
      <c r="L63" s="6">
        <f>IF(SUMIFS('Industrial Summary'!$G:$G,'Industrial Summary'!$F:$F,L$17,'Industrial Summary'!$D:$D,$E63)&gt;0,(-SUMIFS('Industrial Summary'!$G:$G,'Industrial Summary'!$F:$F,L$17,'Industrial Summary'!$D:$D,$E63,'Industrial Summary'!$A:$A,"NGA")/SUMIFS('Industrial Summary'!$G:$G,'Industrial Summary'!$F:$F,L$17,'Industrial Summary'!$D:$D,$E63)),0)*0.98</f>
        <v>-3.5125020418678217E-2</v>
      </c>
      <c r="M63" s="6">
        <f>IF(SUMIFS('Industrial Summary'!$G:$G,'Industrial Summary'!$F:$F,M$17,'Industrial Summary'!$D:$D,$E63)&gt;0,(-SUMIFS('Industrial Summary'!$G:$G,'Industrial Summary'!$F:$F,M$17,'Industrial Summary'!$D:$D,$E63,'Industrial Summary'!$A:$A,"NGA")/SUMIFS('Industrial Summary'!$G:$G,'Industrial Summary'!$F:$F,M$17,'Industrial Summary'!$D:$D,$E63)),0)*0.98</f>
        <v>-4.2748318463236352E-2</v>
      </c>
      <c r="N63" s="6">
        <f>IF(SUMIFS('Industrial Summary'!$G:$G,'Industrial Summary'!$F:$F,N$17,'Industrial Summary'!$D:$D,$E63)&gt;0,(-SUMIFS('Industrial Summary'!$G:$G,'Industrial Summary'!$F:$F,N$17,'Industrial Summary'!$D:$D,$E63,'Industrial Summary'!$A:$A,"NGA")/SUMIFS('Industrial Summary'!$G:$G,'Industrial Summary'!$F:$F,N$17,'Industrial Summary'!$D:$D,$E63)),0)*0.98</f>
        <v>-4.2748318463234368E-2</v>
      </c>
      <c r="O63" s="6">
        <f>IF(SUMIFS('Industrial Summary'!$G:$G,'Industrial Summary'!$F:$F,O$17,'Industrial Summary'!$D:$D,$E63)&gt;0,(-SUMIFS('Industrial Summary'!$G:$G,'Industrial Summary'!$F:$F,O$17,'Industrial Summary'!$D:$D,$E63,'Industrial Summary'!$A:$A,"NGA")/SUMIFS('Industrial Summary'!$G:$G,'Industrial Summary'!$F:$F,O$17,'Industrial Summary'!$D:$D,$E63)),0)*0.98</f>
        <v>-3.0394239681229954E-2</v>
      </c>
      <c r="P63" s="6">
        <f>IF(SUMIFS('Industrial Summary'!$G:$G,'Industrial Summary'!$F:$F,P$17,'Industrial Summary'!$D:$D,$E63)&gt;0,(-SUMIFS('Industrial Summary'!$G:$G,'Industrial Summary'!$F:$F,P$17,'Industrial Summary'!$D:$D,$E63,'Industrial Summary'!$A:$A,"NGA")/SUMIFS('Industrial Summary'!$G:$G,'Industrial Summary'!$F:$F,P$17,'Industrial Summary'!$D:$D,$E63)),0)*0.98</f>
        <v>-3.0394239681232608E-2</v>
      </c>
      <c r="Q63" s="5">
        <v>0</v>
      </c>
      <c r="R63" s="5">
        <v>15</v>
      </c>
      <c r="S63" s="5" t="str">
        <f t="shared" si="2"/>
        <v>UC_IPAMD_NGA</v>
      </c>
      <c r="V63" s="4" t="str">
        <f t="shared" si="4"/>
        <v>S_IPAMDNGA</v>
      </c>
      <c r="W63" s="4" t="str">
        <f t="shared" si="5"/>
        <v>IPAMD_NGA</v>
      </c>
      <c r="X63" s="4" t="str">
        <f t="shared" si="6"/>
        <v>IPAMDR</v>
      </c>
      <c r="Y63" s="5" t="str">
        <f t="shared" si="7"/>
        <v>LO</v>
      </c>
      <c r="Z63" s="5">
        <v>1</v>
      </c>
      <c r="AA63" s="6">
        <f t="shared" si="8"/>
        <v>-0.16401534475628693</v>
      </c>
      <c r="AB63" s="6">
        <f t="shared" si="9"/>
        <v>-0.1640153447562861</v>
      </c>
      <c r="AC63" s="6">
        <f t="shared" si="10"/>
        <v>-2.8441152059107019E-2</v>
      </c>
      <c r="AD63" s="6">
        <f t="shared" si="11"/>
        <v>-2.8441152059109052E-2</v>
      </c>
      <c r="AE63" s="6">
        <f t="shared" si="12"/>
        <v>-2.3885013884701184E-2</v>
      </c>
      <c r="AF63" s="6">
        <f t="shared" si="13"/>
        <v>-2.9068856555000716E-2</v>
      </c>
      <c r="AG63" s="6">
        <f t="shared" si="14"/>
        <v>-2.9068856554999366E-2</v>
      </c>
      <c r="AH63" s="6">
        <f t="shared" si="15"/>
        <v>-2.0668082983236368E-2</v>
      </c>
      <c r="AI63" s="6">
        <f t="shared" si="16"/>
        <v>-2.0668082983238172E-2</v>
      </c>
      <c r="AL63" s="5" t="str">
        <f t="shared" si="17"/>
        <v>NGA</v>
      </c>
      <c r="AM63" s="5">
        <f>Y6</f>
        <v>0.67999999999999994</v>
      </c>
    </row>
    <row r="64" spans="1:39" s="5" customFormat="1" x14ac:dyDescent="0.3">
      <c r="C64" s="4" t="s">
        <v>122</v>
      </c>
      <c r="D64" s="5" t="s">
        <v>123</v>
      </c>
      <c r="E64" s="5" t="s">
        <v>723</v>
      </c>
      <c r="F64" s="5" t="s">
        <v>1588</v>
      </c>
      <c r="G64" s="5">
        <v>1</v>
      </c>
      <c r="H64" s="6">
        <f>IF(SUMIFS('Industrial Summary'!$G:$G,'Industrial Summary'!$F:$F,H$17,'Industrial Summary'!$D:$D,$E64)&gt;0,(-SUMIFS('Industrial Summary'!$G:$G,'Industrial Summary'!$F:$F,H$17,'Industrial Summary'!$D:$D,$E64,'Industrial Summary'!$A:$A,"ELC")/SUMIFS('Industrial Summary'!$G:$G,'Industrial Summary'!$F:$F,H$17,'Industrial Summary'!$D:$D,$E64)),0)*0.98</f>
        <v>-0.11490808549233511</v>
      </c>
      <c r="I64" s="6">
        <f>IF(SUMIFS('Industrial Summary'!$G:$G,'Industrial Summary'!$F:$F,I$17,'Industrial Summary'!$D:$D,$E64)&gt;0,(-SUMIFS('Industrial Summary'!$G:$G,'Industrial Summary'!$F:$F,I$17,'Industrial Summary'!$D:$D,$E64,'Industrial Summary'!$A:$A,"ELC")/SUMIFS('Industrial Summary'!$G:$G,'Industrial Summary'!$F:$F,I$17,'Industrial Summary'!$D:$D,$E64)),0)*0.98</f>
        <v>-0.11490808549233583</v>
      </c>
      <c r="J64" s="6">
        <f>IF(SUMIFS('Industrial Summary'!$G:$G,'Industrial Summary'!$F:$F,J$17,'Industrial Summary'!$D:$D,$E64)&gt;0,(-SUMIFS('Industrial Summary'!$G:$G,'Industrial Summary'!$F:$F,J$17,'Industrial Summary'!$D:$D,$E64,'Industrial Summary'!$A:$A,"ELC")/SUMIFS('Industrial Summary'!$G:$G,'Industrial Summary'!$F:$F,J$17,'Industrial Summary'!$D:$D,$E64)),0)*0.98</f>
        <v>-0.71111367807482972</v>
      </c>
      <c r="K64" s="6">
        <f>IF(SUMIFS('Industrial Summary'!$G:$G,'Industrial Summary'!$F:$F,K$17,'Industrial Summary'!$D:$D,$E64)&gt;0,(-SUMIFS('Industrial Summary'!$G:$G,'Industrial Summary'!$F:$F,K$17,'Industrial Summary'!$D:$D,$E64,'Industrial Summary'!$A:$A,"ELC")/SUMIFS('Industrial Summary'!$G:$G,'Industrial Summary'!$F:$F,K$17,'Industrial Summary'!$D:$D,$E64)),0)*0.98</f>
        <v>-0.71111367807482728</v>
      </c>
      <c r="L64" s="6">
        <f>IF(SUMIFS('Industrial Summary'!$G:$G,'Industrial Summary'!$F:$F,L$17,'Industrial Summary'!$D:$D,$E64)&gt;0,(-SUMIFS('Industrial Summary'!$G:$G,'Industrial Summary'!$F:$F,L$17,'Industrial Summary'!$D:$D,$E64,'Industrial Summary'!$A:$A,"ELC")/SUMIFS('Industrial Summary'!$G:$G,'Industrial Summary'!$F:$F,L$17,'Industrial Summary'!$D:$D,$E64)),0)*0.98</f>
        <v>-0.51286724537248962</v>
      </c>
      <c r="M64" s="6">
        <f>IF(SUMIFS('Industrial Summary'!$G:$G,'Industrial Summary'!$F:$F,M$17,'Industrial Summary'!$D:$D,$E64)&gt;0,(-SUMIFS('Industrial Summary'!$G:$G,'Industrial Summary'!$F:$F,M$17,'Industrial Summary'!$D:$D,$E64,'Industrial Summary'!$A:$A,"ELC")/SUMIFS('Industrial Summary'!$G:$G,'Industrial Summary'!$F:$F,M$17,'Industrial Summary'!$D:$D,$E64)),0)*0.98</f>
        <v>-0.50872940708356318</v>
      </c>
      <c r="N64" s="6">
        <f>IF(SUMIFS('Industrial Summary'!$G:$G,'Industrial Summary'!$F:$F,N$17,'Industrial Summary'!$D:$D,$E64)&gt;0,(-SUMIFS('Industrial Summary'!$G:$G,'Industrial Summary'!$F:$F,N$17,'Industrial Summary'!$D:$D,$E64,'Industrial Summary'!$A:$A,"ELC")/SUMIFS('Industrial Summary'!$G:$G,'Industrial Summary'!$F:$F,N$17,'Industrial Summary'!$D:$D,$E64)),0)*0.98</f>
        <v>-0.50872940708356063</v>
      </c>
      <c r="O64" s="6">
        <f>IF(SUMIFS('Industrial Summary'!$G:$G,'Industrial Summary'!$F:$F,O$17,'Industrial Summary'!$D:$D,$E64)&gt;0,(-SUMIFS('Industrial Summary'!$G:$G,'Industrial Summary'!$F:$F,O$17,'Industrial Summary'!$D:$D,$E64,'Industrial Summary'!$A:$A,"ELC")/SUMIFS('Industrial Summary'!$G:$G,'Industrial Summary'!$F:$F,O$17,'Industrial Summary'!$D:$D,$E64)),0)*0.98</f>
        <v>-0.7870984748113532</v>
      </c>
      <c r="P64" s="6">
        <f>IF(SUMIFS('Industrial Summary'!$G:$G,'Industrial Summary'!$F:$F,P$17,'Industrial Summary'!$D:$D,$E64)&gt;0,(-SUMIFS('Industrial Summary'!$G:$G,'Industrial Summary'!$F:$F,P$17,'Industrial Summary'!$D:$D,$E64,'Industrial Summary'!$A:$A,"ELC")/SUMIFS('Industrial Summary'!$G:$G,'Industrial Summary'!$F:$F,P$17,'Industrial Summary'!$D:$D,$E64)),0)*0.98</f>
        <v>-0.78709847481135442</v>
      </c>
      <c r="Q64" s="5">
        <v>0</v>
      </c>
      <c r="R64" s="5">
        <v>15</v>
      </c>
      <c r="S64" s="5" t="str">
        <f t="shared" si="2"/>
        <v>UC_IPAFA_ELC</v>
      </c>
      <c r="V64" s="4" t="str">
        <f t="shared" si="4"/>
        <v>S_IPAFAELC</v>
      </c>
      <c r="W64" s="4" t="str">
        <f t="shared" si="5"/>
        <v>IPAFA_ELC</v>
      </c>
      <c r="X64" s="4" t="str">
        <f t="shared" si="6"/>
        <v>IPAFAC</v>
      </c>
      <c r="Y64" s="5" t="str">
        <f t="shared" si="7"/>
        <v>LO</v>
      </c>
      <c r="Z64" s="5">
        <v>1</v>
      </c>
      <c r="AA64" s="6">
        <f t="shared" si="8"/>
        <v>-0.11490808549233511</v>
      </c>
      <c r="AB64" s="6">
        <f t="shared" si="9"/>
        <v>-0.11490808549233583</v>
      </c>
      <c r="AC64" s="6">
        <f t="shared" si="10"/>
        <v>-0.71111367807482972</v>
      </c>
      <c r="AD64" s="6">
        <f t="shared" si="11"/>
        <v>-0.71111367807482728</v>
      </c>
      <c r="AE64" s="6">
        <f t="shared" si="12"/>
        <v>-0.51286724537248962</v>
      </c>
      <c r="AF64" s="6">
        <f t="shared" si="13"/>
        <v>-0.50872940708356318</v>
      </c>
      <c r="AG64" s="6">
        <f t="shared" si="14"/>
        <v>-0.50872940708356063</v>
      </c>
      <c r="AH64" s="6">
        <f t="shared" si="15"/>
        <v>-0.7870984748113532</v>
      </c>
      <c r="AI64" s="6">
        <f t="shared" si="16"/>
        <v>-0.78709847481135442</v>
      </c>
      <c r="AL64" s="5" t="str">
        <f t="shared" si="17"/>
        <v>ELC</v>
      </c>
      <c r="AM64" s="5">
        <f>1</f>
        <v>1</v>
      </c>
    </row>
    <row r="65" spans="1:39" s="5" customFormat="1" x14ac:dyDescent="0.3">
      <c r="C65" s="4" t="s">
        <v>124</v>
      </c>
      <c r="D65" s="5" t="s">
        <v>125</v>
      </c>
      <c r="E65" s="5" t="s">
        <v>723</v>
      </c>
      <c r="F65" s="5" t="s">
        <v>1588</v>
      </c>
      <c r="G65" s="5">
        <v>1</v>
      </c>
      <c r="H65" s="6">
        <f>IF(SUMIFS('Industrial Summary'!$G:$G,'Industrial Summary'!$F:$F,H$17,'Industrial Summary'!$D:$D,$E65)&gt;0,(-SUMIFS('Industrial Summary'!$G:$G,'Industrial Summary'!$F:$F,H$17,'Industrial Summary'!$D:$D,$E65,'Industrial Summary'!$A:$A,"RFL")/SUMIFS('Industrial Summary'!$G:$G,'Industrial Summary'!$F:$F,H$17,'Industrial Summary'!$D:$D,$E65)),0)*0.98</f>
        <v>-0.18923411036718138</v>
      </c>
      <c r="I65" s="6">
        <f>IF(SUMIFS('Industrial Summary'!$G:$G,'Industrial Summary'!$F:$F,I$17,'Industrial Summary'!$D:$D,$E65)&gt;0,(-SUMIFS('Industrial Summary'!$G:$G,'Industrial Summary'!$F:$F,I$17,'Industrial Summary'!$D:$D,$E65,'Industrial Summary'!$A:$A,"RFL")/SUMIFS('Industrial Summary'!$G:$G,'Industrial Summary'!$F:$F,I$17,'Industrial Summary'!$D:$D,$E65)),0)*0.98</f>
        <v>-0.1892341103671823</v>
      </c>
      <c r="J65" s="6">
        <f>IF(SUMIFS('Industrial Summary'!$G:$G,'Industrial Summary'!$F:$F,J$17,'Industrial Summary'!$D:$D,$E65)&gt;0,(-SUMIFS('Industrial Summary'!$G:$G,'Industrial Summary'!$F:$F,J$17,'Industrial Summary'!$D:$D,$E65,'Industrial Summary'!$A:$A,"RFL")/SUMIFS('Industrial Summary'!$G:$G,'Industrial Summary'!$F:$F,J$17,'Industrial Summary'!$D:$D,$E65)),0)*0.98</f>
        <v>-2.6140256949686875E-2</v>
      </c>
      <c r="K65" s="6">
        <f>IF(SUMIFS('Industrial Summary'!$G:$G,'Industrial Summary'!$F:$F,K$17,'Industrial Summary'!$D:$D,$E65)&gt;0,(-SUMIFS('Industrial Summary'!$G:$G,'Industrial Summary'!$F:$F,K$17,'Industrial Summary'!$D:$D,$E65,'Industrial Summary'!$A:$A,"RFL")/SUMIFS('Industrial Summary'!$G:$G,'Industrial Summary'!$F:$F,K$17,'Industrial Summary'!$D:$D,$E65)),0)*0.98</f>
        <v>-2.6140256949690223E-2</v>
      </c>
      <c r="L65" s="6">
        <f>IF(SUMIFS('Industrial Summary'!$G:$G,'Industrial Summary'!$F:$F,L$17,'Industrial Summary'!$D:$D,$E65)&gt;0,(-SUMIFS('Industrial Summary'!$G:$G,'Industrial Summary'!$F:$F,L$17,'Industrial Summary'!$D:$D,$E65,'Industrial Summary'!$A:$A,"RFL")/SUMIFS('Industrial Summary'!$G:$G,'Industrial Summary'!$F:$F,L$17,'Industrial Summary'!$D:$D,$E65)),0)*0.98</f>
        <v>-7.9181745973342724E-2</v>
      </c>
      <c r="M65" s="6">
        <f>IF(SUMIFS('Industrial Summary'!$G:$G,'Industrial Summary'!$F:$F,M$17,'Industrial Summary'!$D:$D,$E65)&gt;0,(-SUMIFS('Industrial Summary'!$G:$G,'Industrial Summary'!$F:$F,M$17,'Industrial Summary'!$D:$D,$E65,'Industrial Summary'!$A:$A,"RFL")/SUMIFS('Industrial Summary'!$G:$G,'Industrial Summary'!$F:$F,M$17,'Industrial Summary'!$D:$D,$E65)),0)*0.98</f>
        <v>-7.8542903732530686E-2</v>
      </c>
      <c r="N65" s="6">
        <f>IF(SUMIFS('Industrial Summary'!$G:$G,'Industrial Summary'!$F:$F,N$17,'Industrial Summary'!$D:$D,$E65)&gt;0,(-SUMIFS('Industrial Summary'!$G:$G,'Industrial Summary'!$F:$F,N$17,'Industrial Summary'!$D:$D,$E65,'Industrial Summary'!$A:$A,"RFL")/SUMIFS('Industrial Summary'!$G:$G,'Industrial Summary'!$F:$F,N$17,'Industrial Summary'!$D:$D,$E65)),0)*0.98</f>
        <v>-7.8542903732530631E-2</v>
      </c>
      <c r="O65" s="6">
        <f>IF(SUMIFS('Industrial Summary'!$G:$G,'Industrial Summary'!$F:$F,O$17,'Industrial Summary'!$D:$D,$E65)&gt;0,(-SUMIFS('Industrial Summary'!$G:$G,'Industrial Summary'!$F:$F,O$17,'Industrial Summary'!$D:$D,$E65,'Industrial Summary'!$A:$A,"RFL")/SUMIFS('Industrial Summary'!$G:$G,'Industrial Summary'!$F:$F,O$17,'Industrial Summary'!$D:$D,$E65)),0)*0.98</f>
        <v>0</v>
      </c>
      <c r="P65" s="6">
        <f>IF(SUMIFS('Industrial Summary'!$G:$G,'Industrial Summary'!$F:$F,P$17,'Industrial Summary'!$D:$D,$E65)&gt;0,(-SUMIFS('Industrial Summary'!$G:$G,'Industrial Summary'!$F:$F,P$17,'Industrial Summary'!$D:$D,$E65,'Industrial Summary'!$A:$A,"RFL")/SUMIFS('Industrial Summary'!$G:$G,'Industrial Summary'!$F:$F,P$17,'Industrial Summary'!$D:$D,$E65)),0)*0.98</f>
        <v>0</v>
      </c>
      <c r="Q65" s="5">
        <v>0</v>
      </c>
      <c r="R65" s="5">
        <v>15</v>
      </c>
      <c r="S65" s="5" t="str">
        <f t="shared" si="2"/>
        <v>UC_IPAFA_RFL</v>
      </c>
      <c r="V65" s="4" t="str">
        <f t="shared" si="4"/>
        <v>S_IPAFARFL</v>
      </c>
      <c r="W65" s="4" t="str">
        <f t="shared" si="5"/>
        <v>IPAFA_RFL</v>
      </c>
      <c r="X65" s="4" t="str">
        <f t="shared" si="6"/>
        <v>IPAFAC</v>
      </c>
      <c r="Y65" s="5" t="str">
        <f t="shared" si="7"/>
        <v>LO</v>
      </c>
      <c r="Z65" s="5">
        <v>1</v>
      </c>
      <c r="AA65" s="6">
        <f t="shared" si="8"/>
        <v>-0.18923411036718138</v>
      </c>
      <c r="AB65" s="6">
        <f t="shared" si="9"/>
        <v>-0.1892341103671823</v>
      </c>
      <c r="AC65" s="6">
        <f t="shared" si="10"/>
        <v>-2.6140256949686875E-2</v>
      </c>
      <c r="AD65" s="6">
        <f t="shared" si="11"/>
        <v>-2.6140256949690223E-2</v>
      </c>
      <c r="AE65" s="6">
        <f t="shared" si="12"/>
        <v>-7.9181745973342724E-2</v>
      </c>
      <c r="AF65" s="6">
        <f t="shared" si="13"/>
        <v>-7.8542903732530686E-2</v>
      </c>
      <c r="AG65" s="6">
        <f t="shared" si="14"/>
        <v>-7.8542903732530631E-2</v>
      </c>
      <c r="AH65" s="6">
        <f t="shared" si="15"/>
        <v>0</v>
      </c>
      <c r="AI65" s="6">
        <f t="shared" si="16"/>
        <v>0</v>
      </c>
      <c r="AL65" s="5" t="str">
        <f t="shared" si="17"/>
        <v>RFL</v>
      </c>
      <c r="AM65" s="5">
        <f>1</f>
        <v>1</v>
      </c>
    </row>
    <row r="66" spans="1:39" s="5" customFormat="1" x14ac:dyDescent="0.3">
      <c r="C66" s="4" t="s">
        <v>126</v>
      </c>
      <c r="D66" s="5" t="s">
        <v>127</v>
      </c>
      <c r="E66" s="5" t="s">
        <v>723</v>
      </c>
      <c r="F66" s="5" t="s">
        <v>1588</v>
      </c>
      <c r="G66" s="5">
        <v>1</v>
      </c>
      <c r="H66" s="6">
        <f>IF(SUMIFS('Industrial Summary'!$G:$G,'Industrial Summary'!$F:$F,H$17,'Industrial Summary'!$D:$D,$E66)&gt;0,(-SUMIFS('Industrial Summary'!$G:$G,'Industrial Summary'!$F:$F,H$17,'Industrial Summary'!$D:$D,$E66,'Industrial Summary'!$A:$A,"DST")/SUMIFS('Industrial Summary'!$G:$G,'Industrial Summary'!$F:$F,H$17,'Industrial Summary'!$D:$D,$E66)),0)*0.98</f>
        <v>-0.38860958081802072</v>
      </c>
      <c r="I66" s="6">
        <f>IF(SUMIFS('Industrial Summary'!$G:$G,'Industrial Summary'!$F:$F,I$17,'Industrial Summary'!$D:$D,$E66)&gt;0,(-SUMIFS('Industrial Summary'!$G:$G,'Industrial Summary'!$F:$F,I$17,'Industrial Summary'!$D:$D,$E66,'Industrial Summary'!$A:$A,"DST")/SUMIFS('Industrial Summary'!$G:$G,'Industrial Summary'!$F:$F,I$17,'Industrial Summary'!$D:$D,$E66)),0)*0.98</f>
        <v>-0.38860958081801833</v>
      </c>
      <c r="J66" s="6">
        <f>IF(SUMIFS('Industrial Summary'!$G:$G,'Industrial Summary'!$F:$F,J$17,'Industrial Summary'!$D:$D,$E66)&gt;0,(-SUMIFS('Industrial Summary'!$G:$G,'Industrial Summary'!$F:$F,J$17,'Industrial Summary'!$D:$D,$E66,'Industrial Summary'!$A:$A,"DST")/SUMIFS('Industrial Summary'!$G:$G,'Industrial Summary'!$F:$F,J$17,'Industrial Summary'!$D:$D,$E66)),0)*0.98</f>
        <v>0</v>
      </c>
      <c r="K66" s="6">
        <f>IF(SUMIFS('Industrial Summary'!$G:$G,'Industrial Summary'!$F:$F,K$17,'Industrial Summary'!$D:$D,$E66)&gt;0,(-SUMIFS('Industrial Summary'!$G:$G,'Industrial Summary'!$F:$F,K$17,'Industrial Summary'!$D:$D,$E66,'Industrial Summary'!$A:$A,"DST")/SUMIFS('Industrial Summary'!$G:$G,'Industrial Summary'!$F:$F,K$17,'Industrial Summary'!$D:$D,$E66)),0)*0.98</f>
        <v>0</v>
      </c>
      <c r="L66" s="6">
        <f>IF(SUMIFS('Industrial Summary'!$G:$G,'Industrial Summary'!$F:$F,L$17,'Industrial Summary'!$D:$D,$E66)&gt;0,(-SUMIFS('Industrial Summary'!$G:$G,'Industrial Summary'!$F:$F,L$17,'Industrial Summary'!$D:$D,$E66,'Industrial Summary'!$A:$A,"DST")/SUMIFS('Industrial Summary'!$G:$G,'Industrial Summary'!$F:$F,L$17,'Industrial Summary'!$D:$D,$E66)),0)*0.98</f>
        <v>-0.20883829309161595</v>
      </c>
      <c r="M66" s="6">
        <f>IF(SUMIFS('Industrial Summary'!$G:$G,'Industrial Summary'!$F:$F,M$17,'Industrial Summary'!$D:$D,$E66)&gt;0,(-SUMIFS('Industrial Summary'!$G:$G,'Industrial Summary'!$F:$F,M$17,'Industrial Summary'!$D:$D,$E66,'Industrial Summary'!$A:$A,"DST")/SUMIFS('Industrial Summary'!$G:$G,'Industrial Summary'!$F:$F,M$17,'Industrial Summary'!$D:$D,$E66)),0)*0.98</f>
        <v>-0.21506006386483514</v>
      </c>
      <c r="N66" s="6">
        <f>IF(SUMIFS('Industrial Summary'!$G:$G,'Industrial Summary'!$F:$F,N$17,'Industrial Summary'!$D:$D,$E66)&gt;0,(-SUMIFS('Industrial Summary'!$G:$G,'Industrial Summary'!$F:$F,N$17,'Industrial Summary'!$D:$D,$E66,'Industrial Summary'!$A:$A,"DST")/SUMIFS('Industrial Summary'!$G:$G,'Industrial Summary'!$F:$F,N$17,'Industrial Summary'!$D:$D,$E66)),0)*0.98</f>
        <v>-0.21506006386483817</v>
      </c>
      <c r="O66" s="6">
        <f>IF(SUMIFS('Industrial Summary'!$G:$G,'Industrial Summary'!$F:$F,O$17,'Industrial Summary'!$D:$D,$E66)&gt;0,(-SUMIFS('Industrial Summary'!$G:$G,'Industrial Summary'!$F:$F,O$17,'Industrial Summary'!$D:$D,$E66,'Industrial Summary'!$A:$A,"DST")/SUMIFS('Industrial Summary'!$G:$G,'Industrial Summary'!$F:$F,O$17,'Industrial Summary'!$D:$D,$E66)),0)*0.98</f>
        <v>0</v>
      </c>
      <c r="P66" s="6">
        <f>IF(SUMIFS('Industrial Summary'!$G:$G,'Industrial Summary'!$F:$F,P$17,'Industrial Summary'!$D:$D,$E66)&gt;0,(-SUMIFS('Industrial Summary'!$G:$G,'Industrial Summary'!$F:$F,P$17,'Industrial Summary'!$D:$D,$E66,'Industrial Summary'!$A:$A,"DST")/SUMIFS('Industrial Summary'!$G:$G,'Industrial Summary'!$F:$F,P$17,'Industrial Summary'!$D:$D,$E66)),0)*0.98</f>
        <v>0</v>
      </c>
      <c r="Q66" s="5">
        <v>0</v>
      </c>
      <c r="R66" s="5">
        <v>15</v>
      </c>
      <c r="S66" s="5" t="str">
        <f t="shared" si="2"/>
        <v>UC_IPAFA_DST</v>
      </c>
      <c r="V66" s="4" t="str">
        <f t="shared" si="4"/>
        <v>S_IPAFADST</v>
      </c>
      <c r="W66" s="4" t="str">
        <f t="shared" si="5"/>
        <v>IPAFA_DST</v>
      </c>
      <c r="X66" s="4" t="str">
        <f t="shared" si="6"/>
        <v>IPAFAC</v>
      </c>
      <c r="Y66" s="5" t="str">
        <f t="shared" si="7"/>
        <v>LO</v>
      </c>
      <c r="Z66" s="5">
        <v>1</v>
      </c>
      <c r="AA66" s="6">
        <f t="shared" si="8"/>
        <v>-0.38860958081802072</v>
      </c>
      <c r="AB66" s="6">
        <f t="shared" si="9"/>
        <v>-0.38860958081801833</v>
      </c>
      <c r="AC66" s="6">
        <f t="shared" si="10"/>
        <v>0</v>
      </c>
      <c r="AD66" s="6">
        <f t="shared" si="11"/>
        <v>0</v>
      </c>
      <c r="AE66" s="6">
        <f t="shared" si="12"/>
        <v>-0.20883829309161595</v>
      </c>
      <c r="AF66" s="6">
        <f t="shared" si="13"/>
        <v>-0.21506006386483514</v>
      </c>
      <c r="AG66" s="6">
        <f t="shared" si="14"/>
        <v>-0.21506006386483817</v>
      </c>
      <c r="AH66" s="6">
        <f t="shared" si="15"/>
        <v>0</v>
      </c>
      <c r="AI66" s="6">
        <f t="shared" si="16"/>
        <v>0</v>
      </c>
      <c r="AL66" s="5" t="str">
        <f t="shared" si="17"/>
        <v>DST</v>
      </c>
      <c r="AM66" s="5">
        <f>1</f>
        <v>1</v>
      </c>
    </row>
    <row r="67" spans="1:39" s="5" customFormat="1" x14ac:dyDescent="0.3">
      <c r="A67" s="8"/>
      <c r="C67" s="4" t="s">
        <v>128</v>
      </c>
      <c r="D67" s="5" t="s">
        <v>129</v>
      </c>
      <c r="E67" s="5" t="s">
        <v>723</v>
      </c>
      <c r="F67" s="5" t="s">
        <v>1588</v>
      </c>
      <c r="G67" s="5">
        <v>1</v>
      </c>
      <c r="H67" s="6">
        <f>IF(SUMIFS('Industrial Summary'!$G:$G,'Industrial Summary'!$F:$F,H$17,'Industrial Summary'!$D:$D,$E67)&gt;0,(-SUMIFS('Industrial Summary'!$G:$G,'Industrial Summary'!$F:$F,H$17,'Industrial Summary'!$D:$D,$E67,'Industrial Summary'!$A:$A,"NGA")/SUMIFS('Industrial Summary'!$G:$G,'Industrial Summary'!$F:$F,H$17,'Industrial Summary'!$D:$D,$E67)),0)*0.98</f>
        <v>-0.28724822332246269</v>
      </c>
      <c r="I67" s="6">
        <f>IF(SUMIFS('Industrial Summary'!$G:$G,'Industrial Summary'!$F:$F,I$17,'Industrial Summary'!$D:$D,$E67)&gt;0,(-SUMIFS('Industrial Summary'!$G:$G,'Industrial Summary'!$F:$F,I$17,'Industrial Summary'!$D:$D,$E67,'Industrial Summary'!$A:$A,"NGA")/SUMIFS('Industrial Summary'!$G:$G,'Industrial Summary'!$F:$F,I$17,'Industrial Summary'!$D:$D,$E67)),0)*0.98</f>
        <v>-0.28724822332246341</v>
      </c>
      <c r="J67" s="6">
        <f>IF(SUMIFS('Industrial Summary'!$G:$G,'Industrial Summary'!$F:$F,J$17,'Industrial Summary'!$D:$D,$E67)&gt;0,(-SUMIFS('Industrial Summary'!$G:$G,'Industrial Summary'!$F:$F,J$17,'Industrial Summary'!$D:$D,$E67,'Industrial Summary'!$A:$A,"NGA")/SUMIFS('Industrial Summary'!$G:$G,'Industrial Summary'!$F:$F,J$17,'Industrial Summary'!$D:$D,$E67)),0)*0.98</f>
        <v>-0.24274606497548332</v>
      </c>
      <c r="K67" s="6">
        <f>IF(SUMIFS('Industrial Summary'!$G:$G,'Industrial Summary'!$F:$F,K$17,'Industrial Summary'!$D:$D,$E67)&gt;0,(-SUMIFS('Industrial Summary'!$G:$G,'Industrial Summary'!$F:$F,K$17,'Industrial Summary'!$D:$D,$E67,'Industrial Summary'!$A:$A,"NGA")/SUMIFS('Industrial Summary'!$G:$G,'Industrial Summary'!$F:$F,K$17,'Industrial Summary'!$D:$D,$E67)),0)*0.98</f>
        <v>-0.24274606497548257</v>
      </c>
      <c r="L67" s="6">
        <f>IF(SUMIFS('Industrial Summary'!$G:$G,'Industrial Summary'!$F:$F,L$17,'Industrial Summary'!$D:$D,$E67)&gt;0,(-SUMIFS('Industrial Summary'!$G:$G,'Industrial Summary'!$F:$F,L$17,'Industrial Summary'!$D:$D,$E67,'Industrial Summary'!$A:$A,"NGA")/SUMIFS('Industrial Summary'!$G:$G,'Industrial Summary'!$F:$F,L$17,'Industrial Summary'!$D:$D,$E67)),0)*0.98</f>
        <v>-0.17911271556255176</v>
      </c>
      <c r="M67" s="6">
        <f>IF(SUMIFS('Industrial Summary'!$G:$G,'Industrial Summary'!$F:$F,M$17,'Industrial Summary'!$D:$D,$E67)&gt;0,(-SUMIFS('Industrial Summary'!$G:$G,'Industrial Summary'!$F:$F,M$17,'Industrial Summary'!$D:$D,$E67,'Industrial Summary'!$A:$A,"NGA")/SUMIFS('Industrial Summary'!$G:$G,'Industrial Summary'!$F:$F,M$17,'Industrial Summary'!$D:$D,$E67)),0)*0.98</f>
        <v>-0.1776676253190709</v>
      </c>
      <c r="N67" s="6">
        <f>IF(SUMIFS('Industrial Summary'!$G:$G,'Industrial Summary'!$F:$F,N$17,'Industrial Summary'!$D:$D,$E67)&gt;0,(-SUMIFS('Industrial Summary'!$G:$G,'Industrial Summary'!$F:$F,N$17,'Industrial Summary'!$D:$D,$E67,'Industrial Summary'!$A:$A,"NGA")/SUMIFS('Industrial Summary'!$G:$G,'Industrial Summary'!$F:$F,N$17,'Industrial Summary'!$D:$D,$E67)),0)*0.98</f>
        <v>-0.17766762531907043</v>
      </c>
      <c r="O67" s="6">
        <f>IF(SUMIFS('Industrial Summary'!$G:$G,'Industrial Summary'!$F:$F,O$17,'Industrial Summary'!$D:$D,$E67)&gt;0,(-SUMIFS('Industrial Summary'!$G:$G,'Industrial Summary'!$F:$F,O$17,'Industrial Summary'!$D:$D,$E67,'Industrial Summary'!$A:$A,"NGA")/SUMIFS('Industrial Summary'!$G:$G,'Industrial Summary'!$F:$F,O$17,'Industrial Summary'!$D:$D,$E67)),0)*0.98</f>
        <v>-0.19290152518864673</v>
      </c>
      <c r="P67" s="6">
        <f>IF(SUMIFS('Industrial Summary'!$G:$G,'Industrial Summary'!$F:$F,P$17,'Industrial Summary'!$D:$D,$E67)&gt;0,(-SUMIFS('Industrial Summary'!$G:$G,'Industrial Summary'!$F:$F,P$17,'Industrial Summary'!$D:$D,$E67,'Industrial Summary'!$A:$A,"NGA")/SUMIFS('Industrial Summary'!$G:$G,'Industrial Summary'!$F:$F,P$17,'Industrial Summary'!$D:$D,$E67)),0)*0.98</f>
        <v>-0.19290152518864559</v>
      </c>
      <c r="Q67" s="5">
        <v>0</v>
      </c>
      <c r="R67" s="5">
        <v>15</v>
      </c>
      <c r="S67" s="5" t="str">
        <f t="shared" si="2"/>
        <v>UC_IPAFA_NGA</v>
      </c>
      <c r="V67" s="4" t="str">
        <f t="shared" si="4"/>
        <v>S_IPAFANGA</v>
      </c>
      <c r="W67" s="4" t="str">
        <f t="shared" si="5"/>
        <v>IPAFA_NGA</v>
      </c>
      <c r="X67" s="4" t="str">
        <f t="shared" si="6"/>
        <v>IPAFAC</v>
      </c>
      <c r="Y67" s="5" t="str">
        <f t="shared" si="7"/>
        <v>LO</v>
      </c>
      <c r="Z67" s="5">
        <v>1</v>
      </c>
      <c r="AA67" s="6">
        <f t="shared" si="8"/>
        <v>-0.19532879185927463</v>
      </c>
      <c r="AB67" s="6">
        <f t="shared" si="9"/>
        <v>-0.1953287918592751</v>
      </c>
      <c r="AC67" s="6">
        <f t="shared" si="10"/>
        <v>-0.16506732418332865</v>
      </c>
      <c r="AD67" s="6">
        <f t="shared" si="11"/>
        <v>-0.16506732418332812</v>
      </c>
      <c r="AE67" s="6">
        <f t="shared" si="12"/>
        <v>-0.12179664658253518</v>
      </c>
      <c r="AF67" s="6">
        <f t="shared" si="13"/>
        <v>-0.12081398521696821</v>
      </c>
      <c r="AG67" s="6">
        <f t="shared" si="14"/>
        <v>-0.12081398521696789</v>
      </c>
      <c r="AH67" s="6">
        <f t="shared" si="15"/>
        <v>-0.13117303712827977</v>
      </c>
      <c r="AI67" s="6">
        <f t="shared" si="16"/>
        <v>-0.13117303712827899</v>
      </c>
      <c r="AL67" s="5" t="str">
        <f t="shared" si="17"/>
        <v>NGA</v>
      </c>
      <c r="AM67" s="5">
        <f>Y6</f>
        <v>0.67999999999999994</v>
      </c>
    </row>
    <row r="68" spans="1:39" s="5" customFormat="1" x14ac:dyDescent="0.3">
      <c r="C68" s="4" t="s">
        <v>130</v>
      </c>
      <c r="D68" s="5" t="s">
        <v>131</v>
      </c>
      <c r="E68" s="5" t="s">
        <v>754</v>
      </c>
      <c r="F68" s="5" t="s">
        <v>1588</v>
      </c>
      <c r="G68" s="5">
        <v>1</v>
      </c>
      <c r="H68" s="6">
        <f>(IF(SUMIFS('Industrial Summary'!$G:$G,'Industrial Summary'!$F:$F,H$17,'Industrial Summary'!$D:$D,$E68)&gt;0,((-SUMIFS('Industrial Summary'!$G:$G,'Industrial Summary'!$F:$F,H$17,'Industrial Summary'!$D:$D,$E68,'Industrial Summary'!$A:$A,"ELC")+-SUMIFS('Industrial Summary'!$G:$G,'Industrial Summary'!$F:$F,H$17,'Industrial Summary'!$D:$D,"IPARSTM",'Industrial Summary'!$A:$A,"ELC"))/SUMIFS('Industrial Summary'!$G:$G,'Industrial Summary'!$F:$F,H$17,'Industrial Summary'!$D:$D,$E68)),0))*0.98</f>
        <v>-3.7328585141114634E-3</v>
      </c>
      <c r="I68" s="6">
        <f>(IF(SUMIFS('Industrial Summary'!$G:$G,'Industrial Summary'!$F:$F,I$17,'Industrial Summary'!$D:$D,$E68)&gt;0,((-SUMIFS('Industrial Summary'!$G:$G,'Industrial Summary'!$F:$F,I$17,'Industrial Summary'!$D:$D,$E68,'Industrial Summary'!$A:$A,"ELC")+-SUMIFS('Industrial Summary'!$G:$G,'Industrial Summary'!$F:$F,I$17,'Industrial Summary'!$D:$D,"IPARSTM",'Industrial Summary'!$A:$A,"ELC"))/SUMIFS('Industrial Summary'!$G:$G,'Industrial Summary'!$F:$F,I$17,'Industrial Summary'!$D:$D,$E68)),0))*0.98</f>
        <v>-3.844926349391176E-3</v>
      </c>
      <c r="J68" s="6">
        <f>(IF(SUMIFS('Industrial Summary'!$G:$G,'Industrial Summary'!$F:$F,J$17,'Industrial Summary'!$D:$D,$E68)&gt;0,((-SUMIFS('Industrial Summary'!$G:$G,'Industrial Summary'!$F:$F,J$17,'Industrial Summary'!$D:$D,$E68,'Industrial Summary'!$A:$A,"ELC")+-SUMIFS('Industrial Summary'!$G:$G,'Industrial Summary'!$F:$F,J$17,'Industrial Summary'!$D:$D,"IPARSTM",'Industrial Summary'!$A:$A,"ELC"))/SUMIFS('Industrial Summary'!$G:$G,'Industrial Summary'!$F:$F,J$17,'Industrial Summary'!$D:$D,$E68)),0))*0.98</f>
        <v>-2.0859155878781972E-2</v>
      </c>
      <c r="K68" s="6">
        <f>(IF(SUMIFS('Industrial Summary'!$G:$G,'Industrial Summary'!$F:$F,K$17,'Industrial Summary'!$D:$D,$E68)&gt;0,((-SUMIFS('Industrial Summary'!$G:$G,'Industrial Summary'!$F:$F,K$17,'Industrial Summary'!$D:$D,$E68,'Industrial Summary'!$A:$A,"ELC")+-SUMIFS('Industrial Summary'!$G:$G,'Industrial Summary'!$F:$F,K$17,'Industrial Summary'!$D:$D,"IPARSTM",'Industrial Summary'!$A:$A,"ELC"))/SUMIFS('Industrial Summary'!$G:$G,'Industrial Summary'!$F:$F,K$17,'Industrial Summary'!$D:$D,$E68)),0))*0.98</f>
        <v>-2.0541919050843235E-2</v>
      </c>
      <c r="L68" s="6">
        <f>(IF(SUMIFS('Industrial Summary'!$G:$G,'Industrial Summary'!$F:$F,L$17,'Industrial Summary'!$D:$D,$E68)&gt;0,((-SUMIFS('Industrial Summary'!$G:$G,'Industrial Summary'!$F:$F,L$17,'Industrial Summary'!$D:$D,$E68,'Industrial Summary'!$A:$A,"ELC")+-SUMIFS('Industrial Summary'!$G:$G,'Industrial Summary'!$F:$F,L$17,'Industrial Summary'!$D:$D,"IPARSTM",'Industrial Summary'!$A:$A,"ELC"))/SUMIFS('Industrial Summary'!$G:$G,'Industrial Summary'!$F:$F,L$17,'Industrial Summary'!$D:$D,$E68)),0))*0.98</f>
        <v>-1.0048277703927943E-2</v>
      </c>
      <c r="M68" s="6">
        <f>(IF(SUMIFS('Industrial Summary'!$G:$G,'Industrial Summary'!$F:$F,M$17,'Industrial Summary'!$D:$D,$E68)&gt;0,((-SUMIFS('Industrial Summary'!$G:$G,'Industrial Summary'!$F:$F,M$17,'Industrial Summary'!$D:$D,$E68,'Industrial Summary'!$A:$A,"ELC")+-SUMIFS('Industrial Summary'!$G:$G,'Industrial Summary'!$F:$F,M$17,'Industrial Summary'!$D:$D,"IPARSTM",'Industrial Summary'!$A:$A,"ELC"))/SUMIFS('Industrial Summary'!$G:$G,'Industrial Summary'!$F:$F,M$17,'Industrial Summary'!$D:$D,$E68)),0))*0.98</f>
        <v>-1.0448983346719646E-2</v>
      </c>
      <c r="N68" s="6">
        <f>(IF(SUMIFS('Industrial Summary'!$G:$G,'Industrial Summary'!$F:$F,N$17,'Industrial Summary'!$D:$D,$E68)&gt;0,((-SUMIFS('Industrial Summary'!$G:$G,'Industrial Summary'!$F:$F,N$17,'Industrial Summary'!$D:$D,$E68,'Industrial Summary'!$A:$A,"ELC")+-SUMIFS('Industrial Summary'!$G:$G,'Industrial Summary'!$F:$F,N$17,'Industrial Summary'!$D:$D,"IPARSTM",'Industrial Summary'!$A:$A,"ELC"))/SUMIFS('Industrial Summary'!$G:$G,'Industrial Summary'!$F:$F,N$17,'Industrial Summary'!$D:$D,$E68)),0))*0.98</f>
        <v>-1.0322599512513455E-2</v>
      </c>
      <c r="O68" s="6">
        <f>(IF(SUMIFS('Industrial Summary'!$G:$G,'Industrial Summary'!$F:$F,O$17,'Industrial Summary'!$D:$D,$E68)&gt;0,((-SUMIFS('Industrial Summary'!$G:$G,'Industrial Summary'!$F:$F,O$17,'Industrial Summary'!$D:$D,$E68,'Industrial Summary'!$A:$A,"ELC")+-SUMIFS('Industrial Summary'!$G:$G,'Industrial Summary'!$F:$F,O$17,'Industrial Summary'!$D:$D,"IPARSTM",'Industrial Summary'!$A:$A,"ELC"))/SUMIFS('Industrial Summary'!$G:$G,'Industrial Summary'!$F:$F,O$17,'Industrial Summary'!$D:$D,$E68)),0))*0.98</f>
        <v>-3.3823323823953748E-2</v>
      </c>
      <c r="P68" s="6">
        <f>(IF(SUMIFS('Industrial Summary'!$G:$G,'Industrial Summary'!$F:$F,P$17,'Industrial Summary'!$D:$D,$E68)&gt;0,((-SUMIFS('Industrial Summary'!$G:$G,'Industrial Summary'!$F:$F,P$17,'Industrial Summary'!$D:$D,$E68,'Industrial Summary'!$A:$A,"ELC")+-SUMIFS('Industrial Summary'!$G:$G,'Industrial Summary'!$F:$F,P$17,'Industrial Summary'!$D:$D,"IPARSTM",'Industrial Summary'!$A:$A,"ELC"))/SUMIFS('Industrial Summary'!$G:$G,'Industrial Summary'!$F:$F,P$17,'Industrial Summary'!$D:$D,$E68)),0))*0.98</f>
        <v>-4.5397788137842177E-2</v>
      </c>
      <c r="Q68" s="5">
        <v>0</v>
      </c>
      <c r="R68" s="5">
        <v>15</v>
      </c>
      <c r="S68" s="5" t="str">
        <f t="shared" si="2"/>
        <v>UC_IPAOH_ELC</v>
      </c>
      <c r="V68" s="4" t="str">
        <f t="shared" si="4"/>
        <v>S_IPAOHELC</v>
      </c>
      <c r="W68" s="4" t="str">
        <f t="shared" si="5"/>
        <v>IPAOH_ELC</v>
      </c>
      <c r="X68" s="4" t="str">
        <f t="shared" si="6"/>
        <v>IPAOHT</v>
      </c>
      <c r="Y68" s="5" t="str">
        <f t="shared" si="7"/>
        <v>LO</v>
      </c>
      <c r="Z68" s="5">
        <v>1</v>
      </c>
      <c r="AA68" s="6">
        <f t="shared" si="8"/>
        <v>-3.7328585141114634E-3</v>
      </c>
      <c r="AB68" s="6">
        <f t="shared" si="9"/>
        <v>-3.844926349391176E-3</v>
      </c>
      <c r="AC68" s="6">
        <f t="shared" si="10"/>
        <v>-2.0859155878781972E-2</v>
      </c>
      <c r="AD68" s="6">
        <f t="shared" si="11"/>
        <v>-2.0541919050843235E-2</v>
      </c>
      <c r="AE68" s="6">
        <f t="shared" si="12"/>
        <v>-1.0048277703927943E-2</v>
      </c>
      <c r="AF68" s="6">
        <f t="shared" si="13"/>
        <v>-1.0448983346719646E-2</v>
      </c>
      <c r="AG68" s="6">
        <f t="shared" si="14"/>
        <v>-1.0322599512513455E-2</v>
      </c>
      <c r="AH68" s="6">
        <f t="shared" si="15"/>
        <v>-3.3823323823953748E-2</v>
      </c>
      <c r="AI68" s="6">
        <f t="shared" si="16"/>
        <v>-4.5397788137842177E-2</v>
      </c>
      <c r="AL68" s="5" t="str">
        <f t="shared" si="17"/>
        <v>ELC</v>
      </c>
      <c r="AM68" s="5">
        <f>1</f>
        <v>1</v>
      </c>
    </row>
    <row r="69" spans="1:39" s="5" customFormat="1" x14ac:dyDescent="0.3">
      <c r="C69" s="4" t="s">
        <v>132</v>
      </c>
      <c r="D69" s="5" t="s">
        <v>133</v>
      </c>
      <c r="E69" s="5" t="s">
        <v>754</v>
      </c>
      <c r="F69" s="5" t="s">
        <v>1588</v>
      </c>
      <c r="G69" s="5">
        <v>1</v>
      </c>
      <c r="H69" s="6">
        <f>(IF(SUMIFS('Industrial Summary'!$G:$G,'Industrial Summary'!$F:$F,H$17,'Industrial Summary'!$D:$D,$E69)&gt;0,((-SUMIFS('Industrial Summary'!$G:$G,'Industrial Summary'!$F:$F,H$17,'Industrial Summary'!$D:$D,$E69,'Industrial Summary'!$A:$A,"NGA")+-SUMIFS('Industrial Summary'!$G:$G,'Industrial Summary'!$F:$F,H$17,'Industrial Summary'!$D:$D,"IPARSTM",'Industrial Summary'!$A:$A,"NGA"))/SUMIFS('Industrial Summary'!$G:$G,'Industrial Summary'!$F:$F,H$17,'Industrial Summary'!$D:$D,$E69)),0))*0.98</f>
        <v>-1.8662863827178938E-2</v>
      </c>
      <c r="I69" s="6">
        <f>(IF(SUMIFS('Industrial Summary'!$G:$G,'Industrial Summary'!$F:$F,I$17,'Industrial Summary'!$D:$D,$E69)&gt;0,((-SUMIFS('Industrial Summary'!$G:$G,'Industrial Summary'!$F:$F,I$17,'Industrial Summary'!$D:$D,$E69,'Industrial Summary'!$A:$A,"NGA")+-SUMIFS('Industrial Summary'!$G:$G,'Industrial Summary'!$F:$F,I$17,'Industrial Summary'!$D:$D,"IPARSTM",'Industrial Summary'!$A:$A,"NGA"))/SUMIFS('Industrial Summary'!$G:$G,'Industrial Summary'!$F:$F,I$17,'Industrial Summary'!$D:$D,$E69)),0))*0.98</f>
        <v>-1.922316010986035E-2</v>
      </c>
      <c r="J69" s="6">
        <f>(IF(SUMIFS('Industrial Summary'!$G:$G,'Industrial Summary'!$F:$F,J$17,'Industrial Summary'!$D:$D,$E69)&gt;0,((-SUMIFS('Industrial Summary'!$G:$G,'Industrial Summary'!$F:$F,J$17,'Industrial Summary'!$D:$D,$E69,'Industrial Summary'!$A:$A,"NGA")+-SUMIFS('Industrial Summary'!$G:$G,'Industrial Summary'!$F:$F,J$17,'Industrial Summary'!$D:$D,"IPARSTM",'Industrial Summary'!$A:$A,"NGA"))/SUMIFS('Industrial Summary'!$G:$G,'Industrial Summary'!$F:$F,J$17,'Industrial Summary'!$D:$D,$E69)),0))*0.98</f>
        <v>-1.4240980491312467E-2</v>
      </c>
      <c r="K69" s="6">
        <f>(IF(SUMIFS('Industrial Summary'!$G:$G,'Industrial Summary'!$F:$F,K$17,'Industrial Summary'!$D:$D,$E69)&gt;0,((-SUMIFS('Industrial Summary'!$G:$G,'Industrial Summary'!$F:$F,K$17,'Industrial Summary'!$D:$D,$E69,'Industrial Summary'!$A:$A,"NGA")+-SUMIFS('Industrial Summary'!$G:$G,'Industrial Summary'!$F:$F,K$17,'Industrial Summary'!$D:$D,"IPARSTM",'Industrial Summary'!$A:$A,"NGA"))/SUMIFS('Industrial Summary'!$G:$G,'Industrial Summary'!$F:$F,K$17,'Industrial Summary'!$D:$D,$E69)),0))*0.98</f>
        <v>-1.4024396296628104E-2</v>
      </c>
      <c r="L69" s="6">
        <f>(IF(SUMIFS('Industrial Summary'!$G:$G,'Industrial Summary'!$F:$F,L$17,'Industrial Summary'!$D:$D,$E69)&gt;0,((-SUMIFS('Industrial Summary'!$G:$G,'Industrial Summary'!$F:$F,L$17,'Industrial Summary'!$D:$D,$E69,'Industrial Summary'!$A:$A,"NGA")+-SUMIFS('Industrial Summary'!$G:$G,'Industrial Summary'!$F:$F,L$17,'Industrial Summary'!$D:$D,"IPARSTM",'Industrial Summary'!$A:$A,"NGA"))/SUMIFS('Industrial Summary'!$G:$G,'Industrial Summary'!$F:$F,L$17,'Industrial Summary'!$D:$D,$E69)),0))*0.98</f>
        <v>-7.0184802110729973E-3</v>
      </c>
      <c r="M69" s="6">
        <f>(IF(SUMIFS('Industrial Summary'!$G:$G,'Industrial Summary'!$F:$F,M$17,'Industrial Summary'!$D:$D,$E69)&gt;0,((-SUMIFS('Industrial Summary'!$G:$G,'Industrial Summary'!$F:$F,M$17,'Industrial Summary'!$D:$D,$E69,'Industrial Summary'!$A:$A,"NGA")+-SUMIFS('Industrial Summary'!$G:$G,'Industrial Summary'!$F:$F,M$17,'Industrial Summary'!$D:$D,"IPARSTM",'Industrial Summary'!$A:$A,"NGA"))/SUMIFS('Industrial Summary'!$G:$G,'Industrial Summary'!$F:$F,M$17,'Industrial Summary'!$D:$D,$E69)),0))*0.98</f>
        <v>-7.2983634614433137E-3</v>
      </c>
      <c r="N69" s="6">
        <f>(IF(SUMIFS('Industrial Summary'!$G:$G,'Industrial Summary'!$F:$F,N$17,'Industrial Summary'!$D:$D,$E69)&gt;0,((-SUMIFS('Industrial Summary'!$G:$G,'Industrial Summary'!$F:$F,N$17,'Industrial Summary'!$D:$D,$E69,'Industrial Summary'!$A:$A,"NGA")+-SUMIFS('Industrial Summary'!$G:$G,'Industrial Summary'!$F:$F,N$17,'Industrial Summary'!$D:$D,"IPARSTM",'Industrial Summary'!$A:$A,"NGA"))/SUMIFS('Industrial Summary'!$G:$G,'Industrial Summary'!$F:$F,N$17,'Industrial Summary'!$D:$D,$E69)),0))*0.98</f>
        <v>-7.210087394090103E-3</v>
      </c>
      <c r="O69" s="6">
        <f>(IF(SUMIFS('Industrial Summary'!$G:$G,'Industrial Summary'!$F:$F,O$17,'Industrial Summary'!$D:$D,$E69)&gt;0,((-SUMIFS('Industrial Summary'!$G:$G,'Industrial Summary'!$F:$F,O$17,'Industrial Summary'!$D:$D,$E69,'Industrial Summary'!$A:$A,"NGA")+-SUMIFS('Industrial Summary'!$G:$G,'Industrial Summary'!$F:$F,O$17,'Industrial Summary'!$D:$D,"IPARSTM",'Industrial Summary'!$A:$A,"NGA"))/SUMIFS('Industrial Summary'!$G:$G,'Industrial Summary'!$F:$F,O$17,'Industrial Summary'!$D:$D,$E69)),0))*0.98</f>
        <v>-1.6578791501670322E-2</v>
      </c>
      <c r="P69" s="6">
        <f>(IF(SUMIFS('Industrial Summary'!$G:$G,'Industrial Summary'!$F:$F,P$17,'Industrial Summary'!$D:$D,$E69)&gt;0,((-SUMIFS('Industrial Summary'!$G:$G,'Industrial Summary'!$F:$F,P$17,'Industrial Summary'!$D:$D,$E69,'Industrial Summary'!$A:$A,"NGA")+-SUMIFS('Industrial Summary'!$G:$G,'Industrial Summary'!$F:$F,P$17,'Industrial Summary'!$D:$D,"IPARSTM",'Industrial Summary'!$A:$A,"NGA"))/SUMIFS('Industrial Summary'!$G:$G,'Industrial Summary'!$F:$F,P$17,'Industrial Summary'!$D:$D,$E69)),0))*0.98</f>
        <v>-2.2252114194680934E-2</v>
      </c>
      <c r="Q69" s="5">
        <v>0</v>
      </c>
      <c r="R69" s="5">
        <v>15</v>
      </c>
      <c r="S69" s="5" t="str">
        <f t="shared" si="2"/>
        <v>UC_IPAOH_NGA</v>
      </c>
      <c r="V69" s="4" t="str">
        <f t="shared" si="4"/>
        <v>S_IPAOHNGA</v>
      </c>
      <c r="W69" s="4" t="str">
        <f t="shared" si="5"/>
        <v>IPAOH_NGA</v>
      </c>
      <c r="X69" s="4" t="str">
        <f t="shared" si="6"/>
        <v>IPAOHT</v>
      </c>
      <c r="Y69" s="5" t="str">
        <f t="shared" si="7"/>
        <v>LO</v>
      </c>
      <c r="Z69" s="5">
        <v>1</v>
      </c>
      <c r="AA69" s="6">
        <f t="shared" si="8"/>
        <v>-1.2690747402481677E-2</v>
      </c>
      <c r="AB69" s="6">
        <f t="shared" si="9"/>
        <v>-1.3071748874705037E-2</v>
      </c>
      <c r="AC69" s="6">
        <f t="shared" si="10"/>
        <v>-9.6838667340924771E-3</v>
      </c>
      <c r="AD69" s="6">
        <f t="shared" si="11"/>
        <v>-9.5365894817071098E-3</v>
      </c>
      <c r="AE69" s="6">
        <f t="shared" si="12"/>
        <v>-4.7725665435296378E-3</v>
      </c>
      <c r="AF69" s="6">
        <f t="shared" si="13"/>
        <v>-4.9628871537814529E-3</v>
      </c>
      <c r="AG69" s="6">
        <f t="shared" si="14"/>
        <v>-4.9028594279812692E-3</v>
      </c>
      <c r="AH69" s="6">
        <f t="shared" si="15"/>
        <v>-1.1273578221135817E-2</v>
      </c>
      <c r="AI69" s="6">
        <f t="shared" si="16"/>
        <v>-1.5131437652383034E-2</v>
      </c>
      <c r="AL69" s="5" t="str">
        <f t="shared" si="17"/>
        <v>NGA</v>
      </c>
      <c r="AM69" s="5">
        <f>Y6</f>
        <v>0.67999999999999994</v>
      </c>
    </row>
    <row r="70" spans="1:39" s="5" customFormat="1" x14ac:dyDescent="0.3">
      <c r="C70" s="4" t="s">
        <v>134</v>
      </c>
      <c r="D70" s="5" t="s">
        <v>135</v>
      </c>
      <c r="E70" s="5" t="s">
        <v>754</v>
      </c>
      <c r="F70" s="5" t="s">
        <v>1588</v>
      </c>
      <c r="G70" s="5">
        <v>1</v>
      </c>
      <c r="H70" s="6">
        <f>(IF(SUMIFS('Industrial Summary'!$G:$G,'Industrial Summary'!$F:$F,H$17,'Industrial Summary'!$D:$D,$E70)&gt;0,((-SUMIFS('Industrial Summary'!$G:$G,'Industrial Summary'!$F:$F,H$17,'Industrial Summary'!$D:$D,$E70,'Industrial Summary'!$A:$A,"BIO")+-SUMIFS('Industrial Summary'!$G:$G,'Industrial Summary'!$F:$F,H$17,'Industrial Summary'!$D:$D,$E70,'Industrial Summary'!$A:$A,"WOD")+-SUMIFS('Industrial Summary'!$G:$G,'Industrial Summary'!$F:$F,H$17,'Industrial Summary'!$D:$D,$E70,'Industrial Summary'!$A:$A,"TOM")+-SUMIFS('Industrial Summary'!$G:$G,'Industrial Summary'!$F:$F,H$17,'Industrial Summary'!$D:$D,"IPARSTM",'Industrial Summary'!$A:$A,"BIO")+-SUMIFS('Industrial Summary'!$G:$G,'Industrial Summary'!$F:$F,H$17,'Industrial Summary'!$D:$D,"IPARSTM",'Industrial Summary'!$A:$A,"WOD")+-SUMIFS('Industrial Summary'!$G:$G,'Industrial Summary'!$F:$F,H$17,'Industrial Summary'!$D:$D,"IPARSTM",'Industrial Summary'!$A:$A,"TOM")+-SUMIFS('Industrial Summary'!$G:$G,'Industrial Summary'!$F:$F,H$17,'Industrial Summary'!$D:$D,"IPARSTM",'Industrial Summary'!$A:$A,"BLQ"))/SUMIFS('Industrial Summary'!$G:$G,'Industrial Summary'!$F:$F,H$17,'Industrial Summary'!$D:$D,$E70)),0))*0.98</f>
        <v>-0.94956602762996534</v>
      </c>
      <c r="I70" s="6">
        <f>(IF(SUMIFS('Industrial Summary'!$G:$G,'Industrial Summary'!$F:$F,I$17,'Industrial Summary'!$D:$D,$E70)&gt;0,((-SUMIFS('Industrial Summary'!$G:$G,'Industrial Summary'!$F:$F,I$17,'Industrial Summary'!$D:$D,$E70,'Industrial Summary'!$A:$A,"BIO")+-SUMIFS('Industrial Summary'!$G:$G,'Industrial Summary'!$F:$F,I$17,'Industrial Summary'!$D:$D,$E70,'Industrial Summary'!$A:$A,"WOD")+-SUMIFS('Industrial Summary'!$G:$G,'Industrial Summary'!$F:$F,I$17,'Industrial Summary'!$D:$D,$E70,'Industrial Summary'!$A:$A,"TOM")+-SUMIFS('Industrial Summary'!$G:$G,'Industrial Summary'!$F:$F,I$17,'Industrial Summary'!$D:$D,"IPARSTM",'Industrial Summary'!$A:$A,"BIO")+-SUMIFS('Industrial Summary'!$G:$G,'Industrial Summary'!$F:$F,I$17,'Industrial Summary'!$D:$D,"IPARSTM",'Industrial Summary'!$A:$A,"WOD")+-SUMIFS('Industrial Summary'!$G:$G,'Industrial Summary'!$F:$F,I$17,'Industrial Summary'!$D:$D,"IPARSTM",'Industrial Summary'!$A:$A,"TOM")+-SUMIFS('Industrial Summary'!$G:$G,'Industrial Summary'!$F:$F,I$17,'Industrial Summary'!$D:$D,"IPARSTM",'Industrial Summary'!$A:$A,"BLQ"))/SUMIFS('Industrial Summary'!$G:$G,'Industrial Summary'!$F:$F,I$17,'Industrial Summary'!$D:$D,$E70)),0))*0.98</f>
        <v>-0.93098924746828804</v>
      </c>
      <c r="J70" s="6">
        <f>(IF(SUMIFS('Industrial Summary'!$G:$G,'Industrial Summary'!$F:$F,J$17,'Industrial Summary'!$D:$D,$E70)&gt;0,((-SUMIFS('Industrial Summary'!$G:$G,'Industrial Summary'!$F:$F,J$17,'Industrial Summary'!$D:$D,$E70,'Industrial Summary'!$A:$A,"BIO")+-SUMIFS('Industrial Summary'!$G:$G,'Industrial Summary'!$F:$F,J$17,'Industrial Summary'!$D:$D,$E70,'Industrial Summary'!$A:$A,"WOD")+-SUMIFS('Industrial Summary'!$G:$G,'Industrial Summary'!$F:$F,J$17,'Industrial Summary'!$D:$D,$E70,'Industrial Summary'!$A:$A,"TOM")+-SUMIFS('Industrial Summary'!$G:$G,'Industrial Summary'!$F:$F,J$17,'Industrial Summary'!$D:$D,"IPARSTM",'Industrial Summary'!$A:$A,"BIO")+-SUMIFS('Industrial Summary'!$G:$G,'Industrial Summary'!$F:$F,J$17,'Industrial Summary'!$D:$D,"IPARSTM",'Industrial Summary'!$A:$A,"WOD")+-SUMIFS('Industrial Summary'!$G:$G,'Industrial Summary'!$F:$F,J$17,'Industrial Summary'!$D:$D,"IPARSTM",'Industrial Summary'!$A:$A,"TOM")+-SUMIFS('Industrial Summary'!$G:$G,'Industrial Summary'!$F:$F,J$17,'Industrial Summary'!$D:$D,"IPARSTM",'Industrial Summary'!$A:$A,"BLQ"))/SUMIFS('Industrial Summary'!$G:$G,'Industrial Summary'!$F:$F,J$17,'Industrial Summary'!$D:$D,$E70)),0))*0.98</f>
        <v>-0.92940474400986806</v>
      </c>
      <c r="K70" s="6">
        <f>(IF(SUMIFS('Industrial Summary'!$G:$G,'Industrial Summary'!$F:$F,K$17,'Industrial Summary'!$D:$D,$E70)&gt;0,((-SUMIFS('Industrial Summary'!$G:$G,'Industrial Summary'!$F:$F,K$17,'Industrial Summary'!$D:$D,$E70,'Industrial Summary'!$A:$A,"BIO")+-SUMIFS('Industrial Summary'!$G:$G,'Industrial Summary'!$F:$F,K$17,'Industrial Summary'!$D:$D,$E70,'Industrial Summary'!$A:$A,"WOD")+-SUMIFS('Industrial Summary'!$G:$G,'Industrial Summary'!$F:$F,K$17,'Industrial Summary'!$D:$D,$E70,'Industrial Summary'!$A:$A,"TOM")+-SUMIFS('Industrial Summary'!$G:$G,'Industrial Summary'!$F:$F,K$17,'Industrial Summary'!$D:$D,"IPARSTM",'Industrial Summary'!$A:$A,"BIO")+-SUMIFS('Industrial Summary'!$G:$G,'Industrial Summary'!$F:$F,K$17,'Industrial Summary'!$D:$D,"IPARSTM",'Industrial Summary'!$A:$A,"WOD")+-SUMIFS('Industrial Summary'!$G:$G,'Industrial Summary'!$F:$F,K$17,'Industrial Summary'!$D:$D,"IPARSTM",'Industrial Summary'!$A:$A,"TOM")+-SUMIFS('Industrial Summary'!$G:$G,'Industrial Summary'!$F:$F,K$17,'Industrial Summary'!$D:$D,"IPARSTM",'Industrial Summary'!$A:$A,"BLQ"))/SUMIFS('Industrial Summary'!$G:$G,'Industrial Summary'!$F:$F,K$17,'Industrial Summary'!$D:$D,$E70)),0))*0.98</f>
        <v>-0.9301742228235016</v>
      </c>
      <c r="L70" s="6">
        <f>(IF(SUMIFS('Industrial Summary'!$G:$G,'Industrial Summary'!$F:$F,L$17,'Industrial Summary'!$D:$D,$E70)&gt;0,((-SUMIFS('Industrial Summary'!$G:$G,'Industrial Summary'!$F:$F,L$17,'Industrial Summary'!$D:$D,$E70,'Industrial Summary'!$A:$A,"BIO")+-SUMIFS('Industrial Summary'!$G:$G,'Industrial Summary'!$F:$F,L$17,'Industrial Summary'!$D:$D,$E70,'Industrial Summary'!$A:$A,"WOD")+-SUMIFS('Industrial Summary'!$G:$G,'Industrial Summary'!$F:$F,L$17,'Industrial Summary'!$D:$D,$E70,'Industrial Summary'!$A:$A,"TOM")+-SUMIFS('Industrial Summary'!$G:$G,'Industrial Summary'!$F:$F,L$17,'Industrial Summary'!$D:$D,"IPARSTM",'Industrial Summary'!$A:$A,"BIO")+-SUMIFS('Industrial Summary'!$G:$G,'Industrial Summary'!$F:$F,L$17,'Industrial Summary'!$D:$D,"IPARSTM",'Industrial Summary'!$A:$A,"WOD")+-SUMIFS('Industrial Summary'!$G:$G,'Industrial Summary'!$F:$F,L$17,'Industrial Summary'!$D:$D,"IPARSTM",'Industrial Summary'!$A:$A,"TOM")+-SUMIFS('Industrial Summary'!$G:$G,'Industrial Summary'!$F:$F,L$17,'Industrial Summary'!$D:$D,"IPARSTM",'Industrial Summary'!$A:$A,"BLQ"))/SUMIFS('Industrial Summary'!$G:$G,'Industrial Summary'!$F:$F,L$17,'Industrial Summary'!$D:$D,$E70)),0))*0.98</f>
        <v>-0.95518791982340956</v>
      </c>
      <c r="M70" s="6">
        <f>(IF(SUMIFS('Industrial Summary'!$G:$G,'Industrial Summary'!$F:$F,M$17,'Industrial Summary'!$D:$D,$E70)&gt;0,((-SUMIFS('Industrial Summary'!$G:$G,'Industrial Summary'!$F:$F,M$17,'Industrial Summary'!$D:$D,$E70,'Industrial Summary'!$A:$A,"BIO")+-SUMIFS('Industrial Summary'!$G:$G,'Industrial Summary'!$F:$F,M$17,'Industrial Summary'!$D:$D,$E70,'Industrial Summary'!$A:$A,"WOD")+-SUMIFS('Industrial Summary'!$G:$G,'Industrial Summary'!$F:$F,M$17,'Industrial Summary'!$D:$D,$E70,'Industrial Summary'!$A:$A,"TOM")+-SUMIFS('Industrial Summary'!$G:$G,'Industrial Summary'!$F:$F,M$17,'Industrial Summary'!$D:$D,"IPARSTM",'Industrial Summary'!$A:$A,"BIO")+-SUMIFS('Industrial Summary'!$G:$G,'Industrial Summary'!$F:$F,M$17,'Industrial Summary'!$D:$D,"IPARSTM",'Industrial Summary'!$A:$A,"WOD")+-SUMIFS('Industrial Summary'!$G:$G,'Industrial Summary'!$F:$F,M$17,'Industrial Summary'!$D:$D,"IPARSTM",'Industrial Summary'!$A:$A,"TOM")+-SUMIFS('Industrial Summary'!$G:$G,'Industrial Summary'!$F:$F,M$17,'Industrial Summary'!$D:$D,"IPARSTM",'Industrial Summary'!$A:$A,"BLQ"))/SUMIFS('Industrial Summary'!$G:$G,'Industrial Summary'!$F:$F,M$17,'Industrial Summary'!$D:$D,$E70)),0))*0.98</f>
        <v>-0.94614427209192153</v>
      </c>
      <c r="N70" s="6">
        <f>(IF(SUMIFS('Industrial Summary'!$G:$G,'Industrial Summary'!$F:$F,N$17,'Industrial Summary'!$D:$D,$E70)&gt;0,((-SUMIFS('Industrial Summary'!$G:$G,'Industrial Summary'!$F:$F,N$17,'Industrial Summary'!$D:$D,$E70,'Industrial Summary'!$A:$A,"BIO")+-SUMIFS('Industrial Summary'!$G:$G,'Industrial Summary'!$F:$F,N$17,'Industrial Summary'!$D:$D,$E70,'Industrial Summary'!$A:$A,"WOD")+-SUMIFS('Industrial Summary'!$G:$G,'Industrial Summary'!$F:$F,N$17,'Industrial Summary'!$D:$D,$E70,'Industrial Summary'!$A:$A,"TOM")+-SUMIFS('Industrial Summary'!$G:$G,'Industrial Summary'!$F:$F,N$17,'Industrial Summary'!$D:$D,"IPARSTM",'Industrial Summary'!$A:$A,"BIO")+-SUMIFS('Industrial Summary'!$G:$G,'Industrial Summary'!$F:$F,N$17,'Industrial Summary'!$D:$D,"IPARSTM",'Industrial Summary'!$A:$A,"WOD")+-SUMIFS('Industrial Summary'!$G:$G,'Industrial Summary'!$F:$F,N$17,'Industrial Summary'!$D:$D,"IPARSTM",'Industrial Summary'!$A:$A,"TOM")+-SUMIFS('Industrial Summary'!$G:$G,'Industrial Summary'!$F:$F,N$17,'Industrial Summary'!$D:$D,"IPARSTM",'Industrial Summary'!$A:$A,"BLQ"))/SUMIFS('Industrial Summary'!$G:$G,'Industrial Summary'!$F:$F,N$17,'Industrial Summary'!$D:$D,$E70)),0))*0.98</f>
        <v>-0.94655376807453473</v>
      </c>
      <c r="O70" s="6">
        <f>(IF(SUMIFS('Industrial Summary'!$G:$G,'Industrial Summary'!$F:$F,O$17,'Industrial Summary'!$D:$D,$E70)&gt;0,((-SUMIFS('Industrial Summary'!$G:$G,'Industrial Summary'!$F:$F,O$17,'Industrial Summary'!$D:$D,$E70,'Industrial Summary'!$A:$A,"BIO")+-SUMIFS('Industrial Summary'!$G:$G,'Industrial Summary'!$F:$F,O$17,'Industrial Summary'!$D:$D,$E70,'Industrial Summary'!$A:$A,"WOD")+-SUMIFS('Industrial Summary'!$G:$G,'Industrial Summary'!$F:$F,O$17,'Industrial Summary'!$D:$D,$E70,'Industrial Summary'!$A:$A,"TOM")+-SUMIFS('Industrial Summary'!$G:$G,'Industrial Summary'!$F:$F,O$17,'Industrial Summary'!$D:$D,"IPARSTM",'Industrial Summary'!$A:$A,"BIO")+-SUMIFS('Industrial Summary'!$G:$G,'Industrial Summary'!$F:$F,O$17,'Industrial Summary'!$D:$D,"IPARSTM",'Industrial Summary'!$A:$A,"WOD")+-SUMIFS('Industrial Summary'!$G:$G,'Industrial Summary'!$F:$F,O$17,'Industrial Summary'!$D:$D,"IPARSTM",'Industrial Summary'!$A:$A,"TOM")+-SUMIFS('Industrial Summary'!$G:$G,'Industrial Summary'!$F:$F,O$17,'Industrial Summary'!$D:$D,"IPARSTM",'Industrial Summary'!$A:$A,"BLQ"))/SUMIFS('Industrial Summary'!$G:$G,'Industrial Summary'!$F:$F,O$17,'Industrial Summary'!$D:$D,$E70)),0))*0.98</f>
        <v>-0.91600056233069016</v>
      </c>
      <c r="P70" s="6">
        <f>(IF(SUMIFS('Industrial Summary'!$G:$G,'Industrial Summary'!$F:$F,P$17,'Industrial Summary'!$D:$D,$E70)&gt;0,((-SUMIFS('Industrial Summary'!$G:$G,'Industrial Summary'!$F:$F,P$17,'Industrial Summary'!$D:$D,$E70,'Industrial Summary'!$A:$A,"BIO")+-SUMIFS('Industrial Summary'!$G:$G,'Industrial Summary'!$F:$F,P$17,'Industrial Summary'!$D:$D,$E70,'Industrial Summary'!$A:$A,"WOD")+-SUMIFS('Industrial Summary'!$G:$G,'Industrial Summary'!$F:$F,P$17,'Industrial Summary'!$D:$D,$E70,'Industrial Summary'!$A:$A,"TOM")+-SUMIFS('Industrial Summary'!$G:$G,'Industrial Summary'!$F:$F,P$17,'Industrial Summary'!$D:$D,"IPARSTM",'Industrial Summary'!$A:$A,"BIO")+-SUMIFS('Industrial Summary'!$G:$G,'Industrial Summary'!$F:$F,P$17,'Industrial Summary'!$D:$D,"IPARSTM",'Industrial Summary'!$A:$A,"WOD")+-SUMIFS('Industrial Summary'!$G:$G,'Industrial Summary'!$F:$F,P$17,'Industrial Summary'!$D:$D,"IPARSTM",'Industrial Summary'!$A:$A,"TOM")+-SUMIFS('Industrial Summary'!$G:$G,'Industrial Summary'!$F:$F,P$17,'Industrial Summary'!$D:$D,"IPARSTM",'Industrial Summary'!$A:$A,"BLQ"))/SUMIFS('Industrial Summary'!$G:$G,'Industrial Summary'!$F:$F,P$17,'Industrial Summary'!$D:$D,$E70)),0))*0.98</f>
        <v>-0.89409972221019585</v>
      </c>
      <c r="Q70" s="5">
        <v>0</v>
      </c>
      <c r="R70" s="5">
        <v>15</v>
      </c>
      <c r="S70" s="5" t="str">
        <f t="shared" si="2"/>
        <v>UC_IPAOH_BIO</v>
      </c>
      <c r="V70" s="4" t="str">
        <f t="shared" si="4"/>
        <v>S_IPAOHBIO</v>
      </c>
      <c r="W70" s="4" t="str">
        <f t="shared" si="5"/>
        <v>IPAOH_BIO</v>
      </c>
      <c r="X70" s="4" t="str">
        <f t="shared" si="6"/>
        <v>IPAOHT</v>
      </c>
      <c r="Y70" s="5" t="str">
        <f t="shared" si="7"/>
        <v>LO</v>
      </c>
      <c r="Z70" s="5">
        <v>1</v>
      </c>
      <c r="AA70" s="6">
        <f t="shared" si="8"/>
        <v>-0.94956602762996534</v>
      </c>
      <c r="AB70" s="6">
        <f t="shared" si="9"/>
        <v>-0.93098924746828804</v>
      </c>
      <c r="AC70" s="6">
        <f t="shared" si="10"/>
        <v>-0.92940474400986806</v>
      </c>
      <c r="AD70" s="6">
        <f t="shared" si="11"/>
        <v>-0.9301742228235016</v>
      </c>
      <c r="AE70" s="6">
        <f t="shared" si="12"/>
        <v>-0.95518791982340956</v>
      </c>
      <c r="AF70" s="6">
        <f t="shared" si="13"/>
        <v>-0.94614427209192153</v>
      </c>
      <c r="AG70" s="6">
        <f t="shared" si="14"/>
        <v>-0.94655376807453473</v>
      </c>
      <c r="AH70" s="6">
        <f t="shared" si="15"/>
        <v>-0.91600056233069016</v>
      </c>
      <c r="AI70" s="6">
        <f t="shared" si="16"/>
        <v>-0.89409972221019585</v>
      </c>
      <c r="AL70" s="5" t="str">
        <f t="shared" si="17"/>
        <v>BIO</v>
      </c>
      <c r="AM70" s="5">
        <f>1</f>
        <v>1</v>
      </c>
    </row>
    <row r="71" spans="1:39" s="5" customFormat="1" x14ac:dyDescent="0.3">
      <c r="C71" s="4" t="s">
        <v>136</v>
      </c>
      <c r="D71" s="5" t="s">
        <v>137</v>
      </c>
      <c r="E71" s="5" t="s">
        <v>754</v>
      </c>
      <c r="F71" s="5" t="s">
        <v>1588</v>
      </c>
      <c r="G71" s="5">
        <v>1</v>
      </c>
      <c r="H71" s="6">
        <f>(IF(SUMIFS('Industrial Summary'!$G:$G,'Industrial Summary'!$F:$F,H$17,'Industrial Summary'!$D:$D,$E71)&gt;0,((-SUMIFS('Industrial Summary'!$G:$G,'Industrial Summary'!$F:$F,H$17,'Industrial Summary'!$D:$D,$E71,'Industrial Summary'!$A:$A,"PTC")+-SUMIFS('Industrial Summary'!$G:$G,'Industrial Summary'!$F:$F,H$17,'Industrial Summary'!$D:$D,"IPARSTM",'Industrial Summary'!$A:$A,"PTC"))/SUMIFS('Industrial Summary'!$G:$G,'Industrial Summary'!$F:$F,H$17,'Industrial Summary'!$D:$D,$E71)),0))*0.98</f>
        <v>0</v>
      </c>
      <c r="I71" s="6">
        <f>(IF(SUMIFS('Industrial Summary'!$G:$G,'Industrial Summary'!$F:$F,I$17,'Industrial Summary'!$D:$D,$E71)&gt;0,((-SUMIFS('Industrial Summary'!$G:$G,'Industrial Summary'!$F:$F,I$17,'Industrial Summary'!$D:$D,$E71,'Industrial Summary'!$A:$A,"PTC")+-SUMIFS('Industrial Summary'!$G:$G,'Industrial Summary'!$F:$F,I$17,'Industrial Summary'!$D:$D,"IPARSTM",'Industrial Summary'!$A:$A,"PTC"))/SUMIFS('Industrial Summary'!$G:$G,'Industrial Summary'!$F:$F,I$17,'Industrial Summary'!$D:$D,$E71)),0))*0.98</f>
        <v>-1.7663091794016161E-2</v>
      </c>
      <c r="J71" s="6">
        <f>(IF(SUMIFS('Industrial Summary'!$G:$G,'Industrial Summary'!$F:$F,J$17,'Industrial Summary'!$D:$D,$E71)&gt;0,((-SUMIFS('Industrial Summary'!$G:$G,'Industrial Summary'!$F:$F,J$17,'Industrial Summary'!$D:$D,$E71,'Industrial Summary'!$A:$A,"PTC")+-SUMIFS('Industrial Summary'!$G:$G,'Industrial Summary'!$F:$F,J$17,'Industrial Summary'!$D:$D,"IPARSTM",'Industrial Summary'!$A:$A,"PTC"))/SUMIFS('Industrial Summary'!$G:$G,'Industrial Summary'!$F:$F,J$17,'Industrial Summary'!$D:$D,$E71)),0))*0.98</f>
        <v>-7.7475598100189089E-3</v>
      </c>
      <c r="K71" s="6">
        <f>(IF(SUMIFS('Industrial Summary'!$G:$G,'Industrial Summary'!$F:$F,K$17,'Industrial Summary'!$D:$D,$E71)&gt;0,((-SUMIFS('Industrial Summary'!$G:$G,'Industrial Summary'!$F:$F,K$17,'Industrial Summary'!$D:$D,$E71,'Industrial Summary'!$A:$A,"PTC")+-SUMIFS('Industrial Summary'!$G:$G,'Industrial Summary'!$F:$F,K$17,'Industrial Summary'!$D:$D,"IPARSTM",'Industrial Summary'!$A:$A,"PTC"))/SUMIFS('Industrial Summary'!$G:$G,'Industrial Summary'!$F:$F,K$17,'Industrial Summary'!$D:$D,$E71)),0))*0.98</f>
        <v>-7.6297309145137385E-3</v>
      </c>
      <c r="L71" s="6">
        <f>(IF(SUMIFS('Industrial Summary'!$G:$G,'Industrial Summary'!$F:$F,L$17,'Industrial Summary'!$D:$D,$E71)&gt;0,((-SUMIFS('Industrial Summary'!$G:$G,'Industrial Summary'!$F:$F,L$17,'Industrial Summary'!$D:$D,$E71,'Industrial Summary'!$A:$A,"PTC")+-SUMIFS('Industrial Summary'!$G:$G,'Industrial Summary'!$F:$F,L$17,'Industrial Summary'!$D:$D,"IPARSTM",'Industrial Summary'!$A:$A,"PTC"))/SUMIFS('Industrial Summary'!$G:$G,'Industrial Summary'!$F:$F,L$17,'Industrial Summary'!$D:$D,$E71)),0))*0.98</f>
        <v>0</v>
      </c>
      <c r="M71" s="6">
        <f>(IF(SUMIFS('Industrial Summary'!$G:$G,'Industrial Summary'!$F:$F,M$17,'Industrial Summary'!$D:$D,$E71)&gt;0,((-SUMIFS('Industrial Summary'!$G:$G,'Industrial Summary'!$F:$F,M$17,'Industrial Summary'!$D:$D,$E71,'Industrial Summary'!$A:$A,"PTC")+-SUMIFS('Industrial Summary'!$G:$G,'Industrial Summary'!$F:$F,M$17,'Industrial Summary'!$D:$D,"IPARSTM",'Industrial Summary'!$A:$A,"PTC"))/SUMIFS('Industrial Summary'!$G:$G,'Industrial Summary'!$F:$F,M$17,'Industrial Summary'!$D:$D,$E71)),0))*0.98</f>
        <v>-8.0541905499587185E-3</v>
      </c>
      <c r="N71" s="6">
        <f>(IF(SUMIFS('Industrial Summary'!$G:$G,'Industrial Summary'!$F:$F,N$17,'Industrial Summary'!$D:$D,$E71)&gt;0,((-SUMIFS('Industrial Summary'!$G:$G,'Industrial Summary'!$F:$F,N$17,'Industrial Summary'!$D:$D,$E71,'Industrial Summary'!$A:$A,"PTC")+-SUMIFS('Industrial Summary'!$G:$G,'Industrial Summary'!$F:$F,N$17,'Industrial Summary'!$D:$D,"IPARSTM",'Industrial Summary'!$A:$A,"PTC"))/SUMIFS('Industrial Summary'!$G:$G,'Industrial Summary'!$F:$F,N$17,'Industrial Summary'!$D:$D,$E71)),0))*0.98</f>
        <v>-7.9567725094325092E-3</v>
      </c>
      <c r="O71" s="6">
        <f>(IF(SUMIFS('Industrial Summary'!$G:$G,'Industrial Summary'!$F:$F,O$17,'Industrial Summary'!$D:$D,$E71)&gt;0,((-SUMIFS('Industrial Summary'!$G:$G,'Industrial Summary'!$F:$F,O$17,'Industrial Summary'!$D:$D,$E71,'Industrial Summary'!$A:$A,"PTC")+-SUMIFS('Industrial Summary'!$G:$G,'Industrial Summary'!$F:$F,O$17,'Industrial Summary'!$D:$D,"IPARSTM",'Industrial Summary'!$A:$A,"PTC"))/SUMIFS('Industrial Summary'!$G:$G,'Industrial Summary'!$F:$F,O$17,'Industrial Summary'!$D:$D,$E71)),0))*0.98</f>
        <v>-6.7986611718446896E-3</v>
      </c>
      <c r="P71" s="6">
        <f>(IF(SUMIFS('Industrial Summary'!$G:$G,'Industrial Summary'!$F:$F,P$17,'Industrial Summary'!$D:$D,$E71)&gt;0,((-SUMIFS('Industrial Summary'!$G:$G,'Industrial Summary'!$F:$F,P$17,'Industrial Summary'!$D:$D,$E71,'Industrial Summary'!$A:$A,"PTC")+-SUMIFS('Industrial Summary'!$G:$G,'Industrial Summary'!$F:$F,P$17,'Industrial Summary'!$D:$D,"IPARSTM",'Industrial Summary'!$A:$A,"PTC"))/SUMIFS('Industrial Summary'!$G:$G,'Industrial Summary'!$F:$F,P$17,'Industrial Summary'!$D:$D,$E71)),0))*0.98</f>
        <v>-9.1251877286414856E-3</v>
      </c>
      <c r="Q71" s="5">
        <v>0</v>
      </c>
      <c r="R71" s="5">
        <v>15</v>
      </c>
      <c r="S71" s="5" t="str">
        <f t="shared" si="2"/>
        <v>UC_IPAOH_PTC</v>
      </c>
      <c r="V71" s="4" t="str">
        <f t="shared" si="4"/>
        <v>S_IPAOHPTC</v>
      </c>
      <c r="W71" s="4" t="str">
        <f t="shared" si="5"/>
        <v>IPAOH_PTC</v>
      </c>
      <c r="X71" s="4" t="str">
        <f t="shared" si="6"/>
        <v>IPAOHT</v>
      </c>
      <c r="Y71" s="5" t="str">
        <f t="shared" si="7"/>
        <v>LO</v>
      </c>
      <c r="Z71" s="5">
        <v>1</v>
      </c>
      <c r="AA71" s="6">
        <f t="shared" si="8"/>
        <v>0</v>
      </c>
      <c r="AB71" s="6">
        <f t="shared" si="9"/>
        <v>-1.7663091794016161E-2</v>
      </c>
      <c r="AC71" s="6">
        <f t="shared" si="10"/>
        <v>-7.7475598100189089E-3</v>
      </c>
      <c r="AD71" s="6">
        <f t="shared" si="11"/>
        <v>-7.6297309145137385E-3</v>
      </c>
      <c r="AE71" s="6">
        <f t="shared" si="12"/>
        <v>0</v>
      </c>
      <c r="AF71" s="6">
        <f t="shared" si="13"/>
        <v>-8.0541905499587185E-3</v>
      </c>
      <c r="AG71" s="6">
        <f t="shared" si="14"/>
        <v>-7.9567725094325092E-3</v>
      </c>
      <c r="AH71" s="6">
        <f t="shared" si="15"/>
        <v>-6.7986611718446896E-3</v>
      </c>
      <c r="AI71" s="6">
        <f t="shared" si="16"/>
        <v>-9.1251877286414856E-3</v>
      </c>
      <c r="AL71" s="5" t="str">
        <f t="shared" si="17"/>
        <v>PTC</v>
      </c>
      <c r="AM71" s="5">
        <f>1</f>
        <v>1</v>
      </c>
    </row>
    <row r="72" spans="1:39" s="5" customFormat="1" x14ac:dyDescent="0.3">
      <c r="A72" s="8"/>
      <c r="C72" s="4" t="s">
        <v>138</v>
      </c>
      <c r="D72" s="5" t="s">
        <v>139</v>
      </c>
      <c r="E72" s="5" t="s">
        <v>754</v>
      </c>
      <c r="F72" s="5" t="s">
        <v>1588</v>
      </c>
      <c r="G72" s="5">
        <v>1</v>
      </c>
      <c r="H72" s="6">
        <f>(IF(SUMIFS('Industrial Summary'!$G:$G,'Industrial Summary'!$F:$F,H$17,'Industrial Summary'!$D:$D,$E72)&gt;0,((-SUMIFS('Industrial Summary'!$G:$G,'Industrial Summary'!$F:$F,H$17,'Industrial Summary'!$D:$D,$E72,'Industrial Summary'!$A:$A,"OTP")+-SUMIFS('Industrial Summary'!$G:$G,'Industrial Summary'!$F:$F,H$17,'Industrial Summary'!$D:$D,"IPARSTM",'Industrial Summary'!$A:$A,"OPT"))/SUMIFS('Industrial Summary'!$G:$G,'Industrial Summary'!$F:$F,H$17,'Industrial Summary'!$D:$D,$E72)),0))*0.98</f>
        <v>-8.0382500287442919E-3</v>
      </c>
      <c r="I72" s="6">
        <f>(IF(SUMIFS('Industrial Summary'!$G:$G,'Industrial Summary'!$F:$F,I$17,'Industrial Summary'!$D:$D,$E72)&gt;0,((-SUMIFS('Industrial Summary'!$G:$G,'Industrial Summary'!$F:$F,I$17,'Industrial Summary'!$D:$D,$E72,'Industrial Summary'!$A:$A,"OTP")+-SUMIFS('Industrial Summary'!$G:$G,'Industrial Summary'!$F:$F,I$17,'Industrial Summary'!$D:$D,"IPARSTM",'Industrial Summary'!$A:$A,"OPT"))/SUMIFS('Industrial Summary'!$G:$G,'Industrial Summary'!$F:$F,I$17,'Industrial Summary'!$D:$D,$E72)),0))*0.98</f>
        <v>-8.2795742784454625E-3</v>
      </c>
      <c r="J72" s="6">
        <f>(IF(SUMIFS('Industrial Summary'!$G:$G,'Industrial Summary'!$F:$F,J$17,'Industrial Summary'!$D:$D,$E72)&gt;0,((-SUMIFS('Industrial Summary'!$G:$G,'Industrial Summary'!$F:$F,J$17,'Industrial Summary'!$D:$D,$E72,'Industrial Summary'!$A:$A,"OTP")+-SUMIFS('Industrial Summary'!$G:$G,'Industrial Summary'!$F:$F,J$17,'Industrial Summary'!$D:$D,"IPARSTM",'Industrial Summary'!$A:$A,"OPT"))/SUMIFS('Industrial Summary'!$G:$G,'Industrial Summary'!$F:$F,J$17,'Industrial Summary'!$D:$D,$E72)),0))*0.98</f>
        <v>-7.7475598100198197E-3</v>
      </c>
      <c r="K72" s="6">
        <f>(IF(SUMIFS('Industrial Summary'!$G:$G,'Industrial Summary'!$F:$F,K$17,'Industrial Summary'!$D:$D,$E72)&gt;0,((-SUMIFS('Industrial Summary'!$G:$G,'Industrial Summary'!$F:$F,K$17,'Industrial Summary'!$D:$D,$E72,'Industrial Summary'!$A:$A,"OTP")+-SUMIFS('Industrial Summary'!$G:$G,'Industrial Summary'!$F:$F,K$17,'Industrial Summary'!$D:$D,"IPARSTM",'Industrial Summary'!$A:$A,"OPT"))/SUMIFS('Industrial Summary'!$G:$G,'Industrial Summary'!$F:$F,K$17,'Industrial Summary'!$D:$D,$E72)),0))*0.98</f>
        <v>-7.6297309145132363E-3</v>
      </c>
      <c r="L72" s="6">
        <f>(IF(SUMIFS('Industrial Summary'!$G:$G,'Industrial Summary'!$F:$F,L$17,'Industrial Summary'!$D:$D,$E72)&gt;0,((-SUMIFS('Industrial Summary'!$G:$G,'Industrial Summary'!$F:$F,L$17,'Industrial Summary'!$D:$D,$E72,'Industrial Summary'!$A:$A,"OTP")+-SUMIFS('Industrial Summary'!$G:$G,'Industrial Summary'!$F:$F,L$17,'Industrial Summary'!$D:$D,"IPARSTM",'Industrial Summary'!$A:$A,"OPT"))/SUMIFS('Industrial Summary'!$G:$G,'Industrial Summary'!$F:$F,L$17,'Industrial Summary'!$D:$D,$E72)),0))*0.98</f>
        <v>-7.7453222615892622E-3</v>
      </c>
      <c r="M72" s="6">
        <f>(IF(SUMIFS('Industrial Summary'!$G:$G,'Industrial Summary'!$F:$F,M$17,'Industrial Summary'!$D:$D,$E72)&gt;0,((-SUMIFS('Industrial Summary'!$G:$G,'Industrial Summary'!$F:$F,M$17,'Industrial Summary'!$D:$D,$E72,'Industrial Summary'!$A:$A,"OTP")+-SUMIFS('Industrial Summary'!$G:$G,'Industrial Summary'!$F:$F,M$17,'Industrial Summary'!$D:$D,"IPARSTM",'Industrial Summary'!$A:$A,"OPT"))/SUMIFS('Industrial Summary'!$G:$G,'Industrial Summary'!$F:$F,M$17,'Industrial Summary'!$D:$D,$E72)),0))*0.98</f>
        <v>-8.0541905499573099E-3</v>
      </c>
      <c r="N72" s="6">
        <f>(IF(SUMIFS('Industrial Summary'!$G:$G,'Industrial Summary'!$F:$F,N$17,'Industrial Summary'!$D:$D,$E72)&gt;0,((-SUMIFS('Industrial Summary'!$G:$G,'Industrial Summary'!$F:$F,N$17,'Industrial Summary'!$D:$D,$E72,'Industrial Summary'!$A:$A,"OTP")+-SUMIFS('Industrial Summary'!$G:$G,'Industrial Summary'!$F:$F,N$17,'Industrial Summary'!$D:$D,"IPARSTM",'Industrial Summary'!$A:$A,"OPT"))/SUMIFS('Industrial Summary'!$G:$G,'Industrial Summary'!$F:$F,N$17,'Industrial Summary'!$D:$D,$E72)),0))*0.98</f>
        <v>-7.9567725094308785E-3</v>
      </c>
      <c r="O72" s="6">
        <f>(IF(SUMIFS('Industrial Summary'!$G:$G,'Industrial Summary'!$F:$F,O$17,'Industrial Summary'!$D:$D,$E72)&gt;0,((-SUMIFS('Industrial Summary'!$G:$G,'Industrial Summary'!$F:$F,O$17,'Industrial Summary'!$D:$D,$E72,'Industrial Summary'!$A:$A,"OTP")+-SUMIFS('Industrial Summary'!$G:$G,'Industrial Summary'!$F:$F,O$17,'Industrial Summary'!$D:$D,"IPARSTM",'Industrial Summary'!$A:$A,"OPT"))/SUMIFS('Industrial Summary'!$G:$G,'Industrial Summary'!$F:$F,O$17,'Industrial Summary'!$D:$D,$E72)),0))*0.98</f>
        <v>-6.7986611718409235E-3</v>
      </c>
      <c r="P72" s="6">
        <f>(IF(SUMIFS('Industrial Summary'!$G:$G,'Industrial Summary'!$F:$F,P$17,'Industrial Summary'!$D:$D,$E72)&gt;0,((-SUMIFS('Industrial Summary'!$G:$G,'Industrial Summary'!$F:$F,P$17,'Industrial Summary'!$D:$D,$E72,'Industrial Summary'!$A:$A,"OTP")+-SUMIFS('Industrial Summary'!$G:$G,'Industrial Summary'!$F:$F,P$17,'Industrial Summary'!$D:$D,"IPARSTM",'Industrial Summary'!$A:$A,"OPT"))/SUMIFS('Industrial Summary'!$G:$G,'Industrial Summary'!$F:$F,P$17,'Industrial Summary'!$D:$D,$E72)),0))*0.98</f>
        <v>-9.1251877286414856E-3</v>
      </c>
      <c r="Q72" s="5">
        <v>0</v>
      </c>
      <c r="R72" s="5">
        <v>15</v>
      </c>
      <c r="S72" s="5" t="str">
        <f t="shared" si="2"/>
        <v>UC_IPAOH_OTP</v>
      </c>
      <c r="V72" s="4" t="str">
        <f t="shared" si="4"/>
        <v>S_IPAOHOTP</v>
      </c>
      <c r="W72" s="4" t="str">
        <f t="shared" si="5"/>
        <v>IPAOH_OTP</v>
      </c>
      <c r="X72" s="4" t="str">
        <f t="shared" si="6"/>
        <v>IPAOHT</v>
      </c>
      <c r="Y72" s="5" t="str">
        <f t="shared" si="7"/>
        <v>LO</v>
      </c>
      <c r="Z72" s="5">
        <v>1</v>
      </c>
      <c r="AA72" s="6">
        <f t="shared" si="8"/>
        <v>-8.0382500287442919E-3</v>
      </c>
      <c r="AB72" s="6">
        <f t="shared" si="9"/>
        <v>-8.2795742784454625E-3</v>
      </c>
      <c r="AC72" s="6">
        <f t="shared" si="10"/>
        <v>-7.7475598100198197E-3</v>
      </c>
      <c r="AD72" s="6">
        <f t="shared" si="11"/>
        <v>-7.6297309145132363E-3</v>
      </c>
      <c r="AE72" s="6">
        <f t="shared" si="12"/>
        <v>-7.7453222615892622E-3</v>
      </c>
      <c r="AF72" s="6">
        <f t="shared" si="13"/>
        <v>-8.0541905499573099E-3</v>
      </c>
      <c r="AG72" s="6">
        <f t="shared" si="14"/>
        <v>-7.9567725094308785E-3</v>
      </c>
      <c r="AH72" s="6">
        <f t="shared" si="15"/>
        <v>-6.7986611718409235E-3</v>
      </c>
      <c r="AI72" s="6">
        <f t="shared" si="16"/>
        <v>-9.1251877286414856E-3</v>
      </c>
      <c r="AL72" s="5" t="str">
        <f t="shared" si="17"/>
        <v>OTP</v>
      </c>
      <c r="AM72" s="5">
        <f>1</f>
        <v>1</v>
      </c>
    </row>
    <row r="73" spans="1:39" s="5" customFormat="1" x14ac:dyDescent="0.3">
      <c r="C73" s="4" t="s">
        <v>142</v>
      </c>
      <c r="D73" s="5" t="s">
        <v>143</v>
      </c>
      <c r="E73" s="5" t="s">
        <v>771</v>
      </c>
      <c r="F73" s="5" t="s">
        <v>1588</v>
      </c>
      <c r="G73" s="5">
        <v>1</v>
      </c>
      <c r="H73" s="6">
        <f>(IF(SUMIFS('Industrial Summary'!$G:$G,'Industrial Summary'!$F:$F,H$17,'Industrial Summary'!$D:$D,$E73)&gt;0,((-SUMIFS('Industrial Summary'!$G:$G,'Industrial Summary'!$F:$F,H$17,'Industrial Summary'!$D:$D,$E73,'Industrial Summary'!$A:$A,"ELC")+-SUMIFS('Industrial Summary'!$G:$G,'Industrial Summary'!$F:$F,H$17,'Industrial Summary'!$D:$D,"IPBFSTM",'Industrial Summary'!$A:$A,"ELC"))/SUMIFS('Industrial Summary'!$G:$G,'Industrial Summary'!$F:$F,H$17,'Industrial Summary'!$D:$D,$E73)),0))*0.98</f>
        <v>0</v>
      </c>
      <c r="I73" s="6">
        <f>(IF(SUMIFS('Industrial Summary'!$G:$G,'Industrial Summary'!$F:$F,I$17,'Industrial Summary'!$D:$D,$E73)&gt;0,((-SUMIFS('Industrial Summary'!$G:$G,'Industrial Summary'!$F:$F,I$17,'Industrial Summary'!$D:$D,$E73,'Industrial Summary'!$A:$A,"ELC")+-SUMIFS('Industrial Summary'!$G:$G,'Industrial Summary'!$F:$F,I$17,'Industrial Summary'!$D:$D,"IPBFSTM",'Industrial Summary'!$A:$A,"ELC"))/SUMIFS('Industrial Summary'!$G:$G,'Industrial Summary'!$F:$F,I$17,'Industrial Summary'!$D:$D,$E73)),0))*0.98</f>
        <v>-1.8221797431063641E-2</v>
      </c>
      <c r="J73" s="6">
        <f>(IF(SUMIFS('Industrial Summary'!$G:$G,'Industrial Summary'!$F:$F,J$17,'Industrial Summary'!$D:$D,$E73)&gt;0,((-SUMIFS('Industrial Summary'!$G:$G,'Industrial Summary'!$F:$F,J$17,'Industrial Summary'!$D:$D,$E73,'Industrial Summary'!$A:$A,"ELC")+-SUMIFS('Industrial Summary'!$G:$G,'Industrial Summary'!$F:$F,J$17,'Industrial Summary'!$D:$D,"IPBFSTM",'Industrial Summary'!$A:$A,"ELC"))/SUMIFS('Industrial Summary'!$G:$G,'Industrial Summary'!$F:$F,J$17,'Industrial Summary'!$D:$D,$E73)),0))*0.98</f>
        <v>-3.0860355753602773E-2</v>
      </c>
      <c r="K73" s="6">
        <f>(IF(SUMIFS('Industrial Summary'!$G:$G,'Industrial Summary'!$F:$F,K$17,'Industrial Summary'!$D:$D,$E73)&gt;0,((-SUMIFS('Industrial Summary'!$G:$G,'Industrial Summary'!$F:$F,K$17,'Industrial Summary'!$D:$D,$E73,'Industrial Summary'!$A:$A,"ELC")+-SUMIFS('Industrial Summary'!$G:$G,'Industrial Summary'!$F:$F,K$17,'Industrial Summary'!$D:$D,"IPBFSTM",'Industrial Summary'!$A:$A,"ELC"))/SUMIFS('Industrial Summary'!$G:$G,'Industrial Summary'!$F:$F,K$17,'Industrial Summary'!$D:$D,$E73)),0))*0.98</f>
        <v>-7.80889500186428E-2</v>
      </c>
      <c r="L73" s="6">
        <f>(IF(SUMIFS('Industrial Summary'!$G:$G,'Industrial Summary'!$F:$F,L$17,'Industrial Summary'!$D:$D,$E73)&gt;0,((-SUMIFS('Industrial Summary'!$G:$G,'Industrial Summary'!$F:$F,L$17,'Industrial Summary'!$D:$D,$E73,'Industrial Summary'!$A:$A,"ELC")+-SUMIFS('Industrial Summary'!$G:$G,'Industrial Summary'!$F:$F,L$17,'Industrial Summary'!$D:$D,"IPBFSTM",'Industrial Summary'!$A:$A,"ELC"))/SUMIFS('Industrial Summary'!$G:$G,'Industrial Summary'!$F:$F,L$17,'Industrial Summary'!$D:$D,$E73)),0))*0.98</f>
        <v>-1.5475654609308971E-2</v>
      </c>
      <c r="M73" s="6">
        <f>(IF(SUMIFS('Industrial Summary'!$G:$G,'Industrial Summary'!$F:$F,M$17,'Industrial Summary'!$D:$D,$E73)&gt;0,((-SUMIFS('Industrial Summary'!$G:$G,'Industrial Summary'!$F:$F,M$17,'Industrial Summary'!$D:$D,$E73,'Industrial Summary'!$A:$A,"ELC")+-SUMIFS('Industrial Summary'!$G:$G,'Industrial Summary'!$F:$F,M$17,'Industrial Summary'!$D:$D,"IPBFSTM",'Industrial Summary'!$A:$A,"ELC"))/SUMIFS('Industrial Summary'!$G:$G,'Industrial Summary'!$F:$F,M$17,'Industrial Summary'!$D:$D,$E73)),0))*0.98</f>
        <v>-2.5341233890731903E-2</v>
      </c>
      <c r="N73" s="6">
        <f>(IF(SUMIFS('Industrial Summary'!$G:$G,'Industrial Summary'!$F:$F,N$17,'Industrial Summary'!$D:$D,$E73)&gt;0,((-SUMIFS('Industrial Summary'!$G:$G,'Industrial Summary'!$F:$F,N$17,'Industrial Summary'!$D:$D,$E73,'Industrial Summary'!$A:$A,"ELC")+-SUMIFS('Industrial Summary'!$G:$G,'Industrial Summary'!$F:$F,N$17,'Industrial Summary'!$D:$D,"IPBFSTM",'Industrial Summary'!$A:$A,"ELC"))/SUMIFS('Industrial Summary'!$G:$G,'Industrial Summary'!$F:$F,N$17,'Industrial Summary'!$D:$D,$E73)),0))*0.98</f>
        <v>-1.3231268188084493E-2</v>
      </c>
      <c r="O73" s="6">
        <f>(IF(SUMIFS('Industrial Summary'!$G:$G,'Industrial Summary'!$F:$F,O$17,'Industrial Summary'!$D:$D,$E73)&gt;0,((-SUMIFS('Industrial Summary'!$G:$G,'Industrial Summary'!$F:$F,O$17,'Industrial Summary'!$D:$D,$E73,'Industrial Summary'!$A:$A,"ELC")+-SUMIFS('Industrial Summary'!$G:$G,'Industrial Summary'!$F:$F,O$17,'Industrial Summary'!$D:$D,"IPBFSTM",'Industrial Summary'!$A:$A,"ELC"))/SUMIFS('Industrial Summary'!$G:$G,'Industrial Summary'!$F:$F,O$17,'Industrial Summary'!$D:$D,$E73)),0))*0.98</f>
        <v>-3.0550241827994224E-2</v>
      </c>
      <c r="P73" s="6">
        <f>(IF(SUMIFS('Industrial Summary'!$G:$G,'Industrial Summary'!$F:$F,P$17,'Industrial Summary'!$D:$D,$E73)&gt;0,((-SUMIFS('Industrial Summary'!$G:$G,'Industrial Summary'!$F:$F,P$17,'Industrial Summary'!$D:$D,$E73,'Industrial Summary'!$A:$A,"ELC")+-SUMIFS('Industrial Summary'!$G:$G,'Industrial Summary'!$F:$F,P$17,'Industrial Summary'!$D:$D,"IPBFSTM",'Industrial Summary'!$A:$A,"ELC"))/SUMIFS('Industrial Summary'!$G:$G,'Industrial Summary'!$F:$F,P$17,'Industrial Summary'!$D:$D,$E73)),0))*0.98</f>
        <v>-1.2202754755724616E-2</v>
      </c>
      <c r="Q73" s="5">
        <v>0</v>
      </c>
      <c r="R73" s="5">
        <v>15</v>
      </c>
      <c r="S73" s="5" t="str">
        <f t="shared" si="2"/>
        <v>UC_IPBST_ELC</v>
      </c>
      <c r="V73" s="4" t="str">
        <f t="shared" si="4"/>
        <v>S_IPBSTELC</v>
      </c>
      <c r="W73" s="4" t="str">
        <f t="shared" si="5"/>
        <v>IPBST_ELC</v>
      </c>
      <c r="X73" s="4" t="str">
        <f t="shared" si="6"/>
        <v>IPBSTM</v>
      </c>
      <c r="Y73" s="5" t="str">
        <f t="shared" si="7"/>
        <v>LO</v>
      </c>
      <c r="Z73" s="5">
        <v>1</v>
      </c>
      <c r="AA73" s="6">
        <f t="shared" si="8"/>
        <v>0</v>
      </c>
      <c r="AB73" s="6">
        <f t="shared" si="9"/>
        <v>-1.8221797431063641E-2</v>
      </c>
      <c r="AC73" s="6">
        <f t="shared" si="10"/>
        <v>-3.0860355753602773E-2</v>
      </c>
      <c r="AD73" s="6">
        <f t="shared" si="11"/>
        <v>-7.80889500186428E-2</v>
      </c>
      <c r="AE73" s="6">
        <f t="shared" si="12"/>
        <v>-1.5475654609308971E-2</v>
      </c>
      <c r="AF73" s="6">
        <f t="shared" si="13"/>
        <v>-2.5341233890731903E-2</v>
      </c>
      <c r="AG73" s="6">
        <f t="shared" si="14"/>
        <v>-1.3231268188084493E-2</v>
      </c>
      <c r="AH73" s="6">
        <f t="shared" si="15"/>
        <v>-3.0550241827994224E-2</v>
      </c>
      <c r="AI73" s="6">
        <f t="shared" si="16"/>
        <v>-1.2202754755724616E-2</v>
      </c>
      <c r="AL73" s="5" t="str">
        <f t="shared" si="17"/>
        <v>ELC</v>
      </c>
      <c r="AM73" s="5">
        <f>1</f>
        <v>1</v>
      </c>
    </row>
    <row r="74" spans="1:39" s="5" customFormat="1" x14ac:dyDescent="0.3">
      <c r="C74" s="4" t="s">
        <v>146</v>
      </c>
      <c r="D74" s="5" t="s">
        <v>147</v>
      </c>
      <c r="E74" s="5" t="s">
        <v>771</v>
      </c>
      <c r="F74" s="5" t="s">
        <v>1588</v>
      </c>
      <c r="G74" s="5">
        <v>1</v>
      </c>
      <c r="H74" s="6">
        <f>(IF(SUMIFS('Industrial Summary'!$G:$G,'Industrial Summary'!$F:$F,H$17,'Industrial Summary'!$D:$D,$E74)&gt;0,((-SUMIFS('Industrial Summary'!$G:$G,'Industrial Summary'!$F:$F,H$17,'Industrial Summary'!$D:$D,$E74,'Industrial Summary'!$A:$A,"NGA")+-SUMIFS('Industrial Summary'!$G:$G,'Industrial Summary'!$F:$F,H$17,'Industrial Summary'!$D:$D,"IPBFSTM",'Industrial Summary'!$A:$A,"NGA"))/SUMIFS('Industrial Summary'!$G:$G,'Industrial Summary'!$F:$F,H$17,'Industrial Summary'!$D:$D,$E74)),0))*0.98</f>
        <v>-0.36674715411609426</v>
      </c>
      <c r="I74" s="6">
        <f>(IF(SUMIFS('Industrial Summary'!$G:$G,'Industrial Summary'!$F:$F,I$17,'Industrial Summary'!$D:$D,$E74)&gt;0,((-SUMIFS('Industrial Summary'!$G:$G,'Industrial Summary'!$F:$F,I$17,'Industrial Summary'!$D:$D,$E74,'Industrial Summary'!$A:$A,"NGA")+-SUMIFS('Industrial Summary'!$G:$G,'Industrial Summary'!$F:$F,I$17,'Industrial Summary'!$D:$D,"IPBFSTM",'Industrial Summary'!$A:$A,"NGA"))/SUMIFS('Industrial Summary'!$G:$G,'Industrial Summary'!$F:$F,I$17,'Industrial Summary'!$D:$D,$E74)),0))*0.98</f>
        <v>-0.89838504589655654</v>
      </c>
      <c r="J74" s="6">
        <f>(IF(SUMIFS('Industrial Summary'!$G:$G,'Industrial Summary'!$F:$F,J$17,'Industrial Summary'!$D:$D,$E74)&gt;0,((-SUMIFS('Industrial Summary'!$G:$G,'Industrial Summary'!$F:$F,J$17,'Industrial Summary'!$D:$D,$E74,'Industrial Summary'!$A:$A,"NGA")+-SUMIFS('Industrial Summary'!$G:$G,'Industrial Summary'!$F:$F,J$17,'Industrial Summary'!$D:$D,"IPBFSTM",'Industrial Summary'!$A:$A,"NGA"))/SUMIFS('Industrial Summary'!$G:$G,'Industrial Summary'!$F:$F,J$17,'Industrial Summary'!$D:$D,$E74)),0))*0.98</f>
        <v>0</v>
      </c>
      <c r="K74" s="6">
        <f>(IF(SUMIFS('Industrial Summary'!$G:$G,'Industrial Summary'!$F:$F,K$17,'Industrial Summary'!$D:$D,$E74)&gt;0,((-SUMIFS('Industrial Summary'!$G:$G,'Industrial Summary'!$F:$F,K$17,'Industrial Summary'!$D:$D,$E74,'Industrial Summary'!$A:$A,"NGA")+-SUMIFS('Industrial Summary'!$G:$G,'Industrial Summary'!$F:$F,K$17,'Industrial Summary'!$D:$D,"IPBFSTM",'Industrial Summary'!$A:$A,"NGA"))/SUMIFS('Industrial Summary'!$G:$G,'Industrial Summary'!$F:$F,K$17,'Industrial Summary'!$D:$D,$E74)),0))*0.98</f>
        <v>-0.90191104998135718</v>
      </c>
      <c r="L74" s="6">
        <f>(IF(SUMIFS('Industrial Summary'!$G:$G,'Industrial Summary'!$F:$F,L$17,'Industrial Summary'!$D:$D,$E74)&gt;0,((-SUMIFS('Industrial Summary'!$G:$G,'Industrial Summary'!$F:$F,L$17,'Industrial Summary'!$D:$D,$E74,'Industrial Summary'!$A:$A,"NGA")+-SUMIFS('Industrial Summary'!$G:$G,'Industrial Summary'!$F:$F,L$17,'Industrial Summary'!$D:$D,"IPBFSTM",'Industrial Summary'!$A:$A,"NGA"))/SUMIFS('Industrial Summary'!$G:$G,'Industrial Summary'!$F:$F,L$17,'Industrial Summary'!$D:$D,$E74)),0))*0.98</f>
        <v>-4.6988240974406528E-2</v>
      </c>
      <c r="M74" s="6">
        <f>(IF(SUMIFS('Industrial Summary'!$G:$G,'Industrial Summary'!$F:$F,M$17,'Industrial Summary'!$D:$D,$E74)&gt;0,((-SUMIFS('Industrial Summary'!$G:$G,'Industrial Summary'!$F:$F,M$17,'Industrial Summary'!$D:$D,$E74,'Industrial Summary'!$A:$A,"NGA")+-SUMIFS('Industrial Summary'!$G:$G,'Industrial Summary'!$F:$F,M$17,'Industrial Summary'!$D:$D,"IPBFSTM",'Industrial Summary'!$A:$A,"NGA"))/SUMIFS('Industrial Summary'!$G:$G,'Industrial Summary'!$F:$F,M$17,'Industrial Summary'!$D:$D,$E74)),0))*0.98</f>
        <v>0</v>
      </c>
      <c r="N74" s="6">
        <f>(IF(SUMIFS('Industrial Summary'!$G:$G,'Industrial Summary'!$F:$F,N$17,'Industrial Summary'!$D:$D,$E74)&gt;0,((-SUMIFS('Industrial Summary'!$G:$G,'Industrial Summary'!$F:$F,N$17,'Industrial Summary'!$D:$D,$E74,'Industrial Summary'!$A:$A,"NGA")+-SUMIFS('Industrial Summary'!$G:$G,'Industrial Summary'!$F:$F,N$17,'Industrial Summary'!$D:$D,"IPBFSTM",'Industrial Summary'!$A:$A,"NGA"))/SUMIFS('Industrial Summary'!$G:$G,'Industrial Summary'!$F:$F,N$17,'Industrial Summary'!$D:$D,$E74)),0))*0.98</f>
        <v>-0.96240144119834659</v>
      </c>
      <c r="O74" s="6">
        <f>(IF(SUMIFS('Industrial Summary'!$G:$G,'Industrial Summary'!$F:$F,O$17,'Industrial Summary'!$D:$D,$E74)&gt;0,((-SUMIFS('Industrial Summary'!$G:$G,'Industrial Summary'!$F:$F,O$17,'Industrial Summary'!$D:$D,$E74,'Industrial Summary'!$A:$A,"NGA")+-SUMIFS('Industrial Summary'!$G:$G,'Industrial Summary'!$F:$F,O$17,'Industrial Summary'!$D:$D,"IPBFSTM",'Industrial Summary'!$A:$A,"NGA"))/SUMIFS('Industrial Summary'!$G:$G,'Industrial Summary'!$F:$F,O$17,'Industrial Summary'!$D:$D,$E74)),0))*0.98</f>
        <v>-0.94944975817200583</v>
      </c>
      <c r="P74" s="6">
        <f>(IF(SUMIFS('Industrial Summary'!$G:$G,'Industrial Summary'!$F:$F,P$17,'Industrial Summary'!$D:$D,$E74)&gt;0,((-SUMIFS('Industrial Summary'!$G:$G,'Industrial Summary'!$F:$F,P$17,'Industrial Summary'!$D:$D,$E74,'Industrial Summary'!$A:$A,"NGA")+-SUMIFS('Industrial Summary'!$G:$G,'Industrial Summary'!$F:$F,P$17,'Industrial Summary'!$D:$D,"IPBFSTM",'Industrial Summary'!$A:$A,"NGA"))/SUMIFS('Industrial Summary'!$G:$G,'Industrial Summary'!$F:$F,P$17,'Industrial Summary'!$D:$D,$E74)),0))*0.98</f>
        <v>-0.96779724524427535</v>
      </c>
      <c r="Q74" s="5">
        <v>0</v>
      </c>
      <c r="R74" s="5">
        <v>15</v>
      </c>
      <c r="S74" s="5" t="str">
        <f t="shared" si="2"/>
        <v>UC_IPBST_NGA</v>
      </c>
      <c r="V74" s="4" t="str">
        <f t="shared" si="4"/>
        <v>S_IPBSTNGA</v>
      </c>
      <c r="W74" s="4" t="str">
        <f t="shared" si="5"/>
        <v>IPBST_NGA</v>
      </c>
      <c r="X74" s="4" t="str">
        <f t="shared" si="6"/>
        <v>IPBSTM</v>
      </c>
      <c r="Y74" s="5" t="str">
        <f t="shared" si="7"/>
        <v>LO</v>
      </c>
      <c r="Z74" s="5">
        <v>1</v>
      </c>
      <c r="AA74" s="6">
        <f t="shared" si="8"/>
        <v>-0.24938806479894407</v>
      </c>
      <c r="AB74" s="6">
        <f t="shared" si="9"/>
        <v>-0.61090183120965835</v>
      </c>
      <c r="AC74" s="6">
        <f t="shared" si="10"/>
        <v>0</v>
      </c>
      <c r="AD74" s="6">
        <f t="shared" si="11"/>
        <v>-0.61329951398732285</v>
      </c>
      <c r="AE74" s="6">
        <f t="shared" si="12"/>
        <v>-3.1952003862596438E-2</v>
      </c>
      <c r="AF74" s="6">
        <f t="shared" si="13"/>
        <v>0</v>
      </c>
      <c r="AG74" s="6">
        <f t="shared" si="14"/>
        <v>-0.6544329800148756</v>
      </c>
      <c r="AH74" s="6">
        <f t="shared" si="15"/>
        <v>-0.64562583555696396</v>
      </c>
      <c r="AI74" s="6">
        <f t="shared" si="16"/>
        <v>-0.65810212676610713</v>
      </c>
      <c r="AL74" s="5" t="str">
        <f t="shared" si="17"/>
        <v>NGA</v>
      </c>
      <c r="AM74" s="5">
        <f>Y6</f>
        <v>0.67999999999999994</v>
      </c>
    </row>
    <row r="75" spans="1:39" s="5" customFormat="1" x14ac:dyDescent="0.3">
      <c r="C75" s="4" t="s">
        <v>144</v>
      </c>
      <c r="D75" s="5" t="s">
        <v>145</v>
      </c>
      <c r="E75" s="5" t="s">
        <v>771</v>
      </c>
      <c r="F75" s="5" t="s">
        <v>1588</v>
      </c>
      <c r="G75" s="5">
        <v>1</v>
      </c>
      <c r="H75" s="6">
        <f>(IF(SUMIFS('Industrial Summary'!$G:$G,'Industrial Summary'!$F:$F,H$17,'Industrial Summary'!$D:$D,$E75)&gt;0,((-SUMIFS('Industrial Summary'!$G:$G,'Industrial Summary'!$F:$F,H$17,'Industrial Summary'!$D:$D,$E75,'Industrial Summary'!$A:$A,"RFL")+-SUMIFS('Industrial Summary'!$G:$G,'Industrial Summary'!$F:$F,H$17,'Industrial Summary'!$D:$D,"IPBFSTM",'Industrial Summary'!$A:$A,"RFL"))/SUMIFS('Industrial Summary'!$G:$G,'Industrial Summary'!$F:$F,H$17,'Industrial Summary'!$D:$D,$E75)),0))*0.98</f>
        <v>-0.61325284588390605</v>
      </c>
      <c r="I75" s="6">
        <f>(IF(SUMIFS('Industrial Summary'!$G:$G,'Industrial Summary'!$F:$F,I$17,'Industrial Summary'!$D:$D,$E75)&gt;0,((-SUMIFS('Industrial Summary'!$G:$G,'Industrial Summary'!$F:$F,I$17,'Industrial Summary'!$D:$D,$E75,'Industrial Summary'!$A:$A,"RFL")+-SUMIFS('Industrial Summary'!$G:$G,'Industrial Summary'!$F:$F,I$17,'Industrial Summary'!$D:$D,"IPBFSTM",'Industrial Summary'!$A:$A,"RFL"))/SUMIFS('Industrial Summary'!$G:$G,'Industrial Summary'!$F:$F,I$17,'Industrial Summary'!$D:$D,$E75)),0))*0.98</f>
        <v>-6.3393156672380518E-2</v>
      </c>
      <c r="J75" s="6">
        <f>(IF(SUMIFS('Industrial Summary'!$G:$G,'Industrial Summary'!$F:$F,J$17,'Industrial Summary'!$D:$D,$E75)&gt;0,((-SUMIFS('Industrial Summary'!$G:$G,'Industrial Summary'!$F:$F,J$17,'Industrial Summary'!$D:$D,$E75,'Industrial Summary'!$A:$A,"RFL")+-SUMIFS('Industrial Summary'!$G:$G,'Industrial Summary'!$F:$F,J$17,'Industrial Summary'!$D:$D,"IPBFSTM",'Industrial Summary'!$A:$A,"RFL"))/SUMIFS('Industrial Summary'!$G:$G,'Industrial Summary'!$F:$F,J$17,'Industrial Summary'!$D:$D,$E75)),0))*0.98</f>
        <v>0</v>
      </c>
      <c r="K75" s="6">
        <f>(IF(SUMIFS('Industrial Summary'!$G:$G,'Industrial Summary'!$F:$F,K$17,'Industrial Summary'!$D:$D,$E75)&gt;0,((-SUMIFS('Industrial Summary'!$G:$G,'Industrial Summary'!$F:$F,K$17,'Industrial Summary'!$D:$D,$E75,'Industrial Summary'!$A:$A,"RFL")+-SUMIFS('Industrial Summary'!$G:$G,'Industrial Summary'!$F:$F,K$17,'Industrial Summary'!$D:$D,"IPBFSTM",'Industrial Summary'!$A:$A,"RFL"))/SUMIFS('Industrial Summary'!$G:$G,'Industrial Summary'!$F:$F,K$17,'Industrial Summary'!$D:$D,$E75)),0))*0.98</f>
        <v>0</v>
      </c>
      <c r="L75" s="6">
        <f>(IF(SUMIFS('Industrial Summary'!$G:$G,'Industrial Summary'!$F:$F,L$17,'Industrial Summary'!$D:$D,$E75)&gt;0,((-SUMIFS('Industrial Summary'!$G:$G,'Industrial Summary'!$F:$F,L$17,'Industrial Summary'!$D:$D,$E75,'Industrial Summary'!$A:$A,"RFL")+-SUMIFS('Industrial Summary'!$G:$G,'Industrial Summary'!$F:$F,L$17,'Industrial Summary'!$D:$D,"IPBFSTM",'Industrial Summary'!$A:$A,"RFL"))/SUMIFS('Industrial Summary'!$G:$G,'Industrial Summary'!$F:$F,L$17,'Industrial Summary'!$D:$D,$E75)),0))*0.98</f>
        <v>0</v>
      </c>
      <c r="M75" s="6">
        <f>(IF(SUMIFS('Industrial Summary'!$G:$G,'Industrial Summary'!$F:$F,M$17,'Industrial Summary'!$D:$D,$E75)&gt;0,((-SUMIFS('Industrial Summary'!$G:$G,'Industrial Summary'!$F:$F,M$17,'Industrial Summary'!$D:$D,$E75,'Industrial Summary'!$A:$A,"RFL")+-SUMIFS('Industrial Summary'!$G:$G,'Industrial Summary'!$F:$F,M$17,'Industrial Summary'!$D:$D,"IPBFSTM",'Industrial Summary'!$A:$A,"RFL"))/SUMIFS('Industrial Summary'!$G:$G,'Industrial Summary'!$F:$F,M$17,'Industrial Summary'!$D:$D,$E75)),0))*0.98</f>
        <v>-3.6605603555250048E-2</v>
      </c>
      <c r="N75" s="6">
        <f>(IF(SUMIFS('Industrial Summary'!$G:$G,'Industrial Summary'!$F:$F,N$17,'Industrial Summary'!$D:$D,$E75)&gt;0,((-SUMIFS('Industrial Summary'!$G:$G,'Industrial Summary'!$F:$F,N$17,'Industrial Summary'!$D:$D,$E75,'Industrial Summary'!$A:$A,"RFL")+-SUMIFS('Industrial Summary'!$G:$G,'Industrial Summary'!$F:$F,N$17,'Industrial Summary'!$D:$D,"IPBFSTM",'Industrial Summary'!$A:$A,"RFL"))/SUMIFS('Industrial Summary'!$G:$G,'Industrial Summary'!$F:$F,N$17,'Industrial Summary'!$D:$D,$E75)),0))*0.98</f>
        <v>-4.3672906135688262E-3</v>
      </c>
      <c r="O75" s="6">
        <f>(IF(SUMIFS('Industrial Summary'!$G:$G,'Industrial Summary'!$F:$F,O$17,'Industrial Summary'!$D:$D,$E75)&gt;0,((-SUMIFS('Industrial Summary'!$G:$G,'Industrial Summary'!$F:$F,O$17,'Industrial Summary'!$D:$D,$E75,'Industrial Summary'!$A:$A,"RFL")+-SUMIFS('Industrial Summary'!$G:$G,'Industrial Summary'!$F:$F,O$17,'Industrial Summary'!$D:$D,"IPBFSTM",'Industrial Summary'!$A:$A,"RFL"))/SUMIFS('Industrial Summary'!$G:$G,'Industrial Summary'!$F:$F,O$17,'Industrial Summary'!$D:$D,$E75)),0))*0.98</f>
        <v>0</v>
      </c>
      <c r="P75" s="6">
        <f>(IF(SUMIFS('Industrial Summary'!$G:$G,'Industrial Summary'!$F:$F,P$17,'Industrial Summary'!$D:$D,$E75)&gt;0,((-SUMIFS('Industrial Summary'!$G:$G,'Industrial Summary'!$F:$F,P$17,'Industrial Summary'!$D:$D,$E75,'Industrial Summary'!$A:$A,"RFL")+-SUMIFS('Industrial Summary'!$G:$G,'Industrial Summary'!$F:$F,P$17,'Industrial Summary'!$D:$D,"IPBFSTM",'Industrial Summary'!$A:$A,"RFL"))/SUMIFS('Industrial Summary'!$G:$G,'Industrial Summary'!$F:$F,P$17,'Industrial Summary'!$D:$D,$E75)),0))*0.98</f>
        <v>0</v>
      </c>
      <c r="Q75" s="5">
        <v>0</v>
      </c>
      <c r="R75" s="5">
        <v>15</v>
      </c>
      <c r="S75" s="5" t="str">
        <f t="shared" si="2"/>
        <v>UC_IPBST_RFL</v>
      </c>
      <c r="V75" s="4" t="str">
        <f t="shared" si="4"/>
        <v>S_IPBSTRFL</v>
      </c>
      <c r="W75" s="4" t="str">
        <f t="shared" si="5"/>
        <v>IPBST_RFL</v>
      </c>
      <c r="X75" s="4" t="str">
        <f t="shared" si="6"/>
        <v>IPBSTM</v>
      </c>
      <c r="Y75" s="5" t="str">
        <f t="shared" si="7"/>
        <v>LO</v>
      </c>
      <c r="Z75" s="5">
        <v>1</v>
      </c>
      <c r="AA75" s="6">
        <f t="shared" si="8"/>
        <v>-0.61325284588390605</v>
      </c>
      <c r="AB75" s="6">
        <f t="shared" si="9"/>
        <v>-6.3393156672380518E-2</v>
      </c>
      <c r="AC75" s="6">
        <f t="shared" si="10"/>
        <v>0</v>
      </c>
      <c r="AD75" s="6">
        <f t="shared" si="11"/>
        <v>0</v>
      </c>
      <c r="AE75" s="6">
        <f t="shared" si="12"/>
        <v>0</v>
      </c>
      <c r="AF75" s="6">
        <f t="shared" si="13"/>
        <v>-3.6605603555250048E-2</v>
      </c>
      <c r="AG75" s="6">
        <f t="shared" si="14"/>
        <v>-4.3672906135688262E-3</v>
      </c>
      <c r="AH75" s="6">
        <f t="shared" si="15"/>
        <v>0</v>
      </c>
      <c r="AI75" s="6">
        <f t="shared" si="16"/>
        <v>0</v>
      </c>
      <c r="AL75" s="5" t="str">
        <f t="shared" si="17"/>
        <v>RFL</v>
      </c>
      <c r="AM75" s="5">
        <f>1</f>
        <v>1</v>
      </c>
    </row>
    <row r="76" spans="1:39" s="5" customFormat="1" x14ac:dyDescent="0.3">
      <c r="A76" s="8"/>
      <c r="C76" s="4" t="s">
        <v>148</v>
      </c>
      <c r="D76" s="5" t="s">
        <v>149</v>
      </c>
      <c r="E76" s="5" t="s">
        <v>771</v>
      </c>
      <c r="F76" s="5" t="s">
        <v>1591</v>
      </c>
      <c r="G76" s="5">
        <v>1</v>
      </c>
      <c r="H76" s="6">
        <f>(IF(SUMIFS('Industrial Summary'!$G:$G,'Industrial Summary'!$F:$F,H$17,'Industrial Summary'!$D:$D,$E76)&gt;0,((-SUMIFS('Industrial Summary'!$G:$G,'Industrial Summary'!$F:$F,H$17,'Industrial Summary'!$D:$D,$E76,'Industrial Summary'!$A:$A,"COA")+-SUMIFS('Industrial Summary'!$G:$G,'Industrial Summary'!$F:$F,H$17,'Industrial Summary'!$D:$D,"IPBFSTM",'Industrial Summary'!$A:$A,"COA"))/SUMIFS('Industrial Summary'!$G:$G,'Industrial Summary'!$F:$F,H$17,'Industrial Summary'!$D:$D,$E76)),0))*0.98</f>
        <v>0</v>
      </c>
      <c r="I76" s="6">
        <f>(IF(SUMIFS('Industrial Summary'!$G:$G,'Industrial Summary'!$F:$F,I$17,'Industrial Summary'!$D:$D,$E76)&gt;0,((-SUMIFS('Industrial Summary'!$G:$G,'Industrial Summary'!$F:$F,I$17,'Industrial Summary'!$D:$D,$E76,'Industrial Summary'!$A:$A,"COA")+-SUMIFS('Industrial Summary'!$G:$G,'Industrial Summary'!$F:$F,I$17,'Industrial Summary'!$D:$D,"IPBFSTM",'Industrial Summary'!$A:$A,"COA"))/SUMIFS('Industrial Summary'!$G:$G,'Industrial Summary'!$F:$F,I$17,'Industrial Summary'!$D:$D,$E76)),0))*0.98</f>
        <v>0</v>
      </c>
      <c r="J76" s="6">
        <f>(IF(SUMIFS('Industrial Summary'!$G:$G,'Industrial Summary'!$F:$F,J$17,'Industrial Summary'!$D:$D,$E76)&gt;0,((-SUMIFS('Industrial Summary'!$G:$G,'Industrial Summary'!$F:$F,J$17,'Industrial Summary'!$D:$D,$E76,'Industrial Summary'!$A:$A,"COA")+-SUMIFS('Industrial Summary'!$G:$G,'Industrial Summary'!$F:$F,J$17,'Industrial Summary'!$D:$D,"IPBFSTM",'Industrial Summary'!$A:$A,"COA"))/SUMIFS('Industrial Summary'!$G:$G,'Industrial Summary'!$F:$F,J$17,'Industrial Summary'!$D:$D,$E76)),0))*0.98</f>
        <v>-0.94913964424639707</v>
      </c>
      <c r="K76" s="6">
        <f>(IF(SUMIFS('Industrial Summary'!$G:$G,'Industrial Summary'!$F:$F,K$17,'Industrial Summary'!$D:$D,$E76)&gt;0,((-SUMIFS('Industrial Summary'!$G:$G,'Industrial Summary'!$F:$F,K$17,'Industrial Summary'!$D:$D,$E76,'Industrial Summary'!$A:$A,"COA")+-SUMIFS('Industrial Summary'!$G:$G,'Industrial Summary'!$F:$F,K$17,'Industrial Summary'!$D:$D,"IPBFSTM",'Industrial Summary'!$A:$A,"COA"))/SUMIFS('Industrial Summary'!$G:$G,'Industrial Summary'!$F:$F,K$17,'Industrial Summary'!$D:$D,$E76)),0))*0.98</f>
        <v>0</v>
      </c>
      <c r="L76" s="6">
        <f>(IF(SUMIFS('Industrial Summary'!$G:$G,'Industrial Summary'!$F:$F,L$17,'Industrial Summary'!$D:$D,$E76)&gt;0,((-SUMIFS('Industrial Summary'!$G:$G,'Industrial Summary'!$F:$F,L$17,'Industrial Summary'!$D:$D,$E76,'Industrial Summary'!$A:$A,"COA")+-SUMIFS('Industrial Summary'!$G:$G,'Industrial Summary'!$F:$F,L$17,'Industrial Summary'!$D:$D,"IPBFSTM",'Industrial Summary'!$A:$A,"COA"))/SUMIFS('Industrial Summary'!$G:$G,'Industrial Summary'!$F:$F,L$17,'Industrial Summary'!$D:$D,$E76)),0))*0.98</f>
        <v>-0.9175361044162863</v>
      </c>
      <c r="M76" s="6">
        <f>(IF(SUMIFS('Industrial Summary'!$G:$G,'Industrial Summary'!$F:$F,M$17,'Industrial Summary'!$D:$D,$E76)&gt;0,((-SUMIFS('Industrial Summary'!$G:$G,'Industrial Summary'!$F:$F,M$17,'Industrial Summary'!$D:$D,$E76,'Industrial Summary'!$A:$A,"COA")+-SUMIFS('Industrial Summary'!$G:$G,'Industrial Summary'!$F:$F,M$17,'Industrial Summary'!$D:$D,"IPBFSTM",'Industrial Summary'!$A:$A,"COA"))/SUMIFS('Industrial Summary'!$G:$G,'Industrial Summary'!$F:$F,M$17,'Industrial Summary'!$D:$D,$E76)),0))*0.98</f>
        <v>-0.91647158026413511</v>
      </c>
      <c r="N76" s="6">
        <f>(IF(SUMIFS('Industrial Summary'!$G:$G,'Industrial Summary'!$F:$F,N$17,'Industrial Summary'!$D:$D,$E76)&gt;0,((-SUMIFS('Industrial Summary'!$G:$G,'Industrial Summary'!$F:$F,N$17,'Industrial Summary'!$D:$D,$E76,'Industrial Summary'!$A:$A,"COA")+-SUMIFS('Industrial Summary'!$G:$G,'Industrial Summary'!$F:$F,N$17,'Industrial Summary'!$D:$D,"IPBFSTM",'Industrial Summary'!$A:$A,"COA"))/SUMIFS('Industrial Summary'!$G:$G,'Industrial Summary'!$F:$F,N$17,'Industrial Summary'!$D:$D,$E76)),0))*0.98</f>
        <v>0</v>
      </c>
      <c r="O76" s="6">
        <f>(IF(SUMIFS('Industrial Summary'!$G:$G,'Industrial Summary'!$F:$F,O$17,'Industrial Summary'!$D:$D,$E76)&gt;0,((-SUMIFS('Industrial Summary'!$G:$G,'Industrial Summary'!$F:$F,O$17,'Industrial Summary'!$D:$D,$E76,'Industrial Summary'!$A:$A,"COA")+-SUMIFS('Industrial Summary'!$G:$G,'Industrial Summary'!$F:$F,O$17,'Industrial Summary'!$D:$D,"IPBFSTM",'Industrial Summary'!$A:$A,"COA"))/SUMIFS('Industrial Summary'!$G:$G,'Industrial Summary'!$F:$F,O$17,'Industrial Summary'!$D:$D,$E76)),0))*0.98</f>
        <v>0</v>
      </c>
      <c r="P76" s="6">
        <f>(IF(SUMIFS('Industrial Summary'!$G:$G,'Industrial Summary'!$F:$F,P$17,'Industrial Summary'!$D:$D,$E76)&gt;0,((-SUMIFS('Industrial Summary'!$G:$G,'Industrial Summary'!$F:$F,P$17,'Industrial Summary'!$D:$D,$E76,'Industrial Summary'!$A:$A,"COA")+-SUMIFS('Industrial Summary'!$G:$G,'Industrial Summary'!$F:$F,P$17,'Industrial Summary'!$D:$D,"IPBFSTM",'Industrial Summary'!$A:$A,"COA"))/SUMIFS('Industrial Summary'!$G:$G,'Industrial Summary'!$F:$F,P$17,'Industrial Summary'!$D:$D,$E76)),0))*0.98</f>
        <v>0</v>
      </c>
      <c r="Q76" s="5">
        <v>0</v>
      </c>
      <c r="R76" s="5">
        <v>15</v>
      </c>
      <c r="S76" s="5" t="str">
        <f t="shared" si="2"/>
        <v>UC_IPBST_COA</v>
      </c>
      <c r="V76" s="4" t="str">
        <f t="shared" si="4"/>
        <v>S_IPBSTCOA</v>
      </c>
      <c r="W76" s="4" t="str">
        <f t="shared" si="5"/>
        <v>IPBST_COA</v>
      </c>
      <c r="X76" s="4" t="str">
        <f t="shared" si="6"/>
        <v>IPBSTM</v>
      </c>
      <c r="Y76" s="5" t="str">
        <f t="shared" si="7"/>
        <v>UP</v>
      </c>
      <c r="Z76" s="5">
        <v>1</v>
      </c>
      <c r="AA76" s="6">
        <f t="shared" si="8"/>
        <v>0</v>
      </c>
      <c r="AB76" s="6">
        <f t="shared" si="9"/>
        <v>0</v>
      </c>
      <c r="AC76" s="6">
        <f t="shared" si="10"/>
        <v>-0.73083752606972574</v>
      </c>
      <c r="AD76" s="6">
        <f t="shared" si="11"/>
        <v>0</v>
      </c>
      <c r="AE76" s="6">
        <f t="shared" si="12"/>
        <v>-0.70650280040054048</v>
      </c>
      <c r="AF76" s="6">
        <f t="shared" si="13"/>
        <v>-0.70568311680338403</v>
      </c>
      <c r="AG76" s="6">
        <f t="shared" si="14"/>
        <v>0</v>
      </c>
      <c r="AH76" s="6">
        <f t="shared" si="15"/>
        <v>0</v>
      </c>
      <c r="AI76" s="6">
        <f t="shared" si="16"/>
        <v>0</v>
      </c>
      <c r="AL76" s="5" t="str">
        <f t="shared" si="17"/>
        <v>COA</v>
      </c>
      <c r="AM76" s="5">
        <f>Z6</f>
        <v>0.77</v>
      </c>
    </row>
    <row r="77" spans="1:39" s="5" customFormat="1" x14ac:dyDescent="0.3">
      <c r="C77" s="4" t="s">
        <v>152</v>
      </c>
      <c r="D77" s="5" t="s">
        <v>153</v>
      </c>
      <c r="E77" s="5" t="s">
        <v>787</v>
      </c>
      <c r="F77" s="5" t="s">
        <v>1588</v>
      </c>
      <c r="G77" s="5">
        <v>1</v>
      </c>
      <c r="H77" s="6">
        <f>IF(SUMIFS('Industrial Summary'!$G:$G,'Industrial Summary'!$F:$F,H$17,'Industrial Summary'!$D:$D,$E77)&gt;0,(-SUMIFS('Industrial Summary'!$G:$G,'Industrial Summary'!$F:$F,H$17,'Industrial Summary'!$D:$D,$E77,'Industrial Summary'!$A:$A,"ELC")/SUMIFS('Industrial Summary'!$G:$G,'Industrial Summary'!$F:$F,H$17,'Industrial Summary'!$D:$D,$E77)),0)*0.98</f>
        <v>-6.5391261434985859E-2</v>
      </c>
      <c r="I77" s="6">
        <f>IF(SUMIFS('Industrial Summary'!$G:$G,'Industrial Summary'!$F:$F,I$17,'Industrial Summary'!$D:$D,$E77)&gt;0,(-SUMIFS('Industrial Summary'!$G:$G,'Industrial Summary'!$F:$F,I$17,'Industrial Summary'!$D:$D,$E77,'Industrial Summary'!$A:$A,"ELC")/SUMIFS('Industrial Summary'!$G:$G,'Industrial Summary'!$F:$F,I$17,'Industrial Summary'!$D:$D,$E77)),0)*0.98</f>
        <v>-6.5391261434985318E-2</v>
      </c>
      <c r="J77" s="6">
        <f>IF(SUMIFS('Industrial Summary'!$G:$G,'Industrial Summary'!$F:$F,J$17,'Industrial Summary'!$D:$D,$E77)&gt;0,(-SUMIFS('Industrial Summary'!$G:$G,'Industrial Summary'!$F:$F,J$17,'Industrial Summary'!$D:$D,$E77,'Industrial Summary'!$A:$A,"ELC")/SUMIFS('Industrial Summary'!$G:$G,'Industrial Summary'!$F:$F,J$17,'Industrial Summary'!$D:$D,$E77)),0)*0.98</f>
        <v>-7.7750807095912672E-2</v>
      </c>
      <c r="K77" s="6">
        <f>IF(SUMIFS('Industrial Summary'!$G:$G,'Industrial Summary'!$F:$F,K$17,'Industrial Summary'!$D:$D,$E77)&gt;0,(-SUMIFS('Industrial Summary'!$G:$G,'Industrial Summary'!$F:$F,K$17,'Industrial Summary'!$D:$D,$E77,'Industrial Summary'!$A:$A,"ELC")/SUMIFS('Industrial Summary'!$G:$G,'Industrial Summary'!$F:$F,K$17,'Industrial Summary'!$D:$D,$E77)),0)*0.98</f>
        <v>-0.11107258156558902</v>
      </c>
      <c r="L77" s="6">
        <f>IF(SUMIFS('Industrial Summary'!$G:$G,'Industrial Summary'!$F:$F,L$17,'Industrial Summary'!$D:$D,$E77)&gt;0,(-SUMIFS('Industrial Summary'!$G:$G,'Industrial Summary'!$F:$F,L$17,'Industrial Summary'!$D:$D,$E77,'Industrial Summary'!$A:$A,"ELC")/SUMIFS('Industrial Summary'!$G:$G,'Industrial Summary'!$F:$F,L$17,'Industrial Summary'!$D:$D,$E77)),0)*0.98</f>
        <v>-7.2304234532428208E-2</v>
      </c>
      <c r="M77" s="6">
        <f>IF(SUMIFS('Industrial Summary'!$G:$G,'Industrial Summary'!$F:$F,M$17,'Industrial Summary'!$D:$D,$E77)&gt;0,(-SUMIFS('Industrial Summary'!$G:$G,'Industrial Summary'!$F:$F,M$17,'Industrial Summary'!$D:$D,$E77,'Industrial Summary'!$A:$A,"ELC")/SUMIFS('Industrial Summary'!$G:$G,'Industrial Summary'!$F:$F,M$17,'Industrial Summary'!$D:$D,$E77)),0)*0.98</f>
        <v>-7.3166808613418344E-2</v>
      </c>
      <c r="N77" s="6">
        <f>IF(SUMIFS('Industrial Summary'!$G:$G,'Industrial Summary'!$F:$F,N$17,'Industrial Summary'!$D:$D,$E77)&gt;0,(-SUMIFS('Industrial Summary'!$G:$G,'Industrial Summary'!$F:$F,N$17,'Industrial Summary'!$D:$D,$E77,'Industrial Summary'!$A:$A,"ELC")/SUMIFS('Industrial Summary'!$G:$G,'Industrial Summary'!$F:$F,N$17,'Industrial Summary'!$D:$D,$E77)),0)*0.98</f>
        <v>-7.2186121727739375E-2</v>
      </c>
      <c r="O77" s="6">
        <f>IF(SUMIFS('Industrial Summary'!$G:$G,'Industrial Summary'!$F:$F,O$17,'Industrial Summary'!$D:$D,$E77)&gt;0,(-SUMIFS('Industrial Summary'!$G:$G,'Industrial Summary'!$F:$F,O$17,'Industrial Summary'!$D:$D,$E77,'Industrial Summary'!$A:$A,"ELC")/SUMIFS('Industrial Summary'!$G:$G,'Industrial Summary'!$F:$F,O$17,'Industrial Summary'!$D:$D,$E77)),0)*0.98</f>
        <v>-8.5634889767005618E-2</v>
      </c>
      <c r="P77" s="6">
        <f>IF(SUMIFS('Industrial Summary'!$G:$G,'Industrial Summary'!$F:$F,P$17,'Industrial Summary'!$D:$D,$E77)&gt;0,(-SUMIFS('Industrial Summary'!$G:$G,'Industrial Summary'!$F:$F,P$17,'Industrial Summary'!$D:$D,$E77,'Industrial Summary'!$A:$A,"ELC")/SUMIFS('Industrial Summary'!$G:$G,'Industrial Summary'!$F:$F,P$17,'Industrial Summary'!$D:$D,$E77)),0)*0.98</f>
        <v>0</v>
      </c>
      <c r="Q77" s="5">
        <v>0</v>
      </c>
      <c r="R77" s="5">
        <v>15</v>
      </c>
      <c r="S77" s="5" t="str">
        <f t="shared" si="2"/>
        <v>UC_IPBPH_ELC</v>
      </c>
      <c r="V77" s="4" t="str">
        <f t="shared" si="4"/>
        <v>S_IPBPHELC</v>
      </c>
      <c r="W77" s="4" t="str">
        <f t="shared" si="5"/>
        <v>IPBPH_ELC</v>
      </c>
      <c r="X77" s="4" t="str">
        <f t="shared" si="6"/>
        <v>IPBPRH</v>
      </c>
      <c r="Y77" s="5" t="str">
        <f t="shared" si="7"/>
        <v>LO</v>
      </c>
      <c r="Z77" s="5">
        <v>1</v>
      </c>
      <c r="AA77" s="6">
        <f t="shared" si="8"/>
        <v>-6.5391261434985859E-2</v>
      </c>
      <c r="AB77" s="6">
        <f t="shared" si="9"/>
        <v>-6.5391261434985318E-2</v>
      </c>
      <c r="AC77" s="6">
        <f t="shared" si="10"/>
        <v>-7.7750807095912672E-2</v>
      </c>
      <c r="AD77" s="6">
        <f t="shared" si="11"/>
        <v>-0.11107258156558902</v>
      </c>
      <c r="AE77" s="6">
        <f t="shared" si="12"/>
        <v>-7.2304234532428208E-2</v>
      </c>
      <c r="AF77" s="6">
        <f t="shared" si="13"/>
        <v>-7.3166808613418344E-2</v>
      </c>
      <c r="AG77" s="6">
        <f t="shared" si="14"/>
        <v>-7.2186121727739375E-2</v>
      </c>
      <c r="AH77" s="6">
        <f t="shared" si="15"/>
        <v>-8.5634889767005618E-2</v>
      </c>
      <c r="AI77" s="6">
        <f t="shared" si="16"/>
        <v>0</v>
      </c>
      <c r="AL77" s="5" t="str">
        <f t="shared" si="17"/>
        <v>ELC</v>
      </c>
      <c r="AM77" s="5">
        <f>1</f>
        <v>1</v>
      </c>
    </row>
    <row r="78" spans="1:39" s="5" customFormat="1" x14ac:dyDescent="0.3">
      <c r="C78" s="4" t="s">
        <v>154</v>
      </c>
      <c r="D78" s="5" t="s">
        <v>155</v>
      </c>
      <c r="E78" s="5" t="s">
        <v>787</v>
      </c>
      <c r="F78" s="5" t="s">
        <v>1588</v>
      </c>
      <c r="G78" s="5">
        <v>1</v>
      </c>
      <c r="H78" s="6">
        <f>IF(SUMIFS('Industrial Summary'!$G:$G,'Industrial Summary'!$F:$F,H$17,'Industrial Summary'!$D:$D,$E78)&gt;0,(-SUMIFS('Industrial Summary'!$G:$G,'Industrial Summary'!$F:$F,H$17,'Industrial Summary'!$D:$D,$E78,'Industrial Summary'!$A:$A,"RFL")/SUMIFS('Industrial Summary'!$G:$G,'Industrial Summary'!$F:$F,H$17,'Industrial Summary'!$D:$D,$E78)),0)*0.98</f>
        <v>-9.5078340606458339E-2</v>
      </c>
      <c r="I78" s="6">
        <f>IF(SUMIFS('Industrial Summary'!$G:$G,'Industrial Summary'!$F:$F,I$17,'Industrial Summary'!$D:$D,$E78)&gt;0,(-SUMIFS('Industrial Summary'!$G:$G,'Industrial Summary'!$F:$F,I$17,'Industrial Summary'!$D:$D,$E78,'Industrial Summary'!$A:$A,"RFL")/SUMIFS('Industrial Summary'!$G:$G,'Industrial Summary'!$F:$F,I$17,'Industrial Summary'!$D:$D,$E78)),0)*0.98</f>
        <v>-9.5078340606467526E-2</v>
      </c>
      <c r="J78" s="6">
        <f>IF(SUMIFS('Industrial Summary'!$G:$G,'Industrial Summary'!$F:$F,J$17,'Industrial Summary'!$D:$D,$E78)&gt;0,(-SUMIFS('Industrial Summary'!$G:$G,'Industrial Summary'!$F:$F,J$17,'Industrial Summary'!$D:$D,$E78,'Industrial Summary'!$A:$A,"RFL")/SUMIFS('Industrial Summary'!$G:$G,'Industrial Summary'!$F:$F,J$17,'Industrial Summary'!$D:$D,$E78)),0)*0.98</f>
        <v>0</v>
      </c>
      <c r="K78" s="6">
        <f>IF(SUMIFS('Industrial Summary'!$G:$G,'Industrial Summary'!$F:$F,K$17,'Industrial Summary'!$D:$D,$E78)&gt;0,(-SUMIFS('Industrial Summary'!$G:$G,'Industrial Summary'!$F:$F,K$17,'Industrial Summary'!$D:$D,$E78,'Industrial Summary'!$A:$A,"RFL")/SUMIFS('Industrial Summary'!$G:$G,'Industrial Summary'!$F:$F,K$17,'Industrial Summary'!$D:$D,$E78)),0)*0.98</f>
        <v>0</v>
      </c>
      <c r="L78" s="6">
        <f>IF(SUMIFS('Industrial Summary'!$G:$G,'Industrial Summary'!$F:$F,L$17,'Industrial Summary'!$D:$D,$E78)&gt;0,(-SUMIFS('Industrial Summary'!$G:$G,'Industrial Summary'!$F:$F,L$17,'Industrial Summary'!$D:$D,$E78,'Industrial Summary'!$A:$A,"RFL")/SUMIFS('Industrial Summary'!$G:$G,'Industrial Summary'!$F:$F,L$17,'Industrial Summary'!$D:$D,$E78)),0)*0.98</f>
        <v>0</v>
      </c>
      <c r="M78" s="6">
        <f>IF(SUMIFS('Industrial Summary'!$G:$G,'Industrial Summary'!$F:$F,M$17,'Industrial Summary'!$D:$D,$E78)&gt;0,(-SUMIFS('Industrial Summary'!$G:$G,'Industrial Summary'!$F:$F,M$17,'Industrial Summary'!$D:$D,$E78,'Industrial Summary'!$A:$A,"RFL")/SUMIFS('Industrial Summary'!$G:$G,'Industrial Summary'!$F:$F,M$17,'Industrial Summary'!$D:$D,$E78)),0)*0.98</f>
        <v>0</v>
      </c>
      <c r="N78" s="6">
        <f>IF(SUMIFS('Industrial Summary'!$G:$G,'Industrial Summary'!$F:$F,N$17,'Industrial Summary'!$D:$D,$E78)&gt;0,(-SUMIFS('Industrial Summary'!$G:$G,'Industrial Summary'!$F:$F,N$17,'Industrial Summary'!$D:$D,$E78,'Industrial Summary'!$A:$A,"RFL")/SUMIFS('Industrial Summary'!$G:$G,'Industrial Summary'!$F:$F,N$17,'Industrial Summary'!$D:$D,$E78)),0)*0.98</f>
        <v>0</v>
      </c>
      <c r="O78" s="6">
        <f>IF(SUMIFS('Industrial Summary'!$G:$G,'Industrial Summary'!$F:$F,O$17,'Industrial Summary'!$D:$D,$E78)&gt;0,(-SUMIFS('Industrial Summary'!$G:$G,'Industrial Summary'!$F:$F,O$17,'Industrial Summary'!$D:$D,$E78,'Industrial Summary'!$A:$A,"RFL")/SUMIFS('Industrial Summary'!$G:$G,'Industrial Summary'!$F:$F,O$17,'Industrial Summary'!$D:$D,$E78)),0)*0.98</f>
        <v>0</v>
      </c>
      <c r="P78" s="6">
        <f>IF(SUMIFS('Industrial Summary'!$G:$G,'Industrial Summary'!$F:$F,P$17,'Industrial Summary'!$D:$D,$E78)&gt;0,(-SUMIFS('Industrial Summary'!$G:$G,'Industrial Summary'!$F:$F,P$17,'Industrial Summary'!$D:$D,$E78,'Industrial Summary'!$A:$A,"RFL")/SUMIFS('Industrial Summary'!$G:$G,'Industrial Summary'!$F:$F,P$17,'Industrial Summary'!$D:$D,$E78)),0)*0.98</f>
        <v>0</v>
      </c>
      <c r="Q78" s="5">
        <v>0</v>
      </c>
      <c r="R78" s="5">
        <v>15</v>
      </c>
      <c r="S78" s="5" t="str">
        <f t="shared" si="2"/>
        <v>UC_IPBPH_RFL</v>
      </c>
      <c r="V78" s="4" t="str">
        <f t="shared" si="4"/>
        <v>S_IPBPHRFL</v>
      </c>
      <c r="W78" s="4" t="str">
        <f t="shared" si="5"/>
        <v>IPBPH_RFL</v>
      </c>
      <c r="X78" s="4" t="str">
        <f t="shared" si="6"/>
        <v>IPBPRH</v>
      </c>
      <c r="Y78" s="5" t="str">
        <f t="shared" si="7"/>
        <v>LO</v>
      </c>
      <c r="Z78" s="5">
        <v>1</v>
      </c>
      <c r="AA78" s="6">
        <f t="shared" si="8"/>
        <v>-9.5078340606458339E-2</v>
      </c>
      <c r="AB78" s="6">
        <f t="shared" si="9"/>
        <v>-9.5078340606467526E-2</v>
      </c>
      <c r="AC78" s="6">
        <f t="shared" si="10"/>
        <v>0</v>
      </c>
      <c r="AD78" s="6">
        <f t="shared" si="11"/>
        <v>0</v>
      </c>
      <c r="AE78" s="6">
        <f t="shared" si="12"/>
        <v>0</v>
      </c>
      <c r="AF78" s="6">
        <f t="shared" si="13"/>
        <v>0</v>
      </c>
      <c r="AG78" s="6">
        <f t="shared" si="14"/>
        <v>0</v>
      </c>
      <c r="AH78" s="6">
        <f t="shared" si="15"/>
        <v>0</v>
      </c>
      <c r="AI78" s="6">
        <f t="shared" si="16"/>
        <v>0</v>
      </c>
      <c r="AL78" s="5" t="str">
        <f t="shared" si="17"/>
        <v>RFL</v>
      </c>
      <c r="AM78" s="5">
        <f>1</f>
        <v>1</v>
      </c>
    </row>
    <row r="79" spans="1:39" s="5" customFormat="1" x14ac:dyDescent="0.3">
      <c r="A79" s="8"/>
      <c r="C79" s="4" t="s">
        <v>156</v>
      </c>
      <c r="D79" s="5" t="s">
        <v>157</v>
      </c>
      <c r="E79" s="5" t="s">
        <v>787</v>
      </c>
      <c r="F79" s="5" t="s">
        <v>1588</v>
      </c>
      <c r="G79" s="5">
        <v>1</v>
      </c>
      <c r="H79" s="6">
        <f>IF(SUMIFS('Industrial Summary'!$G:$G,'Industrial Summary'!$F:$F,H$17,'Industrial Summary'!$D:$D,$E79)&gt;0,(-SUMIFS('Industrial Summary'!$G:$G,'Industrial Summary'!$F:$F,H$17,'Industrial Summary'!$D:$D,$E79,'Industrial Summary'!$A:$A,"NGA")/SUMIFS('Industrial Summary'!$G:$G,'Industrial Summary'!$F:$F,H$17,'Industrial Summary'!$D:$D,$E79)),0)*0.98</f>
        <v>-0.81953039795855576</v>
      </c>
      <c r="I79" s="6">
        <f>IF(SUMIFS('Industrial Summary'!$G:$G,'Industrial Summary'!$F:$F,I$17,'Industrial Summary'!$D:$D,$E79)&gt;0,(-SUMIFS('Industrial Summary'!$G:$G,'Industrial Summary'!$F:$F,I$17,'Industrial Summary'!$D:$D,$E79,'Industrial Summary'!$A:$A,"NGA")/SUMIFS('Industrial Summary'!$G:$G,'Industrial Summary'!$F:$F,I$17,'Industrial Summary'!$D:$D,$E79)),0)*0.98</f>
        <v>-0.8195303979585471</v>
      </c>
      <c r="J79" s="6">
        <f>IF(SUMIFS('Industrial Summary'!$G:$G,'Industrial Summary'!$F:$F,J$17,'Industrial Summary'!$D:$D,$E79)&gt;0,(-SUMIFS('Industrial Summary'!$G:$G,'Industrial Summary'!$F:$F,J$17,'Industrial Summary'!$D:$D,$E79,'Industrial Summary'!$A:$A,"NGA")/SUMIFS('Industrial Summary'!$G:$G,'Industrial Summary'!$F:$F,J$17,'Industrial Summary'!$D:$D,$E79)),0)*0.98</f>
        <v>-0.90224919290408734</v>
      </c>
      <c r="K79" s="6">
        <f>IF(SUMIFS('Industrial Summary'!$G:$G,'Industrial Summary'!$F:$F,K$17,'Industrial Summary'!$D:$D,$E79)&gt;0,(-SUMIFS('Industrial Summary'!$G:$G,'Industrial Summary'!$F:$F,K$17,'Industrial Summary'!$D:$D,$E79,'Industrial Summary'!$A:$A,"NGA")/SUMIFS('Industrial Summary'!$G:$G,'Industrial Summary'!$F:$F,K$17,'Industrial Summary'!$D:$D,$E79)),0)*0.98</f>
        <v>-0.8689274184344109</v>
      </c>
      <c r="L79" s="6">
        <f>IF(SUMIFS('Industrial Summary'!$G:$G,'Industrial Summary'!$F:$F,L$17,'Industrial Summary'!$D:$D,$E79)&gt;0,(-SUMIFS('Industrial Summary'!$G:$G,'Industrial Summary'!$F:$F,L$17,'Industrial Summary'!$D:$D,$E79,'Industrial Summary'!$A:$A,"NGA")/SUMIFS('Industrial Summary'!$G:$G,'Industrial Summary'!$F:$F,L$17,'Industrial Summary'!$D:$D,$E79)),0)*0.98</f>
        <v>-0.9076957654675718</v>
      </c>
      <c r="M79" s="6">
        <f>IF(SUMIFS('Industrial Summary'!$G:$G,'Industrial Summary'!$F:$F,M$17,'Industrial Summary'!$D:$D,$E79)&gt;0,(-SUMIFS('Industrial Summary'!$G:$G,'Industrial Summary'!$F:$F,M$17,'Industrial Summary'!$D:$D,$E79,'Industrial Summary'!$A:$A,"NGA")/SUMIFS('Industrial Summary'!$G:$G,'Industrial Summary'!$F:$F,M$17,'Industrial Summary'!$D:$D,$E79)),0)*0.98</f>
        <v>-0.90683319138658158</v>
      </c>
      <c r="N79" s="6">
        <f>IF(SUMIFS('Industrial Summary'!$G:$G,'Industrial Summary'!$F:$F,N$17,'Industrial Summary'!$D:$D,$E79)&gt;0,(-SUMIFS('Industrial Summary'!$G:$G,'Industrial Summary'!$F:$F,N$17,'Industrial Summary'!$D:$D,$E79,'Industrial Summary'!$A:$A,"NGA")/SUMIFS('Industrial Summary'!$G:$G,'Industrial Summary'!$F:$F,N$17,'Industrial Summary'!$D:$D,$E79)),0)*0.98</f>
        <v>-0.90781387827226057</v>
      </c>
      <c r="O79" s="6">
        <f>IF(SUMIFS('Industrial Summary'!$G:$G,'Industrial Summary'!$F:$F,O$17,'Industrial Summary'!$D:$D,$E79)&gt;0,(-SUMIFS('Industrial Summary'!$G:$G,'Industrial Summary'!$F:$F,O$17,'Industrial Summary'!$D:$D,$E79,'Industrial Summary'!$A:$A,"NGA")/SUMIFS('Industrial Summary'!$G:$G,'Industrial Summary'!$F:$F,O$17,'Industrial Summary'!$D:$D,$E79)),0)*0.98</f>
        <v>-0.89436511023299448</v>
      </c>
      <c r="P79" s="6">
        <f>IF(SUMIFS('Industrial Summary'!$G:$G,'Industrial Summary'!$F:$F,P$17,'Industrial Summary'!$D:$D,$E79)&gt;0,(-SUMIFS('Industrial Summary'!$G:$G,'Industrial Summary'!$F:$F,P$17,'Industrial Summary'!$D:$D,$E79,'Industrial Summary'!$A:$A,"NGA")/SUMIFS('Industrial Summary'!$G:$G,'Industrial Summary'!$F:$F,P$17,'Industrial Summary'!$D:$D,$E79)),0)*0.98</f>
        <v>-0.98</v>
      </c>
      <c r="Q79" s="5">
        <v>0</v>
      </c>
      <c r="R79" s="5">
        <v>15</v>
      </c>
      <c r="S79" s="5" t="str">
        <f t="shared" si="2"/>
        <v>UC_IPBPH_NGA</v>
      </c>
      <c r="V79" s="4" t="str">
        <f t="shared" si="4"/>
        <v>S_IPBPHNGA</v>
      </c>
      <c r="W79" s="4" t="str">
        <f t="shared" si="5"/>
        <v>IPBPH_NGA</v>
      </c>
      <c r="X79" s="4" t="str">
        <f t="shared" si="6"/>
        <v>IPBPRH</v>
      </c>
      <c r="Y79" s="5" t="str">
        <f t="shared" si="7"/>
        <v>LO</v>
      </c>
      <c r="Z79" s="5">
        <v>1</v>
      </c>
      <c r="AA79" s="6">
        <f t="shared" si="8"/>
        <v>-0.55728067061181785</v>
      </c>
      <c r="AB79" s="6">
        <f t="shared" si="9"/>
        <v>-0.55728067061181197</v>
      </c>
      <c r="AC79" s="6">
        <f t="shared" si="10"/>
        <v>-0.61352945117477931</v>
      </c>
      <c r="AD79" s="6">
        <f t="shared" si="11"/>
        <v>-0.59087064453539939</v>
      </c>
      <c r="AE79" s="6">
        <f t="shared" si="12"/>
        <v>-0.61723312051794876</v>
      </c>
      <c r="AF79" s="6">
        <f t="shared" si="13"/>
        <v>-0.61664657014287538</v>
      </c>
      <c r="AG79" s="6">
        <f t="shared" si="14"/>
        <v>-0.6173134372251371</v>
      </c>
      <c r="AH79" s="6">
        <f t="shared" si="15"/>
        <v>-0.60816827495843617</v>
      </c>
      <c r="AI79" s="6">
        <f t="shared" si="16"/>
        <v>-0.66639999999999988</v>
      </c>
      <c r="AL79" s="5" t="str">
        <f t="shared" si="17"/>
        <v>NGA</v>
      </c>
      <c r="AM79" s="5">
        <f>Y6</f>
        <v>0.67999999999999994</v>
      </c>
    </row>
    <row r="80" spans="1:39" s="5" customFormat="1" x14ac:dyDescent="0.3">
      <c r="C80" s="4" t="s">
        <v>158</v>
      </c>
      <c r="D80" s="5" t="s">
        <v>159</v>
      </c>
      <c r="E80" s="5" t="s">
        <v>740</v>
      </c>
      <c r="F80" s="5" t="s">
        <v>1588</v>
      </c>
      <c r="G80" s="5">
        <v>1</v>
      </c>
      <c r="H80" s="6">
        <f>IF(SUMIFS('Industrial Summary'!$G:$G,'Industrial Summary'!$F:$F,H$17,'Industrial Summary'!$D:$D,$E80)&gt;0,(-SUMIFS('Industrial Summary'!$G:$G,'Industrial Summary'!$F:$F,H$17,'Industrial Summary'!$D:$D,$E80,'Industrial Summary'!$A:$A,"ELC")/SUMIFS('Industrial Summary'!$G:$G,'Industrial Summary'!$F:$F,H$17,'Industrial Summary'!$D:$D,$E80)),0)*0.98</f>
        <v>-0.91570457969598962</v>
      </c>
      <c r="I80" s="6">
        <f>IF(SUMIFS('Industrial Summary'!$G:$G,'Industrial Summary'!$F:$F,I$17,'Industrial Summary'!$D:$D,$E80)&gt;0,(-SUMIFS('Industrial Summary'!$G:$G,'Industrial Summary'!$F:$F,I$17,'Industrial Summary'!$D:$D,$E80,'Industrial Summary'!$A:$A,"ELC")/SUMIFS('Industrial Summary'!$G:$G,'Industrial Summary'!$F:$F,I$17,'Industrial Summary'!$D:$D,$E80)),0)*0.98</f>
        <v>-0.91570457969598962</v>
      </c>
      <c r="J80" s="6">
        <f>IF(SUMIFS('Industrial Summary'!$G:$G,'Industrial Summary'!$F:$F,J$17,'Industrial Summary'!$D:$D,$E80)&gt;0,(-SUMIFS('Industrial Summary'!$G:$G,'Industrial Summary'!$F:$F,J$17,'Industrial Summary'!$D:$D,$E80,'Industrial Summary'!$A:$A,"ELC")/SUMIFS('Industrial Summary'!$G:$G,'Industrial Summary'!$F:$F,J$17,'Industrial Summary'!$D:$D,$E80)),0)*0.98</f>
        <v>-0.92017647183586482</v>
      </c>
      <c r="K80" s="6">
        <f>IF(SUMIFS('Industrial Summary'!$G:$G,'Industrial Summary'!$F:$F,K$17,'Industrial Summary'!$D:$D,$E80)&gt;0,(-SUMIFS('Industrial Summary'!$G:$G,'Industrial Summary'!$F:$F,K$17,'Industrial Summary'!$D:$D,$E80,'Industrial Summary'!$A:$A,"ELC")/SUMIFS('Industrial Summary'!$G:$G,'Industrial Summary'!$F:$F,K$17,'Industrial Summary'!$D:$D,$E80)),0)*0.98</f>
        <v>-0.98</v>
      </c>
      <c r="L80" s="6">
        <f>IF(SUMIFS('Industrial Summary'!$G:$G,'Industrial Summary'!$F:$F,L$17,'Industrial Summary'!$D:$D,$E80)&gt;0,(-SUMIFS('Industrial Summary'!$G:$G,'Industrial Summary'!$F:$F,L$17,'Industrial Summary'!$D:$D,$E80,'Industrial Summary'!$A:$A,"ELC")/SUMIFS('Industrial Summary'!$G:$G,'Industrial Summary'!$F:$F,L$17,'Industrial Summary'!$D:$D,$E80)),0)*0.98</f>
        <v>-0.98</v>
      </c>
      <c r="M80" s="6">
        <f>IF(SUMIFS('Industrial Summary'!$G:$G,'Industrial Summary'!$F:$F,M$17,'Industrial Summary'!$D:$D,$E80)&gt;0,(-SUMIFS('Industrial Summary'!$G:$G,'Industrial Summary'!$F:$F,M$17,'Industrial Summary'!$D:$D,$E80,'Industrial Summary'!$A:$A,"ELC")/SUMIFS('Industrial Summary'!$G:$G,'Industrial Summary'!$F:$F,M$17,'Industrial Summary'!$D:$D,$E80)),0)*0.98</f>
        <v>-0.98</v>
      </c>
      <c r="N80" s="6">
        <f>IF(SUMIFS('Industrial Summary'!$G:$G,'Industrial Summary'!$F:$F,N$17,'Industrial Summary'!$D:$D,$E80)&gt;0,(-SUMIFS('Industrial Summary'!$G:$G,'Industrial Summary'!$F:$F,N$17,'Industrial Summary'!$D:$D,$E80,'Industrial Summary'!$A:$A,"ELC")/SUMIFS('Industrial Summary'!$G:$G,'Industrial Summary'!$F:$F,N$17,'Industrial Summary'!$D:$D,$E80)),0)*0.98</f>
        <v>-0.98</v>
      </c>
      <c r="O80" s="6">
        <f>IF(SUMIFS('Industrial Summary'!$G:$G,'Industrial Summary'!$F:$F,O$17,'Industrial Summary'!$D:$D,$E80)&gt;0,(-SUMIFS('Industrial Summary'!$G:$G,'Industrial Summary'!$F:$F,O$17,'Industrial Summary'!$D:$D,$E80,'Industrial Summary'!$A:$A,"ELC")/SUMIFS('Industrial Summary'!$G:$G,'Industrial Summary'!$F:$F,O$17,'Industrial Summary'!$D:$D,$E80)),0)*0.98</f>
        <v>-0.92582813566742073</v>
      </c>
      <c r="P80" s="6">
        <f>IF(SUMIFS('Industrial Summary'!$G:$G,'Industrial Summary'!$F:$F,P$17,'Industrial Summary'!$D:$D,$E80)&gt;0,(-SUMIFS('Industrial Summary'!$G:$G,'Industrial Summary'!$F:$F,P$17,'Industrial Summary'!$D:$D,$E80,'Industrial Summary'!$A:$A,"ELC")/SUMIFS('Industrial Summary'!$G:$G,'Industrial Summary'!$F:$F,P$17,'Industrial Summary'!$D:$D,$E80)),0)*0.98</f>
        <v>-0.91228516958427597</v>
      </c>
      <c r="Q80" s="5">
        <v>0</v>
      </c>
      <c r="R80" s="5">
        <v>15</v>
      </c>
      <c r="S80" s="5" t="str">
        <f t="shared" si="2"/>
        <v>UC_IPBMD_ELC</v>
      </c>
      <c r="V80" s="4" t="str">
        <f t="shared" si="4"/>
        <v>S_IPBMDELC</v>
      </c>
      <c r="W80" s="4" t="str">
        <f t="shared" si="5"/>
        <v>IPBMD_ELC</v>
      </c>
      <c r="X80" s="4" t="str">
        <f t="shared" si="6"/>
        <v>IPBMDR</v>
      </c>
      <c r="Y80" s="5" t="str">
        <f t="shared" si="7"/>
        <v>LO</v>
      </c>
      <c r="Z80" s="5">
        <v>1</v>
      </c>
      <c r="AA80" s="6">
        <f t="shared" si="8"/>
        <v>-0.91570457969598962</v>
      </c>
      <c r="AB80" s="6">
        <f t="shared" si="9"/>
        <v>-0.91570457969598962</v>
      </c>
      <c r="AC80" s="6">
        <f t="shared" si="10"/>
        <v>-0.92017647183586482</v>
      </c>
      <c r="AD80" s="6">
        <f t="shared" si="11"/>
        <v>-0.98</v>
      </c>
      <c r="AE80" s="6">
        <f t="shared" si="12"/>
        <v>-0.98</v>
      </c>
      <c r="AF80" s="6">
        <f t="shared" si="13"/>
        <v>-0.98</v>
      </c>
      <c r="AG80" s="6">
        <f t="shared" si="14"/>
        <v>-0.98</v>
      </c>
      <c r="AH80" s="6">
        <f t="shared" si="15"/>
        <v>-0.92582813566742073</v>
      </c>
      <c r="AI80" s="6">
        <f t="shared" si="16"/>
        <v>-0.91228516958427597</v>
      </c>
      <c r="AL80" s="5" t="str">
        <f t="shared" si="17"/>
        <v>ELC</v>
      </c>
      <c r="AM80" s="5">
        <f>1</f>
        <v>1</v>
      </c>
    </row>
    <row r="81" spans="1:39" s="5" customFormat="1" x14ac:dyDescent="0.3">
      <c r="A81" s="8"/>
      <c r="C81" s="4" t="s">
        <v>160</v>
      </c>
      <c r="D81" s="5" t="s">
        <v>161</v>
      </c>
      <c r="E81" s="5" t="s">
        <v>740</v>
      </c>
      <c r="F81" s="5" t="s">
        <v>1588</v>
      </c>
      <c r="G81" s="5">
        <v>1</v>
      </c>
      <c r="H81" s="6">
        <f>IF(SUMIFS('Industrial Summary'!$G:$G,'Industrial Summary'!$F:$F,H$17,'Industrial Summary'!$D:$D,$E81)&gt;0,(-SUMIFS('Industrial Summary'!$G:$G,'Industrial Summary'!$F:$F,H$17,'Industrial Summary'!$D:$D,$E81,'Industrial Summary'!$A:$A,"NGA")/SUMIFS('Industrial Summary'!$G:$G,'Industrial Summary'!$F:$F,H$17,'Industrial Summary'!$D:$D,$E81)),0)*0.98</f>
        <v>-6.4295420304010295E-2</v>
      </c>
      <c r="I81" s="6">
        <f>IF(SUMIFS('Industrial Summary'!$G:$G,'Industrial Summary'!$F:$F,I$17,'Industrial Summary'!$D:$D,$E81)&gt;0,(-SUMIFS('Industrial Summary'!$G:$G,'Industrial Summary'!$F:$F,I$17,'Industrial Summary'!$D:$D,$E81,'Industrial Summary'!$A:$A,"NGA")/SUMIFS('Industrial Summary'!$G:$G,'Industrial Summary'!$F:$F,I$17,'Industrial Summary'!$D:$D,$E81)),0)*0.98</f>
        <v>-6.4295420304010392E-2</v>
      </c>
      <c r="J81" s="6">
        <f>IF(SUMIFS('Industrial Summary'!$G:$G,'Industrial Summary'!$F:$F,J$17,'Industrial Summary'!$D:$D,$E81)&gt;0,(-SUMIFS('Industrial Summary'!$G:$G,'Industrial Summary'!$F:$F,J$17,'Industrial Summary'!$D:$D,$E81,'Industrial Summary'!$A:$A,"NGA")/SUMIFS('Industrial Summary'!$G:$G,'Industrial Summary'!$F:$F,J$17,'Industrial Summary'!$D:$D,$E81)),0)*0.98</f>
        <v>-5.9823528164135151E-2</v>
      </c>
      <c r="K81" s="6">
        <f>IF(SUMIFS('Industrial Summary'!$G:$G,'Industrial Summary'!$F:$F,K$17,'Industrial Summary'!$D:$D,$E81)&gt;0,(-SUMIFS('Industrial Summary'!$G:$G,'Industrial Summary'!$F:$F,K$17,'Industrial Summary'!$D:$D,$E81,'Industrial Summary'!$A:$A,"NGA")/SUMIFS('Industrial Summary'!$G:$G,'Industrial Summary'!$F:$F,K$17,'Industrial Summary'!$D:$D,$E81)),0)*0.98</f>
        <v>0</v>
      </c>
      <c r="L81" s="6">
        <f>IF(SUMIFS('Industrial Summary'!$G:$G,'Industrial Summary'!$F:$F,L$17,'Industrial Summary'!$D:$D,$E81)&gt;0,(-SUMIFS('Industrial Summary'!$G:$G,'Industrial Summary'!$F:$F,L$17,'Industrial Summary'!$D:$D,$E81,'Industrial Summary'!$A:$A,"NGA")/SUMIFS('Industrial Summary'!$G:$G,'Industrial Summary'!$F:$F,L$17,'Industrial Summary'!$D:$D,$E81)),0)*0.98</f>
        <v>0</v>
      </c>
      <c r="M81" s="6">
        <f>IF(SUMIFS('Industrial Summary'!$G:$G,'Industrial Summary'!$F:$F,M$17,'Industrial Summary'!$D:$D,$E81)&gt;0,(-SUMIFS('Industrial Summary'!$G:$G,'Industrial Summary'!$F:$F,M$17,'Industrial Summary'!$D:$D,$E81,'Industrial Summary'!$A:$A,"NGA")/SUMIFS('Industrial Summary'!$G:$G,'Industrial Summary'!$F:$F,M$17,'Industrial Summary'!$D:$D,$E81)),0)*0.98</f>
        <v>0</v>
      </c>
      <c r="N81" s="6">
        <f>IF(SUMIFS('Industrial Summary'!$G:$G,'Industrial Summary'!$F:$F,N$17,'Industrial Summary'!$D:$D,$E81)&gt;0,(-SUMIFS('Industrial Summary'!$G:$G,'Industrial Summary'!$F:$F,N$17,'Industrial Summary'!$D:$D,$E81,'Industrial Summary'!$A:$A,"NGA")/SUMIFS('Industrial Summary'!$G:$G,'Industrial Summary'!$F:$F,N$17,'Industrial Summary'!$D:$D,$E81)),0)*0.98</f>
        <v>0</v>
      </c>
      <c r="O81" s="6">
        <f>IF(SUMIFS('Industrial Summary'!$G:$G,'Industrial Summary'!$F:$F,O$17,'Industrial Summary'!$D:$D,$E81)&gt;0,(-SUMIFS('Industrial Summary'!$G:$G,'Industrial Summary'!$F:$F,O$17,'Industrial Summary'!$D:$D,$E81,'Industrial Summary'!$A:$A,"NGA")/SUMIFS('Industrial Summary'!$G:$G,'Industrial Summary'!$F:$F,O$17,'Industrial Summary'!$D:$D,$E81)),0)*0.98</f>
        <v>-5.4171864332579159E-2</v>
      </c>
      <c r="P81" s="6">
        <f>IF(SUMIFS('Industrial Summary'!$G:$G,'Industrial Summary'!$F:$F,P$17,'Industrial Summary'!$D:$D,$E81)&gt;0,(-SUMIFS('Industrial Summary'!$G:$G,'Industrial Summary'!$F:$F,P$17,'Industrial Summary'!$D:$D,$E81,'Industrial Summary'!$A:$A,"NGA")/SUMIFS('Industrial Summary'!$G:$G,'Industrial Summary'!$F:$F,P$17,'Industrial Summary'!$D:$D,$E81)),0)*0.98</f>
        <v>-6.7714830415724042E-2</v>
      </c>
      <c r="Q81" s="5">
        <v>0</v>
      </c>
      <c r="R81" s="5">
        <v>15</v>
      </c>
      <c r="S81" s="5" t="str">
        <f t="shared" si="2"/>
        <v>UC_IPBMD_NGA</v>
      </c>
      <c r="V81" s="4" t="str">
        <f t="shared" si="4"/>
        <v>S_IPBMDNGA</v>
      </c>
      <c r="W81" s="4" t="str">
        <f t="shared" si="5"/>
        <v>IPBMD_NGA</v>
      </c>
      <c r="X81" s="4" t="str">
        <f t="shared" si="6"/>
        <v>IPBMDR</v>
      </c>
      <c r="Y81" s="5" t="str">
        <f t="shared" si="7"/>
        <v>LO</v>
      </c>
      <c r="Z81" s="5">
        <v>1</v>
      </c>
      <c r="AA81" s="6">
        <f t="shared" si="8"/>
        <v>-4.3720885806726999E-2</v>
      </c>
      <c r="AB81" s="6">
        <f t="shared" si="9"/>
        <v>-4.3720885806727061E-2</v>
      </c>
      <c r="AC81" s="6">
        <f t="shared" si="10"/>
        <v>-4.0679999151611898E-2</v>
      </c>
      <c r="AD81" s="6">
        <f t="shared" si="11"/>
        <v>0</v>
      </c>
      <c r="AE81" s="6">
        <f t="shared" si="12"/>
        <v>0</v>
      </c>
      <c r="AF81" s="6">
        <f t="shared" si="13"/>
        <v>0</v>
      </c>
      <c r="AG81" s="6">
        <f t="shared" si="14"/>
        <v>0</v>
      </c>
      <c r="AH81" s="6">
        <f t="shared" si="15"/>
        <v>-3.6836867746153822E-2</v>
      </c>
      <c r="AI81" s="6">
        <f t="shared" si="16"/>
        <v>-4.6046084682692341E-2</v>
      </c>
      <c r="AL81" s="5" t="str">
        <f t="shared" si="17"/>
        <v>NGA</v>
      </c>
      <c r="AM81" s="5">
        <f>Y6</f>
        <v>0.67999999999999994</v>
      </c>
    </row>
    <row r="82" spans="1:39" s="5" customFormat="1" x14ac:dyDescent="0.3">
      <c r="C82" s="4" t="s">
        <v>162</v>
      </c>
      <c r="D82" s="5" t="s">
        <v>163</v>
      </c>
      <c r="E82" s="5" t="s">
        <v>724</v>
      </c>
      <c r="F82" s="5" t="s">
        <v>1588</v>
      </c>
      <c r="G82" s="5">
        <v>1</v>
      </c>
      <c r="H82" s="6">
        <f>IF(SUMIFS('Industrial Summary'!$G:$G,'Industrial Summary'!$F:$F,H$17,'Industrial Summary'!$D:$D,$E82)&gt;0,(-SUMIFS('Industrial Summary'!$G:$G,'Industrial Summary'!$F:$F,H$17,'Industrial Summary'!$D:$D,$E82,'Industrial Summary'!$A:$A,"ELC")/SUMIFS('Industrial Summary'!$G:$G,'Industrial Summary'!$F:$F,H$17,'Industrial Summary'!$D:$D,$E82)),0)*0.98</f>
        <v>-0.45366761321657434</v>
      </c>
      <c r="I82" s="6">
        <f>IF(SUMIFS('Industrial Summary'!$G:$G,'Industrial Summary'!$F:$F,I$17,'Industrial Summary'!$D:$D,$E82)&gt;0,(-SUMIFS('Industrial Summary'!$G:$G,'Industrial Summary'!$F:$F,I$17,'Industrial Summary'!$D:$D,$E82,'Industrial Summary'!$A:$A,"ELC")/SUMIFS('Industrial Summary'!$G:$G,'Industrial Summary'!$F:$F,I$17,'Industrial Summary'!$D:$D,$E82)),0)*0.98</f>
        <v>-0.45366761321657462</v>
      </c>
      <c r="J82" s="6">
        <f>IF(SUMIFS('Industrial Summary'!$G:$G,'Industrial Summary'!$F:$F,J$17,'Industrial Summary'!$D:$D,$E82)&gt;0,(-SUMIFS('Industrial Summary'!$G:$G,'Industrial Summary'!$F:$F,J$17,'Industrial Summary'!$D:$D,$E82,'Industrial Summary'!$A:$A,"ELC")/SUMIFS('Industrial Summary'!$G:$G,'Industrial Summary'!$F:$F,J$17,'Industrial Summary'!$D:$D,$E82)),0)*0.98</f>
        <v>-0.4724637565777407</v>
      </c>
      <c r="K82" s="6">
        <f>IF(SUMIFS('Industrial Summary'!$G:$G,'Industrial Summary'!$F:$F,K$17,'Industrial Summary'!$D:$D,$E82)&gt;0,(-SUMIFS('Industrial Summary'!$G:$G,'Industrial Summary'!$F:$F,K$17,'Industrial Summary'!$D:$D,$E82,'Industrial Summary'!$A:$A,"ELC")/SUMIFS('Industrial Summary'!$G:$G,'Industrial Summary'!$F:$F,K$17,'Industrial Summary'!$D:$D,$E82)),0)*0.98</f>
        <v>-0.67494822368248664</v>
      </c>
      <c r="L82" s="6">
        <f>IF(SUMIFS('Industrial Summary'!$G:$G,'Industrial Summary'!$F:$F,L$17,'Industrial Summary'!$D:$D,$E82)&gt;0,(-SUMIFS('Industrial Summary'!$G:$G,'Industrial Summary'!$F:$F,L$17,'Industrial Summary'!$D:$D,$E82,'Industrial Summary'!$A:$A,"ELC")/SUMIFS('Industrial Summary'!$G:$G,'Industrial Summary'!$F:$F,L$17,'Industrial Summary'!$D:$D,$E82)),0)*0.98</f>
        <v>-0.42527762191811486</v>
      </c>
      <c r="M82" s="6">
        <f>IF(SUMIFS('Industrial Summary'!$G:$G,'Industrial Summary'!$F:$F,M$17,'Industrial Summary'!$D:$D,$E82)&gt;0,(-SUMIFS('Industrial Summary'!$G:$G,'Industrial Summary'!$F:$F,M$17,'Industrial Summary'!$D:$D,$E82,'Industrial Summary'!$A:$A,"ELC")/SUMIFS('Industrial Summary'!$G:$G,'Industrial Summary'!$F:$F,M$17,'Industrial Summary'!$D:$D,$E82)),0)*0.98</f>
        <v>-0.43035109315066156</v>
      </c>
      <c r="N82" s="6">
        <f>IF(SUMIFS('Industrial Summary'!$G:$G,'Industrial Summary'!$F:$F,N$17,'Industrial Summary'!$D:$D,$E82)&gt;0,(-SUMIFS('Industrial Summary'!$G:$G,'Industrial Summary'!$F:$F,N$17,'Industrial Summary'!$D:$D,$E82,'Industrial Summary'!$A:$A,"ELC")/SUMIFS('Industrial Summary'!$G:$G,'Industrial Summary'!$F:$F,N$17,'Industrial Summary'!$D:$D,$E82)),0)*0.98</f>
        <v>-0.42458290835090623</v>
      </c>
      <c r="O82" s="6">
        <f>IF(SUMIFS('Industrial Summary'!$G:$G,'Industrial Summary'!$F:$F,O$17,'Industrial Summary'!$D:$D,$E82)&gt;0,(-SUMIFS('Industrial Summary'!$G:$G,'Industrial Summary'!$F:$F,O$17,'Industrial Summary'!$D:$D,$E82,'Industrial Summary'!$A:$A,"ELC")/SUMIFS('Industrial Summary'!$G:$G,'Industrial Summary'!$F:$F,O$17,'Industrial Summary'!$D:$D,$E82)),0)*0.98</f>
        <v>-0.26875960417305478</v>
      </c>
      <c r="P82" s="6">
        <f>IF(SUMIFS('Industrial Summary'!$G:$G,'Industrial Summary'!$F:$F,P$17,'Industrial Summary'!$D:$D,$E82)&gt;0,(-SUMIFS('Industrial Summary'!$G:$G,'Industrial Summary'!$F:$F,P$17,'Industrial Summary'!$D:$D,$E82,'Industrial Summary'!$A:$A,"ELC")/SUMIFS('Industrial Summary'!$G:$G,'Industrial Summary'!$F:$F,P$17,'Industrial Summary'!$D:$D,$E82)),0)*0.98</f>
        <v>-0.33594950521632377</v>
      </c>
      <c r="Q82" s="5">
        <v>0</v>
      </c>
      <c r="R82" s="5">
        <v>15</v>
      </c>
      <c r="S82" s="5" t="str">
        <f t="shared" ref="S82:S145" si="18">_xlfn.CONCAT("UC_",D82)</f>
        <v>UC_IPBFA_ELC</v>
      </c>
      <c r="V82" s="4" t="str">
        <f t="shared" si="4"/>
        <v>S_IPBFAELC</v>
      </c>
      <c r="W82" s="4" t="str">
        <f t="shared" si="5"/>
        <v>IPBFA_ELC</v>
      </c>
      <c r="X82" s="4" t="str">
        <f t="shared" si="6"/>
        <v>IPBFAC</v>
      </c>
      <c r="Y82" s="5" t="str">
        <f t="shared" si="7"/>
        <v>LO</v>
      </c>
      <c r="Z82" s="5">
        <v>1</v>
      </c>
      <c r="AA82" s="6">
        <f t="shared" si="8"/>
        <v>-0.45366761321657434</v>
      </c>
      <c r="AB82" s="6">
        <f t="shared" si="9"/>
        <v>-0.45366761321657462</v>
      </c>
      <c r="AC82" s="6">
        <f t="shared" si="10"/>
        <v>-0.4724637565777407</v>
      </c>
      <c r="AD82" s="6">
        <f t="shared" si="11"/>
        <v>-0.67494822368248664</v>
      </c>
      <c r="AE82" s="6">
        <f t="shared" si="12"/>
        <v>-0.42527762191811486</v>
      </c>
      <c r="AF82" s="6">
        <f t="shared" si="13"/>
        <v>-0.43035109315066156</v>
      </c>
      <c r="AG82" s="6">
        <f t="shared" si="14"/>
        <v>-0.42458290835090623</v>
      </c>
      <c r="AH82" s="6">
        <f t="shared" si="15"/>
        <v>-0.26875960417305478</v>
      </c>
      <c r="AI82" s="6">
        <f t="shared" si="16"/>
        <v>-0.33594950521632377</v>
      </c>
      <c r="AL82" s="5" t="str">
        <f t="shared" si="17"/>
        <v>ELC</v>
      </c>
      <c r="AM82" s="5">
        <f>1</f>
        <v>1</v>
      </c>
    </row>
    <row r="83" spans="1:39" s="5" customFormat="1" x14ac:dyDescent="0.3">
      <c r="C83" s="4" t="s">
        <v>164</v>
      </c>
      <c r="D83" s="5" t="s">
        <v>165</v>
      </c>
      <c r="E83" s="5" t="s">
        <v>724</v>
      </c>
      <c r="F83" s="5" t="s">
        <v>1588</v>
      </c>
      <c r="G83" s="5">
        <v>1</v>
      </c>
      <c r="H83" s="6">
        <f>IF(SUMIFS('Industrial Summary'!$G:$G,'Industrial Summary'!$F:$F,H$17,'Industrial Summary'!$D:$D,$E83)&gt;0,(-SUMIFS('Industrial Summary'!$G:$G,'Industrial Summary'!$F:$F,H$17,'Industrial Summary'!$D:$D,$E83,'Industrial Summary'!$A:$A,"DST")/SUMIFS('Industrial Summary'!$G:$G,'Industrial Summary'!$F:$F,H$17,'Industrial Summary'!$D:$D,$E83)),0)*0.98</f>
        <v>0</v>
      </c>
      <c r="I83" s="6">
        <f>IF(SUMIFS('Industrial Summary'!$G:$G,'Industrial Summary'!$F:$F,I$17,'Industrial Summary'!$D:$D,$E83)&gt;0,(-SUMIFS('Industrial Summary'!$G:$G,'Industrial Summary'!$F:$F,I$17,'Industrial Summary'!$D:$D,$E83,'Industrial Summary'!$A:$A,"DST")/SUMIFS('Industrial Summary'!$G:$G,'Industrial Summary'!$F:$F,I$17,'Industrial Summary'!$D:$D,$E83)),0)*0.98</f>
        <v>0</v>
      </c>
      <c r="J83" s="6">
        <f>IF(SUMIFS('Industrial Summary'!$G:$G,'Industrial Summary'!$F:$F,J$17,'Industrial Summary'!$D:$D,$E83)&gt;0,(-SUMIFS('Industrial Summary'!$G:$G,'Industrial Summary'!$F:$F,J$17,'Industrial Summary'!$D:$D,$E83,'Industrial Summary'!$A:$A,"DST")/SUMIFS('Industrial Summary'!$G:$G,'Industrial Summary'!$F:$F,J$17,'Industrial Summary'!$D:$D,$E83)),0)*0.98</f>
        <v>0</v>
      </c>
      <c r="K83" s="6">
        <f>IF(SUMIFS('Industrial Summary'!$G:$G,'Industrial Summary'!$F:$F,K$17,'Industrial Summary'!$D:$D,$E83)&gt;0,(-SUMIFS('Industrial Summary'!$G:$G,'Industrial Summary'!$F:$F,K$17,'Industrial Summary'!$D:$D,$E83,'Industrial Summary'!$A:$A,"DST")/SUMIFS('Industrial Summary'!$G:$G,'Industrial Summary'!$F:$F,K$17,'Industrial Summary'!$D:$D,$E83)),0)*0.98</f>
        <v>0</v>
      </c>
      <c r="L83" s="6">
        <f>IF(SUMIFS('Industrial Summary'!$G:$G,'Industrial Summary'!$F:$F,L$17,'Industrial Summary'!$D:$D,$E83)&gt;0,(-SUMIFS('Industrial Summary'!$G:$G,'Industrial Summary'!$F:$F,L$17,'Industrial Summary'!$D:$D,$E83,'Industrial Summary'!$A:$A,"DST")/SUMIFS('Industrial Summary'!$G:$G,'Industrial Summary'!$F:$F,L$17,'Industrial Summary'!$D:$D,$E83)),0)*0.98</f>
        <v>-1.2735316075969149E-2</v>
      </c>
      <c r="M83" s="6">
        <f>IF(SUMIFS('Industrial Summary'!$G:$G,'Industrial Summary'!$F:$F,M$17,'Industrial Summary'!$D:$D,$E83)&gt;0,(-SUMIFS('Industrial Summary'!$G:$G,'Industrial Summary'!$F:$F,M$17,'Industrial Summary'!$D:$D,$E83,'Industrial Summary'!$A:$A,"DST")/SUMIFS('Industrial Summary'!$G:$G,'Industrial Summary'!$F:$F,M$17,'Industrial Summary'!$D:$D,$E83)),0)*0.98</f>
        <v>-1.1960549081394597E-3</v>
      </c>
      <c r="N83" s="6">
        <f>IF(SUMIFS('Industrial Summary'!$G:$G,'Industrial Summary'!$F:$F,N$17,'Industrial Summary'!$D:$D,$E83)&gt;0,(-SUMIFS('Industrial Summary'!$G:$G,'Industrial Summary'!$F:$F,N$17,'Industrial Summary'!$D:$D,$E83,'Industrial Summary'!$A:$A,"DST")/SUMIFS('Industrial Summary'!$G:$G,'Industrial Summary'!$F:$F,N$17,'Industrial Summary'!$D:$D,$E83)),0)*0.98</f>
        <v>-1.4315394275177017E-2</v>
      </c>
      <c r="O83" s="6">
        <f>IF(SUMIFS('Industrial Summary'!$G:$G,'Industrial Summary'!$F:$F,O$17,'Industrial Summary'!$D:$D,$E83)&gt;0,(-SUMIFS('Industrial Summary'!$G:$G,'Industrial Summary'!$F:$F,O$17,'Industrial Summary'!$D:$D,$E83,'Industrial Summary'!$A:$A,"DST")/SUMIFS('Industrial Summary'!$G:$G,'Industrial Summary'!$F:$F,O$17,'Industrial Summary'!$D:$D,$E83)),0)*0.98</f>
        <v>-0.45140096012859937</v>
      </c>
      <c r="P83" s="6">
        <f>IF(SUMIFS('Industrial Summary'!$G:$G,'Industrial Summary'!$F:$F,P$17,'Industrial Summary'!$D:$D,$E83)&gt;0,(-SUMIFS('Industrial Summary'!$G:$G,'Industrial Summary'!$F:$F,P$17,'Industrial Summary'!$D:$D,$E83,'Industrial Summary'!$A:$A,"DST")/SUMIFS('Industrial Summary'!$G:$G,'Industrial Summary'!$F:$F,P$17,'Industrial Summary'!$D:$D,$E83)),0)*0.98</f>
        <v>-0.31925120016073849</v>
      </c>
      <c r="Q83" s="5">
        <v>0</v>
      </c>
      <c r="R83" s="5">
        <v>15</v>
      </c>
      <c r="S83" s="5" t="str">
        <f t="shared" si="18"/>
        <v>UC_IPBFA_DST</v>
      </c>
      <c r="V83" s="4" t="str">
        <f t="shared" ref="V83:V146" si="19">C83</f>
        <v>S_IPBFADST</v>
      </c>
      <c r="W83" s="4" t="str">
        <f t="shared" ref="W83:W146" si="20">D83</f>
        <v>IPBFA_DST</v>
      </c>
      <c r="X83" s="4" t="str">
        <f t="shared" ref="X83:X146" si="21">E83</f>
        <v>IPBFAC</v>
      </c>
      <c r="Y83" s="5" t="str">
        <f t="shared" ref="Y83:Y146" si="22">F83</f>
        <v>LO</v>
      </c>
      <c r="Z83" s="5">
        <v>1</v>
      </c>
      <c r="AA83" s="6">
        <f t="shared" ref="AA83:AA146" si="23">H83*$AM83</f>
        <v>0</v>
      </c>
      <c r="AB83" s="6">
        <f t="shared" ref="AB83:AB146" si="24">I83*$AM83</f>
        <v>0</v>
      </c>
      <c r="AC83" s="6">
        <f t="shared" ref="AC83:AC146" si="25">J83*$AM83</f>
        <v>0</v>
      </c>
      <c r="AD83" s="6">
        <f t="shared" ref="AD83:AD146" si="26">K83*$AM83</f>
        <v>0</v>
      </c>
      <c r="AE83" s="6">
        <f t="shared" ref="AE83:AE146" si="27">L83*$AM83</f>
        <v>-1.2735316075969149E-2</v>
      </c>
      <c r="AF83" s="6">
        <f t="shared" ref="AF83:AF146" si="28">M83*$AM83</f>
        <v>-1.1960549081394597E-3</v>
      </c>
      <c r="AG83" s="6">
        <f t="shared" ref="AG83:AG146" si="29">N83*$AM83</f>
        <v>-1.4315394275177017E-2</v>
      </c>
      <c r="AH83" s="6">
        <f t="shared" ref="AH83:AH146" si="30">O83*$AM83</f>
        <v>-0.45140096012859937</v>
      </c>
      <c r="AI83" s="6">
        <f t="shared" ref="AI83:AI146" si="31">P83*$AM83</f>
        <v>-0.31925120016073849</v>
      </c>
      <c r="AL83" s="5" t="str">
        <f t="shared" ref="AL83:AL146" si="32">RIGHT(W83,3)</f>
        <v>DST</v>
      </c>
      <c r="AM83" s="5">
        <f>1</f>
        <v>1</v>
      </c>
    </row>
    <row r="84" spans="1:39" s="5" customFormat="1" x14ac:dyDescent="0.3">
      <c r="A84" s="8"/>
      <c r="C84" s="4" t="s">
        <v>166</v>
      </c>
      <c r="D84" s="5" t="s">
        <v>167</v>
      </c>
      <c r="E84" s="5" t="s">
        <v>724</v>
      </c>
      <c r="F84" s="5" t="s">
        <v>1588</v>
      </c>
      <c r="G84" s="5">
        <v>1</v>
      </c>
      <c r="H84" s="6">
        <f>IF(SUMIFS('Industrial Summary'!$G:$G,'Industrial Summary'!$F:$F,H$17,'Industrial Summary'!$D:$D,$E84)&gt;0,(-SUMIFS('Industrial Summary'!$G:$G,'Industrial Summary'!$F:$F,H$17,'Industrial Summary'!$D:$D,$E84,'Industrial Summary'!$A:$A,"NGA")/SUMIFS('Industrial Summary'!$G:$G,'Industrial Summary'!$F:$F,H$17,'Industrial Summary'!$D:$D,$E84)),0)*0.98</f>
        <v>-0.52633238678342553</v>
      </c>
      <c r="I84" s="6">
        <f>IF(SUMIFS('Industrial Summary'!$G:$G,'Industrial Summary'!$F:$F,I$17,'Industrial Summary'!$D:$D,$E84)&gt;0,(-SUMIFS('Industrial Summary'!$G:$G,'Industrial Summary'!$F:$F,I$17,'Industrial Summary'!$D:$D,$E84,'Industrial Summary'!$A:$A,"NGA")/SUMIFS('Industrial Summary'!$G:$G,'Industrial Summary'!$F:$F,I$17,'Industrial Summary'!$D:$D,$E84)),0)*0.98</f>
        <v>-0.52633238678342542</v>
      </c>
      <c r="J84" s="6">
        <f>IF(SUMIFS('Industrial Summary'!$G:$G,'Industrial Summary'!$F:$F,J$17,'Industrial Summary'!$D:$D,$E84)&gt;0,(-SUMIFS('Industrial Summary'!$G:$G,'Industrial Summary'!$F:$F,J$17,'Industrial Summary'!$D:$D,$E84,'Industrial Summary'!$A:$A,"NGA")/SUMIFS('Industrial Summary'!$G:$G,'Industrial Summary'!$F:$F,J$17,'Industrial Summary'!$D:$D,$E84)),0)*0.98</f>
        <v>-0.50753624342225923</v>
      </c>
      <c r="K84" s="6">
        <f>IF(SUMIFS('Industrial Summary'!$G:$G,'Industrial Summary'!$F:$F,K$17,'Industrial Summary'!$D:$D,$E84)&gt;0,(-SUMIFS('Industrial Summary'!$G:$G,'Industrial Summary'!$F:$F,K$17,'Industrial Summary'!$D:$D,$E84,'Industrial Summary'!$A:$A,"NGA")/SUMIFS('Industrial Summary'!$G:$G,'Industrial Summary'!$F:$F,K$17,'Industrial Summary'!$D:$D,$E84)),0)*0.98</f>
        <v>-0.30505177631751335</v>
      </c>
      <c r="L84" s="6">
        <f>IF(SUMIFS('Industrial Summary'!$G:$G,'Industrial Summary'!$F:$F,L$17,'Industrial Summary'!$D:$D,$E84)&gt;0,(-SUMIFS('Industrial Summary'!$G:$G,'Industrial Summary'!$F:$F,L$17,'Industrial Summary'!$D:$D,$E84,'Industrial Summary'!$A:$A,"NGA")/SUMIFS('Industrial Summary'!$G:$G,'Industrial Summary'!$F:$F,L$17,'Industrial Summary'!$D:$D,$E84)),0)*0.98</f>
        <v>-0.54198706200591606</v>
      </c>
      <c r="M84" s="6">
        <f>IF(SUMIFS('Industrial Summary'!$G:$G,'Industrial Summary'!$F:$F,M$17,'Industrial Summary'!$D:$D,$E84)&gt;0,(-SUMIFS('Industrial Summary'!$G:$G,'Industrial Summary'!$F:$F,M$17,'Industrial Summary'!$D:$D,$E84,'Industrial Summary'!$A:$A,"NGA")/SUMIFS('Industrial Summary'!$G:$G,'Industrial Summary'!$F:$F,M$17,'Industrial Summary'!$D:$D,$E84)),0)*0.98</f>
        <v>-0.54845285194119897</v>
      </c>
      <c r="N84" s="6">
        <f>IF(SUMIFS('Industrial Summary'!$G:$G,'Industrial Summary'!$F:$F,N$17,'Industrial Summary'!$D:$D,$E84)&gt;0,(-SUMIFS('Industrial Summary'!$G:$G,'Industrial Summary'!$F:$F,N$17,'Industrial Summary'!$D:$D,$E84,'Industrial Summary'!$A:$A,"NGA")/SUMIFS('Industrial Summary'!$G:$G,'Industrial Summary'!$F:$F,N$17,'Industrial Summary'!$D:$D,$E84)),0)*0.98</f>
        <v>-0.54110169737391678</v>
      </c>
      <c r="O84" s="6">
        <f>IF(SUMIFS('Industrial Summary'!$G:$G,'Industrial Summary'!$F:$F,O$17,'Industrial Summary'!$D:$D,$E84)&gt;0,(-SUMIFS('Industrial Summary'!$G:$G,'Industrial Summary'!$F:$F,O$17,'Industrial Summary'!$D:$D,$E84,'Industrial Summary'!$A:$A,"NGA")/SUMIFS('Industrial Summary'!$G:$G,'Industrial Summary'!$F:$F,O$17,'Industrial Summary'!$D:$D,$E84)),0)*0.98</f>
        <v>-0.259839435698346</v>
      </c>
      <c r="P84" s="6">
        <f>IF(SUMIFS('Industrial Summary'!$G:$G,'Industrial Summary'!$F:$F,P$17,'Industrial Summary'!$D:$D,$E84)&gt;0,(-SUMIFS('Industrial Summary'!$G:$G,'Industrial Summary'!$F:$F,P$17,'Industrial Summary'!$D:$D,$E84,'Industrial Summary'!$A:$A,"NGA")/SUMIFS('Industrial Summary'!$G:$G,'Industrial Summary'!$F:$F,P$17,'Industrial Summary'!$D:$D,$E84)),0)*0.98</f>
        <v>-0.32479929462293761</v>
      </c>
      <c r="Q84" s="5">
        <v>0</v>
      </c>
      <c r="R84" s="5">
        <v>15</v>
      </c>
      <c r="S84" s="5" t="str">
        <f t="shared" si="18"/>
        <v>UC_IPBFA_NGA</v>
      </c>
      <c r="V84" s="4" t="str">
        <f t="shared" si="19"/>
        <v>S_IPBFANGA</v>
      </c>
      <c r="W84" s="4" t="str">
        <f t="shared" si="20"/>
        <v>IPBFA_NGA</v>
      </c>
      <c r="X84" s="4" t="str">
        <f t="shared" si="21"/>
        <v>IPBFAC</v>
      </c>
      <c r="Y84" s="5" t="str">
        <f t="shared" si="22"/>
        <v>LO</v>
      </c>
      <c r="Z84" s="5">
        <v>1</v>
      </c>
      <c r="AA84" s="6">
        <f t="shared" si="23"/>
        <v>-0.35790602301272934</v>
      </c>
      <c r="AB84" s="6">
        <f t="shared" si="24"/>
        <v>-0.35790602301272928</v>
      </c>
      <c r="AC84" s="6">
        <f t="shared" si="25"/>
        <v>-0.34512464552713623</v>
      </c>
      <c r="AD84" s="6">
        <f t="shared" si="26"/>
        <v>-0.20743520789590905</v>
      </c>
      <c r="AE84" s="6">
        <f t="shared" si="27"/>
        <v>-0.36855120216402287</v>
      </c>
      <c r="AF84" s="6">
        <f t="shared" si="28"/>
        <v>-0.37294793932001524</v>
      </c>
      <c r="AG84" s="6">
        <f t="shared" si="29"/>
        <v>-0.36794915421426339</v>
      </c>
      <c r="AH84" s="6">
        <f t="shared" si="30"/>
        <v>-0.17669081627487526</v>
      </c>
      <c r="AI84" s="6">
        <f t="shared" si="31"/>
        <v>-0.22086352034359755</v>
      </c>
      <c r="AL84" s="5" t="str">
        <f t="shared" si="32"/>
        <v>NGA</v>
      </c>
      <c r="AM84" s="5">
        <f>Y6</f>
        <v>0.67999999999999994</v>
      </c>
    </row>
    <row r="85" spans="1:39" s="5" customFormat="1" x14ac:dyDescent="0.3">
      <c r="C85" s="4" t="s">
        <v>168</v>
      </c>
      <c r="D85" s="5" t="s">
        <v>169</v>
      </c>
      <c r="E85" s="5" t="s">
        <v>755</v>
      </c>
      <c r="F85" s="5" t="s">
        <v>1588</v>
      </c>
      <c r="G85" s="5">
        <v>1</v>
      </c>
      <c r="H85" s="6">
        <f>(IF(SUMIFS('Industrial Summary'!$G:$G,'Industrial Summary'!$F:$F,H$17,'Industrial Summary'!$D:$D,$E85)&gt;0,((-SUMIFS('Industrial Summary'!$G:$G,'Industrial Summary'!$F:$F,H$17,'Industrial Summary'!$D:$D,$E85,'Industrial Summary'!$A:$A,"ELC")+-SUMIFS('Industrial Summary'!$G:$G,'Industrial Summary'!$F:$F,H$17,'Industrial Summary'!$D:$D,"IPBRSTM",'Industrial Summary'!$A:$A,"ELC"))/SUMIFS('Industrial Summary'!$G:$G,'Industrial Summary'!$F:$F,H$17,'Industrial Summary'!$D:$D,$E85)),0))*0.98</f>
        <v>-1.62538797861905E-2</v>
      </c>
      <c r="I85" s="6">
        <f>(IF(SUMIFS('Industrial Summary'!$G:$G,'Industrial Summary'!$F:$F,I$17,'Industrial Summary'!$D:$D,$E85)&gt;0,((-SUMIFS('Industrial Summary'!$G:$G,'Industrial Summary'!$F:$F,I$17,'Industrial Summary'!$D:$D,$E85,'Industrial Summary'!$A:$A,"ELC")+-SUMIFS('Industrial Summary'!$G:$G,'Industrial Summary'!$F:$F,I$17,'Industrial Summary'!$D:$D,"IPBRSTM",'Industrial Summary'!$A:$A,"ELC"))/SUMIFS('Industrial Summary'!$G:$G,'Industrial Summary'!$F:$F,I$17,'Industrial Summary'!$D:$D,$E85)),0))*0.98</f>
        <v>-1.3432338682573569E-2</v>
      </c>
      <c r="J85" s="6">
        <f>(IF(SUMIFS('Industrial Summary'!$G:$G,'Industrial Summary'!$F:$F,J$17,'Industrial Summary'!$D:$D,$E85)&gt;0,((-SUMIFS('Industrial Summary'!$G:$G,'Industrial Summary'!$F:$F,J$17,'Industrial Summary'!$D:$D,$E85,'Industrial Summary'!$A:$A,"ELC")+-SUMIFS('Industrial Summary'!$G:$G,'Industrial Summary'!$F:$F,J$17,'Industrial Summary'!$D:$D,"IPBRSTM",'Industrial Summary'!$A:$A,"ELC"))/SUMIFS('Industrial Summary'!$G:$G,'Industrial Summary'!$F:$F,J$17,'Industrial Summary'!$D:$D,$E85)),0))*0.98</f>
        <v>-2.296942923794474E-2</v>
      </c>
      <c r="K85" s="6">
        <f>(IF(SUMIFS('Industrial Summary'!$G:$G,'Industrial Summary'!$F:$F,K$17,'Industrial Summary'!$D:$D,$E85)&gt;0,((-SUMIFS('Industrial Summary'!$G:$G,'Industrial Summary'!$F:$F,K$17,'Industrial Summary'!$D:$D,$E85,'Industrial Summary'!$A:$A,"ELC")+-SUMIFS('Industrial Summary'!$G:$G,'Industrial Summary'!$F:$F,K$17,'Industrial Summary'!$D:$D,"IPBRSTM",'Industrial Summary'!$A:$A,"ELC"))/SUMIFS('Industrial Summary'!$G:$G,'Industrial Summary'!$F:$F,K$17,'Industrial Summary'!$D:$D,$E85)),0))*0.98</f>
        <v>-3.4616328406536299E-2</v>
      </c>
      <c r="L85" s="6">
        <f>(IF(SUMIFS('Industrial Summary'!$G:$G,'Industrial Summary'!$F:$F,L$17,'Industrial Summary'!$D:$D,$E85)&gt;0,((-SUMIFS('Industrial Summary'!$G:$G,'Industrial Summary'!$F:$F,L$17,'Industrial Summary'!$D:$D,$E85,'Industrial Summary'!$A:$A,"ELC")+-SUMIFS('Industrial Summary'!$G:$G,'Industrial Summary'!$F:$F,L$17,'Industrial Summary'!$D:$D,"IPBRSTM",'Industrial Summary'!$A:$A,"ELC"))/SUMIFS('Industrial Summary'!$G:$G,'Industrial Summary'!$F:$F,L$17,'Industrial Summary'!$D:$D,$E85)),0))*0.98</f>
        <v>-1.8397102238127663E-3</v>
      </c>
      <c r="M85" s="6">
        <f>(IF(SUMIFS('Industrial Summary'!$G:$G,'Industrial Summary'!$F:$F,M$17,'Industrial Summary'!$D:$D,$E85)&gt;0,((-SUMIFS('Industrial Summary'!$G:$G,'Industrial Summary'!$F:$F,M$17,'Industrial Summary'!$D:$D,$E85,'Industrial Summary'!$A:$A,"ELC")+-SUMIFS('Industrial Summary'!$G:$G,'Industrial Summary'!$F:$F,M$17,'Industrial Summary'!$D:$D,"IPBRSTM",'Industrial Summary'!$A:$A,"ELC"))/SUMIFS('Industrial Summary'!$G:$G,'Industrial Summary'!$F:$F,M$17,'Industrial Summary'!$D:$D,$E85)),0))*0.98</f>
        <v>-1.8552023051807104E-3</v>
      </c>
      <c r="N85" s="6">
        <f>(IF(SUMIFS('Industrial Summary'!$G:$G,'Industrial Summary'!$F:$F,N$17,'Industrial Summary'!$D:$D,$E85)&gt;0,((-SUMIFS('Industrial Summary'!$G:$G,'Industrial Summary'!$F:$F,N$17,'Industrial Summary'!$D:$D,$E85,'Industrial Summary'!$A:$A,"ELC")+-SUMIFS('Industrial Summary'!$G:$G,'Industrial Summary'!$F:$F,N$17,'Industrial Summary'!$D:$D,"IPBRSTM",'Industrial Summary'!$A:$A,"ELC"))/SUMIFS('Industrial Summary'!$G:$G,'Industrial Summary'!$F:$F,N$17,'Industrial Summary'!$D:$D,$E85)),0))*0.98</f>
        <v>-1.8675481789192088E-3</v>
      </c>
      <c r="O85" s="6">
        <f>(IF(SUMIFS('Industrial Summary'!$G:$G,'Industrial Summary'!$F:$F,O$17,'Industrial Summary'!$D:$D,$E85)&gt;0,((-SUMIFS('Industrial Summary'!$G:$G,'Industrial Summary'!$F:$F,O$17,'Industrial Summary'!$D:$D,$E85,'Industrial Summary'!$A:$A,"ELC")+-SUMIFS('Industrial Summary'!$G:$G,'Industrial Summary'!$F:$F,O$17,'Industrial Summary'!$D:$D,"IPBRSTM",'Industrial Summary'!$A:$A,"ELC"))/SUMIFS('Industrial Summary'!$G:$G,'Industrial Summary'!$F:$F,O$17,'Industrial Summary'!$D:$D,$E85)),0))*0.98</f>
        <v>-4.507712310951313E-3</v>
      </c>
      <c r="P85" s="6">
        <f>(IF(SUMIFS('Industrial Summary'!$G:$G,'Industrial Summary'!$F:$F,P$17,'Industrial Summary'!$D:$D,$E85)&gt;0,((-SUMIFS('Industrial Summary'!$G:$G,'Industrial Summary'!$F:$F,P$17,'Industrial Summary'!$D:$D,$E85,'Industrial Summary'!$A:$A,"ELC")+-SUMIFS('Industrial Summary'!$G:$G,'Industrial Summary'!$F:$F,P$17,'Industrial Summary'!$D:$D,"IPBRSTM",'Industrial Summary'!$A:$A,"ELC"))/SUMIFS('Industrial Summary'!$G:$G,'Industrial Summary'!$F:$F,P$17,'Industrial Summary'!$D:$D,$E85)),0))*0.98</f>
        <v>0</v>
      </c>
      <c r="Q85" s="5">
        <v>0</v>
      </c>
      <c r="R85" s="5">
        <v>15</v>
      </c>
      <c r="S85" s="5" t="str">
        <f t="shared" si="18"/>
        <v>UC_IPBOH_ELC</v>
      </c>
      <c r="V85" s="4" t="str">
        <f t="shared" si="19"/>
        <v>S_IPBOHELC</v>
      </c>
      <c r="W85" s="4" t="str">
        <f t="shared" si="20"/>
        <v>IPBOH_ELC</v>
      </c>
      <c r="X85" s="4" t="str">
        <f t="shared" si="21"/>
        <v>IPBOHT</v>
      </c>
      <c r="Y85" s="5" t="str">
        <f t="shared" si="22"/>
        <v>LO</v>
      </c>
      <c r="Z85" s="5">
        <v>1</v>
      </c>
      <c r="AA85" s="6">
        <f t="shared" si="23"/>
        <v>-1.62538797861905E-2</v>
      </c>
      <c r="AB85" s="6">
        <f t="shared" si="24"/>
        <v>-1.3432338682573569E-2</v>
      </c>
      <c r="AC85" s="6">
        <f t="shared" si="25"/>
        <v>-2.296942923794474E-2</v>
      </c>
      <c r="AD85" s="6">
        <f t="shared" si="26"/>
        <v>-3.4616328406536299E-2</v>
      </c>
      <c r="AE85" s="6">
        <f t="shared" si="27"/>
        <v>-1.8397102238127663E-3</v>
      </c>
      <c r="AF85" s="6">
        <f t="shared" si="28"/>
        <v>-1.8552023051807104E-3</v>
      </c>
      <c r="AG85" s="6">
        <f t="shared" si="29"/>
        <v>-1.8675481789192088E-3</v>
      </c>
      <c r="AH85" s="6">
        <f t="shared" si="30"/>
        <v>-4.507712310951313E-3</v>
      </c>
      <c r="AI85" s="6">
        <f t="shared" si="31"/>
        <v>0</v>
      </c>
      <c r="AL85" s="5" t="str">
        <f t="shared" si="32"/>
        <v>ELC</v>
      </c>
      <c r="AM85" s="5">
        <f>1</f>
        <v>1</v>
      </c>
    </row>
    <row r="86" spans="1:39" s="5" customFormat="1" x14ac:dyDescent="0.3">
      <c r="C86" s="4" t="s">
        <v>170</v>
      </c>
      <c r="D86" s="5" t="s">
        <v>171</v>
      </c>
      <c r="E86" s="5" t="s">
        <v>755</v>
      </c>
      <c r="F86" s="5" t="s">
        <v>1588</v>
      </c>
      <c r="G86" s="5">
        <v>1</v>
      </c>
      <c r="H86" s="6">
        <f>(IF(SUMIFS('Industrial Summary'!$G:$G,'Industrial Summary'!$F:$F,H$17,'Industrial Summary'!$D:$D,$E86)&gt;0,((-SUMIFS('Industrial Summary'!$G:$G,'Industrial Summary'!$F:$F,H$17,'Industrial Summary'!$D:$D,$E86,'Industrial Summary'!$A:$A,"NGA")+-SUMIFS('Industrial Summary'!$G:$G,'Industrial Summary'!$F:$F,H$17,'Industrial Summary'!$D:$D,"IPBRSTM",'Industrial Summary'!$A:$A,"ELC"))/SUMIFS('Industrial Summary'!$G:$G,'Industrial Summary'!$F:$F,H$17,'Industrial Summary'!$D:$D,$E86)),0))*0.98</f>
        <v>-2.8285940278055418E-2</v>
      </c>
      <c r="I86" s="6">
        <f>(IF(SUMIFS('Industrial Summary'!$G:$G,'Industrial Summary'!$F:$F,I$17,'Industrial Summary'!$D:$D,$E86)&gt;0,((-SUMIFS('Industrial Summary'!$G:$G,'Industrial Summary'!$F:$F,I$17,'Industrial Summary'!$D:$D,$E86,'Industrial Summary'!$A:$A,"NGA")+-SUMIFS('Industrial Summary'!$G:$G,'Industrial Summary'!$F:$F,I$17,'Industrial Summary'!$D:$D,"IPBRSTM",'Industrial Summary'!$A:$A,"ELC"))/SUMIFS('Industrial Summary'!$G:$G,'Industrial Summary'!$F:$F,I$17,'Industrial Summary'!$D:$D,$E86)),0))*0.98</f>
        <v>-2.3375731503365704E-2</v>
      </c>
      <c r="J86" s="6">
        <f>(IF(SUMIFS('Industrial Summary'!$G:$G,'Industrial Summary'!$F:$F,J$17,'Industrial Summary'!$D:$D,$E86)&gt;0,((-SUMIFS('Industrial Summary'!$G:$G,'Industrial Summary'!$F:$F,J$17,'Industrial Summary'!$D:$D,$E86,'Industrial Summary'!$A:$A,"NGA")+-SUMIFS('Industrial Summary'!$G:$G,'Industrial Summary'!$F:$F,J$17,'Industrial Summary'!$D:$D,"IPBRSTM",'Industrial Summary'!$A:$A,"ELC"))/SUMIFS('Industrial Summary'!$G:$G,'Industrial Summary'!$F:$F,J$17,'Industrial Summary'!$D:$D,$E86)),0))*0.98</f>
        <v>-3.7011784502019335E-2</v>
      </c>
      <c r="K86" s="6">
        <f>(IF(SUMIFS('Industrial Summary'!$G:$G,'Industrial Summary'!$F:$F,K$17,'Industrial Summary'!$D:$D,$E86)&gt;0,((-SUMIFS('Industrial Summary'!$G:$G,'Industrial Summary'!$F:$F,K$17,'Industrial Summary'!$D:$D,$E86,'Industrial Summary'!$A:$A,"NGA")+-SUMIFS('Industrial Summary'!$G:$G,'Industrial Summary'!$F:$F,K$17,'Industrial Summary'!$D:$D,"IPBRSTM",'Industrial Summary'!$A:$A,"ELC"))/SUMIFS('Industrial Summary'!$G:$G,'Industrial Summary'!$F:$F,K$17,'Industrial Summary'!$D:$D,$E86)),0))*0.98</f>
        <v>-5.5779012789631127E-2</v>
      </c>
      <c r="L86" s="6">
        <f>(IF(SUMIFS('Industrial Summary'!$G:$G,'Industrial Summary'!$F:$F,L$17,'Industrial Summary'!$D:$D,$E86)&gt;0,((-SUMIFS('Industrial Summary'!$G:$G,'Industrial Summary'!$F:$F,L$17,'Industrial Summary'!$D:$D,$E86,'Industrial Summary'!$A:$A,"NGA")+-SUMIFS('Industrial Summary'!$G:$G,'Industrial Summary'!$F:$F,L$17,'Industrial Summary'!$D:$D,"IPBRSTM",'Industrial Summary'!$A:$A,"ELC"))/SUMIFS('Industrial Summary'!$G:$G,'Industrial Summary'!$F:$F,L$17,'Industrial Summary'!$D:$D,$E86)),0))*0.98</f>
        <v>-3.5168761101842579E-3</v>
      </c>
      <c r="M86" s="6">
        <f>(IF(SUMIFS('Industrial Summary'!$G:$G,'Industrial Summary'!$F:$F,M$17,'Industrial Summary'!$D:$D,$E86)&gt;0,((-SUMIFS('Industrial Summary'!$G:$G,'Industrial Summary'!$F:$F,M$17,'Industrial Summary'!$D:$D,$E86,'Industrial Summary'!$A:$A,"NGA")+-SUMIFS('Industrial Summary'!$G:$G,'Industrial Summary'!$F:$F,M$17,'Industrial Summary'!$D:$D,"IPBRSTM",'Industrial Summary'!$A:$A,"ELC"))/SUMIFS('Industrial Summary'!$G:$G,'Industrial Summary'!$F:$F,M$17,'Industrial Summary'!$D:$D,$E86)),0))*0.98</f>
        <v>-3.5464914975179415E-3</v>
      </c>
      <c r="N86" s="6">
        <f>(IF(SUMIFS('Industrial Summary'!$G:$G,'Industrial Summary'!$F:$F,N$17,'Industrial Summary'!$D:$D,$E86)&gt;0,((-SUMIFS('Industrial Summary'!$G:$G,'Industrial Summary'!$F:$F,N$17,'Industrial Summary'!$D:$D,$E86,'Industrial Summary'!$A:$A,"NGA")+-SUMIFS('Industrial Summary'!$G:$G,'Industrial Summary'!$F:$F,N$17,'Industrial Summary'!$D:$D,"IPBRSTM",'Industrial Summary'!$A:$A,"ELC"))/SUMIFS('Industrial Summary'!$G:$G,'Industrial Summary'!$F:$F,N$17,'Industrial Summary'!$D:$D,$E86)),0))*0.98</f>
        <v>-3.5700924471937499E-3</v>
      </c>
      <c r="O86" s="6">
        <f>(IF(SUMIFS('Industrial Summary'!$G:$G,'Industrial Summary'!$F:$F,O$17,'Industrial Summary'!$D:$D,$E86)&gt;0,((-SUMIFS('Industrial Summary'!$G:$G,'Industrial Summary'!$F:$F,O$17,'Industrial Summary'!$D:$D,$E86,'Industrial Summary'!$A:$A,"NGA")+-SUMIFS('Industrial Summary'!$G:$G,'Industrial Summary'!$F:$F,O$17,'Industrial Summary'!$D:$D,"IPBRSTM",'Industrial Summary'!$A:$A,"ELC"))/SUMIFS('Industrial Summary'!$G:$G,'Industrial Summary'!$F:$F,O$17,'Industrial Summary'!$D:$D,$E86)),0))*0.98</f>
        <v>-6.5371510728257981E-3</v>
      </c>
      <c r="P86" s="6">
        <f>(IF(SUMIFS('Industrial Summary'!$G:$G,'Industrial Summary'!$F:$F,P$17,'Industrial Summary'!$D:$D,$E86)&gt;0,((-SUMIFS('Industrial Summary'!$G:$G,'Industrial Summary'!$F:$F,P$17,'Industrial Summary'!$D:$D,$E86,'Industrial Summary'!$A:$A,"NGA")+-SUMIFS('Industrial Summary'!$G:$G,'Industrial Summary'!$F:$F,P$17,'Industrial Summary'!$D:$D,"IPBRSTM",'Industrial Summary'!$A:$A,"ELC"))/SUMIFS('Industrial Summary'!$G:$G,'Industrial Summary'!$F:$F,P$17,'Industrial Summary'!$D:$D,$E86)),0))*0.98</f>
        <v>0</v>
      </c>
      <c r="Q86" s="5">
        <v>0</v>
      </c>
      <c r="R86" s="5">
        <v>15</v>
      </c>
      <c r="S86" s="5" t="str">
        <f t="shared" si="18"/>
        <v>UC_IPBOH_NGA</v>
      </c>
      <c r="V86" s="4" t="str">
        <f t="shared" si="19"/>
        <v>S_IPBOHNGA</v>
      </c>
      <c r="W86" s="4" t="str">
        <f t="shared" si="20"/>
        <v>IPBOH_NGA</v>
      </c>
      <c r="X86" s="4" t="str">
        <f t="shared" si="21"/>
        <v>IPBOHT</v>
      </c>
      <c r="Y86" s="5" t="str">
        <f t="shared" si="22"/>
        <v>LO</v>
      </c>
      <c r="Z86" s="5">
        <v>1</v>
      </c>
      <c r="AA86" s="6">
        <f t="shared" si="23"/>
        <v>-1.9234439389077682E-2</v>
      </c>
      <c r="AB86" s="6">
        <f t="shared" si="24"/>
        <v>-1.5895497422288678E-2</v>
      </c>
      <c r="AC86" s="6">
        <f t="shared" si="25"/>
        <v>-2.5168013461373144E-2</v>
      </c>
      <c r="AD86" s="6">
        <f t="shared" si="26"/>
        <v>-3.7929728696949161E-2</v>
      </c>
      <c r="AE86" s="6">
        <f t="shared" si="27"/>
        <v>-2.3914757549252951E-3</v>
      </c>
      <c r="AF86" s="6">
        <f t="shared" si="28"/>
        <v>-2.4116142183121998E-3</v>
      </c>
      <c r="AG86" s="6">
        <f t="shared" si="29"/>
        <v>-2.4276628640917497E-3</v>
      </c>
      <c r="AH86" s="6">
        <f t="shared" si="30"/>
        <v>-4.4452627295215423E-3</v>
      </c>
      <c r="AI86" s="6">
        <f t="shared" si="31"/>
        <v>0</v>
      </c>
      <c r="AL86" s="5" t="str">
        <f t="shared" si="32"/>
        <v>NGA</v>
      </c>
      <c r="AM86" s="5">
        <f>Y6</f>
        <v>0.67999999999999994</v>
      </c>
    </row>
    <row r="87" spans="1:39" s="5" customFormat="1" x14ac:dyDescent="0.3">
      <c r="C87" s="4" t="s">
        <v>172</v>
      </c>
      <c r="D87" s="5" t="s">
        <v>173</v>
      </c>
      <c r="E87" s="5" t="s">
        <v>755</v>
      </c>
      <c r="F87" s="5" t="s">
        <v>1588</v>
      </c>
      <c r="G87" s="5">
        <v>1</v>
      </c>
      <c r="H87" s="6">
        <f>(IF(SUMIFS('Industrial Summary'!$G:$G,'Industrial Summary'!$F:$F,H$17,'Industrial Summary'!$D:$D,$E87)&gt;0,((-SUMIFS('Industrial Summary'!$G:$G,'Industrial Summary'!$F:$F,H$17,'Industrial Summary'!$D:$D,$E87,'Industrial Summary'!$A:$A,"BIO")+-SUMIFS('Industrial Summary'!$G:$G,'Industrial Summary'!$F:$F,H$17,'Industrial Summary'!$D:$D,$E87,'Industrial Summary'!$A:$A,"WOD")+-SUMIFS('Industrial Summary'!$G:$G,'Industrial Summary'!$F:$F,H$17,'Industrial Summary'!$D:$D,$E87,'Industrial Summary'!$A:$A,"TOM")+-SUMIFS('Industrial Summary'!$G:$G,'Industrial Summary'!$F:$F,H$17,'Industrial Summary'!$D:$D,"IPBRSTM",'Industrial Summary'!$A:$A,"BIO")+-SUMIFS('Industrial Summary'!$G:$G,'Industrial Summary'!$F:$F,H$17,'Industrial Summary'!$D:$D,"IPBRSTM",'Industrial Summary'!$A:$A,"WOD")+-SUMIFS('Industrial Summary'!$G:$G,'Industrial Summary'!$F:$F,H$17,'Industrial Summary'!$D:$D,"IPBRSTM",'Industrial Summary'!$A:$A,"TOM")+-SUMIFS('Industrial Summary'!$G:$G,'Industrial Summary'!$F:$F,H$17,'Industrial Summary'!$D:$D,"IPBRSTM",'Industrial Summary'!$A:$A,"BLQ"))/SUMIFS('Industrial Summary'!$G:$G,'Industrial Summary'!$F:$F,H$17,'Industrial Summary'!$D:$D,$E87)),0))*0.98</f>
        <v>-0.92716397991872845</v>
      </c>
      <c r="I87" s="6">
        <f>(IF(SUMIFS('Industrial Summary'!$G:$G,'Industrial Summary'!$F:$F,I$17,'Industrial Summary'!$D:$D,$E87)&gt;0,((-SUMIFS('Industrial Summary'!$G:$G,'Industrial Summary'!$F:$F,I$17,'Industrial Summary'!$D:$D,$E87,'Industrial Summary'!$A:$A,"BIO")+-SUMIFS('Industrial Summary'!$G:$G,'Industrial Summary'!$F:$F,I$17,'Industrial Summary'!$D:$D,$E87,'Industrial Summary'!$A:$A,"WOD")+-SUMIFS('Industrial Summary'!$G:$G,'Industrial Summary'!$F:$F,I$17,'Industrial Summary'!$D:$D,$E87,'Industrial Summary'!$A:$A,"TOM")+-SUMIFS('Industrial Summary'!$G:$G,'Industrial Summary'!$F:$F,I$17,'Industrial Summary'!$D:$D,"IPBRSTM",'Industrial Summary'!$A:$A,"BIO")+-SUMIFS('Industrial Summary'!$G:$G,'Industrial Summary'!$F:$F,I$17,'Industrial Summary'!$D:$D,"IPBRSTM",'Industrial Summary'!$A:$A,"WOD")+-SUMIFS('Industrial Summary'!$G:$G,'Industrial Summary'!$F:$F,I$17,'Industrial Summary'!$D:$D,"IPBRSTM",'Industrial Summary'!$A:$A,"TOM")+-SUMIFS('Industrial Summary'!$G:$G,'Industrial Summary'!$F:$F,I$17,'Industrial Summary'!$D:$D,"IPBRSTM",'Industrial Summary'!$A:$A,"BLQ"))/SUMIFS('Industrial Summary'!$G:$G,'Industrial Summary'!$F:$F,I$17,'Industrial Summary'!$D:$D,$E87)),0))*0.98</f>
        <v>-0.92170964831561142</v>
      </c>
      <c r="J87" s="6">
        <f>(IF(SUMIFS('Industrial Summary'!$G:$G,'Industrial Summary'!$F:$F,J$17,'Industrial Summary'!$D:$D,$E87)&gt;0,((-SUMIFS('Industrial Summary'!$G:$G,'Industrial Summary'!$F:$F,J$17,'Industrial Summary'!$D:$D,$E87,'Industrial Summary'!$A:$A,"BIO")+-SUMIFS('Industrial Summary'!$G:$G,'Industrial Summary'!$F:$F,J$17,'Industrial Summary'!$D:$D,$E87,'Industrial Summary'!$A:$A,"WOD")+-SUMIFS('Industrial Summary'!$G:$G,'Industrial Summary'!$F:$F,J$17,'Industrial Summary'!$D:$D,$E87,'Industrial Summary'!$A:$A,"TOM")+-SUMIFS('Industrial Summary'!$G:$G,'Industrial Summary'!$F:$F,J$17,'Industrial Summary'!$D:$D,"IPBRSTM",'Industrial Summary'!$A:$A,"BIO")+-SUMIFS('Industrial Summary'!$G:$G,'Industrial Summary'!$F:$F,J$17,'Industrial Summary'!$D:$D,"IPBRSTM",'Industrial Summary'!$A:$A,"WOD")+-SUMIFS('Industrial Summary'!$G:$G,'Industrial Summary'!$F:$F,J$17,'Industrial Summary'!$D:$D,"IPBRSTM",'Industrial Summary'!$A:$A,"TOM")+-SUMIFS('Industrial Summary'!$G:$G,'Industrial Summary'!$F:$F,J$17,'Industrial Summary'!$D:$D,"IPBRSTM",'Industrial Summary'!$A:$A,"BLQ"))/SUMIFS('Industrial Summary'!$G:$G,'Industrial Summary'!$F:$F,J$17,'Industrial Summary'!$D:$D,$E87)),0))*0.98</f>
        <v>-0.90513128497698692</v>
      </c>
      <c r="K87" s="6">
        <f>(IF(SUMIFS('Industrial Summary'!$G:$G,'Industrial Summary'!$F:$F,K$17,'Industrial Summary'!$D:$D,$E87)&gt;0,((-SUMIFS('Industrial Summary'!$G:$G,'Industrial Summary'!$F:$F,K$17,'Industrial Summary'!$D:$D,$E87,'Industrial Summary'!$A:$A,"BIO")+-SUMIFS('Industrial Summary'!$G:$G,'Industrial Summary'!$F:$F,K$17,'Industrial Summary'!$D:$D,$E87,'Industrial Summary'!$A:$A,"WOD")+-SUMIFS('Industrial Summary'!$G:$G,'Industrial Summary'!$F:$F,K$17,'Industrial Summary'!$D:$D,$E87,'Industrial Summary'!$A:$A,"TOM")+-SUMIFS('Industrial Summary'!$G:$G,'Industrial Summary'!$F:$F,K$17,'Industrial Summary'!$D:$D,"IPBRSTM",'Industrial Summary'!$A:$A,"BIO")+-SUMIFS('Industrial Summary'!$G:$G,'Industrial Summary'!$F:$F,K$17,'Industrial Summary'!$D:$D,"IPBRSTM",'Industrial Summary'!$A:$A,"WOD")+-SUMIFS('Industrial Summary'!$G:$G,'Industrial Summary'!$F:$F,K$17,'Industrial Summary'!$D:$D,"IPBRSTM",'Industrial Summary'!$A:$A,"TOM")+-SUMIFS('Industrial Summary'!$G:$G,'Industrial Summary'!$F:$F,K$17,'Industrial Summary'!$D:$D,"IPBRSTM",'Industrial Summary'!$A:$A,"BLQ"))/SUMIFS('Industrial Summary'!$G:$G,'Industrial Summary'!$F:$F,K$17,'Industrial Summary'!$D:$D,$E87)),0))*0.98</f>
        <v>-0.88960465880383255</v>
      </c>
      <c r="L87" s="6">
        <f>(IF(SUMIFS('Industrial Summary'!$G:$G,'Industrial Summary'!$F:$F,L$17,'Industrial Summary'!$D:$D,$E87)&gt;0,((-SUMIFS('Industrial Summary'!$G:$G,'Industrial Summary'!$F:$F,L$17,'Industrial Summary'!$D:$D,$E87,'Industrial Summary'!$A:$A,"BIO")+-SUMIFS('Industrial Summary'!$G:$G,'Industrial Summary'!$F:$F,L$17,'Industrial Summary'!$D:$D,$E87,'Industrial Summary'!$A:$A,"WOD")+-SUMIFS('Industrial Summary'!$G:$G,'Industrial Summary'!$F:$F,L$17,'Industrial Summary'!$D:$D,$E87,'Industrial Summary'!$A:$A,"TOM")+-SUMIFS('Industrial Summary'!$G:$G,'Industrial Summary'!$F:$F,L$17,'Industrial Summary'!$D:$D,"IPBRSTM",'Industrial Summary'!$A:$A,"BIO")+-SUMIFS('Industrial Summary'!$G:$G,'Industrial Summary'!$F:$F,L$17,'Industrial Summary'!$D:$D,"IPBRSTM",'Industrial Summary'!$A:$A,"WOD")+-SUMIFS('Industrial Summary'!$G:$G,'Industrial Summary'!$F:$F,L$17,'Industrial Summary'!$D:$D,"IPBRSTM",'Industrial Summary'!$A:$A,"TOM")+-SUMIFS('Industrial Summary'!$G:$G,'Industrial Summary'!$F:$F,L$17,'Industrial Summary'!$D:$D,"IPBRSTM",'Industrial Summary'!$A:$A,"BLQ"))/SUMIFS('Industrial Summary'!$G:$G,'Industrial Summary'!$F:$F,L$17,'Industrial Summary'!$D:$D,$E87)),0))*0.98</f>
        <v>-0.96511100923731252</v>
      </c>
      <c r="M87" s="6">
        <f>(IF(SUMIFS('Industrial Summary'!$G:$G,'Industrial Summary'!$F:$F,M$17,'Industrial Summary'!$D:$D,$E87)&gt;0,((-SUMIFS('Industrial Summary'!$G:$G,'Industrial Summary'!$F:$F,M$17,'Industrial Summary'!$D:$D,$E87,'Industrial Summary'!$A:$A,"BIO")+-SUMIFS('Industrial Summary'!$G:$G,'Industrial Summary'!$F:$F,M$17,'Industrial Summary'!$D:$D,$E87,'Industrial Summary'!$A:$A,"WOD")+-SUMIFS('Industrial Summary'!$G:$G,'Industrial Summary'!$F:$F,M$17,'Industrial Summary'!$D:$D,$E87,'Industrial Summary'!$A:$A,"TOM")+-SUMIFS('Industrial Summary'!$G:$G,'Industrial Summary'!$F:$F,M$17,'Industrial Summary'!$D:$D,"IPBRSTM",'Industrial Summary'!$A:$A,"BIO")+-SUMIFS('Industrial Summary'!$G:$G,'Industrial Summary'!$F:$F,M$17,'Industrial Summary'!$D:$D,"IPBRSTM",'Industrial Summary'!$A:$A,"WOD")+-SUMIFS('Industrial Summary'!$G:$G,'Industrial Summary'!$F:$F,M$17,'Industrial Summary'!$D:$D,"IPBRSTM",'Industrial Summary'!$A:$A,"TOM")+-SUMIFS('Industrial Summary'!$G:$G,'Industrial Summary'!$F:$F,M$17,'Industrial Summary'!$D:$D,"IPBRSTM",'Industrial Summary'!$A:$A,"BLQ"))/SUMIFS('Industrial Summary'!$G:$G,'Industrial Summary'!$F:$F,M$17,'Industrial Summary'!$D:$D,$E87)),0))*0.98</f>
        <v>-0.97459830619730137</v>
      </c>
      <c r="N87" s="6">
        <f>(IF(SUMIFS('Industrial Summary'!$G:$G,'Industrial Summary'!$F:$F,N$17,'Industrial Summary'!$D:$D,$E87)&gt;0,((-SUMIFS('Industrial Summary'!$G:$G,'Industrial Summary'!$F:$F,N$17,'Industrial Summary'!$D:$D,$E87,'Industrial Summary'!$A:$A,"BIO")+-SUMIFS('Industrial Summary'!$G:$G,'Industrial Summary'!$F:$F,N$17,'Industrial Summary'!$D:$D,$E87,'Industrial Summary'!$A:$A,"WOD")+-SUMIFS('Industrial Summary'!$G:$G,'Industrial Summary'!$F:$F,N$17,'Industrial Summary'!$D:$D,$E87,'Industrial Summary'!$A:$A,"TOM")+-SUMIFS('Industrial Summary'!$G:$G,'Industrial Summary'!$F:$F,N$17,'Industrial Summary'!$D:$D,"IPBRSTM",'Industrial Summary'!$A:$A,"BIO")+-SUMIFS('Industrial Summary'!$G:$G,'Industrial Summary'!$F:$F,N$17,'Industrial Summary'!$D:$D,"IPBRSTM",'Industrial Summary'!$A:$A,"WOD")+-SUMIFS('Industrial Summary'!$G:$G,'Industrial Summary'!$F:$F,N$17,'Industrial Summary'!$D:$D,"IPBRSTM",'Industrial Summary'!$A:$A,"TOM")+-SUMIFS('Industrial Summary'!$G:$G,'Industrial Summary'!$F:$F,N$17,'Industrial Summary'!$D:$D,"IPBRSTM",'Industrial Summary'!$A:$A,"BLQ"))/SUMIFS('Industrial Summary'!$G:$G,'Industrial Summary'!$F:$F,N$17,'Industrial Summary'!$D:$D,$E87)),0))*0.98</f>
        <v>-0.97456235937388691</v>
      </c>
      <c r="O87" s="6">
        <f>(IF(SUMIFS('Industrial Summary'!$G:$G,'Industrial Summary'!$F:$F,O$17,'Industrial Summary'!$D:$D,$E87)&gt;0,((-SUMIFS('Industrial Summary'!$G:$G,'Industrial Summary'!$F:$F,O$17,'Industrial Summary'!$D:$D,$E87,'Industrial Summary'!$A:$A,"BIO")+-SUMIFS('Industrial Summary'!$G:$G,'Industrial Summary'!$F:$F,O$17,'Industrial Summary'!$D:$D,$E87,'Industrial Summary'!$A:$A,"WOD")+-SUMIFS('Industrial Summary'!$G:$G,'Industrial Summary'!$F:$F,O$17,'Industrial Summary'!$D:$D,$E87,'Industrial Summary'!$A:$A,"TOM")+-SUMIFS('Industrial Summary'!$G:$G,'Industrial Summary'!$F:$F,O$17,'Industrial Summary'!$D:$D,"IPBRSTM",'Industrial Summary'!$A:$A,"BIO")+-SUMIFS('Industrial Summary'!$G:$G,'Industrial Summary'!$F:$F,O$17,'Industrial Summary'!$D:$D,"IPBRSTM",'Industrial Summary'!$A:$A,"WOD")+-SUMIFS('Industrial Summary'!$G:$G,'Industrial Summary'!$F:$F,O$17,'Industrial Summary'!$D:$D,"IPBRSTM",'Industrial Summary'!$A:$A,"TOM")+-SUMIFS('Industrial Summary'!$G:$G,'Industrial Summary'!$F:$F,O$17,'Industrial Summary'!$D:$D,"IPBRSTM",'Industrial Summary'!$A:$A,"BLQ"))/SUMIFS('Industrial Summary'!$G:$G,'Industrial Summary'!$F:$F,O$17,'Industrial Summary'!$D:$D,$E87)),0))*0.98</f>
        <v>-0.95361648785756714</v>
      </c>
      <c r="P87" s="6">
        <f>(IF(SUMIFS('Industrial Summary'!$G:$G,'Industrial Summary'!$F:$F,P$17,'Industrial Summary'!$D:$D,$E87)&gt;0,((-SUMIFS('Industrial Summary'!$G:$G,'Industrial Summary'!$F:$F,P$17,'Industrial Summary'!$D:$D,$E87,'Industrial Summary'!$A:$A,"BIO")+-SUMIFS('Industrial Summary'!$G:$G,'Industrial Summary'!$F:$F,P$17,'Industrial Summary'!$D:$D,$E87,'Industrial Summary'!$A:$A,"WOD")+-SUMIFS('Industrial Summary'!$G:$G,'Industrial Summary'!$F:$F,P$17,'Industrial Summary'!$D:$D,$E87,'Industrial Summary'!$A:$A,"TOM")+-SUMIFS('Industrial Summary'!$G:$G,'Industrial Summary'!$F:$F,P$17,'Industrial Summary'!$D:$D,"IPBRSTM",'Industrial Summary'!$A:$A,"BIO")+-SUMIFS('Industrial Summary'!$G:$G,'Industrial Summary'!$F:$F,P$17,'Industrial Summary'!$D:$D,"IPBRSTM",'Industrial Summary'!$A:$A,"WOD")+-SUMIFS('Industrial Summary'!$G:$G,'Industrial Summary'!$F:$F,P$17,'Industrial Summary'!$D:$D,"IPBRSTM",'Industrial Summary'!$A:$A,"TOM")+-SUMIFS('Industrial Summary'!$G:$G,'Industrial Summary'!$F:$F,P$17,'Industrial Summary'!$D:$D,"IPBRSTM",'Industrial Summary'!$A:$A,"BLQ"))/SUMIFS('Industrial Summary'!$G:$G,'Industrial Summary'!$F:$F,P$17,'Industrial Summary'!$D:$D,$E87)),0))*0.98</f>
        <v>-0.97077432049915235</v>
      </c>
      <c r="Q87" s="5">
        <v>0</v>
      </c>
      <c r="R87" s="5">
        <v>15</v>
      </c>
      <c r="S87" s="5" t="str">
        <f t="shared" si="18"/>
        <v>UC_IPBOH_BIO</v>
      </c>
      <c r="V87" s="4" t="str">
        <f t="shared" si="19"/>
        <v>S_IPBOHBIO</v>
      </c>
      <c r="W87" s="4" t="str">
        <f t="shared" si="20"/>
        <v>IPBOH_BIO</v>
      </c>
      <c r="X87" s="4" t="str">
        <f t="shared" si="21"/>
        <v>IPBOHT</v>
      </c>
      <c r="Y87" s="5" t="str">
        <f t="shared" si="22"/>
        <v>LO</v>
      </c>
      <c r="Z87" s="5">
        <v>1</v>
      </c>
      <c r="AA87" s="6">
        <f t="shared" si="23"/>
        <v>-0.92716397991872845</v>
      </c>
      <c r="AB87" s="6">
        <f t="shared" si="24"/>
        <v>-0.92170964831561142</v>
      </c>
      <c r="AC87" s="6">
        <f t="shared" si="25"/>
        <v>-0.90513128497698692</v>
      </c>
      <c r="AD87" s="6">
        <f t="shared" si="26"/>
        <v>-0.88960465880383255</v>
      </c>
      <c r="AE87" s="6">
        <f t="shared" si="27"/>
        <v>-0.96511100923731252</v>
      </c>
      <c r="AF87" s="6">
        <f t="shared" si="28"/>
        <v>-0.97459830619730137</v>
      </c>
      <c r="AG87" s="6">
        <f t="shared" si="29"/>
        <v>-0.97456235937388691</v>
      </c>
      <c r="AH87" s="6">
        <f t="shared" si="30"/>
        <v>-0.95361648785756714</v>
      </c>
      <c r="AI87" s="6">
        <f t="shared" si="31"/>
        <v>-0.97077432049915235</v>
      </c>
      <c r="AL87" s="5" t="str">
        <f t="shared" si="32"/>
        <v>BIO</v>
      </c>
      <c r="AM87" s="5">
        <f>1</f>
        <v>1</v>
      </c>
    </row>
    <row r="88" spans="1:39" s="5" customFormat="1" x14ac:dyDescent="0.3">
      <c r="C88" s="4" t="s">
        <v>174</v>
      </c>
      <c r="D88" s="5" t="s">
        <v>175</v>
      </c>
      <c r="E88" s="5" t="s">
        <v>755</v>
      </c>
      <c r="F88" s="5" t="s">
        <v>1588</v>
      </c>
      <c r="G88" s="5">
        <v>1</v>
      </c>
      <c r="H88" s="6">
        <f>(IF(SUMIFS('Industrial Summary'!$G:$G,'Industrial Summary'!$F:$F,H$17,'Industrial Summary'!$D:$D,$E88)&gt;0,((-SUMIFS('Industrial Summary'!$G:$G,'Industrial Summary'!$F:$F,H$17,'Industrial Summary'!$D:$D,$E88,'Industrial Summary'!$A:$A,"PTC")+-SUMIFS('Industrial Summary'!$G:$G,'Industrial Summary'!$F:$F,H$17,'Industrial Summary'!$D:$D,"IPBRSTM",'Industrial Summary'!$A:$A,"ELC"))/SUMIFS('Industrial Summary'!$G:$G,'Industrial Summary'!$F:$F,H$17,'Industrial Summary'!$D:$D,$E88)),0))*0.98</f>
        <v>0</v>
      </c>
      <c r="I88" s="6">
        <f>(IF(SUMIFS('Industrial Summary'!$G:$G,'Industrial Summary'!$F:$F,I$17,'Industrial Summary'!$D:$D,$E88)&gt;0,((-SUMIFS('Industrial Summary'!$G:$G,'Industrial Summary'!$F:$F,I$17,'Industrial Summary'!$D:$D,$E88,'Industrial Summary'!$A:$A,"PTC")+-SUMIFS('Industrial Summary'!$G:$G,'Industrial Summary'!$F:$F,I$17,'Industrial Summary'!$D:$D,"IPBRSTM",'Industrial Summary'!$A:$A,"ELC"))/SUMIFS('Industrial Summary'!$G:$G,'Industrial Summary'!$F:$F,I$17,'Industrial Summary'!$D:$D,$E88)),0))*0.98</f>
        <v>-1.4626234211710696E-2</v>
      </c>
      <c r="J88" s="6">
        <f>(IF(SUMIFS('Industrial Summary'!$G:$G,'Industrial Summary'!$F:$F,J$17,'Industrial Summary'!$D:$D,$E88)&gt;0,((-SUMIFS('Industrial Summary'!$G:$G,'Industrial Summary'!$F:$F,J$17,'Industrial Summary'!$D:$D,$E88,'Industrial Summary'!$A:$A,"PTC")+-SUMIFS('Industrial Summary'!$G:$G,'Industrial Summary'!$F:$F,J$17,'Industrial Summary'!$D:$D,"IPBRSTM",'Industrial Summary'!$A:$A,"ELC"))/SUMIFS('Industrial Summary'!$G:$G,'Industrial Summary'!$F:$F,J$17,'Industrial Summary'!$D:$D,$E88)),0))*0.98</f>
        <v>-7.4437506415269781E-3</v>
      </c>
      <c r="K88" s="6">
        <f>(IF(SUMIFS('Industrial Summary'!$G:$G,'Industrial Summary'!$F:$F,K$17,'Industrial Summary'!$D:$D,$E88)&gt;0,((-SUMIFS('Industrial Summary'!$G:$G,'Industrial Summary'!$F:$F,K$17,'Industrial Summary'!$D:$D,$E88,'Industrial Summary'!$A:$A,"PTC")+-SUMIFS('Industrial Summary'!$G:$G,'Industrial Summary'!$F:$F,K$17,'Industrial Summary'!$D:$D,"IPBRSTM",'Industrial Summary'!$A:$A,"ELC"))/SUMIFS('Industrial Summary'!$G:$G,'Industrial Summary'!$F:$F,K$17,'Industrial Summary'!$D:$D,$E88)),0))*0.98</f>
        <v>0</v>
      </c>
      <c r="L88" s="6">
        <f>(IF(SUMIFS('Industrial Summary'!$G:$G,'Industrial Summary'!$F:$F,L$17,'Industrial Summary'!$D:$D,$E88)&gt;0,((-SUMIFS('Industrial Summary'!$G:$G,'Industrial Summary'!$F:$F,L$17,'Industrial Summary'!$D:$D,$E88,'Industrial Summary'!$A:$A,"PTC")+-SUMIFS('Industrial Summary'!$G:$G,'Industrial Summary'!$F:$F,L$17,'Industrial Summary'!$D:$D,"IPBRSTM",'Industrial Summary'!$A:$A,"ELC"))/SUMIFS('Industrial Summary'!$G:$G,'Industrial Summary'!$F:$F,L$17,'Industrial Summary'!$D:$D,$E88)),0))*0.98</f>
        <v>0</v>
      </c>
      <c r="M88" s="6">
        <f>(IF(SUMIFS('Industrial Summary'!$G:$G,'Industrial Summary'!$F:$F,M$17,'Industrial Summary'!$D:$D,$E88)&gt;0,((-SUMIFS('Industrial Summary'!$G:$G,'Industrial Summary'!$F:$F,M$17,'Industrial Summary'!$D:$D,$E88,'Industrial Summary'!$A:$A,"PTC")+-SUMIFS('Industrial Summary'!$G:$G,'Industrial Summary'!$F:$F,M$17,'Industrial Summary'!$D:$D,"IPBRSTM",'Industrial Summary'!$A:$A,"ELC"))/SUMIFS('Industrial Summary'!$G:$G,'Industrial Summary'!$F:$F,M$17,'Industrial Summary'!$D:$D,$E88)),0))*0.98</f>
        <v>0</v>
      </c>
      <c r="N88" s="6">
        <f>(IF(SUMIFS('Industrial Summary'!$G:$G,'Industrial Summary'!$F:$F,N$17,'Industrial Summary'!$D:$D,$E88)&gt;0,((-SUMIFS('Industrial Summary'!$G:$G,'Industrial Summary'!$F:$F,N$17,'Industrial Summary'!$D:$D,$E88,'Industrial Summary'!$A:$A,"PTC")+-SUMIFS('Industrial Summary'!$G:$G,'Industrial Summary'!$F:$F,N$17,'Industrial Summary'!$D:$D,"IPBRSTM",'Industrial Summary'!$A:$A,"ELC"))/SUMIFS('Industrial Summary'!$G:$G,'Industrial Summary'!$F:$F,N$17,'Industrial Summary'!$D:$D,$E88)),0))*0.98</f>
        <v>0</v>
      </c>
      <c r="O88" s="6">
        <f>(IF(SUMIFS('Industrial Summary'!$G:$G,'Industrial Summary'!$F:$F,O$17,'Industrial Summary'!$D:$D,$E88)&gt;0,((-SUMIFS('Industrial Summary'!$G:$G,'Industrial Summary'!$F:$F,O$17,'Industrial Summary'!$D:$D,$E88,'Industrial Summary'!$A:$A,"PTC")+-SUMIFS('Industrial Summary'!$G:$G,'Industrial Summary'!$F:$F,O$17,'Industrial Summary'!$D:$D,"IPBRSTM",'Industrial Summary'!$A:$A,"ELC"))/SUMIFS('Industrial Summary'!$G:$G,'Industrial Summary'!$F:$F,O$17,'Industrial Summary'!$D:$D,$E88)),0))*0.98</f>
        <v>-7.6693243793279232E-3</v>
      </c>
      <c r="P88" s="6">
        <f>(IF(SUMIFS('Industrial Summary'!$G:$G,'Industrial Summary'!$F:$F,P$17,'Industrial Summary'!$D:$D,$E88)&gt;0,((-SUMIFS('Industrial Summary'!$G:$G,'Industrial Summary'!$F:$F,P$17,'Industrial Summary'!$D:$D,$E88,'Industrial Summary'!$A:$A,"PTC")+-SUMIFS('Industrial Summary'!$G:$G,'Industrial Summary'!$F:$F,P$17,'Industrial Summary'!$D:$D,"IPBRSTM",'Industrial Summary'!$A:$A,"ELC"))/SUMIFS('Industrial Summary'!$G:$G,'Industrial Summary'!$F:$F,P$17,'Industrial Summary'!$D:$D,$E88)),0))*0.98</f>
        <v>0</v>
      </c>
      <c r="Q88" s="5">
        <v>0</v>
      </c>
      <c r="R88" s="5">
        <v>15</v>
      </c>
      <c r="S88" s="5" t="str">
        <f t="shared" si="18"/>
        <v>UC_IPBOH_PTC</v>
      </c>
      <c r="V88" s="4" t="str">
        <f t="shared" si="19"/>
        <v>S_IPBOHPTC</v>
      </c>
      <c r="W88" s="4" t="str">
        <f t="shared" si="20"/>
        <v>IPBOH_PTC</v>
      </c>
      <c r="X88" s="4" t="str">
        <f t="shared" si="21"/>
        <v>IPBOHT</v>
      </c>
      <c r="Y88" s="5" t="str">
        <f t="shared" si="22"/>
        <v>LO</v>
      </c>
      <c r="Z88" s="5">
        <v>1</v>
      </c>
      <c r="AA88" s="6">
        <f t="shared" si="23"/>
        <v>0</v>
      </c>
      <c r="AB88" s="6">
        <f t="shared" si="24"/>
        <v>-1.4626234211710696E-2</v>
      </c>
      <c r="AC88" s="6">
        <f t="shared" si="25"/>
        <v>-7.4437506415269781E-3</v>
      </c>
      <c r="AD88" s="6">
        <f t="shared" si="26"/>
        <v>0</v>
      </c>
      <c r="AE88" s="6">
        <f t="shared" si="27"/>
        <v>0</v>
      </c>
      <c r="AF88" s="6">
        <f t="shared" si="28"/>
        <v>0</v>
      </c>
      <c r="AG88" s="6">
        <f t="shared" si="29"/>
        <v>0</v>
      </c>
      <c r="AH88" s="6">
        <f t="shared" si="30"/>
        <v>-7.6693243793279232E-3</v>
      </c>
      <c r="AI88" s="6">
        <f t="shared" si="31"/>
        <v>0</v>
      </c>
      <c r="AL88" s="5" t="str">
        <f t="shared" si="32"/>
        <v>PTC</v>
      </c>
      <c r="AM88" s="5">
        <f>1</f>
        <v>1</v>
      </c>
    </row>
    <row r="89" spans="1:39" s="5" customFormat="1" x14ac:dyDescent="0.3">
      <c r="A89" s="8"/>
      <c r="C89" s="4" t="s">
        <v>176</v>
      </c>
      <c r="D89" s="5" t="s">
        <v>177</v>
      </c>
      <c r="E89" s="5" t="s">
        <v>755</v>
      </c>
      <c r="F89" s="5" t="s">
        <v>1588</v>
      </c>
      <c r="G89" s="5">
        <v>1</v>
      </c>
      <c r="H89" s="6">
        <f>(IF(SUMIFS('Industrial Summary'!$G:$G,'Industrial Summary'!$F:$F,H$17,'Industrial Summary'!$D:$D,$E89)&gt;0,((-SUMIFS('Industrial Summary'!$G:$G,'Industrial Summary'!$F:$F,H$17,'Industrial Summary'!$D:$D,$E89,'Industrial Summary'!$A:$A,"OTP")+-SUMIFS('Industrial Summary'!$G:$G,'Industrial Summary'!$F:$F,H$17,'Industrial Summary'!$D:$D,"IPBRSTM",'Industrial Summary'!$A:$A,"ELC"))/SUMIFS('Industrial Summary'!$G:$G,'Industrial Summary'!$F:$F,H$17,'Industrial Summary'!$D:$D,$E89)),0))*0.98</f>
        <v>-8.296200017025572E-3</v>
      </c>
      <c r="I89" s="6">
        <f>(IF(SUMIFS('Industrial Summary'!$G:$G,'Industrial Summary'!$F:$F,I$17,'Industrial Summary'!$D:$D,$E89)&gt;0,((-SUMIFS('Industrial Summary'!$G:$G,'Industrial Summary'!$F:$F,I$17,'Industrial Summary'!$D:$D,$E89,'Industrial Summary'!$A:$A,"OTP")+-SUMIFS('Industrial Summary'!$G:$G,'Industrial Summary'!$F:$F,I$17,'Industrial Summary'!$D:$D,"IPBRSTM",'Industrial Summary'!$A:$A,"ELC"))/SUMIFS('Industrial Summary'!$G:$G,'Industrial Summary'!$F:$F,I$17,'Industrial Summary'!$D:$D,$E89)),0))*0.98</f>
        <v>-6.8560472867384504E-3</v>
      </c>
      <c r="J89" s="6">
        <f>(IF(SUMIFS('Industrial Summary'!$G:$G,'Industrial Summary'!$F:$F,J$17,'Industrial Summary'!$D:$D,$E89)&gt;0,((-SUMIFS('Industrial Summary'!$G:$G,'Industrial Summary'!$F:$F,J$17,'Industrial Summary'!$D:$D,$E89,'Industrial Summary'!$A:$A,"OTP")+-SUMIFS('Industrial Summary'!$G:$G,'Industrial Summary'!$F:$F,J$17,'Industrial Summary'!$D:$D,"IPBRSTM",'Industrial Summary'!$A:$A,"ELC"))/SUMIFS('Industrial Summary'!$G:$G,'Industrial Summary'!$F:$F,J$17,'Industrial Summary'!$D:$D,$E89)),0))*0.98</f>
        <v>-7.4437506415221781E-3</v>
      </c>
      <c r="K89" s="6">
        <f>(IF(SUMIFS('Industrial Summary'!$G:$G,'Industrial Summary'!$F:$F,K$17,'Industrial Summary'!$D:$D,$E89)&gt;0,((-SUMIFS('Industrial Summary'!$G:$G,'Industrial Summary'!$F:$F,K$17,'Industrial Summary'!$D:$D,$E89,'Industrial Summary'!$A:$A,"OTP")+-SUMIFS('Industrial Summary'!$G:$G,'Industrial Summary'!$F:$F,K$17,'Industrial Summary'!$D:$D,"IPBRSTM",'Industrial Summary'!$A:$A,"ELC"))/SUMIFS('Industrial Summary'!$G:$G,'Industrial Summary'!$F:$F,K$17,'Industrial Summary'!$D:$D,$E89)),0))*0.98</f>
        <v>0</v>
      </c>
      <c r="L89" s="6">
        <f>(IF(SUMIFS('Industrial Summary'!$G:$G,'Industrial Summary'!$F:$F,L$17,'Industrial Summary'!$D:$D,$E89)&gt;0,((-SUMIFS('Industrial Summary'!$G:$G,'Industrial Summary'!$F:$F,L$17,'Industrial Summary'!$D:$D,$E89,'Industrial Summary'!$A:$A,"OTP")+-SUMIFS('Industrial Summary'!$G:$G,'Industrial Summary'!$F:$F,L$17,'Industrial Summary'!$D:$D,"IPBRSTM",'Industrial Summary'!$A:$A,"ELC"))/SUMIFS('Industrial Summary'!$G:$G,'Industrial Summary'!$F:$F,L$17,'Industrial Summary'!$D:$D,$E89)),0))*0.98</f>
        <v>-9.532404428690671E-3</v>
      </c>
      <c r="M89" s="6">
        <f>(IF(SUMIFS('Industrial Summary'!$G:$G,'Industrial Summary'!$F:$F,M$17,'Industrial Summary'!$D:$D,$E89)&gt;0,((-SUMIFS('Industrial Summary'!$G:$G,'Industrial Summary'!$F:$F,M$17,'Industrial Summary'!$D:$D,$E89,'Industrial Summary'!$A:$A,"OTP")+-SUMIFS('Industrial Summary'!$G:$G,'Industrial Summary'!$F:$F,M$17,'Industrial Summary'!$D:$D,"IPBRSTM",'Industrial Summary'!$A:$A,"ELC"))/SUMIFS('Industrial Summary'!$G:$G,'Industrial Summary'!$F:$F,M$17,'Industrial Summary'!$D:$D,$E89)),0))*0.98</f>
        <v>0</v>
      </c>
      <c r="N89" s="6">
        <f>(IF(SUMIFS('Industrial Summary'!$G:$G,'Industrial Summary'!$F:$F,N$17,'Industrial Summary'!$D:$D,$E89)&gt;0,((-SUMIFS('Industrial Summary'!$G:$G,'Industrial Summary'!$F:$F,N$17,'Industrial Summary'!$D:$D,$E89,'Industrial Summary'!$A:$A,"OTP")+-SUMIFS('Industrial Summary'!$G:$G,'Industrial Summary'!$F:$F,N$17,'Industrial Summary'!$D:$D,"IPBRSTM",'Industrial Summary'!$A:$A,"ELC"))/SUMIFS('Industrial Summary'!$G:$G,'Industrial Summary'!$F:$F,N$17,'Industrial Summary'!$D:$D,$E89)),0))*0.98</f>
        <v>0</v>
      </c>
      <c r="O89" s="6">
        <f>(IF(SUMIFS('Industrial Summary'!$G:$G,'Industrial Summary'!$F:$F,O$17,'Industrial Summary'!$D:$D,$E89)&gt;0,((-SUMIFS('Industrial Summary'!$G:$G,'Industrial Summary'!$F:$F,O$17,'Industrial Summary'!$D:$D,$E89,'Industrial Summary'!$A:$A,"OTP")+-SUMIFS('Industrial Summary'!$G:$G,'Industrial Summary'!$F:$F,O$17,'Industrial Summary'!$D:$D,"IPBRSTM",'Industrial Summary'!$A:$A,"ELC"))/SUMIFS('Industrial Summary'!$G:$G,'Industrial Summary'!$F:$F,O$17,'Industrial Summary'!$D:$D,$E89)),0))*0.98</f>
        <v>-7.6693243793279041E-3</v>
      </c>
      <c r="P89" s="6">
        <f>(IF(SUMIFS('Industrial Summary'!$G:$G,'Industrial Summary'!$F:$F,P$17,'Industrial Summary'!$D:$D,$E89)&gt;0,((-SUMIFS('Industrial Summary'!$G:$G,'Industrial Summary'!$F:$F,P$17,'Industrial Summary'!$D:$D,$E89,'Industrial Summary'!$A:$A,"OTP")+-SUMIFS('Industrial Summary'!$G:$G,'Industrial Summary'!$F:$F,P$17,'Industrial Summary'!$D:$D,"IPBRSTM",'Industrial Summary'!$A:$A,"ELC"))/SUMIFS('Industrial Summary'!$G:$G,'Industrial Summary'!$F:$F,P$17,'Industrial Summary'!$D:$D,$E89)),0))*0.98</f>
        <v>-9.225679500847692E-3</v>
      </c>
      <c r="Q89" s="5">
        <v>0</v>
      </c>
      <c r="R89" s="5">
        <v>15</v>
      </c>
      <c r="S89" s="5" t="str">
        <f t="shared" si="18"/>
        <v>UC_IPBOH_OTP</v>
      </c>
      <c r="V89" s="4" t="str">
        <f t="shared" si="19"/>
        <v>S_IPBOHOTP</v>
      </c>
      <c r="W89" s="4" t="str">
        <f t="shared" si="20"/>
        <v>IPBOH_OTP</v>
      </c>
      <c r="X89" s="4" t="str">
        <f t="shared" si="21"/>
        <v>IPBOHT</v>
      </c>
      <c r="Y89" s="5" t="str">
        <f t="shared" si="22"/>
        <v>LO</v>
      </c>
      <c r="Z89" s="5">
        <v>1</v>
      </c>
      <c r="AA89" s="6">
        <f t="shared" si="23"/>
        <v>-8.296200017025572E-3</v>
      </c>
      <c r="AB89" s="6">
        <f t="shared" si="24"/>
        <v>-6.8560472867384504E-3</v>
      </c>
      <c r="AC89" s="6">
        <f t="shared" si="25"/>
        <v>-7.4437506415221781E-3</v>
      </c>
      <c r="AD89" s="6">
        <f t="shared" si="26"/>
        <v>0</v>
      </c>
      <c r="AE89" s="6">
        <f t="shared" si="27"/>
        <v>-9.532404428690671E-3</v>
      </c>
      <c r="AF89" s="6">
        <f t="shared" si="28"/>
        <v>0</v>
      </c>
      <c r="AG89" s="6">
        <f t="shared" si="29"/>
        <v>0</v>
      </c>
      <c r="AH89" s="6">
        <f t="shared" si="30"/>
        <v>-7.6693243793279041E-3</v>
      </c>
      <c r="AI89" s="6">
        <f t="shared" si="31"/>
        <v>-9.225679500847692E-3</v>
      </c>
      <c r="AL89" s="5" t="str">
        <f t="shared" si="32"/>
        <v>OTP</v>
      </c>
      <c r="AM89" s="5">
        <f>1</f>
        <v>1</v>
      </c>
    </row>
    <row r="90" spans="1:39" s="5" customFormat="1" x14ac:dyDescent="0.3">
      <c r="C90" s="4" t="s">
        <v>180</v>
      </c>
      <c r="D90" s="5" t="s">
        <v>181</v>
      </c>
      <c r="E90" s="5" t="s">
        <v>772</v>
      </c>
      <c r="F90" s="5" t="s">
        <v>1588</v>
      </c>
      <c r="G90" s="5">
        <v>1</v>
      </c>
      <c r="H90" s="6">
        <f>(IF(SUMIFS('Industrial Summary'!$G:$G,'Industrial Summary'!$F:$F,H$17,'Industrial Summary'!$D:$D,$E90)&gt;0,((-SUMIFS('Industrial Summary'!$G:$G,'Industrial Summary'!$F:$F,H$17,'Industrial Summary'!$D:$D,$E90,'Industrial Summary'!$A:$A,"ELC")+-SUMIFS('Industrial Summary'!$G:$G,'Industrial Summary'!$F:$F,H$17,'Industrial Summary'!$D:$D,"IPOFSTM",'Industrial Summary'!$A:$A,"ELC"))/SUMIFS('Industrial Summary'!$G:$G,'Industrial Summary'!$F:$F,H$17,'Industrial Summary'!$D:$D,$E90)),0))*0.98</f>
        <v>-6.69650303677536E-3</v>
      </c>
      <c r="I90" s="6">
        <f>(IF(SUMIFS('Industrial Summary'!$G:$G,'Industrial Summary'!$F:$F,I$17,'Industrial Summary'!$D:$D,$E90)&gt;0,((-SUMIFS('Industrial Summary'!$G:$G,'Industrial Summary'!$F:$F,I$17,'Industrial Summary'!$D:$D,$E90,'Industrial Summary'!$A:$A,"ELC")+-SUMIFS('Industrial Summary'!$G:$G,'Industrial Summary'!$F:$F,I$17,'Industrial Summary'!$D:$D,"IPOFSTM",'Industrial Summary'!$A:$A,"ELC"))/SUMIFS('Industrial Summary'!$G:$G,'Industrial Summary'!$F:$F,I$17,'Industrial Summary'!$D:$D,$E90)),0))*0.98</f>
        <v>-1.755118104533326E-2</v>
      </c>
      <c r="J90" s="6">
        <f>(IF(SUMIFS('Industrial Summary'!$G:$G,'Industrial Summary'!$F:$F,J$17,'Industrial Summary'!$D:$D,$E90)&gt;0,((-SUMIFS('Industrial Summary'!$G:$G,'Industrial Summary'!$F:$F,J$17,'Industrial Summary'!$D:$D,$E90,'Industrial Summary'!$A:$A,"ELC")+-SUMIFS('Industrial Summary'!$G:$G,'Industrial Summary'!$F:$F,J$17,'Industrial Summary'!$D:$D,"IPOFSTM",'Industrial Summary'!$A:$A,"ELC"))/SUMIFS('Industrial Summary'!$G:$G,'Industrial Summary'!$F:$F,J$17,'Industrial Summary'!$D:$D,$E90)),0))*0.98</f>
        <v>-0.10050175349340208</v>
      </c>
      <c r="K90" s="6">
        <f>(IF(SUMIFS('Industrial Summary'!$G:$G,'Industrial Summary'!$F:$F,K$17,'Industrial Summary'!$D:$D,$E90)&gt;0,((-SUMIFS('Industrial Summary'!$G:$G,'Industrial Summary'!$F:$F,K$17,'Industrial Summary'!$D:$D,$E90,'Industrial Summary'!$A:$A,"ELC")+-SUMIFS('Industrial Summary'!$G:$G,'Industrial Summary'!$F:$F,K$17,'Industrial Summary'!$D:$D,"IPOFSTM",'Industrial Summary'!$A:$A,"ELC"))/SUMIFS('Industrial Summary'!$G:$G,'Industrial Summary'!$F:$F,K$17,'Industrial Summary'!$D:$D,$E90)),0))*0.98</f>
        <v>-0.10218610952777019</v>
      </c>
      <c r="L90" s="6">
        <f>(IF(SUMIFS('Industrial Summary'!$G:$G,'Industrial Summary'!$F:$F,L$17,'Industrial Summary'!$D:$D,$E90)&gt;0,((-SUMIFS('Industrial Summary'!$G:$G,'Industrial Summary'!$F:$F,L$17,'Industrial Summary'!$D:$D,$E90,'Industrial Summary'!$A:$A,"ELC")+-SUMIFS('Industrial Summary'!$G:$G,'Industrial Summary'!$F:$F,L$17,'Industrial Summary'!$D:$D,"IPOFSTM",'Industrial Summary'!$A:$A,"ELC"))/SUMIFS('Industrial Summary'!$G:$G,'Industrial Summary'!$F:$F,L$17,'Industrial Summary'!$D:$D,$E90)),0))*0.98</f>
        <v>-0.14486488081882951</v>
      </c>
      <c r="M90" s="6">
        <f>(IF(SUMIFS('Industrial Summary'!$G:$G,'Industrial Summary'!$F:$F,M$17,'Industrial Summary'!$D:$D,$E90)&gt;0,((-SUMIFS('Industrial Summary'!$G:$G,'Industrial Summary'!$F:$F,M$17,'Industrial Summary'!$D:$D,$E90,'Industrial Summary'!$A:$A,"ELC")+-SUMIFS('Industrial Summary'!$G:$G,'Industrial Summary'!$F:$F,M$17,'Industrial Summary'!$D:$D,"IPOFSTM",'Industrial Summary'!$A:$A,"ELC"))/SUMIFS('Industrial Summary'!$G:$G,'Industrial Summary'!$F:$F,M$17,'Industrial Summary'!$D:$D,$E90)),0))*0.98</f>
        <v>-6.0737879708805578E-2</v>
      </c>
      <c r="N90" s="6">
        <f>(IF(SUMIFS('Industrial Summary'!$G:$G,'Industrial Summary'!$F:$F,N$17,'Industrial Summary'!$D:$D,$E90)&gt;0,((-SUMIFS('Industrial Summary'!$G:$G,'Industrial Summary'!$F:$F,N$17,'Industrial Summary'!$D:$D,$E90,'Industrial Summary'!$A:$A,"ELC")+-SUMIFS('Industrial Summary'!$G:$G,'Industrial Summary'!$F:$F,N$17,'Industrial Summary'!$D:$D,"IPOFSTM",'Industrial Summary'!$A:$A,"ELC"))/SUMIFS('Industrial Summary'!$G:$G,'Industrial Summary'!$F:$F,N$17,'Industrial Summary'!$D:$D,$E90)),0))*0.98</f>
        <v>-0.2127034069299148</v>
      </c>
      <c r="O90" s="6">
        <f>(IF(SUMIFS('Industrial Summary'!$G:$G,'Industrial Summary'!$F:$F,O$17,'Industrial Summary'!$D:$D,$E90)&gt;0,((-SUMIFS('Industrial Summary'!$G:$G,'Industrial Summary'!$F:$F,O$17,'Industrial Summary'!$D:$D,$E90,'Industrial Summary'!$A:$A,"ELC")+-SUMIFS('Industrial Summary'!$G:$G,'Industrial Summary'!$F:$F,O$17,'Industrial Summary'!$D:$D,"IPOFSTM",'Industrial Summary'!$A:$A,"ELC"))/SUMIFS('Industrial Summary'!$G:$G,'Industrial Summary'!$F:$F,O$17,'Industrial Summary'!$D:$D,$E90)),0))*0.98</f>
        <v>-7.789806513298185E-2</v>
      </c>
      <c r="P90" s="6">
        <f>(IF(SUMIFS('Industrial Summary'!$G:$G,'Industrial Summary'!$F:$F,P$17,'Industrial Summary'!$D:$D,$E90)&gt;0,((-SUMIFS('Industrial Summary'!$G:$G,'Industrial Summary'!$F:$F,P$17,'Industrial Summary'!$D:$D,$E90,'Industrial Summary'!$A:$A,"ELC")+-SUMIFS('Industrial Summary'!$G:$G,'Industrial Summary'!$F:$F,P$17,'Industrial Summary'!$D:$D,"IPOFSTM",'Industrial Summary'!$A:$A,"ELC"))/SUMIFS('Industrial Summary'!$G:$G,'Industrial Summary'!$F:$F,P$17,'Industrial Summary'!$D:$D,$E90)),0))*0.98</f>
        <v>-4.3906841186765848E-2</v>
      </c>
      <c r="Q90" s="5">
        <v>0</v>
      </c>
      <c r="R90" s="5">
        <v>15</v>
      </c>
      <c r="S90" s="5" t="str">
        <f t="shared" si="18"/>
        <v>UC_IPOST_ELC</v>
      </c>
      <c r="V90" s="4" t="str">
        <f t="shared" si="19"/>
        <v>S_IPOSTELC</v>
      </c>
      <c r="W90" s="4" t="str">
        <f t="shared" si="20"/>
        <v>IPOST_ELC</v>
      </c>
      <c r="X90" s="4" t="str">
        <f t="shared" si="21"/>
        <v>IPOSTM</v>
      </c>
      <c r="Y90" s="5" t="str">
        <f t="shared" si="22"/>
        <v>LO</v>
      </c>
      <c r="Z90" s="5">
        <v>1</v>
      </c>
      <c r="AA90" s="6">
        <f t="shared" si="23"/>
        <v>-6.69650303677536E-3</v>
      </c>
      <c r="AB90" s="6">
        <f t="shared" si="24"/>
        <v>-1.755118104533326E-2</v>
      </c>
      <c r="AC90" s="6">
        <f t="shared" si="25"/>
        <v>-0.10050175349340208</v>
      </c>
      <c r="AD90" s="6">
        <f t="shared" si="26"/>
        <v>-0.10218610952777019</v>
      </c>
      <c r="AE90" s="6">
        <f t="shared" si="27"/>
        <v>-0.14486488081882951</v>
      </c>
      <c r="AF90" s="6">
        <f t="shared" si="28"/>
        <v>-6.0737879708805578E-2</v>
      </c>
      <c r="AG90" s="6">
        <f t="shared" si="29"/>
        <v>-0.2127034069299148</v>
      </c>
      <c r="AH90" s="6">
        <f t="shared" si="30"/>
        <v>-7.789806513298185E-2</v>
      </c>
      <c r="AI90" s="6">
        <f t="shared" si="31"/>
        <v>-4.3906841186765848E-2</v>
      </c>
      <c r="AL90" s="5" t="str">
        <f t="shared" si="32"/>
        <v>ELC</v>
      </c>
      <c r="AM90" s="5">
        <f>1</f>
        <v>1</v>
      </c>
    </row>
    <row r="91" spans="1:39" s="5" customFormat="1" x14ac:dyDescent="0.3">
      <c r="C91" s="4" t="s">
        <v>184</v>
      </c>
      <c r="D91" s="5" t="s">
        <v>185</v>
      </c>
      <c r="E91" s="5" t="s">
        <v>772</v>
      </c>
      <c r="F91" s="5" t="s">
        <v>1588</v>
      </c>
      <c r="G91" s="5">
        <v>1</v>
      </c>
      <c r="H91" s="6">
        <f>(IF(SUMIFS('Industrial Summary'!$G:$G,'Industrial Summary'!$F:$F,H$17,'Industrial Summary'!$D:$D,$E91)&gt;0,((-SUMIFS('Industrial Summary'!$G:$G,'Industrial Summary'!$F:$F,H$17,'Industrial Summary'!$D:$D,$E91,'Industrial Summary'!$A:$A,"NGA")+-SUMIFS('Industrial Summary'!$G:$G,'Industrial Summary'!$F:$F,H$17,'Industrial Summary'!$D:$D,"IPOFSTM",'Industrial Summary'!$A:$A,"NGA"))/SUMIFS('Industrial Summary'!$G:$G,'Industrial Summary'!$F:$F,H$17,'Industrial Summary'!$D:$D,$E91)),0))*0.98</f>
        <v>-0.93452892447540103</v>
      </c>
      <c r="I91" s="6">
        <f>(IF(SUMIFS('Industrial Summary'!$G:$G,'Industrial Summary'!$F:$F,I$17,'Industrial Summary'!$D:$D,$E91)&gt;0,((-SUMIFS('Industrial Summary'!$G:$G,'Industrial Summary'!$F:$F,I$17,'Industrial Summary'!$D:$D,$E91,'Industrial Summary'!$A:$A,"NGA")+-SUMIFS('Industrial Summary'!$G:$G,'Industrial Summary'!$F:$F,I$17,'Industrial Summary'!$D:$D,"IPOFSTM",'Industrial Summary'!$A:$A,"NGA"))/SUMIFS('Industrial Summary'!$G:$G,'Industrial Summary'!$F:$F,I$17,'Industrial Summary'!$D:$D,$E91)),0))*0.98</f>
        <v>-0.20612212308092326</v>
      </c>
      <c r="J91" s="6">
        <f>(IF(SUMIFS('Industrial Summary'!$G:$G,'Industrial Summary'!$F:$F,J$17,'Industrial Summary'!$D:$D,$E91)&gt;0,((-SUMIFS('Industrial Summary'!$G:$G,'Industrial Summary'!$F:$F,J$17,'Industrial Summary'!$D:$D,$E91,'Industrial Summary'!$A:$A,"NGA")+-SUMIFS('Industrial Summary'!$G:$G,'Industrial Summary'!$F:$F,J$17,'Industrial Summary'!$D:$D,"IPOFSTM",'Industrial Summary'!$A:$A,"NGA"))/SUMIFS('Industrial Summary'!$G:$G,'Industrial Summary'!$F:$F,J$17,'Industrial Summary'!$D:$D,$E91)),0))*0.98</f>
        <v>-0.34218062560489815</v>
      </c>
      <c r="K91" s="6">
        <f>(IF(SUMIFS('Industrial Summary'!$G:$G,'Industrial Summary'!$F:$F,K$17,'Industrial Summary'!$D:$D,$E91)&gt;0,((-SUMIFS('Industrial Summary'!$G:$G,'Industrial Summary'!$F:$F,K$17,'Industrial Summary'!$D:$D,$E91,'Industrial Summary'!$A:$A,"NGA")+-SUMIFS('Industrial Summary'!$G:$G,'Industrial Summary'!$F:$F,K$17,'Industrial Summary'!$D:$D,"IPOFSTM",'Industrial Summary'!$A:$A,"NGA"))/SUMIFS('Industrial Summary'!$G:$G,'Industrial Summary'!$F:$F,K$17,'Industrial Summary'!$D:$D,$E91)),0))*0.98</f>
        <v>-0.8778138904722298</v>
      </c>
      <c r="L91" s="6">
        <f>(IF(SUMIFS('Industrial Summary'!$G:$G,'Industrial Summary'!$F:$F,L$17,'Industrial Summary'!$D:$D,$E91)&gt;0,((-SUMIFS('Industrial Summary'!$G:$G,'Industrial Summary'!$F:$F,L$17,'Industrial Summary'!$D:$D,$E91,'Industrial Summary'!$A:$A,"NGA")+-SUMIFS('Industrial Summary'!$G:$G,'Industrial Summary'!$F:$F,L$17,'Industrial Summary'!$D:$D,"IPOFSTM",'Industrial Summary'!$A:$A,"NGA"))/SUMIFS('Industrial Summary'!$G:$G,'Industrial Summary'!$F:$F,L$17,'Industrial Summary'!$D:$D,$E91)),0))*0.98</f>
        <v>-0.83513511918117056</v>
      </c>
      <c r="M91" s="6">
        <f>(IF(SUMIFS('Industrial Summary'!$G:$G,'Industrial Summary'!$F:$F,M$17,'Industrial Summary'!$D:$D,$E91)&gt;0,((-SUMIFS('Industrial Summary'!$G:$G,'Industrial Summary'!$F:$F,M$17,'Industrial Summary'!$D:$D,$E91,'Industrial Summary'!$A:$A,"NGA")+-SUMIFS('Industrial Summary'!$G:$G,'Industrial Summary'!$F:$F,M$17,'Industrial Summary'!$D:$D,"IPOFSTM",'Industrial Summary'!$A:$A,"NGA"))/SUMIFS('Industrial Summary'!$G:$G,'Industrial Summary'!$F:$F,M$17,'Industrial Summary'!$D:$D,$E91)),0))*0.98</f>
        <v>-0.91926212029119447</v>
      </c>
      <c r="N91" s="6">
        <f>(IF(SUMIFS('Industrial Summary'!$G:$G,'Industrial Summary'!$F:$F,N$17,'Industrial Summary'!$D:$D,$E91)&gt;0,((-SUMIFS('Industrial Summary'!$G:$G,'Industrial Summary'!$F:$F,N$17,'Industrial Summary'!$D:$D,$E91,'Industrial Summary'!$A:$A,"NGA")+-SUMIFS('Industrial Summary'!$G:$G,'Industrial Summary'!$F:$F,N$17,'Industrial Summary'!$D:$D,"IPOFSTM",'Industrial Summary'!$A:$A,"NGA"))/SUMIFS('Industrial Summary'!$G:$G,'Industrial Summary'!$F:$F,N$17,'Industrial Summary'!$D:$D,$E91)),0))*0.98</f>
        <v>-0.76729659307008524</v>
      </c>
      <c r="O91" s="6">
        <f>(IF(SUMIFS('Industrial Summary'!$G:$G,'Industrial Summary'!$F:$F,O$17,'Industrial Summary'!$D:$D,$E91)&gt;0,((-SUMIFS('Industrial Summary'!$G:$G,'Industrial Summary'!$F:$F,O$17,'Industrial Summary'!$D:$D,$E91,'Industrial Summary'!$A:$A,"NGA")+-SUMIFS('Industrial Summary'!$G:$G,'Industrial Summary'!$F:$F,O$17,'Industrial Summary'!$D:$D,"IPOFSTM",'Industrial Summary'!$A:$A,"NGA"))/SUMIFS('Industrial Summary'!$G:$G,'Industrial Summary'!$F:$F,O$17,'Industrial Summary'!$D:$D,$E91)),0))*0.98</f>
        <v>0</v>
      </c>
      <c r="P91" s="6">
        <f>(IF(SUMIFS('Industrial Summary'!$G:$G,'Industrial Summary'!$F:$F,P$17,'Industrial Summary'!$D:$D,$E91)&gt;0,((-SUMIFS('Industrial Summary'!$G:$G,'Industrial Summary'!$F:$F,P$17,'Industrial Summary'!$D:$D,$E91,'Industrial Summary'!$A:$A,"NGA")+-SUMIFS('Industrial Summary'!$G:$G,'Industrial Summary'!$F:$F,P$17,'Industrial Summary'!$D:$D,"IPOFSTM",'Industrial Summary'!$A:$A,"NGA"))/SUMIFS('Industrial Summary'!$G:$G,'Industrial Summary'!$F:$F,P$17,'Industrial Summary'!$D:$D,$E91)),0))*0.98</f>
        <v>-0.42762807279519605</v>
      </c>
      <c r="Q91" s="5">
        <v>0</v>
      </c>
      <c r="R91" s="5">
        <v>15</v>
      </c>
      <c r="S91" s="5" t="str">
        <f t="shared" si="18"/>
        <v>UC_IPOST_NGA</v>
      </c>
      <c r="V91" s="4" t="str">
        <f t="shared" si="19"/>
        <v>S_IPOSTNGA</v>
      </c>
      <c r="W91" s="4" t="str">
        <f t="shared" si="20"/>
        <v>IPOST_NGA</v>
      </c>
      <c r="X91" s="4" t="str">
        <f t="shared" si="21"/>
        <v>IPOSTM</v>
      </c>
      <c r="Y91" s="5" t="str">
        <f t="shared" si="22"/>
        <v>LO</v>
      </c>
      <c r="Z91" s="5">
        <v>1</v>
      </c>
      <c r="AA91" s="6">
        <f t="shared" si="23"/>
        <v>-0.63547966864327265</v>
      </c>
      <c r="AB91" s="6">
        <f t="shared" si="24"/>
        <v>-0.1401630436950278</v>
      </c>
      <c r="AC91" s="6">
        <f t="shared" si="25"/>
        <v>-0.23268282541133073</v>
      </c>
      <c r="AD91" s="6">
        <f t="shared" si="26"/>
        <v>-0.59691344552111625</v>
      </c>
      <c r="AE91" s="6">
        <f t="shared" si="27"/>
        <v>-0.56789188104319588</v>
      </c>
      <c r="AF91" s="6">
        <f t="shared" si="28"/>
        <v>-0.62509824179801221</v>
      </c>
      <c r="AG91" s="6">
        <f t="shared" si="29"/>
        <v>-0.52176168328765793</v>
      </c>
      <c r="AH91" s="6">
        <f t="shared" si="30"/>
        <v>0</v>
      </c>
      <c r="AI91" s="6">
        <f t="shared" si="31"/>
        <v>-0.29078708950073329</v>
      </c>
      <c r="AL91" s="5" t="str">
        <f t="shared" si="32"/>
        <v>NGA</v>
      </c>
      <c r="AM91" s="5">
        <f>Y6</f>
        <v>0.67999999999999994</v>
      </c>
    </row>
    <row r="92" spans="1:39" s="5" customFormat="1" x14ac:dyDescent="0.3">
      <c r="C92" s="4" t="s">
        <v>182</v>
      </c>
      <c r="D92" s="5" t="s">
        <v>183</v>
      </c>
      <c r="E92" s="5" t="s">
        <v>772</v>
      </c>
      <c r="F92" s="5" t="s">
        <v>1588</v>
      </c>
      <c r="G92" s="5">
        <v>1</v>
      </c>
      <c r="H92" s="6">
        <f>(IF(SUMIFS('Industrial Summary'!$G:$G,'Industrial Summary'!$F:$F,H$17,'Industrial Summary'!$D:$D,$E92)&gt;0,((-SUMIFS('Industrial Summary'!$G:$G,'Industrial Summary'!$F:$F,H$17,'Industrial Summary'!$D:$D,$E92,'Industrial Summary'!$A:$A,"RFL")+-SUMIFS('Industrial Summary'!$G:$G,'Industrial Summary'!$F:$F,H$17,'Industrial Summary'!$D:$D,"IPOFSTM",'Industrial Summary'!$A:$A,"RFL"))/SUMIFS('Industrial Summary'!$G:$G,'Industrial Summary'!$F:$F,H$17,'Industrial Summary'!$D:$D,$E92)),0))*0.98</f>
        <v>-3.8774572487823573E-2</v>
      </c>
      <c r="I92" s="6">
        <f>(IF(SUMIFS('Industrial Summary'!$G:$G,'Industrial Summary'!$F:$F,I$17,'Industrial Summary'!$D:$D,$E92)&gt;0,((-SUMIFS('Industrial Summary'!$G:$G,'Industrial Summary'!$F:$F,I$17,'Industrial Summary'!$D:$D,$E92,'Industrial Summary'!$A:$A,"RFL")+-SUMIFS('Industrial Summary'!$G:$G,'Industrial Summary'!$F:$F,I$17,'Industrial Summary'!$D:$D,"IPOFSTM",'Industrial Summary'!$A:$A,"RFL"))/SUMIFS('Industrial Summary'!$G:$G,'Industrial Summary'!$F:$F,I$17,'Industrial Summary'!$D:$D,$E92)),0))*0.98</f>
        <v>-0.10162610812712425</v>
      </c>
      <c r="J92" s="6">
        <f>(IF(SUMIFS('Industrial Summary'!$G:$G,'Industrial Summary'!$F:$F,J$17,'Industrial Summary'!$D:$D,$E92)&gt;0,((-SUMIFS('Industrial Summary'!$G:$G,'Industrial Summary'!$F:$F,J$17,'Industrial Summary'!$D:$D,$E92,'Industrial Summary'!$A:$A,"RFL")+-SUMIFS('Industrial Summary'!$G:$G,'Industrial Summary'!$F:$F,J$17,'Industrial Summary'!$D:$D,"IPOFSTM",'Industrial Summary'!$A:$A,"RFL"))/SUMIFS('Industrial Summary'!$G:$G,'Industrial Summary'!$F:$F,J$17,'Industrial Summary'!$D:$D,$E92)),0))*0.98</f>
        <v>0</v>
      </c>
      <c r="K92" s="6">
        <f>(IF(SUMIFS('Industrial Summary'!$G:$G,'Industrial Summary'!$F:$F,K$17,'Industrial Summary'!$D:$D,$E92)&gt;0,((-SUMIFS('Industrial Summary'!$G:$G,'Industrial Summary'!$F:$F,K$17,'Industrial Summary'!$D:$D,$E92,'Industrial Summary'!$A:$A,"RFL")+-SUMIFS('Industrial Summary'!$G:$G,'Industrial Summary'!$F:$F,K$17,'Industrial Summary'!$D:$D,"IPOFSTM",'Industrial Summary'!$A:$A,"RFL"))/SUMIFS('Industrial Summary'!$G:$G,'Industrial Summary'!$F:$F,K$17,'Industrial Summary'!$D:$D,$E92)),0))*0.98</f>
        <v>0</v>
      </c>
      <c r="L92" s="6">
        <f>(IF(SUMIFS('Industrial Summary'!$G:$G,'Industrial Summary'!$F:$F,L$17,'Industrial Summary'!$D:$D,$E92)&gt;0,((-SUMIFS('Industrial Summary'!$G:$G,'Industrial Summary'!$F:$F,L$17,'Industrial Summary'!$D:$D,$E92,'Industrial Summary'!$A:$A,"RFL")+-SUMIFS('Industrial Summary'!$G:$G,'Industrial Summary'!$F:$F,L$17,'Industrial Summary'!$D:$D,"IPOFSTM",'Industrial Summary'!$A:$A,"RFL"))/SUMIFS('Industrial Summary'!$G:$G,'Industrial Summary'!$F:$F,L$17,'Industrial Summary'!$D:$D,$E92)),0))*0.98</f>
        <v>0</v>
      </c>
      <c r="M92" s="6">
        <f>(IF(SUMIFS('Industrial Summary'!$G:$G,'Industrial Summary'!$F:$F,M$17,'Industrial Summary'!$D:$D,$E92)&gt;0,((-SUMIFS('Industrial Summary'!$G:$G,'Industrial Summary'!$F:$F,M$17,'Industrial Summary'!$D:$D,$E92,'Industrial Summary'!$A:$A,"RFL")+-SUMIFS('Industrial Summary'!$G:$G,'Industrial Summary'!$F:$F,M$17,'Industrial Summary'!$D:$D,"IPOFSTM",'Industrial Summary'!$A:$A,"RFL"))/SUMIFS('Industrial Summary'!$G:$G,'Industrial Summary'!$F:$F,M$17,'Industrial Summary'!$D:$D,$E92)),0))*0.98</f>
        <v>0</v>
      </c>
      <c r="N92" s="6">
        <f>(IF(SUMIFS('Industrial Summary'!$G:$G,'Industrial Summary'!$F:$F,N$17,'Industrial Summary'!$D:$D,$E92)&gt;0,((-SUMIFS('Industrial Summary'!$G:$G,'Industrial Summary'!$F:$F,N$17,'Industrial Summary'!$D:$D,$E92,'Industrial Summary'!$A:$A,"RFL")+-SUMIFS('Industrial Summary'!$G:$G,'Industrial Summary'!$F:$F,N$17,'Industrial Summary'!$D:$D,"IPOFSTM",'Industrial Summary'!$A:$A,"RFL"))/SUMIFS('Industrial Summary'!$G:$G,'Industrial Summary'!$F:$F,N$17,'Industrial Summary'!$D:$D,$E92)),0))*0.98</f>
        <v>0</v>
      </c>
      <c r="O92" s="6">
        <f>(IF(SUMIFS('Industrial Summary'!$G:$G,'Industrial Summary'!$F:$F,O$17,'Industrial Summary'!$D:$D,$E92)&gt;0,((-SUMIFS('Industrial Summary'!$G:$G,'Industrial Summary'!$F:$F,O$17,'Industrial Summary'!$D:$D,$E92,'Industrial Summary'!$A:$A,"RFL")+-SUMIFS('Industrial Summary'!$G:$G,'Industrial Summary'!$F:$F,O$17,'Industrial Summary'!$D:$D,"IPOFSTM",'Industrial Summary'!$A:$A,"RFL"))/SUMIFS('Industrial Summary'!$G:$G,'Industrial Summary'!$F:$F,O$17,'Industrial Summary'!$D:$D,$E92)),0))*0.98</f>
        <v>-0.90210193486701817</v>
      </c>
      <c r="P92" s="6">
        <f>(IF(SUMIFS('Industrial Summary'!$G:$G,'Industrial Summary'!$F:$F,P$17,'Industrial Summary'!$D:$D,$E92)&gt;0,((-SUMIFS('Industrial Summary'!$G:$G,'Industrial Summary'!$F:$F,P$17,'Industrial Summary'!$D:$D,$E92,'Industrial Summary'!$A:$A,"RFL")+-SUMIFS('Industrial Summary'!$G:$G,'Industrial Summary'!$F:$F,P$17,'Industrial Summary'!$D:$D,"IPOFSTM",'Industrial Summary'!$A:$A,"RFL"))/SUMIFS('Industrial Summary'!$G:$G,'Industrial Summary'!$F:$F,P$17,'Industrial Summary'!$D:$D,$E92)),0))*0.98</f>
        <v>-0.50846508601803808</v>
      </c>
      <c r="Q92" s="5">
        <v>0</v>
      </c>
      <c r="R92" s="5">
        <v>15</v>
      </c>
      <c r="S92" s="5" t="str">
        <f t="shared" si="18"/>
        <v>UC_IPOST_RFL</v>
      </c>
      <c r="V92" s="4" t="str">
        <f t="shared" si="19"/>
        <v>S_IPOSTRFL</v>
      </c>
      <c r="W92" s="4" t="str">
        <f t="shared" si="20"/>
        <v>IPOST_RFL</v>
      </c>
      <c r="X92" s="4" t="str">
        <f t="shared" si="21"/>
        <v>IPOSTM</v>
      </c>
      <c r="Y92" s="5" t="str">
        <f t="shared" si="22"/>
        <v>LO</v>
      </c>
      <c r="Z92" s="5">
        <v>1</v>
      </c>
      <c r="AA92" s="6">
        <f t="shared" si="23"/>
        <v>-3.8774572487823573E-2</v>
      </c>
      <c r="AB92" s="6">
        <f t="shared" si="24"/>
        <v>-0.10162610812712425</v>
      </c>
      <c r="AC92" s="6">
        <f t="shared" si="25"/>
        <v>0</v>
      </c>
      <c r="AD92" s="6">
        <f t="shared" si="26"/>
        <v>0</v>
      </c>
      <c r="AE92" s="6">
        <f t="shared" si="27"/>
        <v>0</v>
      </c>
      <c r="AF92" s="6">
        <f t="shared" si="28"/>
        <v>0</v>
      </c>
      <c r="AG92" s="6">
        <f t="shared" si="29"/>
        <v>0</v>
      </c>
      <c r="AH92" s="6">
        <f t="shared" si="30"/>
        <v>-0.90210193486701817</v>
      </c>
      <c r="AI92" s="6">
        <f t="shared" si="31"/>
        <v>-0.50846508601803808</v>
      </c>
      <c r="AL92" s="5" t="str">
        <f t="shared" si="32"/>
        <v>RFL</v>
      </c>
      <c r="AM92" s="5">
        <f>1</f>
        <v>1</v>
      </c>
    </row>
    <row r="93" spans="1:39" s="5" customFormat="1" x14ac:dyDescent="0.3">
      <c r="A93" s="8"/>
      <c r="C93" s="4" t="s">
        <v>186</v>
      </c>
      <c r="D93" s="5" t="s">
        <v>187</v>
      </c>
      <c r="E93" s="5" t="s">
        <v>772</v>
      </c>
      <c r="F93" s="5" t="s">
        <v>1591</v>
      </c>
      <c r="G93" s="5">
        <v>1</v>
      </c>
      <c r="H93" s="6">
        <f>(IF(SUMIFS('Industrial Summary'!$G:$G,'Industrial Summary'!$F:$F,H$17,'Industrial Summary'!$D:$D,$E93)&gt;0,((-SUMIFS('Industrial Summary'!$G:$G,'Industrial Summary'!$F:$F,H$17,'Industrial Summary'!$D:$D,$E93,'Industrial Summary'!$A:$A,"COA")+-SUMIFS('Industrial Summary'!$G:$G,'Industrial Summary'!$F:$F,H$17,'Industrial Summary'!$D:$D,"IPOFSTM",'Industrial Summary'!$A:$A,"COA"))/SUMIFS('Industrial Summary'!$G:$G,'Industrial Summary'!$F:$F,H$17,'Industrial Summary'!$D:$D,$E93)),0))*0.98</f>
        <v>0</v>
      </c>
      <c r="I93" s="6">
        <f>(IF(SUMIFS('Industrial Summary'!$G:$G,'Industrial Summary'!$F:$F,I$17,'Industrial Summary'!$D:$D,$E93)&gt;0,((-SUMIFS('Industrial Summary'!$G:$G,'Industrial Summary'!$F:$F,I$17,'Industrial Summary'!$D:$D,$E93,'Industrial Summary'!$A:$A,"COA")+-SUMIFS('Industrial Summary'!$G:$G,'Industrial Summary'!$F:$F,I$17,'Industrial Summary'!$D:$D,"IPOFSTM",'Industrial Summary'!$A:$A,"COA"))/SUMIFS('Industrial Summary'!$G:$G,'Industrial Summary'!$F:$F,I$17,'Industrial Summary'!$D:$D,$E93)),0))*0.98</f>
        <v>-0.65470058774662099</v>
      </c>
      <c r="J93" s="6">
        <f>(IF(SUMIFS('Industrial Summary'!$G:$G,'Industrial Summary'!$F:$F,J$17,'Industrial Summary'!$D:$D,$E93)&gt;0,((-SUMIFS('Industrial Summary'!$G:$G,'Industrial Summary'!$F:$F,J$17,'Industrial Summary'!$D:$D,$E93,'Industrial Summary'!$A:$A,"COA")+-SUMIFS('Industrial Summary'!$G:$G,'Industrial Summary'!$F:$F,J$17,'Industrial Summary'!$D:$D,"IPOFSTM",'Industrial Summary'!$A:$A,"COA"))/SUMIFS('Industrial Summary'!$G:$G,'Industrial Summary'!$F:$F,J$17,'Industrial Summary'!$D:$D,$E93)),0))*0.98</f>
        <v>-0.53731762090169977</v>
      </c>
      <c r="K93" s="6">
        <f>(IF(SUMIFS('Industrial Summary'!$G:$G,'Industrial Summary'!$F:$F,K$17,'Industrial Summary'!$D:$D,$E93)&gt;0,((-SUMIFS('Industrial Summary'!$G:$G,'Industrial Summary'!$F:$F,K$17,'Industrial Summary'!$D:$D,$E93,'Industrial Summary'!$A:$A,"COA")+-SUMIFS('Industrial Summary'!$G:$G,'Industrial Summary'!$F:$F,K$17,'Industrial Summary'!$D:$D,"IPOFSTM",'Industrial Summary'!$A:$A,"COA"))/SUMIFS('Industrial Summary'!$G:$G,'Industrial Summary'!$F:$F,K$17,'Industrial Summary'!$D:$D,$E93)),0))*0.98</f>
        <v>0</v>
      </c>
      <c r="L93" s="6">
        <f>(IF(SUMIFS('Industrial Summary'!$G:$G,'Industrial Summary'!$F:$F,L$17,'Industrial Summary'!$D:$D,$E93)&gt;0,((-SUMIFS('Industrial Summary'!$G:$G,'Industrial Summary'!$F:$F,L$17,'Industrial Summary'!$D:$D,$E93,'Industrial Summary'!$A:$A,"COA")+-SUMIFS('Industrial Summary'!$G:$G,'Industrial Summary'!$F:$F,L$17,'Industrial Summary'!$D:$D,"IPOFSTM",'Industrial Summary'!$A:$A,"COA"))/SUMIFS('Industrial Summary'!$G:$G,'Industrial Summary'!$F:$F,L$17,'Industrial Summary'!$D:$D,$E93)),0))*0.98</f>
        <v>0</v>
      </c>
      <c r="M93" s="6">
        <f>(IF(SUMIFS('Industrial Summary'!$G:$G,'Industrial Summary'!$F:$F,M$17,'Industrial Summary'!$D:$D,$E93)&gt;0,((-SUMIFS('Industrial Summary'!$G:$G,'Industrial Summary'!$F:$F,M$17,'Industrial Summary'!$D:$D,$E93,'Industrial Summary'!$A:$A,"COA")+-SUMIFS('Industrial Summary'!$G:$G,'Industrial Summary'!$F:$F,M$17,'Industrial Summary'!$D:$D,"IPOFSTM",'Industrial Summary'!$A:$A,"COA"))/SUMIFS('Industrial Summary'!$G:$G,'Industrial Summary'!$F:$F,M$17,'Industrial Summary'!$D:$D,$E93)),0))*0.98</f>
        <v>0</v>
      </c>
      <c r="N93" s="6">
        <f>(IF(SUMIFS('Industrial Summary'!$G:$G,'Industrial Summary'!$F:$F,N$17,'Industrial Summary'!$D:$D,$E93)&gt;0,((-SUMIFS('Industrial Summary'!$G:$G,'Industrial Summary'!$F:$F,N$17,'Industrial Summary'!$D:$D,$E93,'Industrial Summary'!$A:$A,"COA")+-SUMIFS('Industrial Summary'!$G:$G,'Industrial Summary'!$F:$F,N$17,'Industrial Summary'!$D:$D,"IPOFSTM",'Industrial Summary'!$A:$A,"COA"))/SUMIFS('Industrial Summary'!$G:$G,'Industrial Summary'!$F:$F,N$17,'Industrial Summary'!$D:$D,$E93)),0))*0.98</f>
        <v>0</v>
      </c>
      <c r="O93" s="6">
        <f>(IF(SUMIFS('Industrial Summary'!$G:$G,'Industrial Summary'!$F:$F,O$17,'Industrial Summary'!$D:$D,$E93)&gt;0,((-SUMIFS('Industrial Summary'!$G:$G,'Industrial Summary'!$F:$F,O$17,'Industrial Summary'!$D:$D,$E93,'Industrial Summary'!$A:$A,"COA")+-SUMIFS('Industrial Summary'!$G:$G,'Industrial Summary'!$F:$F,O$17,'Industrial Summary'!$D:$D,"IPOFSTM",'Industrial Summary'!$A:$A,"COA"))/SUMIFS('Industrial Summary'!$G:$G,'Industrial Summary'!$F:$F,O$17,'Industrial Summary'!$D:$D,$E93)),0))*0.98</f>
        <v>0</v>
      </c>
      <c r="P93" s="6">
        <f>(IF(SUMIFS('Industrial Summary'!$G:$G,'Industrial Summary'!$F:$F,P$17,'Industrial Summary'!$D:$D,$E93)&gt;0,((-SUMIFS('Industrial Summary'!$G:$G,'Industrial Summary'!$F:$F,P$17,'Industrial Summary'!$D:$D,$E93,'Industrial Summary'!$A:$A,"COA")+-SUMIFS('Industrial Summary'!$G:$G,'Industrial Summary'!$F:$F,P$17,'Industrial Summary'!$D:$D,"IPOFSTM",'Industrial Summary'!$A:$A,"COA"))/SUMIFS('Industrial Summary'!$G:$G,'Industrial Summary'!$F:$F,P$17,'Industrial Summary'!$D:$D,$E93)),0))*0.98</f>
        <v>0</v>
      </c>
      <c r="Q93" s="5">
        <v>0</v>
      </c>
      <c r="R93" s="5">
        <v>15</v>
      </c>
      <c r="S93" s="5" t="str">
        <f t="shared" si="18"/>
        <v>UC_IPOST_COA</v>
      </c>
      <c r="V93" s="4" t="str">
        <f t="shared" si="19"/>
        <v>S_IPOSTCOA</v>
      </c>
      <c r="W93" s="4" t="str">
        <f t="shared" si="20"/>
        <v>IPOST_COA</v>
      </c>
      <c r="X93" s="4" t="str">
        <f t="shared" si="21"/>
        <v>IPOSTM</v>
      </c>
      <c r="Y93" s="5" t="str">
        <f t="shared" si="22"/>
        <v>UP</v>
      </c>
      <c r="Z93" s="5">
        <v>1</v>
      </c>
      <c r="AA93" s="6">
        <f t="shared" si="23"/>
        <v>0</v>
      </c>
      <c r="AB93" s="6">
        <f t="shared" si="24"/>
        <v>-0.50411945256489821</v>
      </c>
      <c r="AC93" s="6">
        <f t="shared" si="25"/>
        <v>-0.41373456809430881</v>
      </c>
      <c r="AD93" s="6">
        <f t="shared" si="26"/>
        <v>0</v>
      </c>
      <c r="AE93" s="6">
        <f t="shared" si="27"/>
        <v>0</v>
      </c>
      <c r="AF93" s="6">
        <f t="shared" si="28"/>
        <v>0</v>
      </c>
      <c r="AG93" s="6">
        <f t="shared" si="29"/>
        <v>0</v>
      </c>
      <c r="AH93" s="6">
        <f t="shared" si="30"/>
        <v>0</v>
      </c>
      <c r="AI93" s="6">
        <f t="shared" si="31"/>
        <v>0</v>
      </c>
      <c r="AL93" s="5" t="str">
        <f t="shared" si="32"/>
        <v>COA</v>
      </c>
      <c r="AM93" s="5">
        <f>Z6</f>
        <v>0.77</v>
      </c>
    </row>
    <row r="94" spans="1:39" s="5" customFormat="1" x14ac:dyDescent="0.3">
      <c r="C94" s="4" t="s">
        <v>190</v>
      </c>
      <c r="D94" s="5" t="s">
        <v>191</v>
      </c>
      <c r="E94" s="5" t="s">
        <v>788</v>
      </c>
      <c r="F94" s="5" t="s">
        <v>1588</v>
      </c>
      <c r="G94" s="5">
        <v>1</v>
      </c>
      <c r="H94" s="6">
        <f>IF(SUMIFS('Industrial Summary'!$G:$G,'Industrial Summary'!$F:$F,H$17,'Industrial Summary'!$D:$D,$E94)&gt;0,(-SUMIFS('Industrial Summary'!$G:$G,'Industrial Summary'!$F:$F,H$17,'Industrial Summary'!$D:$D,$E94,'Industrial Summary'!$A:$A,"ELC")/SUMIFS('Industrial Summary'!$G:$G,'Industrial Summary'!$F:$F,H$17,'Industrial Summary'!$D:$D,$E94)),0)*0.98</f>
        <v>-0.1370857404180798</v>
      </c>
      <c r="I94" s="6">
        <f>IF(SUMIFS('Industrial Summary'!$G:$G,'Industrial Summary'!$F:$F,I$17,'Industrial Summary'!$D:$D,$E94)&gt;0,(-SUMIFS('Industrial Summary'!$G:$G,'Industrial Summary'!$F:$F,I$17,'Industrial Summary'!$D:$D,$E94,'Industrial Summary'!$A:$A,"ELC")/SUMIFS('Industrial Summary'!$G:$G,'Industrial Summary'!$F:$F,I$17,'Industrial Summary'!$D:$D,$E94)),0)*0.98</f>
        <v>-0.13708574041808042</v>
      </c>
      <c r="J94" s="6">
        <f>IF(SUMIFS('Industrial Summary'!$G:$G,'Industrial Summary'!$F:$F,J$17,'Industrial Summary'!$D:$D,$E94)&gt;0,(-SUMIFS('Industrial Summary'!$G:$G,'Industrial Summary'!$F:$F,J$17,'Industrial Summary'!$D:$D,$E94,'Industrial Summary'!$A:$A,"ELC")/SUMIFS('Industrial Summary'!$G:$G,'Industrial Summary'!$F:$F,J$17,'Industrial Summary'!$D:$D,$E94)),0)*0.98</f>
        <v>-6.4722314634050135E-2</v>
      </c>
      <c r="K94" s="6">
        <f>IF(SUMIFS('Industrial Summary'!$G:$G,'Industrial Summary'!$F:$F,K$17,'Industrial Summary'!$D:$D,$E94)&gt;0,(-SUMIFS('Industrial Summary'!$G:$G,'Industrial Summary'!$F:$F,K$17,'Industrial Summary'!$D:$D,$E94,'Industrial Summary'!$A:$A,"ELC")/SUMIFS('Industrial Summary'!$G:$G,'Industrial Summary'!$F:$F,K$17,'Industrial Summary'!$D:$D,$E94)),0)*0.98</f>
        <v>-6.4722314634049954E-2</v>
      </c>
      <c r="L94" s="6">
        <f>IF(SUMIFS('Industrial Summary'!$G:$G,'Industrial Summary'!$F:$F,L$17,'Industrial Summary'!$D:$D,$E94)&gt;0,(-SUMIFS('Industrial Summary'!$G:$G,'Industrial Summary'!$F:$F,L$17,'Industrial Summary'!$D:$D,$E94,'Industrial Summary'!$A:$A,"ELC")/SUMIFS('Industrial Summary'!$G:$G,'Industrial Summary'!$F:$F,L$17,'Industrial Summary'!$D:$D,$E94)),0)*0.98</f>
        <v>-0.10694275726071052</v>
      </c>
      <c r="M94" s="6">
        <f>IF(SUMIFS('Industrial Summary'!$G:$G,'Industrial Summary'!$F:$F,M$17,'Industrial Summary'!$D:$D,$E94)&gt;0,(-SUMIFS('Industrial Summary'!$G:$G,'Industrial Summary'!$F:$F,M$17,'Industrial Summary'!$D:$D,$E94,'Industrial Summary'!$A:$A,"ELC")/SUMIFS('Industrial Summary'!$G:$G,'Industrial Summary'!$F:$F,M$17,'Industrial Summary'!$D:$D,$E94)),0)*0.98</f>
        <v>-0.10694275726071012</v>
      </c>
      <c r="N94" s="6">
        <f>IF(SUMIFS('Industrial Summary'!$G:$G,'Industrial Summary'!$F:$F,N$17,'Industrial Summary'!$D:$D,$E94)&gt;0,(-SUMIFS('Industrial Summary'!$G:$G,'Industrial Summary'!$F:$F,N$17,'Industrial Summary'!$D:$D,$E94,'Industrial Summary'!$A:$A,"ELC")/SUMIFS('Industrial Summary'!$G:$G,'Industrial Summary'!$F:$F,N$17,'Industrial Summary'!$D:$D,$E94)),0)*0.98</f>
        <v>-0.10694275726071092</v>
      </c>
      <c r="O94" s="6">
        <f>IF(SUMIFS('Industrial Summary'!$G:$G,'Industrial Summary'!$F:$F,O$17,'Industrial Summary'!$D:$D,$E94)&gt;0,(-SUMIFS('Industrial Summary'!$G:$G,'Industrial Summary'!$F:$F,O$17,'Industrial Summary'!$D:$D,$E94,'Industrial Summary'!$A:$A,"ELC")/SUMIFS('Industrial Summary'!$G:$G,'Industrial Summary'!$F:$F,O$17,'Industrial Summary'!$D:$D,$E94)),0)*0.98</f>
        <v>-0.10016337665538425</v>
      </c>
      <c r="P94" s="6">
        <f>IF(SUMIFS('Industrial Summary'!$G:$G,'Industrial Summary'!$F:$F,P$17,'Industrial Summary'!$D:$D,$E94)&gt;0,(-SUMIFS('Industrial Summary'!$G:$G,'Industrial Summary'!$F:$F,P$17,'Industrial Summary'!$D:$D,$E94,'Industrial Summary'!$A:$A,"ELC")/SUMIFS('Industrial Summary'!$G:$G,'Industrial Summary'!$F:$F,P$17,'Industrial Summary'!$D:$D,$E94)),0)*0.98</f>
        <v>-0.10016337665538524</v>
      </c>
      <c r="Q94" s="5">
        <v>0</v>
      </c>
      <c r="R94" s="5">
        <v>15</v>
      </c>
      <c r="S94" s="5" t="str">
        <f t="shared" si="18"/>
        <v>UC_IPOPH_ELC</v>
      </c>
      <c r="V94" s="4" t="str">
        <f t="shared" si="19"/>
        <v>S_IPOPHELC</v>
      </c>
      <c r="W94" s="4" t="str">
        <f t="shared" si="20"/>
        <v>IPOPH_ELC</v>
      </c>
      <c r="X94" s="4" t="str">
        <f t="shared" si="21"/>
        <v>IPOPRH</v>
      </c>
      <c r="Y94" s="5" t="str">
        <f t="shared" si="22"/>
        <v>LO</v>
      </c>
      <c r="Z94" s="5">
        <v>1</v>
      </c>
      <c r="AA94" s="6">
        <f t="shared" si="23"/>
        <v>-0.1370857404180798</v>
      </c>
      <c r="AB94" s="6">
        <f t="shared" si="24"/>
        <v>-0.13708574041808042</v>
      </c>
      <c r="AC94" s="6">
        <f t="shared" si="25"/>
        <v>-6.4722314634050135E-2</v>
      </c>
      <c r="AD94" s="6">
        <f t="shared" si="26"/>
        <v>-6.4722314634049954E-2</v>
      </c>
      <c r="AE94" s="6">
        <f t="shared" si="27"/>
        <v>-0.10694275726071052</v>
      </c>
      <c r="AF94" s="6">
        <f t="shared" si="28"/>
        <v>-0.10694275726071012</v>
      </c>
      <c r="AG94" s="6">
        <f t="shared" si="29"/>
        <v>-0.10694275726071092</v>
      </c>
      <c r="AH94" s="6">
        <f t="shared" si="30"/>
        <v>-0.10016337665538425</v>
      </c>
      <c r="AI94" s="6">
        <f t="shared" si="31"/>
        <v>-0.10016337665538524</v>
      </c>
      <c r="AL94" s="5" t="str">
        <f t="shared" si="32"/>
        <v>ELC</v>
      </c>
      <c r="AM94" s="5">
        <f>1</f>
        <v>1</v>
      </c>
    </row>
    <row r="95" spans="1:39" s="5" customFormat="1" x14ac:dyDescent="0.3">
      <c r="C95" s="4" t="s">
        <v>192</v>
      </c>
      <c r="D95" s="5" t="s">
        <v>193</v>
      </c>
      <c r="E95" s="5" t="s">
        <v>788</v>
      </c>
      <c r="F95" s="5" t="s">
        <v>1588</v>
      </c>
      <c r="G95" s="5">
        <v>1</v>
      </c>
      <c r="H95" s="6">
        <f>IF(SUMIFS('Industrial Summary'!$G:$G,'Industrial Summary'!$F:$F,H$17,'Industrial Summary'!$D:$D,$E95)&gt;0,(-SUMIFS('Industrial Summary'!$G:$G,'Industrial Summary'!$F:$F,H$17,'Industrial Summary'!$D:$D,$E95,'Industrial Summary'!$A:$A,"DST")/SUMIFS('Industrial Summary'!$G:$G,'Industrial Summary'!$F:$F,H$17,'Industrial Summary'!$D:$D,$E95)),0)*0.98</f>
        <v>0</v>
      </c>
      <c r="I95" s="6">
        <f>IF(SUMIFS('Industrial Summary'!$G:$G,'Industrial Summary'!$F:$F,I$17,'Industrial Summary'!$D:$D,$E95)&gt;0,(-SUMIFS('Industrial Summary'!$G:$G,'Industrial Summary'!$F:$F,I$17,'Industrial Summary'!$D:$D,$E95,'Industrial Summary'!$A:$A,"DST")/SUMIFS('Industrial Summary'!$G:$G,'Industrial Summary'!$F:$F,I$17,'Industrial Summary'!$D:$D,$E95)),0)*0.98</f>
        <v>0</v>
      </c>
      <c r="J95" s="6">
        <f>IF(SUMIFS('Industrial Summary'!$G:$G,'Industrial Summary'!$F:$F,J$17,'Industrial Summary'!$D:$D,$E95)&gt;0,(-SUMIFS('Industrial Summary'!$G:$G,'Industrial Summary'!$F:$F,J$17,'Industrial Summary'!$D:$D,$E95,'Industrial Summary'!$A:$A,"DST")/SUMIFS('Industrial Summary'!$G:$G,'Industrial Summary'!$F:$F,J$17,'Industrial Summary'!$D:$D,$E95)),0)*0.98</f>
        <v>-0.18057259549728091</v>
      </c>
      <c r="K95" s="6">
        <f>IF(SUMIFS('Industrial Summary'!$G:$G,'Industrial Summary'!$F:$F,K$17,'Industrial Summary'!$D:$D,$E95)&gt;0,(-SUMIFS('Industrial Summary'!$G:$G,'Industrial Summary'!$F:$F,K$17,'Industrial Summary'!$D:$D,$E95,'Industrial Summary'!$A:$A,"DST")/SUMIFS('Industrial Summary'!$G:$G,'Industrial Summary'!$F:$F,K$17,'Industrial Summary'!$D:$D,$E95)),0)*0.98</f>
        <v>-0.18057259549728052</v>
      </c>
      <c r="L95" s="6">
        <f>IF(SUMIFS('Industrial Summary'!$G:$G,'Industrial Summary'!$F:$F,L$17,'Industrial Summary'!$D:$D,$E95)&gt;0,(-SUMIFS('Industrial Summary'!$G:$G,'Industrial Summary'!$F:$F,L$17,'Industrial Summary'!$D:$D,$E95,'Industrial Summary'!$A:$A,"DST")/SUMIFS('Industrial Summary'!$G:$G,'Industrial Summary'!$F:$F,L$17,'Industrial Summary'!$D:$D,$E95)),0)*0.98</f>
        <v>-0.21548647878423866</v>
      </c>
      <c r="M95" s="6">
        <f>IF(SUMIFS('Industrial Summary'!$G:$G,'Industrial Summary'!$F:$F,M$17,'Industrial Summary'!$D:$D,$E95)&gt;0,(-SUMIFS('Industrial Summary'!$G:$G,'Industrial Summary'!$F:$F,M$17,'Industrial Summary'!$D:$D,$E95,'Industrial Summary'!$A:$A,"DST")/SUMIFS('Industrial Summary'!$G:$G,'Industrial Summary'!$F:$F,M$17,'Industrial Summary'!$D:$D,$E95)),0)*0.98</f>
        <v>-0.21548647878424326</v>
      </c>
      <c r="N95" s="6">
        <f>IF(SUMIFS('Industrial Summary'!$G:$G,'Industrial Summary'!$F:$F,N$17,'Industrial Summary'!$D:$D,$E95)&gt;0,(-SUMIFS('Industrial Summary'!$G:$G,'Industrial Summary'!$F:$F,N$17,'Industrial Summary'!$D:$D,$E95,'Industrial Summary'!$A:$A,"DST")/SUMIFS('Industrial Summary'!$G:$G,'Industrial Summary'!$F:$F,N$17,'Industrial Summary'!$D:$D,$E95)),0)*0.98</f>
        <v>-0.21548647878423574</v>
      </c>
      <c r="O95" s="6">
        <f>IF(SUMIFS('Industrial Summary'!$G:$G,'Industrial Summary'!$F:$F,O$17,'Industrial Summary'!$D:$D,$E95)&gt;0,(-SUMIFS('Industrial Summary'!$G:$G,'Industrial Summary'!$F:$F,O$17,'Industrial Summary'!$D:$D,$E95,'Industrial Summary'!$A:$A,"DST")/SUMIFS('Industrial Summary'!$G:$G,'Industrial Summary'!$F:$F,O$17,'Industrial Summary'!$D:$D,$E95)),0)*0.98</f>
        <v>0</v>
      </c>
      <c r="P95" s="6">
        <f>IF(SUMIFS('Industrial Summary'!$G:$G,'Industrial Summary'!$F:$F,P$17,'Industrial Summary'!$D:$D,$E95)&gt;0,(-SUMIFS('Industrial Summary'!$G:$G,'Industrial Summary'!$F:$F,P$17,'Industrial Summary'!$D:$D,$E95,'Industrial Summary'!$A:$A,"DST")/SUMIFS('Industrial Summary'!$G:$G,'Industrial Summary'!$F:$F,P$17,'Industrial Summary'!$D:$D,$E95)),0)*0.98</f>
        <v>0</v>
      </c>
      <c r="Q95" s="5">
        <v>0</v>
      </c>
      <c r="R95" s="5">
        <v>15</v>
      </c>
      <c r="S95" s="5" t="str">
        <f t="shared" si="18"/>
        <v>UC_IPOPH_DST</v>
      </c>
      <c r="V95" s="4" t="str">
        <f t="shared" si="19"/>
        <v>S_IPOPHDST</v>
      </c>
      <c r="W95" s="4" t="str">
        <f t="shared" si="20"/>
        <v>IPOPH_DST</v>
      </c>
      <c r="X95" s="4" t="str">
        <f t="shared" si="21"/>
        <v>IPOPRH</v>
      </c>
      <c r="Y95" s="5" t="str">
        <f t="shared" si="22"/>
        <v>LO</v>
      </c>
      <c r="Z95" s="5">
        <v>1</v>
      </c>
      <c r="AA95" s="6">
        <f t="shared" si="23"/>
        <v>0</v>
      </c>
      <c r="AB95" s="6">
        <f t="shared" si="24"/>
        <v>0</v>
      </c>
      <c r="AC95" s="6">
        <f t="shared" si="25"/>
        <v>-0.18057259549728091</v>
      </c>
      <c r="AD95" s="6">
        <f t="shared" si="26"/>
        <v>-0.18057259549728052</v>
      </c>
      <c r="AE95" s="6">
        <f t="shared" si="27"/>
        <v>-0.21548647878423866</v>
      </c>
      <c r="AF95" s="6">
        <f t="shared" si="28"/>
        <v>-0.21548647878424326</v>
      </c>
      <c r="AG95" s="6">
        <f t="shared" si="29"/>
        <v>-0.21548647878423574</v>
      </c>
      <c r="AH95" s="6">
        <f t="shared" si="30"/>
        <v>0</v>
      </c>
      <c r="AI95" s="6">
        <f t="shared" si="31"/>
        <v>0</v>
      </c>
      <c r="AL95" s="5" t="str">
        <f t="shared" si="32"/>
        <v>DST</v>
      </c>
      <c r="AM95" s="5">
        <f>1</f>
        <v>1</v>
      </c>
    </row>
    <row r="96" spans="1:39" s="5" customFormat="1" x14ac:dyDescent="0.3">
      <c r="A96" s="8"/>
      <c r="C96" s="4" t="s">
        <v>194</v>
      </c>
      <c r="D96" s="5" t="s">
        <v>195</v>
      </c>
      <c r="E96" s="5" t="s">
        <v>788</v>
      </c>
      <c r="F96" s="5" t="s">
        <v>1588</v>
      </c>
      <c r="G96" s="5">
        <v>1</v>
      </c>
      <c r="H96" s="6">
        <f>IF(SUMIFS('Industrial Summary'!$G:$G,'Industrial Summary'!$F:$F,H$17,'Industrial Summary'!$D:$D,$E96)&gt;0,(-SUMIFS('Industrial Summary'!$G:$G,'Industrial Summary'!$F:$F,H$17,'Industrial Summary'!$D:$D,$E96,'Industrial Summary'!$A:$A,"NGA")/SUMIFS('Industrial Summary'!$G:$G,'Industrial Summary'!$F:$F,H$17,'Industrial Summary'!$D:$D,$E96)),0)*0.98</f>
        <v>-0.84291425958192012</v>
      </c>
      <c r="I96" s="6">
        <f>IF(SUMIFS('Industrial Summary'!$G:$G,'Industrial Summary'!$F:$F,I$17,'Industrial Summary'!$D:$D,$E96)&gt;0,(-SUMIFS('Industrial Summary'!$G:$G,'Industrial Summary'!$F:$F,I$17,'Industrial Summary'!$D:$D,$E96,'Industrial Summary'!$A:$A,"NGA")/SUMIFS('Industrial Summary'!$G:$G,'Industrial Summary'!$F:$F,I$17,'Industrial Summary'!$D:$D,$E96)),0)*0.98</f>
        <v>-0.84291425958191957</v>
      </c>
      <c r="J96" s="6">
        <f>IF(SUMIFS('Industrial Summary'!$G:$G,'Industrial Summary'!$F:$F,J$17,'Industrial Summary'!$D:$D,$E96)&gt;0,(-SUMIFS('Industrial Summary'!$G:$G,'Industrial Summary'!$F:$F,J$17,'Industrial Summary'!$D:$D,$E96,'Industrial Summary'!$A:$A,"NGA")/SUMIFS('Industrial Summary'!$G:$G,'Industrial Summary'!$F:$F,J$17,'Industrial Summary'!$D:$D,$E96)),0)*0.98</f>
        <v>-0.73470508986866889</v>
      </c>
      <c r="K96" s="6">
        <f>IF(SUMIFS('Industrial Summary'!$G:$G,'Industrial Summary'!$F:$F,K$17,'Industrial Summary'!$D:$D,$E96)&gt;0,(-SUMIFS('Industrial Summary'!$G:$G,'Industrial Summary'!$F:$F,K$17,'Industrial Summary'!$D:$D,$E96,'Industrial Summary'!$A:$A,"NGA")/SUMIFS('Industrial Summary'!$G:$G,'Industrial Summary'!$F:$F,K$17,'Industrial Summary'!$D:$D,$E96)),0)*0.98</f>
        <v>-0.73470508986866956</v>
      </c>
      <c r="L96" s="6">
        <f>IF(SUMIFS('Industrial Summary'!$G:$G,'Industrial Summary'!$F:$F,L$17,'Industrial Summary'!$D:$D,$E96)&gt;0,(-SUMIFS('Industrial Summary'!$G:$G,'Industrial Summary'!$F:$F,L$17,'Industrial Summary'!$D:$D,$E96,'Industrial Summary'!$A:$A,"NGA")/SUMIFS('Industrial Summary'!$G:$G,'Industrial Summary'!$F:$F,L$17,'Industrial Summary'!$D:$D,$E96)),0)*0.98</f>
        <v>-0.65757076395505087</v>
      </c>
      <c r="M96" s="6">
        <f>IF(SUMIFS('Industrial Summary'!$G:$G,'Industrial Summary'!$F:$F,M$17,'Industrial Summary'!$D:$D,$E96)&gt;0,(-SUMIFS('Industrial Summary'!$G:$G,'Industrial Summary'!$F:$F,M$17,'Industrial Summary'!$D:$D,$E96,'Industrial Summary'!$A:$A,"NGA")/SUMIFS('Industrial Summary'!$G:$G,'Industrial Summary'!$F:$F,M$17,'Industrial Summary'!$D:$D,$E96)),0)*0.98</f>
        <v>-0.65757076395504643</v>
      </c>
      <c r="N96" s="6">
        <f>IF(SUMIFS('Industrial Summary'!$G:$G,'Industrial Summary'!$F:$F,N$17,'Industrial Summary'!$D:$D,$E96)&gt;0,(-SUMIFS('Industrial Summary'!$G:$G,'Industrial Summary'!$F:$F,N$17,'Industrial Summary'!$D:$D,$E96,'Industrial Summary'!$A:$A,"NGA")/SUMIFS('Industrial Summary'!$G:$G,'Industrial Summary'!$F:$F,N$17,'Industrial Summary'!$D:$D,$E96)),0)*0.98</f>
        <v>-0.65757076395505309</v>
      </c>
      <c r="O96" s="6">
        <f>IF(SUMIFS('Industrial Summary'!$G:$G,'Industrial Summary'!$F:$F,O$17,'Industrial Summary'!$D:$D,$E96)&gt;0,(-SUMIFS('Industrial Summary'!$G:$G,'Industrial Summary'!$F:$F,O$17,'Industrial Summary'!$D:$D,$E96,'Industrial Summary'!$A:$A,"NGA")/SUMIFS('Industrial Summary'!$G:$G,'Industrial Summary'!$F:$F,O$17,'Industrial Summary'!$D:$D,$E96)),0)*0.98</f>
        <v>-0.87983662334461565</v>
      </c>
      <c r="P96" s="6">
        <f>IF(SUMIFS('Industrial Summary'!$G:$G,'Industrial Summary'!$F:$F,P$17,'Industrial Summary'!$D:$D,$E96)&gt;0,(-SUMIFS('Industrial Summary'!$G:$G,'Industrial Summary'!$F:$F,P$17,'Industrial Summary'!$D:$D,$E96,'Industrial Summary'!$A:$A,"NGA")/SUMIFS('Industrial Summary'!$G:$G,'Industrial Summary'!$F:$F,P$17,'Industrial Summary'!$D:$D,$E96)),0)*0.98</f>
        <v>-0.87983662334461465</v>
      </c>
      <c r="Q96" s="5">
        <v>0</v>
      </c>
      <c r="R96" s="5">
        <v>15</v>
      </c>
      <c r="S96" s="5" t="str">
        <f t="shared" si="18"/>
        <v>UC_IPOPH_NGA</v>
      </c>
      <c r="V96" s="4" t="str">
        <f t="shared" si="19"/>
        <v>S_IPOPHNGA</v>
      </c>
      <c r="W96" s="4" t="str">
        <f t="shared" si="20"/>
        <v>IPOPH_NGA</v>
      </c>
      <c r="X96" s="4" t="str">
        <f t="shared" si="21"/>
        <v>IPOPRH</v>
      </c>
      <c r="Y96" s="5" t="str">
        <f t="shared" si="22"/>
        <v>LO</v>
      </c>
      <c r="Z96" s="5">
        <v>1</v>
      </c>
      <c r="AA96" s="6">
        <f t="shared" si="23"/>
        <v>-0.57318169651570561</v>
      </c>
      <c r="AB96" s="6">
        <f t="shared" si="24"/>
        <v>-0.57318169651570527</v>
      </c>
      <c r="AC96" s="6">
        <f t="shared" si="25"/>
        <v>-0.49959946111069481</v>
      </c>
      <c r="AD96" s="6">
        <f t="shared" si="26"/>
        <v>-0.49959946111069525</v>
      </c>
      <c r="AE96" s="6">
        <f t="shared" si="27"/>
        <v>-0.44714811948943456</v>
      </c>
      <c r="AF96" s="6">
        <f t="shared" si="28"/>
        <v>-0.44714811948943156</v>
      </c>
      <c r="AG96" s="6">
        <f t="shared" si="29"/>
        <v>-0.44714811948943606</v>
      </c>
      <c r="AH96" s="6">
        <f t="shared" si="30"/>
        <v>-0.59828890387433864</v>
      </c>
      <c r="AI96" s="6">
        <f t="shared" si="31"/>
        <v>-0.59828890387433786</v>
      </c>
      <c r="AL96" s="5" t="str">
        <f t="shared" si="32"/>
        <v>NGA</v>
      </c>
      <c r="AM96" s="5">
        <f>Y6</f>
        <v>0.67999999999999994</v>
      </c>
    </row>
    <row r="97" spans="1:39" s="5" customFormat="1" x14ac:dyDescent="0.3">
      <c r="C97" s="4" t="s">
        <v>196</v>
      </c>
      <c r="D97" s="5" t="s">
        <v>197</v>
      </c>
      <c r="E97" s="5" t="s">
        <v>741</v>
      </c>
      <c r="F97" s="5" t="s">
        <v>1588</v>
      </c>
      <c r="G97" s="5">
        <v>1</v>
      </c>
      <c r="H97" s="6">
        <f>IF(SUMIFS('Industrial Summary'!$G:$G,'Industrial Summary'!$F:$F,H$17,'Industrial Summary'!$D:$D,$E97)&gt;0,(-SUMIFS('Industrial Summary'!$G:$G,'Industrial Summary'!$F:$F,H$17,'Industrial Summary'!$D:$D,$E97,'Industrial Summary'!$A:$A,"ELC")/SUMIFS('Industrial Summary'!$G:$G,'Industrial Summary'!$F:$F,H$17,'Industrial Summary'!$D:$D,$E97)),0)*0.98</f>
        <v>-0.95464373338752417</v>
      </c>
      <c r="I97" s="6">
        <f>IF(SUMIFS('Industrial Summary'!$G:$G,'Industrial Summary'!$F:$F,I$17,'Industrial Summary'!$D:$D,$E97)&gt;0,(-SUMIFS('Industrial Summary'!$G:$G,'Industrial Summary'!$F:$F,I$17,'Industrial Summary'!$D:$D,$E97,'Industrial Summary'!$A:$A,"ELC")/SUMIFS('Industrial Summary'!$G:$G,'Industrial Summary'!$F:$F,I$17,'Industrial Summary'!$D:$D,$E97)),0)*0.98</f>
        <v>-0.95464373338752295</v>
      </c>
      <c r="J97" s="6">
        <f>IF(SUMIFS('Industrial Summary'!$G:$G,'Industrial Summary'!$F:$F,J$17,'Industrial Summary'!$D:$D,$E97)&gt;0,(-SUMIFS('Industrial Summary'!$G:$G,'Industrial Summary'!$F:$F,J$17,'Industrial Summary'!$D:$D,$E97,'Industrial Summary'!$A:$A,"ELC")/SUMIFS('Industrial Summary'!$G:$G,'Industrial Summary'!$F:$F,J$17,'Industrial Summary'!$D:$D,$E97)),0)*0.98</f>
        <v>-0.93419132772800584</v>
      </c>
      <c r="K97" s="6">
        <f>IF(SUMIFS('Industrial Summary'!$G:$G,'Industrial Summary'!$F:$F,K$17,'Industrial Summary'!$D:$D,$E97)&gt;0,(-SUMIFS('Industrial Summary'!$G:$G,'Industrial Summary'!$F:$F,K$17,'Industrial Summary'!$D:$D,$E97,'Industrial Summary'!$A:$A,"ELC")/SUMIFS('Industrial Summary'!$G:$G,'Industrial Summary'!$F:$F,K$17,'Industrial Summary'!$D:$D,$E97)),0)*0.98</f>
        <v>-0.93419132772800562</v>
      </c>
      <c r="L97" s="6">
        <f>IF(SUMIFS('Industrial Summary'!$G:$G,'Industrial Summary'!$F:$F,L$17,'Industrial Summary'!$D:$D,$E97)&gt;0,(-SUMIFS('Industrial Summary'!$G:$G,'Industrial Summary'!$F:$F,L$17,'Industrial Summary'!$D:$D,$E97,'Industrial Summary'!$A:$A,"ELC")/SUMIFS('Industrial Summary'!$G:$G,'Industrial Summary'!$F:$F,L$17,'Industrial Summary'!$D:$D,$E97)),0)*0.98</f>
        <v>-0.95464373338752639</v>
      </c>
      <c r="M97" s="6">
        <f>IF(SUMIFS('Industrial Summary'!$G:$G,'Industrial Summary'!$F:$F,M$17,'Industrial Summary'!$D:$D,$E97)&gt;0,(-SUMIFS('Industrial Summary'!$G:$G,'Industrial Summary'!$F:$F,M$17,'Industrial Summary'!$D:$D,$E97,'Industrial Summary'!$A:$A,"ELC")/SUMIFS('Industrial Summary'!$G:$G,'Industrial Summary'!$F:$F,M$17,'Industrial Summary'!$D:$D,$E97)),0)*0.98</f>
        <v>-0.9546437333875285</v>
      </c>
      <c r="N97" s="6">
        <f>IF(SUMIFS('Industrial Summary'!$G:$G,'Industrial Summary'!$F:$F,N$17,'Industrial Summary'!$D:$D,$E97)&gt;0,(-SUMIFS('Industrial Summary'!$G:$G,'Industrial Summary'!$F:$F,N$17,'Industrial Summary'!$D:$D,$E97,'Industrial Summary'!$A:$A,"ELC")/SUMIFS('Industrial Summary'!$G:$G,'Industrial Summary'!$F:$F,N$17,'Industrial Summary'!$D:$D,$E97)),0)*0.98</f>
        <v>-0.95464373338752651</v>
      </c>
      <c r="O97" s="6">
        <f>IF(SUMIFS('Industrial Summary'!$G:$G,'Industrial Summary'!$F:$F,O$17,'Industrial Summary'!$D:$D,$E97)&gt;0,(-SUMIFS('Industrial Summary'!$G:$G,'Industrial Summary'!$F:$F,O$17,'Industrial Summary'!$D:$D,$E97,'Industrial Summary'!$A:$A,"ELC")/SUMIFS('Industrial Summary'!$G:$G,'Industrial Summary'!$F:$F,O$17,'Industrial Summary'!$D:$D,$E97)),0)*0.98</f>
        <v>-0.94417402710767195</v>
      </c>
      <c r="P97" s="6">
        <f>IF(SUMIFS('Industrial Summary'!$G:$G,'Industrial Summary'!$F:$F,P$17,'Industrial Summary'!$D:$D,$E97)&gt;0,(-SUMIFS('Industrial Summary'!$G:$G,'Industrial Summary'!$F:$F,P$17,'Industrial Summary'!$D:$D,$E97,'Industrial Summary'!$A:$A,"ELC")/SUMIFS('Industrial Summary'!$G:$G,'Industrial Summary'!$F:$F,P$17,'Industrial Summary'!$D:$D,$E97)),0)*0.98</f>
        <v>-0.94417402710767695</v>
      </c>
      <c r="Q97" s="5">
        <v>0</v>
      </c>
      <c r="R97" s="5">
        <v>15</v>
      </c>
      <c r="S97" s="5" t="str">
        <f t="shared" si="18"/>
        <v>UC_IPOMD_ELC</v>
      </c>
      <c r="V97" s="4" t="str">
        <f t="shared" si="19"/>
        <v>S_IPOMDELC</v>
      </c>
      <c r="W97" s="4" t="str">
        <f t="shared" si="20"/>
        <v>IPOMD_ELC</v>
      </c>
      <c r="X97" s="4" t="str">
        <f t="shared" si="21"/>
        <v>IPOMDR</v>
      </c>
      <c r="Y97" s="5" t="str">
        <f t="shared" si="22"/>
        <v>LO</v>
      </c>
      <c r="Z97" s="5">
        <v>1</v>
      </c>
      <c r="AA97" s="6">
        <f t="shared" si="23"/>
        <v>-0.95464373338752417</v>
      </c>
      <c r="AB97" s="6">
        <f t="shared" si="24"/>
        <v>-0.95464373338752295</v>
      </c>
      <c r="AC97" s="6">
        <f t="shared" si="25"/>
        <v>-0.93419132772800584</v>
      </c>
      <c r="AD97" s="6">
        <f t="shared" si="26"/>
        <v>-0.93419132772800562</v>
      </c>
      <c r="AE97" s="6">
        <f t="shared" si="27"/>
        <v>-0.95464373338752639</v>
      </c>
      <c r="AF97" s="6">
        <f t="shared" si="28"/>
        <v>-0.9546437333875285</v>
      </c>
      <c r="AG97" s="6">
        <f t="shared" si="29"/>
        <v>-0.95464373338752651</v>
      </c>
      <c r="AH97" s="6">
        <f t="shared" si="30"/>
        <v>-0.94417402710767195</v>
      </c>
      <c r="AI97" s="6">
        <f t="shared" si="31"/>
        <v>-0.94417402710767695</v>
      </c>
      <c r="AL97" s="5" t="str">
        <f t="shared" si="32"/>
        <v>ELC</v>
      </c>
      <c r="AM97" s="5">
        <f>1</f>
        <v>1</v>
      </c>
    </row>
    <row r="98" spans="1:39" s="5" customFormat="1" x14ac:dyDescent="0.3">
      <c r="A98" s="8"/>
      <c r="C98" s="4" t="s">
        <v>198</v>
      </c>
      <c r="D98" s="5" t="s">
        <v>199</v>
      </c>
      <c r="E98" s="5" t="s">
        <v>741</v>
      </c>
      <c r="F98" s="5" t="s">
        <v>1588</v>
      </c>
      <c r="G98" s="5">
        <v>1</v>
      </c>
      <c r="H98" s="6">
        <f>IF(SUMIFS('Industrial Summary'!$G:$G,'Industrial Summary'!$F:$F,H$17,'Industrial Summary'!$D:$D,$E98)&gt;0,(-SUMIFS('Industrial Summary'!$G:$G,'Industrial Summary'!$F:$F,H$17,'Industrial Summary'!$D:$D,$E98,'Industrial Summary'!$A:$A,"NGA")/SUMIFS('Industrial Summary'!$G:$G,'Industrial Summary'!$F:$F,H$17,'Industrial Summary'!$D:$D,$E98)),0)*0.98</f>
        <v>-2.5356266612475867E-2</v>
      </c>
      <c r="I98" s="6">
        <f>IF(SUMIFS('Industrial Summary'!$G:$G,'Industrial Summary'!$F:$F,I$17,'Industrial Summary'!$D:$D,$E98)&gt;0,(-SUMIFS('Industrial Summary'!$G:$G,'Industrial Summary'!$F:$F,I$17,'Industrial Summary'!$D:$D,$E98,'Industrial Summary'!$A:$A,"NGA")/SUMIFS('Industrial Summary'!$G:$G,'Industrial Summary'!$F:$F,I$17,'Industrial Summary'!$D:$D,$E98)),0)*0.98</f>
        <v>-2.5356266612477005E-2</v>
      </c>
      <c r="J98" s="6">
        <f>IF(SUMIFS('Industrial Summary'!$G:$G,'Industrial Summary'!$F:$F,J$17,'Industrial Summary'!$D:$D,$E98)&gt;0,(-SUMIFS('Industrial Summary'!$G:$G,'Industrial Summary'!$F:$F,J$17,'Industrial Summary'!$D:$D,$E98,'Industrial Summary'!$A:$A,"NGA")/SUMIFS('Industrial Summary'!$G:$G,'Industrial Summary'!$F:$F,J$17,'Industrial Summary'!$D:$D,$E98)),0)*0.98</f>
        <v>-4.5808672271994103E-2</v>
      </c>
      <c r="K98" s="6">
        <f>IF(SUMIFS('Industrial Summary'!$G:$G,'Industrial Summary'!$F:$F,K$17,'Industrial Summary'!$D:$D,$E98)&gt;0,(-SUMIFS('Industrial Summary'!$G:$G,'Industrial Summary'!$F:$F,K$17,'Industrial Summary'!$D:$D,$E98,'Industrial Summary'!$A:$A,"NGA")/SUMIFS('Industrial Summary'!$G:$G,'Industrial Summary'!$F:$F,K$17,'Industrial Summary'!$D:$D,$E98)),0)*0.98</f>
        <v>-4.5808672271994311E-2</v>
      </c>
      <c r="L98" s="6">
        <f>IF(SUMIFS('Industrial Summary'!$G:$G,'Industrial Summary'!$F:$F,L$17,'Industrial Summary'!$D:$D,$E98)&gt;0,(-SUMIFS('Industrial Summary'!$G:$G,'Industrial Summary'!$F:$F,L$17,'Industrial Summary'!$D:$D,$E98,'Industrial Summary'!$A:$A,"NGA")/SUMIFS('Industrial Summary'!$G:$G,'Industrial Summary'!$F:$F,L$17,'Industrial Summary'!$D:$D,$E98)),0)*0.98</f>
        <v>-2.5356266612473675E-2</v>
      </c>
      <c r="M98" s="6">
        <f>IF(SUMIFS('Industrial Summary'!$G:$G,'Industrial Summary'!$F:$F,M$17,'Industrial Summary'!$D:$D,$E98)&gt;0,(-SUMIFS('Industrial Summary'!$G:$G,'Industrial Summary'!$F:$F,M$17,'Industrial Summary'!$D:$D,$E98,'Industrial Summary'!$A:$A,"NGA")/SUMIFS('Industrial Summary'!$G:$G,'Industrial Summary'!$F:$F,M$17,'Industrial Summary'!$D:$D,$E98)),0)*0.98</f>
        <v>-2.5356266612471461E-2</v>
      </c>
      <c r="N98" s="6">
        <f>IF(SUMIFS('Industrial Summary'!$G:$G,'Industrial Summary'!$F:$F,N$17,'Industrial Summary'!$D:$D,$E98)&gt;0,(-SUMIFS('Industrial Summary'!$G:$G,'Industrial Summary'!$F:$F,N$17,'Industrial Summary'!$D:$D,$E98,'Industrial Summary'!$A:$A,"NGA")/SUMIFS('Industrial Summary'!$G:$G,'Industrial Summary'!$F:$F,N$17,'Industrial Summary'!$D:$D,$E98)),0)*0.98</f>
        <v>-2.5356266612473467E-2</v>
      </c>
      <c r="O98" s="6">
        <f>IF(SUMIFS('Industrial Summary'!$G:$G,'Industrial Summary'!$F:$F,O$17,'Industrial Summary'!$D:$D,$E98)&gt;0,(-SUMIFS('Industrial Summary'!$G:$G,'Industrial Summary'!$F:$F,O$17,'Industrial Summary'!$D:$D,$E98,'Industrial Summary'!$A:$A,"NGA")/SUMIFS('Industrial Summary'!$G:$G,'Industrial Summary'!$F:$F,O$17,'Industrial Summary'!$D:$D,$E98)),0)*0.98</f>
        <v>-3.5825972892328042E-2</v>
      </c>
      <c r="P98" s="6">
        <f>IF(SUMIFS('Industrial Summary'!$G:$G,'Industrial Summary'!$F:$F,P$17,'Industrial Summary'!$D:$D,$E98)&gt;0,(-SUMIFS('Industrial Summary'!$G:$G,'Industrial Summary'!$F:$F,P$17,'Industrial Summary'!$D:$D,$E98,'Industrial Summary'!$A:$A,"NGA")/SUMIFS('Industrial Summary'!$G:$G,'Industrial Summary'!$F:$F,P$17,'Industrial Summary'!$D:$D,$E98)),0)*0.98</f>
        <v>-3.5825972892323074E-2</v>
      </c>
      <c r="Q98" s="5">
        <v>0</v>
      </c>
      <c r="R98" s="5">
        <v>15</v>
      </c>
      <c r="S98" s="5" t="str">
        <f t="shared" si="18"/>
        <v>UC_IPOMD_NGA</v>
      </c>
      <c r="V98" s="4" t="str">
        <f t="shared" si="19"/>
        <v>S_IPOMDNGA</v>
      </c>
      <c r="W98" s="4" t="str">
        <f t="shared" si="20"/>
        <v>IPOMD_NGA</v>
      </c>
      <c r="X98" s="4" t="str">
        <f t="shared" si="21"/>
        <v>IPOMDR</v>
      </c>
      <c r="Y98" s="5" t="str">
        <f t="shared" si="22"/>
        <v>LO</v>
      </c>
      <c r="Z98" s="5">
        <v>1</v>
      </c>
      <c r="AA98" s="6">
        <f t="shared" si="23"/>
        <v>-1.7242261296483589E-2</v>
      </c>
      <c r="AB98" s="6">
        <f t="shared" si="24"/>
        <v>-1.7242261296484363E-2</v>
      </c>
      <c r="AC98" s="6">
        <f t="shared" si="25"/>
        <v>-3.1149897144955987E-2</v>
      </c>
      <c r="AD98" s="6">
        <f t="shared" si="26"/>
        <v>-3.114989714495613E-2</v>
      </c>
      <c r="AE98" s="6">
        <f t="shared" si="27"/>
        <v>-1.7242261296482098E-2</v>
      </c>
      <c r="AF98" s="6">
        <f t="shared" si="28"/>
        <v>-1.7242261296480592E-2</v>
      </c>
      <c r="AG98" s="6">
        <f t="shared" si="29"/>
        <v>-1.7242261296481955E-2</v>
      </c>
      <c r="AH98" s="6">
        <f t="shared" si="30"/>
        <v>-2.4361661566783068E-2</v>
      </c>
      <c r="AI98" s="6">
        <f t="shared" si="31"/>
        <v>-2.4361661566779689E-2</v>
      </c>
      <c r="AL98" s="5" t="str">
        <f t="shared" si="32"/>
        <v>NGA</v>
      </c>
      <c r="AM98" s="5">
        <f>Y6</f>
        <v>0.67999999999999994</v>
      </c>
    </row>
    <row r="99" spans="1:39" s="5" customFormat="1" x14ac:dyDescent="0.3">
      <c r="C99" s="4" t="s">
        <v>200</v>
      </c>
      <c r="D99" s="5" t="s">
        <v>201</v>
      </c>
      <c r="E99" s="5" t="s">
        <v>725</v>
      </c>
      <c r="F99" s="5" t="s">
        <v>1588</v>
      </c>
      <c r="G99" s="5">
        <v>1</v>
      </c>
      <c r="H99" s="6">
        <f>IF(SUMIFS('Industrial Summary'!$G:$G,'Industrial Summary'!$F:$F,H$17,'Industrial Summary'!$D:$D,$E99)&gt;0,(-SUMIFS('Industrial Summary'!$G:$G,'Industrial Summary'!$F:$F,H$17,'Industrial Summary'!$D:$D,$E99,'Industrial Summary'!$A:$A,"ELC")/SUMIFS('Industrial Summary'!$G:$G,'Industrial Summary'!$F:$F,H$17,'Industrial Summary'!$D:$D,$E99)),0)*0.98</f>
        <v>-0.32185947895447964</v>
      </c>
      <c r="I99" s="6">
        <f>IF(SUMIFS('Industrial Summary'!$G:$G,'Industrial Summary'!$F:$F,I$17,'Industrial Summary'!$D:$D,$E99)&gt;0,(-SUMIFS('Industrial Summary'!$G:$G,'Industrial Summary'!$F:$F,I$17,'Industrial Summary'!$D:$D,$E99,'Industrial Summary'!$A:$A,"ELC")/SUMIFS('Industrial Summary'!$G:$G,'Industrial Summary'!$F:$F,I$17,'Industrial Summary'!$D:$D,$E99)),0)*0.98</f>
        <v>-0.32185947895448097</v>
      </c>
      <c r="J99" s="6">
        <f>IF(SUMIFS('Industrial Summary'!$G:$G,'Industrial Summary'!$F:$F,J$17,'Industrial Summary'!$D:$D,$E99)&gt;0,(-SUMIFS('Industrial Summary'!$G:$G,'Industrial Summary'!$F:$F,J$17,'Industrial Summary'!$D:$D,$E99,'Industrial Summary'!$A:$A,"ELC")/SUMIFS('Industrial Summary'!$G:$G,'Industrial Summary'!$F:$F,J$17,'Industrial Summary'!$D:$D,$E99)),0)*0.98</f>
        <v>-0.35016896409555132</v>
      </c>
      <c r="K99" s="6">
        <f>IF(SUMIFS('Industrial Summary'!$G:$G,'Industrial Summary'!$F:$F,K$17,'Industrial Summary'!$D:$D,$E99)&gt;0,(-SUMIFS('Industrial Summary'!$G:$G,'Industrial Summary'!$F:$F,K$17,'Industrial Summary'!$D:$D,$E99,'Industrial Summary'!$A:$A,"ELC")/SUMIFS('Industrial Summary'!$G:$G,'Industrial Summary'!$F:$F,K$17,'Industrial Summary'!$D:$D,$E99)),0)*0.98</f>
        <v>-0.35016896409554982</v>
      </c>
      <c r="L99" s="6">
        <f>IF(SUMIFS('Industrial Summary'!$G:$G,'Industrial Summary'!$F:$F,L$17,'Industrial Summary'!$D:$D,$E99)&gt;0,(-SUMIFS('Industrial Summary'!$G:$G,'Industrial Summary'!$F:$F,L$17,'Industrial Summary'!$D:$D,$E99,'Industrial Summary'!$A:$A,"ELC")/SUMIFS('Industrial Summary'!$G:$G,'Industrial Summary'!$F:$F,L$17,'Industrial Summary'!$D:$D,$E99)),0)*0.98</f>
        <v>-0.4681788988444574</v>
      </c>
      <c r="M99" s="6">
        <f>IF(SUMIFS('Industrial Summary'!$G:$G,'Industrial Summary'!$F:$F,M$17,'Industrial Summary'!$D:$D,$E99)&gt;0,(-SUMIFS('Industrial Summary'!$G:$G,'Industrial Summary'!$F:$F,M$17,'Industrial Summary'!$D:$D,$E99,'Industrial Summary'!$A:$A,"ELC")/SUMIFS('Industrial Summary'!$G:$G,'Industrial Summary'!$F:$F,M$17,'Industrial Summary'!$D:$D,$E99)),0)*0.98</f>
        <v>-0.46817889884445724</v>
      </c>
      <c r="N99" s="6">
        <f>IF(SUMIFS('Industrial Summary'!$G:$G,'Industrial Summary'!$F:$F,N$17,'Industrial Summary'!$D:$D,$E99)&gt;0,(-SUMIFS('Industrial Summary'!$G:$G,'Industrial Summary'!$F:$F,N$17,'Industrial Summary'!$D:$D,$E99,'Industrial Summary'!$A:$A,"ELC")/SUMIFS('Industrial Summary'!$G:$G,'Industrial Summary'!$F:$F,N$17,'Industrial Summary'!$D:$D,$E99)),0)*0.98</f>
        <v>-0.46817889884445985</v>
      </c>
      <c r="O99" s="6">
        <f>IF(SUMIFS('Industrial Summary'!$G:$G,'Industrial Summary'!$F:$F,O$17,'Industrial Summary'!$D:$D,$E99)&gt;0,(-SUMIFS('Industrial Summary'!$G:$G,'Industrial Summary'!$F:$F,O$17,'Industrial Summary'!$D:$D,$E99,'Industrial Summary'!$A:$A,"ELC")/SUMIFS('Industrial Summary'!$G:$G,'Industrial Summary'!$F:$F,O$17,'Industrial Summary'!$D:$D,$E99)),0)*0.98</f>
        <v>-0.20689066141978113</v>
      </c>
      <c r="P99" s="6">
        <f>IF(SUMIFS('Industrial Summary'!$G:$G,'Industrial Summary'!$F:$F,P$17,'Industrial Summary'!$D:$D,$E99)&gt;0,(-SUMIFS('Industrial Summary'!$G:$G,'Industrial Summary'!$F:$F,P$17,'Industrial Summary'!$D:$D,$E99,'Industrial Summary'!$A:$A,"ELC")/SUMIFS('Industrial Summary'!$G:$G,'Industrial Summary'!$F:$F,P$17,'Industrial Summary'!$D:$D,$E99)),0)*0.98</f>
        <v>-0.20689066141978069</v>
      </c>
      <c r="Q99" s="5">
        <v>0</v>
      </c>
      <c r="R99" s="5">
        <v>15</v>
      </c>
      <c r="S99" s="5" t="str">
        <f t="shared" si="18"/>
        <v>UC_IPOFA_ELC</v>
      </c>
      <c r="V99" s="4" t="str">
        <f t="shared" si="19"/>
        <v>S_IPOFAELC</v>
      </c>
      <c r="W99" s="4" t="str">
        <f t="shared" si="20"/>
        <v>IPOFA_ELC</v>
      </c>
      <c r="X99" s="4" t="str">
        <f t="shared" si="21"/>
        <v>IPOFAC</v>
      </c>
      <c r="Y99" s="5" t="str">
        <f t="shared" si="22"/>
        <v>LO</v>
      </c>
      <c r="Z99" s="5">
        <v>1</v>
      </c>
      <c r="AA99" s="6">
        <f t="shared" si="23"/>
        <v>-0.32185947895447964</v>
      </c>
      <c r="AB99" s="6">
        <f t="shared" si="24"/>
        <v>-0.32185947895448097</v>
      </c>
      <c r="AC99" s="6">
        <f t="shared" si="25"/>
        <v>-0.35016896409555132</v>
      </c>
      <c r="AD99" s="6">
        <f t="shared" si="26"/>
        <v>-0.35016896409554982</v>
      </c>
      <c r="AE99" s="6">
        <f t="shared" si="27"/>
        <v>-0.4681788988444574</v>
      </c>
      <c r="AF99" s="6">
        <f t="shared" si="28"/>
        <v>-0.46817889884445724</v>
      </c>
      <c r="AG99" s="6">
        <f t="shared" si="29"/>
        <v>-0.46817889884445985</v>
      </c>
      <c r="AH99" s="6">
        <f t="shared" si="30"/>
        <v>-0.20689066141978113</v>
      </c>
      <c r="AI99" s="6">
        <f t="shared" si="31"/>
        <v>-0.20689066141978069</v>
      </c>
      <c r="AL99" s="5" t="str">
        <f t="shared" si="32"/>
        <v>ELC</v>
      </c>
      <c r="AM99" s="5">
        <f>1</f>
        <v>1</v>
      </c>
    </row>
    <row r="100" spans="1:39" s="5" customFormat="1" x14ac:dyDescent="0.3">
      <c r="C100" s="4" t="s">
        <v>202</v>
      </c>
      <c r="D100" s="5" t="s">
        <v>203</v>
      </c>
      <c r="E100" s="5" t="s">
        <v>725</v>
      </c>
      <c r="F100" s="5" t="s">
        <v>1588</v>
      </c>
      <c r="G100" s="5">
        <v>1</v>
      </c>
      <c r="H100" s="6">
        <f>IF(SUMIFS('Industrial Summary'!$G:$G,'Industrial Summary'!$F:$F,H$17,'Industrial Summary'!$D:$D,$E100)&gt;0,(-SUMIFS('Industrial Summary'!$G:$G,'Industrial Summary'!$F:$F,H$17,'Industrial Summary'!$D:$D,$E100,'Industrial Summary'!$A:$A,"NGA")/SUMIFS('Industrial Summary'!$G:$G,'Industrial Summary'!$F:$F,H$17,'Industrial Summary'!$D:$D,$E100)),0)*0.98</f>
        <v>-0.19872308944161313</v>
      </c>
      <c r="I100" s="6">
        <f>IF(SUMIFS('Industrial Summary'!$G:$G,'Industrial Summary'!$F:$F,I$17,'Industrial Summary'!$D:$D,$E100)&gt;0,(-SUMIFS('Industrial Summary'!$G:$G,'Industrial Summary'!$F:$F,I$17,'Industrial Summary'!$D:$D,$E100,'Industrial Summary'!$A:$A,"NGA")/SUMIFS('Industrial Summary'!$G:$G,'Industrial Summary'!$F:$F,I$17,'Industrial Summary'!$D:$D,$E100)),0)*0.98</f>
        <v>-0.1987230894416139</v>
      </c>
      <c r="J100" s="6">
        <f>IF(SUMIFS('Industrial Summary'!$G:$G,'Industrial Summary'!$F:$F,J$17,'Industrial Summary'!$D:$D,$E100)&gt;0,(-SUMIFS('Industrial Summary'!$G:$G,'Industrial Summary'!$F:$F,J$17,'Industrial Summary'!$D:$D,$E100,'Industrial Summary'!$A:$A,"NGA")/SUMIFS('Industrial Summary'!$G:$G,'Industrial Summary'!$F:$F,J$17,'Industrial Summary'!$D:$D,$E100)),0)*0.98</f>
        <v>-0.3991421269030298</v>
      </c>
      <c r="K100" s="6">
        <f>IF(SUMIFS('Industrial Summary'!$G:$G,'Industrial Summary'!$F:$F,K$17,'Industrial Summary'!$D:$D,$E100)&gt;0,(-SUMIFS('Industrial Summary'!$G:$G,'Industrial Summary'!$F:$F,K$17,'Industrial Summary'!$D:$D,$E100,'Industrial Summary'!$A:$A,"NGA")/SUMIFS('Industrial Summary'!$G:$G,'Industrial Summary'!$F:$F,K$17,'Industrial Summary'!$D:$D,$E100)),0)*0.98</f>
        <v>-0.39914212690302847</v>
      </c>
      <c r="L100" s="6">
        <f>IF(SUMIFS('Industrial Summary'!$G:$G,'Industrial Summary'!$F:$F,L$17,'Industrial Summary'!$D:$D,$E100)&gt;0,(-SUMIFS('Industrial Summary'!$G:$G,'Industrial Summary'!$F:$F,L$17,'Industrial Summary'!$D:$D,$E100,'Industrial Summary'!$A:$A,"NGA")/SUMIFS('Industrial Summary'!$G:$G,'Industrial Summary'!$F:$F,L$17,'Industrial Summary'!$D:$D,$E100)),0)*0.98</f>
        <v>-0.28906390295530637</v>
      </c>
      <c r="M100" s="6">
        <f>IF(SUMIFS('Industrial Summary'!$G:$G,'Industrial Summary'!$F:$F,M$17,'Industrial Summary'!$D:$D,$E100)&gt;0,(-SUMIFS('Industrial Summary'!$G:$G,'Industrial Summary'!$F:$F,M$17,'Industrial Summary'!$D:$D,$E100,'Industrial Summary'!$A:$A,"NGA")/SUMIFS('Industrial Summary'!$G:$G,'Industrial Summary'!$F:$F,M$17,'Industrial Summary'!$D:$D,$E100)),0)*0.98</f>
        <v>-0.28906390295530676</v>
      </c>
      <c r="N100" s="6">
        <f>IF(SUMIFS('Industrial Summary'!$G:$G,'Industrial Summary'!$F:$F,N$17,'Industrial Summary'!$D:$D,$E100)&gt;0,(-SUMIFS('Industrial Summary'!$G:$G,'Industrial Summary'!$F:$F,N$17,'Industrial Summary'!$D:$D,$E100,'Industrial Summary'!$A:$A,"NGA")/SUMIFS('Industrial Summary'!$G:$G,'Industrial Summary'!$F:$F,N$17,'Industrial Summary'!$D:$D,$E100)),0)*0.98</f>
        <v>-0.28906390295530637</v>
      </c>
      <c r="O100" s="6">
        <f>IF(SUMIFS('Industrial Summary'!$G:$G,'Industrial Summary'!$F:$F,O$17,'Industrial Summary'!$D:$D,$E100)&gt;0,(-SUMIFS('Industrial Summary'!$G:$G,'Industrial Summary'!$F:$F,O$17,'Industrial Summary'!$D:$D,$E100,'Industrial Summary'!$A:$A,"NGA")/SUMIFS('Industrial Summary'!$G:$G,'Industrial Summary'!$F:$F,O$17,'Industrial Summary'!$D:$D,$E100)),0)*0.98</f>
        <v>-0.1824840346366203</v>
      </c>
      <c r="P100" s="6">
        <f>IF(SUMIFS('Industrial Summary'!$G:$G,'Industrial Summary'!$F:$F,P$17,'Industrial Summary'!$D:$D,$E100)&gt;0,(-SUMIFS('Industrial Summary'!$G:$G,'Industrial Summary'!$F:$F,P$17,'Industrial Summary'!$D:$D,$E100,'Industrial Summary'!$A:$A,"NGA")/SUMIFS('Industrial Summary'!$G:$G,'Industrial Summary'!$F:$F,P$17,'Industrial Summary'!$D:$D,$E100)),0)*0.98</f>
        <v>-0.18248403463661994</v>
      </c>
      <c r="Q100" s="5">
        <v>0</v>
      </c>
      <c r="R100" s="5">
        <v>15</v>
      </c>
      <c r="S100" s="5" t="str">
        <f t="shared" si="18"/>
        <v>UC_IPOFA_NGA</v>
      </c>
      <c r="V100" s="4" t="str">
        <f t="shared" si="19"/>
        <v>S_IPOFANGA</v>
      </c>
      <c r="W100" s="4" t="str">
        <f t="shared" si="20"/>
        <v>IPOFA_NGA</v>
      </c>
      <c r="X100" s="4" t="str">
        <f t="shared" si="21"/>
        <v>IPOFAC</v>
      </c>
      <c r="Y100" s="5" t="str">
        <f t="shared" si="22"/>
        <v>LO</v>
      </c>
      <c r="Z100" s="5">
        <v>1</v>
      </c>
      <c r="AA100" s="6">
        <f t="shared" si="23"/>
        <v>-0.13513170082029691</v>
      </c>
      <c r="AB100" s="6">
        <f t="shared" si="24"/>
        <v>-0.13513170082029743</v>
      </c>
      <c r="AC100" s="6">
        <f t="shared" si="25"/>
        <v>-0.27141664629406026</v>
      </c>
      <c r="AD100" s="6">
        <f t="shared" si="26"/>
        <v>-0.27141664629405932</v>
      </c>
      <c r="AE100" s="6">
        <f t="shared" si="27"/>
        <v>-0.19656345400960831</v>
      </c>
      <c r="AF100" s="6">
        <f t="shared" si="28"/>
        <v>-0.19656345400960859</v>
      </c>
      <c r="AG100" s="6">
        <f t="shared" si="29"/>
        <v>-0.19656345400960831</v>
      </c>
      <c r="AH100" s="6">
        <f t="shared" si="30"/>
        <v>-0.12408914355290179</v>
      </c>
      <c r="AI100" s="6">
        <f t="shared" si="31"/>
        <v>-0.12408914355290154</v>
      </c>
      <c r="AL100" s="5" t="str">
        <f t="shared" si="32"/>
        <v>NGA</v>
      </c>
      <c r="AM100" s="5">
        <f>Y6</f>
        <v>0.67999999999999994</v>
      </c>
    </row>
    <row r="101" spans="1:39" s="5" customFormat="1" x14ac:dyDescent="0.3">
      <c r="A101" s="8"/>
      <c r="C101" s="4" t="s">
        <v>204</v>
      </c>
      <c r="D101" s="5" t="s">
        <v>205</v>
      </c>
      <c r="E101" s="5" t="s">
        <v>725</v>
      </c>
      <c r="F101" s="5" t="s">
        <v>1588</v>
      </c>
      <c r="G101" s="5">
        <v>1</v>
      </c>
      <c r="H101" s="6">
        <f>IF(SUMIFS('Industrial Summary'!$G:$G,'Industrial Summary'!$F:$F,H$17,'Industrial Summary'!$D:$D,$E101)&gt;0,(-SUMIFS('Industrial Summary'!$G:$G,'Industrial Summary'!$F:$F,H$17,'Industrial Summary'!$D:$D,$E101,'Industrial Summary'!$A:$A,"LPG")/SUMIFS('Industrial Summary'!$G:$G,'Industrial Summary'!$F:$F,H$17,'Industrial Summary'!$D:$D,$E101)),0)*0.98</f>
        <v>-0.45941743160390708</v>
      </c>
      <c r="I101" s="6">
        <f>IF(SUMIFS('Industrial Summary'!$G:$G,'Industrial Summary'!$F:$F,I$17,'Industrial Summary'!$D:$D,$E101)&gt;0,(-SUMIFS('Industrial Summary'!$G:$G,'Industrial Summary'!$F:$F,I$17,'Industrial Summary'!$D:$D,$E101,'Industrial Summary'!$A:$A,"LPG")/SUMIFS('Industrial Summary'!$G:$G,'Industrial Summary'!$F:$F,I$17,'Industrial Summary'!$D:$D,$E101)),0)*0.98</f>
        <v>-0.45941743160390514</v>
      </c>
      <c r="J101" s="6">
        <f>IF(SUMIFS('Industrial Summary'!$G:$G,'Industrial Summary'!$F:$F,J$17,'Industrial Summary'!$D:$D,$E101)&gt;0,(-SUMIFS('Industrial Summary'!$G:$G,'Industrial Summary'!$F:$F,J$17,'Industrial Summary'!$D:$D,$E101,'Industrial Summary'!$A:$A,"LPG")/SUMIFS('Industrial Summary'!$G:$G,'Industrial Summary'!$F:$F,J$17,'Industrial Summary'!$D:$D,$E101)),0)*0.98</f>
        <v>-0.23068890900141883</v>
      </c>
      <c r="K101" s="6">
        <f>IF(SUMIFS('Industrial Summary'!$G:$G,'Industrial Summary'!$F:$F,K$17,'Industrial Summary'!$D:$D,$E101)&gt;0,(-SUMIFS('Industrial Summary'!$G:$G,'Industrial Summary'!$F:$F,K$17,'Industrial Summary'!$D:$D,$E101,'Industrial Summary'!$A:$A,"LPG")/SUMIFS('Industrial Summary'!$G:$G,'Industrial Summary'!$F:$F,K$17,'Industrial Summary'!$D:$D,$E101)),0)*0.98</f>
        <v>-0.23068890900142167</v>
      </c>
      <c r="L101" s="6">
        <f>IF(SUMIFS('Industrial Summary'!$G:$G,'Industrial Summary'!$F:$F,L$17,'Industrial Summary'!$D:$D,$E101)&gt;0,(-SUMIFS('Industrial Summary'!$G:$G,'Industrial Summary'!$F:$F,L$17,'Industrial Summary'!$D:$D,$E101,'Industrial Summary'!$A:$A,"LPG")/SUMIFS('Industrial Summary'!$G:$G,'Industrial Summary'!$F:$F,L$17,'Industrial Summary'!$D:$D,$E101)),0)*0.98</f>
        <v>-0.22275719820023607</v>
      </c>
      <c r="M101" s="6">
        <f>IF(SUMIFS('Industrial Summary'!$G:$G,'Industrial Summary'!$F:$F,M$17,'Industrial Summary'!$D:$D,$E101)&gt;0,(-SUMIFS('Industrial Summary'!$G:$G,'Industrial Summary'!$F:$F,M$17,'Industrial Summary'!$D:$D,$E101,'Industrial Summary'!$A:$A,"LPG")/SUMIFS('Industrial Summary'!$G:$G,'Industrial Summary'!$F:$F,M$17,'Industrial Summary'!$D:$D,$E101)),0)*0.98</f>
        <v>-0.22275719820023585</v>
      </c>
      <c r="N101" s="6">
        <f>IF(SUMIFS('Industrial Summary'!$G:$G,'Industrial Summary'!$F:$F,N$17,'Industrial Summary'!$D:$D,$E101)&gt;0,(-SUMIFS('Industrial Summary'!$G:$G,'Industrial Summary'!$F:$F,N$17,'Industrial Summary'!$D:$D,$E101,'Industrial Summary'!$A:$A,"LPG")/SUMIFS('Industrial Summary'!$G:$G,'Industrial Summary'!$F:$F,N$17,'Industrial Summary'!$D:$D,$E101)),0)*0.98</f>
        <v>-0.22275719820023376</v>
      </c>
      <c r="O101" s="6">
        <f>IF(SUMIFS('Industrial Summary'!$G:$G,'Industrial Summary'!$F:$F,O$17,'Industrial Summary'!$D:$D,$E101)&gt;0,(-SUMIFS('Industrial Summary'!$G:$G,'Industrial Summary'!$F:$F,O$17,'Industrial Summary'!$D:$D,$E101,'Industrial Summary'!$A:$A,"LPG")/SUMIFS('Industrial Summary'!$G:$G,'Industrial Summary'!$F:$F,O$17,'Industrial Summary'!$D:$D,$E101)),0)*0.98</f>
        <v>-0.59062530394359847</v>
      </c>
      <c r="P101" s="6">
        <f>IF(SUMIFS('Industrial Summary'!$G:$G,'Industrial Summary'!$F:$F,P$17,'Industrial Summary'!$D:$D,$E101)&gt;0,(-SUMIFS('Industrial Summary'!$G:$G,'Industrial Summary'!$F:$F,P$17,'Industrial Summary'!$D:$D,$E101,'Industrial Summary'!$A:$A,"LPG")/SUMIFS('Industrial Summary'!$G:$G,'Industrial Summary'!$F:$F,P$17,'Industrial Summary'!$D:$D,$E101)),0)*0.98</f>
        <v>-0.59062530394359924</v>
      </c>
      <c r="Q101" s="5">
        <v>0</v>
      </c>
      <c r="R101" s="5">
        <v>15</v>
      </c>
      <c r="S101" s="5" t="str">
        <f t="shared" si="18"/>
        <v>UC_IPOFA_LPG</v>
      </c>
      <c r="V101" s="4" t="str">
        <f t="shared" si="19"/>
        <v>S_IPOFALPG</v>
      </c>
      <c r="W101" s="4" t="str">
        <f t="shared" si="20"/>
        <v>IPOFA_LPG</v>
      </c>
      <c r="X101" s="4" t="str">
        <f t="shared" si="21"/>
        <v>IPOFAC</v>
      </c>
      <c r="Y101" s="5" t="str">
        <f t="shared" si="22"/>
        <v>LO</v>
      </c>
      <c r="Z101" s="5">
        <v>1</v>
      </c>
      <c r="AA101" s="6">
        <f t="shared" si="23"/>
        <v>-0.45941743160390708</v>
      </c>
      <c r="AB101" s="6">
        <f t="shared" si="24"/>
        <v>-0.45941743160390514</v>
      </c>
      <c r="AC101" s="6">
        <f t="shared" si="25"/>
        <v>-0.23068890900141883</v>
      </c>
      <c r="AD101" s="6">
        <f t="shared" si="26"/>
        <v>-0.23068890900142167</v>
      </c>
      <c r="AE101" s="6">
        <f t="shared" si="27"/>
        <v>-0.22275719820023607</v>
      </c>
      <c r="AF101" s="6">
        <f t="shared" si="28"/>
        <v>-0.22275719820023585</v>
      </c>
      <c r="AG101" s="6">
        <f t="shared" si="29"/>
        <v>-0.22275719820023376</v>
      </c>
      <c r="AH101" s="6">
        <f t="shared" si="30"/>
        <v>-0.59062530394359847</v>
      </c>
      <c r="AI101" s="6">
        <f t="shared" si="31"/>
        <v>-0.59062530394359924</v>
      </c>
      <c r="AL101" s="5" t="str">
        <f t="shared" si="32"/>
        <v>LPG</v>
      </c>
      <c r="AM101" s="5">
        <f>1</f>
        <v>1</v>
      </c>
    </row>
    <row r="102" spans="1:39" s="5" customFormat="1" x14ac:dyDescent="0.3">
      <c r="C102" s="4" t="s">
        <v>206</v>
      </c>
      <c r="D102" s="5" t="s">
        <v>207</v>
      </c>
      <c r="E102" s="5" t="s">
        <v>756</v>
      </c>
      <c r="F102" s="5" t="s">
        <v>1588</v>
      </c>
      <c r="G102" s="5">
        <v>1</v>
      </c>
      <c r="H102" s="6">
        <f>(IF(SUMIFS('Industrial Summary'!$G:$G,'Industrial Summary'!$F:$F,H$17,'Industrial Summary'!$D:$D,$E102)&gt;0,((-SUMIFS('Industrial Summary'!$G:$G,'Industrial Summary'!$F:$F,H$17,'Industrial Summary'!$D:$D,$E102,'Industrial Summary'!$A:$A,"ELC")+-SUMIFS('Industrial Summary'!$G:$G,'Industrial Summary'!$F:$F,H$17,'Industrial Summary'!$D:$D,"IPORSTM",'Industrial Summary'!$A:$A,"ELC"))/SUMIFS('Industrial Summary'!$G:$G,'Industrial Summary'!$F:$F,H$17,'Industrial Summary'!$D:$D,$E102)),0))*0.98</f>
        <v>-1.2819045615362434E-2</v>
      </c>
      <c r="I102" s="6">
        <f>(IF(SUMIFS('Industrial Summary'!$G:$G,'Industrial Summary'!$F:$F,I$17,'Industrial Summary'!$D:$D,$E102)&gt;0,((-SUMIFS('Industrial Summary'!$G:$G,'Industrial Summary'!$F:$F,I$17,'Industrial Summary'!$D:$D,$E102,'Industrial Summary'!$A:$A,"ELC")+-SUMIFS('Industrial Summary'!$G:$G,'Industrial Summary'!$F:$F,I$17,'Industrial Summary'!$D:$D,"IPORSTM",'Industrial Summary'!$A:$A,"ELC"))/SUMIFS('Industrial Summary'!$G:$G,'Industrial Summary'!$F:$F,I$17,'Industrial Summary'!$D:$D,$E102)),0))*0.98</f>
        <v>-1.2698178069708951E-2</v>
      </c>
      <c r="J102" s="6">
        <f>(IF(SUMIFS('Industrial Summary'!$G:$G,'Industrial Summary'!$F:$F,J$17,'Industrial Summary'!$D:$D,$E102)&gt;0,((-SUMIFS('Industrial Summary'!$G:$G,'Industrial Summary'!$F:$F,J$17,'Industrial Summary'!$D:$D,$E102,'Industrial Summary'!$A:$A,"ELC")+-SUMIFS('Industrial Summary'!$G:$G,'Industrial Summary'!$F:$F,J$17,'Industrial Summary'!$D:$D,"IPORSTM",'Industrial Summary'!$A:$A,"ELC"))/SUMIFS('Industrial Summary'!$G:$G,'Industrial Summary'!$F:$F,J$17,'Industrial Summary'!$D:$D,$E102)),0))*0.98</f>
        <v>-0.42198812032631799</v>
      </c>
      <c r="K102" s="6">
        <f>(IF(SUMIFS('Industrial Summary'!$G:$G,'Industrial Summary'!$F:$F,K$17,'Industrial Summary'!$D:$D,$E102)&gt;0,((-SUMIFS('Industrial Summary'!$G:$G,'Industrial Summary'!$F:$F,K$17,'Industrial Summary'!$D:$D,$E102,'Industrial Summary'!$A:$A,"ELC")+-SUMIFS('Industrial Summary'!$G:$G,'Industrial Summary'!$F:$F,K$17,'Industrial Summary'!$D:$D,"IPORSTM",'Industrial Summary'!$A:$A,"ELC"))/SUMIFS('Industrial Summary'!$G:$G,'Industrial Summary'!$F:$F,K$17,'Industrial Summary'!$D:$D,$E102)),0))*0.98</f>
        <v>-0.39869990301302421</v>
      </c>
      <c r="L102" s="6">
        <f>(IF(SUMIFS('Industrial Summary'!$G:$G,'Industrial Summary'!$F:$F,L$17,'Industrial Summary'!$D:$D,$E102)&gt;0,((-SUMIFS('Industrial Summary'!$G:$G,'Industrial Summary'!$F:$F,L$17,'Industrial Summary'!$D:$D,$E102,'Industrial Summary'!$A:$A,"ELC")+-SUMIFS('Industrial Summary'!$G:$G,'Industrial Summary'!$F:$F,L$17,'Industrial Summary'!$D:$D,"IPORSTM",'Industrial Summary'!$A:$A,"ELC"))/SUMIFS('Industrial Summary'!$G:$G,'Industrial Summary'!$F:$F,L$17,'Industrial Summary'!$D:$D,$E102)),0))*0.98</f>
        <v>-8.6204520536691212E-2</v>
      </c>
      <c r="M102" s="6">
        <f>(IF(SUMIFS('Industrial Summary'!$G:$G,'Industrial Summary'!$F:$F,M$17,'Industrial Summary'!$D:$D,$E102)&gt;0,((-SUMIFS('Industrial Summary'!$G:$G,'Industrial Summary'!$F:$F,M$17,'Industrial Summary'!$D:$D,$E102,'Industrial Summary'!$A:$A,"ELC")+-SUMIFS('Industrial Summary'!$G:$G,'Industrial Summary'!$F:$F,M$17,'Industrial Summary'!$D:$D,"IPORSTM",'Industrial Summary'!$A:$A,"ELC"))/SUMIFS('Industrial Summary'!$G:$G,'Industrial Summary'!$F:$F,M$17,'Industrial Summary'!$D:$D,$E102)),0))*0.98</f>
        <v>-7.9037706595900994E-2</v>
      </c>
      <c r="N102" s="6">
        <f>(IF(SUMIFS('Industrial Summary'!$G:$G,'Industrial Summary'!$F:$F,N$17,'Industrial Summary'!$D:$D,$E102)&gt;0,((-SUMIFS('Industrial Summary'!$G:$G,'Industrial Summary'!$F:$F,N$17,'Industrial Summary'!$D:$D,$E102,'Industrial Summary'!$A:$A,"ELC")+-SUMIFS('Industrial Summary'!$G:$G,'Industrial Summary'!$F:$F,N$17,'Industrial Summary'!$D:$D,"IPORSTM",'Industrial Summary'!$A:$A,"ELC"))/SUMIFS('Industrial Summary'!$G:$G,'Industrial Summary'!$F:$F,N$17,'Industrial Summary'!$D:$D,$E102)),0))*0.98</f>
        <v>-9.1531421039547173E-2</v>
      </c>
      <c r="O102" s="6">
        <f>(IF(SUMIFS('Industrial Summary'!$G:$G,'Industrial Summary'!$F:$F,O$17,'Industrial Summary'!$D:$D,$E102)&gt;0,((-SUMIFS('Industrial Summary'!$G:$G,'Industrial Summary'!$F:$F,O$17,'Industrial Summary'!$D:$D,$E102,'Industrial Summary'!$A:$A,"ELC")+-SUMIFS('Industrial Summary'!$G:$G,'Industrial Summary'!$F:$F,O$17,'Industrial Summary'!$D:$D,"IPORSTM",'Industrial Summary'!$A:$A,"ELC"))/SUMIFS('Industrial Summary'!$G:$G,'Industrial Summary'!$F:$F,O$17,'Industrial Summary'!$D:$D,$E102)),0))*0.98</f>
        <v>-0.59508522596521085</v>
      </c>
      <c r="P102" s="6">
        <f>(IF(SUMIFS('Industrial Summary'!$G:$G,'Industrial Summary'!$F:$F,P$17,'Industrial Summary'!$D:$D,$E102)&gt;0,((-SUMIFS('Industrial Summary'!$G:$G,'Industrial Summary'!$F:$F,P$17,'Industrial Summary'!$D:$D,$E102,'Industrial Summary'!$A:$A,"ELC")+-SUMIFS('Industrial Summary'!$G:$G,'Industrial Summary'!$F:$F,P$17,'Industrial Summary'!$D:$D,"IPORSTM",'Industrial Summary'!$A:$A,"ELC"))/SUMIFS('Industrial Summary'!$G:$G,'Industrial Summary'!$F:$F,P$17,'Industrial Summary'!$D:$D,$E102)),0))*0.98</f>
        <v>-0.59508522596521118</v>
      </c>
      <c r="Q102" s="5">
        <v>0</v>
      </c>
      <c r="R102" s="5">
        <v>15</v>
      </c>
      <c r="S102" s="5" t="str">
        <f t="shared" si="18"/>
        <v>UC_IPOOH_ELC</v>
      </c>
      <c r="V102" s="4" t="str">
        <f t="shared" si="19"/>
        <v>S_IPOOHELC</v>
      </c>
      <c r="W102" s="4" t="str">
        <f t="shared" si="20"/>
        <v>IPOOH_ELC</v>
      </c>
      <c r="X102" s="4" t="str">
        <f t="shared" si="21"/>
        <v>IPOOHT</v>
      </c>
      <c r="Y102" s="5" t="str">
        <f t="shared" si="22"/>
        <v>LO</v>
      </c>
      <c r="Z102" s="5">
        <v>1</v>
      </c>
      <c r="AA102" s="6">
        <f t="shared" si="23"/>
        <v>-1.2819045615362434E-2</v>
      </c>
      <c r="AB102" s="6">
        <f t="shared" si="24"/>
        <v>-1.2698178069708951E-2</v>
      </c>
      <c r="AC102" s="6">
        <f t="shared" si="25"/>
        <v>-0.42198812032631799</v>
      </c>
      <c r="AD102" s="6">
        <f t="shared" si="26"/>
        <v>-0.39869990301302421</v>
      </c>
      <c r="AE102" s="6">
        <f t="shared" si="27"/>
        <v>-8.6204520536691212E-2</v>
      </c>
      <c r="AF102" s="6">
        <f t="shared" si="28"/>
        <v>-7.9037706595900994E-2</v>
      </c>
      <c r="AG102" s="6">
        <f t="shared" si="29"/>
        <v>-9.1531421039547173E-2</v>
      </c>
      <c r="AH102" s="6">
        <f t="shared" si="30"/>
        <v>-0.59508522596521085</v>
      </c>
      <c r="AI102" s="6">
        <f t="shared" si="31"/>
        <v>-0.59508522596521118</v>
      </c>
      <c r="AL102" s="5" t="str">
        <f t="shared" si="32"/>
        <v>ELC</v>
      </c>
      <c r="AM102" s="5">
        <f>1</f>
        <v>1</v>
      </c>
    </row>
    <row r="103" spans="1:39" s="5" customFormat="1" x14ac:dyDescent="0.3">
      <c r="C103" s="4" t="s">
        <v>208</v>
      </c>
      <c r="D103" s="5" t="s">
        <v>209</v>
      </c>
      <c r="E103" s="5" t="s">
        <v>756</v>
      </c>
      <c r="F103" s="5" t="s">
        <v>1588</v>
      </c>
      <c r="G103" s="5">
        <v>1</v>
      </c>
      <c r="H103" s="6">
        <f>(IF(SUMIFS('Industrial Summary'!$G:$G,'Industrial Summary'!$F:$F,H$17,'Industrial Summary'!$D:$D,$E103)&gt;0,((-SUMIFS('Industrial Summary'!$G:$G,'Industrial Summary'!$F:$F,H$17,'Industrial Summary'!$D:$D,$E103,'Industrial Summary'!$A:$A,"NGA")+-SUMIFS('Industrial Summary'!$G:$G,'Industrial Summary'!$F:$F,H$17,'Industrial Summary'!$D:$D,"IPORSTM",'Industrial Summary'!$A:$A,"NGA"))/SUMIFS('Industrial Summary'!$G:$G,'Industrial Summary'!$F:$F,H$17,'Industrial Summary'!$D:$D,$E103)),0))*0.98</f>
        <v>-5.8041569203184443E-3</v>
      </c>
      <c r="I103" s="6">
        <f>(IF(SUMIFS('Industrial Summary'!$G:$G,'Industrial Summary'!$F:$F,I$17,'Industrial Summary'!$D:$D,$E103)&gt;0,((-SUMIFS('Industrial Summary'!$G:$G,'Industrial Summary'!$F:$F,I$17,'Industrial Summary'!$D:$D,$E103,'Industrial Summary'!$A:$A,"NGA")+-SUMIFS('Industrial Summary'!$G:$G,'Industrial Summary'!$F:$F,I$17,'Industrial Summary'!$D:$D,"IPORSTM",'Industrial Summary'!$A:$A,"NGA"))/SUMIFS('Industrial Summary'!$G:$G,'Industrial Summary'!$F:$F,I$17,'Industrial Summary'!$D:$D,$E103)),0))*0.98</f>
        <v>-5.7494309896526869E-3</v>
      </c>
      <c r="J103" s="6">
        <f>(IF(SUMIFS('Industrial Summary'!$G:$G,'Industrial Summary'!$F:$F,J$17,'Industrial Summary'!$D:$D,$E103)&gt;0,((-SUMIFS('Industrial Summary'!$G:$G,'Industrial Summary'!$F:$F,J$17,'Industrial Summary'!$D:$D,$E103,'Industrial Summary'!$A:$A,"NGA")+-SUMIFS('Industrial Summary'!$G:$G,'Industrial Summary'!$F:$F,J$17,'Industrial Summary'!$D:$D,"IPORSTM",'Industrial Summary'!$A:$A,"NGA"))/SUMIFS('Industrial Summary'!$G:$G,'Industrial Summary'!$F:$F,J$17,'Industrial Summary'!$D:$D,$E103)),0))*0.98</f>
        <v>-0.35273744669880192</v>
      </c>
      <c r="K103" s="6">
        <f>(IF(SUMIFS('Industrial Summary'!$G:$G,'Industrial Summary'!$F:$F,K$17,'Industrial Summary'!$D:$D,$E103)&gt;0,((-SUMIFS('Industrial Summary'!$G:$G,'Industrial Summary'!$F:$F,K$17,'Industrial Summary'!$D:$D,$E103,'Industrial Summary'!$A:$A,"NGA")+-SUMIFS('Industrial Summary'!$G:$G,'Industrial Summary'!$F:$F,K$17,'Industrial Summary'!$D:$D,"IPORSTM",'Industrial Summary'!$A:$A,"NGA"))/SUMIFS('Industrial Summary'!$G:$G,'Industrial Summary'!$F:$F,K$17,'Industrial Summary'!$D:$D,$E103)),0))*0.98</f>
        <v>-0.33327095956900954</v>
      </c>
      <c r="L103" s="6">
        <f>(IF(SUMIFS('Industrial Summary'!$G:$G,'Industrial Summary'!$F:$F,L$17,'Industrial Summary'!$D:$D,$E103)&gt;0,((-SUMIFS('Industrial Summary'!$G:$G,'Industrial Summary'!$F:$F,L$17,'Industrial Summary'!$D:$D,$E103,'Industrial Summary'!$A:$A,"NGA")+-SUMIFS('Industrial Summary'!$G:$G,'Industrial Summary'!$F:$F,L$17,'Industrial Summary'!$D:$D,"IPORSTM",'Industrial Summary'!$A:$A,"NGA"))/SUMIFS('Industrial Summary'!$G:$G,'Industrial Summary'!$F:$F,L$17,'Industrial Summary'!$D:$D,$E103)),0))*0.98</f>
        <v>-3.9031342850995646E-2</v>
      </c>
      <c r="M103" s="6">
        <f>(IF(SUMIFS('Industrial Summary'!$G:$G,'Industrial Summary'!$F:$F,M$17,'Industrial Summary'!$D:$D,$E103)&gt;0,((-SUMIFS('Industrial Summary'!$G:$G,'Industrial Summary'!$F:$F,M$17,'Industrial Summary'!$D:$D,$E103,'Industrial Summary'!$A:$A,"NGA")+-SUMIFS('Industrial Summary'!$G:$G,'Industrial Summary'!$F:$F,M$17,'Industrial Summary'!$D:$D,"IPORSTM",'Industrial Summary'!$A:$A,"NGA"))/SUMIFS('Industrial Summary'!$G:$G,'Industrial Summary'!$F:$F,M$17,'Industrial Summary'!$D:$D,$E103)),0))*0.98</f>
        <v>-3.5786381098053661E-2</v>
      </c>
      <c r="N103" s="6">
        <f>(IF(SUMIFS('Industrial Summary'!$G:$G,'Industrial Summary'!$F:$F,N$17,'Industrial Summary'!$D:$D,$E103)&gt;0,((-SUMIFS('Industrial Summary'!$G:$G,'Industrial Summary'!$F:$F,N$17,'Industrial Summary'!$D:$D,$E103,'Industrial Summary'!$A:$A,"NGA")+-SUMIFS('Industrial Summary'!$G:$G,'Industrial Summary'!$F:$F,N$17,'Industrial Summary'!$D:$D,"IPORSTM",'Industrial Summary'!$A:$A,"NGA"))/SUMIFS('Industrial Summary'!$G:$G,'Industrial Summary'!$F:$F,N$17,'Industrial Summary'!$D:$D,$E103)),0))*0.98</f>
        <v>-4.1443235853423764E-2</v>
      </c>
      <c r="O103" s="6">
        <f>(IF(SUMIFS('Industrial Summary'!$G:$G,'Industrial Summary'!$F:$F,O$17,'Industrial Summary'!$D:$D,$E103)&gt;0,((-SUMIFS('Industrial Summary'!$G:$G,'Industrial Summary'!$F:$F,O$17,'Industrial Summary'!$D:$D,$E103,'Industrial Summary'!$A:$A,"NGA")+-SUMIFS('Industrial Summary'!$G:$G,'Industrial Summary'!$F:$F,O$17,'Industrial Summary'!$D:$D,"IPORSTM",'Industrial Summary'!$A:$A,"NGA"))/SUMIFS('Industrial Summary'!$G:$G,'Industrial Summary'!$F:$F,O$17,'Industrial Summary'!$D:$D,$E103)),0))*0.98</f>
        <v>-0.38491477403478908</v>
      </c>
      <c r="P103" s="6">
        <f>(IF(SUMIFS('Industrial Summary'!$G:$G,'Industrial Summary'!$F:$F,P$17,'Industrial Summary'!$D:$D,$E103)&gt;0,((-SUMIFS('Industrial Summary'!$G:$G,'Industrial Summary'!$F:$F,P$17,'Industrial Summary'!$D:$D,$E103,'Industrial Summary'!$A:$A,"NGA")+-SUMIFS('Industrial Summary'!$G:$G,'Industrial Summary'!$F:$F,P$17,'Industrial Summary'!$D:$D,"IPORSTM",'Industrial Summary'!$A:$A,"NGA"))/SUMIFS('Industrial Summary'!$G:$G,'Industrial Summary'!$F:$F,P$17,'Industrial Summary'!$D:$D,$E103)),0))*0.98</f>
        <v>-0.38491477403478896</v>
      </c>
      <c r="Q103" s="5">
        <v>0</v>
      </c>
      <c r="R103" s="5">
        <v>15</v>
      </c>
      <c r="S103" s="5" t="str">
        <f t="shared" si="18"/>
        <v>UC_IPOOH_NGA</v>
      </c>
      <c r="V103" s="4" t="str">
        <f t="shared" si="19"/>
        <v>S_IPOOHNGA</v>
      </c>
      <c r="W103" s="4" t="str">
        <f t="shared" si="20"/>
        <v>IPOOH_NGA</v>
      </c>
      <c r="X103" s="4" t="str">
        <f t="shared" si="21"/>
        <v>IPOOHT</v>
      </c>
      <c r="Y103" s="5" t="str">
        <f t="shared" si="22"/>
        <v>LO</v>
      </c>
      <c r="Z103" s="5">
        <v>1</v>
      </c>
      <c r="AA103" s="6">
        <f t="shared" si="23"/>
        <v>-3.946826705816542E-3</v>
      </c>
      <c r="AB103" s="6">
        <f t="shared" si="24"/>
        <v>-3.909613072963827E-3</v>
      </c>
      <c r="AC103" s="6">
        <f t="shared" si="25"/>
        <v>-0.23986146375518527</v>
      </c>
      <c r="AD103" s="6">
        <f t="shared" si="26"/>
        <v>-0.22662425250692647</v>
      </c>
      <c r="AE103" s="6">
        <f t="shared" si="27"/>
        <v>-2.6541313138677036E-2</v>
      </c>
      <c r="AF103" s="6">
        <f t="shared" si="28"/>
        <v>-2.4334739146676488E-2</v>
      </c>
      <c r="AG103" s="6">
        <f t="shared" si="29"/>
        <v>-2.8181400380328157E-2</v>
      </c>
      <c r="AH103" s="6">
        <f t="shared" si="30"/>
        <v>-0.26174204634365655</v>
      </c>
      <c r="AI103" s="6">
        <f t="shared" si="31"/>
        <v>-0.2617420463436565</v>
      </c>
      <c r="AL103" s="5" t="str">
        <f t="shared" si="32"/>
        <v>NGA</v>
      </c>
      <c r="AM103" s="5">
        <f>Y6</f>
        <v>0.67999999999999994</v>
      </c>
    </row>
    <row r="104" spans="1:39" s="5" customFormat="1" x14ac:dyDescent="0.3">
      <c r="C104" s="4" t="s">
        <v>210</v>
      </c>
      <c r="D104" s="5" t="s">
        <v>211</v>
      </c>
      <c r="E104" s="5" t="s">
        <v>756</v>
      </c>
      <c r="F104" s="5" t="s">
        <v>1588</v>
      </c>
      <c r="G104" s="5">
        <v>1</v>
      </c>
      <c r="H104" s="6">
        <f>(IF(SUMIFS('Industrial Summary'!$G:$G,'Industrial Summary'!$F:$F,H$17,'Industrial Summary'!$D:$D,$E104)&gt;0,((-SUMIFS('Industrial Summary'!$G:$G,'Industrial Summary'!$F:$F,H$17,'Industrial Summary'!$D:$D,$E104,'Industrial Summary'!$A:$A,"BIO")+-SUMIFS('Industrial Summary'!$G:$G,'Industrial Summary'!$F:$F,H$17,'Industrial Summary'!$D:$D,$E104,'Industrial Summary'!$A:$A,"WOD")+-SUMIFS('Industrial Summary'!$G:$G,'Industrial Summary'!$F:$F,H$17,'Industrial Summary'!$D:$D,$E104,'Industrial Summary'!$A:$A,"TOM")+-SUMIFS('Industrial Summary'!$G:$G,'Industrial Summary'!$F:$F,H$17,'Industrial Summary'!$D:$D,"IPORSTM",'Industrial Summary'!$A:$A,"BIO")+-SUMIFS('Industrial Summary'!$G:$G,'Industrial Summary'!$F:$F,H$17,'Industrial Summary'!$D:$D,"IPORSTM",'Industrial Summary'!$A:$A,"WOD")+-SUMIFS('Industrial Summary'!$G:$G,'Industrial Summary'!$F:$F,H$17,'Industrial Summary'!$D:$D,"IPORSTM",'Industrial Summary'!$A:$A,"TOM")+-SUMIFS('Industrial Summary'!$G:$G,'Industrial Summary'!$F:$F,H$17,'Industrial Summary'!$D:$D,"IPORSTM",'Industrial Summary'!$A:$A,"BLQ"))/SUMIFS('Industrial Summary'!$G:$G,'Industrial Summary'!$F:$F,H$17,'Industrial Summary'!$D:$D,$E104)),0))*0.98</f>
        <v>-0.95532138479505246</v>
      </c>
      <c r="I104" s="6">
        <f>(IF(SUMIFS('Industrial Summary'!$G:$G,'Industrial Summary'!$F:$F,I$17,'Industrial Summary'!$D:$D,$E104)&gt;0,((-SUMIFS('Industrial Summary'!$G:$G,'Industrial Summary'!$F:$F,I$17,'Industrial Summary'!$D:$D,$E104,'Industrial Summary'!$A:$A,"BIO")+-SUMIFS('Industrial Summary'!$G:$G,'Industrial Summary'!$F:$F,I$17,'Industrial Summary'!$D:$D,$E104,'Industrial Summary'!$A:$A,"WOD")+-SUMIFS('Industrial Summary'!$G:$G,'Industrial Summary'!$F:$F,I$17,'Industrial Summary'!$D:$D,$E104,'Industrial Summary'!$A:$A,"TOM")+-SUMIFS('Industrial Summary'!$G:$G,'Industrial Summary'!$F:$F,I$17,'Industrial Summary'!$D:$D,"IPORSTM",'Industrial Summary'!$A:$A,"BIO")+-SUMIFS('Industrial Summary'!$G:$G,'Industrial Summary'!$F:$F,I$17,'Industrial Summary'!$D:$D,"IPORSTM",'Industrial Summary'!$A:$A,"WOD")+-SUMIFS('Industrial Summary'!$G:$G,'Industrial Summary'!$F:$F,I$17,'Industrial Summary'!$D:$D,"IPORSTM",'Industrial Summary'!$A:$A,"TOM")+-SUMIFS('Industrial Summary'!$G:$G,'Industrial Summary'!$F:$F,I$17,'Industrial Summary'!$D:$D,"IPORSTM",'Industrial Summary'!$A:$A,"BLQ"))/SUMIFS('Industrial Summary'!$G:$G,'Industrial Summary'!$F:$F,I$17,'Industrial Summary'!$D:$D,$E104)),0))*0.98</f>
        <v>-0.94275766211108447</v>
      </c>
      <c r="J104" s="6">
        <f>(IF(SUMIFS('Industrial Summary'!$G:$G,'Industrial Summary'!$F:$F,J$17,'Industrial Summary'!$D:$D,$E104)&gt;0,((-SUMIFS('Industrial Summary'!$G:$G,'Industrial Summary'!$F:$F,J$17,'Industrial Summary'!$D:$D,$E104,'Industrial Summary'!$A:$A,"BIO")+-SUMIFS('Industrial Summary'!$G:$G,'Industrial Summary'!$F:$F,J$17,'Industrial Summary'!$D:$D,$E104,'Industrial Summary'!$A:$A,"WOD")+-SUMIFS('Industrial Summary'!$G:$G,'Industrial Summary'!$F:$F,J$17,'Industrial Summary'!$D:$D,$E104,'Industrial Summary'!$A:$A,"TOM")+-SUMIFS('Industrial Summary'!$G:$G,'Industrial Summary'!$F:$F,J$17,'Industrial Summary'!$D:$D,"IPORSTM",'Industrial Summary'!$A:$A,"BIO")+-SUMIFS('Industrial Summary'!$G:$G,'Industrial Summary'!$F:$F,J$17,'Industrial Summary'!$D:$D,"IPORSTM",'Industrial Summary'!$A:$A,"WOD")+-SUMIFS('Industrial Summary'!$G:$G,'Industrial Summary'!$F:$F,J$17,'Industrial Summary'!$D:$D,"IPORSTM",'Industrial Summary'!$A:$A,"TOM")+-SUMIFS('Industrial Summary'!$G:$G,'Industrial Summary'!$F:$F,J$17,'Industrial Summary'!$D:$D,"IPORSTM",'Industrial Summary'!$A:$A,"BLQ"))/SUMIFS('Industrial Summary'!$G:$G,'Industrial Summary'!$F:$F,J$17,'Industrial Summary'!$D:$D,$E104)),0))*0.98</f>
        <v>-0.19952432244798868</v>
      </c>
      <c r="K104" s="6">
        <f>(IF(SUMIFS('Industrial Summary'!$G:$G,'Industrial Summary'!$F:$F,K$17,'Industrial Summary'!$D:$D,$E104)&gt;0,((-SUMIFS('Industrial Summary'!$G:$G,'Industrial Summary'!$F:$F,K$17,'Industrial Summary'!$D:$D,$E104,'Industrial Summary'!$A:$A,"BIO")+-SUMIFS('Industrial Summary'!$G:$G,'Industrial Summary'!$F:$F,K$17,'Industrial Summary'!$D:$D,$E104,'Industrial Summary'!$A:$A,"WOD")+-SUMIFS('Industrial Summary'!$G:$G,'Industrial Summary'!$F:$F,K$17,'Industrial Summary'!$D:$D,$E104,'Industrial Summary'!$A:$A,"TOM")+-SUMIFS('Industrial Summary'!$G:$G,'Industrial Summary'!$F:$F,K$17,'Industrial Summary'!$D:$D,"IPORSTM",'Industrial Summary'!$A:$A,"BIO")+-SUMIFS('Industrial Summary'!$G:$G,'Industrial Summary'!$F:$F,K$17,'Industrial Summary'!$D:$D,"IPORSTM",'Industrial Summary'!$A:$A,"WOD")+-SUMIFS('Industrial Summary'!$G:$G,'Industrial Summary'!$F:$F,K$17,'Industrial Summary'!$D:$D,"IPORSTM",'Industrial Summary'!$A:$A,"TOM")+-SUMIFS('Industrial Summary'!$G:$G,'Industrial Summary'!$F:$F,K$17,'Industrial Summary'!$D:$D,"IPORSTM",'Industrial Summary'!$A:$A,"BLQ"))/SUMIFS('Industrial Summary'!$G:$G,'Industrial Summary'!$F:$F,K$17,'Industrial Summary'!$D:$D,$E104)),0))*0.98</f>
        <v>-0.24259635768091392</v>
      </c>
      <c r="L104" s="6">
        <f>(IF(SUMIFS('Industrial Summary'!$G:$G,'Industrial Summary'!$F:$F,L$17,'Industrial Summary'!$D:$D,$E104)&gt;0,((-SUMIFS('Industrial Summary'!$G:$G,'Industrial Summary'!$F:$F,L$17,'Industrial Summary'!$D:$D,$E104,'Industrial Summary'!$A:$A,"BIO")+-SUMIFS('Industrial Summary'!$G:$G,'Industrial Summary'!$F:$F,L$17,'Industrial Summary'!$D:$D,$E104,'Industrial Summary'!$A:$A,"WOD")+-SUMIFS('Industrial Summary'!$G:$G,'Industrial Summary'!$F:$F,L$17,'Industrial Summary'!$D:$D,$E104,'Industrial Summary'!$A:$A,"TOM")+-SUMIFS('Industrial Summary'!$G:$G,'Industrial Summary'!$F:$F,L$17,'Industrial Summary'!$D:$D,"IPORSTM",'Industrial Summary'!$A:$A,"BIO")+-SUMIFS('Industrial Summary'!$G:$G,'Industrial Summary'!$F:$F,L$17,'Industrial Summary'!$D:$D,"IPORSTM",'Industrial Summary'!$A:$A,"WOD")+-SUMIFS('Industrial Summary'!$G:$G,'Industrial Summary'!$F:$F,L$17,'Industrial Summary'!$D:$D,"IPORSTM",'Industrial Summary'!$A:$A,"TOM")+-SUMIFS('Industrial Summary'!$G:$G,'Industrial Summary'!$F:$F,L$17,'Industrial Summary'!$D:$D,"IPORSTM",'Industrial Summary'!$A:$A,"BLQ"))/SUMIFS('Industrial Summary'!$G:$G,'Industrial Summary'!$F:$F,L$17,'Industrial Summary'!$D:$D,$E104)),0))*0.98</f>
        <v>-0.84288718762341208</v>
      </c>
      <c r="M104" s="6">
        <f>(IF(SUMIFS('Industrial Summary'!$G:$G,'Industrial Summary'!$F:$F,M$17,'Industrial Summary'!$D:$D,$E104)&gt;0,((-SUMIFS('Industrial Summary'!$G:$G,'Industrial Summary'!$F:$F,M$17,'Industrial Summary'!$D:$D,$E104,'Industrial Summary'!$A:$A,"BIO")+-SUMIFS('Industrial Summary'!$G:$G,'Industrial Summary'!$F:$F,M$17,'Industrial Summary'!$D:$D,$E104,'Industrial Summary'!$A:$A,"WOD")+-SUMIFS('Industrial Summary'!$G:$G,'Industrial Summary'!$F:$F,M$17,'Industrial Summary'!$D:$D,$E104,'Industrial Summary'!$A:$A,"TOM")+-SUMIFS('Industrial Summary'!$G:$G,'Industrial Summary'!$F:$F,M$17,'Industrial Summary'!$D:$D,"IPORSTM",'Industrial Summary'!$A:$A,"BIO")+-SUMIFS('Industrial Summary'!$G:$G,'Industrial Summary'!$F:$F,M$17,'Industrial Summary'!$D:$D,"IPORSTM",'Industrial Summary'!$A:$A,"WOD")+-SUMIFS('Industrial Summary'!$G:$G,'Industrial Summary'!$F:$F,M$17,'Industrial Summary'!$D:$D,"IPORSTM",'Industrial Summary'!$A:$A,"TOM")+-SUMIFS('Industrial Summary'!$G:$G,'Industrial Summary'!$F:$F,M$17,'Industrial Summary'!$D:$D,"IPORSTM",'Industrial Summary'!$A:$A,"BLQ"))/SUMIFS('Industrial Summary'!$G:$G,'Industrial Summary'!$F:$F,M$17,'Industrial Summary'!$D:$D,$E104)),0))*0.98</f>
        <v>-0.85428638118174982</v>
      </c>
      <c r="N104" s="6">
        <f>(IF(SUMIFS('Industrial Summary'!$G:$G,'Industrial Summary'!$F:$F,N$17,'Industrial Summary'!$D:$D,$E104)&gt;0,((-SUMIFS('Industrial Summary'!$G:$G,'Industrial Summary'!$F:$F,N$17,'Industrial Summary'!$D:$D,$E104,'Industrial Summary'!$A:$A,"BIO")+-SUMIFS('Industrial Summary'!$G:$G,'Industrial Summary'!$F:$F,N$17,'Industrial Summary'!$D:$D,$E104,'Industrial Summary'!$A:$A,"WOD")+-SUMIFS('Industrial Summary'!$G:$G,'Industrial Summary'!$F:$F,N$17,'Industrial Summary'!$D:$D,$E104,'Industrial Summary'!$A:$A,"TOM")+-SUMIFS('Industrial Summary'!$G:$G,'Industrial Summary'!$F:$F,N$17,'Industrial Summary'!$D:$D,"IPORSTM",'Industrial Summary'!$A:$A,"BIO")+-SUMIFS('Industrial Summary'!$G:$G,'Industrial Summary'!$F:$F,N$17,'Industrial Summary'!$D:$D,"IPORSTM",'Industrial Summary'!$A:$A,"WOD")+-SUMIFS('Industrial Summary'!$G:$G,'Industrial Summary'!$F:$F,N$17,'Industrial Summary'!$D:$D,"IPORSTM",'Industrial Summary'!$A:$A,"TOM")+-SUMIFS('Industrial Summary'!$G:$G,'Industrial Summary'!$F:$F,N$17,'Industrial Summary'!$D:$D,"IPORSTM",'Industrial Summary'!$A:$A,"BLQ"))/SUMIFS('Industrial Summary'!$G:$G,'Industrial Summary'!$F:$F,N$17,'Industrial Summary'!$D:$D,$E104)),0))*0.98</f>
        <v>-0.83441447291368132</v>
      </c>
      <c r="O104" s="6">
        <f>(IF(SUMIFS('Industrial Summary'!$G:$G,'Industrial Summary'!$F:$F,O$17,'Industrial Summary'!$D:$D,$E104)&gt;0,((-SUMIFS('Industrial Summary'!$G:$G,'Industrial Summary'!$F:$F,O$17,'Industrial Summary'!$D:$D,$E104,'Industrial Summary'!$A:$A,"BIO")+-SUMIFS('Industrial Summary'!$G:$G,'Industrial Summary'!$F:$F,O$17,'Industrial Summary'!$D:$D,$E104,'Industrial Summary'!$A:$A,"WOD")+-SUMIFS('Industrial Summary'!$G:$G,'Industrial Summary'!$F:$F,O$17,'Industrial Summary'!$D:$D,$E104,'Industrial Summary'!$A:$A,"TOM")+-SUMIFS('Industrial Summary'!$G:$G,'Industrial Summary'!$F:$F,O$17,'Industrial Summary'!$D:$D,"IPORSTM",'Industrial Summary'!$A:$A,"BIO")+-SUMIFS('Industrial Summary'!$G:$G,'Industrial Summary'!$F:$F,O$17,'Industrial Summary'!$D:$D,"IPORSTM",'Industrial Summary'!$A:$A,"WOD")+-SUMIFS('Industrial Summary'!$G:$G,'Industrial Summary'!$F:$F,O$17,'Industrial Summary'!$D:$D,"IPORSTM",'Industrial Summary'!$A:$A,"TOM")+-SUMIFS('Industrial Summary'!$G:$G,'Industrial Summary'!$F:$F,O$17,'Industrial Summary'!$D:$D,"IPORSTM",'Industrial Summary'!$A:$A,"BLQ"))/SUMIFS('Industrial Summary'!$G:$G,'Industrial Summary'!$F:$F,O$17,'Industrial Summary'!$D:$D,$E104)),0))*0.98</f>
        <v>0</v>
      </c>
      <c r="P104" s="6">
        <f>(IF(SUMIFS('Industrial Summary'!$G:$G,'Industrial Summary'!$F:$F,P$17,'Industrial Summary'!$D:$D,$E104)&gt;0,((-SUMIFS('Industrial Summary'!$G:$G,'Industrial Summary'!$F:$F,P$17,'Industrial Summary'!$D:$D,$E104,'Industrial Summary'!$A:$A,"BIO")+-SUMIFS('Industrial Summary'!$G:$G,'Industrial Summary'!$F:$F,P$17,'Industrial Summary'!$D:$D,$E104,'Industrial Summary'!$A:$A,"WOD")+-SUMIFS('Industrial Summary'!$G:$G,'Industrial Summary'!$F:$F,P$17,'Industrial Summary'!$D:$D,$E104,'Industrial Summary'!$A:$A,"TOM")+-SUMIFS('Industrial Summary'!$G:$G,'Industrial Summary'!$F:$F,P$17,'Industrial Summary'!$D:$D,"IPORSTM",'Industrial Summary'!$A:$A,"BIO")+-SUMIFS('Industrial Summary'!$G:$G,'Industrial Summary'!$F:$F,P$17,'Industrial Summary'!$D:$D,"IPORSTM",'Industrial Summary'!$A:$A,"WOD")+-SUMIFS('Industrial Summary'!$G:$G,'Industrial Summary'!$F:$F,P$17,'Industrial Summary'!$D:$D,"IPORSTM",'Industrial Summary'!$A:$A,"TOM")+-SUMIFS('Industrial Summary'!$G:$G,'Industrial Summary'!$F:$F,P$17,'Industrial Summary'!$D:$D,"IPORSTM",'Industrial Summary'!$A:$A,"BLQ"))/SUMIFS('Industrial Summary'!$G:$G,'Industrial Summary'!$F:$F,P$17,'Industrial Summary'!$D:$D,$E104)),0))*0.98</f>
        <v>0</v>
      </c>
      <c r="Q104" s="5">
        <v>0</v>
      </c>
      <c r="R104" s="5">
        <v>15</v>
      </c>
      <c r="S104" s="5" t="str">
        <f t="shared" si="18"/>
        <v>UC_IPOOH_BIO</v>
      </c>
      <c r="V104" s="4" t="str">
        <f t="shared" si="19"/>
        <v>S_IPOOHBIO</v>
      </c>
      <c r="W104" s="4" t="str">
        <f t="shared" si="20"/>
        <v>IPOOH_BIO</v>
      </c>
      <c r="X104" s="4" t="str">
        <f t="shared" si="21"/>
        <v>IPOOHT</v>
      </c>
      <c r="Y104" s="5" t="str">
        <f t="shared" si="22"/>
        <v>LO</v>
      </c>
      <c r="Z104" s="5">
        <v>1</v>
      </c>
      <c r="AA104" s="6">
        <f t="shared" si="23"/>
        <v>-0.95532138479505246</v>
      </c>
      <c r="AB104" s="6">
        <f t="shared" si="24"/>
        <v>-0.94275766211108447</v>
      </c>
      <c r="AC104" s="6">
        <f t="shared" si="25"/>
        <v>-0.19952432244798868</v>
      </c>
      <c r="AD104" s="6">
        <f t="shared" si="26"/>
        <v>-0.24259635768091392</v>
      </c>
      <c r="AE104" s="6">
        <f t="shared" si="27"/>
        <v>-0.84288718762341208</v>
      </c>
      <c r="AF104" s="6">
        <f t="shared" si="28"/>
        <v>-0.85428638118174982</v>
      </c>
      <c r="AG104" s="6">
        <f t="shared" si="29"/>
        <v>-0.83441447291368132</v>
      </c>
      <c r="AH104" s="6">
        <f t="shared" si="30"/>
        <v>0</v>
      </c>
      <c r="AI104" s="6">
        <f t="shared" si="31"/>
        <v>0</v>
      </c>
      <c r="AL104" s="5" t="str">
        <f t="shared" si="32"/>
        <v>BIO</v>
      </c>
      <c r="AM104" s="5">
        <f>1</f>
        <v>1</v>
      </c>
    </row>
    <row r="105" spans="1:39" s="5" customFormat="1" x14ac:dyDescent="0.3">
      <c r="C105" s="4" t="s">
        <v>212</v>
      </c>
      <c r="D105" s="5" t="s">
        <v>213</v>
      </c>
      <c r="E105" s="5" t="s">
        <v>756</v>
      </c>
      <c r="F105" s="5" t="s">
        <v>1588</v>
      </c>
      <c r="G105" s="5">
        <v>1</v>
      </c>
      <c r="H105" s="6">
        <f>(IF(SUMIFS('Industrial Summary'!$G:$G,'Industrial Summary'!$F:$F,H$17,'Industrial Summary'!$D:$D,$E105)&gt;0,((-SUMIFS('Industrial Summary'!$G:$G,'Industrial Summary'!$F:$F,H$17,'Industrial Summary'!$D:$D,$E105,'Industrial Summary'!$A:$A,"PTC")+-SUMIFS('Industrial Summary'!$G:$G,'Industrial Summary'!$F:$F,H$17,'Industrial Summary'!$D:$D,"IPORSTM",'Industrial Summary'!$A:$A,"PTC"))/SUMIFS('Industrial Summary'!$G:$G,'Industrial Summary'!$F:$F,H$17,'Industrial Summary'!$D:$D,$E105)),0))*0.98</f>
        <v>0</v>
      </c>
      <c r="I105" s="6">
        <f>(IF(SUMIFS('Industrial Summary'!$G:$G,'Industrial Summary'!$F:$F,I$17,'Industrial Summary'!$D:$D,$E105)&gt;0,((-SUMIFS('Industrial Summary'!$G:$G,'Industrial Summary'!$F:$F,I$17,'Industrial Summary'!$D:$D,$E105,'Industrial Summary'!$A:$A,"PTC")+-SUMIFS('Industrial Summary'!$G:$G,'Industrial Summary'!$F:$F,I$17,'Industrial Summary'!$D:$D,"IPORSTM",'Industrial Summary'!$A:$A,"PTC"))/SUMIFS('Industrial Summary'!$G:$G,'Industrial Summary'!$F:$F,I$17,'Industrial Summary'!$D:$D,$E105)),0))*0.98</f>
        <v>-1.2796411117994292E-2</v>
      </c>
      <c r="J105" s="6">
        <f>(IF(SUMIFS('Industrial Summary'!$G:$G,'Industrial Summary'!$F:$F,J$17,'Industrial Summary'!$D:$D,$E105)&gt;0,((-SUMIFS('Industrial Summary'!$G:$G,'Industrial Summary'!$F:$F,J$17,'Industrial Summary'!$D:$D,$E105,'Industrial Summary'!$A:$A,"PTC")+-SUMIFS('Industrial Summary'!$G:$G,'Industrial Summary'!$F:$F,J$17,'Industrial Summary'!$D:$D,"IPORSTM",'Industrial Summary'!$A:$A,"PTC"))/SUMIFS('Industrial Summary'!$G:$G,'Industrial Summary'!$F:$F,J$17,'Industrial Summary'!$D:$D,$E105)),0))*0.98</f>
        <v>-2.8750552634451538E-3</v>
      </c>
      <c r="K105" s="6">
        <f>(IF(SUMIFS('Industrial Summary'!$G:$G,'Industrial Summary'!$F:$F,K$17,'Industrial Summary'!$D:$D,$E105)&gt;0,((-SUMIFS('Industrial Summary'!$G:$G,'Industrial Summary'!$F:$F,K$17,'Industrial Summary'!$D:$D,$E105,'Industrial Summary'!$A:$A,"PTC")+-SUMIFS('Industrial Summary'!$G:$G,'Industrial Summary'!$F:$F,K$17,'Industrial Summary'!$D:$D,"IPORSTM",'Industrial Summary'!$A:$A,"PTC"))/SUMIFS('Industrial Summary'!$G:$G,'Industrial Summary'!$F:$F,K$17,'Industrial Summary'!$D:$D,$E105)),0))*0.98</f>
        <v>-2.7163898685254478E-3</v>
      </c>
      <c r="L105" s="6">
        <f>(IF(SUMIFS('Industrial Summary'!$G:$G,'Industrial Summary'!$F:$F,L$17,'Industrial Summary'!$D:$D,$E105)&gt;0,((-SUMIFS('Industrial Summary'!$G:$G,'Industrial Summary'!$F:$F,L$17,'Industrial Summary'!$D:$D,$E105,'Industrial Summary'!$A:$A,"PTC")+-SUMIFS('Industrial Summary'!$G:$G,'Industrial Summary'!$F:$F,L$17,'Industrial Summary'!$D:$D,"IPORSTM",'Industrial Summary'!$A:$A,"PTC"))/SUMIFS('Industrial Summary'!$G:$G,'Industrial Summary'!$F:$F,L$17,'Industrial Summary'!$D:$D,$E105)),0))*0.98</f>
        <v>-5.9384744944504068E-3</v>
      </c>
      <c r="M105" s="6">
        <f>(IF(SUMIFS('Industrial Summary'!$G:$G,'Industrial Summary'!$F:$F,M$17,'Industrial Summary'!$D:$D,$E105)&gt;0,((-SUMIFS('Industrial Summary'!$G:$G,'Industrial Summary'!$F:$F,M$17,'Industrial Summary'!$D:$D,$E105,'Industrial Summary'!$A:$A,"PTC")+-SUMIFS('Industrial Summary'!$G:$G,'Industrial Summary'!$F:$F,M$17,'Industrial Summary'!$D:$D,"IPORSTM",'Industrial Summary'!$A:$A,"PTC"))/SUMIFS('Industrial Summary'!$G:$G,'Industrial Summary'!$F:$F,M$17,'Industrial Summary'!$D:$D,$E105)),0))*0.98</f>
        <v>-5.4447655621477457E-3</v>
      </c>
      <c r="N105" s="6">
        <f>(IF(SUMIFS('Industrial Summary'!$G:$G,'Industrial Summary'!$F:$F,N$17,'Industrial Summary'!$D:$D,$E105)&gt;0,((-SUMIFS('Industrial Summary'!$G:$G,'Industrial Summary'!$F:$F,N$17,'Industrial Summary'!$D:$D,$E105,'Industrial Summary'!$A:$A,"PTC")+-SUMIFS('Industrial Summary'!$G:$G,'Industrial Summary'!$F:$F,N$17,'Industrial Summary'!$D:$D,"IPORSTM",'Industrial Summary'!$A:$A,"PTC"))/SUMIFS('Industrial Summary'!$G:$G,'Industrial Summary'!$F:$F,N$17,'Industrial Summary'!$D:$D,$E105)),0))*0.98</f>
        <v>-6.3054350966718405E-3</v>
      </c>
      <c r="O105" s="6">
        <f>(IF(SUMIFS('Industrial Summary'!$G:$G,'Industrial Summary'!$F:$F,O$17,'Industrial Summary'!$D:$D,$E105)&gt;0,((-SUMIFS('Industrial Summary'!$G:$G,'Industrial Summary'!$F:$F,O$17,'Industrial Summary'!$D:$D,$E105,'Industrial Summary'!$A:$A,"PTC")+-SUMIFS('Industrial Summary'!$G:$G,'Industrial Summary'!$F:$F,O$17,'Industrial Summary'!$D:$D,"IPORSTM",'Industrial Summary'!$A:$A,"PTC"))/SUMIFS('Industrial Summary'!$G:$G,'Industrial Summary'!$F:$F,O$17,'Industrial Summary'!$D:$D,$E105)),0))*0.98</f>
        <v>0</v>
      </c>
      <c r="P105" s="6">
        <f>(IF(SUMIFS('Industrial Summary'!$G:$G,'Industrial Summary'!$F:$F,P$17,'Industrial Summary'!$D:$D,$E105)&gt;0,((-SUMIFS('Industrial Summary'!$G:$G,'Industrial Summary'!$F:$F,P$17,'Industrial Summary'!$D:$D,$E105,'Industrial Summary'!$A:$A,"PTC")+-SUMIFS('Industrial Summary'!$G:$G,'Industrial Summary'!$F:$F,P$17,'Industrial Summary'!$D:$D,"IPORSTM",'Industrial Summary'!$A:$A,"PTC"))/SUMIFS('Industrial Summary'!$G:$G,'Industrial Summary'!$F:$F,P$17,'Industrial Summary'!$D:$D,$E105)),0))*0.98</f>
        <v>0</v>
      </c>
      <c r="Q105" s="5">
        <v>0</v>
      </c>
      <c r="R105" s="5">
        <v>15</v>
      </c>
      <c r="S105" s="5" t="str">
        <f t="shared" si="18"/>
        <v>UC_IPOOH_PTC</v>
      </c>
      <c r="V105" s="4" t="str">
        <f t="shared" si="19"/>
        <v>S_IPOOHPTC</v>
      </c>
      <c r="W105" s="4" t="str">
        <f t="shared" si="20"/>
        <v>IPOOH_PTC</v>
      </c>
      <c r="X105" s="4" t="str">
        <f t="shared" si="21"/>
        <v>IPOOHT</v>
      </c>
      <c r="Y105" s="5" t="str">
        <f t="shared" si="22"/>
        <v>LO</v>
      </c>
      <c r="Z105" s="5">
        <v>1</v>
      </c>
      <c r="AA105" s="6">
        <f t="shared" si="23"/>
        <v>0</v>
      </c>
      <c r="AB105" s="6">
        <f t="shared" si="24"/>
        <v>-1.2796411117994292E-2</v>
      </c>
      <c r="AC105" s="6">
        <f t="shared" si="25"/>
        <v>-2.8750552634451538E-3</v>
      </c>
      <c r="AD105" s="6">
        <f t="shared" si="26"/>
        <v>-2.7163898685254478E-3</v>
      </c>
      <c r="AE105" s="6">
        <f t="shared" si="27"/>
        <v>-5.9384744944504068E-3</v>
      </c>
      <c r="AF105" s="6">
        <f t="shared" si="28"/>
        <v>-5.4447655621477457E-3</v>
      </c>
      <c r="AG105" s="6">
        <f t="shared" si="29"/>
        <v>-6.3054350966718405E-3</v>
      </c>
      <c r="AH105" s="6">
        <f t="shared" si="30"/>
        <v>0</v>
      </c>
      <c r="AI105" s="6">
        <f t="shared" si="31"/>
        <v>0</v>
      </c>
      <c r="AL105" s="5" t="str">
        <f t="shared" si="32"/>
        <v>PTC</v>
      </c>
      <c r="AM105" s="5">
        <f>1</f>
        <v>1</v>
      </c>
    </row>
    <row r="106" spans="1:39" s="5" customFormat="1" x14ac:dyDescent="0.3">
      <c r="A106" s="8"/>
      <c r="C106" s="4" t="s">
        <v>214</v>
      </c>
      <c r="D106" s="5" t="s">
        <v>215</v>
      </c>
      <c r="E106" s="5" t="s">
        <v>756</v>
      </c>
      <c r="F106" s="5" t="s">
        <v>1588</v>
      </c>
      <c r="G106" s="5">
        <v>1</v>
      </c>
      <c r="H106" s="6">
        <f>(IF(SUMIFS('Industrial Summary'!$G:$G,'Industrial Summary'!$F:$F,H$17,'Industrial Summary'!$D:$D,$E106)&gt;0,((-SUMIFS('Industrial Summary'!$G:$G,'Industrial Summary'!$F:$F,H$17,'Industrial Summary'!$D:$D,$E106,'Industrial Summary'!$A:$A,"OTP")+-SUMIFS('Industrial Summary'!$G:$G,'Industrial Summary'!$F:$F,H$17,'Industrial Summary'!$D:$D,"IPORSTM",'Industrial Summary'!$A:$A,"OTP"))/SUMIFS('Industrial Summary'!$G:$G,'Industrial Summary'!$F:$F,H$17,'Industrial Summary'!$D:$D,$E106)),0))*0.98</f>
        <v>-6.0554126692665012E-3</v>
      </c>
      <c r="I106" s="6">
        <f>(IF(SUMIFS('Industrial Summary'!$G:$G,'Industrial Summary'!$F:$F,I$17,'Industrial Summary'!$D:$D,$E106)&gt;0,((-SUMIFS('Industrial Summary'!$G:$G,'Industrial Summary'!$F:$F,I$17,'Industrial Summary'!$D:$D,$E106,'Industrial Summary'!$A:$A,"OTP")+-SUMIFS('Industrial Summary'!$G:$G,'Industrial Summary'!$F:$F,I$17,'Industrial Summary'!$D:$D,"IPORSTM",'Industrial Summary'!$A:$A,"OTP"))/SUMIFS('Industrial Summary'!$G:$G,'Industrial Summary'!$F:$F,I$17,'Industrial Summary'!$D:$D,$E106)),0))*0.98</f>
        <v>-5.9983177115593752E-3</v>
      </c>
      <c r="J106" s="6">
        <f>(IF(SUMIFS('Industrial Summary'!$G:$G,'Industrial Summary'!$F:$F,J$17,'Industrial Summary'!$D:$D,$E106)&gt;0,((-SUMIFS('Industrial Summary'!$G:$G,'Industrial Summary'!$F:$F,J$17,'Industrial Summary'!$D:$D,$E106,'Industrial Summary'!$A:$A,"OTP")+-SUMIFS('Industrial Summary'!$G:$G,'Industrial Summary'!$F:$F,J$17,'Industrial Summary'!$D:$D,"IPORSTM",'Industrial Summary'!$A:$A,"OTP"))/SUMIFS('Industrial Summary'!$G:$G,'Industrial Summary'!$F:$F,J$17,'Industrial Summary'!$D:$D,$E106)),0))*0.98</f>
        <v>-2.8750552634463126E-3</v>
      </c>
      <c r="K106" s="6">
        <f>(IF(SUMIFS('Industrial Summary'!$G:$G,'Industrial Summary'!$F:$F,K$17,'Industrial Summary'!$D:$D,$E106)&gt;0,((-SUMIFS('Industrial Summary'!$G:$G,'Industrial Summary'!$F:$F,K$17,'Industrial Summary'!$D:$D,$E106,'Industrial Summary'!$A:$A,"OTP")+-SUMIFS('Industrial Summary'!$G:$G,'Industrial Summary'!$F:$F,K$17,'Industrial Summary'!$D:$D,"IPORSTM",'Industrial Summary'!$A:$A,"OTP"))/SUMIFS('Industrial Summary'!$G:$G,'Industrial Summary'!$F:$F,K$17,'Industrial Summary'!$D:$D,$E106)),0))*0.98</f>
        <v>-2.7163898685269167E-3</v>
      </c>
      <c r="L106" s="6">
        <f>(IF(SUMIFS('Industrial Summary'!$G:$G,'Industrial Summary'!$F:$F,L$17,'Industrial Summary'!$D:$D,$E106)&gt;0,((-SUMIFS('Industrial Summary'!$G:$G,'Industrial Summary'!$F:$F,L$17,'Industrial Summary'!$D:$D,$E106,'Industrial Summary'!$A:$A,"OTP")+-SUMIFS('Industrial Summary'!$G:$G,'Industrial Summary'!$F:$F,L$17,'Industrial Summary'!$D:$D,"IPORSTM",'Industrial Summary'!$A:$A,"OTP"))/SUMIFS('Industrial Summary'!$G:$G,'Industrial Summary'!$F:$F,L$17,'Industrial Summary'!$D:$D,$E106)),0))*0.98</f>
        <v>-5.938474494450641E-3</v>
      </c>
      <c r="M106" s="6">
        <f>(IF(SUMIFS('Industrial Summary'!$G:$G,'Industrial Summary'!$F:$F,M$17,'Industrial Summary'!$D:$D,$E106)&gt;0,((-SUMIFS('Industrial Summary'!$G:$G,'Industrial Summary'!$F:$F,M$17,'Industrial Summary'!$D:$D,$E106,'Industrial Summary'!$A:$A,"OTP")+-SUMIFS('Industrial Summary'!$G:$G,'Industrial Summary'!$F:$F,M$17,'Industrial Summary'!$D:$D,"IPORSTM",'Industrial Summary'!$A:$A,"OTP"))/SUMIFS('Industrial Summary'!$G:$G,'Industrial Summary'!$F:$F,M$17,'Industrial Summary'!$D:$D,$E106)),0))*0.98</f>
        <v>-5.4447655621477041E-3</v>
      </c>
      <c r="N106" s="6">
        <f>(IF(SUMIFS('Industrial Summary'!$G:$G,'Industrial Summary'!$F:$F,N$17,'Industrial Summary'!$D:$D,$E106)&gt;0,((-SUMIFS('Industrial Summary'!$G:$G,'Industrial Summary'!$F:$F,N$17,'Industrial Summary'!$D:$D,$E106,'Industrial Summary'!$A:$A,"OTP")+-SUMIFS('Industrial Summary'!$G:$G,'Industrial Summary'!$F:$F,N$17,'Industrial Summary'!$D:$D,"IPORSTM",'Industrial Summary'!$A:$A,"OTP"))/SUMIFS('Industrial Summary'!$G:$G,'Industrial Summary'!$F:$F,N$17,'Industrial Summary'!$D:$D,$E106)),0))*0.98</f>
        <v>-6.3054350966759327E-3</v>
      </c>
      <c r="O106" s="6">
        <f>(IF(SUMIFS('Industrial Summary'!$G:$G,'Industrial Summary'!$F:$F,O$17,'Industrial Summary'!$D:$D,$E106)&gt;0,((-SUMIFS('Industrial Summary'!$G:$G,'Industrial Summary'!$F:$F,O$17,'Industrial Summary'!$D:$D,$E106,'Industrial Summary'!$A:$A,"OTP")+-SUMIFS('Industrial Summary'!$G:$G,'Industrial Summary'!$F:$F,O$17,'Industrial Summary'!$D:$D,"IPORSTM",'Industrial Summary'!$A:$A,"OTP"))/SUMIFS('Industrial Summary'!$G:$G,'Industrial Summary'!$F:$F,O$17,'Industrial Summary'!$D:$D,$E106)),0))*0.98</f>
        <v>0</v>
      </c>
      <c r="P106" s="6">
        <f>(IF(SUMIFS('Industrial Summary'!$G:$G,'Industrial Summary'!$F:$F,P$17,'Industrial Summary'!$D:$D,$E106)&gt;0,((-SUMIFS('Industrial Summary'!$G:$G,'Industrial Summary'!$F:$F,P$17,'Industrial Summary'!$D:$D,$E106,'Industrial Summary'!$A:$A,"OTP")+-SUMIFS('Industrial Summary'!$G:$G,'Industrial Summary'!$F:$F,P$17,'Industrial Summary'!$D:$D,"IPORSTM",'Industrial Summary'!$A:$A,"OTP"))/SUMIFS('Industrial Summary'!$G:$G,'Industrial Summary'!$F:$F,P$17,'Industrial Summary'!$D:$D,$E106)),0))*0.98</f>
        <v>0</v>
      </c>
      <c r="Q106" s="5">
        <v>0</v>
      </c>
      <c r="R106" s="5">
        <v>15</v>
      </c>
      <c r="S106" s="5" t="str">
        <f t="shared" si="18"/>
        <v>UC_IPOOH_OTP</v>
      </c>
      <c r="V106" s="4" t="str">
        <f t="shared" si="19"/>
        <v>S_IPOOHOTP</v>
      </c>
      <c r="W106" s="4" t="str">
        <f t="shared" si="20"/>
        <v>IPOOH_OTP</v>
      </c>
      <c r="X106" s="4" t="str">
        <f t="shared" si="21"/>
        <v>IPOOHT</v>
      </c>
      <c r="Y106" s="5" t="str">
        <f t="shared" si="22"/>
        <v>LO</v>
      </c>
      <c r="Z106" s="5">
        <v>1</v>
      </c>
      <c r="AA106" s="6">
        <f t="shared" si="23"/>
        <v>-6.0554126692665012E-3</v>
      </c>
      <c r="AB106" s="6">
        <f t="shared" si="24"/>
        <v>-5.9983177115593752E-3</v>
      </c>
      <c r="AC106" s="6">
        <f t="shared" si="25"/>
        <v>-2.8750552634463126E-3</v>
      </c>
      <c r="AD106" s="6">
        <f t="shared" si="26"/>
        <v>-2.7163898685269167E-3</v>
      </c>
      <c r="AE106" s="6">
        <f t="shared" si="27"/>
        <v>-5.938474494450641E-3</v>
      </c>
      <c r="AF106" s="6">
        <f t="shared" si="28"/>
        <v>-5.4447655621477041E-3</v>
      </c>
      <c r="AG106" s="6">
        <f t="shared" si="29"/>
        <v>-6.3054350966759327E-3</v>
      </c>
      <c r="AH106" s="6">
        <f t="shared" si="30"/>
        <v>0</v>
      </c>
      <c r="AI106" s="6">
        <f t="shared" si="31"/>
        <v>0</v>
      </c>
      <c r="AL106" s="5" t="str">
        <f t="shared" si="32"/>
        <v>OTP</v>
      </c>
      <c r="AM106" s="5">
        <f>1</f>
        <v>1</v>
      </c>
    </row>
    <row r="107" spans="1:39" s="5" customFormat="1" x14ac:dyDescent="0.3">
      <c r="C107" s="4" t="s">
        <v>218</v>
      </c>
      <c r="D107" s="5" t="s">
        <v>219</v>
      </c>
      <c r="E107" s="5" t="s">
        <v>712</v>
      </c>
      <c r="F107" s="5" t="s">
        <v>1588</v>
      </c>
      <c r="G107" s="5">
        <v>1</v>
      </c>
      <c r="H107" s="6">
        <f>IF(SUMIFS('Industrial Summary'!$G:$G,'Industrial Summary'!$F:$F,H$17,'Industrial Summary'!$D:$D,$E107)&gt;0,(-SUMIFS('Industrial Summary'!$G:$G,'Industrial Summary'!$F:$F,H$17,'Industrial Summary'!$D:$D,$E107,'Industrial Summary'!$A:$A,"NGA")/SUMIFS('Industrial Summary'!$G:$G,'Industrial Summary'!$F:$F,H$17,'Industrial Summary'!$D:$D,$E107)),0)*0.98</f>
        <v>0</v>
      </c>
      <c r="I107" s="6">
        <f>IF(SUMIFS('Industrial Summary'!$G:$G,'Industrial Summary'!$F:$F,I$17,'Industrial Summary'!$D:$D,$E107)&gt;0,(-SUMIFS('Industrial Summary'!$G:$G,'Industrial Summary'!$F:$F,I$17,'Industrial Summary'!$D:$D,$E107,'Industrial Summary'!$A:$A,"NGA")/SUMIFS('Industrial Summary'!$G:$G,'Industrial Summary'!$F:$F,I$17,'Industrial Summary'!$D:$D,$E107)),0)*0.98</f>
        <v>0</v>
      </c>
      <c r="J107" s="6">
        <f>IF(SUMIFS('Industrial Summary'!$G:$G,'Industrial Summary'!$F:$F,J$17,'Industrial Summary'!$D:$D,$E107)&gt;0,(-SUMIFS('Industrial Summary'!$G:$G,'Industrial Summary'!$F:$F,J$17,'Industrial Summary'!$D:$D,$E107,'Industrial Summary'!$A:$A,"NGA")/SUMIFS('Industrial Summary'!$G:$G,'Industrial Summary'!$F:$F,J$17,'Industrial Summary'!$D:$D,$E107)),0)*0.98</f>
        <v>0</v>
      </c>
      <c r="K107" s="6">
        <f>IF(SUMIFS('Industrial Summary'!$G:$G,'Industrial Summary'!$F:$F,K$17,'Industrial Summary'!$D:$D,$E107)&gt;0,(-SUMIFS('Industrial Summary'!$G:$G,'Industrial Summary'!$F:$F,K$17,'Industrial Summary'!$D:$D,$E107,'Industrial Summary'!$A:$A,"NGA")/SUMIFS('Industrial Summary'!$G:$G,'Industrial Summary'!$F:$F,K$17,'Industrial Summary'!$D:$D,$E107)),0)*0.98</f>
        <v>0</v>
      </c>
      <c r="L107" s="6">
        <f>IF(SUMIFS('Industrial Summary'!$G:$G,'Industrial Summary'!$F:$F,L$17,'Industrial Summary'!$D:$D,$E107)&gt;0,(-SUMIFS('Industrial Summary'!$G:$G,'Industrial Summary'!$F:$F,L$17,'Industrial Summary'!$D:$D,$E107,'Industrial Summary'!$A:$A,"NGA")/SUMIFS('Industrial Summary'!$G:$G,'Industrial Summary'!$F:$F,L$17,'Industrial Summary'!$D:$D,$E107)),0)*0.98</f>
        <v>-5.1706772892598542E-2</v>
      </c>
      <c r="M107" s="6">
        <f>IF(SUMIFS('Industrial Summary'!$G:$G,'Industrial Summary'!$F:$F,M$17,'Industrial Summary'!$D:$D,$E107)&gt;0,(-SUMIFS('Industrial Summary'!$G:$G,'Industrial Summary'!$F:$F,M$17,'Industrial Summary'!$D:$D,$E107,'Industrial Summary'!$A:$A,"NGA")/SUMIFS('Industrial Summary'!$G:$G,'Industrial Summary'!$F:$F,M$17,'Industrial Summary'!$D:$D,$E107)),0)*0.98</f>
        <v>-5.1719529325415507E-2</v>
      </c>
      <c r="N107" s="6">
        <f>IF(SUMIFS('Industrial Summary'!$G:$G,'Industrial Summary'!$F:$F,N$17,'Industrial Summary'!$D:$D,$E107)&gt;0,(-SUMIFS('Industrial Summary'!$G:$G,'Industrial Summary'!$F:$F,N$17,'Industrial Summary'!$D:$D,$E107,'Industrial Summary'!$A:$A,"NGA")/SUMIFS('Industrial Summary'!$G:$G,'Industrial Summary'!$F:$F,N$17,'Industrial Summary'!$D:$D,$E107)),0)*0.98</f>
        <v>-5.4500973223410965E-2</v>
      </c>
      <c r="O107" s="6">
        <f>IF(SUMIFS('Industrial Summary'!$G:$G,'Industrial Summary'!$F:$F,O$17,'Industrial Summary'!$D:$D,$E107)&gt;0,(-SUMIFS('Industrial Summary'!$G:$G,'Industrial Summary'!$F:$F,O$17,'Industrial Summary'!$D:$D,$E107,'Industrial Summary'!$A:$A,"NGA")/SUMIFS('Industrial Summary'!$G:$G,'Industrial Summary'!$F:$F,O$17,'Industrial Summary'!$D:$D,$E107)),0)*0.98</f>
        <v>-0.59900085918644119</v>
      </c>
      <c r="P107" s="6">
        <f>IF(SUMIFS('Industrial Summary'!$G:$G,'Industrial Summary'!$F:$F,P$17,'Industrial Summary'!$D:$D,$E107)&gt;0,(-SUMIFS('Industrial Summary'!$G:$G,'Industrial Summary'!$F:$F,P$17,'Industrial Summary'!$D:$D,$E107,'Industrial Summary'!$A:$A,"NGA")/SUMIFS('Industrial Summary'!$G:$G,'Industrial Summary'!$F:$F,P$17,'Industrial Summary'!$D:$D,$E107)),0)*0.98</f>
        <v>-0.31656330548728551</v>
      </c>
      <c r="Q107" s="5">
        <v>0</v>
      </c>
      <c r="R107" s="5">
        <v>15</v>
      </c>
      <c r="S107" s="5" t="str">
        <f t="shared" si="18"/>
        <v>UC_ICOFS_NGA</v>
      </c>
      <c r="V107" s="4" t="str">
        <f t="shared" si="19"/>
        <v>S_ICOFSNGA</v>
      </c>
      <c r="W107" s="4" t="str">
        <f t="shared" si="20"/>
        <v>ICOFS_NGA</v>
      </c>
      <c r="X107" s="4" t="str">
        <f t="shared" si="21"/>
        <v>ICOFEED</v>
      </c>
      <c r="Y107" s="5" t="str">
        <f t="shared" si="22"/>
        <v>LO</v>
      </c>
      <c r="Z107" s="5">
        <v>1</v>
      </c>
      <c r="AA107" s="6">
        <f t="shared" si="23"/>
        <v>0</v>
      </c>
      <c r="AB107" s="6">
        <f t="shared" si="24"/>
        <v>0</v>
      </c>
      <c r="AC107" s="6">
        <f t="shared" si="25"/>
        <v>0</v>
      </c>
      <c r="AD107" s="6">
        <f t="shared" si="26"/>
        <v>0</v>
      </c>
      <c r="AE107" s="6">
        <f t="shared" si="27"/>
        <v>-4.6536095603338691E-2</v>
      </c>
      <c r="AF107" s="6">
        <f t="shared" si="28"/>
        <v>-4.6547576392873956E-2</v>
      </c>
      <c r="AG107" s="6">
        <f t="shared" si="29"/>
        <v>-4.9050875901069872E-2</v>
      </c>
      <c r="AH107" s="6">
        <f t="shared" si="30"/>
        <v>-0.53910077326779704</v>
      </c>
      <c r="AI107" s="6">
        <f t="shared" si="31"/>
        <v>-0.28490697493855699</v>
      </c>
      <c r="AL107" s="5" t="str">
        <f t="shared" si="32"/>
        <v>NGA</v>
      </c>
      <c r="AM107" s="5">
        <f>Y7</f>
        <v>0.9</v>
      </c>
    </row>
    <row r="108" spans="1:39" s="5" customFormat="1" x14ac:dyDescent="0.3">
      <c r="C108" s="4" t="s">
        <v>220</v>
      </c>
      <c r="D108" s="5" t="s">
        <v>221</v>
      </c>
      <c r="E108" s="5" t="s">
        <v>712</v>
      </c>
      <c r="F108" s="5" t="s">
        <v>1588</v>
      </c>
      <c r="G108" s="5">
        <v>1</v>
      </c>
      <c r="H108" s="6">
        <f>IF(SUMIFS('Industrial Summary'!$G:$G,'Industrial Summary'!$F:$F,H$17,'Industrial Summary'!$D:$D,$E108)&gt;0,(-SUMIFS('Industrial Summary'!$G:$G,'Industrial Summary'!$F:$F,H$17,'Industrial Summary'!$D:$D,$E108,'Industrial Summary'!$A:$A,"LPG")/SUMIFS('Industrial Summary'!$G:$G,'Industrial Summary'!$F:$F,H$17,'Industrial Summary'!$D:$D,$E108)),0)*0.98</f>
        <v>0</v>
      </c>
      <c r="I108" s="6">
        <f>IF(SUMIFS('Industrial Summary'!$G:$G,'Industrial Summary'!$F:$F,I$17,'Industrial Summary'!$D:$D,$E108)&gt;0,(-SUMIFS('Industrial Summary'!$G:$G,'Industrial Summary'!$F:$F,I$17,'Industrial Summary'!$D:$D,$E108,'Industrial Summary'!$A:$A,"LPG")/SUMIFS('Industrial Summary'!$G:$G,'Industrial Summary'!$F:$F,I$17,'Industrial Summary'!$D:$D,$E108)),0)*0.98</f>
        <v>0</v>
      </c>
      <c r="J108" s="6">
        <f>IF(SUMIFS('Industrial Summary'!$G:$G,'Industrial Summary'!$F:$F,J$17,'Industrial Summary'!$D:$D,$E108)&gt;0,(-SUMIFS('Industrial Summary'!$G:$G,'Industrial Summary'!$F:$F,J$17,'Industrial Summary'!$D:$D,$E108,'Industrial Summary'!$A:$A,"LPG")/SUMIFS('Industrial Summary'!$G:$G,'Industrial Summary'!$F:$F,J$17,'Industrial Summary'!$D:$D,$E108)),0)*0.98</f>
        <v>0</v>
      </c>
      <c r="K108" s="6">
        <f>IF(SUMIFS('Industrial Summary'!$G:$G,'Industrial Summary'!$F:$F,K$17,'Industrial Summary'!$D:$D,$E108)&gt;0,(-SUMIFS('Industrial Summary'!$G:$G,'Industrial Summary'!$F:$F,K$17,'Industrial Summary'!$D:$D,$E108,'Industrial Summary'!$A:$A,"LPG")/SUMIFS('Industrial Summary'!$G:$G,'Industrial Summary'!$F:$F,K$17,'Industrial Summary'!$D:$D,$E108)),0)*0.98</f>
        <v>0</v>
      </c>
      <c r="L108" s="6">
        <f>IF(SUMIFS('Industrial Summary'!$G:$G,'Industrial Summary'!$F:$F,L$17,'Industrial Summary'!$D:$D,$E108)&gt;0,(-SUMIFS('Industrial Summary'!$G:$G,'Industrial Summary'!$F:$F,L$17,'Industrial Summary'!$D:$D,$E108,'Industrial Summary'!$A:$A,"LPG")/SUMIFS('Industrial Summary'!$G:$G,'Industrial Summary'!$F:$F,L$17,'Industrial Summary'!$D:$D,$E108)),0)*0.98</f>
        <v>-0.63736097819825044</v>
      </c>
      <c r="M108" s="6">
        <f>IF(SUMIFS('Industrial Summary'!$G:$G,'Industrial Summary'!$F:$F,M$17,'Industrial Summary'!$D:$D,$E108)&gt;0,(-SUMIFS('Industrial Summary'!$G:$G,'Industrial Summary'!$F:$F,M$17,'Industrial Summary'!$D:$D,$E108,'Industrial Summary'!$A:$A,"LPG")/SUMIFS('Industrial Summary'!$G:$G,'Industrial Summary'!$F:$F,M$17,'Industrial Summary'!$D:$D,$E108)),0)*0.98</f>
        <v>-0.63727644668685324</v>
      </c>
      <c r="N108" s="6">
        <f>IF(SUMIFS('Industrial Summary'!$G:$G,'Industrial Summary'!$F:$F,N$17,'Industrial Summary'!$D:$D,$E108)&gt;0,(-SUMIFS('Industrial Summary'!$G:$G,'Industrial Summary'!$F:$F,N$17,'Industrial Summary'!$D:$D,$E108,'Industrial Summary'!$A:$A,"LPG")/SUMIFS('Industrial Summary'!$G:$G,'Industrial Summary'!$F:$F,N$17,'Industrial Summary'!$D:$D,$E108)),0)*0.98</f>
        <v>-0.61884498861877579</v>
      </c>
      <c r="O108" s="6">
        <f>IF(SUMIFS('Industrial Summary'!$G:$G,'Industrial Summary'!$F:$F,O$17,'Industrial Summary'!$D:$D,$E108)&gt;0,(-SUMIFS('Industrial Summary'!$G:$G,'Industrial Summary'!$F:$F,O$17,'Industrial Summary'!$D:$D,$E108,'Industrial Summary'!$A:$A,"LPG")/SUMIFS('Industrial Summary'!$G:$G,'Industrial Summary'!$F:$F,O$17,'Industrial Summary'!$D:$D,$E108)),0)*0.98</f>
        <v>0</v>
      </c>
      <c r="P108" s="6">
        <f>IF(SUMIFS('Industrial Summary'!$G:$G,'Industrial Summary'!$F:$F,P$17,'Industrial Summary'!$D:$D,$E108)&gt;0,(-SUMIFS('Industrial Summary'!$G:$G,'Industrial Summary'!$F:$F,P$17,'Industrial Summary'!$D:$D,$E108,'Industrial Summary'!$A:$A,"LPG")/SUMIFS('Industrial Summary'!$G:$G,'Industrial Summary'!$F:$F,P$17,'Industrial Summary'!$D:$D,$E108)),0)*0.98</f>
        <v>0</v>
      </c>
      <c r="Q108" s="5">
        <v>0</v>
      </c>
      <c r="R108" s="5">
        <v>15</v>
      </c>
      <c r="S108" s="5" t="str">
        <f t="shared" si="18"/>
        <v>UC_ICOFS_LPG</v>
      </c>
      <c r="V108" s="4" t="str">
        <f t="shared" si="19"/>
        <v>S_ICOFSLPG</v>
      </c>
      <c r="W108" s="4" t="str">
        <f t="shared" si="20"/>
        <v>ICOFS_LPG</v>
      </c>
      <c r="X108" s="4" t="str">
        <f t="shared" si="21"/>
        <v>ICOFEED</v>
      </c>
      <c r="Y108" s="5" t="str">
        <f t="shared" si="22"/>
        <v>LO</v>
      </c>
      <c r="Z108" s="5">
        <v>1</v>
      </c>
      <c r="AA108" s="6">
        <f t="shared" si="23"/>
        <v>0</v>
      </c>
      <c r="AB108" s="6">
        <f t="shared" si="24"/>
        <v>0</v>
      </c>
      <c r="AC108" s="6">
        <f t="shared" si="25"/>
        <v>0</v>
      </c>
      <c r="AD108" s="6">
        <f t="shared" si="26"/>
        <v>0</v>
      </c>
      <c r="AE108" s="6">
        <f t="shared" si="27"/>
        <v>-0.63736097819825044</v>
      </c>
      <c r="AF108" s="6">
        <f t="shared" si="28"/>
        <v>-0.63727644668685324</v>
      </c>
      <c r="AG108" s="6">
        <f t="shared" si="29"/>
        <v>-0.61884498861877579</v>
      </c>
      <c r="AH108" s="6">
        <f t="shared" si="30"/>
        <v>0</v>
      </c>
      <c r="AI108" s="6">
        <f t="shared" si="31"/>
        <v>0</v>
      </c>
      <c r="AL108" s="5" t="str">
        <f t="shared" si="32"/>
        <v>LPG</v>
      </c>
      <c r="AM108" s="5">
        <f>1</f>
        <v>1</v>
      </c>
    </row>
    <row r="109" spans="1:39" s="5" customFormat="1" x14ac:dyDescent="0.3">
      <c r="A109" s="8"/>
      <c r="C109" s="4" t="s">
        <v>222</v>
      </c>
      <c r="D109" s="5" t="s">
        <v>223</v>
      </c>
      <c r="E109" s="5" t="s">
        <v>712</v>
      </c>
      <c r="F109" s="5" t="s">
        <v>1588</v>
      </c>
      <c r="G109" s="5">
        <v>1</v>
      </c>
      <c r="H109" s="6">
        <f>IF(SUMIFS('Industrial Summary'!$G:$G,'Industrial Summary'!$F:$F,H$17,'Industrial Summary'!$D:$D,$E109)&gt;0,(-SUMIFS('Industrial Summary'!$G:$G,'Industrial Summary'!$F:$F,H$17,'Industrial Summary'!$D:$D,$E109,'Industrial Summary'!$A:$A,"PFS")/SUMIFS('Industrial Summary'!$G:$G,'Industrial Summary'!$F:$F,H$17,'Industrial Summary'!$D:$D,$E109)),0)*0.98</f>
        <v>0</v>
      </c>
      <c r="I109" s="6">
        <f>IF(SUMIFS('Industrial Summary'!$G:$G,'Industrial Summary'!$F:$F,I$17,'Industrial Summary'!$D:$D,$E109)&gt;0,(-SUMIFS('Industrial Summary'!$G:$G,'Industrial Summary'!$F:$F,I$17,'Industrial Summary'!$D:$D,$E109,'Industrial Summary'!$A:$A,"PFS")/SUMIFS('Industrial Summary'!$G:$G,'Industrial Summary'!$F:$F,I$17,'Industrial Summary'!$D:$D,$E109)),0)*0.98</f>
        <v>0</v>
      </c>
      <c r="J109" s="6">
        <f>IF(SUMIFS('Industrial Summary'!$G:$G,'Industrial Summary'!$F:$F,J$17,'Industrial Summary'!$D:$D,$E109)&gt;0,(-SUMIFS('Industrial Summary'!$G:$G,'Industrial Summary'!$F:$F,J$17,'Industrial Summary'!$D:$D,$E109,'Industrial Summary'!$A:$A,"PFS")/SUMIFS('Industrial Summary'!$G:$G,'Industrial Summary'!$F:$F,J$17,'Industrial Summary'!$D:$D,$E109)),0)*0.98</f>
        <v>-0.98</v>
      </c>
      <c r="K109" s="6">
        <f>IF(SUMIFS('Industrial Summary'!$G:$G,'Industrial Summary'!$F:$F,K$17,'Industrial Summary'!$D:$D,$E109)&gt;0,(-SUMIFS('Industrial Summary'!$G:$G,'Industrial Summary'!$F:$F,K$17,'Industrial Summary'!$D:$D,$E109,'Industrial Summary'!$A:$A,"PFS")/SUMIFS('Industrial Summary'!$G:$G,'Industrial Summary'!$F:$F,K$17,'Industrial Summary'!$D:$D,$E109)),0)*0.98</f>
        <v>-0.98</v>
      </c>
      <c r="L109" s="6">
        <f>IF(SUMIFS('Industrial Summary'!$G:$G,'Industrial Summary'!$F:$F,L$17,'Industrial Summary'!$D:$D,$E109)&gt;0,(-SUMIFS('Industrial Summary'!$G:$G,'Industrial Summary'!$F:$F,L$17,'Industrial Summary'!$D:$D,$E109,'Industrial Summary'!$A:$A,"PFS")/SUMIFS('Industrial Summary'!$G:$G,'Industrial Summary'!$F:$F,L$17,'Industrial Summary'!$D:$D,$E109)),0)*0.98</f>
        <v>-0.29093224890915093</v>
      </c>
      <c r="M109" s="6">
        <f>IF(SUMIFS('Industrial Summary'!$G:$G,'Industrial Summary'!$F:$F,M$17,'Industrial Summary'!$D:$D,$E109)&gt;0,(-SUMIFS('Industrial Summary'!$G:$G,'Industrial Summary'!$F:$F,M$17,'Industrial Summary'!$D:$D,$E109,'Industrial Summary'!$A:$A,"PFS")/SUMIFS('Industrial Summary'!$G:$G,'Industrial Summary'!$F:$F,M$17,'Industrial Summary'!$D:$D,$E109)),0)*0.98</f>
        <v>-0.29100402398773123</v>
      </c>
      <c r="N109" s="6">
        <f>IF(SUMIFS('Industrial Summary'!$G:$G,'Industrial Summary'!$F:$F,N$17,'Industrial Summary'!$D:$D,$E109)&gt;0,(-SUMIFS('Industrial Summary'!$G:$G,'Industrial Summary'!$F:$F,N$17,'Industrial Summary'!$D:$D,$E109,'Industrial Summary'!$A:$A,"PFS")/SUMIFS('Industrial Summary'!$G:$G,'Industrial Summary'!$F:$F,N$17,'Industrial Summary'!$D:$D,$E109)),0)*0.98</f>
        <v>-0.30665403815781322</v>
      </c>
      <c r="O109" s="6">
        <f>IF(SUMIFS('Industrial Summary'!$G:$G,'Industrial Summary'!$F:$F,O$17,'Industrial Summary'!$D:$D,$E109)&gt;0,(-SUMIFS('Industrial Summary'!$G:$G,'Industrial Summary'!$F:$F,O$17,'Industrial Summary'!$D:$D,$E109,'Industrial Summary'!$A:$A,"PFS")/SUMIFS('Industrial Summary'!$G:$G,'Industrial Summary'!$F:$F,O$17,'Industrial Summary'!$D:$D,$E109)),0)*0.98</f>
        <v>-0.38099914081355868</v>
      </c>
      <c r="P109" s="6">
        <f>IF(SUMIFS('Industrial Summary'!$G:$G,'Industrial Summary'!$F:$F,P$17,'Industrial Summary'!$D:$D,$E109)&gt;0,(-SUMIFS('Industrial Summary'!$G:$G,'Industrial Summary'!$F:$F,P$17,'Industrial Summary'!$D:$D,$E109,'Industrial Summary'!$A:$A,"PFS")/SUMIFS('Industrial Summary'!$G:$G,'Industrial Summary'!$F:$F,P$17,'Industrial Summary'!$D:$D,$E109)),0)*0.98</f>
        <v>-0.66343669451271448</v>
      </c>
      <c r="Q109" s="5">
        <v>0</v>
      </c>
      <c r="R109" s="5">
        <v>15</v>
      </c>
      <c r="S109" s="5" t="str">
        <f t="shared" si="18"/>
        <v>UC_ICOFS_PFS</v>
      </c>
      <c r="V109" s="4" t="str">
        <f t="shared" si="19"/>
        <v>S_ICOFSPFS</v>
      </c>
      <c r="W109" s="4" t="str">
        <f t="shared" si="20"/>
        <v>ICOFS_PFS</v>
      </c>
      <c r="X109" s="4" t="str">
        <f t="shared" si="21"/>
        <v>ICOFEED</v>
      </c>
      <c r="Y109" s="5" t="str">
        <f t="shared" si="22"/>
        <v>LO</v>
      </c>
      <c r="Z109" s="5">
        <v>1</v>
      </c>
      <c r="AA109" s="6">
        <f t="shared" si="23"/>
        <v>0</v>
      </c>
      <c r="AB109" s="6">
        <f t="shared" si="24"/>
        <v>0</v>
      </c>
      <c r="AC109" s="6">
        <f t="shared" si="25"/>
        <v>-0.98</v>
      </c>
      <c r="AD109" s="6">
        <f t="shared" si="26"/>
        <v>-0.98</v>
      </c>
      <c r="AE109" s="6">
        <f t="shared" si="27"/>
        <v>-0.29093224890915093</v>
      </c>
      <c r="AF109" s="6">
        <f t="shared" si="28"/>
        <v>-0.29100402398773123</v>
      </c>
      <c r="AG109" s="6">
        <f t="shared" si="29"/>
        <v>-0.30665403815781322</v>
      </c>
      <c r="AH109" s="6">
        <f t="shared" si="30"/>
        <v>-0.38099914081355868</v>
      </c>
      <c r="AI109" s="6">
        <f t="shared" si="31"/>
        <v>-0.66343669451271448</v>
      </c>
      <c r="AL109" s="5" t="str">
        <f t="shared" si="32"/>
        <v>PFS</v>
      </c>
      <c r="AM109" s="5">
        <f>1</f>
        <v>1</v>
      </c>
    </row>
    <row r="110" spans="1:39" s="5" customFormat="1" x14ac:dyDescent="0.3">
      <c r="C110" s="4" t="s">
        <v>224</v>
      </c>
      <c r="D110" s="5" t="s">
        <v>225</v>
      </c>
      <c r="E110" s="5" t="s">
        <v>773</v>
      </c>
      <c r="F110" s="5" t="s">
        <v>1588</v>
      </c>
      <c r="G110" s="5">
        <v>1</v>
      </c>
      <c r="H110" s="6">
        <f>(IF(SUMIFS('Industrial Summary'!$G:$G,'Industrial Summary'!$F:$F,H$17,'Industrial Summary'!$D:$D,$E110)&gt;0,((-SUMIFS('Industrial Summary'!$G:$G,'Industrial Summary'!$F:$F,H$17,'Industrial Summary'!$D:$D,$E110,'Industrial Summary'!$A:$A,"ELC")+-SUMIFS('Industrial Summary'!$G:$G,'Industrial Summary'!$F:$F,H$17,'Industrial Summary'!$D:$D,"ICOFSTM",'Industrial Summary'!$A:$A,"ELC"))/SUMIFS('Industrial Summary'!$G:$G,'Industrial Summary'!$F:$F,H$17,'Industrial Summary'!$D:$D,$E110)),0))*0.98</f>
        <v>-0.98</v>
      </c>
      <c r="I110" s="6">
        <f>(IF(SUMIFS('Industrial Summary'!$G:$G,'Industrial Summary'!$F:$F,I$17,'Industrial Summary'!$D:$D,$E110)&gt;0,((-SUMIFS('Industrial Summary'!$G:$G,'Industrial Summary'!$F:$F,I$17,'Industrial Summary'!$D:$D,$E110,'Industrial Summary'!$A:$A,"ELC")+-SUMIFS('Industrial Summary'!$G:$G,'Industrial Summary'!$F:$F,I$17,'Industrial Summary'!$D:$D,"ICOFSTM",'Industrial Summary'!$A:$A,"ELC"))/SUMIFS('Industrial Summary'!$G:$G,'Industrial Summary'!$F:$F,I$17,'Industrial Summary'!$D:$D,$E110)),0))*0.98</f>
        <v>-2.0961669331118105E-3</v>
      </c>
      <c r="J110" s="6">
        <f>(IF(SUMIFS('Industrial Summary'!$G:$G,'Industrial Summary'!$F:$F,J$17,'Industrial Summary'!$D:$D,$E110)&gt;0,((-SUMIFS('Industrial Summary'!$G:$G,'Industrial Summary'!$F:$F,J$17,'Industrial Summary'!$D:$D,$E110,'Industrial Summary'!$A:$A,"ELC")+-SUMIFS('Industrial Summary'!$G:$G,'Industrial Summary'!$F:$F,J$17,'Industrial Summary'!$D:$D,"ICOFSTM",'Industrial Summary'!$A:$A,"ELC"))/SUMIFS('Industrial Summary'!$G:$G,'Industrial Summary'!$F:$F,J$17,'Industrial Summary'!$D:$D,$E110)),0))*0.98</f>
        <v>-1.6742509899363125E-2</v>
      </c>
      <c r="K110" s="6">
        <f>(IF(SUMIFS('Industrial Summary'!$G:$G,'Industrial Summary'!$F:$F,K$17,'Industrial Summary'!$D:$D,$E110)&gt;0,((-SUMIFS('Industrial Summary'!$G:$G,'Industrial Summary'!$F:$F,K$17,'Industrial Summary'!$D:$D,$E110,'Industrial Summary'!$A:$A,"ELC")+-SUMIFS('Industrial Summary'!$G:$G,'Industrial Summary'!$F:$F,K$17,'Industrial Summary'!$D:$D,"ICOFSTM",'Industrial Summary'!$A:$A,"ELC"))/SUMIFS('Industrial Summary'!$G:$G,'Industrial Summary'!$F:$F,K$17,'Industrial Summary'!$D:$D,$E110)),0))*0.98</f>
        <v>-8.9747747767411054E-2</v>
      </c>
      <c r="L110" s="6">
        <f>(IF(SUMIFS('Industrial Summary'!$G:$G,'Industrial Summary'!$F:$F,L$17,'Industrial Summary'!$D:$D,$E110)&gt;0,((-SUMIFS('Industrial Summary'!$G:$G,'Industrial Summary'!$F:$F,L$17,'Industrial Summary'!$D:$D,$E110,'Industrial Summary'!$A:$A,"ELC")+-SUMIFS('Industrial Summary'!$G:$G,'Industrial Summary'!$F:$F,L$17,'Industrial Summary'!$D:$D,"ICOFSTM",'Industrial Summary'!$A:$A,"ELC"))/SUMIFS('Industrial Summary'!$G:$G,'Industrial Summary'!$F:$F,L$17,'Industrial Summary'!$D:$D,$E110)),0))*0.98</f>
        <v>-2.1512861195919039E-2</v>
      </c>
      <c r="M110" s="6">
        <f>(IF(SUMIFS('Industrial Summary'!$G:$G,'Industrial Summary'!$F:$F,M$17,'Industrial Summary'!$D:$D,$E110)&gt;0,((-SUMIFS('Industrial Summary'!$G:$G,'Industrial Summary'!$F:$F,M$17,'Industrial Summary'!$D:$D,$E110,'Industrial Summary'!$A:$A,"ELC")+-SUMIFS('Industrial Summary'!$G:$G,'Industrial Summary'!$F:$F,M$17,'Industrial Summary'!$D:$D,"ICOFSTM",'Industrial Summary'!$A:$A,"ELC"))/SUMIFS('Industrial Summary'!$G:$G,'Industrial Summary'!$F:$F,M$17,'Industrial Summary'!$D:$D,$E110)),0))*0.98</f>
        <v>-6.1057824189961654E-2</v>
      </c>
      <c r="N110" s="6">
        <f>(IF(SUMIFS('Industrial Summary'!$G:$G,'Industrial Summary'!$F:$F,N$17,'Industrial Summary'!$D:$D,$E110)&gt;0,((-SUMIFS('Industrial Summary'!$G:$G,'Industrial Summary'!$F:$F,N$17,'Industrial Summary'!$D:$D,$E110,'Industrial Summary'!$A:$A,"ELC")+-SUMIFS('Industrial Summary'!$G:$G,'Industrial Summary'!$F:$F,N$17,'Industrial Summary'!$D:$D,"ICOFSTM",'Industrial Summary'!$A:$A,"ELC"))/SUMIFS('Industrial Summary'!$G:$G,'Industrial Summary'!$F:$F,N$17,'Industrial Summary'!$D:$D,$E110)),0))*0.98</f>
        <v>-6.5470817219891592E-3</v>
      </c>
      <c r="O110" s="6">
        <f>(IF(SUMIFS('Industrial Summary'!$G:$G,'Industrial Summary'!$F:$F,O$17,'Industrial Summary'!$D:$D,$E110)&gt;0,((-SUMIFS('Industrial Summary'!$G:$G,'Industrial Summary'!$F:$F,O$17,'Industrial Summary'!$D:$D,$E110,'Industrial Summary'!$A:$A,"ELC")+-SUMIFS('Industrial Summary'!$G:$G,'Industrial Summary'!$F:$F,O$17,'Industrial Summary'!$D:$D,"ICOFSTM",'Industrial Summary'!$A:$A,"ELC"))/SUMIFS('Industrial Summary'!$G:$G,'Industrial Summary'!$F:$F,O$17,'Industrial Summary'!$D:$D,$E110)),0))*0.98</f>
        <v>-0.98</v>
      </c>
      <c r="P110" s="6">
        <f>(IF(SUMIFS('Industrial Summary'!$G:$G,'Industrial Summary'!$F:$F,P$17,'Industrial Summary'!$D:$D,$E110)&gt;0,((-SUMIFS('Industrial Summary'!$G:$G,'Industrial Summary'!$F:$F,P$17,'Industrial Summary'!$D:$D,$E110,'Industrial Summary'!$A:$A,"ELC")+-SUMIFS('Industrial Summary'!$G:$G,'Industrial Summary'!$F:$F,P$17,'Industrial Summary'!$D:$D,"ICOFSTM",'Industrial Summary'!$A:$A,"ELC"))/SUMIFS('Industrial Summary'!$G:$G,'Industrial Summary'!$F:$F,P$17,'Industrial Summary'!$D:$D,$E110)),0))*0.98</f>
        <v>-0.98</v>
      </c>
      <c r="Q110" s="5">
        <v>0</v>
      </c>
      <c r="R110" s="5">
        <v>15</v>
      </c>
      <c r="S110" s="5" t="str">
        <f t="shared" si="18"/>
        <v>UC_ICOST_ELC</v>
      </c>
      <c r="V110" s="4" t="str">
        <f t="shared" si="19"/>
        <v>S_ICOSTELC</v>
      </c>
      <c r="W110" s="4" t="str">
        <f t="shared" si="20"/>
        <v>ICOST_ELC</v>
      </c>
      <c r="X110" s="4" t="str">
        <f t="shared" si="21"/>
        <v>ICOSTM</v>
      </c>
      <c r="Y110" s="5" t="str">
        <f t="shared" si="22"/>
        <v>LO</v>
      </c>
      <c r="Z110" s="5">
        <v>1</v>
      </c>
      <c r="AA110" s="6">
        <f t="shared" si="23"/>
        <v>-0.98</v>
      </c>
      <c r="AB110" s="6">
        <f t="shared" si="24"/>
        <v>-2.0961669331118105E-3</v>
      </c>
      <c r="AC110" s="6">
        <f t="shared" si="25"/>
        <v>-1.6742509899363125E-2</v>
      </c>
      <c r="AD110" s="6">
        <f t="shared" si="26"/>
        <v>-8.9747747767411054E-2</v>
      </c>
      <c r="AE110" s="6">
        <f t="shared" si="27"/>
        <v>-2.1512861195919039E-2</v>
      </c>
      <c r="AF110" s="6">
        <f t="shared" si="28"/>
        <v>-6.1057824189961654E-2</v>
      </c>
      <c r="AG110" s="6">
        <f t="shared" si="29"/>
        <v>-6.5470817219891592E-3</v>
      </c>
      <c r="AH110" s="6">
        <f t="shared" si="30"/>
        <v>-0.98</v>
      </c>
      <c r="AI110" s="6">
        <f t="shared" si="31"/>
        <v>-0.98</v>
      </c>
      <c r="AL110" s="5" t="str">
        <f t="shared" si="32"/>
        <v>ELC</v>
      </c>
      <c r="AM110" s="5">
        <f>1</f>
        <v>1</v>
      </c>
    </row>
    <row r="111" spans="1:39" s="5" customFormat="1" x14ac:dyDescent="0.3">
      <c r="C111" s="4" t="s">
        <v>226</v>
      </c>
      <c r="D111" s="5" t="s">
        <v>227</v>
      </c>
      <c r="E111" s="5" t="s">
        <v>773</v>
      </c>
      <c r="F111" s="5" t="s">
        <v>1588</v>
      </c>
      <c r="G111" s="5">
        <v>1</v>
      </c>
      <c r="H111" s="6">
        <f>(IF(SUMIFS('Industrial Summary'!$G:$G,'Industrial Summary'!$F:$F,H$17,'Industrial Summary'!$D:$D,$E111)&gt;0,((-SUMIFS('Industrial Summary'!$G:$G,'Industrial Summary'!$F:$F,H$17,'Industrial Summary'!$D:$D,$E111,'Industrial Summary'!$A:$A,"RFL")+-SUMIFS('Industrial Summary'!$G:$G,'Industrial Summary'!$F:$F,H$17,'Industrial Summary'!$D:$D,"ICOFSTM",'Industrial Summary'!$A:$A,"RFL"))/SUMIFS('Industrial Summary'!$G:$G,'Industrial Summary'!$F:$F,H$17,'Industrial Summary'!$D:$D,$E111)),0))*0.98</f>
        <v>0</v>
      </c>
      <c r="I111" s="6">
        <f>(IF(SUMIFS('Industrial Summary'!$G:$G,'Industrial Summary'!$F:$F,I$17,'Industrial Summary'!$D:$D,$E111)&gt;0,((-SUMIFS('Industrial Summary'!$G:$G,'Industrial Summary'!$F:$F,I$17,'Industrial Summary'!$D:$D,$E111,'Industrial Summary'!$A:$A,"RFL")+-SUMIFS('Industrial Summary'!$G:$G,'Industrial Summary'!$F:$F,I$17,'Industrial Summary'!$D:$D,"ICOFSTM",'Industrial Summary'!$A:$A,"RFL"))/SUMIFS('Industrial Summary'!$G:$G,'Industrial Summary'!$F:$F,I$17,'Industrial Summary'!$D:$D,$E111)),0))*0.98</f>
        <v>0</v>
      </c>
      <c r="J111" s="6">
        <f>(IF(SUMIFS('Industrial Summary'!$G:$G,'Industrial Summary'!$F:$F,J$17,'Industrial Summary'!$D:$D,$E111)&gt;0,((-SUMIFS('Industrial Summary'!$G:$G,'Industrial Summary'!$F:$F,J$17,'Industrial Summary'!$D:$D,$E111,'Industrial Summary'!$A:$A,"RFL")+-SUMIFS('Industrial Summary'!$G:$G,'Industrial Summary'!$F:$F,J$17,'Industrial Summary'!$D:$D,"ICOFSTM",'Industrial Summary'!$A:$A,"RFL"))/SUMIFS('Industrial Summary'!$G:$G,'Industrial Summary'!$F:$F,J$17,'Industrial Summary'!$D:$D,$E111)),0))*0.98</f>
        <v>0</v>
      </c>
      <c r="K111" s="6">
        <f>(IF(SUMIFS('Industrial Summary'!$G:$G,'Industrial Summary'!$F:$F,K$17,'Industrial Summary'!$D:$D,$E111)&gt;0,((-SUMIFS('Industrial Summary'!$G:$G,'Industrial Summary'!$F:$F,K$17,'Industrial Summary'!$D:$D,$E111,'Industrial Summary'!$A:$A,"RFL")+-SUMIFS('Industrial Summary'!$G:$G,'Industrial Summary'!$F:$F,K$17,'Industrial Summary'!$D:$D,"ICOFSTM",'Industrial Summary'!$A:$A,"RFL"))/SUMIFS('Industrial Summary'!$G:$G,'Industrial Summary'!$F:$F,K$17,'Industrial Summary'!$D:$D,$E111)),0))*0.98</f>
        <v>0</v>
      </c>
      <c r="L111" s="6">
        <f>(IF(SUMIFS('Industrial Summary'!$G:$G,'Industrial Summary'!$F:$F,L$17,'Industrial Summary'!$D:$D,$E111)&gt;0,((-SUMIFS('Industrial Summary'!$G:$G,'Industrial Summary'!$F:$F,L$17,'Industrial Summary'!$D:$D,$E111,'Industrial Summary'!$A:$A,"RFL")+-SUMIFS('Industrial Summary'!$G:$G,'Industrial Summary'!$F:$F,L$17,'Industrial Summary'!$D:$D,"ICOFSTM",'Industrial Summary'!$A:$A,"RFL"))/SUMIFS('Industrial Summary'!$G:$G,'Industrial Summary'!$F:$F,L$17,'Industrial Summary'!$D:$D,$E111)),0))*0.98</f>
        <v>0</v>
      </c>
      <c r="M111" s="6">
        <f>(IF(SUMIFS('Industrial Summary'!$G:$G,'Industrial Summary'!$F:$F,M$17,'Industrial Summary'!$D:$D,$E111)&gt;0,((-SUMIFS('Industrial Summary'!$G:$G,'Industrial Summary'!$F:$F,M$17,'Industrial Summary'!$D:$D,$E111,'Industrial Summary'!$A:$A,"RFL")+-SUMIFS('Industrial Summary'!$G:$G,'Industrial Summary'!$F:$F,M$17,'Industrial Summary'!$D:$D,"ICOFSTM",'Industrial Summary'!$A:$A,"RFL"))/SUMIFS('Industrial Summary'!$G:$G,'Industrial Summary'!$F:$F,M$17,'Industrial Summary'!$D:$D,$E111)),0))*0.98</f>
        <v>-7.4654888357345447E-2</v>
      </c>
      <c r="N111" s="6">
        <f>(IF(SUMIFS('Industrial Summary'!$G:$G,'Industrial Summary'!$F:$F,N$17,'Industrial Summary'!$D:$D,$E111)&gt;0,((-SUMIFS('Industrial Summary'!$G:$G,'Industrial Summary'!$F:$F,N$17,'Industrial Summary'!$D:$D,$E111,'Industrial Summary'!$A:$A,"RFL")+-SUMIFS('Industrial Summary'!$G:$G,'Industrial Summary'!$F:$F,N$17,'Industrial Summary'!$D:$D,"ICOFSTM",'Industrial Summary'!$A:$A,"RFL"))/SUMIFS('Industrial Summary'!$G:$G,'Industrial Summary'!$F:$F,N$17,'Industrial Summary'!$D:$D,$E111)),0))*0.98</f>
        <v>0</v>
      </c>
      <c r="O111" s="6">
        <f>(IF(SUMIFS('Industrial Summary'!$G:$G,'Industrial Summary'!$F:$F,O$17,'Industrial Summary'!$D:$D,$E111)&gt;0,((-SUMIFS('Industrial Summary'!$G:$G,'Industrial Summary'!$F:$F,O$17,'Industrial Summary'!$D:$D,$E111,'Industrial Summary'!$A:$A,"RFL")+-SUMIFS('Industrial Summary'!$G:$G,'Industrial Summary'!$F:$F,O$17,'Industrial Summary'!$D:$D,"ICOFSTM",'Industrial Summary'!$A:$A,"RFL"))/SUMIFS('Industrial Summary'!$G:$G,'Industrial Summary'!$F:$F,O$17,'Industrial Summary'!$D:$D,$E111)),0))*0.98</f>
        <v>0</v>
      </c>
      <c r="P111" s="6">
        <f>(IF(SUMIFS('Industrial Summary'!$G:$G,'Industrial Summary'!$F:$F,P$17,'Industrial Summary'!$D:$D,$E111)&gt;0,((-SUMIFS('Industrial Summary'!$G:$G,'Industrial Summary'!$F:$F,P$17,'Industrial Summary'!$D:$D,$E111,'Industrial Summary'!$A:$A,"RFL")+-SUMIFS('Industrial Summary'!$G:$G,'Industrial Summary'!$F:$F,P$17,'Industrial Summary'!$D:$D,"ICOFSTM",'Industrial Summary'!$A:$A,"RFL"))/SUMIFS('Industrial Summary'!$G:$G,'Industrial Summary'!$F:$F,P$17,'Industrial Summary'!$D:$D,$E111)),0))*0.98</f>
        <v>0</v>
      </c>
      <c r="Q111" s="5">
        <v>0</v>
      </c>
      <c r="R111" s="5">
        <v>15</v>
      </c>
      <c r="S111" s="5" t="str">
        <f t="shared" si="18"/>
        <v>UC_ICOST_RFL</v>
      </c>
      <c r="V111" s="4" t="str">
        <f t="shared" si="19"/>
        <v>S_ICOSTRFL</v>
      </c>
      <c r="W111" s="4" t="str">
        <f t="shared" si="20"/>
        <v>ICOST_RFL</v>
      </c>
      <c r="X111" s="4" t="str">
        <f t="shared" si="21"/>
        <v>ICOSTM</v>
      </c>
      <c r="Y111" s="5" t="str">
        <f t="shared" si="22"/>
        <v>LO</v>
      </c>
      <c r="Z111" s="5">
        <v>1</v>
      </c>
      <c r="AA111" s="6">
        <f t="shared" si="23"/>
        <v>0</v>
      </c>
      <c r="AB111" s="6">
        <f t="shared" si="24"/>
        <v>0</v>
      </c>
      <c r="AC111" s="6">
        <f t="shared" si="25"/>
        <v>0</v>
      </c>
      <c r="AD111" s="6">
        <f t="shared" si="26"/>
        <v>0</v>
      </c>
      <c r="AE111" s="6">
        <f t="shared" si="27"/>
        <v>0</v>
      </c>
      <c r="AF111" s="6">
        <f t="shared" si="28"/>
        <v>-7.4654888357345447E-2</v>
      </c>
      <c r="AG111" s="6">
        <f t="shared" si="29"/>
        <v>0</v>
      </c>
      <c r="AH111" s="6">
        <f t="shared" si="30"/>
        <v>0</v>
      </c>
      <c r="AI111" s="6">
        <f t="shared" si="31"/>
        <v>0</v>
      </c>
      <c r="AL111" s="5" t="str">
        <f t="shared" si="32"/>
        <v>RFL</v>
      </c>
      <c r="AM111" s="5">
        <f>1</f>
        <v>1</v>
      </c>
    </row>
    <row r="112" spans="1:39" s="5" customFormat="1" x14ac:dyDescent="0.3">
      <c r="C112" s="4" t="s">
        <v>228</v>
      </c>
      <c r="D112" s="5" t="s">
        <v>229</v>
      </c>
      <c r="E112" s="5" t="s">
        <v>773</v>
      </c>
      <c r="F112" s="5" t="s">
        <v>1588</v>
      </c>
      <c r="G112" s="5">
        <v>1</v>
      </c>
      <c r="H112" s="6">
        <f>(IF(SUMIFS('Industrial Summary'!$G:$G,'Industrial Summary'!$F:$F,H$17,'Industrial Summary'!$D:$D,$E112)&gt;0,((-SUMIFS('Industrial Summary'!$G:$G,'Industrial Summary'!$F:$F,H$17,'Industrial Summary'!$D:$D,$E112,'Industrial Summary'!$A:$A,"NGA")+-SUMIFS('Industrial Summary'!$G:$G,'Industrial Summary'!$F:$F,H$17,'Industrial Summary'!$D:$D,"ICOFSTM",'Industrial Summary'!$A:$A,"NGA"))/SUMIFS('Industrial Summary'!$G:$G,'Industrial Summary'!$F:$F,H$17,'Industrial Summary'!$D:$D,$E112)),0))*0.98</f>
        <v>0</v>
      </c>
      <c r="I112" s="6">
        <f>(IF(SUMIFS('Industrial Summary'!$G:$G,'Industrial Summary'!$F:$F,I$17,'Industrial Summary'!$D:$D,$E112)&gt;0,((-SUMIFS('Industrial Summary'!$G:$G,'Industrial Summary'!$F:$F,I$17,'Industrial Summary'!$D:$D,$E112,'Industrial Summary'!$A:$A,"NGA")+-SUMIFS('Industrial Summary'!$G:$G,'Industrial Summary'!$F:$F,I$17,'Industrial Summary'!$D:$D,"ICOFSTM",'Industrial Summary'!$A:$A,"NGA"))/SUMIFS('Industrial Summary'!$G:$G,'Industrial Summary'!$F:$F,I$17,'Industrial Summary'!$D:$D,$E112)),0))*0.98</f>
        <v>-6.7437511154834109E-2</v>
      </c>
      <c r="J112" s="6">
        <f>(IF(SUMIFS('Industrial Summary'!$G:$G,'Industrial Summary'!$F:$F,J$17,'Industrial Summary'!$D:$D,$E112)&gt;0,((-SUMIFS('Industrial Summary'!$G:$G,'Industrial Summary'!$F:$F,J$17,'Industrial Summary'!$D:$D,$E112,'Industrial Summary'!$A:$A,"NGA")+-SUMIFS('Industrial Summary'!$G:$G,'Industrial Summary'!$F:$F,J$17,'Industrial Summary'!$D:$D,"ICOFSTM",'Industrial Summary'!$A:$A,"NGA"))/SUMIFS('Industrial Summary'!$G:$G,'Industrial Summary'!$F:$F,J$17,'Industrial Summary'!$D:$D,$E112)),0))*0.98</f>
        <v>-0.89845702406555472</v>
      </c>
      <c r="K112" s="6">
        <f>(IF(SUMIFS('Industrial Summary'!$G:$G,'Industrial Summary'!$F:$F,K$17,'Industrial Summary'!$D:$D,$E112)&gt;0,((-SUMIFS('Industrial Summary'!$G:$G,'Industrial Summary'!$F:$F,K$17,'Industrial Summary'!$D:$D,$E112,'Industrial Summary'!$A:$A,"NGA")+-SUMIFS('Industrial Summary'!$G:$G,'Industrial Summary'!$F:$F,K$17,'Industrial Summary'!$D:$D,"ICOFSTM",'Industrial Summary'!$A:$A,"NGA"))/SUMIFS('Industrial Summary'!$G:$G,'Industrial Summary'!$F:$F,K$17,'Industrial Summary'!$D:$D,$E112)),0))*0.98</f>
        <v>-0.68711761353574596</v>
      </c>
      <c r="L112" s="6">
        <f>(IF(SUMIFS('Industrial Summary'!$G:$G,'Industrial Summary'!$F:$F,L$17,'Industrial Summary'!$D:$D,$E112)&gt;0,((-SUMIFS('Industrial Summary'!$G:$G,'Industrial Summary'!$F:$F,L$17,'Industrial Summary'!$D:$D,$E112,'Industrial Summary'!$A:$A,"NGA")+-SUMIFS('Industrial Summary'!$G:$G,'Industrial Summary'!$F:$F,L$17,'Industrial Summary'!$D:$D,"ICOFSTM",'Industrial Summary'!$A:$A,"NGA"))/SUMIFS('Industrial Summary'!$G:$G,'Industrial Summary'!$F:$F,L$17,'Industrial Summary'!$D:$D,$E112)),0))*0.98</f>
        <v>-0.23937045066320795</v>
      </c>
      <c r="M112" s="6">
        <f>(IF(SUMIFS('Industrial Summary'!$G:$G,'Industrial Summary'!$F:$F,M$17,'Industrial Summary'!$D:$D,$E112)&gt;0,((-SUMIFS('Industrial Summary'!$G:$G,'Industrial Summary'!$F:$F,M$17,'Industrial Summary'!$D:$D,$E112,'Industrial Summary'!$A:$A,"NGA")+-SUMIFS('Industrial Summary'!$G:$G,'Industrial Summary'!$F:$F,M$17,'Industrial Summary'!$D:$D,"ICOFSTM",'Industrial Summary'!$A:$A,"NGA"))/SUMIFS('Industrial Summary'!$G:$G,'Industrial Summary'!$F:$F,M$17,'Industrial Summary'!$D:$D,$E112)),0))*0.98</f>
        <v>-0.73461849098238374</v>
      </c>
      <c r="N112" s="6">
        <f>(IF(SUMIFS('Industrial Summary'!$G:$G,'Industrial Summary'!$F:$F,N$17,'Industrial Summary'!$D:$D,$E112)&gt;0,((-SUMIFS('Industrial Summary'!$G:$G,'Industrial Summary'!$F:$F,N$17,'Industrial Summary'!$D:$D,$E112,'Industrial Summary'!$A:$A,"NGA")+-SUMIFS('Industrial Summary'!$G:$G,'Industrial Summary'!$F:$F,N$17,'Industrial Summary'!$D:$D,"ICOFSTM",'Industrial Summary'!$A:$A,"NGA"))/SUMIFS('Industrial Summary'!$G:$G,'Industrial Summary'!$F:$F,N$17,'Industrial Summary'!$D:$D,$E112)),0))*0.98</f>
        <v>-0.97345291827801084</v>
      </c>
      <c r="O112" s="6">
        <f>(IF(SUMIFS('Industrial Summary'!$G:$G,'Industrial Summary'!$F:$F,O$17,'Industrial Summary'!$D:$D,$E112)&gt;0,((-SUMIFS('Industrial Summary'!$G:$G,'Industrial Summary'!$F:$F,O$17,'Industrial Summary'!$D:$D,$E112,'Industrial Summary'!$A:$A,"NGA")+-SUMIFS('Industrial Summary'!$G:$G,'Industrial Summary'!$F:$F,O$17,'Industrial Summary'!$D:$D,"ICOFSTM",'Industrial Summary'!$A:$A,"NGA"))/SUMIFS('Industrial Summary'!$G:$G,'Industrial Summary'!$F:$F,O$17,'Industrial Summary'!$D:$D,$E112)),0))*0.98</f>
        <v>0</v>
      </c>
      <c r="P112" s="6">
        <f>(IF(SUMIFS('Industrial Summary'!$G:$G,'Industrial Summary'!$F:$F,P$17,'Industrial Summary'!$D:$D,$E112)&gt;0,((-SUMIFS('Industrial Summary'!$G:$G,'Industrial Summary'!$F:$F,P$17,'Industrial Summary'!$D:$D,$E112,'Industrial Summary'!$A:$A,"NGA")+-SUMIFS('Industrial Summary'!$G:$G,'Industrial Summary'!$F:$F,P$17,'Industrial Summary'!$D:$D,"ICOFSTM",'Industrial Summary'!$A:$A,"NGA"))/SUMIFS('Industrial Summary'!$G:$G,'Industrial Summary'!$F:$F,P$17,'Industrial Summary'!$D:$D,$E112)),0))*0.98</f>
        <v>0</v>
      </c>
      <c r="Q112" s="5">
        <v>0</v>
      </c>
      <c r="R112" s="5">
        <v>15</v>
      </c>
      <c r="S112" s="5" t="str">
        <f t="shared" si="18"/>
        <v>UC_ICOST_NGA</v>
      </c>
      <c r="V112" s="4" t="str">
        <f t="shared" si="19"/>
        <v>S_ICOSTNGA</v>
      </c>
      <c r="W112" s="4" t="str">
        <f t="shared" si="20"/>
        <v>ICOST_NGA</v>
      </c>
      <c r="X112" s="4" t="str">
        <f t="shared" si="21"/>
        <v>ICOSTM</v>
      </c>
      <c r="Y112" s="5" t="str">
        <f t="shared" si="22"/>
        <v>LO</v>
      </c>
      <c r="Z112" s="5">
        <v>1</v>
      </c>
      <c r="AA112" s="6">
        <f t="shared" si="23"/>
        <v>0</v>
      </c>
      <c r="AB112" s="6">
        <f t="shared" si="24"/>
        <v>-6.0693760039350703E-2</v>
      </c>
      <c r="AC112" s="6">
        <f t="shared" si="25"/>
        <v>-0.80861132165899929</v>
      </c>
      <c r="AD112" s="6">
        <f t="shared" si="26"/>
        <v>-0.61840585218217137</v>
      </c>
      <c r="AE112" s="6">
        <f t="shared" si="27"/>
        <v>-0.21543340559688715</v>
      </c>
      <c r="AF112" s="6">
        <f t="shared" si="28"/>
        <v>-0.66115664188414536</v>
      </c>
      <c r="AG112" s="6">
        <f t="shared" si="29"/>
        <v>-0.87610762645020979</v>
      </c>
      <c r="AH112" s="6">
        <f t="shared" si="30"/>
        <v>0</v>
      </c>
      <c r="AI112" s="6">
        <f t="shared" si="31"/>
        <v>0</v>
      </c>
      <c r="AL112" s="5" t="str">
        <f t="shared" si="32"/>
        <v>NGA</v>
      </c>
      <c r="AM112" s="5">
        <f>Y7</f>
        <v>0.9</v>
      </c>
    </row>
    <row r="113" spans="1:39" s="5" customFormat="1" x14ac:dyDescent="0.3">
      <c r="A113" s="8"/>
      <c r="C113" s="4" t="s">
        <v>230</v>
      </c>
      <c r="D113" s="5" t="s">
        <v>231</v>
      </c>
      <c r="E113" s="5" t="s">
        <v>773</v>
      </c>
      <c r="F113" s="5" t="s">
        <v>1591</v>
      </c>
      <c r="G113" s="5">
        <v>1</v>
      </c>
      <c r="H113" s="6">
        <f>(IF(SUMIFS('Industrial Summary'!$G:$G,'Industrial Summary'!$F:$F,H$17,'Industrial Summary'!$D:$D,$E113)&gt;0,((-SUMIFS('Industrial Summary'!$G:$G,'Industrial Summary'!$F:$F,H$17,'Industrial Summary'!$D:$D,$E113,'Industrial Summary'!$A:$A,"COA")+-SUMIFS('Industrial Summary'!$G:$G,'Industrial Summary'!$F:$F,H$17,'Industrial Summary'!$D:$D,"ICOFSTM",'Industrial Summary'!$A:$A,"COA"))/SUMIFS('Industrial Summary'!$G:$G,'Industrial Summary'!$F:$F,H$17,'Industrial Summary'!$D:$D,$E113)),0))*0.98</f>
        <v>0</v>
      </c>
      <c r="I113" s="6">
        <f>(IF(SUMIFS('Industrial Summary'!$G:$G,'Industrial Summary'!$F:$F,I$17,'Industrial Summary'!$D:$D,$E113)&gt;0,((-SUMIFS('Industrial Summary'!$G:$G,'Industrial Summary'!$F:$F,I$17,'Industrial Summary'!$D:$D,$E113,'Industrial Summary'!$A:$A,"COA")+-SUMIFS('Industrial Summary'!$G:$G,'Industrial Summary'!$F:$F,I$17,'Industrial Summary'!$D:$D,"ICOFSTM",'Industrial Summary'!$A:$A,"COA"))/SUMIFS('Industrial Summary'!$G:$G,'Industrial Summary'!$F:$F,I$17,'Industrial Summary'!$D:$D,$E113)),0))*0.98</f>
        <v>-0.91046632191205401</v>
      </c>
      <c r="J113" s="6">
        <f>(IF(SUMIFS('Industrial Summary'!$G:$G,'Industrial Summary'!$F:$F,J$17,'Industrial Summary'!$D:$D,$E113)&gt;0,((-SUMIFS('Industrial Summary'!$G:$G,'Industrial Summary'!$F:$F,J$17,'Industrial Summary'!$D:$D,$E113,'Industrial Summary'!$A:$A,"COA")+-SUMIFS('Industrial Summary'!$G:$G,'Industrial Summary'!$F:$F,J$17,'Industrial Summary'!$D:$D,"ICOFSTM",'Industrial Summary'!$A:$A,"COA"))/SUMIFS('Industrial Summary'!$G:$G,'Industrial Summary'!$F:$F,J$17,'Industrial Summary'!$D:$D,$E113)),0))*0.98</f>
        <v>-6.4800466035082174E-2</v>
      </c>
      <c r="K113" s="6">
        <f>(IF(SUMIFS('Industrial Summary'!$G:$G,'Industrial Summary'!$F:$F,K$17,'Industrial Summary'!$D:$D,$E113)&gt;0,((-SUMIFS('Industrial Summary'!$G:$G,'Industrial Summary'!$F:$F,K$17,'Industrial Summary'!$D:$D,$E113,'Industrial Summary'!$A:$A,"COA")+-SUMIFS('Industrial Summary'!$G:$G,'Industrial Summary'!$F:$F,K$17,'Industrial Summary'!$D:$D,"ICOFSTM",'Industrial Summary'!$A:$A,"COA"))/SUMIFS('Industrial Summary'!$G:$G,'Industrial Summary'!$F:$F,K$17,'Industrial Summary'!$D:$D,$E113)),0))*0.98</f>
        <v>-0.20313463869684323</v>
      </c>
      <c r="L113" s="6">
        <f>(IF(SUMIFS('Industrial Summary'!$G:$G,'Industrial Summary'!$F:$F,L$17,'Industrial Summary'!$D:$D,$E113)&gt;0,((-SUMIFS('Industrial Summary'!$G:$G,'Industrial Summary'!$F:$F,L$17,'Industrial Summary'!$D:$D,$E113,'Industrial Summary'!$A:$A,"COA")+-SUMIFS('Industrial Summary'!$G:$G,'Industrial Summary'!$F:$F,L$17,'Industrial Summary'!$D:$D,"ICOFSTM",'Industrial Summary'!$A:$A,"COA"))/SUMIFS('Industrial Summary'!$G:$G,'Industrial Summary'!$F:$F,L$17,'Industrial Summary'!$D:$D,$E113)),0))*0.98</f>
        <v>-0.71911668814087293</v>
      </c>
      <c r="M113" s="6">
        <f>(IF(SUMIFS('Industrial Summary'!$G:$G,'Industrial Summary'!$F:$F,M$17,'Industrial Summary'!$D:$D,$E113)&gt;0,((-SUMIFS('Industrial Summary'!$G:$G,'Industrial Summary'!$F:$F,M$17,'Industrial Summary'!$D:$D,$E113,'Industrial Summary'!$A:$A,"COA")+-SUMIFS('Industrial Summary'!$G:$G,'Industrial Summary'!$F:$F,M$17,'Industrial Summary'!$D:$D,"ICOFSTM",'Industrial Summary'!$A:$A,"COA"))/SUMIFS('Industrial Summary'!$G:$G,'Industrial Summary'!$F:$F,M$17,'Industrial Summary'!$D:$D,$E113)),0))*0.98</f>
        <v>-0.10966879647030915</v>
      </c>
      <c r="N113" s="6">
        <f>(IF(SUMIFS('Industrial Summary'!$G:$G,'Industrial Summary'!$F:$F,N$17,'Industrial Summary'!$D:$D,$E113)&gt;0,((-SUMIFS('Industrial Summary'!$G:$G,'Industrial Summary'!$F:$F,N$17,'Industrial Summary'!$D:$D,$E113,'Industrial Summary'!$A:$A,"COA")+-SUMIFS('Industrial Summary'!$G:$G,'Industrial Summary'!$F:$F,N$17,'Industrial Summary'!$D:$D,"ICOFSTM",'Industrial Summary'!$A:$A,"COA"))/SUMIFS('Industrial Summary'!$G:$G,'Industrial Summary'!$F:$F,N$17,'Industrial Summary'!$D:$D,$E113)),0))*0.98</f>
        <v>0</v>
      </c>
      <c r="O113" s="6">
        <f>(IF(SUMIFS('Industrial Summary'!$G:$G,'Industrial Summary'!$F:$F,O$17,'Industrial Summary'!$D:$D,$E113)&gt;0,((-SUMIFS('Industrial Summary'!$G:$G,'Industrial Summary'!$F:$F,O$17,'Industrial Summary'!$D:$D,$E113,'Industrial Summary'!$A:$A,"COA")+-SUMIFS('Industrial Summary'!$G:$G,'Industrial Summary'!$F:$F,O$17,'Industrial Summary'!$D:$D,"ICOFSTM",'Industrial Summary'!$A:$A,"COA"))/SUMIFS('Industrial Summary'!$G:$G,'Industrial Summary'!$F:$F,O$17,'Industrial Summary'!$D:$D,$E113)),0))*0.98</f>
        <v>0</v>
      </c>
      <c r="P113" s="6">
        <f>(IF(SUMIFS('Industrial Summary'!$G:$G,'Industrial Summary'!$F:$F,P$17,'Industrial Summary'!$D:$D,$E113)&gt;0,((-SUMIFS('Industrial Summary'!$G:$G,'Industrial Summary'!$F:$F,P$17,'Industrial Summary'!$D:$D,$E113,'Industrial Summary'!$A:$A,"COA")+-SUMIFS('Industrial Summary'!$G:$G,'Industrial Summary'!$F:$F,P$17,'Industrial Summary'!$D:$D,"ICOFSTM",'Industrial Summary'!$A:$A,"COA"))/SUMIFS('Industrial Summary'!$G:$G,'Industrial Summary'!$F:$F,P$17,'Industrial Summary'!$D:$D,$E113)),0))*0.98</f>
        <v>0</v>
      </c>
      <c r="Q113" s="5">
        <v>0</v>
      </c>
      <c r="R113" s="5">
        <v>15</v>
      </c>
      <c r="S113" s="5" t="str">
        <f t="shared" si="18"/>
        <v>UC_ICOST_COA</v>
      </c>
      <c r="V113" s="4" t="str">
        <f t="shared" si="19"/>
        <v>S_ICOSTCOA</v>
      </c>
      <c r="W113" s="4" t="str">
        <f t="shared" si="20"/>
        <v>ICOST_COA</v>
      </c>
      <c r="X113" s="4" t="str">
        <f t="shared" si="21"/>
        <v>ICOSTM</v>
      </c>
      <c r="Y113" s="5" t="str">
        <f t="shared" si="22"/>
        <v>UP</v>
      </c>
      <c r="Z113" s="5">
        <v>1</v>
      </c>
      <c r="AA113" s="6">
        <f t="shared" si="23"/>
        <v>0</v>
      </c>
      <c r="AB113" s="6">
        <f t="shared" si="24"/>
        <v>-0.58269844602371457</v>
      </c>
      <c r="AC113" s="6">
        <f t="shared" si="25"/>
        <v>-4.1472298262452592E-2</v>
      </c>
      <c r="AD113" s="6">
        <f t="shared" si="26"/>
        <v>-0.13000616876597967</v>
      </c>
      <c r="AE113" s="6">
        <f t="shared" si="27"/>
        <v>-0.46023468041015869</v>
      </c>
      <c r="AF113" s="6">
        <f t="shared" si="28"/>
        <v>-7.0188029740997859E-2</v>
      </c>
      <c r="AG113" s="6">
        <f t="shared" si="29"/>
        <v>0</v>
      </c>
      <c r="AH113" s="6">
        <f t="shared" si="30"/>
        <v>0</v>
      </c>
      <c r="AI113" s="6">
        <f t="shared" si="31"/>
        <v>0</v>
      </c>
      <c r="AL113" s="5" t="str">
        <f t="shared" si="32"/>
        <v>COA</v>
      </c>
      <c r="AM113" s="5">
        <f>Z7</f>
        <v>0.64</v>
      </c>
    </row>
    <row r="114" spans="1:39" s="5" customFormat="1" x14ac:dyDescent="0.3">
      <c r="C114" s="4" t="s">
        <v>234</v>
      </c>
      <c r="D114" s="5" t="s">
        <v>235</v>
      </c>
      <c r="E114" s="5" t="s">
        <v>789</v>
      </c>
      <c r="F114" s="5" t="s">
        <v>1588</v>
      </c>
      <c r="G114" s="5">
        <v>1</v>
      </c>
      <c r="H114" s="6">
        <f>IF(SUMIFS('Industrial Summary'!$G:$G,'Industrial Summary'!$F:$F,H$17,'Industrial Summary'!$D:$D,$E114)&gt;0,(-SUMIFS('Industrial Summary'!$G:$G,'Industrial Summary'!$F:$F,H$17,'Industrial Summary'!$D:$D,$E114,'Industrial Summary'!$A:$A,"ELC")/SUMIFS('Industrial Summary'!$G:$G,'Industrial Summary'!$F:$F,H$17,'Industrial Summary'!$D:$D,$E114)),0)*0.98</f>
        <v>-5.4425180813239458E-2</v>
      </c>
      <c r="I114" s="6">
        <f>IF(SUMIFS('Industrial Summary'!$G:$G,'Industrial Summary'!$F:$F,I$17,'Industrial Summary'!$D:$D,$E114)&gt;0,(-SUMIFS('Industrial Summary'!$G:$G,'Industrial Summary'!$F:$F,I$17,'Industrial Summary'!$D:$D,$E114,'Industrial Summary'!$A:$A,"ELC")/SUMIFS('Industrial Summary'!$G:$G,'Industrial Summary'!$F:$F,I$17,'Industrial Summary'!$D:$D,$E114)),0)*0.98</f>
        <v>-5.4425180813240701E-2</v>
      </c>
      <c r="J114" s="6">
        <f>IF(SUMIFS('Industrial Summary'!$G:$G,'Industrial Summary'!$F:$F,J$17,'Industrial Summary'!$D:$D,$E114)&gt;0,(-SUMIFS('Industrial Summary'!$G:$G,'Industrial Summary'!$F:$F,J$17,'Industrial Summary'!$D:$D,$E114,'Industrial Summary'!$A:$A,"ELC")/SUMIFS('Industrial Summary'!$G:$G,'Industrial Summary'!$F:$F,J$17,'Industrial Summary'!$D:$D,$E114)),0)*0.98</f>
        <v>-5.399046972553867E-2</v>
      </c>
      <c r="K114" s="6">
        <f>IF(SUMIFS('Industrial Summary'!$G:$G,'Industrial Summary'!$F:$F,K$17,'Industrial Summary'!$D:$D,$E114)&gt;0,(-SUMIFS('Industrial Summary'!$G:$G,'Industrial Summary'!$F:$F,K$17,'Industrial Summary'!$D:$D,$E114,'Industrial Summary'!$A:$A,"ELC")/SUMIFS('Industrial Summary'!$G:$G,'Industrial Summary'!$F:$F,K$17,'Industrial Summary'!$D:$D,$E114)),0)*0.98</f>
        <v>-7.1671619821467414E-2</v>
      </c>
      <c r="L114" s="6">
        <f>IF(SUMIFS('Industrial Summary'!$G:$G,'Industrial Summary'!$F:$F,L$17,'Industrial Summary'!$D:$D,$E114)&gt;0,(-SUMIFS('Industrial Summary'!$G:$G,'Industrial Summary'!$F:$F,L$17,'Industrial Summary'!$D:$D,$E114,'Industrial Summary'!$A:$A,"ELC")/SUMIFS('Industrial Summary'!$G:$G,'Industrial Summary'!$F:$F,L$17,'Industrial Summary'!$D:$D,$E114)),0)*0.98</f>
        <v>-2.8156632597080494E-2</v>
      </c>
      <c r="M114" s="6">
        <f>IF(SUMIFS('Industrial Summary'!$G:$G,'Industrial Summary'!$F:$F,M$17,'Industrial Summary'!$D:$D,$E114)&gt;0,(-SUMIFS('Industrial Summary'!$G:$G,'Industrial Summary'!$F:$F,M$17,'Industrial Summary'!$D:$D,$E114,'Industrial Summary'!$A:$A,"ELC")/SUMIFS('Industrial Summary'!$G:$G,'Industrial Summary'!$F:$F,M$17,'Industrial Summary'!$D:$D,$E114)),0)*0.98</f>
        <v>-2.8163579040882365E-2</v>
      </c>
      <c r="N114" s="6">
        <f>IF(SUMIFS('Industrial Summary'!$G:$G,'Industrial Summary'!$F:$F,N$17,'Industrial Summary'!$D:$D,$E114)&gt;0,(-SUMIFS('Industrial Summary'!$G:$G,'Industrial Summary'!$F:$F,N$17,'Industrial Summary'!$D:$D,$E114,'Industrial Summary'!$A:$A,"ELC")/SUMIFS('Industrial Summary'!$G:$G,'Industrial Summary'!$F:$F,N$17,'Industrial Summary'!$D:$D,$E114)),0)*0.98</f>
        <v>-2.9678198684384722E-2</v>
      </c>
      <c r="O114" s="6">
        <f>IF(SUMIFS('Industrial Summary'!$G:$G,'Industrial Summary'!$F:$F,O$17,'Industrial Summary'!$D:$D,$E114)&gt;0,(-SUMIFS('Industrial Summary'!$G:$G,'Industrial Summary'!$F:$F,O$17,'Industrial Summary'!$D:$D,$E114,'Industrial Summary'!$A:$A,"ELC")/SUMIFS('Industrial Summary'!$G:$G,'Industrial Summary'!$F:$F,O$17,'Industrial Summary'!$D:$D,$E114)),0)*0.98</f>
        <v>-0.11662686121143287</v>
      </c>
      <c r="P114" s="6">
        <f>IF(SUMIFS('Industrial Summary'!$G:$G,'Industrial Summary'!$F:$F,P$17,'Industrial Summary'!$D:$D,$E114)&gt;0,(-SUMIFS('Industrial Summary'!$G:$G,'Industrial Summary'!$F:$F,P$17,'Industrial Summary'!$D:$D,$E114,'Industrial Summary'!$A:$A,"ELC")/SUMIFS('Industrial Summary'!$G:$G,'Industrial Summary'!$F:$F,P$17,'Industrial Summary'!$D:$D,$E114)),0)*0.98</f>
        <v>0</v>
      </c>
      <c r="Q114" s="5">
        <v>0</v>
      </c>
      <c r="R114" s="5">
        <v>15</v>
      </c>
      <c r="S114" s="5" t="str">
        <f t="shared" si="18"/>
        <v>UC_ICOPH_ELC</v>
      </c>
      <c r="V114" s="4" t="str">
        <f t="shared" si="19"/>
        <v>S_ICOPHELC</v>
      </c>
      <c r="W114" s="4" t="str">
        <f t="shared" si="20"/>
        <v>ICOPH_ELC</v>
      </c>
      <c r="X114" s="4" t="str">
        <f t="shared" si="21"/>
        <v>ICOPRH</v>
      </c>
      <c r="Y114" s="5" t="str">
        <f t="shared" si="22"/>
        <v>LO</v>
      </c>
      <c r="Z114" s="5">
        <v>1</v>
      </c>
      <c r="AA114" s="6">
        <f t="shared" si="23"/>
        <v>-5.4425180813239458E-2</v>
      </c>
      <c r="AB114" s="6">
        <f t="shared" si="24"/>
        <v>-5.4425180813240701E-2</v>
      </c>
      <c r="AC114" s="6">
        <f t="shared" si="25"/>
        <v>-5.399046972553867E-2</v>
      </c>
      <c r="AD114" s="6">
        <f t="shared" si="26"/>
        <v>-7.1671619821467414E-2</v>
      </c>
      <c r="AE114" s="6">
        <f t="shared" si="27"/>
        <v>-2.8156632597080494E-2</v>
      </c>
      <c r="AF114" s="6">
        <f t="shared" si="28"/>
        <v>-2.8163579040882365E-2</v>
      </c>
      <c r="AG114" s="6">
        <f t="shared" si="29"/>
        <v>-2.9678198684384722E-2</v>
      </c>
      <c r="AH114" s="6">
        <f t="shared" si="30"/>
        <v>-0.11662686121143287</v>
      </c>
      <c r="AI114" s="6">
        <f t="shared" si="31"/>
        <v>0</v>
      </c>
      <c r="AL114" s="5" t="str">
        <f t="shared" si="32"/>
        <v>ELC</v>
      </c>
      <c r="AM114" s="5">
        <f>1</f>
        <v>1</v>
      </c>
    </row>
    <row r="115" spans="1:39" s="5" customFormat="1" x14ac:dyDescent="0.3">
      <c r="C115" s="4" t="s">
        <v>236</v>
      </c>
      <c r="D115" s="5" t="s">
        <v>237</v>
      </c>
      <c r="E115" s="5" t="s">
        <v>789</v>
      </c>
      <c r="F115" s="5" t="s">
        <v>1588</v>
      </c>
      <c r="G115" s="5">
        <v>1</v>
      </c>
      <c r="H115" s="6">
        <f>IF(SUMIFS('Industrial Summary'!$G:$G,'Industrial Summary'!$F:$F,H$17,'Industrial Summary'!$D:$D,$E115)&gt;0,(-SUMIFS('Industrial Summary'!$G:$G,'Industrial Summary'!$F:$F,H$17,'Industrial Summary'!$D:$D,$E115,'Industrial Summary'!$A:$A,"NGA")/SUMIFS('Industrial Summary'!$G:$G,'Industrial Summary'!$F:$F,H$17,'Industrial Summary'!$D:$D,$E115)),0)*0.98</f>
        <v>-0.92557481918676054</v>
      </c>
      <c r="I115" s="6">
        <f>IF(SUMIFS('Industrial Summary'!$G:$G,'Industrial Summary'!$F:$F,I$17,'Industrial Summary'!$D:$D,$E115)&gt;0,(-SUMIFS('Industrial Summary'!$G:$G,'Industrial Summary'!$F:$F,I$17,'Industrial Summary'!$D:$D,$E115,'Industrial Summary'!$A:$A,"NGA")/SUMIFS('Industrial Summary'!$G:$G,'Industrial Summary'!$F:$F,I$17,'Industrial Summary'!$D:$D,$E115)),0)*0.98</f>
        <v>-0.92557481918675921</v>
      </c>
      <c r="J115" s="6">
        <f>IF(SUMIFS('Industrial Summary'!$G:$G,'Industrial Summary'!$F:$F,J$17,'Industrial Summary'!$D:$D,$E115)&gt;0,(-SUMIFS('Industrial Summary'!$G:$G,'Industrial Summary'!$F:$F,J$17,'Industrial Summary'!$D:$D,$E115,'Industrial Summary'!$A:$A,"NGA")/SUMIFS('Industrial Summary'!$G:$G,'Industrial Summary'!$F:$F,J$17,'Industrial Summary'!$D:$D,$E115)),0)*0.98</f>
        <v>-0.89681366200418122</v>
      </c>
      <c r="K115" s="6">
        <f>IF(SUMIFS('Industrial Summary'!$G:$G,'Industrial Summary'!$F:$F,K$17,'Industrial Summary'!$D:$D,$E115)&gt;0,(-SUMIFS('Industrial Summary'!$G:$G,'Industrial Summary'!$F:$F,K$17,'Industrial Summary'!$D:$D,$E115,'Industrial Summary'!$A:$A,"NGA")/SUMIFS('Industrial Summary'!$G:$G,'Industrial Summary'!$F:$F,K$17,'Industrial Summary'!$D:$D,$E115)),0)*0.98</f>
        <v>-0.869571259122493</v>
      </c>
      <c r="L115" s="6">
        <f>IF(SUMIFS('Industrial Summary'!$G:$G,'Industrial Summary'!$F:$F,L$17,'Industrial Summary'!$D:$D,$E115)&gt;0,(-SUMIFS('Industrial Summary'!$G:$G,'Industrial Summary'!$F:$F,L$17,'Industrial Summary'!$D:$D,$E115,'Industrial Summary'!$A:$A,"NGA")/SUMIFS('Industrial Summary'!$G:$G,'Industrial Summary'!$F:$F,L$17,'Industrial Summary'!$D:$D,$E115)),0)*0.98</f>
        <v>-0.9395733539947565</v>
      </c>
      <c r="M115" s="6">
        <f>IF(SUMIFS('Industrial Summary'!$G:$G,'Industrial Summary'!$F:$F,M$17,'Industrial Summary'!$D:$D,$E115)&gt;0,(-SUMIFS('Industrial Summary'!$G:$G,'Industrial Summary'!$F:$F,M$17,'Industrial Summary'!$D:$D,$E115,'Industrial Summary'!$A:$A,"NGA")/SUMIFS('Industrial Summary'!$G:$G,'Industrial Summary'!$F:$F,M$17,'Industrial Summary'!$D:$D,$E115)),0)*0.98</f>
        <v>-0.93956338045038468</v>
      </c>
      <c r="N115" s="6">
        <f>IF(SUMIFS('Industrial Summary'!$G:$G,'Industrial Summary'!$F:$F,N$17,'Industrial Summary'!$D:$D,$E115)&gt;0,(-SUMIFS('Industrial Summary'!$G:$G,'Industrial Summary'!$F:$F,N$17,'Industrial Summary'!$D:$D,$E115,'Industrial Summary'!$A:$A,"NGA")/SUMIFS('Industrial Summary'!$G:$G,'Industrial Summary'!$F:$F,N$17,'Industrial Summary'!$D:$D,$E115)),0)*0.98</f>
        <v>-0.93738872437425957</v>
      </c>
      <c r="O115" s="6">
        <f>IF(SUMIFS('Industrial Summary'!$G:$G,'Industrial Summary'!$F:$F,O$17,'Industrial Summary'!$D:$D,$E115)&gt;0,(-SUMIFS('Industrial Summary'!$G:$G,'Industrial Summary'!$F:$F,O$17,'Industrial Summary'!$D:$D,$E115,'Industrial Summary'!$A:$A,"NGA")/SUMIFS('Industrial Summary'!$G:$G,'Industrial Summary'!$F:$F,O$17,'Industrial Summary'!$D:$D,$E115)),0)*0.98</f>
        <v>-0.86337313878856703</v>
      </c>
      <c r="P115" s="6">
        <f>IF(SUMIFS('Industrial Summary'!$G:$G,'Industrial Summary'!$F:$F,P$17,'Industrial Summary'!$D:$D,$E115)&gt;0,(-SUMIFS('Industrial Summary'!$G:$G,'Industrial Summary'!$F:$F,P$17,'Industrial Summary'!$D:$D,$E115,'Industrial Summary'!$A:$A,"NGA")/SUMIFS('Industrial Summary'!$G:$G,'Industrial Summary'!$F:$F,P$17,'Industrial Summary'!$D:$D,$E115)),0)*0.98</f>
        <v>-0.98</v>
      </c>
      <c r="Q115" s="5">
        <v>0</v>
      </c>
      <c r="R115" s="5">
        <v>15</v>
      </c>
      <c r="S115" s="5" t="str">
        <f t="shared" si="18"/>
        <v>UC_ICOPH_NGA</v>
      </c>
      <c r="V115" s="4" t="str">
        <f t="shared" si="19"/>
        <v>S_ICOPHNGA</v>
      </c>
      <c r="W115" s="4" t="str">
        <f t="shared" si="20"/>
        <v>ICOPH_NGA</v>
      </c>
      <c r="X115" s="4" t="str">
        <f t="shared" si="21"/>
        <v>ICOPRH</v>
      </c>
      <c r="Y115" s="5" t="str">
        <f t="shared" si="22"/>
        <v>LO</v>
      </c>
      <c r="Z115" s="5">
        <v>1</v>
      </c>
      <c r="AA115" s="6">
        <f t="shared" si="23"/>
        <v>-0.83301733726808447</v>
      </c>
      <c r="AB115" s="6">
        <f t="shared" si="24"/>
        <v>-0.83301733726808336</v>
      </c>
      <c r="AC115" s="6">
        <f t="shared" si="25"/>
        <v>-0.80713229580376311</v>
      </c>
      <c r="AD115" s="6">
        <f t="shared" si="26"/>
        <v>-0.78261413321024376</v>
      </c>
      <c r="AE115" s="6">
        <f t="shared" si="27"/>
        <v>-0.8456160185952809</v>
      </c>
      <c r="AF115" s="6">
        <f t="shared" si="28"/>
        <v>-0.84560704240534623</v>
      </c>
      <c r="AG115" s="6">
        <f t="shared" si="29"/>
        <v>-0.84364985193683362</v>
      </c>
      <c r="AH115" s="6">
        <f t="shared" si="30"/>
        <v>-0.77703582490971035</v>
      </c>
      <c r="AI115" s="6">
        <f t="shared" si="31"/>
        <v>-0.88200000000000001</v>
      </c>
      <c r="AL115" s="5" t="str">
        <f t="shared" si="32"/>
        <v>NGA</v>
      </c>
      <c r="AM115" s="5">
        <f>Y7</f>
        <v>0.9</v>
      </c>
    </row>
    <row r="116" spans="1:39" s="5" customFormat="1" x14ac:dyDescent="0.3">
      <c r="A116" s="8"/>
      <c r="C116" s="4" t="s">
        <v>238</v>
      </c>
      <c r="D116" s="5" t="s">
        <v>239</v>
      </c>
      <c r="E116" s="5" t="s">
        <v>789</v>
      </c>
      <c r="F116" s="5" t="s">
        <v>1591</v>
      </c>
      <c r="G116" s="5">
        <v>1</v>
      </c>
      <c r="H116" s="6">
        <f>IF(SUMIFS('Industrial Summary'!$G:$G,'Industrial Summary'!$F:$F,H$17,'Industrial Summary'!$D:$D,$E116)&gt;0,(-SUMIFS('Industrial Summary'!$G:$G,'Industrial Summary'!$F:$F,H$17,'Industrial Summary'!$D:$D,$E116,'Industrial Summary'!$A:$A,"COA")/SUMIFS('Industrial Summary'!$G:$G,'Industrial Summary'!$F:$F,H$17,'Industrial Summary'!$D:$D,$E116)),0)*0.98</f>
        <v>0</v>
      </c>
      <c r="I116" s="6">
        <f>IF(SUMIFS('Industrial Summary'!$G:$G,'Industrial Summary'!$F:$F,I$17,'Industrial Summary'!$D:$D,$E116)&gt;0,(-SUMIFS('Industrial Summary'!$G:$G,'Industrial Summary'!$F:$F,I$17,'Industrial Summary'!$D:$D,$E116,'Industrial Summary'!$A:$A,"COA")/SUMIFS('Industrial Summary'!$G:$G,'Industrial Summary'!$F:$F,I$17,'Industrial Summary'!$D:$D,$E116)),0)*0.98</f>
        <v>0</v>
      </c>
      <c r="J116" s="6">
        <f>IF(SUMIFS('Industrial Summary'!$G:$G,'Industrial Summary'!$F:$F,J$17,'Industrial Summary'!$D:$D,$E116)&gt;0,(-SUMIFS('Industrial Summary'!$G:$G,'Industrial Summary'!$F:$F,J$17,'Industrial Summary'!$D:$D,$E116,'Industrial Summary'!$A:$A,"COA")/SUMIFS('Industrial Summary'!$G:$G,'Industrial Summary'!$F:$F,J$17,'Industrial Summary'!$D:$D,$E116)),0)*0.98</f>
        <v>-2.9195868270279982E-2</v>
      </c>
      <c r="K116" s="6">
        <f>IF(SUMIFS('Industrial Summary'!$G:$G,'Industrial Summary'!$F:$F,K$17,'Industrial Summary'!$D:$D,$E116)&gt;0,(-SUMIFS('Industrial Summary'!$G:$G,'Industrial Summary'!$F:$F,K$17,'Industrial Summary'!$D:$D,$E116,'Industrial Summary'!$A:$A,"COA")/SUMIFS('Industrial Summary'!$G:$G,'Industrial Summary'!$F:$F,K$17,'Industrial Summary'!$D:$D,$E116)),0)*0.98</f>
        <v>-3.8757121056039519E-2</v>
      </c>
      <c r="L116" s="6">
        <f>IF(SUMIFS('Industrial Summary'!$G:$G,'Industrial Summary'!$F:$F,L$17,'Industrial Summary'!$D:$D,$E116)&gt;0,(-SUMIFS('Industrial Summary'!$G:$G,'Industrial Summary'!$F:$F,L$17,'Industrial Summary'!$D:$D,$E116,'Industrial Summary'!$A:$A,"COA")/SUMIFS('Industrial Summary'!$G:$G,'Industrial Summary'!$F:$F,L$17,'Industrial Summary'!$D:$D,$E116)),0)*0.98</f>
        <v>-1.2270013408162906E-2</v>
      </c>
      <c r="M116" s="6">
        <f>IF(SUMIFS('Industrial Summary'!$G:$G,'Industrial Summary'!$F:$F,M$17,'Industrial Summary'!$D:$D,$E116)&gt;0,(-SUMIFS('Industrial Summary'!$G:$G,'Industrial Summary'!$F:$F,M$17,'Industrial Summary'!$D:$D,$E116,'Industrial Summary'!$A:$A,"COA")/SUMIFS('Industrial Summary'!$G:$G,'Industrial Summary'!$F:$F,M$17,'Industrial Summary'!$D:$D,$E116)),0)*0.98</f>
        <v>-1.2273040508733055E-2</v>
      </c>
      <c r="N116" s="6">
        <f>IF(SUMIFS('Industrial Summary'!$G:$G,'Industrial Summary'!$F:$F,N$17,'Industrial Summary'!$D:$D,$E116)&gt;0,(-SUMIFS('Industrial Summary'!$G:$G,'Industrial Summary'!$F:$F,N$17,'Industrial Summary'!$D:$D,$E116,'Industrial Summary'!$A:$A,"COA")/SUMIFS('Industrial Summary'!$G:$G,'Industrial Summary'!$F:$F,N$17,'Industrial Summary'!$D:$D,$E116)),0)*0.98</f>
        <v>-1.2933076941355596E-2</v>
      </c>
      <c r="O116" s="6">
        <f>IF(SUMIFS('Industrial Summary'!$G:$G,'Industrial Summary'!$F:$F,O$17,'Industrial Summary'!$D:$D,$E116)&gt;0,(-SUMIFS('Industrial Summary'!$G:$G,'Industrial Summary'!$F:$F,O$17,'Industrial Summary'!$D:$D,$E116,'Industrial Summary'!$A:$A,"COA")/SUMIFS('Industrial Summary'!$G:$G,'Industrial Summary'!$F:$F,O$17,'Industrial Summary'!$D:$D,$E116)),0)*0.98</f>
        <v>0</v>
      </c>
      <c r="P116" s="6">
        <f>IF(SUMIFS('Industrial Summary'!$G:$G,'Industrial Summary'!$F:$F,P$17,'Industrial Summary'!$D:$D,$E116)&gt;0,(-SUMIFS('Industrial Summary'!$G:$G,'Industrial Summary'!$F:$F,P$17,'Industrial Summary'!$D:$D,$E116,'Industrial Summary'!$A:$A,"COA")/SUMIFS('Industrial Summary'!$G:$G,'Industrial Summary'!$F:$F,P$17,'Industrial Summary'!$D:$D,$E116)),0)*0.98</f>
        <v>0</v>
      </c>
      <c r="Q116" s="5">
        <v>0</v>
      </c>
      <c r="R116" s="5">
        <v>15</v>
      </c>
      <c r="S116" s="5" t="str">
        <f t="shared" si="18"/>
        <v>UC_ICOPH_COA</v>
      </c>
      <c r="V116" s="4" t="str">
        <f t="shared" si="19"/>
        <v>S_ICOPHCOA</v>
      </c>
      <c r="W116" s="4" t="str">
        <f t="shared" si="20"/>
        <v>ICOPH_COA</v>
      </c>
      <c r="X116" s="4" t="str">
        <f t="shared" si="21"/>
        <v>ICOPRH</v>
      </c>
      <c r="Y116" s="5" t="str">
        <f t="shared" si="22"/>
        <v>UP</v>
      </c>
      <c r="Z116" s="5">
        <v>1</v>
      </c>
      <c r="AA116" s="6">
        <f t="shared" si="23"/>
        <v>0</v>
      </c>
      <c r="AB116" s="6">
        <f t="shared" si="24"/>
        <v>0</v>
      </c>
      <c r="AC116" s="6">
        <f t="shared" si="25"/>
        <v>-1.8685355692979189E-2</v>
      </c>
      <c r="AD116" s="6">
        <f t="shared" si="26"/>
        <v>-2.4804557475865293E-2</v>
      </c>
      <c r="AE116" s="6">
        <f t="shared" si="27"/>
        <v>-7.8528085812242607E-3</v>
      </c>
      <c r="AF116" s="6">
        <f t="shared" si="28"/>
        <v>-7.8547459255891555E-3</v>
      </c>
      <c r="AG116" s="6">
        <f t="shared" si="29"/>
        <v>-8.2771692424675816E-3</v>
      </c>
      <c r="AH116" s="6">
        <f t="shared" si="30"/>
        <v>0</v>
      </c>
      <c r="AI116" s="6">
        <f t="shared" si="31"/>
        <v>0</v>
      </c>
      <c r="AL116" s="5" t="str">
        <f t="shared" si="32"/>
        <v>COA</v>
      </c>
      <c r="AM116" s="5">
        <f>Z7</f>
        <v>0.64</v>
      </c>
    </row>
    <row r="117" spans="1:39" s="5" customFormat="1" x14ac:dyDescent="0.3">
      <c r="C117" s="4" t="s">
        <v>240</v>
      </c>
      <c r="D117" s="5" t="s">
        <v>241</v>
      </c>
      <c r="E117" s="5" t="s">
        <v>742</v>
      </c>
      <c r="F117" s="5" t="s">
        <v>1588</v>
      </c>
      <c r="G117" s="5">
        <v>1</v>
      </c>
      <c r="H117" s="6">
        <f>IF(SUMIFS('Industrial Summary'!$G:$G,'Industrial Summary'!$F:$F,H$17,'Industrial Summary'!$D:$D,$E117)&gt;0,(-SUMIFS('Industrial Summary'!$G:$G,'Industrial Summary'!$F:$F,H$17,'Industrial Summary'!$D:$D,$E117,'Industrial Summary'!$A:$A,"ELC")/SUMIFS('Industrial Summary'!$G:$G,'Industrial Summary'!$F:$F,H$17,'Industrial Summary'!$D:$D,$E117)),0)*0.98</f>
        <v>-0.84428632958788041</v>
      </c>
      <c r="I117" s="6">
        <f>IF(SUMIFS('Industrial Summary'!$G:$G,'Industrial Summary'!$F:$F,I$17,'Industrial Summary'!$D:$D,$E117)&gt;0,(-SUMIFS('Industrial Summary'!$G:$G,'Industrial Summary'!$F:$F,I$17,'Industrial Summary'!$D:$D,$E117,'Industrial Summary'!$A:$A,"ELC")/SUMIFS('Industrial Summary'!$G:$G,'Industrial Summary'!$F:$F,I$17,'Industrial Summary'!$D:$D,$E117)),0)*0.98</f>
        <v>-0.84428632958787742</v>
      </c>
      <c r="J117" s="6">
        <f>IF(SUMIFS('Industrial Summary'!$G:$G,'Industrial Summary'!$F:$F,J$17,'Industrial Summary'!$D:$D,$E117)&gt;0,(-SUMIFS('Industrial Summary'!$G:$G,'Industrial Summary'!$F:$F,J$17,'Industrial Summary'!$D:$D,$E117,'Industrial Summary'!$A:$A,"ELC")/SUMIFS('Industrial Summary'!$G:$G,'Industrial Summary'!$F:$F,J$17,'Industrial Summary'!$D:$D,$E117)),0)*0.98</f>
        <v>-0.85019148653978383</v>
      </c>
      <c r="K117" s="6">
        <f>IF(SUMIFS('Industrial Summary'!$G:$G,'Industrial Summary'!$F:$F,K$17,'Industrial Summary'!$D:$D,$E117)&gt;0,(-SUMIFS('Industrial Summary'!$G:$G,'Industrial Summary'!$F:$F,K$17,'Industrial Summary'!$D:$D,$E117,'Industrial Summary'!$A:$A,"ELC")/SUMIFS('Industrial Summary'!$G:$G,'Industrial Summary'!$F:$F,K$17,'Industrial Summary'!$D:$D,$E117)),0)*0.98</f>
        <v>-0.98</v>
      </c>
      <c r="L117" s="6">
        <f>IF(SUMIFS('Industrial Summary'!$G:$G,'Industrial Summary'!$F:$F,L$17,'Industrial Summary'!$D:$D,$E117)&gt;0,(-SUMIFS('Industrial Summary'!$G:$G,'Industrial Summary'!$F:$F,L$17,'Industrial Summary'!$D:$D,$E117,'Industrial Summary'!$A:$A,"ELC")/SUMIFS('Industrial Summary'!$G:$G,'Industrial Summary'!$F:$F,L$17,'Industrial Summary'!$D:$D,$E117)),0)*0.98</f>
        <v>-0.74586991001026337</v>
      </c>
      <c r="M117" s="6">
        <f>IF(SUMIFS('Industrial Summary'!$G:$G,'Industrial Summary'!$F:$F,M$17,'Industrial Summary'!$D:$D,$E117)&gt;0,(-SUMIFS('Industrial Summary'!$G:$G,'Industrial Summary'!$F:$F,M$17,'Industrial Summary'!$D:$D,$E117,'Industrial Summary'!$A:$A,"ELC")/SUMIFS('Industrial Summary'!$G:$G,'Industrial Summary'!$F:$F,M$17,'Industrial Summary'!$D:$D,$E117)),0)*0.98</f>
        <v>-0.74605392148236083</v>
      </c>
      <c r="N117" s="6">
        <f>IF(SUMIFS('Industrial Summary'!$G:$G,'Industrial Summary'!$F:$F,N$17,'Industrial Summary'!$D:$D,$E117)&gt;0,(-SUMIFS('Industrial Summary'!$G:$G,'Industrial Summary'!$F:$F,N$17,'Industrial Summary'!$D:$D,$E117,'Industrial Summary'!$A:$A,"ELC")/SUMIFS('Industrial Summary'!$G:$G,'Industrial Summary'!$F:$F,N$17,'Industrial Summary'!$D:$D,$E117)),0)*0.98</f>
        <v>-0.78617623416672444</v>
      </c>
      <c r="O117" s="6">
        <f>IF(SUMIFS('Industrial Summary'!$G:$G,'Industrial Summary'!$F:$F,O$17,'Industrial Summary'!$D:$D,$E117)&gt;0,(-SUMIFS('Industrial Summary'!$G:$G,'Industrial Summary'!$F:$F,O$17,'Industrial Summary'!$D:$D,$E117,'Industrial Summary'!$A:$A,"ELC")/SUMIFS('Industrial Summary'!$G:$G,'Industrial Summary'!$F:$F,O$17,'Industrial Summary'!$D:$D,$E117)),0)*0.98</f>
        <v>-0.98</v>
      </c>
      <c r="P117" s="6">
        <f>IF(SUMIFS('Industrial Summary'!$G:$G,'Industrial Summary'!$F:$F,P$17,'Industrial Summary'!$D:$D,$E117)&gt;0,(-SUMIFS('Industrial Summary'!$G:$G,'Industrial Summary'!$F:$F,P$17,'Industrial Summary'!$D:$D,$E117,'Industrial Summary'!$A:$A,"ELC")/SUMIFS('Industrial Summary'!$G:$G,'Industrial Summary'!$F:$F,P$17,'Industrial Summary'!$D:$D,$E117)),0)*0.98</f>
        <v>-0.87224588755762233</v>
      </c>
      <c r="Q117" s="5">
        <v>0</v>
      </c>
      <c r="R117" s="5">
        <v>15</v>
      </c>
      <c r="S117" s="5" t="str">
        <f t="shared" si="18"/>
        <v>UC_ICOMD_ELC</v>
      </c>
      <c r="V117" s="4" t="str">
        <f t="shared" si="19"/>
        <v>S_ICOMDELC</v>
      </c>
      <c r="W117" s="4" t="str">
        <f t="shared" si="20"/>
        <v>ICOMD_ELC</v>
      </c>
      <c r="X117" s="4" t="str">
        <f t="shared" si="21"/>
        <v>ICOMDR</v>
      </c>
      <c r="Y117" s="5" t="str">
        <f t="shared" si="22"/>
        <v>LO</v>
      </c>
      <c r="Z117" s="5">
        <v>1</v>
      </c>
      <c r="AA117" s="6">
        <f t="shared" si="23"/>
        <v>-0.84428632958788041</v>
      </c>
      <c r="AB117" s="6">
        <f t="shared" si="24"/>
        <v>-0.84428632958787742</v>
      </c>
      <c r="AC117" s="6">
        <f t="shared" si="25"/>
        <v>-0.85019148653978383</v>
      </c>
      <c r="AD117" s="6">
        <f t="shared" si="26"/>
        <v>-0.98</v>
      </c>
      <c r="AE117" s="6">
        <f t="shared" si="27"/>
        <v>-0.74586991001026337</v>
      </c>
      <c r="AF117" s="6">
        <f t="shared" si="28"/>
        <v>-0.74605392148236083</v>
      </c>
      <c r="AG117" s="6">
        <f t="shared" si="29"/>
        <v>-0.78617623416672444</v>
      </c>
      <c r="AH117" s="6">
        <f t="shared" si="30"/>
        <v>-0.98</v>
      </c>
      <c r="AI117" s="6">
        <f t="shared" si="31"/>
        <v>-0.87224588755762233</v>
      </c>
      <c r="AL117" s="5" t="str">
        <f t="shared" si="32"/>
        <v>ELC</v>
      </c>
      <c r="AM117" s="5">
        <f>1</f>
        <v>1</v>
      </c>
    </row>
    <row r="118" spans="1:39" s="5" customFormat="1" x14ac:dyDescent="0.3">
      <c r="A118" s="8"/>
      <c r="C118" s="4" t="s">
        <v>242</v>
      </c>
      <c r="D118" s="5" t="s">
        <v>243</v>
      </c>
      <c r="E118" s="5" t="s">
        <v>742</v>
      </c>
      <c r="F118" s="5" t="s">
        <v>1588</v>
      </c>
      <c r="G118" s="5">
        <v>1</v>
      </c>
      <c r="H118" s="6">
        <f>IF(SUMIFS('Industrial Summary'!$G:$G,'Industrial Summary'!$F:$F,H$17,'Industrial Summary'!$D:$D,$E118)&gt;0,(-SUMIFS('Industrial Summary'!$G:$G,'Industrial Summary'!$F:$F,H$17,'Industrial Summary'!$D:$D,$E118,'Industrial Summary'!$A:$A,"NGA")/SUMIFS('Industrial Summary'!$G:$G,'Industrial Summary'!$F:$F,H$17,'Industrial Summary'!$D:$D,$E118)),0)*0.98</f>
        <v>-0.13571367041211962</v>
      </c>
      <c r="I118" s="6">
        <f>IF(SUMIFS('Industrial Summary'!$G:$G,'Industrial Summary'!$F:$F,I$17,'Industrial Summary'!$D:$D,$E118)&gt;0,(-SUMIFS('Industrial Summary'!$G:$G,'Industrial Summary'!$F:$F,I$17,'Industrial Summary'!$D:$D,$E118,'Industrial Summary'!$A:$A,"NGA")/SUMIFS('Industrial Summary'!$G:$G,'Industrial Summary'!$F:$F,I$17,'Industrial Summary'!$D:$D,$E118)),0)*0.98</f>
        <v>-0.13571367041212257</v>
      </c>
      <c r="J118" s="6">
        <f>IF(SUMIFS('Industrial Summary'!$G:$G,'Industrial Summary'!$F:$F,J$17,'Industrial Summary'!$D:$D,$E118)&gt;0,(-SUMIFS('Industrial Summary'!$G:$G,'Industrial Summary'!$F:$F,J$17,'Industrial Summary'!$D:$D,$E118,'Industrial Summary'!$A:$A,"NGA")/SUMIFS('Industrial Summary'!$G:$G,'Industrial Summary'!$F:$F,J$17,'Industrial Summary'!$D:$D,$E118)),0)*0.98</f>
        <v>-0.12980851346021627</v>
      </c>
      <c r="K118" s="6">
        <f>IF(SUMIFS('Industrial Summary'!$G:$G,'Industrial Summary'!$F:$F,K$17,'Industrial Summary'!$D:$D,$E118)&gt;0,(-SUMIFS('Industrial Summary'!$G:$G,'Industrial Summary'!$F:$F,K$17,'Industrial Summary'!$D:$D,$E118,'Industrial Summary'!$A:$A,"NGA")/SUMIFS('Industrial Summary'!$G:$G,'Industrial Summary'!$F:$F,K$17,'Industrial Summary'!$D:$D,$E118)),0)*0.98</f>
        <v>0</v>
      </c>
      <c r="L118" s="6">
        <f>IF(SUMIFS('Industrial Summary'!$G:$G,'Industrial Summary'!$F:$F,L$17,'Industrial Summary'!$D:$D,$E118)&gt;0,(-SUMIFS('Industrial Summary'!$G:$G,'Industrial Summary'!$F:$F,L$17,'Industrial Summary'!$D:$D,$E118,'Industrial Summary'!$A:$A,"NGA")/SUMIFS('Industrial Summary'!$G:$G,'Industrial Summary'!$F:$F,L$17,'Industrial Summary'!$D:$D,$E118)),0)*0.98</f>
        <v>-0.23413008998973656</v>
      </c>
      <c r="M118" s="6">
        <f>IF(SUMIFS('Industrial Summary'!$G:$G,'Industrial Summary'!$F:$F,M$17,'Industrial Summary'!$D:$D,$E118)&gt;0,(-SUMIFS('Industrial Summary'!$G:$G,'Industrial Summary'!$F:$F,M$17,'Industrial Summary'!$D:$D,$E118,'Industrial Summary'!$A:$A,"NGA")/SUMIFS('Industrial Summary'!$G:$G,'Industrial Summary'!$F:$F,M$17,'Industrial Summary'!$D:$D,$E118)),0)*0.98</f>
        <v>-0.23394607851763918</v>
      </c>
      <c r="N118" s="6">
        <f>IF(SUMIFS('Industrial Summary'!$G:$G,'Industrial Summary'!$F:$F,N$17,'Industrial Summary'!$D:$D,$E118)&gt;0,(-SUMIFS('Industrial Summary'!$G:$G,'Industrial Summary'!$F:$F,N$17,'Industrial Summary'!$D:$D,$E118,'Industrial Summary'!$A:$A,"NGA")/SUMIFS('Industrial Summary'!$G:$G,'Industrial Summary'!$F:$F,N$17,'Industrial Summary'!$D:$D,$E118)),0)*0.98</f>
        <v>-0.19382376583327549</v>
      </c>
      <c r="O118" s="6">
        <f>IF(SUMIFS('Industrial Summary'!$G:$G,'Industrial Summary'!$F:$F,O$17,'Industrial Summary'!$D:$D,$E118)&gt;0,(-SUMIFS('Industrial Summary'!$G:$G,'Industrial Summary'!$F:$F,O$17,'Industrial Summary'!$D:$D,$E118,'Industrial Summary'!$A:$A,"NGA")/SUMIFS('Industrial Summary'!$G:$G,'Industrial Summary'!$F:$F,O$17,'Industrial Summary'!$D:$D,$E118)),0)*0.98</f>
        <v>0</v>
      </c>
      <c r="P118" s="6">
        <f>IF(SUMIFS('Industrial Summary'!$G:$G,'Industrial Summary'!$F:$F,P$17,'Industrial Summary'!$D:$D,$E118)&gt;0,(-SUMIFS('Industrial Summary'!$G:$G,'Industrial Summary'!$F:$F,P$17,'Industrial Summary'!$D:$D,$E118,'Industrial Summary'!$A:$A,"NGA")/SUMIFS('Industrial Summary'!$G:$G,'Industrial Summary'!$F:$F,P$17,'Industrial Summary'!$D:$D,$E118)),0)*0.98</f>
        <v>-0.10775411244237769</v>
      </c>
      <c r="Q118" s="5">
        <v>0</v>
      </c>
      <c r="R118" s="5">
        <v>15</v>
      </c>
      <c r="S118" s="5" t="str">
        <f t="shared" si="18"/>
        <v>UC_ICOMD_NGA</v>
      </c>
      <c r="V118" s="4" t="str">
        <f t="shared" si="19"/>
        <v>S_ICOMDNGA</v>
      </c>
      <c r="W118" s="4" t="str">
        <f t="shared" si="20"/>
        <v>ICOMD_NGA</v>
      </c>
      <c r="X118" s="4" t="str">
        <f t="shared" si="21"/>
        <v>ICOMDR</v>
      </c>
      <c r="Y118" s="5" t="str">
        <f t="shared" si="22"/>
        <v>LO</v>
      </c>
      <c r="Z118" s="5">
        <v>1</v>
      </c>
      <c r="AA118" s="6">
        <f t="shared" si="23"/>
        <v>-0.12214230337090766</v>
      </c>
      <c r="AB118" s="6">
        <f t="shared" si="24"/>
        <v>-0.12214230337091031</v>
      </c>
      <c r="AC118" s="6">
        <f t="shared" si="25"/>
        <v>-0.11682766211419464</v>
      </c>
      <c r="AD118" s="6">
        <f t="shared" si="26"/>
        <v>0</v>
      </c>
      <c r="AE118" s="6">
        <f t="shared" si="27"/>
        <v>-0.21071708099076292</v>
      </c>
      <c r="AF118" s="6">
        <f t="shared" si="28"/>
        <v>-0.21055147066587526</v>
      </c>
      <c r="AG118" s="6">
        <f t="shared" si="29"/>
        <v>-0.17444138924994795</v>
      </c>
      <c r="AH118" s="6">
        <f t="shared" si="30"/>
        <v>0</v>
      </c>
      <c r="AI118" s="6">
        <f t="shared" si="31"/>
        <v>-9.6978701198139922E-2</v>
      </c>
      <c r="AL118" s="5" t="str">
        <f t="shared" si="32"/>
        <v>NGA</v>
      </c>
      <c r="AM118" s="5">
        <f>Y7</f>
        <v>0.9</v>
      </c>
    </row>
    <row r="119" spans="1:39" s="5" customFormat="1" x14ac:dyDescent="0.3">
      <c r="C119" s="4" t="s">
        <v>244</v>
      </c>
      <c r="D119" s="5" t="s">
        <v>245</v>
      </c>
      <c r="E119" s="5" t="s">
        <v>726</v>
      </c>
      <c r="F119" s="5" t="s">
        <v>1588</v>
      </c>
      <c r="G119" s="5">
        <v>1</v>
      </c>
      <c r="H119" s="6">
        <f>IF(SUMIFS('Industrial Summary'!$G:$G,'Industrial Summary'!$F:$F,H$17,'Industrial Summary'!$D:$D,$E119)&gt;0,(-SUMIFS('Industrial Summary'!$G:$G,'Industrial Summary'!$F:$F,H$17,'Industrial Summary'!$D:$D,$E119,'Industrial Summary'!$A:$A,"ELC")/SUMIFS('Industrial Summary'!$G:$G,'Industrial Summary'!$F:$F,H$17,'Industrial Summary'!$D:$D,$E119)),0)*0.98</f>
        <v>-0.69980114084289069</v>
      </c>
      <c r="I119" s="6">
        <f>IF(SUMIFS('Industrial Summary'!$G:$G,'Industrial Summary'!$F:$F,I$17,'Industrial Summary'!$D:$D,$E119)&gt;0,(-SUMIFS('Industrial Summary'!$G:$G,'Industrial Summary'!$F:$F,I$17,'Industrial Summary'!$D:$D,$E119,'Industrial Summary'!$A:$A,"ELC")/SUMIFS('Industrial Summary'!$G:$G,'Industrial Summary'!$F:$F,I$17,'Industrial Summary'!$D:$D,$E119)),0)*0.98</f>
        <v>-0.69980114084288958</v>
      </c>
      <c r="J119" s="6">
        <f>IF(SUMIFS('Industrial Summary'!$G:$G,'Industrial Summary'!$F:$F,J$17,'Industrial Summary'!$D:$D,$E119)&gt;0,(-SUMIFS('Industrial Summary'!$G:$G,'Industrial Summary'!$F:$F,J$17,'Industrial Summary'!$D:$D,$E119,'Industrial Summary'!$A:$A,"ELC")/SUMIFS('Industrial Summary'!$G:$G,'Industrial Summary'!$F:$F,J$17,'Industrial Summary'!$D:$D,$E119)),0)*0.98</f>
        <v>-0.70663552856951373</v>
      </c>
      <c r="K119" s="6">
        <f>IF(SUMIFS('Industrial Summary'!$G:$G,'Industrial Summary'!$F:$F,K$17,'Industrial Summary'!$D:$D,$E119)&gt;0,(-SUMIFS('Industrial Summary'!$G:$G,'Industrial Summary'!$F:$F,K$17,'Industrial Summary'!$D:$D,$E119,'Industrial Summary'!$A:$A,"ELC")/SUMIFS('Industrial Summary'!$G:$G,'Industrial Summary'!$F:$F,K$17,'Industrial Summary'!$D:$D,$E119)),0)*0.98</f>
        <v>-0.93804912632607407</v>
      </c>
      <c r="L119" s="6">
        <f>IF(SUMIFS('Industrial Summary'!$G:$G,'Industrial Summary'!$F:$F,L$17,'Industrial Summary'!$D:$D,$E119)&gt;0,(-SUMIFS('Industrial Summary'!$G:$G,'Industrial Summary'!$F:$F,L$17,'Industrial Summary'!$D:$D,$E119,'Industrial Summary'!$A:$A,"ELC")/SUMIFS('Industrial Summary'!$G:$G,'Industrial Summary'!$F:$F,L$17,'Industrial Summary'!$D:$D,$E119)),0)*0.98</f>
        <v>-0.54927285865086595</v>
      </c>
      <c r="M119" s="6">
        <f>IF(SUMIFS('Industrial Summary'!$G:$G,'Industrial Summary'!$F:$F,M$17,'Industrial Summary'!$D:$D,$E119)&gt;0,(-SUMIFS('Industrial Summary'!$G:$G,'Industrial Summary'!$F:$F,M$17,'Industrial Summary'!$D:$D,$E119,'Industrial Summary'!$A:$A,"ELC")/SUMIFS('Industrial Summary'!$G:$G,'Industrial Summary'!$F:$F,M$17,'Industrial Summary'!$D:$D,$E119)),0)*0.98</f>
        <v>-0.54940836821618289</v>
      </c>
      <c r="N119" s="6">
        <f>IF(SUMIFS('Industrial Summary'!$G:$G,'Industrial Summary'!$F:$F,N$17,'Industrial Summary'!$D:$D,$E119)&gt;0,(-SUMIFS('Industrial Summary'!$G:$G,'Industrial Summary'!$F:$F,N$17,'Industrial Summary'!$D:$D,$E119,'Industrial Summary'!$A:$A,"ELC")/SUMIFS('Industrial Summary'!$G:$G,'Industrial Summary'!$F:$F,N$17,'Industrial Summary'!$D:$D,$E119)),0)*0.98</f>
        <v>-0.57895520619429919</v>
      </c>
      <c r="O119" s="6">
        <f>IF(SUMIFS('Industrial Summary'!$G:$G,'Industrial Summary'!$F:$F,O$17,'Industrial Summary'!$D:$D,$E119)&gt;0,(-SUMIFS('Industrial Summary'!$G:$G,'Industrial Summary'!$F:$F,O$17,'Industrial Summary'!$D:$D,$E119,'Industrial Summary'!$A:$A,"ELC")/SUMIFS('Industrial Summary'!$G:$G,'Industrial Summary'!$F:$F,O$17,'Industrial Summary'!$D:$D,$E119)),0)*0.98</f>
        <v>-0.98</v>
      </c>
      <c r="P119" s="6">
        <f>IF(SUMIFS('Industrial Summary'!$G:$G,'Industrial Summary'!$F:$F,P$17,'Industrial Summary'!$D:$D,$E119)&gt;0,(-SUMIFS('Industrial Summary'!$G:$G,'Industrial Summary'!$F:$F,P$17,'Industrial Summary'!$D:$D,$E119,'Industrial Summary'!$A:$A,"ELC")/SUMIFS('Industrial Summary'!$G:$G,'Industrial Summary'!$F:$F,P$17,'Industrial Summary'!$D:$D,$E119)),0)*0.98</f>
        <v>-0.74271309199276125</v>
      </c>
      <c r="Q119" s="5">
        <v>0</v>
      </c>
      <c r="R119" s="5">
        <v>15</v>
      </c>
      <c r="S119" s="5" t="str">
        <f t="shared" si="18"/>
        <v>UC_ICOFA_ELC</v>
      </c>
      <c r="V119" s="4" t="str">
        <f t="shared" si="19"/>
        <v>S_ICOFAELC</v>
      </c>
      <c r="W119" s="4" t="str">
        <f t="shared" si="20"/>
        <v>ICOFA_ELC</v>
      </c>
      <c r="X119" s="4" t="str">
        <f t="shared" si="21"/>
        <v>ICOFAC</v>
      </c>
      <c r="Y119" s="5" t="str">
        <f t="shared" si="22"/>
        <v>LO</v>
      </c>
      <c r="Z119" s="5">
        <v>1</v>
      </c>
      <c r="AA119" s="6">
        <f t="shared" si="23"/>
        <v>-0.69980114084289069</v>
      </c>
      <c r="AB119" s="6">
        <f t="shared" si="24"/>
        <v>-0.69980114084288958</v>
      </c>
      <c r="AC119" s="6">
        <f t="shared" si="25"/>
        <v>-0.70663552856951373</v>
      </c>
      <c r="AD119" s="6">
        <f t="shared" si="26"/>
        <v>-0.93804912632607407</v>
      </c>
      <c r="AE119" s="6">
        <f t="shared" si="27"/>
        <v>-0.54927285865086595</v>
      </c>
      <c r="AF119" s="6">
        <f t="shared" si="28"/>
        <v>-0.54940836821618289</v>
      </c>
      <c r="AG119" s="6">
        <f t="shared" si="29"/>
        <v>-0.57895520619429919</v>
      </c>
      <c r="AH119" s="6">
        <f t="shared" si="30"/>
        <v>-0.98</v>
      </c>
      <c r="AI119" s="6">
        <f t="shared" si="31"/>
        <v>-0.74271309199276125</v>
      </c>
      <c r="AL119" s="5" t="str">
        <f t="shared" si="32"/>
        <v>ELC</v>
      </c>
      <c r="AM119" s="5">
        <f>1</f>
        <v>1</v>
      </c>
    </row>
    <row r="120" spans="1:39" s="5" customFormat="1" x14ac:dyDescent="0.3">
      <c r="A120" s="8"/>
      <c r="C120" s="4" t="s">
        <v>246</v>
      </c>
      <c r="D120" s="5" t="s">
        <v>247</v>
      </c>
      <c r="E120" s="5" t="s">
        <v>726</v>
      </c>
      <c r="F120" s="5" t="s">
        <v>1588</v>
      </c>
      <c r="G120" s="5">
        <v>1</v>
      </c>
      <c r="H120" s="6">
        <f>IF(SUMIFS('Industrial Summary'!$G:$G,'Industrial Summary'!$F:$F,H$17,'Industrial Summary'!$D:$D,$E120)&gt;0,(-SUMIFS('Industrial Summary'!$G:$G,'Industrial Summary'!$F:$F,H$17,'Industrial Summary'!$D:$D,$E120,'Industrial Summary'!$A:$A,"NGA")/SUMIFS('Industrial Summary'!$G:$G,'Industrial Summary'!$F:$F,H$17,'Industrial Summary'!$D:$D,$E120)),0)*0.98</f>
        <v>-0.28019885915710935</v>
      </c>
      <c r="I120" s="6">
        <f>IF(SUMIFS('Industrial Summary'!$G:$G,'Industrial Summary'!$F:$F,I$17,'Industrial Summary'!$D:$D,$E120)&gt;0,(-SUMIFS('Industrial Summary'!$G:$G,'Industrial Summary'!$F:$F,I$17,'Industrial Summary'!$D:$D,$E120,'Industrial Summary'!$A:$A,"NGA")/SUMIFS('Industrial Summary'!$G:$G,'Industrial Summary'!$F:$F,I$17,'Industrial Summary'!$D:$D,$E120)),0)*0.98</f>
        <v>-0.2801988591571104</v>
      </c>
      <c r="J120" s="6">
        <f>IF(SUMIFS('Industrial Summary'!$G:$G,'Industrial Summary'!$F:$F,J$17,'Industrial Summary'!$D:$D,$E120)&gt;0,(-SUMIFS('Industrial Summary'!$G:$G,'Industrial Summary'!$F:$F,J$17,'Industrial Summary'!$D:$D,$E120,'Industrial Summary'!$A:$A,"NGA")/SUMIFS('Industrial Summary'!$G:$G,'Industrial Summary'!$F:$F,J$17,'Industrial Summary'!$D:$D,$E120)),0)*0.98</f>
        <v>-0.27336447143048637</v>
      </c>
      <c r="K120" s="6">
        <f>IF(SUMIFS('Industrial Summary'!$G:$G,'Industrial Summary'!$F:$F,K$17,'Industrial Summary'!$D:$D,$E120)&gt;0,(-SUMIFS('Industrial Summary'!$G:$G,'Industrial Summary'!$F:$F,K$17,'Industrial Summary'!$D:$D,$E120,'Industrial Summary'!$A:$A,"NGA")/SUMIFS('Industrial Summary'!$G:$G,'Industrial Summary'!$F:$F,K$17,'Industrial Summary'!$D:$D,$E120)),0)*0.98</f>
        <v>-4.1950873673925901E-2</v>
      </c>
      <c r="L120" s="6">
        <f>IF(SUMIFS('Industrial Summary'!$G:$G,'Industrial Summary'!$F:$F,L$17,'Industrial Summary'!$D:$D,$E120)&gt;0,(-SUMIFS('Industrial Summary'!$G:$G,'Industrial Summary'!$F:$F,L$17,'Industrial Summary'!$D:$D,$E120,'Industrial Summary'!$A:$A,"NGA")/SUMIFS('Industrial Summary'!$G:$G,'Industrial Summary'!$F:$F,L$17,'Industrial Summary'!$D:$D,$E120)),0)*0.98</f>
        <v>-0.43072714134913404</v>
      </c>
      <c r="M120" s="6">
        <f>IF(SUMIFS('Industrial Summary'!$G:$G,'Industrial Summary'!$F:$F,M$17,'Industrial Summary'!$D:$D,$E120)&gt;0,(-SUMIFS('Industrial Summary'!$G:$G,'Industrial Summary'!$F:$F,M$17,'Industrial Summary'!$D:$D,$E120,'Industrial Summary'!$A:$A,"NGA")/SUMIFS('Industrial Summary'!$G:$G,'Industrial Summary'!$F:$F,M$17,'Industrial Summary'!$D:$D,$E120)),0)*0.98</f>
        <v>-0.43059163178381699</v>
      </c>
      <c r="N120" s="6">
        <f>IF(SUMIFS('Industrial Summary'!$G:$G,'Industrial Summary'!$F:$F,N$17,'Industrial Summary'!$D:$D,$E120)&gt;0,(-SUMIFS('Industrial Summary'!$G:$G,'Industrial Summary'!$F:$F,N$17,'Industrial Summary'!$D:$D,$E120,'Industrial Summary'!$A:$A,"NGA")/SUMIFS('Industrial Summary'!$G:$G,'Industrial Summary'!$F:$F,N$17,'Industrial Summary'!$D:$D,$E120)),0)*0.98</f>
        <v>-0.40104479380570079</v>
      </c>
      <c r="O120" s="6">
        <f>IF(SUMIFS('Industrial Summary'!$G:$G,'Industrial Summary'!$F:$F,O$17,'Industrial Summary'!$D:$D,$E120)&gt;0,(-SUMIFS('Industrial Summary'!$G:$G,'Industrial Summary'!$F:$F,O$17,'Industrial Summary'!$D:$D,$E120,'Industrial Summary'!$A:$A,"NGA")/SUMIFS('Industrial Summary'!$G:$G,'Industrial Summary'!$F:$F,O$17,'Industrial Summary'!$D:$D,$E120)),0)*0.98</f>
        <v>0</v>
      </c>
      <c r="P120" s="6">
        <f>IF(SUMIFS('Industrial Summary'!$G:$G,'Industrial Summary'!$F:$F,P$17,'Industrial Summary'!$D:$D,$E120)&gt;0,(-SUMIFS('Industrial Summary'!$G:$G,'Industrial Summary'!$F:$F,P$17,'Industrial Summary'!$D:$D,$E120,'Industrial Summary'!$A:$A,"NGA")/SUMIFS('Industrial Summary'!$G:$G,'Industrial Summary'!$F:$F,P$17,'Industrial Summary'!$D:$D,$E120)),0)*0.98</f>
        <v>-0.23728690800723878</v>
      </c>
      <c r="Q120" s="5">
        <v>0</v>
      </c>
      <c r="R120" s="5">
        <v>15</v>
      </c>
      <c r="S120" s="5" t="str">
        <f t="shared" si="18"/>
        <v>UC_ICOFA_NGA</v>
      </c>
      <c r="V120" s="4" t="str">
        <f t="shared" si="19"/>
        <v>S_ICOFANGA</v>
      </c>
      <c r="W120" s="4" t="str">
        <f t="shared" si="20"/>
        <v>ICOFA_NGA</v>
      </c>
      <c r="X120" s="4" t="str">
        <f t="shared" si="21"/>
        <v>ICOFAC</v>
      </c>
      <c r="Y120" s="5" t="str">
        <f t="shared" si="22"/>
        <v>LO</v>
      </c>
      <c r="Z120" s="5">
        <v>1</v>
      </c>
      <c r="AA120" s="6">
        <f t="shared" si="23"/>
        <v>-0.25217897324139843</v>
      </c>
      <c r="AB120" s="6">
        <f t="shared" si="24"/>
        <v>-0.25217897324139937</v>
      </c>
      <c r="AC120" s="6">
        <f t="shared" si="25"/>
        <v>-0.24602802428743772</v>
      </c>
      <c r="AD120" s="6">
        <f t="shared" si="26"/>
        <v>-3.7755786306533312E-2</v>
      </c>
      <c r="AE120" s="6">
        <f t="shared" si="27"/>
        <v>-0.38765442721422066</v>
      </c>
      <c r="AF120" s="6">
        <f t="shared" si="28"/>
        <v>-0.38753246860543528</v>
      </c>
      <c r="AG120" s="6">
        <f t="shared" si="29"/>
        <v>-0.36094031442513075</v>
      </c>
      <c r="AH120" s="6">
        <f t="shared" si="30"/>
        <v>0</v>
      </c>
      <c r="AI120" s="6">
        <f t="shared" si="31"/>
        <v>-0.21355821720651491</v>
      </c>
      <c r="AL120" s="5" t="str">
        <f t="shared" si="32"/>
        <v>NGA</v>
      </c>
      <c r="AM120" s="5">
        <f>Y7</f>
        <v>0.9</v>
      </c>
    </row>
    <row r="121" spans="1:39" s="5" customFormat="1" x14ac:dyDescent="0.3">
      <c r="C121" s="4" t="s">
        <v>248</v>
      </c>
      <c r="D121" s="5" t="s">
        <v>249</v>
      </c>
      <c r="E121" s="5" t="s">
        <v>757</v>
      </c>
      <c r="F121" s="5" t="s">
        <v>1588</v>
      </c>
      <c r="G121" s="5">
        <v>1</v>
      </c>
      <c r="H121" s="6">
        <f>(IF(SUMIFS('Industrial Summary'!$G:$G,'Industrial Summary'!$F:$F,H$17,'Industrial Summary'!$D:$D,$E121)&gt;0,((-SUMIFS('Industrial Summary'!$G:$G,'Industrial Summary'!$F:$F,H$17,'Industrial Summary'!$D:$D,$E121,'Industrial Summary'!$A:$A,"DST")+-SUMIFS('Industrial Summary'!$G:$G,'Industrial Summary'!$F:$F,H$17,'Industrial Summary'!$D:$D,"ICORSTM",'Industrial Summary'!$A:$A,"DST"))/SUMIFS('Industrial Summary'!$G:$G,'Industrial Summary'!$F:$F,H$17,'Industrial Summary'!$D:$D,$E121)),0))*0.98</f>
        <v>0</v>
      </c>
      <c r="I121" s="6">
        <f>(IF(SUMIFS('Industrial Summary'!$G:$G,'Industrial Summary'!$F:$F,I$17,'Industrial Summary'!$D:$D,$E121)&gt;0,((-SUMIFS('Industrial Summary'!$G:$G,'Industrial Summary'!$F:$F,I$17,'Industrial Summary'!$D:$D,$E121,'Industrial Summary'!$A:$A,"DST")+-SUMIFS('Industrial Summary'!$G:$G,'Industrial Summary'!$F:$F,I$17,'Industrial Summary'!$D:$D,"ICORSTM",'Industrial Summary'!$A:$A,"DST"))/SUMIFS('Industrial Summary'!$G:$G,'Industrial Summary'!$F:$F,I$17,'Industrial Summary'!$D:$D,$E121)),0))*0.98</f>
        <v>0</v>
      </c>
      <c r="J121" s="6">
        <f>(IF(SUMIFS('Industrial Summary'!$G:$G,'Industrial Summary'!$F:$F,J$17,'Industrial Summary'!$D:$D,$E121)&gt;0,((-SUMIFS('Industrial Summary'!$G:$G,'Industrial Summary'!$F:$F,J$17,'Industrial Summary'!$D:$D,$E121,'Industrial Summary'!$A:$A,"DST")+-SUMIFS('Industrial Summary'!$G:$G,'Industrial Summary'!$F:$F,J$17,'Industrial Summary'!$D:$D,"ICORSTM",'Industrial Summary'!$A:$A,"DST"))/SUMIFS('Industrial Summary'!$G:$G,'Industrial Summary'!$F:$F,J$17,'Industrial Summary'!$D:$D,$E121)),0))*0.98</f>
        <v>0</v>
      </c>
      <c r="K121" s="6">
        <f>(IF(SUMIFS('Industrial Summary'!$G:$G,'Industrial Summary'!$F:$F,K$17,'Industrial Summary'!$D:$D,$E121)&gt;0,((-SUMIFS('Industrial Summary'!$G:$G,'Industrial Summary'!$F:$F,K$17,'Industrial Summary'!$D:$D,$E121,'Industrial Summary'!$A:$A,"DST")+-SUMIFS('Industrial Summary'!$G:$G,'Industrial Summary'!$F:$F,K$17,'Industrial Summary'!$D:$D,"ICORSTM",'Industrial Summary'!$A:$A,"DST"))/SUMIFS('Industrial Summary'!$G:$G,'Industrial Summary'!$F:$F,K$17,'Industrial Summary'!$D:$D,$E121)),0))*0.98</f>
        <v>0</v>
      </c>
      <c r="L121" s="6">
        <f>(IF(SUMIFS('Industrial Summary'!$G:$G,'Industrial Summary'!$F:$F,L$17,'Industrial Summary'!$D:$D,$E121)&gt;0,((-SUMIFS('Industrial Summary'!$G:$G,'Industrial Summary'!$F:$F,L$17,'Industrial Summary'!$D:$D,$E121,'Industrial Summary'!$A:$A,"DST")+-SUMIFS('Industrial Summary'!$G:$G,'Industrial Summary'!$F:$F,L$17,'Industrial Summary'!$D:$D,"ICORSTM",'Industrial Summary'!$A:$A,"DST"))/SUMIFS('Industrial Summary'!$G:$G,'Industrial Summary'!$F:$F,L$17,'Industrial Summary'!$D:$D,$E121)),0))*0.98</f>
        <v>-7.662917663311794E-2</v>
      </c>
      <c r="M121" s="6">
        <f>(IF(SUMIFS('Industrial Summary'!$G:$G,'Industrial Summary'!$F:$F,M$17,'Industrial Summary'!$D:$D,$E121)&gt;0,((-SUMIFS('Industrial Summary'!$G:$G,'Industrial Summary'!$F:$F,M$17,'Industrial Summary'!$D:$D,$E121,'Industrial Summary'!$A:$A,"DST")+-SUMIFS('Industrial Summary'!$G:$G,'Industrial Summary'!$F:$F,M$17,'Industrial Summary'!$D:$D,"ICORSTM",'Industrial Summary'!$A:$A,"DST"))/SUMIFS('Industrial Summary'!$G:$G,'Industrial Summary'!$F:$F,M$17,'Industrial Summary'!$D:$D,$E121)),0))*0.98</f>
        <v>-7.664808160221305E-2</v>
      </c>
      <c r="N121" s="6">
        <f>(IF(SUMIFS('Industrial Summary'!$G:$G,'Industrial Summary'!$F:$F,N$17,'Industrial Summary'!$D:$D,$E121)&gt;0,((-SUMIFS('Industrial Summary'!$G:$G,'Industrial Summary'!$F:$F,N$17,'Industrial Summary'!$D:$D,$E121,'Industrial Summary'!$A:$A,"DST")+-SUMIFS('Industrial Summary'!$G:$G,'Industrial Summary'!$F:$F,N$17,'Industrial Summary'!$D:$D,"ICORSTM",'Industrial Summary'!$A:$A,"DST"))/SUMIFS('Industrial Summary'!$G:$G,'Industrial Summary'!$F:$F,N$17,'Industrial Summary'!$D:$D,$E121)),0))*0.98</f>
        <v>-8.0770167430259429E-2</v>
      </c>
      <c r="O121" s="6">
        <f>(IF(SUMIFS('Industrial Summary'!$G:$G,'Industrial Summary'!$F:$F,O$17,'Industrial Summary'!$D:$D,$E121)&gt;0,((-SUMIFS('Industrial Summary'!$G:$G,'Industrial Summary'!$F:$F,O$17,'Industrial Summary'!$D:$D,$E121,'Industrial Summary'!$A:$A,"DST")+-SUMIFS('Industrial Summary'!$G:$G,'Industrial Summary'!$F:$F,O$17,'Industrial Summary'!$D:$D,"ICORSTM",'Industrial Summary'!$A:$A,"DST"))/SUMIFS('Industrial Summary'!$G:$G,'Industrial Summary'!$F:$F,O$17,'Industrial Summary'!$D:$D,$E121)),0))*0.98</f>
        <v>0</v>
      </c>
      <c r="P121" s="6">
        <f>(IF(SUMIFS('Industrial Summary'!$G:$G,'Industrial Summary'!$F:$F,P$17,'Industrial Summary'!$D:$D,$E121)&gt;0,((-SUMIFS('Industrial Summary'!$G:$G,'Industrial Summary'!$F:$F,P$17,'Industrial Summary'!$D:$D,$E121,'Industrial Summary'!$A:$A,"DST")+-SUMIFS('Industrial Summary'!$G:$G,'Industrial Summary'!$F:$F,P$17,'Industrial Summary'!$D:$D,"ICORSTM",'Industrial Summary'!$A:$A,"DST"))/SUMIFS('Industrial Summary'!$G:$G,'Industrial Summary'!$F:$F,P$17,'Industrial Summary'!$D:$D,$E121)),0))*0.98</f>
        <v>0</v>
      </c>
      <c r="Q121" s="5">
        <v>0</v>
      </c>
      <c r="R121" s="5">
        <v>15</v>
      </c>
      <c r="S121" s="5" t="str">
        <f t="shared" si="18"/>
        <v>UC_ICOOH_DST</v>
      </c>
      <c r="V121" s="4" t="str">
        <f t="shared" si="19"/>
        <v>S_ICOOHDST</v>
      </c>
      <c r="W121" s="4" t="str">
        <f t="shared" si="20"/>
        <v>ICOOH_DST</v>
      </c>
      <c r="X121" s="4" t="str">
        <f t="shared" si="21"/>
        <v>ICOOHT</v>
      </c>
      <c r="Y121" s="5" t="str">
        <f t="shared" si="22"/>
        <v>LO</v>
      </c>
      <c r="Z121" s="5">
        <v>1</v>
      </c>
      <c r="AA121" s="6">
        <f t="shared" si="23"/>
        <v>0</v>
      </c>
      <c r="AB121" s="6">
        <f t="shared" si="24"/>
        <v>0</v>
      </c>
      <c r="AC121" s="6">
        <f t="shared" si="25"/>
        <v>0</v>
      </c>
      <c r="AD121" s="6">
        <f t="shared" si="26"/>
        <v>0</v>
      </c>
      <c r="AE121" s="6">
        <f t="shared" si="27"/>
        <v>-7.662917663311794E-2</v>
      </c>
      <c r="AF121" s="6">
        <f t="shared" si="28"/>
        <v>-7.664808160221305E-2</v>
      </c>
      <c r="AG121" s="6">
        <f t="shared" si="29"/>
        <v>-8.0770167430259429E-2</v>
      </c>
      <c r="AH121" s="6">
        <f t="shared" si="30"/>
        <v>0</v>
      </c>
      <c r="AI121" s="6">
        <f t="shared" si="31"/>
        <v>0</v>
      </c>
      <c r="AL121" s="5" t="str">
        <f t="shared" si="32"/>
        <v>DST</v>
      </c>
      <c r="AM121" s="5">
        <f>1</f>
        <v>1</v>
      </c>
    </row>
    <row r="122" spans="1:39" s="5" customFormat="1" x14ac:dyDescent="0.3">
      <c r="C122" s="4" t="s">
        <v>250</v>
      </c>
      <c r="D122" s="5" t="s">
        <v>251</v>
      </c>
      <c r="E122" s="5" t="s">
        <v>757</v>
      </c>
      <c r="F122" s="5" t="s">
        <v>1588</v>
      </c>
      <c r="G122" s="5">
        <v>1</v>
      </c>
      <c r="H122" s="6">
        <f>(IF(SUMIFS('Industrial Summary'!$G:$G,'Industrial Summary'!$F:$F,H$17,'Industrial Summary'!$D:$D,$E122)&gt;0,((-SUMIFS('Industrial Summary'!$G:$G,'Industrial Summary'!$F:$F,H$17,'Industrial Summary'!$D:$D,$E122,'Industrial Summary'!$A:$A,"NGA")+-SUMIFS('Industrial Summary'!$G:$G,'Industrial Summary'!$F:$F,H$17,'Industrial Summary'!$D:$D,"ICORSTM",'Industrial Summary'!$A:$A,"NGA"))/SUMIFS('Industrial Summary'!$G:$G,'Industrial Summary'!$F:$F,H$17,'Industrial Summary'!$D:$D,$E122)),0))*0.98</f>
        <v>-3.9645319543985959E-2</v>
      </c>
      <c r="I122" s="6">
        <f>(IF(SUMIFS('Industrial Summary'!$G:$G,'Industrial Summary'!$F:$F,I$17,'Industrial Summary'!$D:$D,$E122)&gt;0,((-SUMIFS('Industrial Summary'!$G:$G,'Industrial Summary'!$F:$F,I$17,'Industrial Summary'!$D:$D,$E122,'Industrial Summary'!$A:$A,"NGA")+-SUMIFS('Industrial Summary'!$G:$G,'Industrial Summary'!$F:$F,I$17,'Industrial Summary'!$D:$D,"ICORSTM",'Industrial Summary'!$A:$A,"NGA"))/SUMIFS('Industrial Summary'!$G:$G,'Industrial Summary'!$F:$F,I$17,'Industrial Summary'!$D:$D,$E122)),0))*0.98</f>
        <v>-3.9645319543985799E-2</v>
      </c>
      <c r="J122" s="6">
        <f>(IF(SUMIFS('Industrial Summary'!$G:$G,'Industrial Summary'!$F:$F,J$17,'Industrial Summary'!$D:$D,$E122)&gt;0,((-SUMIFS('Industrial Summary'!$G:$G,'Industrial Summary'!$F:$F,J$17,'Industrial Summary'!$D:$D,$E122,'Industrial Summary'!$A:$A,"NGA")+-SUMIFS('Industrial Summary'!$G:$G,'Industrial Summary'!$F:$F,J$17,'Industrial Summary'!$D:$D,"ICORSTM",'Industrial Summary'!$A:$A,"NGA"))/SUMIFS('Industrial Summary'!$G:$G,'Industrial Summary'!$F:$F,J$17,'Industrial Summary'!$D:$D,$E122)),0))*0.98</f>
        <v>-7.6236331989727138E-2</v>
      </c>
      <c r="K122" s="6">
        <f>(IF(SUMIFS('Industrial Summary'!$G:$G,'Industrial Summary'!$F:$F,K$17,'Industrial Summary'!$D:$D,$E122)&gt;0,((-SUMIFS('Industrial Summary'!$G:$G,'Industrial Summary'!$F:$F,K$17,'Industrial Summary'!$D:$D,$E122,'Industrial Summary'!$A:$A,"NGA")+-SUMIFS('Industrial Summary'!$G:$G,'Industrial Summary'!$F:$F,K$17,'Industrial Summary'!$D:$D,"ICORSTM",'Industrial Summary'!$A:$A,"NGA"))/SUMIFS('Industrial Summary'!$G:$G,'Industrial Summary'!$F:$F,K$17,'Industrial Summary'!$D:$D,$E122)),0))*0.98</f>
        <v>-0.10120270171248963</v>
      </c>
      <c r="L122" s="6">
        <f>(IF(SUMIFS('Industrial Summary'!$G:$G,'Industrial Summary'!$F:$F,L$17,'Industrial Summary'!$D:$D,$E122)&gt;0,((-SUMIFS('Industrial Summary'!$G:$G,'Industrial Summary'!$F:$F,L$17,'Industrial Summary'!$D:$D,$E122,'Industrial Summary'!$A:$A,"NGA")+-SUMIFS('Industrial Summary'!$G:$G,'Industrial Summary'!$F:$F,L$17,'Industrial Summary'!$D:$D,"ICORSTM",'Industrial Summary'!$A:$A,"NGA"))/SUMIFS('Industrial Summary'!$G:$G,'Industrial Summary'!$F:$F,L$17,'Industrial Summary'!$D:$D,$E122)),0))*0.98</f>
        <v>-9.6333763505634801E-3</v>
      </c>
      <c r="M122" s="6">
        <f>(IF(SUMIFS('Industrial Summary'!$G:$G,'Industrial Summary'!$F:$F,M$17,'Industrial Summary'!$D:$D,$E122)&gt;0,((-SUMIFS('Industrial Summary'!$G:$G,'Industrial Summary'!$F:$F,M$17,'Industrial Summary'!$D:$D,$E122,'Industrial Summary'!$A:$A,"NGA")+-SUMIFS('Industrial Summary'!$G:$G,'Industrial Summary'!$F:$F,M$17,'Industrial Summary'!$D:$D,"ICORSTM",'Industrial Summary'!$A:$A,"NGA"))/SUMIFS('Industrial Summary'!$G:$G,'Industrial Summary'!$F:$F,M$17,'Industrial Summary'!$D:$D,$E122)),0))*0.98</f>
        <v>-9.6357529738053099E-3</v>
      </c>
      <c r="N122" s="6">
        <f>(IF(SUMIFS('Industrial Summary'!$G:$G,'Industrial Summary'!$F:$F,N$17,'Industrial Summary'!$D:$D,$E122)&gt;0,((-SUMIFS('Industrial Summary'!$G:$G,'Industrial Summary'!$F:$F,N$17,'Industrial Summary'!$D:$D,$E122,'Industrial Summary'!$A:$A,"NGA")+-SUMIFS('Industrial Summary'!$G:$G,'Industrial Summary'!$F:$F,N$17,'Industrial Summary'!$D:$D,"ICORSTM",'Industrial Summary'!$A:$A,"NGA"))/SUMIFS('Industrial Summary'!$G:$G,'Industrial Summary'!$F:$F,N$17,'Industrial Summary'!$D:$D,$E122)),0))*0.98</f>
        <v>-1.0153957734389034E-2</v>
      </c>
      <c r="O122" s="6">
        <f>(IF(SUMIFS('Industrial Summary'!$G:$G,'Industrial Summary'!$F:$F,O$17,'Industrial Summary'!$D:$D,$E122)&gt;0,((-SUMIFS('Industrial Summary'!$G:$G,'Industrial Summary'!$F:$F,O$17,'Industrial Summary'!$D:$D,$E122,'Industrial Summary'!$A:$A,"NGA")+-SUMIFS('Industrial Summary'!$G:$G,'Industrial Summary'!$F:$F,O$17,'Industrial Summary'!$D:$D,"ICORSTM",'Industrial Summary'!$A:$A,"NGA"))/SUMIFS('Industrial Summary'!$G:$G,'Industrial Summary'!$F:$F,O$17,'Industrial Summary'!$D:$D,$E122)),0))*0.98</f>
        <v>0</v>
      </c>
      <c r="P122" s="6">
        <f>(IF(SUMIFS('Industrial Summary'!$G:$G,'Industrial Summary'!$F:$F,P$17,'Industrial Summary'!$D:$D,$E122)&gt;0,((-SUMIFS('Industrial Summary'!$G:$G,'Industrial Summary'!$F:$F,P$17,'Industrial Summary'!$D:$D,$E122,'Industrial Summary'!$A:$A,"NGA")+-SUMIFS('Industrial Summary'!$G:$G,'Industrial Summary'!$F:$F,P$17,'Industrial Summary'!$D:$D,"ICORSTM",'Industrial Summary'!$A:$A,"NGA"))/SUMIFS('Industrial Summary'!$G:$G,'Industrial Summary'!$F:$F,P$17,'Industrial Summary'!$D:$D,$E122)),0))*0.98</f>
        <v>0</v>
      </c>
      <c r="Q122" s="5">
        <v>0</v>
      </c>
      <c r="R122" s="5">
        <v>15</v>
      </c>
      <c r="S122" s="5" t="str">
        <f t="shared" si="18"/>
        <v>UC_ICOOH_NGA</v>
      </c>
      <c r="V122" s="4" t="str">
        <f t="shared" si="19"/>
        <v>S_ICOOHNGA</v>
      </c>
      <c r="W122" s="4" t="str">
        <f t="shared" si="20"/>
        <v>ICOOH_NGA</v>
      </c>
      <c r="X122" s="4" t="str">
        <f t="shared" si="21"/>
        <v>ICOOHT</v>
      </c>
      <c r="Y122" s="5" t="str">
        <f t="shared" si="22"/>
        <v>LO</v>
      </c>
      <c r="Z122" s="5">
        <v>1</v>
      </c>
      <c r="AA122" s="6">
        <f t="shared" si="23"/>
        <v>-3.5680787589587364E-2</v>
      </c>
      <c r="AB122" s="6">
        <f t="shared" si="24"/>
        <v>-3.5680787589587218E-2</v>
      </c>
      <c r="AC122" s="6">
        <f t="shared" si="25"/>
        <v>-6.861269879075442E-2</v>
      </c>
      <c r="AD122" s="6">
        <f t="shared" si="26"/>
        <v>-9.1082431541240669E-2</v>
      </c>
      <c r="AE122" s="6">
        <f t="shared" si="27"/>
        <v>-8.6700387155071324E-3</v>
      </c>
      <c r="AF122" s="6">
        <f t="shared" si="28"/>
        <v>-8.6721776764247787E-3</v>
      </c>
      <c r="AG122" s="6">
        <f t="shared" si="29"/>
        <v>-9.1385619609501301E-3</v>
      </c>
      <c r="AH122" s="6">
        <f t="shared" si="30"/>
        <v>0</v>
      </c>
      <c r="AI122" s="6">
        <f t="shared" si="31"/>
        <v>0</v>
      </c>
      <c r="AL122" s="5" t="str">
        <f t="shared" si="32"/>
        <v>NGA</v>
      </c>
      <c r="AM122" s="5">
        <f>Y7</f>
        <v>0.9</v>
      </c>
    </row>
    <row r="123" spans="1:39" s="5" customFormat="1" x14ac:dyDescent="0.3">
      <c r="C123" s="4" t="s">
        <v>252</v>
      </c>
      <c r="D123" s="5" t="s">
        <v>253</v>
      </c>
      <c r="E123" s="5" t="s">
        <v>757</v>
      </c>
      <c r="F123" s="5" t="s">
        <v>1588</v>
      </c>
      <c r="G123" s="5">
        <v>1</v>
      </c>
      <c r="H123" s="6">
        <f>(IF(SUMIFS('Industrial Summary'!$G:$G,'Industrial Summary'!$F:$F,H$17,'Industrial Summary'!$D:$D,$E123)&gt;0,((-SUMIFS('Industrial Summary'!$G:$G,'Industrial Summary'!$F:$F,H$17,'Industrial Summary'!$D:$D,$E123,'Industrial Summary'!$A:$A,"LPG")+-SUMIFS('Industrial Summary'!$G:$G,'Industrial Summary'!$F:$F,H$17,'Industrial Summary'!$D:$D,"ICORSTM",'Industrial Summary'!$A:$A,"LPG"))/SUMIFS('Industrial Summary'!$G:$G,'Industrial Summary'!$F:$F,H$17,'Industrial Summary'!$D:$D,$E123)),0))*0.98</f>
        <v>0</v>
      </c>
      <c r="I123" s="6">
        <f>(IF(SUMIFS('Industrial Summary'!$G:$G,'Industrial Summary'!$F:$F,I$17,'Industrial Summary'!$D:$D,$E123)&gt;0,((-SUMIFS('Industrial Summary'!$G:$G,'Industrial Summary'!$F:$F,I$17,'Industrial Summary'!$D:$D,$E123,'Industrial Summary'!$A:$A,"LPG")+-SUMIFS('Industrial Summary'!$G:$G,'Industrial Summary'!$F:$F,I$17,'Industrial Summary'!$D:$D,"ICORSTM",'Industrial Summary'!$A:$A,"LPG"))/SUMIFS('Industrial Summary'!$G:$G,'Industrial Summary'!$F:$F,I$17,'Industrial Summary'!$D:$D,$E123)),0))*0.98</f>
        <v>0</v>
      </c>
      <c r="J123" s="6">
        <f>(IF(SUMIFS('Industrial Summary'!$G:$G,'Industrial Summary'!$F:$F,J$17,'Industrial Summary'!$D:$D,$E123)&gt;0,((-SUMIFS('Industrial Summary'!$G:$G,'Industrial Summary'!$F:$F,J$17,'Industrial Summary'!$D:$D,$E123,'Industrial Summary'!$A:$A,"LPG")+-SUMIFS('Industrial Summary'!$G:$G,'Industrial Summary'!$F:$F,J$17,'Industrial Summary'!$D:$D,"ICORSTM",'Industrial Summary'!$A:$A,"LPG"))/SUMIFS('Industrial Summary'!$G:$G,'Industrial Summary'!$F:$F,J$17,'Industrial Summary'!$D:$D,$E123)),0))*0.98</f>
        <v>0</v>
      </c>
      <c r="K123" s="6">
        <f>(IF(SUMIFS('Industrial Summary'!$G:$G,'Industrial Summary'!$F:$F,K$17,'Industrial Summary'!$D:$D,$E123)&gt;0,((-SUMIFS('Industrial Summary'!$G:$G,'Industrial Summary'!$F:$F,K$17,'Industrial Summary'!$D:$D,$E123,'Industrial Summary'!$A:$A,"LPG")+-SUMIFS('Industrial Summary'!$G:$G,'Industrial Summary'!$F:$F,K$17,'Industrial Summary'!$D:$D,"ICORSTM",'Industrial Summary'!$A:$A,"LPG"))/SUMIFS('Industrial Summary'!$G:$G,'Industrial Summary'!$F:$F,K$17,'Industrial Summary'!$D:$D,$E123)),0))*0.98</f>
        <v>0</v>
      </c>
      <c r="L123" s="6">
        <f>(IF(SUMIFS('Industrial Summary'!$G:$G,'Industrial Summary'!$F:$F,L$17,'Industrial Summary'!$D:$D,$E123)&gt;0,((-SUMIFS('Industrial Summary'!$G:$G,'Industrial Summary'!$F:$F,L$17,'Industrial Summary'!$D:$D,$E123,'Industrial Summary'!$A:$A,"LPG")+-SUMIFS('Industrial Summary'!$G:$G,'Industrial Summary'!$F:$F,L$17,'Industrial Summary'!$D:$D,"ICORSTM",'Industrial Summary'!$A:$A,"LPG"))/SUMIFS('Industrial Summary'!$G:$G,'Industrial Summary'!$F:$F,L$17,'Industrial Summary'!$D:$D,$E123)),0))*0.98</f>
        <v>-8.9375148778774158E-2</v>
      </c>
      <c r="M123" s="6">
        <f>(IF(SUMIFS('Industrial Summary'!$G:$G,'Industrial Summary'!$F:$F,M$17,'Industrial Summary'!$D:$D,$E123)&gt;0,((-SUMIFS('Industrial Summary'!$G:$G,'Industrial Summary'!$F:$F,M$17,'Industrial Summary'!$D:$D,$E123,'Industrial Summary'!$A:$A,"LPG")+-SUMIFS('Industrial Summary'!$G:$G,'Industrial Summary'!$F:$F,M$17,'Industrial Summary'!$D:$D,"ICORSTM",'Industrial Summary'!$A:$A,"LPG"))/SUMIFS('Industrial Summary'!$G:$G,'Industrial Summary'!$F:$F,M$17,'Industrial Summary'!$D:$D,$E123)),0))*0.98</f>
        <v>-8.9155425221412621E-2</v>
      </c>
      <c r="N123" s="6">
        <f>(IF(SUMIFS('Industrial Summary'!$G:$G,'Industrial Summary'!$F:$F,N$17,'Industrial Summary'!$D:$D,$E123)&gt;0,((-SUMIFS('Industrial Summary'!$G:$G,'Industrial Summary'!$F:$F,N$17,'Industrial Summary'!$D:$D,$E123,'Industrial Summary'!$A:$A,"LPG")+-SUMIFS('Industrial Summary'!$G:$G,'Industrial Summary'!$F:$F,N$17,'Industrial Summary'!$D:$D,"ICORSTM",'Industrial Summary'!$A:$A,"LPG"))/SUMIFS('Industrial Summary'!$G:$G,'Industrial Summary'!$F:$F,N$17,'Industrial Summary'!$D:$D,$E123)),0))*0.98</f>
        <v>-4.1246361877277572E-2</v>
      </c>
      <c r="O123" s="6">
        <f>(IF(SUMIFS('Industrial Summary'!$G:$G,'Industrial Summary'!$F:$F,O$17,'Industrial Summary'!$D:$D,$E123)&gt;0,((-SUMIFS('Industrial Summary'!$G:$G,'Industrial Summary'!$F:$F,O$17,'Industrial Summary'!$D:$D,$E123,'Industrial Summary'!$A:$A,"LPG")+-SUMIFS('Industrial Summary'!$G:$G,'Industrial Summary'!$F:$F,O$17,'Industrial Summary'!$D:$D,"ICORSTM",'Industrial Summary'!$A:$A,"LPG"))/SUMIFS('Industrial Summary'!$G:$G,'Industrial Summary'!$F:$F,O$17,'Industrial Summary'!$D:$D,$E123)),0))*0.98</f>
        <v>0</v>
      </c>
      <c r="P123" s="6">
        <f>(IF(SUMIFS('Industrial Summary'!$G:$G,'Industrial Summary'!$F:$F,P$17,'Industrial Summary'!$D:$D,$E123)&gt;0,((-SUMIFS('Industrial Summary'!$G:$G,'Industrial Summary'!$F:$F,P$17,'Industrial Summary'!$D:$D,$E123,'Industrial Summary'!$A:$A,"LPG")+-SUMIFS('Industrial Summary'!$G:$G,'Industrial Summary'!$F:$F,P$17,'Industrial Summary'!$D:$D,"ICORSTM",'Industrial Summary'!$A:$A,"LPG"))/SUMIFS('Industrial Summary'!$G:$G,'Industrial Summary'!$F:$F,P$17,'Industrial Summary'!$D:$D,$E123)),0))*0.98</f>
        <v>0</v>
      </c>
      <c r="Q123" s="5">
        <v>0</v>
      </c>
      <c r="R123" s="5">
        <v>15</v>
      </c>
      <c r="S123" s="5" t="str">
        <f t="shared" si="18"/>
        <v>UC_ICOOH_LPG</v>
      </c>
      <c r="V123" s="4" t="str">
        <f t="shared" si="19"/>
        <v>S_ICOOHLPG</v>
      </c>
      <c r="W123" s="4" t="str">
        <f t="shared" si="20"/>
        <v>ICOOH_LPG</v>
      </c>
      <c r="X123" s="4" t="str">
        <f t="shared" si="21"/>
        <v>ICOOHT</v>
      </c>
      <c r="Y123" s="5" t="str">
        <f t="shared" si="22"/>
        <v>LO</v>
      </c>
      <c r="Z123" s="5">
        <v>1</v>
      </c>
      <c r="AA123" s="6">
        <f t="shared" si="23"/>
        <v>0</v>
      </c>
      <c r="AB123" s="6">
        <f t="shared" si="24"/>
        <v>0</v>
      </c>
      <c r="AC123" s="6">
        <f t="shared" si="25"/>
        <v>0</v>
      </c>
      <c r="AD123" s="6">
        <f t="shared" si="26"/>
        <v>0</v>
      </c>
      <c r="AE123" s="6">
        <f t="shared" si="27"/>
        <v>-8.9375148778774158E-2</v>
      </c>
      <c r="AF123" s="6">
        <f t="shared" si="28"/>
        <v>-8.9155425221412621E-2</v>
      </c>
      <c r="AG123" s="6">
        <f t="shared" si="29"/>
        <v>-4.1246361877277572E-2</v>
      </c>
      <c r="AH123" s="6">
        <f t="shared" si="30"/>
        <v>0</v>
      </c>
      <c r="AI123" s="6">
        <f t="shared" si="31"/>
        <v>0</v>
      </c>
      <c r="AL123" s="5" t="str">
        <f t="shared" si="32"/>
        <v>LPG</v>
      </c>
      <c r="AM123" s="5">
        <f>1</f>
        <v>1</v>
      </c>
    </row>
    <row r="124" spans="1:39" s="5" customFormat="1" x14ac:dyDescent="0.3">
      <c r="A124" s="8"/>
      <c r="C124" s="4" t="s">
        <v>254</v>
      </c>
      <c r="D124" s="5" t="s">
        <v>255</v>
      </c>
      <c r="E124" s="5" t="s">
        <v>757</v>
      </c>
      <c r="F124" s="5" t="s">
        <v>1588</v>
      </c>
      <c r="G124" s="5">
        <v>1</v>
      </c>
      <c r="H124" s="6">
        <f>(IF(SUMIFS('Industrial Summary'!$G:$G,'Industrial Summary'!$F:$F,H$17,'Industrial Summary'!$D:$D,$E124)&gt;0,((-SUMIFS('Industrial Summary'!$G:$G,'Industrial Summary'!$F:$F,H$17,'Industrial Summary'!$D:$D,$E124,'Industrial Summary'!$A:$A,"OTP")+-SUMIFS('Industrial Summary'!$G:$G,'Industrial Summary'!$F:$F,H$17,'Industrial Summary'!$D:$D,"ICORSTM",'Industrial Summary'!$A:$A,"OTP"))/SUMIFS('Industrial Summary'!$G:$G,'Industrial Summary'!$F:$F,H$17,'Industrial Summary'!$D:$D,$E124)),0))*0.98</f>
        <v>-0.940354680456014</v>
      </c>
      <c r="I124" s="6">
        <f>(IF(SUMIFS('Industrial Summary'!$G:$G,'Industrial Summary'!$F:$F,I$17,'Industrial Summary'!$D:$D,$E124)&gt;0,((-SUMIFS('Industrial Summary'!$G:$G,'Industrial Summary'!$F:$F,I$17,'Industrial Summary'!$D:$D,$E124,'Industrial Summary'!$A:$A,"OTP")+-SUMIFS('Industrial Summary'!$G:$G,'Industrial Summary'!$F:$F,I$17,'Industrial Summary'!$D:$D,"ICORSTM",'Industrial Summary'!$A:$A,"OTP"))/SUMIFS('Industrial Summary'!$G:$G,'Industrial Summary'!$F:$F,I$17,'Industrial Summary'!$D:$D,$E124)),0))*0.98</f>
        <v>-0.94035468045601411</v>
      </c>
      <c r="J124" s="6">
        <f>(IF(SUMIFS('Industrial Summary'!$G:$G,'Industrial Summary'!$F:$F,J$17,'Industrial Summary'!$D:$D,$E124)&gt;0,((-SUMIFS('Industrial Summary'!$G:$G,'Industrial Summary'!$F:$F,J$17,'Industrial Summary'!$D:$D,$E124,'Industrial Summary'!$A:$A,"OTP")+-SUMIFS('Industrial Summary'!$G:$G,'Industrial Summary'!$F:$F,J$17,'Industrial Summary'!$D:$D,"ICORSTM",'Industrial Summary'!$A:$A,"OTP"))/SUMIFS('Industrial Summary'!$G:$G,'Industrial Summary'!$F:$F,J$17,'Industrial Summary'!$D:$D,$E124)),0))*0.98</f>
        <v>-0.90376366801027275</v>
      </c>
      <c r="K124" s="6">
        <f>(IF(SUMIFS('Industrial Summary'!$G:$G,'Industrial Summary'!$F:$F,K$17,'Industrial Summary'!$D:$D,$E124)&gt;0,((-SUMIFS('Industrial Summary'!$G:$G,'Industrial Summary'!$F:$F,K$17,'Industrial Summary'!$D:$D,$E124,'Industrial Summary'!$A:$A,"OTP")+-SUMIFS('Industrial Summary'!$G:$G,'Industrial Summary'!$F:$F,K$17,'Industrial Summary'!$D:$D,"ICORSTM",'Industrial Summary'!$A:$A,"OTP"))/SUMIFS('Industrial Summary'!$G:$G,'Industrial Summary'!$F:$F,K$17,'Industrial Summary'!$D:$D,$E124)),0))*0.98</f>
        <v>-0.8787972982875103</v>
      </c>
      <c r="L124" s="6">
        <f>(IF(SUMIFS('Industrial Summary'!$G:$G,'Industrial Summary'!$F:$F,L$17,'Industrial Summary'!$D:$D,$E124)&gt;0,((-SUMIFS('Industrial Summary'!$G:$G,'Industrial Summary'!$F:$F,L$17,'Industrial Summary'!$D:$D,$E124,'Industrial Summary'!$A:$A,"OTP")+-SUMIFS('Industrial Summary'!$G:$G,'Industrial Summary'!$F:$F,L$17,'Industrial Summary'!$D:$D,"ICORSTM",'Industrial Summary'!$A:$A,"OTP"))/SUMIFS('Industrial Summary'!$G:$G,'Industrial Summary'!$F:$F,L$17,'Industrial Summary'!$D:$D,$E124)),0))*0.98</f>
        <v>-0.80436229823754446</v>
      </c>
      <c r="M124" s="6">
        <f>(IF(SUMIFS('Industrial Summary'!$G:$G,'Industrial Summary'!$F:$F,M$17,'Industrial Summary'!$D:$D,$E124)&gt;0,((-SUMIFS('Industrial Summary'!$G:$G,'Industrial Summary'!$F:$F,M$17,'Industrial Summary'!$D:$D,$E124,'Industrial Summary'!$A:$A,"OTP")+-SUMIFS('Industrial Summary'!$G:$G,'Industrial Summary'!$F:$F,M$17,'Industrial Summary'!$D:$D,"ICORSTM",'Industrial Summary'!$A:$A,"OTP"))/SUMIFS('Industrial Summary'!$G:$G,'Industrial Summary'!$F:$F,M$17,'Industrial Summary'!$D:$D,$E124)),0))*0.98</f>
        <v>-0.80456074020256896</v>
      </c>
      <c r="N124" s="6">
        <f>(IF(SUMIFS('Industrial Summary'!$G:$G,'Industrial Summary'!$F:$F,N$17,'Industrial Summary'!$D:$D,$E124)&gt;0,((-SUMIFS('Industrial Summary'!$G:$G,'Industrial Summary'!$F:$F,N$17,'Industrial Summary'!$D:$D,$E124,'Industrial Summary'!$A:$A,"OTP")+-SUMIFS('Industrial Summary'!$G:$G,'Industrial Summary'!$F:$F,N$17,'Industrial Summary'!$D:$D,"ICORSTM",'Industrial Summary'!$A:$A,"OTP"))/SUMIFS('Industrial Summary'!$G:$G,'Industrial Summary'!$F:$F,N$17,'Industrial Summary'!$D:$D,$E124)),0))*0.98</f>
        <v>-0.84782951295807396</v>
      </c>
      <c r="O124" s="6">
        <f>(IF(SUMIFS('Industrial Summary'!$G:$G,'Industrial Summary'!$F:$F,O$17,'Industrial Summary'!$D:$D,$E124)&gt;0,((-SUMIFS('Industrial Summary'!$G:$G,'Industrial Summary'!$F:$F,O$17,'Industrial Summary'!$D:$D,$E124,'Industrial Summary'!$A:$A,"OTP")+-SUMIFS('Industrial Summary'!$G:$G,'Industrial Summary'!$F:$F,O$17,'Industrial Summary'!$D:$D,"ICORSTM",'Industrial Summary'!$A:$A,"OTP"))/SUMIFS('Industrial Summary'!$G:$G,'Industrial Summary'!$F:$F,O$17,'Industrial Summary'!$D:$D,$E124)),0))*0.98</f>
        <v>-0.98</v>
      </c>
      <c r="P124" s="6">
        <f>(IF(SUMIFS('Industrial Summary'!$G:$G,'Industrial Summary'!$F:$F,P$17,'Industrial Summary'!$D:$D,$E124)&gt;0,((-SUMIFS('Industrial Summary'!$G:$G,'Industrial Summary'!$F:$F,P$17,'Industrial Summary'!$D:$D,$E124,'Industrial Summary'!$A:$A,"OTP")+-SUMIFS('Industrial Summary'!$G:$G,'Industrial Summary'!$F:$F,P$17,'Industrial Summary'!$D:$D,"ICORSTM",'Industrial Summary'!$A:$A,"OTP"))/SUMIFS('Industrial Summary'!$G:$G,'Industrial Summary'!$F:$F,P$17,'Industrial Summary'!$D:$D,$E124)),0))*0.98</f>
        <v>-0.98</v>
      </c>
      <c r="Q124" s="5">
        <v>0</v>
      </c>
      <c r="R124" s="5">
        <v>15</v>
      </c>
      <c r="S124" s="5" t="str">
        <f t="shared" si="18"/>
        <v>UC_ICOOH_OTP</v>
      </c>
      <c r="V124" s="4" t="str">
        <f t="shared" si="19"/>
        <v>S_ICOOHOTP</v>
      </c>
      <c r="W124" s="4" t="str">
        <f t="shared" si="20"/>
        <v>ICOOH_OTP</v>
      </c>
      <c r="X124" s="4" t="str">
        <f t="shared" si="21"/>
        <v>ICOOHT</v>
      </c>
      <c r="Y124" s="5" t="str">
        <f t="shared" si="22"/>
        <v>LO</v>
      </c>
      <c r="Z124" s="5">
        <v>1</v>
      </c>
      <c r="AA124" s="6">
        <f t="shared" si="23"/>
        <v>-0.940354680456014</v>
      </c>
      <c r="AB124" s="6">
        <f t="shared" si="24"/>
        <v>-0.94035468045601411</v>
      </c>
      <c r="AC124" s="6">
        <f t="shared" si="25"/>
        <v>-0.90376366801027275</v>
      </c>
      <c r="AD124" s="6">
        <f t="shared" si="26"/>
        <v>-0.8787972982875103</v>
      </c>
      <c r="AE124" s="6">
        <f t="shared" si="27"/>
        <v>-0.80436229823754446</v>
      </c>
      <c r="AF124" s="6">
        <f t="shared" si="28"/>
        <v>-0.80456074020256896</v>
      </c>
      <c r="AG124" s="6">
        <f t="shared" si="29"/>
        <v>-0.84782951295807396</v>
      </c>
      <c r="AH124" s="6">
        <f t="shared" si="30"/>
        <v>-0.98</v>
      </c>
      <c r="AI124" s="6">
        <f t="shared" si="31"/>
        <v>-0.98</v>
      </c>
      <c r="AL124" s="5" t="str">
        <f t="shared" si="32"/>
        <v>OTP</v>
      </c>
      <c r="AM124" s="5">
        <f>1</f>
        <v>1</v>
      </c>
    </row>
    <row r="125" spans="1:39" s="5" customFormat="1" x14ac:dyDescent="0.3">
      <c r="C125" s="4" t="s">
        <v>256</v>
      </c>
      <c r="D125" s="5" t="s">
        <v>257</v>
      </c>
      <c r="E125" s="5" t="s">
        <v>713</v>
      </c>
      <c r="F125" s="5" t="s">
        <v>1588</v>
      </c>
      <c r="G125" s="5">
        <v>1</v>
      </c>
      <c r="H125" s="6">
        <f>IF(SUMIFS('Industrial Summary'!$G:$G,'Industrial Summary'!$F:$F,H$17,'Industrial Summary'!$D:$D,$E125)&gt;0,(-SUMIFS('Industrial Summary'!$G:$G,'Industrial Summary'!$F:$F,H$17,'Industrial Summary'!$D:$D,$E125,'Industrial Summary'!$A:$A,"NGA")/SUMIFS('Industrial Summary'!$G:$G,'Industrial Summary'!$F:$F,H$17,'Industrial Summary'!$D:$D,$E125)),0)*0.98</f>
        <v>0</v>
      </c>
      <c r="I125" s="6">
        <f>IF(SUMIFS('Industrial Summary'!$G:$G,'Industrial Summary'!$F:$F,I$17,'Industrial Summary'!$D:$D,$E125)&gt;0,(-SUMIFS('Industrial Summary'!$G:$G,'Industrial Summary'!$F:$F,I$17,'Industrial Summary'!$D:$D,$E125,'Industrial Summary'!$A:$A,"NGA")/SUMIFS('Industrial Summary'!$G:$G,'Industrial Summary'!$F:$F,I$17,'Industrial Summary'!$D:$D,$E125)),0)*0.98</f>
        <v>0</v>
      </c>
      <c r="J125" s="6">
        <f>IF(SUMIFS('Industrial Summary'!$G:$G,'Industrial Summary'!$F:$F,J$17,'Industrial Summary'!$D:$D,$E125)&gt;0,(-SUMIFS('Industrial Summary'!$G:$G,'Industrial Summary'!$F:$F,J$17,'Industrial Summary'!$D:$D,$E125,'Industrial Summary'!$A:$A,"NGA")/SUMIFS('Industrial Summary'!$G:$G,'Industrial Summary'!$F:$F,J$17,'Industrial Summary'!$D:$D,$E125)),0)*0.98</f>
        <v>-0.79269935696094618</v>
      </c>
      <c r="K125" s="6">
        <f>IF(SUMIFS('Industrial Summary'!$G:$G,'Industrial Summary'!$F:$F,K$17,'Industrial Summary'!$D:$D,$E125)&gt;0,(-SUMIFS('Industrial Summary'!$G:$G,'Industrial Summary'!$F:$F,K$17,'Industrial Summary'!$D:$D,$E125,'Industrial Summary'!$A:$A,"NGA")/SUMIFS('Industrial Summary'!$G:$G,'Industrial Summary'!$F:$F,K$17,'Industrial Summary'!$D:$D,$E125)),0)*0.98</f>
        <v>-0.79269935696094818</v>
      </c>
      <c r="L125" s="6">
        <f>IF(SUMIFS('Industrial Summary'!$G:$G,'Industrial Summary'!$F:$F,L$17,'Industrial Summary'!$D:$D,$E125)&gt;0,(-SUMIFS('Industrial Summary'!$G:$G,'Industrial Summary'!$F:$F,L$17,'Industrial Summary'!$D:$D,$E125,'Industrial Summary'!$A:$A,"NGA")/SUMIFS('Industrial Summary'!$G:$G,'Industrial Summary'!$F:$F,L$17,'Industrial Summary'!$D:$D,$E125)),0)*0.98</f>
        <v>-0.93890956602896791</v>
      </c>
      <c r="M125" s="6">
        <f>IF(SUMIFS('Industrial Summary'!$G:$G,'Industrial Summary'!$F:$F,M$17,'Industrial Summary'!$D:$D,$E125)&gt;0,(-SUMIFS('Industrial Summary'!$G:$G,'Industrial Summary'!$F:$F,M$17,'Industrial Summary'!$D:$D,$E125,'Industrial Summary'!$A:$A,"NGA")/SUMIFS('Industrial Summary'!$G:$G,'Industrial Summary'!$F:$F,M$17,'Industrial Summary'!$D:$D,$E125)),0)*0.98</f>
        <v>-0.94817938048180106</v>
      </c>
      <c r="N125" s="6">
        <f>IF(SUMIFS('Industrial Summary'!$G:$G,'Industrial Summary'!$F:$F,N$17,'Industrial Summary'!$D:$D,$E125)&gt;0,(-SUMIFS('Industrial Summary'!$G:$G,'Industrial Summary'!$F:$F,N$17,'Industrial Summary'!$D:$D,$E125,'Industrial Summary'!$A:$A,"NGA")/SUMIFS('Industrial Summary'!$G:$G,'Industrial Summary'!$F:$F,N$17,'Industrial Summary'!$D:$D,$E125)),0)*0.98</f>
        <v>-0.93841728314046025</v>
      </c>
      <c r="O125" s="6">
        <f>IF(SUMIFS('Industrial Summary'!$G:$G,'Industrial Summary'!$F:$F,O$17,'Industrial Summary'!$D:$D,$E125)&gt;0,(-SUMIFS('Industrial Summary'!$G:$G,'Industrial Summary'!$F:$F,O$17,'Industrial Summary'!$D:$D,$E125,'Industrial Summary'!$A:$A,"NGA")/SUMIFS('Industrial Summary'!$G:$G,'Industrial Summary'!$F:$F,O$17,'Industrial Summary'!$D:$D,$E125)),0)*0.98</f>
        <v>-0.79454878349877966</v>
      </c>
      <c r="P125" s="6">
        <f>IF(SUMIFS('Industrial Summary'!$G:$G,'Industrial Summary'!$F:$F,P$17,'Industrial Summary'!$D:$D,$E125)&gt;0,(-SUMIFS('Industrial Summary'!$G:$G,'Industrial Summary'!$F:$F,P$17,'Industrial Summary'!$D:$D,$E125,'Industrial Summary'!$A:$A,"NGA")/SUMIFS('Industrial Summary'!$G:$G,'Industrial Summary'!$F:$F,P$17,'Industrial Summary'!$D:$D,$E125)),0)*0.98</f>
        <v>-0.79200149129164499</v>
      </c>
      <c r="Q125" s="5">
        <v>0</v>
      </c>
      <c r="R125" s="5">
        <v>15</v>
      </c>
      <c r="S125" s="5" t="str">
        <f t="shared" si="18"/>
        <v>UC_ICIFS_NGA</v>
      </c>
      <c r="V125" s="4" t="str">
        <f t="shared" si="19"/>
        <v>S_ICIFSNGA</v>
      </c>
      <c r="W125" s="4" t="str">
        <f t="shared" si="20"/>
        <v>ICIFS_NGA</v>
      </c>
      <c r="X125" s="4" t="str">
        <f t="shared" si="21"/>
        <v>ICIFEED</v>
      </c>
      <c r="Y125" s="5" t="str">
        <f t="shared" si="22"/>
        <v>LO</v>
      </c>
      <c r="Z125" s="5">
        <v>1</v>
      </c>
      <c r="AA125" s="6">
        <f t="shared" si="23"/>
        <v>0</v>
      </c>
      <c r="AB125" s="6">
        <f t="shared" si="24"/>
        <v>0</v>
      </c>
      <c r="AC125" s="6">
        <f t="shared" si="25"/>
        <v>-0.71342942126485154</v>
      </c>
      <c r="AD125" s="6">
        <f t="shared" si="26"/>
        <v>-0.71342942126485343</v>
      </c>
      <c r="AE125" s="6">
        <f t="shared" si="27"/>
        <v>-0.8450186094260711</v>
      </c>
      <c r="AF125" s="6">
        <f t="shared" si="28"/>
        <v>-0.853361442433621</v>
      </c>
      <c r="AG125" s="6">
        <f t="shared" si="29"/>
        <v>-0.84457555482641422</v>
      </c>
      <c r="AH125" s="6">
        <f t="shared" si="30"/>
        <v>-0.7150939051489017</v>
      </c>
      <c r="AI125" s="6">
        <f t="shared" si="31"/>
        <v>-0.71280134216248048</v>
      </c>
      <c r="AL125" s="5" t="str">
        <f t="shared" si="32"/>
        <v>NGA</v>
      </c>
      <c r="AM125" s="5">
        <f>Y7</f>
        <v>0.9</v>
      </c>
    </row>
    <row r="126" spans="1:39" s="5" customFormat="1" x14ac:dyDescent="0.3">
      <c r="A126" s="8"/>
      <c r="C126" s="4" t="s">
        <v>258</v>
      </c>
      <c r="D126" s="5" t="s">
        <v>259</v>
      </c>
      <c r="E126" s="5" t="s">
        <v>713</v>
      </c>
      <c r="F126" s="5" t="s">
        <v>1588</v>
      </c>
      <c r="G126" s="5">
        <v>1</v>
      </c>
      <c r="H126" s="6">
        <f>IF(SUMIFS('Industrial Summary'!$G:$G,'Industrial Summary'!$F:$F,H$17,'Industrial Summary'!$D:$D,$E126)&gt;0,(-SUMIFS('Industrial Summary'!$G:$G,'Industrial Summary'!$F:$F,H$17,'Industrial Summary'!$D:$D,$E126,'Industrial Summary'!$A:$A,"PFS")/SUMIFS('Industrial Summary'!$G:$G,'Industrial Summary'!$F:$F,H$17,'Industrial Summary'!$D:$D,$E126)),0)*0.98</f>
        <v>0</v>
      </c>
      <c r="I126" s="6">
        <f>IF(SUMIFS('Industrial Summary'!$G:$G,'Industrial Summary'!$F:$F,I$17,'Industrial Summary'!$D:$D,$E126)&gt;0,(-SUMIFS('Industrial Summary'!$G:$G,'Industrial Summary'!$F:$F,I$17,'Industrial Summary'!$D:$D,$E126,'Industrial Summary'!$A:$A,"PFS")/SUMIFS('Industrial Summary'!$G:$G,'Industrial Summary'!$F:$F,I$17,'Industrial Summary'!$D:$D,$E126)),0)*0.98</f>
        <v>0</v>
      </c>
      <c r="J126" s="6">
        <f>IF(SUMIFS('Industrial Summary'!$G:$G,'Industrial Summary'!$F:$F,J$17,'Industrial Summary'!$D:$D,$E126)&gt;0,(-SUMIFS('Industrial Summary'!$G:$G,'Industrial Summary'!$F:$F,J$17,'Industrial Summary'!$D:$D,$E126,'Industrial Summary'!$A:$A,"PFS")/SUMIFS('Industrial Summary'!$G:$G,'Industrial Summary'!$F:$F,J$17,'Industrial Summary'!$D:$D,$E126)),0)*0.98</f>
        <v>-0.18730064303905375</v>
      </c>
      <c r="K126" s="6">
        <f>IF(SUMIFS('Industrial Summary'!$G:$G,'Industrial Summary'!$F:$F,K$17,'Industrial Summary'!$D:$D,$E126)&gt;0,(-SUMIFS('Industrial Summary'!$G:$G,'Industrial Summary'!$F:$F,K$17,'Industrial Summary'!$D:$D,$E126,'Industrial Summary'!$A:$A,"PFS")/SUMIFS('Industrial Summary'!$G:$G,'Industrial Summary'!$F:$F,K$17,'Industrial Summary'!$D:$D,$E126)),0)*0.98</f>
        <v>-0.18730064303905181</v>
      </c>
      <c r="L126" s="6">
        <f>IF(SUMIFS('Industrial Summary'!$G:$G,'Industrial Summary'!$F:$F,L$17,'Industrial Summary'!$D:$D,$E126)&gt;0,(-SUMIFS('Industrial Summary'!$G:$G,'Industrial Summary'!$F:$F,L$17,'Industrial Summary'!$D:$D,$E126,'Industrial Summary'!$A:$A,"PFS")/SUMIFS('Industrial Summary'!$G:$G,'Industrial Summary'!$F:$F,L$17,'Industrial Summary'!$D:$D,$E126)),0)*0.98</f>
        <v>-4.1090433971032077E-2</v>
      </c>
      <c r="M126" s="6">
        <f>IF(SUMIFS('Industrial Summary'!$G:$G,'Industrial Summary'!$F:$F,M$17,'Industrial Summary'!$D:$D,$E126)&gt;0,(-SUMIFS('Industrial Summary'!$G:$G,'Industrial Summary'!$F:$F,M$17,'Industrial Summary'!$D:$D,$E126,'Industrial Summary'!$A:$A,"PFS")/SUMIFS('Industrial Summary'!$G:$G,'Industrial Summary'!$F:$F,M$17,'Industrial Summary'!$D:$D,$E126)),0)*0.98</f>
        <v>-3.1820619518198964E-2</v>
      </c>
      <c r="N126" s="6">
        <f>IF(SUMIFS('Industrial Summary'!$G:$G,'Industrial Summary'!$F:$F,N$17,'Industrial Summary'!$D:$D,$E126)&gt;0,(-SUMIFS('Industrial Summary'!$G:$G,'Industrial Summary'!$F:$F,N$17,'Industrial Summary'!$D:$D,$E126,'Industrial Summary'!$A:$A,"PFS")/SUMIFS('Industrial Summary'!$G:$G,'Industrial Summary'!$F:$F,N$17,'Industrial Summary'!$D:$D,$E126)),0)*0.98</f>
        <v>-4.1582716859539653E-2</v>
      </c>
      <c r="O126" s="6">
        <f>IF(SUMIFS('Industrial Summary'!$G:$G,'Industrial Summary'!$F:$F,O$17,'Industrial Summary'!$D:$D,$E126)&gt;0,(-SUMIFS('Industrial Summary'!$G:$G,'Industrial Summary'!$F:$F,O$17,'Industrial Summary'!$D:$D,$E126,'Industrial Summary'!$A:$A,"PFS")/SUMIFS('Industrial Summary'!$G:$G,'Industrial Summary'!$F:$F,O$17,'Industrial Summary'!$D:$D,$E126)),0)*0.98</f>
        <v>-0.18545121650122035</v>
      </c>
      <c r="P126" s="6">
        <f>IF(SUMIFS('Industrial Summary'!$G:$G,'Industrial Summary'!$F:$F,P$17,'Industrial Summary'!$D:$D,$E126)&gt;0,(-SUMIFS('Industrial Summary'!$G:$G,'Industrial Summary'!$F:$F,P$17,'Industrial Summary'!$D:$D,$E126,'Industrial Summary'!$A:$A,"PFS")/SUMIFS('Industrial Summary'!$G:$G,'Industrial Summary'!$F:$F,P$17,'Industrial Summary'!$D:$D,$E126)),0)*0.98</f>
        <v>-0.18799850870835499</v>
      </c>
      <c r="Q126" s="5">
        <v>0</v>
      </c>
      <c r="R126" s="5">
        <v>15</v>
      </c>
      <c r="S126" s="5" t="str">
        <f t="shared" si="18"/>
        <v>UC_ICIFS_PFS</v>
      </c>
      <c r="V126" s="4" t="str">
        <f t="shared" si="19"/>
        <v>S_ICIFSPFS</v>
      </c>
      <c r="W126" s="4" t="str">
        <f t="shared" si="20"/>
        <v>ICIFS_PFS</v>
      </c>
      <c r="X126" s="4" t="str">
        <f t="shared" si="21"/>
        <v>ICIFEED</v>
      </c>
      <c r="Y126" s="5" t="str">
        <f t="shared" si="22"/>
        <v>LO</v>
      </c>
      <c r="Z126" s="5">
        <v>1</v>
      </c>
      <c r="AA126" s="6">
        <f t="shared" si="23"/>
        <v>0</v>
      </c>
      <c r="AB126" s="6">
        <f t="shared" si="24"/>
        <v>0</v>
      </c>
      <c r="AC126" s="6">
        <f t="shared" si="25"/>
        <v>-0.18730064303905375</v>
      </c>
      <c r="AD126" s="6">
        <f t="shared" si="26"/>
        <v>-0.18730064303905181</v>
      </c>
      <c r="AE126" s="6">
        <f t="shared" si="27"/>
        <v>-4.1090433971032077E-2</v>
      </c>
      <c r="AF126" s="6">
        <f t="shared" si="28"/>
        <v>-3.1820619518198964E-2</v>
      </c>
      <c r="AG126" s="6">
        <f t="shared" si="29"/>
        <v>-4.1582716859539653E-2</v>
      </c>
      <c r="AH126" s="6">
        <f t="shared" si="30"/>
        <v>-0.18545121650122035</v>
      </c>
      <c r="AI126" s="6">
        <f t="shared" si="31"/>
        <v>-0.18799850870835499</v>
      </c>
      <c r="AL126" s="5" t="str">
        <f t="shared" si="32"/>
        <v>PFS</v>
      </c>
      <c r="AM126" s="5">
        <f>1</f>
        <v>1</v>
      </c>
    </row>
    <row r="127" spans="1:39" s="5" customFormat="1" x14ac:dyDescent="0.3">
      <c r="C127" s="4" t="s">
        <v>260</v>
      </c>
      <c r="D127" s="5" t="s">
        <v>261</v>
      </c>
      <c r="E127" s="5" t="s">
        <v>774</v>
      </c>
      <c r="F127" s="5" t="s">
        <v>1588</v>
      </c>
      <c r="G127" s="5">
        <v>1</v>
      </c>
      <c r="H127" s="6">
        <f>(IF(SUMIFS('Industrial Summary'!$G:$G,'Industrial Summary'!$F:$F,H$17,'Industrial Summary'!$D:$D,$E127)&gt;0,((-SUMIFS('Industrial Summary'!$G:$G,'Industrial Summary'!$F:$F,H$17,'Industrial Summary'!$D:$D,$E127,'Industrial Summary'!$A:$A,"NGA")+-SUMIFS('Industrial Summary'!$G:$G,'Industrial Summary'!$F:$F,H$17,'Industrial Summary'!$D:$D,"ICIFSTM",'Industrial Summary'!$A:$A,"NGA"))/SUMIFS('Industrial Summary'!$G:$G,'Industrial Summary'!$F:$F,H$17,'Industrial Summary'!$D:$D,$E127)),0))*0.98</f>
        <v>-0.98</v>
      </c>
      <c r="I127" s="6">
        <f>(IF(SUMIFS('Industrial Summary'!$G:$G,'Industrial Summary'!$F:$F,I$17,'Industrial Summary'!$D:$D,$E127)&gt;0,((-SUMIFS('Industrial Summary'!$G:$G,'Industrial Summary'!$F:$F,I$17,'Industrial Summary'!$D:$D,$E127,'Industrial Summary'!$A:$A,"NGA")+-SUMIFS('Industrial Summary'!$G:$G,'Industrial Summary'!$F:$F,I$17,'Industrial Summary'!$D:$D,"ICIFSTM",'Industrial Summary'!$A:$A,"NGA"))/SUMIFS('Industrial Summary'!$G:$G,'Industrial Summary'!$F:$F,I$17,'Industrial Summary'!$D:$D,$E127)),0))*0.98</f>
        <v>-0.96437019585275319</v>
      </c>
      <c r="J127" s="6">
        <f>(IF(SUMIFS('Industrial Summary'!$G:$G,'Industrial Summary'!$F:$F,J$17,'Industrial Summary'!$D:$D,$E127)&gt;0,((-SUMIFS('Industrial Summary'!$G:$G,'Industrial Summary'!$F:$F,J$17,'Industrial Summary'!$D:$D,$E127,'Industrial Summary'!$A:$A,"NGA")+-SUMIFS('Industrial Summary'!$G:$G,'Industrial Summary'!$F:$F,J$17,'Industrial Summary'!$D:$D,"ICIFSTM",'Industrial Summary'!$A:$A,"NGA"))/SUMIFS('Industrial Summary'!$G:$G,'Industrial Summary'!$F:$F,J$17,'Industrial Summary'!$D:$D,$E127)),0))*0.98</f>
        <v>-0.68155643495499751</v>
      </c>
      <c r="K127" s="6">
        <f>(IF(SUMIFS('Industrial Summary'!$G:$G,'Industrial Summary'!$F:$F,K$17,'Industrial Summary'!$D:$D,$E127)&gt;0,((-SUMIFS('Industrial Summary'!$G:$G,'Industrial Summary'!$F:$F,K$17,'Industrial Summary'!$D:$D,$E127,'Industrial Summary'!$A:$A,"NGA")+-SUMIFS('Industrial Summary'!$G:$G,'Industrial Summary'!$F:$F,K$17,'Industrial Summary'!$D:$D,"ICIFSTM",'Industrial Summary'!$A:$A,"NGA"))/SUMIFS('Industrial Summary'!$G:$G,'Industrial Summary'!$F:$F,K$17,'Industrial Summary'!$D:$D,$E127)),0))*0.98</f>
        <v>-0.98</v>
      </c>
      <c r="L127" s="6">
        <f>(IF(SUMIFS('Industrial Summary'!$G:$G,'Industrial Summary'!$F:$F,L$17,'Industrial Summary'!$D:$D,$E127)&gt;0,((-SUMIFS('Industrial Summary'!$G:$G,'Industrial Summary'!$F:$F,L$17,'Industrial Summary'!$D:$D,$E127,'Industrial Summary'!$A:$A,"NGA")+-SUMIFS('Industrial Summary'!$G:$G,'Industrial Summary'!$F:$F,L$17,'Industrial Summary'!$D:$D,"ICIFSTM",'Industrial Summary'!$A:$A,"NGA"))/SUMIFS('Industrial Summary'!$G:$G,'Industrial Summary'!$F:$F,L$17,'Industrial Summary'!$D:$D,$E127)),0))*0.98</f>
        <v>-4.8073269427971473E-2</v>
      </c>
      <c r="M127" s="6">
        <f>(IF(SUMIFS('Industrial Summary'!$G:$G,'Industrial Summary'!$F:$F,M$17,'Industrial Summary'!$D:$D,$E127)&gt;0,((-SUMIFS('Industrial Summary'!$G:$G,'Industrial Summary'!$F:$F,M$17,'Industrial Summary'!$D:$D,$E127,'Industrial Summary'!$A:$A,"NGA")+-SUMIFS('Industrial Summary'!$G:$G,'Industrial Summary'!$F:$F,M$17,'Industrial Summary'!$D:$D,"ICIFSTM",'Industrial Summary'!$A:$A,"NGA"))/SUMIFS('Industrial Summary'!$G:$G,'Industrial Summary'!$F:$F,M$17,'Industrial Summary'!$D:$D,$E127)),0))*0.98</f>
        <v>-0.9362325306189101</v>
      </c>
      <c r="N127" s="6">
        <f>(IF(SUMIFS('Industrial Summary'!$G:$G,'Industrial Summary'!$F:$F,N$17,'Industrial Summary'!$D:$D,$E127)&gt;0,((-SUMIFS('Industrial Summary'!$G:$G,'Industrial Summary'!$F:$F,N$17,'Industrial Summary'!$D:$D,$E127,'Industrial Summary'!$A:$A,"NGA")+-SUMIFS('Industrial Summary'!$G:$G,'Industrial Summary'!$F:$F,N$17,'Industrial Summary'!$D:$D,"ICIFSTM",'Industrial Summary'!$A:$A,"NGA"))/SUMIFS('Industrial Summary'!$G:$G,'Industrial Summary'!$F:$F,N$17,'Industrial Summary'!$D:$D,$E127)),0))*0.98</f>
        <v>-0.61447099983079112</v>
      </c>
      <c r="O127" s="6">
        <f>(IF(SUMIFS('Industrial Summary'!$G:$G,'Industrial Summary'!$F:$F,O$17,'Industrial Summary'!$D:$D,$E127)&gt;0,((-SUMIFS('Industrial Summary'!$G:$G,'Industrial Summary'!$F:$F,O$17,'Industrial Summary'!$D:$D,$E127,'Industrial Summary'!$A:$A,"NGA")+-SUMIFS('Industrial Summary'!$G:$G,'Industrial Summary'!$F:$F,O$17,'Industrial Summary'!$D:$D,"ICIFSTM",'Industrial Summary'!$A:$A,"NGA"))/SUMIFS('Industrial Summary'!$G:$G,'Industrial Summary'!$F:$F,O$17,'Industrial Summary'!$D:$D,$E127)),0))*0.98</f>
        <v>-0.16940752393037659</v>
      </c>
      <c r="P127" s="6">
        <f>(IF(SUMIFS('Industrial Summary'!$G:$G,'Industrial Summary'!$F:$F,P$17,'Industrial Summary'!$D:$D,$E127)&gt;0,((-SUMIFS('Industrial Summary'!$G:$G,'Industrial Summary'!$F:$F,P$17,'Industrial Summary'!$D:$D,$E127,'Industrial Summary'!$A:$A,"NGA")+-SUMIFS('Industrial Summary'!$G:$G,'Industrial Summary'!$F:$F,P$17,'Industrial Summary'!$D:$D,"ICIFSTM",'Industrial Summary'!$A:$A,"NGA"))/SUMIFS('Industrial Summary'!$G:$G,'Industrial Summary'!$F:$F,P$17,'Industrial Summary'!$D:$D,$E127)),0))*0.98</f>
        <v>-0.98</v>
      </c>
      <c r="Q127" s="5">
        <v>0</v>
      </c>
      <c r="R127" s="5">
        <v>15</v>
      </c>
      <c r="S127" s="5" t="str">
        <f t="shared" si="18"/>
        <v>UC_ICIST_NGA</v>
      </c>
      <c r="V127" s="4" t="str">
        <f t="shared" si="19"/>
        <v>S_ICISTNGA</v>
      </c>
      <c r="W127" s="4" t="str">
        <f t="shared" si="20"/>
        <v>ICIST_NGA</v>
      </c>
      <c r="X127" s="4" t="str">
        <f t="shared" si="21"/>
        <v>ICISTM</v>
      </c>
      <c r="Y127" s="5" t="str">
        <f t="shared" si="22"/>
        <v>LO</v>
      </c>
      <c r="Z127" s="5">
        <v>1</v>
      </c>
      <c r="AA127" s="6">
        <f t="shared" si="23"/>
        <v>-0.88200000000000001</v>
      </c>
      <c r="AB127" s="6">
        <f t="shared" si="24"/>
        <v>-0.8679331762674779</v>
      </c>
      <c r="AC127" s="6">
        <f t="shared" si="25"/>
        <v>-0.61340079145949777</v>
      </c>
      <c r="AD127" s="6">
        <f t="shared" si="26"/>
        <v>-0.88200000000000001</v>
      </c>
      <c r="AE127" s="6">
        <f t="shared" si="27"/>
        <v>-4.3265942485174326E-2</v>
      </c>
      <c r="AF127" s="6">
        <f t="shared" si="28"/>
        <v>-0.84260927755701909</v>
      </c>
      <c r="AG127" s="6">
        <f t="shared" si="29"/>
        <v>-0.55302389984771205</v>
      </c>
      <c r="AH127" s="6">
        <f t="shared" si="30"/>
        <v>-0.15246677153733892</v>
      </c>
      <c r="AI127" s="6">
        <f t="shared" si="31"/>
        <v>-0.88200000000000001</v>
      </c>
      <c r="AL127" s="5" t="str">
        <f t="shared" si="32"/>
        <v>NGA</v>
      </c>
      <c r="AM127" s="5">
        <f>Y7</f>
        <v>0.9</v>
      </c>
    </row>
    <row r="128" spans="1:39" s="5" customFormat="1" x14ac:dyDescent="0.3">
      <c r="A128" s="8"/>
      <c r="C128" s="4" t="s">
        <v>262</v>
      </c>
      <c r="D128" s="5" t="s">
        <v>263</v>
      </c>
      <c r="E128" s="5" t="s">
        <v>774</v>
      </c>
      <c r="F128" s="5" t="s">
        <v>1591</v>
      </c>
      <c r="G128" s="5">
        <v>1</v>
      </c>
      <c r="H128" s="6">
        <f>(IF(SUMIFS('Industrial Summary'!$G:$G,'Industrial Summary'!$F:$F,H$17,'Industrial Summary'!$D:$D,$E128)&gt;0,((-SUMIFS('Industrial Summary'!$G:$G,'Industrial Summary'!$F:$F,H$17,'Industrial Summary'!$D:$D,$E128,'Industrial Summary'!$A:$A,"COA")+-SUMIFS('Industrial Summary'!$G:$G,'Industrial Summary'!$F:$F,H$17,'Industrial Summary'!$D:$D,"ICIFSTM",'Industrial Summary'!$A:$A,"COA"))/SUMIFS('Industrial Summary'!$G:$G,'Industrial Summary'!$F:$F,H$17,'Industrial Summary'!$D:$D,$E128)),0))*0.98</f>
        <v>0</v>
      </c>
      <c r="I128" s="6">
        <f>(IF(SUMIFS('Industrial Summary'!$G:$G,'Industrial Summary'!$F:$F,I$17,'Industrial Summary'!$D:$D,$E128)&gt;0,((-SUMIFS('Industrial Summary'!$G:$G,'Industrial Summary'!$F:$F,I$17,'Industrial Summary'!$D:$D,$E128,'Industrial Summary'!$A:$A,"COA")+-SUMIFS('Industrial Summary'!$G:$G,'Industrial Summary'!$F:$F,I$17,'Industrial Summary'!$D:$D,"ICIFSTM",'Industrial Summary'!$A:$A,"COA"))/SUMIFS('Industrial Summary'!$G:$G,'Industrial Summary'!$F:$F,I$17,'Industrial Summary'!$D:$D,$E128)),0))*0.98</f>
        <v>-1.5629804147247787E-2</v>
      </c>
      <c r="J128" s="6">
        <f>(IF(SUMIFS('Industrial Summary'!$G:$G,'Industrial Summary'!$F:$F,J$17,'Industrial Summary'!$D:$D,$E128)&gt;0,((-SUMIFS('Industrial Summary'!$G:$G,'Industrial Summary'!$F:$F,J$17,'Industrial Summary'!$D:$D,$E128,'Industrial Summary'!$A:$A,"COA")+-SUMIFS('Industrial Summary'!$G:$G,'Industrial Summary'!$F:$F,J$17,'Industrial Summary'!$D:$D,"ICIFSTM",'Industrial Summary'!$A:$A,"COA"))/SUMIFS('Industrial Summary'!$G:$G,'Industrial Summary'!$F:$F,J$17,'Industrial Summary'!$D:$D,$E128)),0))*0.98</f>
        <v>-0.29844356504500263</v>
      </c>
      <c r="K128" s="6">
        <f>(IF(SUMIFS('Industrial Summary'!$G:$G,'Industrial Summary'!$F:$F,K$17,'Industrial Summary'!$D:$D,$E128)&gt;0,((-SUMIFS('Industrial Summary'!$G:$G,'Industrial Summary'!$F:$F,K$17,'Industrial Summary'!$D:$D,$E128,'Industrial Summary'!$A:$A,"COA")+-SUMIFS('Industrial Summary'!$G:$G,'Industrial Summary'!$F:$F,K$17,'Industrial Summary'!$D:$D,"ICIFSTM",'Industrial Summary'!$A:$A,"COA"))/SUMIFS('Industrial Summary'!$G:$G,'Industrial Summary'!$F:$F,K$17,'Industrial Summary'!$D:$D,$E128)),0))*0.98</f>
        <v>0</v>
      </c>
      <c r="L128" s="6">
        <f>(IF(SUMIFS('Industrial Summary'!$G:$G,'Industrial Summary'!$F:$F,L$17,'Industrial Summary'!$D:$D,$E128)&gt;0,((-SUMIFS('Industrial Summary'!$G:$G,'Industrial Summary'!$F:$F,L$17,'Industrial Summary'!$D:$D,$E128,'Industrial Summary'!$A:$A,"COA")+-SUMIFS('Industrial Summary'!$G:$G,'Industrial Summary'!$F:$F,L$17,'Industrial Summary'!$D:$D,"ICIFSTM",'Industrial Summary'!$A:$A,"COA"))/SUMIFS('Industrial Summary'!$G:$G,'Industrial Summary'!$F:$F,L$17,'Industrial Summary'!$D:$D,$E128)),0))*0.98</f>
        <v>-0.93192673057203379</v>
      </c>
      <c r="M128" s="6">
        <f>(IF(SUMIFS('Industrial Summary'!$G:$G,'Industrial Summary'!$F:$F,M$17,'Industrial Summary'!$D:$D,$E128)&gt;0,((-SUMIFS('Industrial Summary'!$G:$G,'Industrial Summary'!$F:$F,M$17,'Industrial Summary'!$D:$D,$E128,'Industrial Summary'!$A:$A,"COA")+-SUMIFS('Industrial Summary'!$G:$G,'Industrial Summary'!$F:$F,M$17,'Industrial Summary'!$D:$D,"ICIFSTM",'Industrial Summary'!$A:$A,"COA"))/SUMIFS('Industrial Summary'!$G:$G,'Industrial Summary'!$F:$F,M$17,'Industrial Summary'!$D:$D,$E128)),0))*0.98</f>
        <v>-4.3767469381089948E-2</v>
      </c>
      <c r="N128" s="6">
        <f>(IF(SUMIFS('Industrial Summary'!$G:$G,'Industrial Summary'!$F:$F,N$17,'Industrial Summary'!$D:$D,$E128)&gt;0,((-SUMIFS('Industrial Summary'!$G:$G,'Industrial Summary'!$F:$F,N$17,'Industrial Summary'!$D:$D,$E128,'Industrial Summary'!$A:$A,"COA")+-SUMIFS('Industrial Summary'!$G:$G,'Industrial Summary'!$F:$F,N$17,'Industrial Summary'!$D:$D,"ICIFSTM",'Industrial Summary'!$A:$A,"COA"))/SUMIFS('Industrial Summary'!$G:$G,'Industrial Summary'!$F:$F,N$17,'Industrial Summary'!$D:$D,$E128)),0))*0.98</f>
        <v>-0.36552900016921108</v>
      </c>
      <c r="O128" s="6">
        <f>(IF(SUMIFS('Industrial Summary'!$G:$G,'Industrial Summary'!$F:$F,O$17,'Industrial Summary'!$D:$D,$E128)&gt;0,((-SUMIFS('Industrial Summary'!$G:$G,'Industrial Summary'!$F:$F,O$17,'Industrial Summary'!$D:$D,$E128,'Industrial Summary'!$A:$A,"COA")+-SUMIFS('Industrial Summary'!$G:$G,'Industrial Summary'!$F:$F,O$17,'Industrial Summary'!$D:$D,"ICIFSTM",'Industrial Summary'!$A:$A,"COA"))/SUMIFS('Industrial Summary'!$G:$G,'Industrial Summary'!$F:$F,O$17,'Industrial Summary'!$D:$D,$E128)),0))*0.98</f>
        <v>-0.81059247606962392</v>
      </c>
      <c r="P128" s="6">
        <f>(IF(SUMIFS('Industrial Summary'!$G:$G,'Industrial Summary'!$F:$F,P$17,'Industrial Summary'!$D:$D,$E128)&gt;0,((-SUMIFS('Industrial Summary'!$G:$G,'Industrial Summary'!$F:$F,P$17,'Industrial Summary'!$D:$D,$E128,'Industrial Summary'!$A:$A,"COA")+-SUMIFS('Industrial Summary'!$G:$G,'Industrial Summary'!$F:$F,P$17,'Industrial Summary'!$D:$D,"ICIFSTM",'Industrial Summary'!$A:$A,"COA"))/SUMIFS('Industrial Summary'!$G:$G,'Industrial Summary'!$F:$F,P$17,'Industrial Summary'!$D:$D,$E128)),0))*0.98</f>
        <v>0</v>
      </c>
      <c r="Q128" s="5">
        <v>0</v>
      </c>
      <c r="R128" s="5">
        <v>15</v>
      </c>
      <c r="S128" s="5" t="str">
        <f t="shared" si="18"/>
        <v>UC_ICIST_COA</v>
      </c>
      <c r="V128" s="4" t="str">
        <f t="shared" si="19"/>
        <v>S_ICISTCOA</v>
      </c>
      <c r="W128" s="4" t="str">
        <f t="shared" si="20"/>
        <v>ICIST_COA</v>
      </c>
      <c r="X128" s="4" t="str">
        <f t="shared" si="21"/>
        <v>ICISTM</v>
      </c>
      <c r="Y128" s="5" t="str">
        <f t="shared" si="22"/>
        <v>UP</v>
      </c>
      <c r="Z128" s="5">
        <v>1</v>
      </c>
      <c r="AA128" s="6">
        <f t="shared" si="23"/>
        <v>0</v>
      </c>
      <c r="AB128" s="6">
        <f t="shared" si="24"/>
        <v>-1.0003074654238584E-2</v>
      </c>
      <c r="AC128" s="6">
        <f t="shared" si="25"/>
        <v>-0.19100388162880169</v>
      </c>
      <c r="AD128" s="6">
        <f t="shared" si="26"/>
        <v>0</v>
      </c>
      <c r="AE128" s="6">
        <f t="shared" si="27"/>
        <v>-0.59643310756610168</v>
      </c>
      <c r="AF128" s="6">
        <f t="shared" si="28"/>
        <v>-2.8011180403897568E-2</v>
      </c>
      <c r="AG128" s="6">
        <f t="shared" si="29"/>
        <v>-0.23393856010829508</v>
      </c>
      <c r="AH128" s="6">
        <f t="shared" si="30"/>
        <v>-0.5187791846845593</v>
      </c>
      <c r="AI128" s="6">
        <f t="shared" si="31"/>
        <v>0</v>
      </c>
      <c r="AL128" s="5" t="str">
        <f t="shared" si="32"/>
        <v>COA</v>
      </c>
      <c r="AM128" s="5">
        <f>Z7</f>
        <v>0.64</v>
      </c>
    </row>
    <row r="129" spans="1:39" s="5" customFormat="1" x14ac:dyDescent="0.3">
      <c r="C129" s="4" t="s">
        <v>265</v>
      </c>
      <c r="D129" s="5" t="s">
        <v>266</v>
      </c>
      <c r="E129" s="5" t="s">
        <v>790</v>
      </c>
      <c r="F129" s="5" t="s">
        <v>1588</v>
      </c>
      <c r="G129" s="5">
        <v>1</v>
      </c>
      <c r="H129" s="6">
        <f>IF(SUMIFS('Industrial Summary'!$G:$G,'Industrial Summary'!$F:$F,H$17,'Industrial Summary'!$D:$D,$E129)&gt;0,(-SUMIFS('Industrial Summary'!$G:$G,'Industrial Summary'!$F:$F,H$17,'Industrial Summary'!$D:$D,$E129,'Industrial Summary'!$A:$A,"ELC")/SUMIFS('Industrial Summary'!$G:$G,'Industrial Summary'!$F:$F,H$17,'Industrial Summary'!$D:$D,$E129)),0)*0.98</f>
        <v>-9.9946454584693978E-2</v>
      </c>
      <c r="I129" s="6">
        <f>IF(SUMIFS('Industrial Summary'!$G:$G,'Industrial Summary'!$F:$F,I$17,'Industrial Summary'!$D:$D,$E129)&gt;0,(-SUMIFS('Industrial Summary'!$G:$G,'Industrial Summary'!$F:$F,I$17,'Industrial Summary'!$D:$D,$E129,'Industrial Summary'!$A:$A,"ELC")/SUMIFS('Industrial Summary'!$G:$G,'Industrial Summary'!$F:$F,I$17,'Industrial Summary'!$D:$D,$E129)),0)*0.98</f>
        <v>-9.9946454584694047E-2</v>
      </c>
      <c r="J129" s="6">
        <f>IF(SUMIFS('Industrial Summary'!$G:$G,'Industrial Summary'!$F:$F,J$17,'Industrial Summary'!$D:$D,$E129)&gt;0,(-SUMIFS('Industrial Summary'!$G:$G,'Industrial Summary'!$F:$F,J$17,'Industrial Summary'!$D:$D,$E129,'Industrial Summary'!$A:$A,"ELC")/SUMIFS('Industrial Summary'!$G:$G,'Industrial Summary'!$F:$F,J$17,'Industrial Summary'!$D:$D,$E129)),0)*0.98</f>
        <v>-0.34095761020322135</v>
      </c>
      <c r="K129" s="6">
        <f>IF(SUMIFS('Industrial Summary'!$G:$G,'Industrial Summary'!$F:$F,K$17,'Industrial Summary'!$D:$D,$E129)&gt;0,(-SUMIFS('Industrial Summary'!$G:$G,'Industrial Summary'!$F:$F,K$17,'Industrial Summary'!$D:$D,$E129,'Industrial Summary'!$A:$A,"ELC")/SUMIFS('Industrial Summary'!$G:$G,'Industrial Summary'!$F:$F,K$17,'Industrial Summary'!$D:$D,$E129)),0)*0.98</f>
        <v>-0.34095761020322124</v>
      </c>
      <c r="L129" s="6">
        <f>IF(SUMIFS('Industrial Summary'!$G:$G,'Industrial Summary'!$F:$F,L$17,'Industrial Summary'!$D:$D,$E129)&gt;0,(-SUMIFS('Industrial Summary'!$G:$G,'Industrial Summary'!$F:$F,L$17,'Industrial Summary'!$D:$D,$E129,'Industrial Summary'!$A:$A,"ELC")/SUMIFS('Industrial Summary'!$G:$G,'Industrial Summary'!$F:$F,L$17,'Industrial Summary'!$D:$D,$E129)),0)*0.98</f>
        <v>-0.1232749275911636</v>
      </c>
      <c r="M129" s="6">
        <f>IF(SUMIFS('Industrial Summary'!$G:$G,'Industrial Summary'!$F:$F,M$17,'Industrial Summary'!$D:$D,$E129)&gt;0,(-SUMIFS('Industrial Summary'!$G:$G,'Industrial Summary'!$F:$F,M$17,'Industrial Summary'!$D:$D,$E129,'Industrial Summary'!$A:$A,"ELC")/SUMIFS('Industrial Summary'!$G:$G,'Industrial Summary'!$F:$F,M$17,'Industrial Summary'!$D:$D,$E129)),0)*0.98</f>
        <v>-0.12449201573980097</v>
      </c>
      <c r="N129" s="6">
        <f>IF(SUMIFS('Industrial Summary'!$G:$G,'Industrial Summary'!$F:$F,N$17,'Industrial Summary'!$D:$D,$E129)&gt;0,(-SUMIFS('Industrial Summary'!$G:$G,'Industrial Summary'!$F:$F,N$17,'Industrial Summary'!$D:$D,$E129,'Industrial Summary'!$A:$A,"ELC")/SUMIFS('Industrial Summary'!$G:$G,'Industrial Summary'!$F:$F,N$17,'Industrial Summary'!$D:$D,$E129)),0)*0.98</f>
        <v>-0.1232102928919005</v>
      </c>
      <c r="O129" s="6">
        <f>IF(SUMIFS('Industrial Summary'!$G:$G,'Industrial Summary'!$F:$F,O$17,'Industrial Summary'!$D:$D,$E129)&gt;0,(-SUMIFS('Industrial Summary'!$G:$G,'Industrial Summary'!$F:$F,O$17,'Industrial Summary'!$D:$D,$E129,'Industrial Summary'!$A:$A,"ELC")/SUMIFS('Industrial Summary'!$G:$G,'Industrial Summary'!$F:$F,O$17,'Industrial Summary'!$D:$D,$E129)),0)*0.98</f>
        <v>-0.10095512496515285</v>
      </c>
      <c r="P129" s="6">
        <f>IF(SUMIFS('Industrial Summary'!$G:$G,'Industrial Summary'!$F:$F,P$17,'Industrial Summary'!$D:$D,$E129)&gt;0,(-SUMIFS('Industrial Summary'!$G:$G,'Industrial Summary'!$F:$F,P$17,'Industrial Summary'!$D:$D,$E129,'Industrial Summary'!$A:$A,"ELC")/SUMIFS('Industrial Summary'!$G:$G,'Industrial Summary'!$F:$F,P$17,'Industrial Summary'!$D:$D,$E129)),0)*0.98</f>
        <v>-9.7444018212039754E-2</v>
      </c>
      <c r="Q129" s="5">
        <v>0</v>
      </c>
      <c r="R129" s="5">
        <v>15</v>
      </c>
      <c r="S129" s="5" t="str">
        <f t="shared" si="18"/>
        <v>UC_ICIPH_ELC</v>
      </c>
      <c r="V129" s="4" t="str">
        <f t="shared" si="19"/>
        <v>S_ICIPHELC</v>
      </c>
      <c r="W129" s="4" t="str">
        <f t="shared" si="20"/>
        <v>ICIPH_ELC</v>
      </c>
      <c r="X129" s="4" t="str">
        <f t="shared" si="21"/>
        <v>ICIPRH</v>
      </c>
      <c r="Y129" s="5" t="str">
        <f t="shared" si="22"/>
        <v>LO</v>
      </c>
      <c r="Z129" s="5">
        <v>1</v>
      </c>
      <c r="AA129" s="6">
        <f t="shared" si="23"/>
        <v>-9.9946454584693978E-2</v>
      </c>
      <c r="AB129" s="6">
        <f t="shared" si="24"/>
        <v>-9.9946454584694047E-2</v>
      </c>
      <c r="AC129" s="6">
        <f t="shared" si="25"/>
        <v>-0.34095761020322135</v>
      </c>
      <c r="AD129" s="6">
        <f t="shared" si="26"/>
        <v>-0.34095761020322124</v>
      </c>
      <c r="AE129" s="6">
        <f t="shared" si="27"/>
        <v>-0.1232749275911636</v>
      </c>
      <c r="AF129" s="6">
        <f t="shared" si="28"/>
        <v>-0.12449201573980097</v>
      </c>
      <c r="AG129" s="6">
        <f t="shared" si="29"/>
        <v>-0.1232102928919005</v>
      </c>
      <c r="AH129" s="6">
        <f t="shared" si="30"/>
        <v>-0.10095512496515285</v>
      </c>
      <c r="AI129" s="6">
        <f t="shared" si="31"/>
        <v>-9.7444018212039754E-2</v>
      </c>
      <c r="AL129" s="5" t="str">
        <f t="shared" si="32"/>
        <v>ELC</v>
      </c>
      <c r="AM129" s="5">
        <f>1</f>
        <v>1</v>
      </c>
    </row>
    <row r="130" spans="1:39" s="5" customFormat="1" x14ac:dyDescent="0.3">
      <c r="C130" s="4" t="s">
        <v>267</v>
      </c>
      <c r="D130" s="5" t="s">
        <v>268</v>
      </c>
      <c r="E130" s="5" t="s">
        <v>790</v>
      </c>
      <c r="F130" s="5" t="s">
        <v>1588</v>
      </c>
      <c r="G130" s="5">
        <v>1</v>
      </c>
      <c r="H130" s="6">
        <f>IF(SUMIFS('Industrial Summary'!$G:$G,'Industrial Summary'!$F:$F,H$17,'Industrial Summary'!$D:$D,$E130)&gt;0,(-SUMIFS('Industrial Summary'!$G:$G,'Industrial Summary'!$F:$F,H$17,'Industrial Summary'!$D:$D,$E130,'Industrial Summary'!$A:$A,"RFL")/SUMIFS('Industrial Summary'!$G:$G,'Industrial Summary'!$F:$F,H$17,'Industrial Summary'!$D:$D,$E130)),0)*0.98</f>
        <v>-0.76356548068315688</v>
      </c>
      <c r="I130" s="6">
        <f>IF(SUMIFS('Industrial Summary'!$G:$G,'Industrial Summary'!$F:$F,I$17,'Industrial Summary'!$D:$D,$E130)&gt;0,(-SUMIFS('Industrial Summary'!$G:$G,'Industrial Summary'!$F:$F,I$17,'Industrial Summary'!$D:$D,$E130,'Industrial Summary'!$A:$A,"RFL")/SUMIFS('Industrial Summary'!$G:$G,'Industrial Summary'!$F:$F,I$17,'Industrial Summary'!$D:$D,$E130)),0)*0.98</f>
        <v>-0.76356548068315699</v>
      </c>
      <c r="J130" s="6">
        <f>IF(SUMIFS('Industrial Summary'!$G:$G,'Industrial Summary'!$F:$F,J$17,'Industrial Summary'!$D:$D,$E130)&gt;0,(-SUMIFS('Industrial Summary'!$G:$G,'Industrial Summary'!$F:$F,J$17,'Industrial Summary'!$D:$D,$E130,'Industrial Summary'!$A:$A,"RFL")/SUMIFS('Industrial Summary'!$G:$G,'Industrial Summary'!$F:$F,J$17,'Industrial Summary'!$D:$D,$E130)),0)*0.98</f>
        <v>0</v>
      </c>
      <c r="K130" s="6">
        <f>IF(SUMIFS('Industrial Summary'!$G:$G,'Industrial Summary'!$F:$F,K$17,'Industrial Summary'!$D:$D,$E130)&gt;0,(-SUMIFS('Industrial Summary'!$G:$G,'Industrial Summary'!$F:$F,K$17,'Industrial Summary'!$D:$D,$E130,'Industrial Summary'!$A:$A,"RFL")/SUMIFS('Industrial Summary'!$G:$G,'Industrial Summary'!$F:$F,K$17,'Industrial Summary'!$D:$D,$E130)),0)*0.98</f>
        <v>0</v>
      </c>
      <c r="L130" s="6">
        <f>IF(SUMIFS('Industrial Summary'!$G:$G,'Industrial Summary'!$F:$F,L$17,'Industrial Summary'!$D:$D,$E130)&gt;0,(-SUMIFS('Industrial Summary'!$G:$G,'Industrial Summary'!$F:$F,L$17,'Industrial Summary'!$D:$D,$E130,'Industrial Summary'!$A:$A,"RFL")/SUMIFS('Industrial Summary'!$G:$G,'Industrial Summary'!$F:$F,L$17,'Industrial Summary'!$D:$D,$E130)),0)*0.98</f>
        <v>0</v>
      </c>
      <c r="M130" s="6">
        <f>IF(SUMIFS('Industrial Summary'!$G:$G,'Industrial Summary'!$F:$F,M$17,'Industrial Summary'!$D:$D,$E130)&gt;0,(-SUMIFS('Industrial Summary'!$G:$G,'Industrial Summary'!$F:$F,M$17,'Industrial Summary'!$D:$D,$E130,'Industrial Summary'!$A:$A,"RFL")/SUMIFS('Industrial Summary'!$G:$G,'Industrial Summary'!$F:$F,M$17,'Industrial Summary'!$D:$D,$E130)),0)*0.98</f>
        <v>0</v>
      </c>
      <c r="N130" s="6">
        <f>IF(SUMIFS('Industrial Summary'!$G:$G,'Industrial Summary'!$F:$F,N$17,'Industrial Summary'!$D:$D,$E130)&gt;0,(-SUMIFS('Industrial Summary'!$G:$G,'Industrial Summary'!$F:$F,N$17,'Industrial Summary'!$D:$D,$E130,'Industrial Summary'!$A:$A,"RFL")/SUMIFS('Industrial Summary'!$G:$G,'Industrial Summary'!$F:$F,N$17,'Industrial Summary'!$D:$D,$E130)),0)*0.98</f>
        <v>0</v>
      </c>
      <c r="O130" s="6">
        <f>IF(SUMIFS('Industrial Summary'!$G:$G,'Industrial Summary'!$F:$F,O$17,'Industrial Summary'!$D:$D,$E130)&gt;0,(-SUMIFS('Industrial Summary'!$G:$G,'Industrial Summary'!$F:$F,O$17,'Industrial Summary'!$D:$D,$E130,'Industrial Summary'!$A:$A,"RFL")/SUMIFS('Industrial Summary'!$G:$G,'Industrial Summary'!$F:$F,O$17,'Industrial Summary'!$D:$D,$E130)),0)*0.98</f>
        <v>0</v>
      </c>
      <c r="P130" s="6">
        <f>IF(SUMIFS('Industrial Summary'!$G:$G,'Industrial Summary'!$F:$F,P$17,'Industrial Summary'!$D:$D,$E130)&gt;0,(-SUMIFS('Industrial Summary'!$G:$G,'Industrial Summary'!$F:$F,P$17,'Industrial Summary'!$D:$D,$E130,'Industrial Summary'!$A:$A,"RFL")/SUMIFS('Industrial Summary'!$G:$G,'Industrial Summary'!$F:$F,P$17,'Industrial Summary'!$D:$D,$E130)),0)*0.98</f>
        <v>0</v>
      </c>
      <c r="Q130" s="5">
        <v>0</v>
      </c>
      <c r="R130" s="5">
        <v>15</v>
      </c>
      <c r="S130" s="5" t="str">
        <f t="shared" si="18"/>
        <v>UC_ICIPH_RFL</v>
      </c>
      <c r="V130" s="4" t="str">
        <f t="shared" si="19"/>
        <v>S_ICIPHRFL</v>
      </c>
      <c r="W130" s="4" t="str">
        <f t="shared" si="20"/>
        <v>ICIPH_RFL</v>
      </c>
      <c r="X130" s="4" t="str">
        <f t="shared" si="21"/>
        <v>ICIPRH</v>
      </c>
      <c r="Y130" s="5" t="str">
        <f t="shared" si="22"/>
        <v>LO</v>
      </c>
      <c r="Z130" s="5">
        <v>1</v>
      </c>
      <c r="AA130" s="6">
        <f t="shared" si="23"/>
        <v>-0.76356548068315688</v>
      </c>
      <c r="AB130" s="6">
        <f t="shared" si="24"/>
        <v>-0.76356548068315699</v>
      </c>
      <c r="AC130" s="6">
        <f t="shared" si="25"/>
        <v>0</v>
      </c>
      <c r="AD130" s="6">
        <f t="shared" si="26"/>
        <v>0</v>
      </c>
      <c r="AE130" s="6">
        <f t="shared" si="27"/>
        <v>0</v>
      </c>
      <c r="AF130" s="6">
        <f t="shared" si="28"/>
        <v>0</v>
      </c>
      <c r="AG130" s="6">
        <f t="shared" si="29"/>
        <v>0</v>
      </c>
      <c r="AH130" s="6">
        <f t="shared" si="30"/>
        <v>0</v>
      </c>
      <c r="AI130" s="6">
        <f t="shared" si="31"/>
        <v>0</v>
      </c>
      <c r="AL130" s="5" t="str">
        <f t="shared" si="32"/>
        <v>RFL</v>
      </c>
      <c r="AM130" s="5">
        <f>1</f>
        <v>1</v>
      </c>
    </row>
    <row r="131" spans="1:39" s="5" customFormat="1" x14ac:dyDescent="0.3">
      <c r="C131" s="4" t="s">
        <v>269</v>
      </c>
      <c r="D131" s="5" t="s">
        <v>270</v>
      </c>
      <c r="E131" s="5" t="s">
        <v>790</v>
      </c>
      <c r="F131" s="5" t="s">
        <v>1588</v>
      </c>
      <c r="G131" s="5">
        <v>1</v>
      </c>
      <c r="H131" s="6">
        <f>IF(SUMIFS('Industrial Summary'!$G:$G,'Industrial Summary'!$F:$F,H$17,'Industrial Summary'!$D:$D,$E131)&gt;0,(-SUMIFS('Industrial Summary'!$G:$G,'Industrial Summary'!$F:$F,H$17,'Industrial Summary'!$D:$D,$E131,'Industrial Summary'!$A:$A,"NGA")/SUMIFS('Industrial Summary'!$G:$G,'Industrial Summary'!$F:$F,H$17,'Industrial Summary'!$D:$D,$E131)),0)*0.98</f>
        <v>-0.11648806473214901</v>
      </c>
      <c r="I131" s="6">
        <f>IF(SUMIFS('Industrial Summary'!$G:$G,'Industrial Summary'!$F:$F,I$17,'Industrial Summary'!$D:$D,$E131)&gt;0,(-SUMIFS('Industrial Summary'!$G:$G,'Industrial Summary'!$F:$F,I$17,'Industrial Summary'!$D:$D,$E131,'Industrial Summary'!$A:$A,"NGA")/SUMIFS('Industrial Summary'!$G:$G,'Industrial Summary'!$F:$F,I$17,'Industrial Summary'!$D:$D,$E131)),0)*0.98</f>
        <v>-0.11648806473214902</v>
      </c>
      <c r="J131" s="6">
        <f>IF(SUMIFS('Industrial Summary'!$G:$G,'Industrial Summary'!$F:$F,J$17,'Industrial Summary'!$D:$D,$E131)&gt;0,(-SUMIFS('Industrial Summary'!$G:$G,'Industrial Summary'!$F:$F,J$17,'Industrial Summary'!$D:$D,$E131,'Industrial Summary'!$A:$A,"NGA")/SUMIFS('Industrial Summary'!$G:$G,'Industrial Summary'!$F:$F,J$17,'Industrial Summary'!$D:$D,$E131)),0)*0.98</f>
        <v>-0.63904238979677852</v>
      </c>
      <c r="K131" s="6">
        <f>IF(SUMIFS('Industrial Summary'!$G:$G,'Industrial Summary'!$F:$F,K$17,'Industrial Summary'!$D:$D,$E131)&gt;0,(-SUMIFS('Industrial Summary'!$G:$G,'Industrial Summary'!$F:$F,K$17,'Industrial Summary'!$D:$D,$E131,'Industrial Summary'!$A:$A,"NGA")/SUMIFS('Industrial Summary'!$G:$G,'Industrial Summary'!$F:$F,K$17,'Industrial Summary'!$D:$D,$E131)),0)*0.98</f>
        <v>-0.63904238979677863</v>
      </c>
      <c r="L131" s="6">
        <f>IF(SUMIFS('Industrial Summary'!$G:$G,'Industrial Summary'!$F:$F,L$17,'Industrial Summary'!$D:$D,$E131)&gt;0,(-SUMIFS('Industrial Summary'!$G:$G,'Industrial Summary'!$F:$F,L$17,'Industrial Summary'!$D:$D,$E131,'Industrial Summary'!$A:$A,"NGA")/SUMIFS('Industrial Summary'!$G:$G,'Industrial Summary'!$F:$F,L$17,'Industrial Summary'!$D:$D,$E131)),0)*0.98</f>
        <v>-0.84641196953403575</v>
      </c>
      <c r="M131" s="6">
        <f>IF(SUMIFS('Industrial Summary'!$G:$G,'Industrial Summary'!$F:$F,M$17,'Industrial Summary'!$D:$D,$E131)&gt;0,(-SUMIFS('Industrial Summary'!$G:$G,'Industrial Summary'!$F:$F,M$17,'Industrial Summary'!$D:$D,$E131,'Industrial Summary'!$A:$A,"NGA")/SUMIFS('Industrial Summary'!$G:$G,'Industrial Summary'!$F:$F,M$17,'Industrial Summary'!$D:$D,$E131)),0)*0.98</f>
        <v>-0.84509306055670386</v>
      </c>
      <c r="N131" s="6">
        <f>IF(SUMIFS('Industrial Summary'!$G:$G,'Industrial Summary'!$F:$F,N$17,'Industrial Summary'!$D:$D,$E131)&gt;0,(-SUMIFS('Industrial Summary'!$G:$G,'Industrial Summary'!$F:$F,N$17,'Industrial Summary'!$D:$D,$E131,'Industrial Summary'!$A:$A,"NGA")/SUMIFS('Industrial Summary'!$G:$G,'Industrial Summary'!$F:$F,N$17,'Industrial Summary'!$D:$D,$E131)),0)*0.98</f>
        <v>-0.84648201153156954</v>
      </c>
      <c r="O131" s="6">
        <f>IF(SUMIFS('Industrial Summary'!$G:$G,'Industrial Summary'!$F:$F,O$17,'Industrial Summary'!$D:$D,$E131)&gt;0,(-SUMIFS('Industrial Summary'!$G:$G,'Industrial Summary'!$F:$F,O$17,'Industrial Summary'!$D:$D,$E131,'Industrial Summary'!$A:$A,"NGA")/SUMIFS('Industrial Summary'!$G:$G,'Industrial Summary'!$F:$F,O$17,'Industrial Summary'!$D:$D,$E131)),0)*0.98</f>
        <v>-0.59779832873415828</v>
      </c>
      <c r="P131" s="6">
        <f>IF(SUMIFS('Industrial Summary'!$G:$G,'Industrial Summary'!$F:$F,P$17,'Industrial Summary'!$D:$D,$E131)&gt;0,(-SUMIFS('Industrial Summary'!$G:$G,'Industrial Summary'!$F:$F,P$17,'Industrial Summary'!$D:$D,$E131,'Industrial Summary'!$A:$A,"NGA")/SUMIFS('Industrial Summary'!$G:$G,'Industrial Summary'!$F:$F,P$17,'Industrial Summary'!$D:$D,$E131)),0)*0.98</f>
        <v>-0.60091861658488466</v>
      </c>
      <c r="Q131" s="5">
        <v>0</v>
      </c>
      <c r="R131" s="5">
        <v>15</v>
      </c>
      <c r="S131" s="5" t="str">
        <f t="shared" si="18"/>
        <v>UC_ICIPH_NGA</v>
      </c>
      <c r="V131" s="4" t="str">
        <f t="shared" si="19"/>
        <v>S_ICIPHNGA</v>
      </c>
      <c r="W131" s="4" t="str">
        <f t="shared" si="20"/>
        <v>ICIPH_NGA</v>
      </c>
      <c r="X131" s="4" t="str">
        <f t="shared" si="21"/>
        <v>ICIPRH</v>
      </c>
      <c r="Y131" s="5" t="str">
        <f t="shared" si="22"/>
        <v>LO</v>
      </c>
      <c r="Z131" s="5">
        <v>1</v>
      </c>
      <c r="AA131" s="6">
        <f t="shared" si="23"/>
        <v>-0.10483925825893411</v>
      </c>
      <c r="AB131" s="6">
        <f t="shared" si="24"/>
        <v>-0.10483925825893413</v>
      </c>
      <c r="AC131" s="6">
        <f t="shared" si="25"/>
        <v>-0.57513815081710074</v>
      </c>
      <c r="AD131" s="6">
        <f t="shared" si="26"/>
        <v>-0.57513815081710074</v>
      </c>
      <c r="AE131" s="6">
        <f t="shared" si="27"/>
        <v>-0.76177077258063219</v>
      </c>
      <c r="AF131" s="6">
        <f t="shared" si="28"/>
        <v>-0.76058375450103344</v>
      </c>
      <c r="AG131" s="6">
        <f t="shared" si="29"/>
        <v>-0.76183381037841258</v>
      </c>
      <c r="AH131" s="6">
        <f t="shared" si="30"/>
        <v>-0.53801849586074246</v>
      </c>
      <c r="AI131" s="6">
        <f t="shared" si="31"/>
        <v>-0.5408267549263962</v>
      </c>
      <c r="AL131" s="5" t="str">
        <f t="shared" si="32"/>
        <v>NGA</v>
      </c>
      <c r="AM131" s="5">
        <f>Y7</f>
        <v>0.9</v>
      </c>
    </row>
    <row r="132" spans="1:39" s="5" customFormat="1" x14ac:dyDescent="0.3">
      <c r="A132" s="8"/>
      <c r="C132" s="4" t="s">
        <v>271</v>
      </c>
      <c r="D132" s="5" t="s">
        <v>272</v>
      </c>
      <c r="E132" s="5" t="s">
        <v>790</v>
      </c>
      <c r="F132" s="5" t="s">
        <v>1591</v>
      </c>
      <c r="G132" s="5">
        <v>1</v>
      </c>
      <c r="H132" s="6">
        <f>IF(SUMIFS('Industrial Summary'!$G:$G,'Industrial Summary'!$F:$F,H$17,'Industrial Summary'!$D:$D,$E132)&gt;0,(-SUMIFS('Industrial Summary'!$G:$G,'Industrial Summary'!$F:$F,H$17,'Industrial Summary'!$D:$D,$E132,'Industrial Summary'!$A:$A,"COA")/SUMIFS('Industrial Summary'!$G:$G,'Industrial Summary'!$F:$F,H$17,'Industrial Summary'!$D:$D,$E132)),0)*0.98</f>
        <v>0</v>
      </c>
      <c r="I132" s="6">
        <f>IF(SUMIFS('Industrial Summary'!$G:$G,'Industrial Summary'!$F:$F,I$17,'Industrial Summary'!$D:$D,$E132)&gt;0,(-SUMIFS('Industrial Summary'!$G:$G,'Industrial Summary'!$F:$F,I$17,'Industrial Summary'!$D:$D,$E132,'Industrial Summary'!$A:$A,"COA")/SUMIFS('Industrial Summary'!$G:$G,'Industrial Summary'!$F:$F,I$17,'Industrial Summary'!$D:$D,$E132)),0)*0.98</f>
        <v>0</v>
      </c>
      <c r="J132" s="6">
        <f>IF(SUMIFS('Industrial Summary'!$G:$G,'Industrial Summary'!$F:$F,J$17,'Industrial Summary'!$D:$D,$E132)&gt;0,(-SUMIFS('Industrial Summary'!$G:$G,'Industrial Summary'!$F:$F,J$17,'Industrial Summary'!$D:$D,$E132,'Industrial Summary'!$A:$A,"COA")/SUMIFS('Industrial Summary'!$G:$G,'Industrial Summary'!$F:$F,J$17,'Industrial Summary'!$D:$D,$E132)),0)*0.98</f>
        <v>0</v>
      </c>
      <c r="K132" s="6">
        <f>IF(SUMIFS('Industrial Summary'!$G:$G,'Industrial Summary'!$F:$F,K$17,'Industrial Summary'!$D:$D,$E132)&gt;0,(-SUMIFS('Industrial Summary'!$G:$G,'Industrial Summary'!$F:$F,K$17,'Industrial Summary'!$D:$D,$E132,'Industrial Summary'!$A:$A,"COA")/SUMIFS('Industrial Summary'!$G:$G,'Industrial Summary'!$F:$F,K$17,'Industrial Summary'!$D:$D,$E132)),0)*0.98</f>
        <v>0</v>
      </c>
      <c r="L132" s="6">
        <f>IF(SUMIFS('Industrial Summary'!$G:$G,'Industrial Summary'!$F:$F,L$17,'Industrial Summary'!$D:$D,$E132)&gt;0,(-SUMIFS('Industrial Summary'!$G:$G,'Industrial Summary'!$F:$F,L$17,'Industrial Summary'!$D:$D,$E132,'Industrial Summary'!$A:$A,"COA")/SUMIFS('Industrial Summary'!$G:$G,'Industrial Summary'!$F:$F,L$17,'Industrial Summary'!$D:$D,$E132)),0)*0.98</f>
        <v>-1.0313102874800568E-2</v>
      </c>
      <c r="M132" s="6">
        <f>IF(SUMIFS('Industrial Summary'!$G:$G,'Industrial Summary'!$F:$F,M$17,'Industrial Summary'!$D:$D,$E132)&gt;0,(-SUMIFS('Industrial Summary'!$G:$G,'Industrial Summary'!$F:$F,M$17,'Industrial Summary'!$D:$D,$E132,'Industrial Summary'!$A:$A,"COA")/SUMIFS('Industrial Summary'!$G:$G,'Industrial Summary'!$F:$F,M$17,'Industrial Summary'!$D:$D,$E132)),0)*0.98</f>
        <v>-1.0414923703495159E-2</v>
      </c>
      <c r="N132" s="6">
        <f>IF(SUMIFS('Industrial Summary'!$G:$G,'Industrial Summary'!$F:$F,N$17,'Industrial Summary'!$D:$D,$E132)&gt;0,(-SUMIFS('Industrial Summary'!$G:$G,'Industrial Summary'!$F:$F,N$17,'Industrial Summary'!$D:$D,$E132,'Industrial Summary'!$A:$A,"COA")/SUMIFS('Industrial Summary'!$G:$G,'Industrial Summary'!$F:$F,N$17,'Industrial Summary'!$D:$D,$E132)),0)*0.98</f>
        <v>-1.0307695576529925E-2</v>
      </c>
      <c r="O132" s="6">
        <f>IF(SUMIFS('Industrial Summary'!$G:$G,'Industrial Summary'!$F:$F,O$17,'Industrial Summary'!$D:$D,$E132)&gt;0,(-SUMIFS('Industrial Summary'!$G:$G,'Industrial Summary'!$F:$F,O$17,'Industrial Summary'!$D:$D,$E132,'Industrial Summary'!$A:$A,"COA")/SUMIFS('Industrial Summary'!$G:$G,'Industrial Summary'!$F:$F,O$17,'Industrial Summary'!$D:$D,$E132)),0)*0.98</f>
        <v>-0.28124654630068885</v>
      </c>
      <c r="P132" s="6">
        <f>IF(SUMIFS('Industrial Summary'!$G:$G,'Industrial Summary'!$F:$F,P$17,'Industrial Summary'!$D:$D,$E132)&gt;0,(-SUMIFS('Industrial Summary'!$G:$G,'Industrial Summary'!$F:$F,P$17,'Industrial Summary'!$D:$D,$E132,'Industrial Summary'!$A:$A,"COA")/SUMIFS('Industrial Summary'!$G:$G,'Industrial Summary'!$F:$F,P$17,'Industrial Summary'!$D:$D,$E132)),0)*0.98</f>
        <v>-0.28163736520307564</v>
      </c>
      <c r="Q132" s="5">
        <v>0</v>
      </c>
      <c r="R132" s="5">
        <v>15</v>
      </c>
      <c r="S132" s="5" t="str">
        <f t="shared" si="18"/>
        <v>UC_ICIPH_COA</v>
      </c>
      <c r="V132" s="4" t="str">
        <f t="shared" si="19"/>
        <v>S_ICIPHCOA</v>
      </c>
      <c r="W132" s="4" t="str">
        <f t="shared" si="20"/>
        <v>ICIPH_COA</v>
      </c>
      <c r="X132" s="4" t="str">
        <f t="shared" si="21"/>
        <v>ICIPRH</v>
      </c>
      <c r="Y132" s="5" t="str">
        <f t="shared" si="22"/>
        <v>UP</v>
      </c>
      <c r="Z132" s="5">
        <v>1</v>
      </c>
      <c r="AA132" s="6">
        <f t="shared" si="23"/>
        <v>0</v>
      </c>
      <c r="AB132" s="6">
        <f t="shared" si="24"/>
        <v>0</v>
      </c>
      <c r="AC132" s="6">
        <f t="shared" si="25"/>
        <v>0</v>
      </c>
      <c r="AD132" s="6">
        <f t="shared" si="26"/>
        <v>0</v>
      </c>
      <c r="AE132" s="6">
        <f t="shared" si="27"/>
        <v>-6.6003858398723638E-3</v>
      </c>
      <c r="AF132" s="6">
        <f t="shared" si="28"/>
        <v>-6.6655511702369023E-3</v>
      </c>
      <c r="AG132" s="6">
        <f t="shared" si="29"/>
        <v>-6.5969251689791519E-3</v>
      </c>
      <c r="AH132" s="6">
        <f t="shared" si="30"/>
        <v>-0.17999778963244087</v>
      </c>
      <c r="AI132" s="6">
        <f t="shared" si="31"/>
        <v>-0.1802479137299684</v>
      </c>
      <c r="AL132" s="5" t="str">
        <f t="shared" si="32"/>
        <v>COA</v>
      </c>
      <c r="AM132" s="5">
        <f>Z7</f>
        <v>0.64</v>
      </c>
    </row>
    <row r="133" spans="1:39" s="5" customFormat="1" x14ac:dyDescent="0.3">
      <c r="C133" s="4" t="s">
        <v>273</v>
      </c>
      <c r="D133" s="5" t="s">
        <v>274</v>
      </c>
      <c r="E133" s="5" t="s">
        <v>743</v>
      </c>
      <c r="F133" s="5" t="s">
        <v>1588</v>
      </c>
      <c r="G133" s="5">
        <v>1</v>
      </c>
      <c r="H133" s="6">
        <f>IF(SUMIFS('Industrial Summary'!$G:$G,'Industrial Summary'!$F:$F,H$17,'Industrial Summary'!$D:$D,$E133)&gt;0,(-SUMIFS('Industrial Summary'!$G:$G,'Industrial Summary'!$F:$F,H$17,'Industrial Summary'!$D:$D,$E133,'Industrial Summary'!$A:$A,"ELC")/SUMIFS('Industrial Summary'!$G:$G,'Industrial Summary'!$F:$F,H$17,'Industrial Summary'!$D:$D,$E133)),0)*0.98</f>
        <v>-0.94087580845669061</v>
      </c>
      <c r="I133" s="6">
        <f>IF(SUMIFS('Industrial Summary'!$G:$G,'Industrial Summary'!$F:$F,I$17,'Industrial Summary'!$D:$D,$E133)&gt;0,(-SUMIFS('Industrial Summary'!$G:$G,'Industrial Summary'!$F:$F,I$17,'Industrial Summary'!$D:$D,$E133,'Industrial Summary'!$A:$A,"ELC")/SUMIFS('Industrial Summary'!$G:$G,'Industrial Summary'!$F:$F,I$17,'Industrial Summary'!$D:$D,$E133)),0)*0.98</f>
        <v>-0.94087580845668894</v>
      </c>
      <c r="J133" s="6">
        <f>IF(SUMIFS('Industrial Summary'!$G:$G,'Industrial Summary'!$F:$F,J$17,'Industrial Summary'!$D:$D,$E133)&gt;0,(-SUMIFS('Industrial Summary'!$G:$G,'Industrial Summary'!$F:$F,J$17,'Industrial Summary'!$D:$D,$E133,'Industrial Summary'!$A:$A,"ELC")/SUMIFS('Industrial Summary'!$G:$G,'Industrial Summary'!$F:$F,J$17,'Industrial Summary'!$D:$D,$E133)),0)*0.98</f>
        <v>-0.91857529534188209</v>
      </c>
      <c r="K133" s="6">
        <f>IF(SUMIFS('Industrial Summary'!$G:$G,'Industrial Summary'!$F:$F,K$17,'Industrial Summary'!$D:$D,$E133)&gt;0,(-SUMIFS('Industrial Summary'!$G:$G,'Industrial Summary'!$F:$F,K$17,'Industrial Summary'!$D:$D,$E133,'Industrial Summary'!$A:$A,"ELC")/SUMIFS('Industrial Summary'!$G:$G,'Industrial Summary'!$F:$F,K$17,'Industrial Summary'!$D:$D,$E133)),0)*0.98</f>
        <v>-0.91857529534188676</v>
      </c>
      <c r="L133" s="6">
        <f>IF(SUMIFS('Industrial Summary'!$G:$G,'Industrial Summary'!$F:$F,L$17,'Industrial Summary'!$D:$D,$E133)&gt;0,(-SUMIFS('Industrial Summary'!$G:$G,'Industrial Summary'!$F:$F,L$17,'Industrial Summary'!$D:$D,$E133,'Industrial Summary'!$A:$A,"ELC")/SUMIFS('Industrial Summary'!$G:$G,'Industrial Summary'!$F:$F,L$17,'Industrial Summary'!$D:$D,$E133)),0)*0.98</f>
        <v>-0.78764599857647355</v>
      </c>
      <c r="M133" s="6">
        <f>IF(SUMIFS('Industrial Summary'!$G:$G,'Industrial Summary'!$F:$F,M$17,'Industrial Summary'!$D:$D,$E133)&gt;0,(-SUMIFS('Industrial Summary'!$G:$G,'Industrial Summary'!$F:$F,M$17,'Industrial Summary'!$D:$D,$E133,'Industrial Summary'!$A:$A,"ELC")/SUMIFS('Industrial Summary'!$G:$G,'Industrial Summary'!$F:$F,M$17,'Industrial Summary'!$D:$D,$E133)),0)*0.98</f>
        <v>-0.79542239422253769</v>
      </c>
      <c r="N133" s="6">
        <f>IF(SUMIFS('Industrial Summary'!$G:$G,'Industrial Summary'!$F:$F,N$17,'Industrial Summary'!$D:$D,$E133)&gt;0,(-SUMIFS('Industrial Summary'!$G:$G,'Industrial Summary'!$F:$F,N$17,'Industrial Summary'!$D:$D,$E133,'Industrial Summary'!$A:$A,"ELC")/SUMIFS('Industrial Summary'!$G:$G,'Industrial Summary'!$F:$F,N$17,'Industrial Summary'!$D:$D,$E133)),0)*0.98</f>
        <v>-0.78723302520679872</v>
      </c>
      <c r="O133" s="6">
        <f>IF(SUMIFS('Industrial Summary'!$G:$G,'Industrial Summary'!$F:$F,O$17,'Industrial Summary'!$D:$D,$E133)&gt;0,(-SUMIFS('Industrial Summary'!$G:$G,'Industrial Summary'!$F:$F,O$17,'Industrial Summary'!$D:$D,$E133,'Industrial Summary'!$A:$A,"ELC")/SUMIFS('Industrial Summary'!$G:$G,'Industrial Summary'!$F:$F,O$17,'Industrial Summary'!$D:$D,$E133)),0)*0.98</f>
        <v>-0.8104192203380175</v>
      </c>
      <c r="P133" s="6">
        <f>IF(SUMIFS('Industrial Summary'!$G:$G,'Industrial Summary'!$F:$F,P$17,'Industrial Summary'!$D:$D,$E133)&gt;0,(-SUMIFS('Industrial Summary'!$G:$G,'Industrial Summary'!$F:$F,P$17,'Industrial Summary'!$D:$D,$E133,'Industrial Summary'!$A:$A,"ELC")/SUMIFS('Industrial Summary'!$G:$G,'Industrial Summary'!$F:$F,P$17,'Industrial Summary'!$D:$D,$E133)),0)*0.98</f>
        <v>-0.80789398161664971</v>
      </c>
      <c r="Q133" s="5">
        <v>0</v>
      </c>
      <c r="R133" s="5">
        <v>15</v>
      </c>
      <c r="S133" s="5" t="str">
        <f t="shared" si="18"/>
        <v>UC_ICIMD_ELC</v>
      </c>
      <c r="V133" s="4" t="str">
        <f t="shared" si="19"/>
        <v>S_ICIMDELC</v>
      </c>
      <c r="W133" s="4" t="str">
        <f t="shared" si="20"/>
        <v>ICIMD_ELC</v>
      </c>
      <c r="X133" s="4" t="str">
        <f t="shared" si="21"/>
        <v>ICIMDR</v>
      </c>
      <c r="Y133" s="5" t="str">
        <f t="shared" si="22"/>
        <v>LO</v>
      </c>
      <c r="Z133" s="5">
        <v>1</v>
      </c>
      <c r="AA133" s="6">
        <f t="shared" si="23"/>
        <v>-0.94087580845669061</v>
      </c>
      <c r="AB133" s="6">
        <f t="shared" si="24"/>
        <v>-0.94087580845668894</v>
      </c>
      <c r="AC133" s="6">
        <f t="shared" si="25"/>
        <v>-0.91857529534188209</v>
      </c>
      <c r="AD133" s="6">
        <f t="shared" si="26"/>
        <v>-0.91857529534188676</v>
      </c>
      <c r="AE133" s="6">
        <f t="shared" si="27"/>
        <v>-0.78764599857647355</v>
      </c>
      <c r="AF133" s="6">
        <f t="shared" si="28"/>
        <v>-0.79542239422253769</v>
      </c>
      <c r="AG133" s="6">
        <f t="shared" si="29"/>
        <v>-0.78723302520679872</v>
      </c>
      <c r="AH133" s="6">
        <f t="shared" si="30"/>
        <v>-0.8104192203380175</v>
      </c>
      <c r="AI133" s="6">
        <f t="shared" si="31"/>
        <v>-0.80789398161664971</v>
      </c>
      <c r="AL133" s="5" t="str">
        <f t="shared" si="32"/>
        <v>ELC</v>
      </c>
      <c r="AM133" s="5">
        <f>1</f>
        <v>1</v>
      </c>
    </row>
    <row r="134" spans="1:39" s="5" customFormat="1" x14ac:dyDescent="0.3">
      <c r="A134" s="8"/>
      <c r="C134" s="4" t="s">
        <v>275</v>
      </c>
      <c r="D134" s="5" t="s">
        <v>276</v>
      </c>
      <c r="E134" s="5" t="s">
        <v>743</v>
      </c>
      <c r="F134" s="5" t="s">
        <v>1588</v>
      </c>
      <c r="G134" s="5">
        <v>1</v>
      </c>
      <c r="H134" s="6">
        <f>IF(SUMIFS('Industrial Summary'!$G:$G,'Industrial Summary'!$F:$F,H$17,'Industrial Summary'!$D:$D,$E134)&gt;0,(-SUMIFS('Industrial Summary'!$G:$G,'Industrial Summary'!$F:$F,H$17,'Industrial Summary'!$D:$D,$E134,'Industrial Summary'!$A:$A,"NGA")/SUMIFS('Industrial Summary'!$G:$G,'Industrial Summary'!$F:$F,H$17,'Industrial Summary'!$D:$D,$E134)),0)*0.98</f>
        <v>-3.9124191543309365E-2</v>
      </c>
      <c r="I134" s="6">
        <f>IF(SUMIFS('Industrial Summary'!$G:$G,'Industrial Summary'!$F:$F,I$17,'Industrial Summary'!$D:$D,$E134)&gt;0,(-SUMIFS('Industrial Summary'!$G:$G,'Industrial Summary'!$F:$F,I$17,'Industrial Summary'!$D:$D,$E134,'Industrial Summary'!$A:$A,"NGA")/SUMIFS('Industrial Summary'!$G:$G,'Industrial Summary'!$F:$F,I$17,'Industrial Summary'!$D:$D,$E134)),0)*0.98</f>
        <v>-3.9124191543311072E-2</v>
      </c>
      <c r="J134" s="6">
        <f>IF(SUMIFS('Industrial Summary'!$G:$G,'Industrial Summary'!$F:$F,J$17,'Industrial Summary'!$D:$D,$E134)&gt;0,(-SUMIFS('Industrial Summary'!$G:$G,'Industrial Summary'!$F:$F,J$17,'Industrial Summary'!$D:$D,$E134,'Industrial Summary'!$A:$A,"NGA")/SUMIFS('Industrial Summary'!$G:$G,'Industrial Summary'!$F:$F,J$17,'Industrial Summary'!$D:$D,$E134)),0)*0.98</f>
        <v>-6.1424704658117835E-2</v>
      </c>
      <c r="K134" s="6">
        <f>IF(SUMIFS('Industrial Summary'!$G:$G,'Industrial Summary'!$F:$F,K$17,'Industrial Summary'!$D:$D,$E134)&gt;0,(-SUMIFS('Industrial Summary'!$G:$G,'Industrial Summary'!$F:$F,K$17,'Industrial Summary'!$D:$D,$E134,'Industrial Summary'!$A:$A,"NGA")/SUMIFS('Industrial Summary'!$G:$G,'Industrial Summary'!$F:$F,K$17,'Industrial Summary'!$D:$D,$E134)),0)*0.98</f>
        <v>-6.1424704658113116E-2</v>
      </c>
      <c r="L134" s="6">
        <f>IF(SUMIFS('Industrial Summary'!$G:$G,'Industrial Summary'!$F:$F,L$17,'Industrial Summary'!$D:$D,$E134)&gt;0,(-SUMIFS('Industrial Summary'!$G:$G,'Industrial Summary'!$F:$F,L$17,'Industrial Summary'!$D:$D,$E134,'Industrial Summary'!$A:$A,"NGA")/SUMIFS('Industrial Summary'!$G:$G,'Industrial Summary'!$F:$F,L$17,'Industrial Summary'!$D:$D,$E134)),0)*0.98</f>
        <v>-0.19235400142352638</v>
      </c>
      <c r="M134" s="6">
        <f>IF(SUMIFS('Industrial Summary'!$G:$G,'Industrial Summary'!$F:$F,M$17,'Industrial Summary'!$D:$D,$E134)&gt;0,(-SUMIFS('Industrial Summary'!$G:$G,'Industrial Summary'!$F:$F,M$17,'Industrial Summary'!$D:$D,$E134,'Industrial Summary'!$A:$A,"NGA")/SUMIFS('Industrial Summary'!$G:$G,'Industrial Summary'!$F:$F,M$17,'Industrial Summary'!$D:$D,$E134)),0)*0.98</f>
        <v>-0.18457760577746232</v>
      </c>
      <c r="N134" s="6">
        <f>IF(SUMIFS('Industrial Summary'!$G:$G,'Industrial Summary'!$F:$F,N$17,'Industrial Summary'!$D:$D,$E134)&gt;0,(-SUMIFS('Industrial Summary'!$G:$G,'Industrial Summary'!$F:$F,N$17,'Industrial Summary'!$D:$D,$E134,'Industrial Summary'!$A:$A,"NGA")/SUMIFS('Industrial Summary'!$G:$G,'Industrial Summary'!$F:$F,N$17,'Industrial Summary'!$D:$D,$E134)),0)*0.98</f>
        <v>-0.19276697479320115</v>
      </c>
      <c r="O134" s="6">
        <f>IF(SUMIFS('Industrial Summary'!$G:$G,'Industrial Summary'!$F:$F,O$17,'Industrial Summary'!$D:$D,$E134)&gt;0,(-SUMIFS('Industrial Summary'!$G:$G,'Industrial Summary'!$F:$F,O$17,'Industrial Summary'!$D:$D,$E134,'Industrial Summary'!$A:$A,"NGA")/SUMIFS('Industrial Summary'!$G:$G,'Industrial Summary'!$F:$F,O$17,'Industrial Summary'!$D:$D,$E134)),0)*0.98</f>
        <v>-0.16958077966198243</v>
      </c>
      <c r="P134" s="6">
        <f>IF(SUMIFS('Industrial Summary'!$G:$G,'Industrial Summary'!$F:$F,P$17,'Industrial Summary'!$D:$D,$E134)&gt;0,(-SUMIFS('Industrial Summary'!$G:$G,'Industrial Summary'!$F:$F,P$17,'Industrial Summary'!$D:$D,$E134,'Industrial Summary'!$A:$A,"NGA")/SUMIFS('Industrial Summary'!$G:$G,'Industrial Summary'!$F:$F,P$17,'Industrial Summary'!$D:$D,$E134)),0)*0.98</f>
        <v>-0.17210601838335024</v>
      </c>
      <c r="Q134" s="5">
        <v>0</v>
      </c>
      <c r="R134" s="5">
        <v>15</v>
      </c>
      <c r="S134" s="5" t="str">
        <f t="shared" si="18"/>
        <v>UC_ICIMD_NGA</v>
      </c>
      <c r="V134" s="4" t="str">
        <f t="shared" si="19"/>
        <v>S_ICIMDNGA</v>
      </c>
      <c r="W134" s="4" t="str">
        <f t="shared" si="20"/>
        <v>ICIMD_NGA</v>
      </c>
      <c r="X134" s="4" t="str">
        <f t="shared" si="21"/>
        <v>ICIMDR</v>
      </c>
      <c r="Y134" s="5" t="str">
        <f t="shared" si="22"/>
        <v>LO</v>
      </c>
      <c r="Z134" s="5">
        <v>1</v>
      </c>
      <c r="AA134" s="6">
        <f t="shared" si="23"/>
        <v>-3.5211772388978428E-2</v>
      </c>
      <c r="AB134" s="6">
        <f t="shared" si="24"/>
        <v>-3.5211772388979969E-2</v>
      </c>
      <c r="AC134" s="6">
        <f t="shared" si="25"/>
        <v>-5.5282234192306053E-2</v>
      </c>
      <c r="AD134" s="6">
        <f t="shared" si="26"/>
        <v>-5.5282234192301806E-2</v>
      </c>
      <c r="AE134" s="6">
        <f t="shared" si="27"/>
        <v>-0.17311860128117373</v>
      </c>
      <c r="AF134" s="6">
        <f t="shared" si="28"/>
        <v>-0.16611984519971609</v>
      </c>
      <c r="AG134" s="6">
        <f t="shared" si="29"/>
        <v>-0.17349027731388103</v>
      </c>
      <c r="AH134" s="6">
        <f t="shared" si="30"/>
        <v>-0.15262270169578418</v>
      </c>
      <c r="AI134" s="6">
        <f t="shared" si="31"/>
        <v>-0.15489541654501521</v>
      </c>
      <c r="AL134" s="5" t="str">
        <f t="shared" si="32"/>
        <v>NGA</v>
      </c>
      <c r="AM134" s="5">
        <f>Y7</f>
        <v>0.9</v>
      </c>
    </row>
    <row r="135" spans="1:39" s="5" customFormat="1" x14ac:dyDescent="0.3">
      <c r="C135" s="4" t="s">
        <v>277</v>
      </c>
      <c r="D135" s="5" t="s">
        <v>278</v>
      </c>
      <c r="E135" s="5" t="s">
        <v>727</v>
      </c>
      <c r="F135" s="5" t="s">
        <v>1588</v>
      </c>
      <c r="G135" s="5">
        <v>1</v>
      </c>
      <c r="H135" s="6">
        <f>IF(SUMIFS('Industrial Summary'!$G:$G,'Industrial Summary'!$F:$F,H$17,'Industrial Summary'!$D:$D,$E135)&gt;0,(-SUMIFS('Industrial Summary'!$G:$G,'Industrial Summary'!$F:$F,H$17,'Industrial Summary'!$D:$D,$E135,'Industrial Summary'!$A:$A,"ELC")/SUMIFS('Industrial Summary'!$G:$G,'Industrial Summary'!$F:$F,H$17,'Industrial Summary'!$D:$D,$E135)),0)*0.98</f>
        <v>-0.93944703854878076</v>
      </c>
      <c r="I135" s="6">
        <f>IF(SUMIFS('Industrial Summary'!$G:$G,'Industrial Summary'!$F:$F,I$17,'Industrial Summary'!$D:$D,$E135)&gt;0,(-SUMIFS('Industrial Summary'!$G:$G,'Industrial Summary'!$F:$F,I$17,'Industrial Summary'!$D:$D,$E135,'Industrial Summary'!$A:$A,"ELC")/SUMIFS('Industrial Summary'!$G:$G,'Industrial Summary'!$F:$F,I$17,'Industrial Summary'!$D:$D,$E135)),0)*0.98</f>
        <v>-0.93944703854878098</v>
      </c>
      <c r="J135" s="6">
        <f>IF(SUMIFS('Industrial Summary'!$G:$G,'Industrial Summary'!$F:$F,J$17,'Industrial Summary'!$D:$D,$E135)&gt;0,(-SUMIFS('Industrial Summary'!$G:$G,'Industrial Summary'!$F:$F,J$17,'Industrial Summary'!$D:$D,$E135,'Industrial Summary'!$A:$A,"ELC")/SUMIFS('Industrial Summary'!$G:$G,'Industrial Summary'!$F:$F,J$17,'Industrial Summary'!$D:$D,$E135)),0)*0.98</f>
        <v>-0.91638719765603083</v>
      </c>
      <c r="K135" s="6">
        <f>IF(SUMIFS('Industrial Summary'!$G:$G,'Industrial Summary'!$F:$F,K$17,'Industrial Summary'!$D:$D,$E135)&gt;0,(-SUMIFS('Industrial Summary'!$G:$G,'Industrial Summary'!$F:$F,K$17,'Industrial Summary'!$D:$D,$E135,'Industrial Summary'!$A:$A,"ELC")/SUMIFS('Industrial Summary'!$G:$G,'Industrial Summary'!$F:$F,K$17,'Industrial Summary'!$D:$D,$E135)),0)*0.98</f>
        <v>-0.9163871976560316</v>
      </c>
      <c r="L135" s="6">
        <f>IF(SUMIFS('Industrial Summary'!$G:$G,'Industrial Summary'!$F:$F,L$17,'Industrial Summary'!$D:$D,$E135)&gt;0,(-SUMIFS('Industrial Summary'!$G:$G,'Industrial Summary'!$F:$F,L$17,'Industrial Summary'!$D:$D,$E135,'Industrial Summary'!$A:$A,"ELC")/SUMIFS('Industrial Summary'!$G:$G,'Industrial Summary'!$F:$F,L$17,'Industrial Summary'!$D:$D,$E135)),0)*0.98</f>
        <v>-0.78178163522867705</v>
      </c>
      <c r="M135" s="6">
        <f>IF(SUMIFS('Industrial Summary'!$G:$G,'Industrial Summary'!$F:$F,M$17,'Industrial Summary'!$D:$D,$E135)&gt;0,(-SUMIFS('Industrial Summary'!$G:$G,'Industrial Summary'!$F:$F,M$17,'Industrial Summary'!$D:$D,$E135,'Industrial Summary'!$A:$A,"ELC")/SUMIFS('Industrial Summary'!$G:$G,'Industrial Summary'!$F:$F,M$17,'Industrial Summary'!$D:$D,$E135)),0)*0.98</f>
        <v>-0.78950013226332638</v>
      </c>
      <c r="N135" s="6">
        <f>IF(SUMIFS('Industrial Summary'!$G:$G,'Industrial Summary'!$F:$F,N$17,'Industrial Summary'!$D:$D,$E135)&gt;0,(-SUMIFS('Industrial Summary'!$G:$G,'Industrial Summary'!$F:$F,N$17,'Industrial Summary'!$D:$D,$E135,'Industrial Summary'!$A:$A,"ELC")/SUMIFS('Industrial Summary'!$G:$G,'Industrial Summary'!$F:$F,N$17,'Industrial Summary'!$D:$D,$E135)),0)*0.98</f>
        <v>-0.78137173662342374</v>
      </c>
      <c r="O135" s="6">
        <f>IF(SUMIFS('Industrial Summary'!$G:$G,'Industrial Summary'!$F:$F,O$17,'Industrial Summary'!$D:$D,$E135)&gt;0,(-SUMIFS('Industrial Summary'!$G:$G,'Industrial Summary'!$F:$F,O$17,'Industrial Summary'!$D:$D,$E135,'Industrial Summary'!$A:$A,"ELC")/SUMIFS('Industrial Summary'!$G:$G,'Industrial Summary'!$F:$F,O$17,'Industrial Summary'!$D:$D,$E135)),0)*0.98</f>
        <v>-0.80505322694845849</v>
      </c>
      <c r="P135" s="6">
        <f>IF(SUMIFS('Industrial Summary'!$G:$G,'Industrial Summary'!$F:$F,P$17,'Industrial Summary'!$D:$D,$E135)&gt;0,(-SUMIFS('Industrial Summary'!$G:$G,'Industrial Summary'!$F:$F,P$17,'Industrial Summary'!$D:$D,$E135,'Industrial Summary'!$A:$A,"ELC")/SUMIFS('Industrial Summary'!$G:$G,'Industrial Summary'!$F:$F,P$17,'Industrial Summary'!$D:$D,$E135)),0)*0.98</f>
        <v>-0.80252053166744852</v>
      </c>
      <c r="Q135" s="5">
        <v>0</v>
      </c>
      <c r="R135" s="5">
        <v>15</v>
      </c>
      <c r="S135" s="5" t="str">
        <f t="shared" si="18"/>
        <v>UC_ICIFA_ELC</v>
      </c>
      <c r="V135" s="4" t="str">
        <f t="shared" si="19"/>
        <v>S_ICIFAELC</v>
      </c>
      <c r="W135" s="4" t="str">
        <f t="shared" si="20"/>
        <v>ICIFA_ELC</v>
      </c>
      <c r="X135" s="4" t="str">
        <f t="shared" si="21"/>
        <v>ICIFAC</v>
      </c>
      <c r="Y135" s="5" t="str">
        <f t="shared" si="22"/>
        <v>LO</v>
      </c>
      <c r="Z135" s="5">
        <v>1</v>
      </c>
      <c r="AA135" s="6">
        <f t="shared" si="23"/>
        <v>-0.93944703854878076</v>
      </c>
      <c r="AB135" s="6">
        <f t="shared" si="24"/>
        <v>-0.93944703854878098</v>
      </c>
      <c r="AC135" s="6">
        <f t="shared" si="25"/>
        <v>-0.91638719765603083</v>
      </c>
      <c r="AD135" s="6">
        <f t="shared" si="26"/>
        <v>-0.9163871976560316</v>
      </c>
      <c r="AE135" s="6">
        <f t="shared" si="27"/>
        <v>-0.78178163522867705</v>
      </c>
      <c r="AF135" s="6">
        <f t="shared" si="28"/>
        <v>-0.78950013226332638</v>
      </c>
      <c r="AG135" s="6">
        <f t="shared" si="29"/>
        <v>-0.78137173662342374</v>
      </c>
      <c r="AH135" s="6">
        <f t="shared" si="30"/>
        <v>-0.80505322694845849</v>
      </c>
      <c r="AI135" s="6">
        <f t="shared" si="31"/>
        <v>-0.80252053166744852</v>
      </c>
      <c r="AL135" s="5" t="str">
        <f t="shared" si="32"/>
        <v>ELC</v>
      </c>
      <c r="AM135" s="5">
        <f>1</f>
        <v>1</v>
      </c>
    </row>
    <row r="136" spans="1:39" s="5" customFormat="1" x14ac:dyDescent="0.3">
      <c r="A136" s="8"/>
      <c r="C136" s="4" t="s">
        <v>279</v>
      </c>
      <c r="D136" s="5" t="s">
        <v>280</v>
      </c>
      <c r="E136" s="5" t="s">
        <v>727</v>
      </c>
      <c r="F136" s="5" t="s">
        <v>1588</v>
      </c>
      <c r="G136" s="5">
        <v>1</v>
      </c>
      <c r="H136" s="6">
        <f>IF(SUMIFS('Industrial Summary'!$G:$G,'Industrial Summary'!$F:$F,H$17,'Industrial Summary'!$D:$D,$E136)&gt;0,(-SUMIFS('Industrial Summary'!$G:$G,'Industrial Summary'!$F:$F,H$17,'Industrial Summary'!$D:$D,$E136,'Industrial Summary'!$A:$A,"NGA")/SUMIFS('Industrial Summary'!$G:$G,'Industrial Summary'!$F:$F,H$17,'Industrial Summary'!$D:$D,$E136)),0)*0.98</f>
        <v>-4.0552961451219165E-2</v>
      </c>
      <c r="I136" s="6">
        <f>IF(SUMIFS('Industrial Summary'!$G:$G,'Industrial Summary'!$F:$F,I$17,'Industrial Summary'!$D:$D,$E136)&gt;0,(-SUMIFS('Industrial Summary'!$G:$G,'Industrial Summary'!$F:$F,I$17,'Industrial Summary'!$D:$D,$E136,'Industrial Summary'!$A:$A,"NGA")/SUMIFS('Industrial Summary'!$G:$G,'Industrial Summary'!$F:$F,I$17,'Industrial Summary'!$D:$D,$E136)),0)*0.98</f>
        <v>-4.055296145121904E-2</v>
      </c>
      <c r="J136" s="6">
        <f>IF(SUMIFS('Industrial Summary'!$G:$G,'Industrial Summary'!$F:$F,J$17,'Industrial Summary'!$D:$D,$E136)&gt;0,(-SUMIFS('Industrial Summary'!$G:$G,'Industrial Summary'!$F:$F,J$17,'Industrial Summary'!$D:$D,$E136,'Industrial Summary'!$A:$A,"NGA")/SUMIFS('Industrial Summary'!$G:$G,'Industrial Summary'!$F:$F,J$17,'Industrial Summary'!$D:$D,$E136)),0)*0.98</f>
        <v>-6.3612802343969196E-2</v>
      </c>
      <c r="K136" s="6">
        <f>IF(SUMIFS('Industrial Summary'!$G:$G,'Industrial Summary'!$F:$F,K$17,'Industrial Summary'!$D:$D,$E136)&gt;0,(-SUMIFS('Industrial Summary'!$G:$G,'Industrial Summary'!$F:$F,K$17,'Industrial Summary'!$D:$D,$E136,'Industrial Summary'!$A:$A,"NGA")/SUMIFS('Industrial Summary'!$G:$G,'Industrial Summary'!$F:$F,K$17,'Industrial Summary'!$D:$D,$E136)),0)*0.98</f>
        <v>-6.3612802343968405E-2</v>
      </c>
      <c r="L136" s="6">
        <f>IF(SUMIFS('Industrial Summary'!$G:$G,'Industrial Summary'!$F:$F,L$17,'Industrial Summary'!$D:$D,$E136)&gt;0,(-SUMIFS('Industrial Summary'!$G:$G,'Industrial Summary'!$F:$F,L$17,'Industrial Summary'!$D:$D,$E136,'Industrial Summary'!$A:$A,"NGA")/SUMIFS('Industrial Summary'!$G:$G,'Industrial Summary'!$F:$F,L$17,'Industrial Summary'!$D:$D,$E136)),0)*0.98</f>
        <v>-0.1982183647713229</v>
      </c>
      <c r="M136" s="6">
        <f>IF(SUMIFS('Industrial Summary'!$G:$G,'Industrial Summary'!$F:$F,M$17,'Industrial Summary'!$D:$D,$E136)&gt;0,(-SUMIFS('Industrial Summary'!$G:$G,'Industrial Summary'!$F:$F,M$17,'Industrial Summary'!$D:$D,$E136,'Industrial Summary'!$A:$A,"NGA")/SUMIFS('Industrial Summary'!$G:$G,'Industrial Summary'!$F:$F,M$17,'Industrial Summary'!$D:$D,$E136)),0)*0.98</f>
        <v>-0.19049986773667354</v>
      </c>
      <c r="N136" s="6">
        <f>IF(SUMIFS('Industrial Summary'!$G:$G,'Industrial Summary'!$F:$F,N$17,'Industrial Summary'!$D:$D,$E136)&gt;0,(-SUMIFS('Industrial Summary'!$G:$G,'Industrial Summary'!$F:$F,N$17,'Industrial Summary'!$D:$D,$E136,'Industrial Summary'!$A:$A,"NGA")/SUMIFS('Industrial Summary'!$G:$G,'Industrial Summary'!$F:$F,N$17,'Industrial Summary'!$D:$D,$E136)),0)*0.98</f>
        <v>-0.19862826337657619</v>
      </c>
      <c r="O136" s="6">
        <f>IF(SUMIFS('Industrial Summary'!$G:$G,'Industrial Summary'!$F:$F,O$17,'Industrial Summary'!$D:$D,$E136)&gt;0,(-SUMIFS('Industrial Summary'!$G:$G,'Industrial Summary'!$F:$F,O$17,'Industrial Summary'!$D:$D,$E136,'Industrial Summary'!$A:$A,"NGA")/SUMIFS('Industrial Summary'!$G:$G,'Industrial Summary'!$F:$F,O$17,'Industrial Summary'!$D:$D,$E136)),0)*0.98</f>
        <v>-0.17494677305154152</v>
      </c>
      <c r="P136" s="6">
        <f>IF(SUMIFS('Industrial Summary'!$G:$G,'Industrial Summary'!$F:$F,P$17,'Industrial Summary'!$D:$D,$E136)&gt;0,(-SUMIFS('Industrial Summary'!$G:$G,'Industrial Summary'!$F:$F,P$17,'Industrial Summary'!$D:$D,$E136,'Industrial Summary'!$A:$A,"NGA")/SUMIFS('Industrial Summary'!$G:$G,'Industrial Summary'!$F:$F,P$17,'Industrial Summary'!$D:$D,$E136)),0)*0.98</f>
        <v>-0.17747946833255143</v>
      </c>
      <c r="Q136" s="5">
        <v>0</v>
      </c>
      <c r="R136" s="5">
        <v>15</v>
      </c>
      <c r="S136" s="5" t="str">
        <f t="shared" si="18"/>
        <v>UC_ICIFA_NGA</v>
      </c>
      <c r="V136" s="4" t="str">
        <f t="shared" si="19"/>
        <v>S_ICIFANGA</v>
      </c>
      <c r="W136" s="4" t="str">
        <f t="shared" si="20"/>
        <v>ICIFA_NGA</v>
      </c>
      <c r="X136" s="4" t="str">
        <f t="shared" si="21"/>
        <v>ICIFAC</v>
      </c>
      <c r="Y136" s="5" t="str">
        <f t="shared" si="22"/>
        <v>LO</v>
      </c>
      <c r="Z136" s="5">
        <v>1</v>
      </c>
      <c r="AA136" s="6">
        <f t="shared" si="23"/>
        <v>-3.649766530609725E-2</v>
      </c>
      <c r="AB136" s="6">
        <f t="shared" si="24"/>
        <v>-3.6497665306097139E-2</v>
      </c>
      <c r="AC136" s="6">
        <f t="shared" si="25"/>
        <v>-5.7251522109572281E-2</v>
      </c>
      <c r="AD136" s="6">
        <f t="shared" si="26"/>
        <v>-5.7251522109571566E-2</v>
      </c>
      <c r="AE136" s="6">
        <f t="shared" si="27"/>
        <v>-0.17839652829419061</v>
      </c>
      <c r="AF136" s="6">
        <f t="shared" si="28"/>
        <v>-0.1714498809630062</v>
      </c>
      <c r="AG136" s="6">
        <f t="shared" si="29"/>
        <v>-0.17876543703891856</v>
      </c>
      <c r="AH136" s="6">
        <f t="shared" si="30"/>
        <v>-0.15745209574638738</v>
      </c>
      <c r="AI136" s="6">
        <f t="shared" si="31"/>
        <v>-0.15973152149929629</v>
      </c>
      <c r="AL136" s="5" t="str">
        <f t="shared" si="32"/>
        <v>NGA</v>
      </c>
      <c r="AM136" s="5">
        <f>Y7</f>
        <v>0.9</v>
      </c>
    </row>
    <row r="137" spans="1:39" s="5" customFormat="1" x14ac:dyDescent="0.3">
      <c r="C137" s="4" t="s">
        <v>281</v>
      </c>
      <c r="D137" s="5" t="s">
        <v>282</v>
      </c>
      <c r="E137" s="5" t="s">
        <v>758</v>
      </c>
      <c r="F137" s="5" t="s">
        <v>1588</v>
      </c>
      <c r="G137" s="5">
        <v>1</v>
      </c>
      <c r="H137" s="6">
        <f>(IF(SUMIFS('Industrial Summary'!$G:$G,'Industrial Summary'!$F:$F,H$17,'Industrial Summary'!$D:$D,$E137)&gt;0,((-SUMIFS('Industrial Summary'!$G:$G,'Industrial Summary'!$F:$F,H$17,'Industrial Summary'!$D:$D,$E137,'Industrial Summary'!$A:$A,"ELC")+-SUMIFS('Industrial Summary'!$G:$G,'Industrial Summary'!$F:$F,H$17,'Industrial Summary'!$D:$D,"ICIRSTM",'Industrial Summary'!$A:$A,"ELC"))/SUMIFS('Industrial Summary'!$G:$G,'Industrial Summary'!$F:$F,H$17,'Industrial Summary'!$D:$D,$E137)),0))*0.98</f>
        <v>-8.6433250220149221E-2</v>
      </c>
      <c r="I137" s="6">
        <f>(IF(SUMIFS('Industrial Summary'!$G:$G,'Industrial Summary'!$F:$F,I$17,'Industrial Summary'!$D:$D,$E137)&gt;0,((-SUMIFS('Industrial Summary'!$G:$G,'Industrial Summary'!$F:$F,I$17,'Industrial Summary'!$D:$D,$E137,'Industrial Summary'!$A:$A,"ELC")+-SUMIFS('Industrial Summary'!$G:$G,'Industrial Summary'!$F:$F,I$17,'Industrial Summary'!$D:$D,"ICIRSTM",'Industrial Summary'!$A:$A,"ELC"))/SUMIFS('Industrial Summary'!$G:$G,'Industrial Summary'!$F:$F,I$17,'Industrial Summary'!$D:$D,$E137)),0))*0.98</f>
        <v>-8.6433250220149263E-2</v>
      </c>
      <c r="J137" s="6">
        <f>(IF(SUMIFS('Industrial Summary'!$G:$G,'Industrial Summary'!$F:$F,J$17,'Industrial Summary'!$D:$D,$E137)&gt;0,((-SUMIFS('Industrial Summary'!$G:$G,'Industrial Summary'!$F:$F,J$17,'Industrial Summary'!$D:$D,$E137,'Industrial Summary'!$A:$A,"ELC")+-SUMIFS('Industrial Summary'!$G:$G,'Industrial Summary'!$F:$F,J$17,'Industrial Summary'!$D:$D,"ICIRSTM",'Industrial Summary'!$A:$A,"ELC"))/SUMIFS('Industrial Summary'!$G:$G,'Industrial Summary'!$F:$F,J$17,'Industrial Summary'!$D:$D,$E137)),0))*0.98</f>
        <v>-1.8002306657805837E-2</v>
      </c>
      <c r="K137" s="6">
        <f>(IF(SUMIFS('Industrial Summary'!$G:$G,'Industrial Summary'!$F:$F,K$17,'Industrial Summary'!$D:$D,$E137)&gt;0,((-SUMIFS('Industrial Summary'!$G:$G,'Industrial Summary'!$F:$F,K$17,'Industrial Summary'!$D:$D,$E137,'Industrial Summary'!$A:$A,"ELC")+-SUMIFS('Industrial Summary'!$G:$G,'Industrial Summary'!$F:$F,K$17,'Industrial Summary'!$D:$D,"ICIRSTM",'Industrial Summary'!$A:$A,"ELC"))/SUMIFS('Industrial Summary'!$G:$G,'Industrial Summary'!$F:$F,K$17,'Industrial Summary'!$D:$D,$E137)),0))*0.98</f>
        <v>-1.8002306657805833E-2</v>
      </c>
      <c r="L137" s="6">
        <f>(IF(SUMIFS('Industrial Summary'!$G:$G,'Industrial Summary'!$F:$F,L$17,'Industrial Summary'!$D:$D,$E137)&gt;0,((-SUMIFS('Industrial Summary'!$G:$G,'Industrial Summary'!$F:$F,L$17,'Industrial Summary'!$D:$D,$E137,'Industrial Summary'!$A:$A,"ELC")+-SUMIFS('Industrial Summary'!$G:$G,'Industrial Summary'!$F:$F,L$17,'Industrial Summary'!$D:$D,"ICIRSTM",'Industrial Summary'!$A:$A,"ELC"))/SUMIFS('Industrial Summary'!$G:$G,'Industrial Summary'!$F:$F,L$17,'Industrial Summary'!$D:$D,$E137)),0))*0.98</f>
        <v>-7.6176164537996222E-2</v>
      </c>
      <c r="M137" s="6">
        <f>(IF(SUMIFS('Industrial Summary'!$G:$G,'Industrial Summary'!$F:$F,M$17,'Industrial Summary'!$D:$D,$E137)&gt;0,((-SUMIFS('Industrial Summary'!$G:$G,'Industrial Summary'!$F:$F,M$17,'Industrial Summary'!$D:$D,$E137,'Industrial Summary'!$A:$A,"ELC")+-SUMIFS('Industrial Summary'!$G:$G,'Industrial Summary'!$F:$F,M$17,'Industrial Summary'!$D:$D,"ICIRSTM",'Industrial Summary'!$A:$A,"ELC"))/SUMIFS('Industrial Summary'!$G:$G,'Industrial Summary'!$F:$F,M$17,'Industrial Summary'!$D:$D,$E137)),0))*0.98</f>
        <v>-7.6928248590118098E-2</v>
      </c>
      <c r="N137" s="6">
        <f>(IF(SUMIFS('Industrial Summary'!$G:$G,'Industrial Summary'!$F:$F,N$17,'Industrial Summary'!$D:$D,$E137)&gt;0,((-SUMIFS('Industrial Summary'!$G:$G,'Industrial Summary'!$F:$F,N$17,'Industrial Summary'!$D:$D,$E137,'Industrial Summary'!$A:$A,"ELC")+-SUMIFS('Industrial Summary'!$G:$G,'Industrial Summary'!$F:$F,N$17,'Industrial Summary'!$D:$D,"ICIRSTM",'Industrial Summary'!$A:$A,"ELC"))/SUMIFS('Industrial Summary'!$G:$G,'Industrial Summary'!$F:$F,N$17,'Industrial Summary'!$D:$D,$E137)),0))*0.98</f>
        <v>-7.6136224352411352E-2</v>
      </c>
      <c r="O137" s="6">
        <f>(IF(SUMIFS('Industrial Summary'!$G:$G,'Industrial Summary'!$F:$F,O$17,'Industrial Summary'!$D:$D,$E137)&gt;0,((-SUMIFS('Industrial Summary'!$G:$G,'Industrial Summary'!$F:$F,O$17,'Industrial Summary'!$D:$D,$E137,'Industrial Summary'!$A:$A,"ELC")+-SUMIFS('Industrial Summary'!$G:$G,'Industrial Summary'!$F:$F,O$17,'Industrial Summary'!$D:$D,"ICIRSTM",'Industrial Summary'!$A:$A,"ELC"))/SUMIFS('Industrial Summary'!$G:$G,'Industrial Summary'!$F:$F,O$17,'Industrial Summary'!$D:$D,$E137)),0))*0.98</f>
        <v>-0.10036137258885849</v>
      </c>
      <c r="P137" s="6">
        <f>(IF(SUMIFS('Industrial Summary'!$G:$G,'Industrial Summary'!$F:$F,P$17,'Industrial Summary'!$D:$D,$E137)&gt;0,((-SUMIFS('Industrial Summary'!$G:$G,'Industrial Summary'!$F:$F,P$17,'Industrial Summary'!$D:$D,$E137,'Industrial Summary'!$A:$A,"ELC")+-SUMIFS('Industrial Summary'!$G:$G,'Industrial Summary'!$F:$F,P$17,'Industrial Summary'!$D:$D,"ICIRSTM",'Industrial Summary'!$A:$A,"ELC"))/SUMIFS('Industrial Summary'!$G:$G,'Industrial Summary'!$F:$F,P$17,'Industrial Summary'!$D:$D,$E137)),0))*0.98</f>
        <v>-9.6849440760188393E-2</v>
      </c>
      <c r="Q137" s="5">
        <v>0</v>
      </c>
      <c r="R137" s="5">
        <v>15</v>
      </c>
      <c r="S137" s="5" t="str">
        <f t="shared" si="18"/>
        <v>UC_ICIOH_ELC</v>
      </c>
      <c r="V137" s="4" t="str">
        <f t="shared" si="19"/>
        <v>S_ICIOHELC</v>
      </c>
      <c r="W137" s="4" t="str">
        <f t="shared" si="20"/>
        <v>ICIOH_ELC</v>
      </c>
      <c r="X137" s="4" t="str">
        <f t="shared" si="21"/>
        <v>ICIOHT</v>
      </c>
      <c r="Y137" s="5" t="str">
        <f t="shared" si="22"/>
        <v>LO</v>
      </c>
      <c r="Z137" s="5">
        <v>1</v>
      </c>
      <c r="AA137" s="6">
        <f t="shared" si="23"/>
        <v>-8.6433250220149221E-2</v>
      </c>
      <c r="AB137" s="6">
        <f t="shared" si="24"/>
        <v>-8.6433250220149263E-2</v>
      </c>
      <c r="AC137" s="6">
        <f t="shared" si="25"/>
        <v>-1.8002306657805837E-2</v>
      </c>
      <c r="AD137" s="6">
        <f t="shared" si="26"/>
        <v>-1.8002306657805833E-2</v>
      </c>
      <c r="AE137" s="6">
        <f t="shared" si="27"/>
        <v>-7.6176164537996222E-2</v>
      </c>
      <c r="AF137" s="6">
        <f t="shared" si="28"/>
        <v>-7.6928248590118098E-2</v>
      </c>
      <c r="AG137" s="6">
        <f t="shared" si="29"/>
        <v>-7.6136224352411352E-2</v>
      </c>
      <c r="AH137" s="6">
        <f t="shared" si="30"/>
        <v>-0.10036137258885849</v>
      </c>
      <c r="AI137" s="6">
        <f t="shared" si="31"/>
        <v>-9.6849440760188393E-2</v>
      </c>
      <c r="AL137" s="5" t="str">
        <f t="shared" si="32"/>
        <v>ELC</v>
      </c>
      <c r="AM137" s="5">
        <f>1</f>
        <v>1</v>
      </c>
    </row>
    <row r="138" spans="1:39" s="5" customFormat="1" x14ac:dyDescent="0.3">
      <c r="A138" s="8"/>
      <c r="C138" s="4" t="s">
        <v>283</v>
      </c>
      <c r="D138" s="5" t="s">
        <v>284</v>
      </c>
      <c r="E138" s="5" t="s">
        <v>758</v>
      </c>
      <c r="F138" s="5" t="s">
        <v>1588</v>
      </c>
      <c r="G138" s="5">
        <v>1</v>
      </c>
      <c r="H138" s="6">
        <f>(IF(SUMIFS('Industrial Summary'!$G:$G,'Industrial Summary'!$F:$F,H$17,'Industrial Summary'!$D:$D,$E138)&gt;0,((-SUMIFS('Industrial Summary'!$G:$G,'Industrial Summary'!$F:$F,H$17,'Industrial Summary'!$D:$D,$E138,'Industrial Summary'!$A:$A,"OTP")+-SUMIFS('Industrial Summary'!$G:$G,'Industrial Summary'!$F:$F,H$17,'Industrial Summary'!$D:$D,"ICIRSTM",'Industrial Summary'!$A:$A,"OTP"))/SUMIFS('Industrial Summary'!$G:$G,'Industrial Summary'!$F:$F,H$17,'Industrial Summary'!$D:$D,$E138)),0))*0.98</f>
        <v>-0.89356674977985062</v>
      </c>
      <c r="I138" s="6">
        <f>(IF(SUMIFS('Industrial Summary'!$G:$G,'Industrial Summary'!$F:$F,I$17,'Industrial Summary'!$D:$D,$E138)&gt;0,((-SUMIFS('Industrial Summary'!$G:$G,'Industrial Summary'!$F:$F,I$17,'Industrial Summary'!$D:$D,$E138,'Industrial Summary'!$A:$A,"OTP")+-SUMIFS('Industrial Summary'!$G:$G,'Industrial Summary'!$F:$F,I$17,'Industrial Summary'!$D:$D,"ICIRSTM",'Industrial Summary'!$A:$A,"OTP"))/SUMIFS('Industrial Summary'!$G:$G,'Industrial Summary'!$F:$F,I$17,'Industrial Summary'!$D:$D,$E138)),0))*0.98</f>
        <v>-0.89356674977985073</v>
      </c>
      <c r="J138" s="6">
        <f>(IF(SUMIFS('Industrial Summary'!$G:$G,'Industrial Summary'!$F:$F,J$17,'Industrial Summary'!$D:$D,$E138)&gt;0,((-SUMIFS('Industrial Summary'!$G:$G,'Industrial Summary'!$F:$F,J$17,'Industrial Summary'!$D:$D,$E138,'Industrial Summary'!$A:$A,"OTP")+-SUMIFS('Industrial Summary'!$G:$G,'Industrial Summary'!$F:$F,J$17,'Industrial Summary'!$D:$D,"ICIRSTM",'Industrial Summary'!$A:$A,"OTP"))/SUMIFS('Industrial Summary'!$G:$G,'Industrial Summary'!$F:$F,J$17,'Industrial Summary'!$D:$D,$E138)),0))*0.98</f>
        <v>-0.96199769334219409</v>
      </c>
      <c r="K138" s="6">
        <f>(IF(SUMIFS('Industrial Summary'!$G:$G,'Industrial Summary'!$F:$F,K$17,'Industrial Summary'!$D:$D,$E138)&gt;0,((-SUMIFS('Industrial Summary'!$G:$G,'Industrial Summary'!$F:$F,K$17,'Industrial Summary'!$D:$D,$E138,'Industrial Summary'!$A:$A,"OTP")+-SUMIFS('Industrial Summary'!$G:$G,'Industrial Summary'!$F:$F,K$17,'Industrial Summary'!$D:$D,"ICIRSTM",'Industrial Summary'!$A:$A,"OTP"))/SUMIFS('Industrial Summary'!$G:$G,'Industrial Summary'!$F:$F,K$17,'Industrial Summary'!$D:$D,$E138)),0))*0.98</f>
        <v>-0.96199769334219409</v>
      </c>
      <c r="L138" s="6">
        <f>(IF(SUMIFS('Industrial Summary'!$G:$G,'Industrial Summary'!$F:$F,L$17,'Industrial Summary'!$D:$D,$E138)&gt;0,((-SUMIFS('Industrial Summary'!$G:$G,'Industrial Summary'!$F:$F,L$17,'Industrial Summary'!$D:$D,$E138,'Industrial Summary'!$A:$A,"OTP")+-SUMIFS('Industrial Summary'!$G:$G,'Industrial Summary'!$F:$F,L$17,'Industrial Summary'!$D:$D,"ICIRSTM",'Industrial Summary'!$A:$A,"OTP"))/SUMIFS('Industrial Summary'!$G:$G,'Industrial Summary'!$F:$F,L$17,'Industrial Summary'!$D:$D,$E138)),0))*0.98</f>
        <v>-0.90382383546200373</v>
      </c>
      <c r="M138" s="6">
        <f>(IF(SUMIFS('Industrial Summary'!$G:$G,'Industrial Summary'!$F:$F,M$17,'Industrial Summary'!$D:$D,$E138)&gt;0,((-SUMIFS('Industrial Summary'!$G:$G,'Industrial Summary'!$F:$F,M$17,'Industrial Summary'!$D:$D,$E138,'Industrial Summary'!$A:$A,"OTP")+-SUMIFS('Industrial Summary'!$G:$G,'Industrial Summary'!$F:$F,M$17,'Industrial Summary'!$D:$D,"ICIRSTM",'Industrial Summary'!$A:$A,"OTP"))/SUMIFS('Industrial Summary'!$G:$G,'Industrial Summary'!$F:$F,M$17,'Industrial Summary'!$D:$D,$E138)),0))*0.98</f>
        <v>-0.90307175140988194</v>
      </c>
      <c r="N138" s="6">
        <f>(IF(SUMIFS('Industrial Summary'!$G:$G,'Industrial Summary'!$F:$F,N$17,'Industrial Summary'!$D:$D,$E138)&gt;0,((-SUMIFS('Industrial Summary'!$G:$G,'Industrial Summary'!$F:$F,N$17,'Industrial Summary'!$D:$D,$E138,'Industrial Summary'!$A:$A,"OTP")+-SUMIFS('Industrial Summary'!$G:$G,'Industrial Summary'!$F:$F,N$17,'Industrial Summary'!$D:$D,"ICIRSTM",'Industrial Summary'!$A:$A,"OTP"))/SUMIFS('Industrial Summary'!$G:$G,'Industrial Summary'!$F:$F,N$17,'Industrial Summary'!$D:$D,$E138)),0))*0.98</f>
        <v>-0.90386377564758857</v>
      </c>
      <c r="O138" s="6">
        <f>(IF(SUMIFS('Industrial Summary'!$G:$G,'Industrial Summary'!$F:$F,O$17,'Industrial Summary'!$D:$D,$E138)&gt;0,((-SUMIFS('Industrial Summary'!$G:$G,'Industrial Summary'!$F:$F,O$17,'Industrial Summary'!$D:$D,$E138,'Industrial Summary'!$A:$A,"OTP")+-SUMIFS('Industrial Summary'!$G:$G,'Industrial Summary'!$F:$F,O$17,'Industrial Summary'!$D:$D,"ICIRSTM",'Industrial Summary'!$A:$A,"OTP"))/SUMIFS('Industrial Summary'!$G:$G,'Industrial Summary'!$F:$F,O$17,'Industrial Summary'!$D:$D,$E138)),0))*0.98</f>
        <v>-0.87963862741114163</v>
      </c>
      <c r="P138" s="6">
        <f>(IF(SUMIFS('Industrial Summary'!$G:$G,'Industrial Summary'!$F:$F,P$17,'Industrial Summary'!$D:$D,$E138)&gt;0,((-SUMIFS('Industrial Summary'!$G:$G,'Industrial Summary'!$F:$F,P$17,'Industrial Summary'!$D:$D,$E138,'Industrial Summary'!$A:$A,"OTP")+-SUMIFS('Industrial Summary'!$G:$G,'Industrial Summary'!$F:$F,P$17,'Industrial Summary'!$D:$D,"ICIRSTM",'Industrial Summary'!$A:$A,"OTP"))/SUMIFS('Industrial Summary'!$G:$G,'Industrial Summary'!$F:$F,P$17,'Industrial Summary'!$D:$D,$E138)),0))*0.98</f>
        <v>-0.88315055923981156</v>
      </c>
      <c r="Q138" s="5">
        <v>0</v>
      </c>
      <c r="R138" s="5">
        <v>15</v>
      </c>
      <c r="S138" s="5" t="str">
        <f t="shared" si="18"/>
        <v>UC_ICIOH_OTP</v>
      </c>
      <c r="V138" s="4" t="str">
        <f t="shared" si="19"/>
        <v>S_ICIOHOTP</v>
      </c>
      <c r="W138" s="4" t="str">
        <f t="shared" si="20"/>
        <v>ICIOH_OTP</v>
      </c>
      <c r="X138" s="4" t="str">
        <f t="shared" si="21"/>
        <v>ICIOHT</v>
      </c>
      <c r="Y138" s="5" t="str">
        <f t="shared" si="22"/>
        <v>LO</v>
      </c>
      <c r="Z138" s="5">
        <v>1</v>
      </c>
      <c r="AA138" s="6">
        <f t="shared" si="23"/>
        <v>-0.89356674977985062</v>
      </c>
      <c r="AB138" s="6">
        <f t="shared" si="24"/>
        <v>-0.89356674977985073</v>
      </c>
      <c r="AC138" s="6">
        <f t="shared" si="25"/>
        <v>-0.96199769334219409</v>
      </c>
      <c r="AD138" s="6">
        <f t="shared" si="26"/>
        <v>-0.96199769334219409</v>
      </c>
      <c r="AE138" s="6">
        <f t="shared" si="27"/>
        <v>-0.90382383546200373</v>
      </c>
      <c r="AF138" s="6">
        <f t="shared" si="28"/>
        <v>-0.90307175140988194</v>
      </c>
      <c r="AG138" s="6">
        <f t="shared" si="29"/>
        <v>-0.90386377564758857</v>
      </c>
      <c r="AH138" s="6">
        <f t="shared" si="30"/>
        <v>-0.87963862741114163</v>
      </c>
      <c r="AI138" s="6">
        <f t="shared" si="31"/>
        <v>-0.88315055923981156</v>
      </c>
      <c r="AL138" s="5" t="str">
        <f t="shared" si="32"/>
        <v>OTP</v>
      </c>
      <c r="AM138" s="5">
        <f>1</f>
        <v>1</v>
      </c>
    </row>
    <row r="139" spans="1:39" s="5" customFormat="1" x14ac:dyDescent="0.3">
      <c r="C139" s="4" t="s">
        <v>285</v>
      </c>
      <c r="D139" s="5" t="s">
        <v>286</v>
      </c>
      <c r="E139" s="5" t="s">
        <v>714</v>
      </c>
      <c r="F139" s="5" t="s">
        <v>1588</v>
      </c>
      <c r="G139" s="5">
        <v>1</v>
      </c>
      <c r="H139" s="6">
        <f>IF(SUMIFS('Industrial Summary'!$G:$G,'Industrial Summary'!$F:$F,H$17,'Industrial Summary'!$D:$D,$E139)&gt;0,(-SUMIFS('Industrial Summary'!$G:$G,'Industrial Summary'!$F:$F,H$17,'Industrial Summary'!$D:$D,$E139,'Industrial Summary'!$A:$A,"NGA")/SUMIFS('Industrial Summary'!$G:$G,'Industrial Summary'!$F:$F,H$17,'Industrial Summary'!$D:$D,$E139)),0)*0.98</f>
        <v>0</v>
      </c>
      <c r="I139" s="6">
        <f>IF(SUMIFS('Industrial Summary'!$G:$G,'Industrial Summary'!$F:$F,I$17,'Industrial Summary'!$D:$D,$E139)&gt;0,(-SUMIFS('Industrial Summary'!$G:$G,'Industrial Summary'!$F:$F,I$17,'Industrial Summary'!$D:$D,$E139,'Industrial Summary'!$A:$A,"NGA")/SUMIFS('Industrial Summary'!$G:$G,'Industrial Summary'!$F:$F,I$17,'Industrial Summary'!$D:$D,$E139)),0)*0.98</f>
        <v>0</v>
      </c>
      <c r="J139" s="6">
        <f>IF(SUMIFS('Industrial Summary'!$G:$G,'Industrial Summary'!$F:$F,J$17,'Industrial Summary'!$D:$D,$E139)&gt;0,(-SUMIFS('Industrial Summary'!$G:$G,'Industrial Summary'!$F:$F,J$17,'Industrial Summary'!$D:$D,$E139,'Industrial Summary'!$A:$A,"NGA")/SUMIFS('Industrial Summary'!$G:$G,'Industrial Summary'!$F:$F,J$17,'Industrial Summary'!$D:$D,$E139)),0)*0.98</f>
        <v>0</v>
      </c>
      <c r="K139" s="6">
        <f>IF(SUMIFS('Industrial Summary'!$G:$G,'Industrial Summary'!$F:$F,K$17,'Industrial Summary'!$D:$D,$E139)&gt;0,(-SUMIFS('Industrial Summary'!$G:$G,'Industrial Summary'!$F:$F,K$17,'Industrial Summary'!$D:$D,$E139,'Industrial Summary'!$A:$A,"NGA")/SUMIFS('Industrial Summary'!$G:$G,'Industrial Summary'!$F:$F,K$17,'Industrial Summary'!$D:$D,$E139)),0)*0.98</f>
        <v>0</v>
      </c>
      <c r="L139" s="6">
        <f>IF(SUMIFS('Industrial Summary'!$G:$G,'Industrial Summary'!$F:$F,L$17,'Industrial Summary'!$D:$D,$E139)&gt;0,(-SUMIFS('Industrial Summary'!$G:$G,'Industrial Summary'!$F:$F,L$17,'Industrial Summary'!$D:$D,$E139,'Industrial Summary'!$A:$A,"NGA")/SUMIFS('Industrial Summary'!$G:$G,'Industrial Summary'!$F:$F,L$17,'Industrial Summary'!$D:$D,$E139)),0)*0.98</f>
        <v>-2.1095363242570473E-2</v>
      </c>
      <c r="M139" s="6">
        <f>IF(SUMIFS('Industrial Summary'!$G:$G,'Industrial Summary'!$F:$F,M$17,'Industrial Summary'!$D:$D,$E139)&gt;0,(-SUMIFS('Industrial Summary'!$G:$G,'Industrial Summary'!$F:$F,M$17,'Industrial Summary'!$D:$D,$E139,'Industrial Summary'!$A:$A,"NGA")/SUMIFS('Industrial Summary'!$G:$G,'Industrial Summary'!$F:$F,M$17,'Industrial Summary'!$D:$D,$E139)),0)*0.98</f>
        <v>-2.6369606464814753E-2</v>
      </c>
      <c r="N139" s="6">
        <f>IF(SUMIFS('Industrial Summary'!$G:$G,'Industrial Summary'!$F:$F,N$17,'Industrial Summary'!$D:$D,$E139)&gt;0,(-SUMIFS('Industrial Summary'!$G:$G,'Industrial Summary'!$F:$F,N$17,'Industrial Summary'!$D:$D,$E139,'Industrial Summary'!$A:$A,"NGA")/SUMIFS('Industrial Summary'!$G:$G,'Industrial Summary'!$F:$F,N$17,'Industrial Summary'!$D:$D,$E139)),0)*0.98</f>
        <v>-2.1093899137611019E-2</v>
      </c>
      <c r="O139" s="6">
        <f>IF(SUMIFS('Industrial Summary'!$G:$G,'Industrial Summary'!$F:$F,O$17,'Industrial Summary'!$D:$D,$E139)&gt;0,(-SUMIFS('Industrial Summary'!$G:$G,'Industrial Summary'!$F:$F,O$17,'Industrial Summary'!$D:$D,$E139,'Industrial Summary'!$A:$A,"NGA")/SUMIFS('Industrial Summary'!$G:$G,'Industrial Summary'!$F:$F,O$17,'Industrial Summary'!$D:$D,$E139)),0)*0.98</f>
        <v>0</v>
      </c>
      <c r="P139" s="6">
        <f>IF(SUMIFS('Industrial Summary'!$G:$G,'Industrial Summary'!$F:$F,P$17,'Industrial Summary'!$D:$D,$E139)&gt;0,(-SUMIFS('Industrial Summary'!$G:$G,'Industrial Summary'!$F:$F,P$17,'Industrial Summary'!$D:$D,$E139,'Industrial Summary'!$A:$A,"NGA")/SUMIFS('Industrial Summary'!$G:$G,'Industrial Summary'!$F:$F,P$17,'Industrial Summary'!$D:$D,$E139)),0)*0.98</f>
        <v>0</v>
      </c>
      <c r="Q139" s="5">
        <v>0</v>
      </c>
      <c r="R139" s="5">
        <v>15</v>
      </c>
      <c r="S139" s="5" t="str">
        <f t="shared" si="18"/>
        <v>UC_ICPFS_NGA</v>
      </c>
      <c r="V139" s="4" t="str">
        <f t="shared" si="19"/>
        <v>S_ICPFSNGA</v>
      </c>
      <c r="W139" s="4" t="str">
        <f t="shared" si="20"/>
        <v>ICPFS_NGA</v>
      </c>
      <c r="X139" s="4" t="str">
        <f t="shared" si="21"/>
        <v>ICPFEED</v>
      </c>
      <c r="Y139" s="5" t="str">
        <f t="shared" si="22"/>
        <v>LO</v>
      </c>
      <c r="Z139" s="5">
        <v>1</v>
      </c>
      <c r="AA139" s="6">
        <f t="shared" si="23"/>
        <v>0</v>
      </c>
      <c r="AB139" s="6">
        <f t="shared" si="24"/>
        <v>0</v>
      </c>
      <c r="AC139" s="6">
        <f t="shared" si="25"/>
        <v>0</v>
      </c>
      <c r="AD139" s="6">
        <f t="shared" si="26"/>
        <v>0</v>
      </c>
      <c r="AE139" s="6">
        <f t="shared" si="27"/>
        <v>-1.8985826918313426E-2</v>
      </c>
      <c r="AF139" s="6">
        <f t="shared" si="28"/>
        <v>-2.373264581833328E-2</v>
      </c>
      <c r="AG139" s="6">
        <f t="shared" si="29"/>
        <v>-1.8984509223849918E-2</v>
      </c>
      <c r="AH139" s="6">
        <f t="shared" si="30"/>
        <v>0</v>
      </c>
      <c r="AI139" s="6">
        <f t="shared" si="31"/>
        <v>0</v>
      </c>
      <c r="AL139" s="5" t="str">
        <f t="shared" si="32"/>
        <v>NGA</v>
      </c>
      <c r="AM139" s="5">
        <f>Y7</f>
        <v>0.9</v>
      </c>
    </row>
    <row r="140" spans="1:39" s="5" customFormat="1" x14ac:dyDescent="0.3">
      <c r="C140" s="4" t="s">
        <v>287</v>
      </c>
      <c r="D140" s="5" t="s">
        <v>288</v>
      </c>
      <c r="E140" s="5" t="s">
        <v>714</v>
      </c>
      <c r="F140" s="5" t="s">
        <v>1588</v>
      </c>
      <c r="G140" s="5">
        <v>1</v>
      </c>
      <c r="H140" s="6">
        <f>IF(SUMIFS('Industrial Summary'!$G:$G,'Industrial Summary'!$F:$F,H$17,'Industrial Summary'!$D:$D,$E140)&gt;0,(-SUMIFS('Industrial Summary'!$G:$G,'Industrial Summary'!$F:$F,H$17,'Industrial Summary'!$D:$D,$E140,'Industrial Summary'!$A:$A,"LPG")/SUMIFS('Industrial Summary'!$G:$G,'Industrial Summary'!$F:$F,H$17,'Industrial Summary'!$D:$D,$E140)),0)*0.98</f>
        <v>-0.64080393366711252</v>
      </c>
      <c r="I140" s="6">
        <f>IF(SUMIFS('Industrial Summary'!$G:$G,'Industrial Summary'!$F:$F,I$17,'Industrial Summary'!$D:$D,$E140)&gt;0,(-SUMIFS('Industrial Summary'!$G:$G,'Industrial Summary'!$F:$F,I$17,'Industrial Summary'!$D:$D,$E140,'Industrial Summary'!$A:$A,"LPG")/SUMIFS('Industrial Summary'!$G:$G,'Industrial Summary'!$F:$F,I$17,'Industrial Summary'!$D:$D,$E140)),0)*0.98</f>
        <v>-0.64080393366711341</v>
      </c>
      <c r="J140" s="6">
        <f>IF(SUMIFS('Industrial Summary'!$G:$G,'Industrial Summary'!$F:$F,J$17,'Industrial Summary'!$D:$D,$E140)&gt;0,(-SUMIFS('Industrial Summary'!$G:$G,'Industrial Summary'!$F:$F,J$17,'Industrial Summary'!$D:$D,$E140,'Industrial Summary'!$A:$A,"LPG")/SUMIFS('Industrial Summary'!$G:$G,'Industrial Summary'!$F:$F,J$17,'Industrial Summary'!$D:$D,$E140)),0)*0.98</f>
        <v>-0.70864314693369057</v>
      </c>
      <c r="K140" s="6">
        <f>IF(SUMIFS('Industrial Summary'!$G:$G,'Industrial Summary'!$F:$F,K$17,'Industrial Summary'!$D:$D,$E140)&gt;0,(-SUMIFS('Industrial Summary'!$G:$G,'Industrial Summary'!$F:$F,K$17,'Industrial Summary'!$D:$D,$E140,'Industrial Summary'!$A:$A,"LPG")/SUMIFS('Industrial Summary'!$G:$G,'Industrial Summary'!$F:$F,K$17,'Industrial Summary'!$D:$D,$E140)),0)*0.98</f>
        <v>-0.70864314693369035</v>
      </c>
      <c r="L140" s="6">
        <f>IF(SUMIFS('Industrial Summary'!$G:$G,'Industrial Summary'!$F:$F,L$17,'Industrial Summary'!$D:$D,$E140)&gt;0,(-SUMIFS('Industrial Summary'!$G:$G,'Industrial Summary'!$F:$F,L$17,'Industrial Summary'!$D:$D,$E140,'Industrial Summary'!$A:$A,"LPG")/SUMIFS('Industrial Summary'!$G:$G,'Industrial Summary'!$F:$F,L$17,'Industrial Summary'!$D:$D,$E140)),0)*0.98</f>
        <v>-0.68935609496954964</v>
      </c>
      <c r="M140" s="6">
        <f>IF(SUMIFS('Industrial Summary'!$G:$G,'Industrial Summary'!$F:$F,M$17,'Industrial Summary'!$D:$D,$E140)&gt;0,(-SUMIFS('Industrial Summary'!$G:$G,'Industrial Summary'!$F:$F,M$17,'Industrial Summary'!$D:$D,$E140,'Industrial Summary'!$A:$A,"LPG")/SUMIFS('Industrial Summary'!$G:$G,'Industrial Summary'!$F:$F,M$17,'Industrial Summary'!$D:$D,$E140)),0)*0.98</f>
        <v>-0.61668957443768246</v>
      </c>
      <c r="N140" s="6">
        <f>IF(SUMIFS('Industrial Summary'!$G:$G,'Industrial Summary'!$F:$F,N$17,'Industrial Summary'!$D:$D,$E140)&gt;0,(-SUMIFS('Industrial Summary'!$G:$G,'Industrial Summary'!$F:$F,N$17,'Industrial Summary'!$D:$D,$E140,'Industrial Summary'!$A:$A,"LPG")/SUMIFS('Industrial Summary'!$G:$G,'Industrial Summary'!$F:$F,N$17,'Industrial Summary'!$D:$D,$E140)),0)*0.98</f>
        <v>-0.68937626685177367</v>
      </c>
      <c r="O140" s="6">
        <f>IF(SUMIFS('Industrial Summary'!$G:$G,'Industrial Summary'!$F:$F,O$17,'Industrial Summary'!$D:$D,$E140)&gt;0,(-SUMIFS('Industrial Summary'!$G:$G,'Industrial Summary'!$F:$F,O$17,'Industrial Summary'!$D:$D,$E140,'Industrial Summary'!$A:$A,"LPG")/SUMIFS('Industrial Summary'!$G:$G,'Industrial Summary'!$F:$F,O$17,'Industrial Summary'!$D:$D,$E140)),0)*0.98</f>
        <v>0</v>
      </c>
      <c r="P140" s="6">
        <f>IF(SUMIFS('Industrial Summary'!$G:$G,'Industrial Summary'!$F:$F,P$17,'Industrial Summary'!$D:$D,$E140)&gt;0,(-SUMIFS('Industrial Summary'!$G:$G,'Industrial Summary'!$F:$F,P$17,'Industrial Summary'!$D:$D,$E140,'Industrial Summary'!$A:$A,"LPG")/SUMIFS('Industrial Summary'!$G:$G,'Industrial Summary'!$F:$F,P$17,'Industrial Summary'!$D:$D,$E140)),0)*0.98</f>
        <v>0</v>
      </c>
      <c r="Q140" s="5">
        <v>0</v>
      </c>
      <c r="R140" s="5">
        <v>15</v>
      </c>
      <c r="S140" s="5" t="str">
        <f t="shared" si="18"/>
        <v>UC_ICPFS_LPG</v>
      </c>
      <c r="V140" s="4" t="str">
        <f t="shared" si="19"/>
        <v>S_ICPFSLPG</v>
      </c>
      <c r="W140" s="4" t="str">
        <f t="shared" si="20"/>
        <v>ICPFS_LPG</v>
      </c>
      <c r="X140" s="4" t="str">
        <f t="shared" si="21"/>
        <v>ICPFEED</v>
      </c>
      <c r="Y140" s="5" t="str">
        <f t="shared" si="22"/>
        <v>LO</v>
      </c>
      <c r="Z140" s="5">
        <v>1</v>
      </c>
      <c r="AA140" s="6">
        <f t="shared" si="23"/>
        <v>-0.64080393366711252</v>
      </c>
      <c r="AB140" s="6">
        <f t="shared" si="24"/>
        <v>-0.64080393366711341</v>
      </c>
      <c r="AC140" s="6">
        <f t="shared" si="25"/>
        <v>-0.70864314693369057</v>
      </c>
      <c r="AD140" s="6">
        <f t="shared" si="26"/>
        <v>-0.70864314693369035</v>
      </c>
      <c r="AE140" s="6">
        <f t="shared" si="27"/>
        <v>-0.68935609496954964</v>
      </c>
      <c r="AF140" s="6">
        <f t="shared" si="28"/>
        <v>-0.61668957443768246</v>
      </c>
      <c r="AG140" s="6">
        <f t="shared" si="29"/>
        <v>-0.68937626685177367</v>
      </c>
      <c r="AH140" s="6">
        <f t="shared" si="30"/>
        <v>0</v>
      </c>
      <c r="AI140" s="6">
        <f t="shared" si="31"/>
        <v>0</v>
      </c>
      <c r="AL140" s="5" t="str">
        <f t="shared" si="32"/>
        <v>LPG</v>
      </c>
      <c r="AM140" s="5">
        <f>1</f>
        <v>1</v>
      </c>
    </row>
    <row r="141" spans="1:39" s="5" customFormat="1" x14ac:dyDescent="0.3">
      <c r="A141" s="8"/>
      <c r="C141" s="4" t="s">
        <v>289</v>
      </c>
      <c r="D141" s="5" t="s">
        <v>290</v>
      </c>
      <c r="E141" s="5" t="s">
        <v>714</v>
      </c>
      <c r="F141" s="5" t="s">
        <v>1588</v>
      </c>
      <c r="G141" s="5">
        <v>1</v>
      </c>
      <c r="H141" s="6">
        <f>IF(SUMIFS('Industrial Summary'!$G:$G,'Industrial Summary'!$F:$F,H$17,'Industrial Summary'!$D:$D,$E141)&gt;0,(-SUMIFS('Industrial Summary'!$G:$G,'Industrial Summary'!$F:$F,H$17,'Industrial Summary'!$D:$D,$E141,'Industrial Summary'!$A:$A,"PFS")/SUMIFS('Industrial Summary'!$G:$G,'Industrial Summary'!$F:$F,H$17,'Industrial Summary'!$D:$D,$E141)),0)*0.98</f>
        <v>-0.33919606633288746</v>
      </c>
      <c r="I141" s="6">
        <f>IF(SUMIFS('Industrial Summary'!$G:$G,'Industrial Summary'!$F:$F,I$17,'Industrial Summary'!$D:$D,$E141)&gt;0,(-SUMIFS('Industrial Summary'!$G:$G,'Industrial Summary'!$F:$F,I$17,'Industrial Summary'!$D:$D,$E141,'Industrial Summary'!$A:$A,"PFS")/SUMIFS('Industrial Summary'!$G:$G,'Industrial Summary'!$F:$F,I$17,'Industrial Summary'!$D:$D,$E141)),0)*0.98</f>
        <v>-0.33919606633288663</v>
      </c>
      <c r="J141" s="6">
        <f>IF(SUMIFS('Industrial Summary'!$G:$G,'Industrial Summary'!$F:$F,J$17,'Industrial Summary'!$D:$D,$E141)&gt;0,(-SUMIFS('Industrial Summary'!$G:$G,'Industrial Summary'!$F:$F,J$17,'Industrial Summary'!$D:$D,$E141,'Industrial Summary'!$A:$A,"PFS")/SUMIFS('Industrial Summary'!$G:$G,'Industrial Summary'!$F:$F,J$17,'Industrial Summary'!$D:$D,$E141)),0)*0.98</f>
        <v>-0.27135685306630936</v>
      </c>
      <c r="K141" s="6">
        <f>IF(SUMIFS('Industrial Summary'!$G:$G,'Industrial Summary'!$F:$F,K$17,'Industrial Summary'!$D:$D,$E141)&gt;0,(-SUMIFS('Industrial Summary'!$G:$G,'Industrial Summary'!$F:$F,K$17,'Industrial Summary'!$D:$D,$E141,'Industrial Summary'!$A:$A,"PFS")/SUMIFS('Industrial Summary'!$G:$G,'Industrial Summary'!$F:$F,K$17,'Industrial Summary'!$D:$D,$E141)),0)*0.98</f>
        <v>-0.27135685306630969</v>
      </c>
      <c r="L141" s="6">
        <f>IF(SUMIFS('Industrial Summary'!$G:$G,'Industrial Summary'!$F:$F,L$17,'Industrial Summary'!$D:$D,$E141)&gt;0,(-SUMIFS('Industrial Summary'!$G:$G,'Industrial Summary'!$F:$F,L$17,'Industrial Summary'!$D:$D,$E141,'Industrial Summary'!$A:$A,"PFS")/SUMIFS('Industrial Summary'!$G:$G,'Industrial Summary'!$F:$F,L$17,'Industrial Summary'!$D:$D,$E141)),0)*0.98</f>
        <v>-0.26954854178787979</v>
      </c>
      <c r="M141" s="6">
        <f>IF(SUMIFS('Industrial Summary'!$G:$G,'Industrial Summary'!$F:$F,M$17,'Industrial Summary'!$D:$D,$E141)&gt;0,(-SUMIFS('Industrial Summary'!$G:$G,'Industrial Summary'!$F:$F,M$17,'Industrial Summary'!$D:$D,$E141,'Industrial Summary'!$A:$A,"PFS")/SUMIFS('Industrial Summary'!$G:$G,'Industrial Summary'!$F:$F,M$17,'Industrial Summary'!$D:$D,$E141)),0)*0.98</f>
        <v>-0.3369408190975029</v>
      </c>
      <c r="N141" s="6">
        <f>IF(SUMIFS('Industrial Summary'!$G:$G,'Industrial Summary'!$F:$F,N$17,'Industrial Summary'!$D:$D,$E141)&gt;0,(-SUMIFS('Industrial Summary'!$G:$G,'Industrial Summary'!$F:$F,N$17,'Industrial Summary'!$D:$D,$E141,'Industrial Summary'!$A:$A,"PFS")/SUMIFS('Industrial Summary'!$G:$G,'Industrial Summary'!$F:$F,N$17,'Industrial Summary'!$D:$D,$E141)),0)*0.98</f>
        <v>-0.26952983401061531</v>
      </c>
      <c r="O141" s="6">
        <f>IF(SUMIFS('Industrial Summary'!$G:$G,'Industrial Summary'!$F:$F,O$17,'Industrial Summary'!$D:$D,$E141)&gt;0,(-SUMIFS('Industrial Summary'!$G:$G,'Industrial Summary'!$F:$F,O$17,'Industrial Summary'!$D:$D,$E141,'Industrial Summary'!$A:$A,"PFS")/SUMIFS('Industrial Summary'!$G:$G,'Industrial Summary'!$F:$F,O$17,'Industrial Summary'!$D:$D,$E141)),0)*0.98</f>
        <v>0</v>
      </c>
      <c r="P141" s="6">
        <f>IF(SUMIFS('Industrial Summary'!$G:$G,'Industrial Summary'!$F:$F,P$17,'Industrial Summary'!$D:$D,$E141)&gt;0,(-SUMIFS('Industrial Summary'!$G:$G,'Industrial Summary'!$F:$F,P$17,'Industrial Summary'!$D:$D,$E141,'Industrial Summary'!$A:$A,"PFS")/SUMIFS('Industrial Summary'!$G:$G,'Industrial Summary'!$F:$F,P$17,'Industrial Summary'!$D:$D,$E141)),0)*0.98</f>
        <v>0</v>
      </c>
      <c r="Q141" s="5">
        <v>0</v>
      </c>
      <c r="R141" s="5">
        <v>15</v>
      </c>
      <c r="S141" s="5" t="str">
        <f t="shared" si="18"/>
        <v>UC_ICPFS_PFS</v>
      </c>
      <c r="V141" s="4" t="str">
        <f t="shared" si="19"/>
        <v>S_ICPFSPFS</v>
      </c>
      <c r="W141" s="4" t="str">
        <f t="shared" si="20"/>
        <v>ICPFS_PFS</v>
      </c>
      <c r="X141" s="4" t="str">
        <f t="shared" si="21"/>
        <v>ICPFEED</v>
      </c>
      <c r="Y141" s="5" t="str">
        <f t="shared" si="22"/>
        <v>LO</v>
      </c>
      <c r="Z141" s="5">
        <v>1</v>
      </c>
      <c r="AA141" s="6">
        <f t="shared" si="23"/>
        <v>-0.33919606633288746</v>
      </c>
      <c r="AB141" s="6">
        <f t="shared" si="24"/>
        <v>-0.33919606633288663</v>
      </c>
      <c r="AC141" s="6">
        <f t="shared" si="25"/>
        <v>-0.27135685306630936</v>
      </c>
      <c r="AD141" s="6">
        <f t="shared" si="26"/>
        <v>-0.27135685306630969</v>
      </c>
      <c r="AE141" s="6">
        <f t="shared" si="27"/>
        <v>-0.26954854178787979</v>
      </c>
      <c r="AF141" s="6">
        <f t="shared" si="28"/>
        <v>-0.3369408190975029</v>
      </c>
      <c r="AG141" s="6">
        <f t="shared" si="29"/>
        <v>-0.26952983401061531</v>
      </c>
      <c r="AH141" s="6">
        <f t="shared" si="30"/>
        <v>0</v>
      </c>
      <c r="AI141" s="6">
        <f t="shared" si="31"/>
        <v>0</v>
      </c>
      <c r="AL141" s="5" t="str">
        <f t="shared" si="32"/>
        <v>PFS</v>
      </c>
      <c r="AM141" s="5">
        <f>1</f>
        <v>1</v>
      </c>
    </row>
    <row r="142" spans="1:39" s="5" customFormat="1" x14ac:dyDescent="0.3">
      <c r="C142" s="4" t="s">
        <v>291</v>
      </c>
      <c r="D142" s="5" t="s">
        <v>292</v>
      </c>
      <c r="E142" s="5" t="s">
        <v>775</v>
      </c>
      <c r="F142" s="5" t="s">
        <v>1588</v>
      </c>
      <c r="G142" s="5">
        <v>1</v>
      </c>
      <c r="H142" s="6">
        <f>(IF(SUMIFS('Industrial Summary'!$G:$G,'Industrial Summary'!$F:$F,H$17,'Industrial Summary'!$D:$D,$E142)&gt;0,((-SUMIFS('Industrial Summary'!$G:$G,'Industrial Summary'!$F:$F,H$17,'Industrial Summary'!$D:$D,$E142,'Industrial Summary'!$A:$A,"ELC")+-SUMIFS('Industrial Summary'!$G:$G,'Industrial Summary'!$F:$F,H$17,'Industrial Summary'!$D:$D,"ICPFSTM",'Industrial Summary'!$A:$A,"ELC"))/SUMIFS('Industrial Summary'!$G:$G,'Industrial Summary'!$F:$F,H$17,'Industrial Summary'!$D:$D,$E142)),0))*0.98</f>
        <v>-4.5935447526160231E-3</v>
      </c>
      <c r="I142" s="6">
        <f>(IF(SUMIFS('Industrial Summary'!$G:$G,'Industrial Summary'!$F:$F,I$17,'Industrial Summary'!$D:$D,$E142)&gt;0,((-SUMIFS('Industrial Summary'!$G:$G,'Industrial Summary'!$F:$F,I$17,'Industrial Summary'!$D:$D,$E142,'Industrial Summary'!$A:$A,"ELC")+-SUMIFS('Industrial Summary'!$G:$G,'Industrial Summary'!$F:$F,I$17,'Industrial Summary'!$D:$D,"ICPFSTM",'Industrial Summary'!$A:$A,"ELC"))/SUMIFS('Industrial Summary'!$G:$G,'Industrial Summary'!$F:$F,I$17,'Industrial Summary'!$D:$D,$E142)),0))*0.98</f>
        <v>-7.2548318979781326E-3</v>
      </c>
      <c r="J142" s="6">
        <f>(IF(SUMIFS('Industrial Summary'!$G:$G,'Industrial Summary'!$F:$F,J$17,'Industrial Summary'!$D:$D,$E142)&gt;0,((-SUMIFS('Industrial Summary'!$G:$G,'Industrial Summary'!$F:$F,J$17,'Industrial Summary'!$D:$D,$E142,'Industrial Summary'!$A:$A,"ELC")+-SUMIFS('Industrial Summary'!$G:$G,'Industrial Summary'!$F:$F,J$17,'Industrial Summary'!$D:$D,"ICPFSTM",'Industrial Summary'!$A:$A,"ELC"))/SUMIFS('Industrial Summary'!$G:$G,'Industrial Summary'!$F:$F,J$17,'Industrial Summary'!$D:$D,$E142)),0))*0.98</f>
        <v>-7.9418623444313906E-3</v>
      </c>
      <c r="K142" s="6">
        <f>(IF(SUMIFS('Industrial Summary'!$G:$G,'Industrial Summary'!$F:$F,K$17,'Industrial Summary'!$D:$D,$E142)&gt;0,((-SUMIFS('Industrial Summary'!$G:$G,'Industrial Summary'!$F:$F,K$17,'Industrial Summary'!$D:$D,$E142,'Industrial Summary'!$A:$A,"ELC")+-SUMIFS('Industrial Summary'!$G:$G,'Industrial Summary'!$F:$F,K$17,'Industrial Summary'!$D:$D,"ICPFSTM",'Industrial Summary'!$A:$A,"ELC"))/SUMIFS('Industrial Summary'!$G:$G,'Industrial Summary'!$F:$F,K$17,'Industrial Summary'!$D:$D,$E142)),0))*0.98</f>
        <v>-0.98</v>
      </c>
      <c r="L142" s="6">
        <f>(IF(SUMIFS('Industrial Summary'!$G:$G,'Industrial Summary'!$F:$F,L$17,'Industrial Summary'!$D:$D,$E142)&gt;0,((-SUMIFS('Industrial Summary'!$G:$G,'Industrial Summary'!$F:$F,L$17,'Industrial Summary'!$D:$D,$E142,'Industrial Summary'!$A:$A,"ELC")+-SUMIFS('Industrial Summary'!$G:$G,'Industrial Summary'!$F:$F,L$17,'Industrial Summary'!$D:$D,"ICPFSTM",'Industrial Summary'!$A:$A,"ELC"))/SUMIFS('Industrial Summary'!$G:$G,'Industrial Summary'!$F:$F,L$17,'Industrial Summary'!$D:$D,$E142)),0))*0.98</f>
        <v>-1.1357023196526924E-2</v>
      </c>
      <c r="M142" s="6">
        <f>(IF(SUMIFS('Industrial Summary'!$G:$G,'Industrial Summary'!$F:$F,M$17,'Industrial Summary'!$D:$D,$E142)&gt;0,((-SUMIFS('Industrial Summary'!$G:$G,'Industrial Summary'!$F:$F,M$17,'Industrial Summary'!$D:$D,$E142,'Industrial Summary'!$A:$A,"ELC")+-SUMIFS('Industrial Summary'!$G:$G,'Industrial Summary'!$F:$F,M$17,'Industrial Summary'!$D:$D,"ICPFSTM",'Industrial Summary'!$A:$A,"ELC"))/SUMIFS('Industrial Summary'!$G:$G,'Industrial Summary'!$F:$F,M$17,'Industrial Summary'!$D:$D,$E142)),0))*0.98</f>
        <v>-9.779118754122346E-3</v>
      </c>
      <c r="N142" s="6">
        <f>(IF(SUMIFS('Industrial Summary'!$G:$G,'Industrial Summary'!$F:$F,N$17,'Industrial Summary'!$D:$D,$E142)&gt;0,((-SUMIFS('Industrial Summary'!$G:$G,'Industrial Summary'!$F:$F,N$17,'Industrial Summary'!$D:$D,$E142,'Industrial Summary'!$A:$A,"ELC")+-SUMIFS('Industrial Summary'!$G:$G,'Industrial Summary'!$F:$F,N$17,'Industrial Summary'!$D:$D,"ICPFSTM",'Industrial Summary'!$A:$A,"ELC"))/SUMIFS('Industrial Summary'!$G:$G,'Industrial Summary'!$F:$F,N$17,'Industrial Summary'!$D:$D,$E142)),0))*0.98</f>
        <v>-1.182012842450106E-2</v>
      </c>
      <c r="O142" s="6">
        <f>(IF(SUMIFS('Industrial Summary'!$G:$G,'Industrial Summary'!$F:$F,O$17,'Industrial Summary'!$D:$D,$E142)&gt;0,((-SUMIFS('Industrial Summary'!$G:$G,'Industrial Summary'!$F:$F,O$17,'Industrial Summary'!$D:$D,$E142,'Industrial Summary'!$A:$A,"ELC")+-SUMIFS('Industrial Summary'!$G:$G,'Industrial Summary'!$F:$F,O$17,'Industrial Summary'!$D:$D,"ICPFSTM",'Industrial Summary'!$A:$A,"ELC"))/SUMIFS('Industrial Summary'!$G:$G,'Industrial Summary'!$F:$F,O$17,'Industrial Summary'!$D:$D,$E142)),0))*0.98</f>
        <v>-0.98</v>
      </c>
      <c r="P142" s="6">
        <f>(IF(SUMIFS('Industrial Summary'!$G:$G,'Industrial Summary'!$F:$F,P$17,'Industrial Summary'!$D:$D,$E142)&gt;0,((-SUMIFS('Industrial Summary'!$G:$G,'Industrial Summary'!$F:$F,P$17,'Industrial Summary'!$D:$D,$E142,'Industrial Summary'!$A:$A,"ELC")+-SUMIFS('Industrial Summary'!$G:$G,'Industrial Summary'!$F:$F,P$17,'Industrial Summary'!$D:$D,"ICPFSTM",'Industrial Summary'!$A:$A,"ELC"))/SUMIFS('Industrial Summary'!$G:$G,'Industrial Summary'!$F:$F,P$17,'Industrial Summary'!$D:$D,$E142)),0))*0.98</f>
        <v>-1.8357713682804828E-2</v>
      </c>
      <c r="Q142" s="5">
        <v>0</v>
      </c>
      <c r="R142" s="5">
        <v>15</v>
      </c>
      <c r="S142" s="5" t="str">
        <f t="shared" si="18"/>
        <v>UC_ICPST_ELC</v>
      </c>
      <c r="V142" s="4" t="str">
        <f t="shared" si="19"/>
        <v>S_ICPSTELC</v>
      </c>
      <c r="W142" s="4" t="str">
        <f t="shared" si="20"/>
        <v>ICPST_ELC</v>
      </c>
      <c r="X142" s="4" t="str">
        <f t="shared" si="21"/>
        <v>ICPSTM</v>
      </c>
      <c r="Y142" s="5" t="str">
        <f t="shared" si="22"/>
        <v>LO</v>
      </c>
      <c r="Z142" s="5">
        <v>1</v>
      </c>
      <c r="AA142" s="6">
        <f t="shared" si="23"/>
        <v>-4.5935447526160231E-3</v>
      </c>
      <c r="AB142" s="6">
        <f t="shared" si="24"/>
        <v>-7.2548318979781326E-3</v>
      </c>
      <c r="AC142" s="6">
        <f t="shared" si="25"/>
        <v>-7.9418623444313906E-3</v>
      </c>
      <c r="AD142" s="6">
        <f t="shared" si="26"/>
        <v>-0.98</v>
      </c>
      <c r="AE142" s="6">
        <f t="shared" si="27"/>
        <v>-1.1357023196526924E-2</v>
      </c>
      <c r="AF142" s="6">
        <f t="shared" si="28"/>
        <v>-9.779118754122346E-3</v>
      </c>
      <c r="AG142" s="6">
        <f t="shared" si="29"/>
        <v>-1.182012842450106E-2</v>
      </c>
      <c r="AH142" s="6">
        <f t="shared" si="30"/>
        <v>-0.98</v>
      </c>
      <c r="AI142" s="6">
        <f t="shared" si="31"/>
        <v>-1.8357713682804828E-2</v>
      </c>
      <c r="AL142" s="5" t="str">
        <f t="shared" si="32"/>
        <v>ELC</v>
      </c>
      <c r="AM142" s="5">
        <f>1</f>
        <v>1</v>
      </c>
    </row>
    <row r="143" spans="1:39" s="5" customFormat="1" x14ac:dyDescent="0.3">
      <c r="C143" s="4" t="s">
        <v>293</v>
      </c>
      <c r="D143" s="5" t="s">
        <v>294</v>
      </c>
      <c r="E143" s="5" t="s">
        <v>775</v>
      </c>
      <c r="F143" s="5" t="s">
        <v>1588</v>
      </c>
      <c r="G143" s="5">
        <v>1</v>
      </c>
      <c r="H143" s="6">
        <f>(IF(SUMIFS('Industrial Summary'!$G:$G,'Industrial Summary'!$F:$F,H$17,'Industrial Summary'!$D:$D,$E143)&gt;0,((-SUMIFS('Industrial Summary'!$G:$G,'Industrial Summary'!$F:$F,H$17,'Industrial Summary'!$D:$D,$E143,'Industrial Summary'!$A:$A,"NGA")+-SUMIFS('Industrial Summary'!$G:$G,'Industrial Summary'!$F:$F,H$17,'Industrial Summary'!$D:$D,"ICPFSTM",'Industrial Summary'!$A:$A,"NGA"))/SUMIFS('Industrial Summary'!$G:$G,'Industrial Summary'!$F:$F,H$17,'Industrial Summary'!$D:$D,$E143)),0))*0.98</f>
        <v>-0.95856043292486481</v>
      </c>
      <c r="I143" s="6">
        <f>(IF(SUMIFS('Industrial Summary'!$G:$G,'Industrial Summary'!$F:$F,I$17,'Industrial Summary'!$D:$D,$E143)&gt;0,((-SUMIFS('Industrial Summary'!$G:$G,'Industrial Summary'!$F:$F,I$17,'Industrial Summary'!$D:$D,$E143,'Industrial Summary'!$A:$A,"NGA")+-SUMIFS('Industrial Summary'!$G:$G,'Industrial Summary'!$F:$F,I$17,'Industrial Summary'!$D:$D,"ICPFSTM",'Industrial Summary'!$A:$A,"NGA"))/SUMIFS('Industrial Summary'!$G:$G,'Industrial Summary'!$F:$F,I$17,'Industrial Summary'!$D:$D,$E143)),0))*0.98</f>
        <v>-0.91414418022428068</v>
      </c>
      <c r="J143" s="6">
        <f>(IF(SUMIFS('Industrial Summary'!$G:$G,'Industrial Summary'!$F:$F,J$17,'Industrial Summary'!$D:$D,$E143)&gt;0,((-SUMIFS('Industrial Summary'!$G:$G,'Industrial Summary'!$F:$F,J$17,'Industrial Summary'!$D:$D,$E143,'Industrial Summary'!$A:$A,"NGA")+-SUMIFS('Industrial Summary'!$G:$G,'Industrial Summary'!$F:$F,J$17,'Industrial Summary'!$D:$D,"ICPFSTM",'Industrial Summary'!$A:$A,"NGA"))/SUMIFS('Industrial Summary'!$G:$G,'Industrial Summary'!$F:$F,J$17,'Industrial Summary'!$D:$D,$E143)),0))*0.98</f>
        <v>-0.5988771368469763</v>
      </c>
      <c r="K143" s="6">
        <f>(IF(SUMIFS('Industrial Summary'!$G:$G,'Industrial Summary'!$F:$F,K$17,'Industrial Summary'!$D:$D,$E143)&gt;0,((-SUMIFS('Industrial Summary'!$G:$G,'Industrial Summary'!$F:$F,K$17,'Industrial Summary'!$D:$D,$E143,'Industrial Summary'!$A:$A,"NGA")+-SUMIFS('Industrial Summary'!$G:$G,'Industrial Summary'!$F:$F,K$17,'Industrial Summary'!$D:$D,"ICPFSTM",'Industrial Summary'!$A:$A,"NGA"))/SUMIFS('Industrial Summary'!$G:$G,'Industrial Summary'!$F:$F,K$17,'Industrial Summary'!$D:$D,$E143)),0))*0.98</f>
        <v>0</v>
      </c>
      <c r="L143" s="6">
        <f>(IF(SUMIFS('Industrial Summary'!$G:$G,'Industrial Summary'!$F:$F,L$17,'Industrial Summary'!$D:$D,$E143)&gt;0,((-SUMIFS('Industrial Summary'!$G:$G,'Industrial Summary'!$F:$F,L$17,'Industrial Summary'!$D:$D,$E143,'Industrial Summary'!$A:$A,"NGA")+-SUMIFS('Industrial Summary'!$G:$G,'Industrial Summary'!$F:$F,L$17,'Industrial Summary'!$D:$D,"ICPFSTM",'Industrial Summary'!$A:$A,"NGA"))/SUMIFS('Industrial Summary'!$G:$G,'Industrial Summary'!$F:$F,L$17,'Industrial Summary'!$D:$D,$E143)),0))*0.98</f>
        <v>-0.75857425100591036</v>
      </c>
      <c r="M143" s="6">
        <f>(IF(SUMIFS('Industrial Summary'!$G:$G,'Industrial Summary'!$F:$F,M$17,'Industrial Summary'!$D:$D,$E143)&gt;0,((-SUMIFS('Industrial Summary'!$G:$G,'Industrial Summary'!$F:$F,M$17,'Industrial Summary'!$D:$D,$E143,'Industrial Summary'!$A:$A,"NGA")+-SUMIFS('Industrial Summary'!$G:$G,'Industrial Summary'!$F:$F,M$17,'Industrial Summary'!$D:$D,"ICPFSTM",'Industrial Summary'!$A:$A,"NGA"))/SUMIFS('Industrial Summary'!$G:$G,'Industrial Summary'!$F:$F,M$17,'Industrial Summary'!$D:$D,$E143)),0))*0.98</f>
        <v>-0.65954577904616118</v>
      </c>
      <c r="N143" s="6">
        <f>(IF(SUMIFS('Industrial Summary'!$G:$G,'Industrial Summary'!$F:$F,N$17,'Industrial Summary'!$D:$D,$E143)&gt;0,((-SUMIFS('Industrial Summary'!$G:$G,'Industrial Summary'!$F:$F,N$17,'Industrial Summary'!$D:$D,$E143,'Industrial Summary'!$A:$A,"NGA")+-SUMIFS('Industrial Summary'!$G:$G,'Industrial Summary'!$F:$F,N$17,'Industrial Summary'!$D:$D,"ICPFSTM",'Industrial Summary'!$A:$A,"NGA"))/SUMIFS('Industrial Summary'!$G:$G,'Industrial Summary'!$F:$F,N$17,'Industrial Summary'!$D:$D,$E143)),0))*0.98</f>
        <v>-0.95081861213389918</v>
      </c>
      <c r="O143" s="6">
        <f>(IF(SUMIFS('Industrial Summary'!$G:$G,'Industrial Summary'!$F:$F,O$17,'Industrial Summary'!$D:$D,$E143)&gt;0,((-SUMIFS('Industrial Summary'!$G:$G,'Industrial Summary'!$F:$F,O$17,'Industrial Summary'!$D:$D,$E143,'Industrial Summary'!$A:$A,"NGA")+-SUMIFS('Industrial Summary'!$G:$G,'Industrial Summary'!$F:$F,O$17,'Industrial Summary'!$D:$D,"ICPFSTM",'Industrial Summary'!$A:$A,"NGA"))/SUMIFS('Industrial Summary'!$G:$G,'Industrial Summary'!$F:$F,O$17,'Industrial Summary'!$D:$D,$E143)),0))*0.98</f>
        <v>0</v>
      </c>
      <c r="P143" s="6">
        <f>(IF(SUMIFS('Industrial Summary'!$G:$G,'Industrial Summary'!$F:$F,P$17,'Industrial Summary'!$D:$D,$E143)&gt;0,((-SUMIFS('Industrial Summary'!$G:$G,'Industrial Summary'!$F:$F,P$17,'Industrial Summary'!$D:$D,$E143,'Industrial Summary'!$A:$A,"NGA")+-SUMIFS('Industrial Summary'!$G:$G,'Industrial Summary'!$F:$F,P$17,'Industrial Summary'!$D:$D,"ICPFSTM",'Industrial Summary'!$A:$A,"NGA"))/SUMIFS('Industrial Summary'!$G:$G,'Industrial Summary'!$F:$F,P$17,'Industrial Summary'!$D:$D,$E143)),0))*0.98</f>
        <v>-0.71577939957100511</v>
      </c>
      <c r="Q143" s="5">
        <v>0</v>
      </c>
      <c r="R143" s="5">
        <v>15</v>
      </c>
      <c r="S143" s="5" t="str">
        <f t="shared" si="18"/>
        <v>UC_ICPST_NGA</v>
      </c>
      <c r="V143" s="4" t="str">
        <f t="shared" si="19"/>
        <v>S_ICPSTNGA</v>
      </c>
      <c r="W143" s="4" t="str">
        <f t="shared" si="20"/>
        <v>ICPST_NGA</v>
      </c>
      <c r="X143" s="4" t="str">
        <f t="shared" si="21"/>
        <v>ICPSTM</v>
      </c>
      <c r="Y143" s="5" t="str">
        <f t="shared" si="22"/>
        <v>LO</v>
      </c>
      <c r="Z143" s="5">
        <v>1</v>
      </c>
      <c r="AA143" s="6">
        <f t="shared" si="23"/>
        <v>-0.86270438963237839</v>
      </c>
      <c r="AB143" s="6">
        <f t="shared" si="24"/>
        <v>-0.82272976220185268</v>
      </c>
      <c r="AC143" s="6">
        <f t="shared" si="25"/>
        <v>-0.53898942316227871</v>
      </c>
      <c r="AD143" s="6">
        <f t="shared" si="26"/>
        <v>0</v>
      </c>
      <c r="AE143" s="6">
        <f t="shared" si="27"/>
        <v>-0.68271682590531935</v>
      </c>
      <c r="AF143" s="6">
        <f t="shared" si="28"/>
        <v>-0.59359120114154507</v>
      </c>
      <c r="AG143" s="6">
        <f t="shared" si="29"/>
        <v>-0.85573675092050927</v>
      </c>
      <c r="AH143" s="6">
        <f t="shared" si="30"/>
        <v>0</v>
      </c>
      <c r="AI143" s="6">
        <f t="shared" si="31"/>
        <v>-0.64420145961390463</v>
      </c>
      <c r="AL143" s="5" t="str">
        <f t="shared" si="32"/>
        <v>NGA</v>
      </c>
      <c r="AM143" s="5">
        <f>Y7</f>
        <v>0.9</v>
      </c>
    </row>
    <row r="144" spans="1:39" s="5" customFormat="1" x14ac:dyDescent="0.3">
      <c r="C144" s="4" t="s">
        <v>295</v>
      </c>
      <c r="D144" s="5" t="s">
        <v>296</v>
      </c>
      <c r="E144" s="5" t="s">
        <v>775</v>
      </c>
      <c r="F144" s="5" t="s">
        <v>1588</v>
      </c>
      <c r="G144" s="5">
        <v>1</v>
      </c>
      <c r="H144" s="6">
        <f>(IF(SUMIFS('Industrial Summary'!$G:$G,'Industrial Summary'!$F:$F,H$17,'Industrial Summary'!$D:$D,$E144)&gt;0,((-SUMIFS('Industrial Summary'!$G:$G,'Industrial Summary'!$F:$F,H$17,'Industrial Summary'!$D:$D,$E144,'Industrial Summary'!$A:$A,"LPG")+-SUMIFS('Industrial Summary'!$G:$G,'Industrial Summary'!$F:$F,H$17,'Industrial Summary'!$D:$D,"ICPFSTM",'Industrial Summary'!$A:$A,"LPG"))/SUMIFS('Industrial Summary'!$G:$G,'Industrial Summary'!$F:$F,H$17,'Industrial Summary'!$D:$D,$E144)),0))*0.98</f>
        <v>0</v>
      </c>
      <c r="I144" s="6">
        <f>(IF(SUMIFS('Industrial Summary'!$G:$G,'Industrial Summary'!$F:$F,I$17,'Industrial Summary'!$D:$D,$E144)&gt;0,((-SUMIFS('Industrial Summary'!$G:$G,'Industrial Summary'!$F:$F,I$17,'Industrial Summary'!$D:$D,$E144,'Industrial Summary'!$A:$A,"LPG")+-SUMIFS('Industrial Summary'!$G:$G,'Industrial Summary'!$F:$F,I$17,'Industrial Summary'!$D:$D,"ICPFSTM",'Industrial Summary'!$A:$A,"LPG"))/SUMIFS('Industrial Summary'!$G:$G,'Industrial Summary'!$F:$F,I$17,'Industrial Summary'!$D:$D,$E144)),0))*0.98</f>
        <v>-5.8600987877741408E-2</v>
      </c>
      <c r="J144" s="6">
        <f>(IF(SUMIFS('Industrial Summary'!$G:$G,'Industrial Summary'!$F:$F,J$17,'Industrial Summary'!$D:$D,$E144)&gt;0,((-SUMIFS('Industrial Summary'!$G:$G,'Industrial Summary'!$F:$F,J$17,'Industrial Summary'!$D:$D,$E144,'Industrial Summary'!$A:$A,"LPG")+-SUMIFS('Industrial Summary'!$G:$G,'Industrial Summary'!$F:$F,J$17,'Industrial Summary'!$D:$D,"ICPFSTM",'Industrial Summary'!$A:$A,"LPG"))/SUMIFS('Industrial Summary'!$G:$G,'Industrial Summary'!$F:$F,J$17,'Industrial Summary'!$D:$D,$E144)),0))*0.98</f>
        <v>-0.19952209609794799</v>
      </c>
      <c r="K144" s="6">
        <f>(IF(SUMIFS('Industrial Summary'!$G:$G,'Industrial Summary'!$F:$F,K$17,'Industrial Summary'!$D:$D,$E144)&gt;0,((-SUMIFS('Industrial Summary'!$G:$G,'Industrial Summary'!$F:$F,K$17,'Industrial Summary'!$D:$D,$E144,'Industrial Summary'!$A:$A,"LPG")+-SUMIFS('Industrial Summary'!$G:$G,'Industrial Summary'!$F:$F,K$17,'Industrial Summary'!$D:$D,"ICPFSTM",'Industrial Summary'!$A:$A,"LPG"))/SUMIFS('Industrial Summary'!$G:$G,'Industrial Summary'!$F:$F,K$17,'Industrial Summary'!$D:$D,$E144)),0))*0.98</f>
        <v>0</v>
      </c>
      <c r="L144" s="6">
        <f>(IF(SUMIFS('Industrial Summary'!$G:$G,'Industrial Summary'!$F:$F,L$17,'Industrial Summary'!$D:$D,$E144)&gt;0,((-SUMIFS('Industrial Summary'!$G:$G,'Industrial Summary'!$F:$F,L$17,'Industrial Summary'!$D:$D,$E144,'Industrial Summary'!$A:$A,"LPG")+-SUMIFS('Industrial Summary'!$G:$G,'Industrial Summary'!$F:$F,L$17,'Industrial Summary'!$D:$D,"ICPFSTM",'Industrial Summary'!$A:$A,"LPG"))/SUMIFS('Industrial Summary'!$G:$G,'Industrial Summary'!$F:$F,L$17,'Industrial Summary'!$D:$D,$E144)),0))*0.98</f>
        <v>0</v>
      </c>
      <c r="M144" s="6">
        <f>(IF(SUMIFS('Industrial Summary'!$G:$G,'Industrial Summary'!$F:$F,M$17,'Industrial Summary'!$D:$D,$E144)&gt;0,((-SUMIFS('Industrial Summary'!$G:$G,'Industrial Summary'!$F:$F,M$17,'Industrial Summary'!$D:$D,$E144,'Industrial Summary'!$A:$A,"LPG")+-SUMIFS('Industrial Summary'!$G:$G,'Industrial Summary'!$F:$F,M$17,'Industrial Summary'!$D:$D,"ICPFSTM",'Industrial Summary'!$A:$A,"LPG"))/SUMIFS('Industrial Summary'!$G:$G,'Industrial Summary'!$F:$F,M$17,'Industrial Summary'!$D:$D,$E144)),0))*0.98</f>
        <v>0</v>
      </c>
      <c r="N144" s="6">
        <f>(IF(SUMIFS('Industrial Summary'!$G:$G,'Industrial Summary'!$F:$F,N$17,'Industrial Summary'!$D:$D,$E144)&gt;0,((-SUMIFS('Industrial Summary'!$G:$G,'Industrial Summary'!$F:$F,N$17,'Industrial Summary'!$D:$D,$E144,'Industrial Summary'!$A:$A,"LPG")+-SUMIFS('Industrial Summary'!$G:$G,'Industrial Summary'!$F:$F,N$17,'Industrial Summary'!$D:$D,"ICPFSTM",'Industrial Summary'!$A:$A,"LPG"))/SUMIFS('Industrial Summary'!$G:$G,'Industrial Summary'!$F:$F,N$17,'Industrial Summary'!$D:$D,$E144)),0))*0.98</f>
        <v>-1.4735814491036683E-2</v>
      </c>
      <c r="O144" s="6">
        <f>(IF(SUMIFS('Industrial Summary'!$G:$G,'Industrial Summary'!$F:$F,O$17,'Industrial Summary'!$D:$D,$E144)&gt;0,((-SUMIFS('Industrial Summary'!$G:$G,'Industrial Summary'!$F:$F,O$17,'Industrial Summary'!$D:$D,$E144,'Industrial Summary'!$A:$A,"LPG")+-SUMIFS('Industrial Summary'!$G:$G,'Industrial Summary'!$F:$F,O$17,'Industrial Summary'!$D:$D,"ICPFSTM",'Industrial Summary'!$A:$A,"LPG"))/SUMIFS('Industrial Summary'!$G:$G,'Industrial Summary'!$F:$F,O$17,'Industrial Summary'!$D:$D,$E144)),0))*0.98</f>
        <v>0</v>
      </c>
      <c r="P144" s="6">
        <f>(IF(SUMIFS('Industrial Summary'!$G:$G,'Industrial Summary'!$F:$F,P$17,'Industrial Summary'!$D:$D,$E144)&gt;0,((-SUMIFS('Industrial Summary'!$G:$G,'Industrial Summary'!$F:$F,P$17,'Industrial Summary'!$D:$D,$E144,'Industrial Summary'!$A:$A,"LPG")+-SUMIFS('Industrial Summary'!$G:$G,'Industrial Summary'!$F:$F,P$17,'Industrial Summary'!$D:$D,"ICPFSTM",'Industrial Summary'!$A:$A,"LPG"))/SUMIFS('Industrial Summary'!$G:$G,'Industrial Summary'!$F:$F,P$17,'Industrial Summary'!$D:$D,$E144)),0))*0.98</f>
        <v>-0.24586288674619011</v>
      </c>
      <c r="Q144" s="5">
        <v>0</v>
      </c>
      <c r="R144" s="5">
        <v>15</v>
      </c>
      <c r="S144" s="5" t="str">
        <f t="shared" si="18"/>
        <v>UC_ICPST_LPG</v>
      </c>
      <c r="V144" s="4" t="str">
        <f t="shared" si="19"/>
        <v>S_ICPSTLPG</v>
      </c>
      <c r="W144" s="4" t="str">
        <f t="shared" si="20"/>
        <v>ICPST_LPG</v>
      </c>
      <c r="X144" s="4" t="str">
        <f t="shared" si="21"/>
        <v>ICPSTM</v>
      </c>
      <c r="Y144" s="5" t="str">
        <f t="shared" si="22"/>
        <v>LO</v>
      </c>
      <c r="Z144" s="5">
        <v>1</v>
      </c>
      <c r="AA144" s="6">
        <f t="shared" si="23"/>
        <v>0</v>
      </c>
      <c r="AB144" s="6">
        <f t="shared" si="24"/>
        <v>-5.8600987877741408E-2</v>
      </c>
      <c r="AC144" s="6">
        <f t="shared" si="25"/>
        <v>-0.19952209609794799</v>
      </c>
      <c r="AD144" s="6">
        <f t="shared" si="26"/>
        <v>0</v>
      </c>
      <c r="AE144" s="6">
        <f t="shared" si="27"/>
        <v>0</v>
      </c>
      <c r="AF144" s="6">
        <f t="shared" si="28"/>
        <v>0</v>
      </c>
      <c r="AG144" s="6">
        <f t="shared" si="29"/>
        <v>-1.4735814491036683E-2</v>
      </c>
      <c r="AH144" s="6">
        <f t="shared" si="30"/>
        <v>0</v>
      </c>
      <c r="AI144" s="6">
        <f t="shared" si="31"/>
        <v>-0.24586288674619011</v>
      </c>
      <c r="AL144" s="5" t="str">
        <f t="shared" si="32"/>
        <v>LPG</v>
      </c>
      <c r="AM144" s="5">
        <f>1</f>
        <v>1</v>
      </c>
    </row>
    <row r="145" spans="1:39" s="5" customFormat="1" x14ac:dyDescent="0.3">
      <c r="A145" s="8"/>
      <c r="C145" s="4" t="s">
        <v>297</v>
      </c>
      <c r="D145" s="5" t="s">
        <v>298</v>
      </c>
      <c r="E145" s="5" t="s">
        <v>775</v>
      </c>
      <c r="F145" s="5" t="s">
        <v>1591</v>
      </c>
      <c r="G145" s="5">
        <v>1</v>
      </c>
      <c r="H145" s="6">
        <f>(IF(SUMIFS('Industrial Summary'!$G:$G,'Industrial Summary'!$F:$F,H$17,'Industrial Summary'!$D:$D,$E145)&gt;0,((-SUMIFS('Industrial Summary'!$G:$G,'Industrial Summary'!$F:$F,H$17,'Industrial Summary'!$D:$D,$E145,'Industrial Summary'!$A:$A,"COA")+-SUMIFS('Industrial Summary'!$G:$G,'Industrial Summary'!$F:$F,H$17,'Industrial Summary'!$D:$D,"ICPFSTM",'Industrial Summary'!$A:$A,"COA"))/SUMIFS('Industrial Summary'!$G:$G,'Industrial Summary'!$F:$F,H$17,'Industrial Summary'!$D:$D,$E145)),0))*0.98</f>
        <v>-1.684602232251884E-2</v>
      </c>
      <c r="I145" s="6">
        <f>(IF(SUMIFS('Industrial Summary'!$G:$G,'Industrial Summary'!$F:$F,I$17,'Industrial Summary'!$D:$D,$E145)&gt;0,((-SUMIFS('Industrial Summary'!$G:$G,'Industrial Summary'!$F:$F,I$17,'Industrial Summary'!$D:$D,$E145,'Industrial Summary'!$A:$A,"COA")+-SUMIFS('Industrial Summary'!$G:$G,'Industrial Summary'!$F:$F,I$17,'Industrial Summary'!$D:$D,"ICPFSTM",'Industrial Summary'!$A:$A,"COA"))/SUMIFS('Industrial Summary'!$G:$G,'Industrial Summary'!$F:$F,I$17,'Industrial Summary'!$D:$D,$E145)),0))*0.98</f>
        <v>0</v>
      </c>
      <c r="J145" s="6">
        <f>(IF(SUMIFS('Industrial Summary'!$G:$G,'Industrial Summary'!$F:$F,J$17,'Industrial Summary'!$D:$D,$E145)&gt;0,((-SUMIFS('Industrial Summary'!$G:$G,'Industrial Summary'!$F:$F,J$17,'Industrial Summary'!$D:$D,$E145,'Industrial Summary'!$A:$A,"COA")+-SUMIFS('Industrial Summary'!$G:$G,'Industrial Summary'!$F:$F,J$17,'Industrial Summary'!$D:$D,"ICPFSTM",'Industrial Summary'!$A:$A,"COA"))/SUMIFS('Industrial Summary'!$G:$G,'Industrial Summary'!$F:$F,J$17,'Industrial Summary'!$D:$D,$E145)),0))*0.98</f>
        <v>-0.17365890471064419</v>
      </c>
      <c r="K145" s="6">
        <f>(IF(SUMIFS('Industrial Summary'!$G:$G,'Industrial Summary'!$F:$F,K$17,'Industrial Summary'!$D:$D,$E145)&gt;0,((-SUMIFS('Industrial Summary'!$G:$G,'Industrial Summary'!$F:$F,K$17,'Industrial Summary'!$D:$D,$E145,'Industrial Summary'!$A:$A,"COA")+-SUMIFS('Industrial Summary'!$G:$G,'Industrial Summary'!$F:$F,K$17,'Industrial Summary'!$D:$D,"ICPFSTM",'Industrial Summary'!$A:$A,"COA"))/SUMIFS('Industrial Summary'!$G:$G,'Industrial Summary'!$F:$F,K$17,'Industrial Summary'!$D:$D,$E145)),0))*0.98</f>
        <v>0</v>
      </c>
      <c r="L145" s="6">
        <f>(IF(SUMIFS('Industrial Summary'!$G:$G,'Industrial Summary'!$F:$F,L$17,'Industrial Summary'!$D:$D,$E145)&gt;0,((-SUMIFS('Industrial Summary'!$G:$G,'Industrial Summary'!$F:$F,L$17,'Industrial Summary'!$D:$D,$E145,'Industrial Summary'!$A:$A,"COA")+-SUMIFS('Industrial Summary'!$G:$G,'Industrial Summary'!$F:$F,L$17,'Industrial Summary'!$D:$D,"ICPFSTM",'Industrial Summary'!$A:$A,"COA"))/SUMIFS('Industrial Summary'!$G:$G,'Industrial Summary'!$F:$F,L$17,'Industrial Summary'!$D:$D,$E145)),0))*0.98</f>
        <v>-0.21006872579756289</v>
      </c>
      <c r="M145" s="6">
        <f>(IF(SUMIFS('Industrial Summary'!$G:$G,'Industrial Summary'!$F:$F,M$17,'Industrial Summary'!$D:$D,$E145)&gt;0,((-SUMIFS('Industrial Summary'!$G:$G,'Industrial Summary'!$F:$F,M$17,'Industrial Summary'!$D:$D,$E145,'Industrial Summary'!$A:$A,"COA")+-SUMIFS('Industrial Summary'!$G:$G,'Industrial Summary'!$F:$F,M$17,'Industrial Summary'!$D:$D,"ICPFSTM",'Industrial Summary'!$A:$A,"COA"))/SUMIFS('Industrial Summary'!$G:$G,'Industrial Summary'!$F:$F,M$17,'Industrial Summary'!$D:$D,$E145)),0))*0.98</f>
        <v>-0.3106751021997165</v>
      </c>
      <c r="N145" s="6">
        <f>(IF(SUMIFS('Industrial Summary'!$G:$G,'Industrial Summary'!$F:$F,N$17,'Industrial Summary'!$D:$D,$E145)&gt;0,((-SUMIFS('Industrial Summary'!$G:$G,'Industrial Summary'!$F:$F,N$17,'Industrial Summary'!$D:$D,$E145,'Industrial Summary'!$A:$A,"COA")+-SUMIFS('Industrial Summary'!$G:$G,'Industrial Summary'!$F:$F,N$17,'Industrial Summary'!$D:$D,"ICPFSTM",'Industrial Summary'!$A:$A,"COA"))/SUMIFS('Industrial Summary'!$G:$G,'Industrial Summary'!$F:$F,N$17,'Industrial Summary'!$D:$D,$E145)),0))*0.98</f>
        <v>-2.6254449505617992E-3</v>
      </c>
      <c r="O145" s="6">
        <f>(IF(SUMIFS('Industrial Summary'!$G:$G,'Industrial Summary'!$F:$F,O$17,'Industrial Summary'!$D:$D,$E145)&gt;0,((-SUMIFS('Industrial Summary'!$G:$G,'Industrial Summary'!$F:$F,O$17,'Industrial Summary'!$D:$D,$E145,'Industrial Summary'!$A:$A,"COA")+-SUMIFS('Industrial Summary'!$G:$G,'Industrial Summary'!$F:$F,O$17,'Industrial Summary'!$D:$D,"ICPFSTM",'Industrial Summary'!$A:$A,"COA"))/SUMIFS('Industrial Summary'!$G:$G,'Industrial Summary'!$F:$F,O$17,'Industrial Summary'!$D:$D,$E145)),0))*0.98</f>
        <v>0</v>
      </c>
      <c r="P145" s="6">
        <f>(IF(SUMIFS('Industrial Summary'!$G:$G,'Industrial Summary'!$F:$F,P$17,'Industrial Summary'!$D:$D,$E145)&gt;0,((-SUMIFS('Industrial Summary'!$G:$G,'Industrial Summary'!$F:$F,P$17,'Industrial Summary'!$D:$D,$E145,'Industrial Summary'!$A:$A,"COA")+-SUMIFS('Industrial Summary'!$G:$G,'Industrial Summary'!$F:$F,P$17,'Industrial Summary'!$D:$D,"ICPFSTM",'Industrial Summary'!$A:$A,"COA"))/SUMIFS('Industrial Summary'!$G:$G,'Industrial Summary'!$F:$F,P$17,'Industrial Summary'!$D:$D,$E145)),0))*0.98</f>
        <v>0</v>
      </c>
      <c r="Q145" s="5">
        <v>0</v>
      </c>
      <c r="R145" s="5">
        <v>15</v>
      </c>
      <c r="S145" s="5" t="str">
        <f t="shared" si="18"/>
        <v>UC_ICPST_COA</v>
      </c>
      <c r="V145" s="4" t="str">
        <f t="shared" si="19"/>
        <v>S_ICPSTCOA</v>
      </c>
      <c r="W145" s="4" t="str">
        <f t="shared" si="20"/>
        <v>ICPST_COA</v>
      </c>
      <c r="X145" s="4" t="str">
        <f t="shared" si="21"/>
        <v>ICPSTM</v>
      </c>
      <c r="Y145" s="5" t="str">
        <f t="shared" si="22"/>
        <v>UP</v>
      </c>
      <c r="Z145" s="5">
        <v>1</v>
      </c>
      <c r="AA145" s="6">
        <f t="shared" si="23"/>
        <v>-1.0781454286412058E-2</v>
      </c>
      <c r="AB145" s="6">
        <f t="shared" si="24"/>
        <v>0</v>
      </c>
      <c r="AC145" s="6">
        <f t="shared" si="25"/>
        <v>-0.11114169901481229</v>
      </c>
      <c r="AD145" s="6">
        <f t="shared" si="26"/>
        <v>0</v>
      </c>
      <c r="AE145" s="6">
        <f t="shared" si="27"/>
        <v>-0.13444398451044026</v>
      </c>
      <c r="AF145" s="6">
        <f t="shared" si="28"/>
        <v>-0.19883206540781856</v>
      </c>
      <c r="AG145" s="6">
        <f t="shared" si="29"/>
        <v>-1.6802847683595515E-3</v>
      </c>
      <c r="AH145" s="6">
        <f t="shared" si="30"/>
        <v>0</v>
      </c>
      <c r="AI145" s="6">
        <f t="shared" si="31"/>
        <v>0</v>
      </c>
      <c r="AL145" s="5" t="str">
        <f t="shared" si="32"/>
        <v>COA</v>
      </c>
      <c r="AM145" s="5">
        <f>Z7</f>
        <v>0.64</v>
      </c>
    </row>
    <row r="146" spans="1:39" s="5" customFormat="1" x14ac:dyDescent="0.3">
      <c r="C146" s="4" t="s">
        <v>300</v>
      </c>
      <c r="D146" s="5" t="s">
        <v>301</v>
      </c>
      <c r="E146" s="5" t="s">
        <v>791</v>
      </c>
      <c r="F146" s="5" t="s">
        <v>1588</v>
      </c>
      <c r="G146" s="5">
        <v>1</v>
      </c>
      <c r="H146" s="6">
        <f>IF(SUMIFS('Industrial Summary'!$G:$G,'Industrial Summary'!$F:$F,H$17,'Industrial Summary'!$D:$D,$E146)&gt;0,(-SUMIFS('Industrial Summary'!$G:$G,'Industrial Summary'!$F:$F,H$17,'Industrial Summary'!$D:$D,$E146,'Industrial Summary'!$A:$A,"ELC")/SUMIFS('Industrial Summary'!$G:$G,'Industrial Summary'!$F:$F,H$17,'Industrial Summary'!$D:$D,$E146)),0)*0.98</f>
        <v>-0.3430056925064533</v>
      </c>
      <c r="I146" s="6">
        <f>IF(SUMIFS('Industrial Summary'!$G:$G,'Industrial Summary'!$F:$F,I$17,'Industrial Summary'!$D:$D,$E146)&gt;0,(-SUMIFS('Industrial Summary'!$G:$G,'Industrial Summary'!$F:$F,I$17,'Industrial Summary'!$D:$D,$E146,'Industrial Summary'!$A:$A,"ELC")/SUMIFS('Industrial Summary'!$G:$G,'Industrial Summary'!$F:$F,I$17,'Industrial Summary'!$D:$D,$E146)),0)*0.98</f>
        <v>-0.34300569250645291</v>
      </c>
      <c r="J146" s="6">
        <f>IF(SUMIFS('Industrial Summary'!$G:$G,'Industrial Summary'!$F:$F,J$17,'Industrial Summary'!$D:$D,$E146)&gt;0,(-SUMIFS('Industrial Summary'!$G:$G,'Industrial Summary'!$F:$F,J$17,'Industrial Summary'!$D:$D,$E146,'Industrial Summary'!$A:$A,"ELC")/SUMIFS('Industrial Summary'!$G:$G,'Industrial Summary'!$F:$F,J$17,'Industrial Summary'!$D:$D,$E146)),0)*0.98</f>
        <v>-0.30762818338062808</v>
      </c>
      <c r="K146" s="6">
        <f>IF(SUMIFS('Industrial Summary'!$G:$G,'Industrial Summary'!$F:$F,K$17,'Industrial Summary'!$D:$D,$E146)&gt;0,(-SUMIFS('Industrial Summary'!$G:$G,'Industrial Summary'!$F:$F,K$17,'Industrial Summary'!$D:$D,$E146,'Industrial Summary'!$A:$A,"ELC")/SUMIFS('Industrial Summary'!$G:$G,'Industrial Summary'!$F:$F,K$17,'Industrial Summary'!$D:$D,$E146)),0)*0.98</f>
        <v>-0.30762818338062736</v>
      </c>
      <c r="L146" s="6">
        <f>IF(SUMIFS('Industrial Summary'!$G:$G,'Industrial Summary'!$F:$F,L$17,'Industrial Summary'!$D:$D,$E146)&gt;0,(-SUMIFS('Industrial Summary'!$G:$G,'Industrial Summary'!$F:$F,L$17,'Industrial Summary'!$D:$D,$E146,'Industrial Summary'!$A:$A,"ELC")/SUMIFS('Industrial Summary'!$G:$G,'Industrial Summary'!$F:$F,L$17,'Industrial Summary'!$D:$D,$E146)),0)*0.98</f>
        <v>-0.11627347070929335</v>
      </c>
      <c r="M146" s="6">
        <f>IF(SUMIFS('Industrial Summary'!$G:$G,'Industrial Summary'!$F:$F,M$17,'Industrial Summary'!$D:$D,$E146)&gt;0,(-SUMIFS('Industrial Summary'!$G:$G,'Industrial Summary'!$F:$F,M$17,'Industrial Summary'!$D:$D,$E146,'Industrial Summary'!$A:$A,"ELC")/SUMIFS('Industrial Summary'!$G:$G,'Industrial Summary'!$F:$F,M$17,'Industrial Summary'!$D:$D,$E146)),0)*0.98</f>
        <v>-0.14534405639979017</v>
      </c>
      <c r="N146" s="6">
        <f>IF(SUMIFS('Industrial Summary'!$G:$G,'Industrial Summary'!$F:$F,N$17,'Industrial Summary'!$D:$D,$E146)&gt;0,(-SUMIFS('Industrial Summary'!$G:$G,'Industrial Summary'!$F:$F,N$17,'Industrial Summary'!$D:$D,$E146,'Industrial Summary'!$A:$A,"ELC")/SUMIFS('Industrial Summary'!$G:$G,'Industrial Summary'!$F:$F,N$17,'Industrial Summary'!$D:$D,$E146)),0)*0.98</f>
        <v>-0.11626540085227562</v>
      </c>
      <c r="O146" s="6">
        <f>IF(SUMIFS('Industrial Summary'!$G:$G,'Industrial Summary'!$F:$F,O$17,'Industrial Summary'!$D:$D,$E146)&gt;0,(-SUMIFS('Industrial Summary'!$G:$G,'Industrial Summary'!$F:$F,O$17,'Industrial Summary'!$D:$D,$E146,'Industrial Summary'!$A:$A,"ELC")/SUMIFS('Industrial Summary'!$G:$G,'Industrial Summary'!$F:$F,O$17,'Industrial Summary'!$D:$D,$E146)),0)*0.98</f>
        <v>-0.38539864836345938</v>
      </c>
      <c r="P146" s="6">
        <f>IF(SUMIFS('Industrial Summary'!$G:$G,'Industrial Summary'!$F:$F,P$17,'Industrial Summary'!$D:$D,$E146)&gt;0,(-SUMIFS('Industrial Summary'!$G:$G,'Industrial Summary'!$F:$F,P$17,'Industrial Summary'!$D:$D,$E146,'Industrial Summary'!$A:$A,"ELC")/SUMIFS('Industrial Summary'!$G:$G,'Industrial Summary'!$F:$F,P$17,'Industrial Summary'!$D:$D,$E146)),0)*0.98</f>
        <v>-0.38539864836345744</v>
      </c>
      <c r="Q146" s="5">
        <v>0</v>
      </c>
      <c r="R146" s="5">
        <v>15</v>
      </c>
      <c r="S146" s="5" t="str">
        <f t="shared" ref="S146:S209" si="33">_xlfn.CONCAT("UC_",D146)</f>
        <v>UC_ICPPH_ELC</v>
      </c>
      <c r="V146" s="4" t="str">
        <f t="shared" si="19"/>
        <v>S_ICPPHELC</v>
      </c>
      <c r="W146" s="4" t="str">
        <f t="shared" si="20"/>
        <v>ICPPH_ELC</v>
      </c>
      <c r="X146" s="4" t="str">
        <f t="shared" si="21"/>
        <v>ICPPRH</v>
      </c>
      <c r="Y146" s="5" t="str">
        <f t="shared" si="22"/>
        <v>LO</v>
      </c>
      <c r="Z146" s="5">
        <v>1</v>
      </c>
      <c r="AA146" s="6">
        <f t="shared" si="23"/>
        <v>-0.3430056925064533</v>
      </c>
      <c r="AB146" s="6">
        <f t="shared" si="24"/>
        <v>-0.34300569250645291</v>
      </c>
      <c r="AC146" s="6">
        <f t="shared" si="25"/>
        <v>-0.30762818338062808</v>
      </c>
      <c r="AD146" s="6">
        <f t="shared" si="26"/>
        <v>-0.30762818338062736</v>
      </c>
      <c r="AE146" s="6">
        <f t="shared" si="27"/>
        <v>-0.11627347070929335</v>
      </c>
      <c r="AF146" s="6">
        <f t="shared" si="28"/>
        <v>-0.14534405639979017</v>
      </c>
      <c r="AG146" s="6">
        <f t="shared" si="29"/>
        <v>-0.11626540085227562</v>
      </c>
      <c r="AH146" s="6">
        <f t="shared" si="30"/>
        <v>-0.38539864836345938</v>
      </c>
      <c r="AI146" s="6">
        <f t="shared" si="31"/>
        <v>-0.38539864836345744</v>
      </c>
      <c r="AL146" s="5" t="str">
        <f t="shared" si="32"/>
        <v>ELC</v>
      </c>
      <c r="AM146" s="5">
        <f>1</f>
        <v>1</v>
      </c>
    </row>
    <row r="147" spans="1:39" s="5" customFormat="1" x14ac:dyDescent="0.3">
      <c r="A147" s="8"/>
      <c r="C147" s="4" t="s">
        <v>302</v>
      </c>
      <c r="D147" s="5" t="s">
        <v>303</v>
      </c>
      <c r="E147" s="5" t="s">
        <v>791</v>
      </c>
      <c r="F147" s="5" t="s">
        <v>1588</v>
      </c>
      <c r="G147" s="5">
        <v>1</v>
      </c>
      <c r="H147" s="6">
        <f>IF(SUMIFS('Industrial Summary'!$G:$G,'Industrial Summary'!$F:$F,H$17,'Industrial Summary'!$D:$D,$E147)&gt;0,(-SUMIFS('Industrial Summary'!$G:$G,'Industrial Summary'!$F:$F,H$17,'Industrial Summary'!$D:$D,$E147,'Industrial Summary'!$A:$A,"NGA")/SUMIFS('Industrial Summary'!$G:$G,'Industrial Summary'!$F:$F,H$17,'Industrial Summary'!$D:$D,$E147)),0)*0.98</f>
        <v>-0.63699430749354657</v>
      </c>
      <c r="I147" s="6">
        <f>IF(SUMIFS('Industrial Summary'!$G:$G,'Industrial Summary'!$F:$F,I$17,'Industrial Summary'!$D:$D,$E147)&gt;0,(-SUMIFS('Industrial Summary'!$G:$G,'Industrial Summary'!$F:$F,I$17,'Industrial Summary'!$D:$D,$E147,'Industrial Summary'!$A:$A,"NGA")/SUMIFS('Industrial Summary'!$G:$G,'Industrial Summary'!$F:$F,I$17,'Industrial Summary'!$D:$D,$E147)),0)*0.98</f>
        <v>-0.63699430749354702</v>
      </c>
      <c r="J147" s="6">
        <f>IF(SUMIFS('Industrial Summary'!$G:$G,'Industrial Summary'!$F:$F,J$17,'Industrial Summary'!$D:$D,$E147)&gt;0,(-SUMIFS('Industrial Summary'!$G:$G,'Industrial Summary'!$F:$F,J$17,'Industrial Summary'!$D:$D,$E147,'Industrial Summary'!$A:$A,"NGA")/SUMIFS('Industrial Summary'!$G:$G,'Industrial Summary'!$F:$F,J$17,'Industrial Summary'!$D:$D,$E147)),0)*0.98</f>
        <v>-0.67237181661937184</v>
      </c>
      <c r="K147" s="6">
        <f>IF(SUMIFS('Industrial Summary'!$G:$G,'Industrial Summary'!$F:$F,K$17,'Industrial Summary'!$D:$D,$E147)&gt;0,(-SUMIFS('Industrial Summary'!$G:$G,'Industrial Summary'!$F:$F,K$17,'Industrial Summary'!$D:$D,$E147,'Industrial Summary'!$A:$A,"NGA")/SUMIFS('Industrial Summary'!$G:$G,'Industrial Summary'!$F:$F,K$17,'Industrial Summary'!$D:$D,$E147)),0)*0.98</f>
        <v>-0.67237181661937273</v>
      </c>
      <c r="L147" s="6">
        <f>IF(SUMIFS('Industrial Summary'!$G:$G,'Industrial Summary'!$F:$F,L$17,'Industrial Summary'!$D:$D,$E147)&gt;0,(-SUMIFS('Industrial Summary'!$G:$G,'Industrial Summary'!$F:$F,L$17,'Industrial Summary'!$D:$D,$E147,'Industrial Summary'!$A:$A,"NGA")/SUMIFS('Industrial Summary'!$G:$G,'Industrial Summary'!$F:$F,L$17,'Industrial Summary'!$D:$D,$E147)),0)*0.98</f>
        <v>-0.86372652929070659</v>
      </c>
      <c r="M147" s="6">
        <f>IF(SUMIFS('Industrial Summary'!$G:$G,'Industrial Summary'!$F:$F,M$17,'Industrial Summary'!$D:$D,$E147)&gt;0,(-SUMIFS('Industrial Summary'!$G:$G,'Industrial Summary'!$F:$F,M$17,'Industrial Summary'!$D:$D,$E147,'Industrial Summary'!$A:$A,"NGA")/SUMIFS('Industrial Summary'!$G:$G,'Industrial Summary'!$F:$F,M$17,'Industrial Summary'!$D:$D,$E147)),0)*0.98</f>
        <v>-0.83465594360020989</v>
      </c>
      <c r="N147" s="6">
        <f>IF(SUMIFS('Industrial Summary'!$G:$G,'Industrial Summary'!$F:$F,N$17,'Industrial Summary'!$D:$D,$E147)&gt;0,(-SUMIFS('Industrial Summary'!$G:$G,'Industrial Summary'!$F:$F,N$17,'Industrial Summary'!$D:$D,$E147,'Industrial Summary'!$A:$A,"NGA")/SUMIFS('Industrial Summary'!$G:$G,'Industrial Summary'!$F:$F,N$17,'Industrial Summary'!$D:$D,$E147)),0)*0.98</f>
        <v>-0.86373459914772444</v>
      </c>
      <c r="O147" s="6">
        <f>IF(SUMIFS('Industrial Summary'!$G:$G,'Industrial Summary'!$F:$F,O$17,'Industrial Summary'!$D:$D,$E147)&gt;0,(-SUMIFS('Industrial Summary'!$G:$G,'Industrial Summary'!$F:$F,O$17,'Industrial Summary'!$D:$D,$E147,'Industrial Summary'!$A:$A,"NGA")/SUMIFS('Industrial Summary'!$G:$G,'Industrial Summary'!$F:$F,O$17,'Industrial Summary'!$D:$D,$E147)),0)*0.98</f>
        <v>-0.5946013516365406</v>
      </c>
      <c r="P147" s="6">
        <f>IF(SUMIFS('Industrial Summary'!$G:$G,'Industrial Summary'!$F:$F,P$17,'Industrial Summary'!$D:$D,$E147)&gt;0,(-SUMIFS('Industrial Summary'!$G:$G,'Industrial Summary'!$F:$F,P$17,'Industrial Summary'!$D:$D,$E147,'Industrial Summary'!$A:$A,"NGA")/SUMIFS('Industrial Summary'!$G:$G,'Industrial Summary'!$F:$F,P$17,'Industrial Summary'!$D:$D,$E147)),0)*0.98</f>
        <v>-0.5946013516365426</v>
      </c>
      <c r="Q147" s="5">
        <v>0</v>
      </c>
      <c r="R147" s="5">
        <v>15</v>
      </c>
      <c r="S147" s="5" t="str">
        <f t="shared" si="33"/>
        <v>UC_ICPPH_NGA</v>
      </c>
      <c r="V147" s="4" t="str">
        <f t="shared" ref="V147:V210" si="34">C147</f>
        <v>S_ICPPHNGA</v>
      </c>
      <c r="W147" s="4" t="str">
        <f t="shared" ref="W147:W210" si="35">D147</f>
        <v>ICPPH_NGA</v>
      </c>
      <c r="X147" s="4" t="str">
        <f t="shared" ref="X147:X210" si="36">E147</f>
        <v>ICPPRH</v>
      </c>
      <c r="Y147" s="5" t="str">
        <f t="shared" ref="Y147:Y210" si="37">F147</f>
        <v>LO</v>
      </c>
      <c r="Z147" s="5">
        <v>1</v>
      </c>
      <c r="AA147" s="6">
        <f t="shared" ref="AA147:AA210" si="38">H147*$AM147</f>
        <v>-0.57329487674419188</v>
      </c>
      <c r="AB147" s="6">
        <f t="shared" ref="AB147:AB210" si="39">I147*$AM147</f>
        <v>-0.57329487674419233</v>
      </c>
      <c r="AC147" s="6">
        <f t="shared" ref="AC147:AC210" si="40">J147*$AM147</f>
        <v>-0.60513463495743469</v>
      </c>
      <c r="AD147" s="6">
        <f t="shared" ref="AD147:AD210" si="41">K147*$AM147</f>
        <v>-0.60513463495743547</v>
      </c>
      <c r="AE147" s="6">
        <f t="shared" ref="AE147:AE210" si="42">L147*$AM147</f>
        <v>-0.777353876361636</v>
      </c>
      <c r="AF147" s="6">
        <f t="shared" ref="AF147:AF210" si="43">M147*$AM147</f>
        <v>-0.7511903492401889</v>
      </c>
      <c r="AG147" s="6">
        <f t="shared" ref="AG147:AG210" si="44">N147*$AM147</f>
        <v>-0.77736113923295203</v>
      </c>
      <c r="AH147" s="6">
        <f t="shared" ref="AH147:AH210" si="45">O147*$AM147</f>
        <v>-0.53514121647288659</v>
      </c>
      <c r="AI147" s="6">
        <f t="shared" ref="AI147:AI210" si="46">P147*$AM147</f>
        <v>-0.53514121647288837</v>
      </c>
      <c r="AL147" s="5" t="str">
        <f t="shared" ref="AL147:AL210" si="47">RIGHT(W147,3)</f>
        <v>NGA</v>
      </c>
      <c r="AM147" s="5">
        <f>Y7</f>
        <v>0.9</v>
      </c>
    </row>
    <row r="148" spans="1:39" s="5" customFormat="1" x14ac:dyDescent="0.3">
      <c r="C148" s="4" t="s">
        <v>304</v>
      </c>
      <c r="D148" s="5" t="s">
        <v>305</v>
      </c>
      <c r="E148" s="5" t="s">
        <v>744</v>
      </c>
      <c r="F148" s="5" t="s">
        <v>1588</v>
      </c>
      <c r="G148" s="5">
        <v>1</v>
      </c>
      <c r="H148" s="6">
        <f>IF(SUMIFS('Industrial Summary'!$G:$G,'Industrial Summary'!$F:$F,H$17,'Industrial Summary'!$D:$D,$E148)&gt;0,(-SUMIFS('Industrial Summary'!$G:$G,'Industrial Summary'!$F:$F,H$17,'Industrial Summary'!$D:$D,$E148,'Industrial Summary'!$A:$A,"ELC")/SUMIFS('Industrial Summary'!$G:$G,'Industrial Summary'!$F:$F,H$17,'Industrial Summary'!$D:$D,$E148)),0)*0.98</f>
        <v>-0.98</v>
      </c>
      <c r="I148" s="6">
        <f>IF(SUMIFS('Industrial Summary'!$G:$G,'Industrial Summary'!$F:$F,I$17,'Industrial Summary'!$D:$D,$E148)&gt;0,(-SUMIFS('Industrial Summary'!$G:$G,'Industrial Summary'!$F:$F,I$17,'Industrial Summary'!$D:$D,$E148,'Industrial Summary'!$A:$A,"ELC")/SUMIFS('Industrial Summary'!$G:$G,'Industrial Summary'!$F:$F,I$17,'Industrial Summary'!$D:$D,$E148)),0)*0.98</f>
        <v>-0.98</v>
      </c>
      <c r="J148" s="6">
        <f>IF(SUMIFS('Industrial Summary'!$G:$G,'Industrial Summary'!$F:$F,J$17,'Industrial Summary'!$D:$D,$E148)&gt;0,(-SUMIFS('Industrial Summary'!$G:$G,'Industrial Summary'!$F:$F,J$17,'Industrial Summary'!$D:$D,$E148,'Industrial Summary'!$A:$A,"ELC")/SUMIFS('Industrial Summary'!$G:$G,'Industrial Summary'!$F:$F,J$17,'Industrial Summary'!$D:$D,$E148)),0)*0.98</f>
        <v>-0.95575179016271861</v>
      </c>
      <c r="K148" s="6">
        <f>IF(SUMIFS('Industrial Summary'!$G:$G,'Industrial Summary'!$F:$F,K$17,'Industrial Summary'!$D:$D,$E148)&gt;0,(-SUMIFS('Industrial Summary'!$G:$G,'Industrial Summary'!$F:$F,K$17,'Industrial Summary'!$D:$D,$E148,'Industrial Summary'!$A:$A,"ELC")/SUMIFS('Industrial Summary'!$G:$G,'Industrial Summary'!$F:$F,K$17,'Industrial Summary'!$D:$D,$E148)),0)*0.98</f>
        <v>-0.9557517901627185</v>
      </c>
      <c r="L148" s="6">
        <f>IF(SUMIFS('Industrial Summary'!$G:$G,'Industrial Summary'!$F:$F,L$17,'Industrial Summary'!$D:$D,$E148)&gt;0,(-SUMIFS('Industrial Summary'!$G:$G,'Industrial Summary'!$F:$F,L$17,'Industrial Summary'!$D:$D,$E148,'Industrial Summary'!$A:$A,"ELC")/SUMIFS('Industrial Summary'!$G:$G,'Industrial Summary'!$F:$F,L$17,'Industrial Summary'!$D:$D,$E148)),0)*0.98</f>
        <v>-0.90229001825020161</v>
      </c>
      <c r="M148" s="6">
        <f>IF(SUMIFS('Industrial Summary'!$G:$G,'Industrial Summary'!$F:$F,M$17,'Industrial Summary'!$D:$D,$E148)&gt;0,(-SUMIFS('Industrial Summary'!$G:$G,'Industrial Summary'!$F:$F,M$17,'Industrial Summary'!$D:$D,$E148,'Industrial Summary'!$A:$A,"ELC")/SUMIFS('Industrial Summary'!$G:$G,'Industrial Summary'!$F:$F,M$17,'Industrial Summary'!$D:$D,$E148)),0)*0.98</f>
        <v>-0.98</v>
      </c>
      <c r="N148" s="6">
        <f>IF(SUMIFS('Industrial Summary'!$G:$G,'Industrial Summary'!$F:$F,N$17,'Industrial Summary'!$D:$D,$E148)&gt;0,(-SUMIFS('Industrial Summary'!$G:$G,'Industrial Summary'!$F:$F,N$17,'Industrial Summary'!$D:$D,$E148,'Industrial Summary'!$A:$A,"ELC")/SUMIFS('Industrial Summary'!$G:$G,'Industrial Summary'!$F:$F,N$17,'Industrial Summary'!$D:$D,$E148)),0)*0.98</f>
        <v>-0.90222739561244902</v>
      </c>
      <c r="O148" s="6">
        <f>IF(SUMIFS('Industrial Summary'!$G:$G,'Industrial Summary'!$F:$F,O$17,'Industrial Summary'!$D:$D,$E148)&gt;0,(-SUMIFS('Industrial Summary'!$G:$G,'Industrial Summary'!$F:$F,O$17,'Industrial Summary'!$D:$D,$E148,'Industrial Summary'!$A:$A,"ELC")/SUMIFS('Industrial Summary'!$G:$G,'Industrial Summary'!$F:$F,O$17,'Industrial Summary'!$D:$D,$E148)),0)*0.98</f>
        <v>-0.96275814113172009</v>
      </c>
      <c r="P148" s="6">
        <f>IF(SUMIFS('Industrial Summary'!$G:$G,'Industrial Summary'!$F:$F,P$17,'Industrial Summary'!$D:$D,$E148)&gt;0,(-SUMIFS('Industrial Summary'!$G:$G,'Industrial Summary'!$F:$F,P$17,'Industrial Summary'!$D:$D,$E148,'Industrial Summary'!$A:$A,"ELC")/SUMIFS('Industrial Summary'!$G:$G,'Industrial Summary'!$F:$F,P$17,'Industrial Summary'!$D:$D,$E148)),0)*0.98</f>
        <v>-0.96275814113171998</v>
      </c>
      <c r="Q148" s="5">
        <v>0</v>
      </c>
      <c r="R148" s="5">
        <v>15</v>
      </c>
      <c r="S148" s="5" t="str">
        <f t="shared" si="33"/>
        <v>UC_ICPMD_ELC</v>
      </c>
      <c r="V148" s="4" t="str">
        <f t="shared" si="34"/>
        <v>S_ICPMDELC</v>
      </c>
      <c r="W148" s="4" t="str">
        <f t="shared" si="35"/>
        <v>ICPMD_ELC</v>
      </c>
      <c r="X148" s="4" t="str">
        <f t="shared" si="36"/>
        <v>ICPMDR</v>
      </c>
      <c r="Y148" s="5" t="str">
        <f t="shared" si="37"/>
        <v>LO</v>
      </c>
      <c r="Z148" s="5">
        <v>1</v>
      </c>
      <c r="AA148" s="6">
        <f t="shared" si="38"/>
        <v>-0.98</v>
      </c>
      <c r="AB148" s="6">
        <f t="shared" si="39"/>
        <v>-0.98</v>
      </c>
      <c r="AC148" s="6">
        <f t="shared" si="40"/>
        <v>-0.95575179016271861</v>
      </c>
      <c r="AD148" s="6">
        <f t="shared" si="41"/>
        <v>-0.9557517901627185</v>
      </c>
      <c r="AE148" s="6">
        <f t="shared" si="42"/>
        <v>-0.90229001825020161</v>
      </c>
      <c r="AF148" s="6">
        <f t="shared" si="43"/>
        <v>-0.98</v>
      </c>
      <c r="AG148" s="6">
        <f t="shared" si="44"/>
        <v>-0.90222739561244902</v>
      </c>
      <c r="AH148" s="6">
        <f t="shared" si="45"/>
        <v>-0.96275814113172009</v>
      </c>
      <c r="AI148" s="6">
        <f t="shared" si="46"/>
        <v>-0.96275814113171998</v>
      </c>
      <c r="AL148" s="5" t="str">
        <f t="shared" si="47"/>
        <v>ELC</v>
      </c>
      <c r="AM148" s="5">
        <f>1</f>
        <v>1</v>
      </c>
    </row>
    <row r="149" spans="1:39" s="5" customFormat="1" x14ac:dyDescent="0.3">
      <c r="A149" s="8"/>
      <c r="C149" s="4" t="s">
        <v>306</v>
      </c>
      <c r="D149" s="5" t="s">
        <v>307</v>
      </c>
      <c r="E149" s="5" t="s">
        <v>744</v>
      </c>
      <c r="F149" s="5" t="s">
        <v>1588</v>
      </c>
      <c r="G149" s="5">
        <v>1</v>
      </c>
      <c r="H149" s="6">
        <f>IF(SUMIFS('Industrial Summary'!$G:$G,'Industrial Summary'!$F:$F,H$17,'Industrial Summary'!$D:$D,$E149)&gt;0,(-SUMIFS('Industrial Summary'!$G:$G,'Industrial Summary'!$F:$F,H$17,'Industrial Summary'!$D:$D,$E149,'Industrial Summary'!$A:$A,"NGA")/SUMIFS('Industrial Summary'!$G:$G,'Industrial Summary'!$F:$F,H$17,'Industrial Summary'!$D:$D,$E149)),0)*0.98</f>
        <v>0</v>
      </c>
      <c r="I149" s="6">
        <f>IF(SUMIFS('Industrial Summary'!$G:$G,'Industrial Summary'!$F:$F,I$17,'Industrial Summary'!$D:$D,$E149)&gt;0,(-SUMIFS('Industrial Summary'!$G:$G,'Industrial Summary'!$F:$F,I$17,'Industrial Summary'!$D:$D,$E149,'Industrial Summary'!$A:$A,"NGA")/SUMIFS('Industrial Summary'!$G:$G,'Industrial Summary'!$F:$F,I$17,'Industrial Summary'!$D:$D,$E149)),0)*0.98</f>
        <v>0</v>
      </c>
      <c r="J149" s="6">
        <f>IF(SUMIFS('Industrial Summary'!$G:$G,'Industrial Summary'!$F:$F,J$17,'Industrial Summary'!$D:$D,$E149)&gt;0,(-SUMIFS('Industrial Summary'!$G:$G,'Industrial Summary'!$F:$F,J$17,'Industrial Summary'!$D:$D,$E149,'Industrial Summary'!$A:$A,"NGA")/SUMIFS('Industrial Summary'!$G:$G,'Industrial Summary'!$F:$F,J$17,'Industrial Summary'!$D:$D,$E149)),0)*0.98</f>
        <v>-2.4248209837281397E-2</v>
      </c>
      <c r="K149" s="6">
        <f>IF(SUMIFS('Industrial Summary'!$G:$G,'Industrial Summary'!$F:$F,K$17,'Industrial Summary'!$D:$D,$E149)&gt;0,(-SUMIFS('Industrial Summary'!$G:$G,'Industrial Summary'!$F:$F,K$17,'Industrial Summary'!$D:$D,$E149,'Industrial Summary'!$A:$A,"NGA")/SUMIFS('Industrial Summary'!$G:$G,'Industrial Summary'!$F:$F,K$17,'Industrial Summary'!$D:$D,$E149)),0)*0.98</f>
        <v>-2.424820983728147E-2</v>
      </c>
      <c r="L149" s="6">
        <f>IF(SUMIFS('Industrial Summary'!$G:$G,'Industrial Summary'!$F:$F,L$17,'Industrial Summary'!$D:$D,$E149)&gt;0,(-SUMIFS('Industrial Summary'!$G:$G,'Industrial Summary'!$F:$F,L$17,'Industrial Summary'!$D:$D,$E149,'Industrial Summary'!$A:$A,"NGA")/SUMIFS('Industrial Summary'!$G:$G,'Industrial Summary'!$F:$F,L$17,'Industrial Summary'!$D:$D,$E149)),0)*0.98</f>
        <v>-7.7709981749798401E-2</v>
      </c>
      <c r="M149" s="6">
        <f>IF(SUMIFS('Industrial Summary'!$G:$G,'Industrial Summary'!$F:$F,M$17,'Industrial Summary'!$D:$D,$E149)&gt;0,(-SUMIFS('Industrial Summary'!$G:$G,'Industrial Summary'!$F:$F,M$17,'Industrial Summary'!$D:$D,$E149,'Industrial Summary'!$A:$A,"NGA")/SUMIFS('Industrial Summary'!$G:$G,'Industrial Summary'!$F:$F,M$17,'Industrial Summary'!$D:$D,$E149)),0)*0.98</f>
        <v>0</v>
      </c>
      <c r="N149" s="6">
        <f>IF(SUMIFS('Industrial Summary'!$G:$G,'Industrial Summary'!$F:$F,N$17,'Industrial Summary'!$D:$D,$E149)&gt;0,(-SUMIFS('Industrial Summary'!$G:$G,'Industrial Summary'!$F:$F,N$17,'Industrial Summary'!$D:$D,$E149,'Industrial Summary'!$A:$A,"NGA")/SUMIFS('Industrial Summary'!$G:$G,'Industrial Summary'!$F:$F,N$17,'Industrial Summary'!$D:$D,$E149)),0)*0.98</f>
        <v>-7.7772604387551042E-2</v>
      </c>
      <c r="O149" s="6">
        <f>IF(SUMIFS('Industrial Summary'!$G:$G,'Industrial Summary'!$F:$F,O$17,'Industrial Summary'!$D:$D,$E149)&gt;0,(-SUMIFS('Industrial Summary'!$G:$G,'Industrial Summary'!$F:$F,O$17,'Industrial Summary'!$D:$D,$E149,'Industrial Summary'!$A:$A,"NGA")/SUMIFS('Industrial Summary'!$G:$G,'Industrial Summary'!$F:$F,O$17,'Industrial Summary'!$D:$D,$E149)),0)*0.98</f>
        <v>-1.724185886827994E-2</v>
      </c>
      <c r="P149" s="6">
        <f>IF(SUMIFS('Industrial Summary'!$G:$G,'Industrial Summary'!$F:$F,P$17,'Industrial Summary'!$D:$D,$E149)&gt;0,(-SUMIFS('Industrial Summary'!$G:$G,'Industrial Summary'!$F:$F,P$17,'Industrial Summary'!$D:$D,$E149,'Industrial Summary'!$A:$A,"NGA")/SUMIFS('Industrial Summary'!$G:$G,'Industrial Summary'!$F:$F,P$17,'Industrial Summary'!$D:$D,$E149)),0)*0.98</f>
        <v>-1.7241858868279957E-2</v>
      </c>
      <c r="Q149" s="5">
        <v>0</v>
      </c>
      <c r="R149" s="5">
        <v>15</v>
      </c>
      <c r="S149" s="5" t="str">
        <f t="shared" si="33"/>
        <v>UC_ICPMD_NGA</v>
      </c>
      <c r="V149" s="4" t="str">
        <f t="shared" si="34"/>
        <v>S_ICPMDNGA</v>
      </c>
      <c r="W149" s="4" t="str">
        <f t="shared" si="35"/>
        <v>ICPMD_NGA</v>
      </c>
      <c r="X149" s="4" t="str">
        <f t="shared" si="36"/>
        <v>ICPMDR</v>
      </c>
      <c r="Y149" s="5" t="str">
        <f t="shared" si="37"/>
        <v>LO</v>
      </c>
      <c r="Z149" s="5">
        <v>1</v>
      </c>
      <c r="AA149" s="6">
        <f t="shared" si="38"/>
        <v>0</v>
      </c>
      <c r="AB149" s="6">
        <f t="shared" si="39"/>
        <v>0</v>
      </c>
      <c r="AC149" s="6">
        <f t="shared" si="40"/>
        <v>-2.1823388853553258E-2</v>
      </c>
      <c r="AD149" s="6">
        <f t="shared" si="41"/>
        <v>-2.1823388853553324E-2</v>
      </c>
      <c r="AE149" s="6">
        <f t="shared" si="42"/>
        <v>-6.9938983574818564E-2</v>
      </c>
      <c r="AF149" s="6">
        <f t="shared" si="43"/>
        <v>0</v>
      </c>
      <c r="AG149" s="6">
        <f t="shared" si="44"/>
        <v>-6.9995343948795946E-2</v>
      </c>
      <c r="AH149" s="6">
        <f t="shared" si="45"/>
        <v>-1.5517672981451945E-2</v>
      </c>
      <c r="AI149" s="6">
        <f t="shared" si="46"/>
        <v>-1.5517672981451961E-2</v>
      </c>
      <c r="AL149" s="5" t="str">
        <f t="shared" si="47"/>
        <v>NGA</v>
      </c>
      <c r="AM149" s="5">
        <f>Y7</f>
        <v>0.9</v>
      </c>
    </row>
    <row r="150" spans="1:39" s="5" customFormat="1" x14ac:dyDescent="0.3">
      <c r="C150" s="4" t="s">
        <v>308</v>
      </c>
      <c r="D150" s="5" t="s">
        <v>309</v>
      </c>
      <c r="E150" s="5" t="s">
        <v>728</v>
      </c>
      <c r="F150" s="5" t="s">
        <v>1588</v>
      </c>
      <c r="G150" s="5">
        <v>1</v>
      </c>
      <c r="H150" s="6">
        <f>IF(SUMIFS('Industrial Summary'!$G:$G,'Industrial Summary'!$F:$F,H$17,'Industrial Summary'!$D:$D,$E150)&gt;0,(-SUMIFS('Industrial Summary'!$G:$G,'Industrial Summary'!$F:$F,H$17,'Industrial Summary'!$D:$D,$E150,'Industrial Summary'!$A:$A,"ELC")/SUMIFS('Industrial Summary'!$G:$G,'Industrial Summary'!$F:$F,H$17,'Industrial Summary'!$D:$D,$E150)),0)*0.98</f>
        <v>-0.98</v>
      </c>
      <c r="I150" s="6">
        <f>IF(SUMIFS('Industrial Summary'!$G:$G,'Industrial Summary'!$F:$F,I$17,'Industrial Summary'!$D:$D,$E150)&gt;0,(-SUMIFS('Industrial Summary'!$G:$G,'Industrial Summary'!$F:$F,I$17,'Industrial Summary'!$D:$D,$E150,'Industrial Summary'!$A:$A,"ELC")/SUMIFS('Industrial Summary'!$G:$G,'Industrial Summary'!$F:$F,I$17,'Industrial Summary'!$D:$D,$E150)),0)*0.98</f>
        <v>-0.98</v>
      </c>
      <c r="J150" s="6">
        <f>IF(SUMIFS('Industrial Summary'!$G:$G,'Industrial Summary'!$F:$F,J$17,'Industrial Summary'!$D:$D,$E150)&gt;0,(-SUMIFS('Industrial Summary'!$G:$G,'Industrial Summary'!$F:$F,J$17,'Industrial Summary'!$D:$D,$E150,'Industrial Summary'!$A:$A,"ELC")/SUMIFS('Industrial Summary'!$G:$G,'Industrial Summary'!$F:$F,J$17,'Industrial Summary'!$D:$D,$E150)),0)*0.98</f>
        <v>-0.90445239654588616</v>
      </c>
      <c r="K150" s="6">
        <f>IF(SUMIFS('Industrial Summary'!$G:$G,'Industrial Summary'!$F:$F,K$17,'Industrial Summary'!$D:$D,$E150)&gt;0,(-SUMIFS('Industrial Summary'!$G:$G,'Industrial Summary'!$F:$F,K$17,'Industrial Summary'!$D:$D,$E150,'Industrial Summary'!$A:$A,"ELC")/SUMIFS('Industrial Summary'!$G:$G,'Industrial Summary'!$F:$F,K$17,'Industrial Summary'!$D:$D,$E150)),0)*0.98</f>
        <v>-0.90445239654588594</v>
      </c>
      <c r="L150" s="6">
        <f>IF(SUMIFS('Industrial Summary'!$G:$G,'Industrial Summary'!$F:$F,L$17,'Industrial Summary'!$D:$D,$E150)&gt;0,(-SUMIFS('Industrial Summary'!$G:$G,'Industrial Summary'!$F:$F,L$17,'Industrial Summary'!$D:$D,$E150,'Industrial Summary'!$A:$A,"ELC")/SUMIFS('Industrial Summary'!$G:$G,'Industrial Summary'!$F:$F,L$17,'Industrial Summary'!$D:$D,$E150)),0)*0.98</f>
        <v>-0.76336564067656609</v>
      </c>
      <c r="M150" s="6">
        <f>IF(SUMIFS('Industrial Summary'!$G:$G,'Industrial Summary'!$F:$F,M$17,'Industrial Summary'!$D:$D,$E150)&gt;0,(-SUMIFS('Industrial Summary'!$G:$G,'Industrial Summary'!$F:$F,M$17,'Industrial Summary'!$D:$D,$E150,'Industrial Summary'!$A:$A,"ELC")/SUMIFS('Industrial Summary'!$G:$G,'Industrial Summary'!$F:$F,M$17,'Industrial Summary'!$D:$D,$E150)),0)*0.98</f>
        <v>-0.95422161268029426</v>
      </c>
      <c r="N150" s="6">
        <f>IF(SUMIFS('Industrial Summary'!$G:$G,'Industrial Summary'!$F:$F,N$17,'Industrial Summary'!$D:$D,$E150)&gt;0,(-SUMIFS('Industrial Summary'!$G:$G,'Industrial Summary'!$F:$F,N$17,'Industrial Summary'!$D:$D,$E150,'Industrial Summary'!$A:$A,"ELC")/SUMIFS('Industrial Summary'!$G:$G,'Industrial Summary'!$F:$F,N$17,'Industrial Summary'!$D:$D,$E150)),0)*0.98</f>
        <v>-0.76331265996191899</v>
      </c>
      <c r="O150" s="6">
        <f>IF(SUMIFS('Industrial Summary'!$G:$G,'Industrial Summary'!$F:$F,O$17,'Industrial Summary'!$D:$D,$E150)&gt;0,(-SUMIFS('Industrial Summary'!$G:$G,'Industrial Summary'!$F:$F,O$17,'Industrial Summary'!$D:$D,$E150,'Industrial Summary'!$A:$A,"ELC")/SUMIFS('Industrial Summary'!$G:$G,'Industrial Summary'!$F:$F,O$17,'Industrial Summary'!$D:$D,$E150)),0)*0.98</f>
        <v>-0.92543511106977971</v>
      </c>
      <c r="P150" s="6">
        <f>IF(SUMIFS('Industrial Summary'!$G:$G,'Industrial Summary'!$F:$F,P$17,'Industrial Summary'!$D:$D,$E150)&gt;0,(-SUMIFS('Industrial Summary'!$G:$G,'Industrial Summary'!$F:$F,P$17,'Industrial Summary'!$D:$D,$E150,'Industrial Summary'!$A:$A,"ELC")/SUMIFS('Industrial Summary'!$G:$G,'Industrial Summary'!$F:$F,P$17,'Industrial Summary'!$D:$D,$E150)),0)*0.98</f>
        <v>-0.92543511106977983</v>
      </c>
      <c r="Q150" s="5">
        <v>0</v>
      </c>
      <c r="R150" s="5">
        <v>15</v>
      </c>
      <c r="S150" s="5" t="str">
        <f t="shared" si="33"/>
        <v>UC_ICPFA_ELC</v>
      </c>
      <c r="V150" s="4" t="str">
        <f t="shared" si="34"/>
        <v>S_ICPFAELC</v>
      </c>
      <c r="W150" s="4" t="str">
        <f t="shared" si="35"/>
        <v>ICPFA_ELC</v>
      </c>
      <c r="X150" s="4" t="str">
        <f t="shared" si="36"/>
        <v>ICPFAC</v>
      </c>
      <c r="Y150" s="5" t="str">
        <f t="shared" si="37"/>
        <v>LO</v>
      </c>
      <c r="Z150" s="5">
        <v>1</v>
      </c>
      <c r="AA150" s="6">
        <f t="shared" si="38"/>
        <v>-0.98</v>
      </c>
      <c r="AB150" s="6">
        <f t="shared" si="39"/>
        <v>-0.98</v>
      </c>
      <c r="AC150" s="6">
        <f t="shared" si="40"/>
        <v>-0.90445239654588616</v>
      </c>
      <c r="AD150" s="6">
        <f t="shared" si="41"/>
        <v>-0.90445239654588594</v>
      </c>
      <c r="AE150" s="6">
        <f t="shared" si="42"/>
        <v>-0.76336564067656609</v>
      </c>
      <c r="AF150" s="6">
        <f t="shared" si="43"/>
        <v>-0.95422161268029426</v>
      </c>
      <c r="AG150" s="6">
        <f t="shared" si="44"/>
        <v>-0.76331265996191899</v>
      </c>
      <c r="AH150" s="6">
        <f t="shared" si="45"/>
        <v>-0.92543511106977971</v>
      </c>
      <c r="AI150" s="6">
        <f t="shared" si="46"/>
        <v>-0.92543511106977983</v>
      </c>
      <c r="AL150" s="5" t="str">
        <f t="shared" si="47"/>
        <v>ELC</v>
      </c>
      <c r="AM150" s="5">
        <f>1</f>
        <v>1</v>
      </c>
    </row>
    <row r="151" spans="1:39" s="5" customFormat="1" x14ac:dyDescent="0.3">
      <c r="A151" s="8"/>
      <c r="C151" s="4" t="s">
        <v>310</v>
      </c>
      <c r="D151" s="5" t="s">
        <v>311</v>
      </c>
      <c r="E151" s="5" t="s">
        <v>728</v>
      </c>
      <c r="F151" s="5" t="s">
        <v>1588</v>
      </c>
      <c r="G151" s="5">
        <v>1</v>
      </c>
      <c r="H151" s="6">
        <f>IF(SUMIFS('Industrial Summary'!$G:$G,'Industrial Summary'!$F:$F,H$17,'Industrial Summary'!$D:$D,$E151)&gt;0,(-SUMIFS('Industrial Summary'!$G:$G,'Industrial Summary'!$F:$F,H$17,'Industrial Summary'!$D:$D,$E151,'Industrial Summary'!$A:$A,"NGA")/SUMIFS('Industrial Summary'!$G:$G,'Industrial Summary'!$F:$F,H$17,'Industrial Summary'!$D:$D,$E151)),0)*0.98</f>
        <v>0</v>
      </c>
      <c r="I151" s="6">
        <f>IF(SUMIFS('Industrial Summary'!$G:$G,'Industrial Summary'!$F:$F,I$17,'Industrial Summary'!$D:$D,$E151)&gt;0,(-SUMIFS('Industrial Summary'!$G:$G,'Industrial Summary'!$F:$F,I$17,'Industrial Summary'!$D:$D,$E151,'Industrial Summary'!$A:$A,"NGA")/SUMIFS('Industrial Summary'!$G:$G,'Industrial Summary'!$F:$F,I$17,'Industrial Summary'!$D:$D,$E151)),0)*0.98</f>
        <v>0</v>
      </c>
      <c r="J151" s="6">
        <f>IF(SUMIFS('Industrial Summary'!$G:$G,'Industrial Summary'!$F:$F,J$17,'Industrial Summary'!$D:$D,$E151)&gt;0,(-SUMIFS('Industrial Summary'!$G:$G,'Industrial Summary'!$F:$F,J$17,'Industrial Summary'!$D:$D,$E151,'Industrial Summary'!$A:$A,"NGA")/SUMIFS('Industrial Summary'!$G:$G,'Industrial Summary'!$F:$F,J$17,'Industrial Summary'!$D:$D,$E151)),0)*0.98</f>
        <v>-7.5547603454113738E-2</v>
      </c>
      <c r="K151" s="6">
        <f>IF(SUMIFS('Industrial Summary'!$G:$G,'Industrial Summary'!$F:$F,K$17,'Industrial Summary'!$D:$D,$E151)&gt;0,(-SUMIFS('Industrial Summary'!$G:$G,'Industrial Summary'!$F:$F,K$17,'Industrial Summary'!$D:$D,$E151,'Industrial Summary'!$A:$A,"NGA")/SUMIFS('Industrial Summary'!$G:$G,'Industrial Summary'!$F:$F,K$17,'Industrial Summary'!$D:$D,$E151)),0)*0.98</f>
        <v>-7.5547603454113904E-2</v>
      </c>
      <c r="L151" s="6">
        <f>IF(SUMIFS('Industrial Summary'!$G:$G,'Industrial Summary'!$F:$F,L$17,'Industrial Summary'!$D:$D,$E151)&gt;0,(-SUMIFS('Industrial Summary'!$G:$G,'Industrial Summary'!$F:$F,L$17,'Industrial Summary'!$D:$D,$E151,'Industrial Summary'!$A:$A,"NGA")/SUMIFS('Industrial Summary'!$G:$G,'Industrial Summary'!$F:$F,L$17,'Industrial Summary'!$D:$D,$E151)),0)*0.98</f>
        <v>-0.21663435932343403</v>
      </c>
      <c r="M151" s="6">
        <f>IF(SUMIFS('Industrial Summary'!$G:$G,'Industrial Summary'!$F:$F,M$17,'Industrial Summary'!$D:$D,$E151)&gt;0,(-SUMIFS('Industrial Summary'!$G:$G,'Industrial Summary'!$F:$F,M$17,'Industrial Summary'!$D:$D,$E151,'Industrial Summary'!$A:$A,"NGA")/SUMIFS('Industrial Summary'!$G:$G,'Industrial Summary'!$F:$F,M$17,'Industrial Summary'!$D:$D,$E151)),0)*0.98</f>
        <v>-2.5778387319705706E-2</v>
      </c>
      <c r="N151" s="6">
        <f>IF(SUMIFS('Industrial Summary'!$G:$G,'Industrial Summary'!$F:$F,N$17,'Industrial Summary'!$D:$D,$E151)&gt;0,(-SUMIFS('Industrial Summary'!$G:$G,'Industrial Summary'!$F:$F,N$17,'Industrial Summary'!$D:$D,$E151,'Industrial Summary'!$A:$A,"NGA")/SUMIFS('Industrial Summary'!$G:$G,'Industrial Summary'!$F:$F,N$17,'Industrial Summary'!$D:$D,$E151)),0)*0.98</f>
        <v>-0.21668734003808096</v>
      </c>
      <c r="O151" s="6">
        <f>IF(SUMIFS('Industrial Summary'!$G:$G,'Industrial Summary'!$F:$F,O$17,'Industrial Summary'!$D:$D,$E151)&gt;0,(-SUMIFS('Industrial Summary'!$G:$G,'Industrial Summary'!$F:$F,O$17,'Industrial Summary'!$D:$D,$E151,'Industrial Summary'!$A:$A,"NGA")/SUMIFS('Industrial Summary'!$G:$G,'Industrial Summary'!$F:$F,O$17,'Industrial Summary'!$D:$D,$E151)),0)*0.98</f>
        <v>-5.4564888930220323E-2</v>
      </c>
      <c r="P151" s="6">
        <f>IF(SUMIFS('Industrial Summary'!$G:$G,'Industrial Summary'!$F:$F,P$17,'Industrial Summary'!$D:$D,$E151)&gt;0,(-SUMIFS('Industrial Summary'!$G:$G,'Industrial Summary'!$F:$F,P$17,'Industrial Summary'!$D:$D,$E151,'Industrial Summary'!$A:$A,"NGA")/SUMIFS('Industrial Summary'!$G:$G,'Industrial Summary'!$F:$F,P$17,'Industrial Summary'!$D:$D,$E151)),0)*0.98</f>
        <v>-5.4564888930220261E-2</v>
      </c>
      <c r="Q151" s="5">
        <v>0</v>
      </c>
      <c r="R151" s="5">
        <v>15</v>
      </c>
      <c r="S151" s="5" t="str">
        <f t="shared" si="33"/>
        <v>UC_ICPFA_NGA</v>
      </c>
      <c r="V151" s="4" t="str">
        <f t="shared" si="34"/>
        <v>S_ICPFANGA</v>
      </c>
      <c r="W151" s="4" t="str">
        <f t="shared" si="35"/>
        <v>ICPFA_NGA</v>
      </c>
      <c r="X151" s="4" t="str">
        <f t="shared" si="36"/>
        <v>ICPFAC</v>
      </c>
      <c r="Y151" s="5" t="str">
        <f t="shared" si="37"/>
        <v>LO</v>
      </c>
      <c r="Z151" s="5">
        <v>1</v>
      </c>
      <c r="AA151" s="6">
        <f t="shared" si="38"/>
        <v>0</v>
      </c>
      <c r="AB151" s="6">
        <f t="shared" si="39"/>
        <v>0</v>
      </c>
      <c r="AC151" s="6">
        <f t="shared" si="40"/>
        <v>-6.7992843108702364E-2</v>
      </c>
      <c r="AD151" s="6">
        <f t="shared" si="41"/>
        <v>-6.7992843108702516E-2</v>
      </c>
      <c r="AE151" s="6">
        <f t="shared" si="42"/>
        <v>-0.19497092339109062</v>
      </c>
      <c r="AF151" s="6">
        <f t="shared" si="43"/>
        <v>-2.3200548587735136E-2</v>
      </c>
      <c r="AG151" s="6">
        <f t="shared" si="44"/>
        <v>-0.19501860603427287</v>
      </c>
      <c r="AH151" s="6">
        <f t="shared" si="45"/>
        <v>-4.910840003719829E-2</v>
      </c>
      <c r="AI151" s="6">
        <f t="shared" si="46"/>
        <v>-4.9108400037198234E-2</v>
      </c>
      <c r="AL151" s="5" t="str">
        <f t="shared" si="47"/>
        <v>NGA</v>
      </c>
      <c r="AM151" s="5">
        <f>Y7</f>
        <v>0.9</v>
      </c>
    </row>
    <row r="152" spans="1:39" s="5" customFormat="1" x14ac:dyDescent="0.3">
      <c r="C152" s="4" t="s">
        <v>312</v>
      </c>
      <c r="D152" s="5" t="s">
        <v>313</v>
      </c>
      <c r="E152" s="5" t="s">
        <v>759</v>
      </c>
      <c r="F152" s="5" t="s">
        <v>1588</v>
      </c>
      <c r="G152" s="5">
        <v>1</v>
      </c>
      <c r="H152" s="6">
        <f>(IF(SUMIFS('Industrial Summary'!$G:$G,'Industrial Summary'!$F:$F,H$17,'Industrial Summary'!$D:$D,$E152)&gt;0,((-SUMIFS('Industrial Summary'!$G:$G,'Industrial Summary'!$F:$F,H$17,'Industrial Summary'!$D:$D,$E152,'Industrial Summary'!$A:$A,"ELC")+-SUMIFS('Industrial Summary'!$G:$G,'Industrial Summary'!$F:$F,H$17,'Industrial Summary'!$D:$D,"ICPRSTM",'Industrial Summary'!$A:$A,"ELC"))/SUMIFS('Industrial Summary'!$G:$G,'Industrial Summary'!$F:$F,H$17,'Industrial Summary'!$D:$D,$E152)),0))*0.98</f>
        <v>-4.4953402825673734E-2</v>
      </c>
      <c r="I152" s="6">
        <f>(IF(SUMIFS('Industrial Summary'!$G:$G,'Industrial Summary'!$F:$F,I$17,'Industrial Summary'!$D:$D,$E152)&gt;0,((-SUMIFS('Industrial Summary'!$G:$G,'Industrial Summary'!$F:$F,I$17,'Industrial Summary'!$D:$D,$E152,'Industrial Summary'!$A:$A,"ELC")+-SUMIFS('Industrial Summary'!$G:$G,'Industrial Summary'!$F:$F,I$17,'Industrial Summary'!$D:$D,"ICPRSTM",'Industrial Summary'!$A:$A,"ELC"))/SUMIFS('Industrial Summary'!$G:$G,'Industrial Summary'!$F:$F,I$17,'Industrial Summary'!$D:$D,$E152)),0))*0.98</f>
        <v>-4.4953402825673526E-2</v>
      </c>
      <c r="J152" s="6">
        <f>(IF(SUMIFS('Industrial Summary'!$G:$G,'Industrial Summary'!$F:$F,J$17,'Industrial Summary'!$D:$D,$E152)&gt;0,((-SUMIFS('Industrial Summary'!$G:$G,'Industrial Summary'!$F:$F,J$17,'Industrial Summary'!$D:$D,$E152,'Industrial Summary'!$A:$A,"ELC")+-SUMIFS('Industrial Summary'!$G:$G,'Industrial Summary'!$F:$F,J$17,'Industrial Summary'!$D:$D,"ICPRSTM",'Industrial Summary'!$A:$A,"ELC"))/SUMIFS('Industrial Summary'!$G:$G,'Industrial Summary'!$F:$F,J$17,'Industrial Summary'!$D:$D,$E152)),0))*0.98</f>
        <v>-5.1451192971357994E-2</v>
      </c>
      <c r="K152" s="6">
        <f>(IF(SUMIFS('Industrial Summary'!$G:$G,'Industrial Summary'!$F:$F,K$17,'Industrial Summary'!$D:$D,$E152)&gt;0,((-SUMIFS('Industrial Summary'!$G:$G,'Industrial Summary'!$F:$F,K$17,'Industrial Summary'!$D:$D,$E152,'Industrial Summary'!$A:$A,"ELC")+-SUMIFS('Industrial Summary'!$G:$G,'Industrial Summary'!$F:$F,K$17,'Industrial Summary'!$D:$D,"ICPRSTM",'Industrial Summary'!$A:$A,"ELC"))/SUMIFS('Industrial Summary'!$G:$G,'Industrial Summary'!$F:$F,K$17,'Industrial Summary'!$D:$D,$E152)),0))*0.98</f>
        <v>-5.1451192971357924E-2</v>
      </c>
      <c r="L152" s="6">
        <f>(IF(SUMIFS('Industrial Summary'!$G:$G,'Industrial Summary'!$F:$F,L$17,'Industrial Summary'!$D:$D,$E152)&gt;0,((-SUMIFS('Industrial Summary'!$G:$G,'Industrial Summary'!$F:$F,L$17,'Industrial Summary'!$D:$D,$E152,'Industrial Summary'!$A:$A,"ELC")+-SUMIFS('Industrial Summary'!$G:$G,'Industrial Summary'!$F:$F,L$17,'Industrial Summary'!$D:$D,"ICPRSTM",'Industrial Summary'!$A:$A,"ELC"))/SUMIFS('Industrial Summary'!$G:$G,'Industrial Summary'!$F:$F,L$17,'Industrial Summary'!$D:$D,$E152)),0))*0.98</f>
        <v>-2.2307860119588567E-2</v>
      </c>
      <c r="M152" s="6">
        <f>(IF(SUMIFS('Industrial Summary'!$G:$G,'Industrial Summary'!$F:$F,M$17,'Industrial Summary'!$D:$D,$E152)&gt;0,((-SUMIFS('Industrial Summary'!$G:$G,'Industrial Summary'!$F:$F,M$17,'Industrial Summary'!$D:$D,$E152,'Industrial Summary'!$A:$A,"ELC")+-SUMIFS('Industrial Summary'!$G:$G,'Industrial Summary'!$F:$F,M$17,'Industrial Summary'!$D:$D,"ICPRSTM",'Industrial Summary'!$A:$A,"ELC"))/SUMIFS('Industrial Summary'!$G:$G,'Industrial Summary'!$F:$F,M$17,'Industrial Summary'!$D:$D,$E152)),0))*0.98</f>
        <v>-2.7885250690474039E-2</v>
      </c>
      <c r="N152" s="6">
        <f>(IF(SUMIFS('Industrial Summary'!$G:$G,'Industrial Summary'!$F:$F,N$17,'Industrial Summary'!$D:$D,$E152)&gt;0,((-SUMIFS('Industrial Summary'!$G:$G,'Industrial Summary'!$F:$F,N$17,'Industrial Summary'!$D:$D,$E152,'Industrial Summary'!$A:$A,"ELC")+-SUMIFS('Industrial Summary'!$G:$G,'Industrial Summary'!$F:$F,N$17,'Industrial Summary'!$D:$D,"ICPRSTM",'Industrial Summary'!$A:$A,"ELC"))/SUMIFS('Industrial Summary'!$G:$G,'Industrial Summary'!$F:$F,N$17,'Industrial Summary'!$D:$D,$E152)),0))*0.98</f>
        <v>-2.2306311862359839E-2</v>
      </c>
      <c r="O152" s="6">
        <f>(IF(SUMIFS('Industrial Summary'!$G:$G,'Industrial Summary'!$F:$F,O$17,'Industrial Summary'!$D:$D,$E152)&gt;0,((-SUMIFS('Industrial Summary'!$G:$G,'Industrial Summary'!$F:$F,O$17,'Industrial Summary'!$D:$D,$E152,'Industrial Summary'!$A:$A,"ELC")+-SUMIFS('Industrial Summary'!$G:$G,'Industrial Summary'!$F:$F,O$17,'Industrial Summary'!$D:$D,"ICPRSTM",'Industrial Summary'!$A:$A,"ELC"))/SUMIFS('Industrial Summary'!$G:$G,'Industrial Summary'!$F:$F,O$17,'Industrial Summary'!$D:$D,$E152)),0))*0.98</f>
        <v>-0.98</v>
      </c>
      <c r="P152" s="6">
        <f>(IF(SUMIFS('Industrial Summary'!$G:$G,'Industrial Summary'!$F:$F,P$17,'Industrial Summary'!$D:$D,$E152)&gt;0,((-SUMIFS('Industrial Summary'!$G:$G,'Industrial Summary'!$F:$F,P$17,'Industrial Summary'!$D:$D,$E152,'Industrial Summary'!$A:$A,"ELC")+-SUMIFS('Industrial Summary'!$G:$G,'Industrial Summary'!$F:$F,P$17,'Industrial Summary'!$D:$D,"ICPRSTM",'Industrial Summary'!$A:$A,"ELC"))/SUMIFS('Industrial Summary'!$G:$G,'Industrial Summary'!$F:$F,P$17,'Industrial Summary'!$D:$D,$E152)),0))*0.98</f>
        <v>-0.98</v>
      </c>
      <c r="Q152" s="5">
        <v>0</v>
      </c>
      <c r="R152" s="5">
        <v>15</v>
      </c>
      <c r="S152" s="5" t="str">
        <f t="shared" si="33"/>
        <v>UC_ICPOH_ELC</v>
      </c>
      <c r="V152" s="4" t="str">
        <f t="shared" si="34"/>
        <v>S_ICPOHELC</v>
      </c>
      <c r="W152" s="4" t="str">
        <f t="shared" si="35"/>
        <v>ICPOH_ELC</v>
      </c>
      <c r="X152" s="4" t="str">
        <f t="shared" si="36"/>
        <v>ICPOHT</v>
      </c>
      <c r="Y152" s="5" t="str">
        <f t="shared" si="37"/>
        <v>LO</v>
      </c>
      <c r="Z152" s="5">
        <v>1</v>
      </c>
      <c r="AA152" s="6">
        <f t="shared" si="38"/>
        <v>-4.4953402825673734E-2</v>
      </c>
      <c r="AB152" s="6">
        <f t="shared" si="39"/>
        <v>-4.4953402825673526E-2</v>
      </c>
      <c r="AC152" s="6">
        <f t="shared" si="40"/>
        <v>-5.1451192971357994E-2</v>
      </c>
      <c r="AD152" s="6">
        <f t="shared" si="41"/>
        <v>-5.1451192971357924E-2</v>
      </c>
      <c r="AE152" s="6">
        <f t="shared" si="42"/>
        <v>-2.2307860119588567E-2</v>
      </c>
      <c r="AF152" s="6">
        <f t="shared" si="43"/>
        <v>-2.7885250690474039E-2</v>
      </c>
      <c r="AG152" s="6">
        <f t="shared" si="44"/>
        <v>-2.2306311862359839E-2</v>
      </c>
      <c r="AH152" s="6">
        <f t="shared" si="45"/>
        <v>-0.98</v>
      </c>
      <c r="AI152" s="6">
        <f t="shared" si="46"/>
        <v>-0.98</v>
      </c>
      <c r="AL152" s="5" t="str">
        <f t="shared" si="47"/>
        <v>ELC</v>
      </c>
      <c r="AM152" s="5">
        <f>1</f>
        <v>1</v>
      </c>
    </row>
    <row r="153" spans="1:39" s="5" customFormat="1" x14ac:dyDescent="0.3">
      <c r="C153" s="4" t="s">
        <v>314</v>
      </c>
      <c r="D153" s="5" t="s">
        <v>315</v>
      </c>
      <c r="E153" s="5" t="s">
        <v>759</v>
      </c>
      <c r="F153" s="5" t="s">
        <v>1588</v>
      </c>
      <c r="G153" s="5">
        <v>1</v>
      </c>
      <c r="H153" s="6">
        <f>(IF(SUMIFS('Industrial Summary'!$G:$G,'Industrial Summary'!$F:$F,H$17,'Industrial Summary'!$D:$D,$E153)&gt;0,((-SUMIFS('Industrial Summary'!$G:$G,'Industrial Summary'!$F:$F,H$17,'Industrial Summary'!$D:$D,$E153,'Industrial Summary'!$A:$A,"RFL")+-SUMIFS('Industrial Summary'!$G:$G,'Industrial Summary'!$F:$F,H$17,'Industrial Summary'!$D:$D,"ICPRSTM",'Industrial Summary'!$A:$A,"RFL"))/SUMIFS('Industrial Summary'!$G:$G,'Industrial Summary'!$F:$F,H$17,'Industrial Summary'!$D:$D,$E153)),0))*0.98</f>
        <v>0</v>
      </c>
      <c r="I153" s="6">
        <f>(IF(SUMIFS('Industrial Summary'!$G:$G,'Industrial Summary'!$F:$F,I$17,'Industrial Summary'!$D:$D,$E153)&gt;0,((-SUMIFS('Industrial Summary'!$G:$G,'Industrial Summary'!$F:$F,I$17,'Industrial Summary'!$D:$D,$E153,'Industrial Summary'!$A:$A,"RFL")+-SUMIFS('Industrial Summary'!$G:$G,'Industrial Summary'!$F:$F,I$17,'Industrial Summary'!$D:$D,"ICPRSTM",'Industrial Summary'!$A:$A,"RFL"))/SUMIFS('Industrial Summary'!$G:$G,'Industrial Summary'!$F:$F,I$17,'Industrial Summary'!$D:$D,$E153)),0))*0.98</f>
        <v>0</v>
      </c>
      <c r="J153" s="6">
        <f>(IF(SUMIFS('Industrial Summary'!$G:$G,'Industrial Summary'!$F:$F,J$17,'Industrial Summary'!$D:$D,$E153)&gt;0,((-SUMIFS('Industrial Summary'!$G:$G,'Industrial Summary'!$F:$F,J$17,'Industrial Summary'!$D:$D,$E153,'Industrial Summary'!$A:$A,"RFL")+-SUMIFS('Industrial Summary'!$G:$G,'Industrial Summary'!$F:$F,J$17,'Industrial Summary'!$D:$D,"ICPRSTM",'Industrial Summary'!$A:$A,"RFL"))/SUMIFS('Industrial Summary'!$G:$G,'Industrial Summary'!$F:$F,J$17,'Industrial Summary'!$D:$D,$E153)),0))*0.98</f>
        <v>0</v>
      </c>
      <c r="K153" s="6">
        <f>(IF(SUMIFS('Industrial Summary'!$G:$G,'Industrial Summary'!$F:$F,K$17,'Industrial Summary'!$D:$D,$E153)&gt;0,((-SUMIFS('Industrial Summary'!$G:$G,'Industrial Summary'!$F:$F,K$17,'Industrial Summary'!$D:$D,$E153,'Industrial Summary'!$A:$A,"RFL")+-SUMIFS('Industrial Summary'!$G:$G,'Industrial Summary'!$F:$F,K$17,'Industrial Summary'!$D:$D,"ICPRSTM",'Industrial Summary'!$A:$A,"RFL"))/SUMIFS('Industrial Summary'!$G:$G,'Industrial Summary'!$F:$F,K$17,'Industrial Summary'!$D:$D,$E153)),0))*0.98</f>
        <v>0</v>
      </c>
      <c r="L153" s="6">
        <f>(IF(SUMIFS('Industrial Summary'!$G:$G,'Industrial Summary'!$F:$F,L$17,'Industrial Summary'!$D:$D,$E153)&gt;0,((-SUMIFS('Industrial Summary'!$G:$G,'Industrial Summary'!$F:$F,L$17,'Industrial Summary'!$D:$D,$E153,'Industrial Summary'!$A:$A,"RFL")+-SUMIFS('Industrial Summary'!$G:$G,'Industrial Summary'!$F:$F,L$17,'Industrial Summary'!$D:$D,"ICPRSTM",'Industrial Summary'!$A:$A,"RFL"))/SUMIFS('Industrial Summary'!$G:$G,'Industrial Summary'!$F:$F,L$17,'Industrial Summary'!$D:$D,$E153)),0))*0.98</f>
        <v>-0.13980837040000127</v>
      </c>
      <c r="M153" s="6">
        <f>(IF(SUMIFS('Industrial Summary'!$G:$G,'Industrial Summary'!$F:$F,M$17,'Industrial Summary'!$D:$D,$E153)&gt;0,((-SUMIFS('Industrial Summary'!$G:$G,'Industrial Summary'!$F:$F,M$17,'Industrial Summary'!$D:$D,$E153,'Industrial Summary'!$A:$A,"RFL")+-SUMIFS('Industrial Summary'!$G:$G,'Industrial Summary'!$F:$F,M$17,'Industrial Summary'!$D:$D,"ICPRSTM",'Industrial Summary'!$A:$A,"RFL"))/SUMIFS('Industrial Summary'!$G:$G,'Industrial Summary'!$F:$F,M$17,'Industrial Summary'!$D:$D,$E153)),0))*0.98</f>
        <v>-0.17476312996096449</v>
      </c>
      <c r="N153" s="6">
        <f>(IF(SUMIFS('Industrial Summary'!$G:$G,'Industrial Summary'!$F:$F,N$17,'Industrial Summary'!$D:$D,$E153)&gt;0,((-SUMIFS('Industrial Summary'!$G:$G,'Industrial Summary'!$F:$F,N$17,'Industrial Summary'!$D:$D,$E153,'Industrial Summary'!$A:$A,"RFL")+-SUMIFS('Industrial Summary'!$G:$G,'Industrial Summary'!$F:$F,N$17,'Industrial Summary'!$D:$D,"ICPRSTM",'Industrial Summary'!$A:$A,"RFL"))/SUMIFS('Industrial Summary'!$G:$G,'Industrial Summary'!$F:$F,N$17,'Industrial Summary'!$D:$D,$E153)),0))*0.98</f>
        <v>-0.13979866712416286</v>
      </c>
      <c r="O153" s="6">
        <f>(IF(SUMIFS('Industrial Summary'!$G:$G,'Industrial Summary'!$F:$F,O$17,'Industrial Summary'!$D:$D,$E153)&gt;0,((-SUMIFS('Industrial Summary'!$G:$G,'Industrial Summary'!$F:$F,O$17,'Industrial Summary'!$D:$D,$E153,'Industrial Summary'!$A:$A,"RFL")+-SUMIFS('Industrial Summary'!$G:$G,'Industrial Summary'!$F:$F,O$17,'Industrial Summary'!$D:$D,"ICPRSTM",'Industrial Summary'!$A:$A,"RFL"))/SUMIFS('Industrial Summary'!$G:$G,'Industrial Summary'!$F:$F,O$17,'Industrial Summary'!$D:$D,$E153)),0))*0.98</f>
        <v>0</v>
      </c>
      <c r="P153" s="6">
        <f>(IF(SUMIFS('Industrial Summary'!$G:$G,'Industrial Summary'!$F:$F,P$17,'Industrial Summary'!$D:$D,$E153)&gt;0,((-SUMIFS('Industrial Summary'!$G:$G,'Industrial Summary'!$F:$F,P$17,'Industrial Summary'!$D:$D,$E153,'Industrial Summary'!$A:$A,"RFL")+-SUMIFS('Industrial Summary'!$G:$G,'Industrial Summary'!$F:$F,P$17,'Industrial Summary'!$D:$D,"ICPRSTM",'Industrial Summary'!$A:$A,"RFL"))/SUMIFS('Industrial Summary'!$G:$G,'Industrial Summary'!$F:$F,P$17,'Industrial Summary'!$D:$D,$E153)),0))*0.98</f>
        <v>0</v>
      </c>
      <c r="Q153" s="5">
        <v>0</v>
      </c>
      <c r="R153" s="5">
        <v>15</v>
      </c>
      <c r="S153" s="5" t="str">
        <f t="shared" si="33"/>
        <v>UC_ICPOH_RFL</v>
      </c>
      <c r="V153" s="4" t="str">
        <f t="shared" si="34"/>
        <v>S_ICPOHRFL</v>
      </c>
      <c r="W153" s="4" t="str">
        <f t="shared" si="35"/>
        <v>ICPOH_RFL</v>
      </c>
      <c r="X153" s="4" t="str">
        <f t="shared" si="36"/>
        <v>ICPOHT</v>
      </c>
      <c r="Y153" s="5" t="str">
        <f t="shared" si="37"/>
        <v>LO</v>
      </c>
      <c r="Z153" s="5">
        <v>1</v>
      </c>
      <c r="AA153" s="6">
        <f t="shared" si="38"/>
        <v>0</v>
      </c>
      <c r="AB153" s="6">
        <f t="shared" si="39"/>
        <v>0</v>
      </c>
      <c r="AC153" s="6">
        <f t="shared" si="40"/>
        <v>0</v>
      </c>
      <c r="AD153" s="6">
        <f t="shared" si="41"/>
        <v>0</v>
      </c>
      <c r="AE153" s="6">
        <f t="shared" si="42"/>
        <v>-0.13980837040000127</v>
      </c>
      <c r="AF153" s="6">
        <f t="shared" si="43"/>
        <v>-0.17476312996096449</v>
      </c>
      <c r="AG153" s="6">
        <f t="shared" si="44"/>
        <v>-0.13979866712416286</v>
      </c>
      <c r="AH153" s="6">
        <f t="shared" si="45"/>
        <v>0</v>
      </c>
      <c r="AI153" s="6">
        <f t="shared" si="46"/>
        <v>0</v>
      </c>
      <c r="AL153" s="5" t="str">
        <f t="shared" si="47"/>
        <v>RFL</v>
      </c>
      <c r="AM153" s="5">
        <f>1</f>
        <v>1</v>
      </c>
    </row>
    <row r="154" spans="1:39" s="5" customFormat="1" x14ac:dyDescent="0.3">
      <c r="C154" s="4" t="s">
        <v>316</v>
      </c>
      <c r="D154" s="5" t="s">
        <v>317</v>
      </c>
      <c r="E154" s="5" t="s">
        <v>759</v>
      </c>
      <c r="F154" s="5" t="s">
        <v>1588</v>
      </c>
      <c r="G154" s="5">
        <v>1</v>
      </c>
      <c r="H154" s="6">
        <f>(IF(SUMIFS('Industrial Summary'!$G:$G,'Industrial Summary'!$F:$F,H$17,'Industrial Summary'!$D:$D,$E154)&gt;0,((-SUMIFS('Industrial Summary'!$G:$G,'Industrial Summary'!$F:$F,H$17,'Industrial Summary'!$D:$D,$E154,'Industrial Summary'!$A:$A,"DST")+-SUMIFS('Industrial Summary'!$G:$G,'Industrial Summary'!$F:$F,H$17,'Industrial Summary'!$D:$D,"ICPRSTM",'Industrial Summary'!$A:$A,"DST"))/SUMIFS('Industrial Summary'!$G:$G,'Industrial Summary'!$F:$F,H$17,'Industrial Summary'!$D:$D,$E154)),0))*0.98</f>
        <v>0</v>
      </c>
      <c r="I154" s="6">
        <f>(IF(SUMIFS('Industrial Summary'!$G:$G,'Industrial Summary'!$F:$F,I$17,'Industrial Summary'!$D:$D,$E154)&gt;0,((-SUMIFS('Industrial Summary'!$G:$G,'Industrial Summary'!$F:$F,I$17,'Industrial Summary'!$D:$D,$E154,'Industrial Summary'!$A:$A,"DST")+-SUMIFS('Industrial Summary'!$G:$G,'Industrial Summary'!$F:$F,I$17,'Industrial Summary'!$D:$D,"ICPRSTM",'Industrial Summary'!$A:$A,"DST"))/SUMIFS('Industrial Summary'!$G:$G,'Industrial Summary'!$F:$F,I$17,'Industrial Summary'!$D:$D,$E154)),0))*0.98</f>
        <v>0</v>
      </c>
      <c r="J154" s="6">
        <f>(IF(SUMIFS('Industrial Summary'!$G:$G,'Industrial Summary'!$F:$F,J$17,'Industrial Summary'!$D:$D,$E154)&gt;0,((-SUMIFS('Industrial Summary'!$G:$G,'Industrial Summary'!$F:$F,J$17,'Industrial Summary'!$D:$D,$E154,'Industrial Summary'!$A:$A,"DST")+-SUMIFS('Industrial Summary'!$G:$G,'Industrial Summary'!$F:$F,J$17,'Industrial Summary'!$D:$D,"ICPRSTM",'Industrial Summary'!$A:$A,"DST"))/SUMIFS('Industrial Summary'!$G:$G,'Industrial Summary'!$F:$F,J$17,'Industrial Summary'!$D:$D,$E154)),0))*0.98</f>
        <v>0</v>
      </c>
      <c r="K154" s="6">
        <f>(IF(SUMIFS('Industrial Summary'!$G:$G,'Industrial Summary'!$F:$F,K$17,'Industrial Summary'!$D:$D,$E154)&gt;0,((-SUMIFS('Industrial Summary'!$G:$G,'Industrial Summary'!$F:$F,K$17,'Industrial Summary'!$D:$D,$E154,'Industrial Summary'!$A:$A,"DST")+-SUMIFS('Industrial Summary'!$G:$G,'Industrial Summary'!$F:$F,K$17,'Industrial Summary'!$D:$D,"ICPRSTM",'Industrial Summary'!$A:$A,"DST"))/SUMIFS('Industrial Summary'!$G:$G,'Industrial Summary'!$F:$F,K$17,'Industrial Summary'!$D:$D,$E154)),0))*0.98</f>
        <v>0</v>
      </c>
      <c r="L154" s="6">
        <f>(IF(SUMIFS('Industrial Summary'!$G:$G,'Industrial Summary'!$F:$F,L$17,'Industrial Summary'!$D:$D,$E154)&gt;0,((-SUMIFS('Industrial Summary'!$G:$G,'Industrial Summary'!$F:$F,L$17,'Industrial Summary'!$D:$D,$E154,'Industrial Summary'!$A:$A,"DST")+-SUMIFS('Industrial Summary'!$G:$G,'Industrial Summary'!$F:$F,L$17,'Industrial Summary'!$D:$D,"ICPRSTM",'Industrial Summary'!$A:$A,"DST"))/SUMIFS('Industrial Summary'!$G:$G,'Industrial Summary'!$F:$F,L$17,'Industrial Summary'!$D:$D,$E154)),0))*0.98</f>
        <v>-0.29085174314414408</v>
      </c>
      <c r="M154" s="6">
        <f>(IF(SUMIFS('Industrial Summary'!$G:$G,'Industrial Summary'!$F:$F,M$17,'Industrial Summary'!$D:$D,$E154)&gt;0,((-SUMIFS('Industrial Summary'!$G:$G,'Industrial Summary'!$F:$F,M$17,'Industrial Summary'!$D:$D,$E154,'Industrial Summary'!$A:$A,"DST")+-SUMIFS('Industrial Summary'!$G:$G,'Industrial Summary'!$F:$F,M$17,'Industrial Summary'!$D:$D,"ICPRSTM",'Industrial Summary'!$A:$A,"DST"))/SUMIFS('Industrial Summary'!$G:$G,'Industrial Summary'!$F:$F,M$17,'Industrial Summary'!$D:$D,$E154)),0))*0.98</f>
        <v>-0.11855153285392134</v>
      </c>
      <c r="N154" s="6">
        <f>(IF(SUMIFS('Industrial Summary'!$G:$G,'Industrial Summary'!$F:$F,N$17,'Industrial Summary'!$D:$D,$E154)&gt;0,((-SUMIFS('Industrial Summary'!$G:$G,'Industrial Summary'!$F:$F,N$17,'Industrial Summary'!$D:$D,$E154,'Industrial Summary'!$A:$A,"DST")+-SUMIFS('Industrial Summary'!$G:$G,'Industrial Summary'!$F:$F,N$17,'Industrial Summary'!$D:$D,"ICPRSTM",'Industrial Summary'!$A:$A,"DST"))/SUMIFS('Industrial Summary'!$G:$G,'Industrial Summary'!$F:$F,N$17,'Industrial Summary'!$D:$D,$E154)),0))*0.98</f>
        <v>-0.29089957286714813</v>
      </c>
      <c r="O154" s="6">
        <f>(IF(SUMIFS('Industrial Summary'!$G:$G,'Industrial Summary'!$F:$F,O$17,'Industrial Summary'!$D:$D,$E154)&gt;0,((-SUMIFS('Industrial Summary'!$G:$G,'Industrial Summary'!$F:$F,O$17,'Industrial Summary'!$D:$D,$E154,'Industrial Summary'!$A:$A,"DST")+-SUMIFS('Industrial Summary'!$G:$G,'Industrial Summary'!$F:$F,O$17,'Industrial Summary'!$D:$D,"ICPRSTM",'Industrial Summary'!$A:$A,"DST"))/SUMIFS('Industrial Summary'!$G:$G,'Industrial Summary'!$F:$F,O$17,'Industrial Summary'!$D:$D,$E154)),0))*0.98</f>
        <v>0</v>
      </c>
      <c r="P154" s="6">
        <f>(IF(SUMIFS('Industrial Summary'!$G:$G,'Industrial Summary'!$F:$F,P$17,'Industrial Summary'!$D:$D,$E154)&gt;0,((-SUMIFS('Industrial Summary'!$G:$G,'Industrial Summary'!$F:$F,P$17,'Industrial Summary'!$D:$D,$E154,'Industrial Summary'!$A:$A,"DST")+-SUMIFS('Industrial Summary'!$G:$G,'Industrial Summary'!$F:$F,P$17,'Industrial Summary'!$D:$D,"ICPRSTM",'Industrial Summary'!$A:$A,"DST"))/SUMIFS('Industrial Summary'!$G:$G,'Industrial Summary'!$F:$F,P$17,'Industrial Summary'!$D:$D,$E154)),0))*0.98</f>
        <v>0</v>
      </c>
      <c r="Q154" s="5">
        <v>0</v>
      </c>
      <c r="R154" s="5">
        <v>15</v>
      </c>
      <c r="S154" s="5" t="str">
        <f t="shared" si="33"/>
        <v>UC_ICPOH_DST</v>
      </c>
      <c r="V154" s="4" t="str">
        <f t="shared" si="34"/>
        <v>S_ICPOHDST</v>
      </c>
      <c r="W154" s="4" t="str">
        <f t="shared" si="35"/>
        <v>ICPOH_DST</v>
      </c>
      <c r="X154" s="4" t="str">
        <f t="shared" si="36"/>
        <v>ICPOHT</v>
      </c>
      <c r="Y154" s="5" t="str">
        <f t="shared" si="37"/>
        <v>LO</v>
      </c>
      <c r="Z154" s="5">
        <v>1</v>
      </c>
      <c r="AA154" s="6">
        <f t="shared" si="38"/>
        <v>0</v>
      </c>
      <c r="AB154" s="6">
        <f t="shared" si="39"/>
        <v>0</v>
      </c>
      <c r="AC154" s="6">
        <f t="shared" si="40"/>
        <v>0</v>
      </c>
      <c r="AD154" s="6">
        <f t="shared" si="41"/>
        <v>0</v>
      </c>
      <c r="AE154" s="6">
        <f t="shared" si="42"/>
        <v>-0.29085174314414408</v>
      </c>
      <c r="AF154" s="6">
        <f t="shared" si="43"/>
        <v>-0.11855153285392134</v>
      </c>
      <c r="AG154" s="6">
        <f t="shared" si="44"/>
        <v>-0.29089957286714813</v>
      </c>
      <c r="AH154" s="6">
        <f t="shared" si="45"/>
        <v>0</v>
      </c>
      <c r="AI154" s="6">
        <f t="shared" si="46"/>
        <v>0</v>
      </c>
      <c r="AL154" s="5" t="str">
        <f t="shared" si="47"/>
        <v>DST</v>
      </c>
      <c r="AM154" s="5">
        <f>1</f>
        <v>1</v>
      </c>
    </row>
    <row r="155" spans="1:39" s="5" customFormat="1" x14ac:dyDescent="0.3">
      <c r="A155" s="8"/>
      <c r="C155" s="4" t="s">
        <v>318</v>
      </c>
      <c r="D155" s="5" t="s">
        <v>319</v>
      </c>
      <c r="E155" s="5" t="s">
        <v>759</v>
      </c>
      <c r="F155" s="5" t="s">
        <v>1588</v>
      </c>
      <c r="G155" s="5">
        <v>1</v>
      </c>
      <c r="H155" s="6">
        <f>(IF(SUMIFS('Industrial Summary'!$G:$G,'Industrial Summary'!$F:$F,H$17,'Industrial Summary'!$D:$D,$E155)&gt;0,((-SUMIFS('Industrial Summary'!$G:$G,'Industrial Summary'!$F:$F,H$17,'Industrial Summary'!$D:$D,$E155,'Industrial Summary'!$A:$A,"OTP")+-SUMIFS('Industrial Summary'!$G:$G,'Industrial Summary'!$F:$F,H$17,'Industrial Summary'!$D:$D,"ICPRSTM",'Industrial Summary'!$A:$A,"OTP"))/SUMIFS('Industrial Summary'!$G:$G,'Industrial Summary'!$F:$F,H$17,'Industrial Summary'!$D:$D,$E155)),0))*0.98</f>
        <v>-0.93504659717432614</v>
      </c>
      <c r="I155" s="6">
        <f>(IF(SUMIFS('Industrial Summary'!$G:$G,'Industrial Summary'!$F:$F,I$17,'Industrial Summary'!$D:$D,$E155)&gt;0,((-SUMIFS('Industrial Summary'!$G:$G,'Industrial Summary'!$F:$F,I$17,'Industrial Summary'!$D:$D,$E155,'Industrial Summary'!$A:$A,"OTP")+-SUMIFS('Industrial Summary'!$G:$G,'Industrial Summary'!$F:$F,I$17,'Industrial Summary'!$D:$D,"ICPRSTM",'Industrial Summary'!$A:$A,"OTP"))/SUMIFS('Industrial Summary'!$G:$G,'Industrial Summary'!$F:$F,I$17,'Industrial Summary'!$D:$D,$E155)),0))*0.98</f>
        <v>-0.93504659717432648</v>
      </c>
      <c r="J155" s="6">
        <f>(IF(SUMIFS('Industrial Summary'!$G:$G,'Industrial Summary'!$F:$F,J$17,'Industrial Summary'!$D:$D,$E155)&gt;0,((-SUMIFS('Industrial Summary'!$G:$G,'Industrial Summary'!$F:$F,J$17,'Industrial Summary'!$D:$D,$E155,'Industrial Summary'!$A:$A,"OTP")+-SUMIFS('Industrial Summary'!$G:$G,'Industrial Summary'!$F:$F,J$17,'Industrial Summary'!$D:$D,"ICPRSTM",'Industrial Summary'!$A:$A,"OTP"))/SUMIFS('Industrial Summary'!$G:$G,'Industrial Summary'!$F:$F,J$17,'Industrial Summary'!$D:$D,$E155)),0))*0.98</f>
        <v>-0.92854880702864195</v>
      </c>
      <c r="K155" s="6">
        <f>(IF(SUMIFS('Industrial Summary'!$G:$G,'Industrial Summary'!$F:$F,K$17,'Industrial Summary'!$D:$D,$E155)&gt;0,((-SUMIFS('Industrial Summary'!$G:$G,'Industrial Summary'!$F:$F,K$17,'Industrial Summary'!$D:$D,$E155,'Industrial Summary'!$A:$A,"OTP")+-SUMIFS('Industrial Summary'!$G:$G,'Industrial Summary'!$F:$F,K$17,'Industrial Summary'!$D:$D,"ICPRSTM",'Industrial Summary'!$A:$A,"OTP"))/SUMIFS('Industrial Summary'!$G:$G,'Industrial Summary'!$F:$F,K$17,'Industrial Summary'!$D:$D,$E155)),0))*0.98</f>
        <v>-0.92854880702864195</v>
      </c>
      <c r="L155" s="6">
        <f>(IF(SUMIFS('Industrial Summary'!$G:$G,'Industrial Summary'!$F:$F,L$17,'Industrial Summary'!$D:$D,$E155)&gt;0,((-SUMIFS('Industrial Summary'!$G:$G,'Industrial Summary'!$F:$F,L$17,'Industrial Summary'!$D:$D,$E155,'Industrial Summary'!$A:$A,"OTP")+-SUMIFS('Industrial Summary'!$G:$G,'Industrial Summary'!$F:$F,L$17,'Industrial Summary'!$D:$D,"ICPRSTM",'Industrial Summary'!$A:$A,"OTP"))/SUMIFS('Industrial Summary'!$G:$G,'Industrial Summary'!$F:$F,L$17,'Industrial Summary'!$D:$D,$E155)),0))*0.98</f>
        <v>-0.527032026336266</v>
      </c>
      <c r="M155" s="6">
        <f>(IF(SUMIFS('Industrial Summary'!$G:$G,'Industrial Summary'!$F:$F,M$17,'Industrial Summary'!$D:$D,$E155)&gt;0,((-SUMIFS('Industrial Summary'!$G:$G,'Industrial Summary'!$F:$F,M$17,'Industrial Summary'!$D:$D,$E155,'Industrial Summary'!$A:$A,"OTP")+-SUMIFS('Industrial Summary'!$G:$G,'Industrial Summary'!$F:$F,M$17,'Industrial Summary'!$D:$D,"ICPRSTM",'Industrial Summary'!$A:$A,"OTP"))/SUMIFS('Industrial Summary'!$G:$G,'Industrial Summary'!$F:$F,M$17,'Industrial Summary'!$D:$D,$E155)),0))*0.98</f>
        <v>-0.65880008649463995</v>
      </c>
      <c r="N155" s="6">
        <f>(IF(SUMIFS('Industrial Summary'!$G:$G,'Industrial Summary'!$F:$F,N$17,'Industrial Summary'!$D:$D,$E155)&gt;0,((-SUMIFS('Industrial Summary'!$G:$G,'Industrial Summary'!$F:$F,N$17,'Industrial Summary'!$D:$D,$E155,'Industrial Summary'!$A:$A,"OTP")+-SUMIFS('Industrial Summary'!$G:$G,'Industrial Summary'!$F:$F,N$17,'Industrial Summary'!$D:$D,"ICPRSTM",'Industrial Summary'!$A:$A,"OTP"))/SUMIFS('Industrial Summary'!$G:$G,'Industrial Summary'!$F:$F,N$17,'Industrial Summary'!$D:$D,$E155)),0))*0.98</f>
        <v>-0.52699544814632915</v>
      </c>
      <c r="O155" s="6">
        <f>(IF(SUMIFS('Industrial Summary'!$G:$G,'Industrial Summary'!$F:$F,O$17,'Industrial Summary'!$D:$D,$E155)&gt;0,((-SUMIFS('Industrial Summary'!$G:$G,'Industrial Summary'!$F:$F,O$17,'Industrial Summary'!$D:$D,$E155,'Industrial Summary'!$A:$A,"OTP")+-SUMIFS('Industrial Summary'!$G:$G,'Industrial Summary'!$F:$F,O$17,'Industrial Summary'!$D:$D,"ICPRSTM",'Industrial Summary'!$A:$A,"OTP"))/SUMIFS('Industrial Summary'!$G:$G,'Industrial Summary'!$F:$F,O$17,'Industrial Summary'!$D:$D,$E155)),0))*0.98</f>
        <v>0</v>
      </c>
      <c r="P155" s="6">
        <f>(IF(SUMIFS('Industrial Summary'!$G:$G,'Industrial Summary'!$F:$F,P$17,'Industrial Summary'!$D:$D,$E155)&gt;0,((-SUMIFS('Industrial Summary'!$G:$G,'Industrial Summary'!$F:$F,P$17,'Industrial Summary'!$D:$D,$E155,'Industrial Summary'!$A:$A,"OTP")+-SUMIFS('Industrial Summary'!$G:$G,'Industrial Summary'!$F:$F,P$17,'Industrial Summary'!$D:$D,"ICPRSTM",'Industrial Summary'!$A:$A,"OTP"))/SUMIFS('Industrial Summary'!$G:$G,'Industrial Summary'!$F:$F,P$17,'Industrial Summary'!$D:$D,$E155)),0))*0.98</f>
        <v>0</v>
      </c>
      <c r="Q155" s="5">
        <v>0</v>
      </c>
      <c r="R155" s="5">
        <v>15</v>
      </c>
      <c r="S155" s="5" t="str">
        <f t="shared" si="33"/>
        <v>UC_ICPOH_OTP</v>
      </c>
      <c r="V155" s="4" t="str">
        <f t="shared" si="34"/>
        <v>S_ICPOHOTP</v>
      </c>
      <c r="W155" s="4" t="str">
        <f t="shared" si="35"/>
        <v>ICPOH_OTP</v>
      </c>
      <c r="X155" s="4" t="str">
        <f t="shared" si="36"/>
        <v>ICPOHT</v>
      </c>
      <c r="Y155" s="5" t="str">
        <f t="shared" si="37"/>
        <v>LO</v>
      </c>
      <c r="Z155" s="5">
        <v>1</v>
      </c>
      <c r="AA155" s="6">
        <f t="shared" si="38"/>
        <v>-0.93504659717432614</v>
      </c>
      <c r="AB155" s="6">
        <f t="shared" si="39"/>
        <v>-0.93504659717432648</v>
      </c>
      <c r="AC155" s="6">
        <f t="shared" si="40"/>
        <v>-0.92854880702864195</v>
      </c>
      <c r="AD155" s="6">
        <f t="shared" si="41"/>
        <v>-0.92854880702864195</v>
      </c>
      <c r="AE155" s="6">
        <f t="shared" si="42"/>
        <v>-0.527032026336266</v>
      </c>
      <c r="AF155" s="6">
        <f t="shared" si="43"/>
        <v>-0.65880008649463995</v>
      </c>
      <c r="AG155" s="6">
        <f t="shared" si="44"/>
        <v>-0.52699544814632915</v>
      </c>
      <c r="AH155" s="6">
        <f t="shared" si="45"/>
        <v>0</v>
      </c>
      <c r="AI155" s="6">
        <f t="shared" si="46"/>
        <v>0</v>
      </c>
      <c r="AL155" s="5" t="str">
        <f t="shared" si="47"/>
        <v>OTP</v>
      </c>
      <c r="AM155" s="5">
        <f>1</f>
        <v>1</v>
      </c>
    </row>
    <row r="156" spans="1:39" s="5" customFormat="1" x14ac:dyDescent="0.3">
      <c r="C156" s="4" t="s">
        <v>320</v>
      </c>
      <c r="D156" s="5" t="s">
        <v>321</v>
      </c>
      <c r="E156" s="5" t="s">
        <v>715</v>
      </c>
      <c r="F156" s="5" t="s">
        <v>1588</v>
      </c>
      <c r="G156" s="5">
        <v>1</v>
      </c>
      <c r="H156" s="6">
        <f>IF(SUMIFS('Industrial Summary'!$G:$G,'Industrial Summary'!$F:$F,H$17,'Industrial Summary'!$D:$D,$E156)&gt;0,(-SUMIFS('Industrial Summary'!$G:$G,'Industrial Summary'!$F:$F,H$17,'Industrial Summary'!$D:$D,$E156,'Industrial Summary'!$A:$A,"NGA")/SUMIFS('Industrial Summary'!$G:$G,'Industrial Summary'!$F:$F,H$17,'Industrial Summary'!$D:$D,$E156)),0)*0.98</f>
        <v>0</v>
      </c>
      <c r="I156" s="6">
        <f>IF(SUMIFS('Industrial Summary'!$G:$G,'Industrial Summary'!$F:$F,I$17,'Industrial Summary'!$D:$D,$E156)&gt;0,(-SUMIFS('Industrial Summary'!$G:$G,'Industrial Summary'!$F:$F,I$17,'Industrial Summary'!$D:$D,$E156,'Industrial Summary'!$A:$A,"NGA")/SUMIFS('Industrial Summary'!$G:$G,'Industrial Summary'!$F:$F,I$17,'Industrial Summary'!$D:$D,$E156)),0)*0.98</f>
        <v>0</v>
      </c>
      <c r="J156" s="6">
        <f>IF(SUMIFS('Industrial Summary'!$G:$G,'Industrial Summary'!$F:$F,J$17,'Industrial Summary'!$D:$D,$E156)&gt;0,(-SUMIFS('Industrial Summary'!$G:$G,'Industrial Summary'!$F:$F,J$17,'Industrial Summary'!$D:$D,$E156,'Industrial Summary'!$A:$A,"NGA")/SUMIFS('Industrial Summary'!$G:$G,'Industrial Summary'!$F:$F,J$17,'Industrial Summary'!$D:$D,$E156)),0)*0.98</f>
        <v>-0.92660023895405819</v>
      </c>
      <c r="K156" s="6">
        <f>IF(SUMIFS('Industrial Summary'!$G:$G,'Industrial Summary'!$F:$F,K$17,'Industrial Summary'!$D:$D,$E156)&gt;0,(-SUMIFS('Industrial Summary'!$G:$G,'Industrial Summary'!$F:$F,K$17,'Industrial Summary'!$D:$D,$E156,'Industrial Summary'!$A:$A,"NGA")/SUMIFS('Industrial Summary'!$G:$G,'Industrial Summary'!$F:$F,K$17,'Industrial Summary'!$D:$D,$E156)),0)*0.98</f>
        <v>-0.92660023895405896</v>
      </c>
      <c r="L156" s="6">
        <f>IF(SUMIFS('Industrial Summary'!$G:$G,'Industrial Summary'!$F:$F,L$17,'Industrial Summary'!$D:$D,$E156)&gt;0,(-SUMIFS('Industrial Summary'!$G:$G,'Industrial Summary'!$F:$F,L$17,'Industrial Summary'!$D:$D,$E156,'Industrial Summary'!$A:$A,"NGA")/SUMIFS('Industrial Summary'!$G:$G,'Industrial Summary'!$F:$F,L$17,'Industrial Summary'!$D:$D,$E156)),0)*0.98</f>
        <v>-0.98</v>
      </c>
      <c r="M156" s="6">
        <f>IF(SUMIFS('Industrial Summary'!$G:$G,'Industrial Summary'!$F:$F,M$17,'Industrial Summary'!$D:$D,$E156)&gt;0,(-SUMIFS('Industrial Summary'!$G:$G,'Industrial Summary'!$F:$F,M$17,'Industrial Summary'!$D:$D,$E156,'Industrial Summary'!$A:$A,"NGA")/SUMIFS('Industrial Summary'!$G:$G,'Industrial Summary'!$F:$F,M$17,'Industrial Summary'!$D:$D,$E156)),0)*0.98</f>
        <v>-0.98</v>
      </c>
      <c r="N156" s="6">
        <f>IF(SUMIFS('Industrial Summary'!$G:$G,'Industrial Summary'!$F:$F,N$17,'Industrial Summary'!$D:$D,$E156)&gt;0,(-SUMIFS('Industrial Summary'!$G:$G,'Industrial Summary'!$F:$F,N$17,'Industrial Summary'!$D:$D,$E156,'Industrial Summary'!$A:$A,"NGA")/SUMIFS('Industrial Summary'!$G:$G,'Industrial Summary'!$F:$F,N$17,'Industrial Summary'!$D:$D,$E156)),0)*0.98</f>
        <v>-0.98</v>
      </c>
      <c r="O156" s="6">
        <f>IF(SUMIFS('Industrial Summary'!$G:$G,'Industrial Summary'!$F:$F,O$17,'Industrial Summary'!$D:$D,$E156)&gt;0,(-SUMIFS('Industrial Summary'!$G:$G,'Industrial Summary'!$F:$F,O$17,'Industrial Summary'!$D:$D,$E156,'Industrial Summary'!$A:$A,"NGA")/SUMIFS('Industrial Summary'!$G:$G,'Industrial Summary'!$F:$F,O$17,'Industrial Summary'!$D:$D,$E156)),0)*0.98</f>
        <v>0</v>
      </c>
      <c r="P156" s="6">
        <f>IF(SUMIFS('Industrial Summary'!$G:$G,'Industrial Summary'!$F:$F,P$17,'Industrial Summary'!$D:$D,$E156)&gt;0,(-SUMIFS('Industrial Summary'!$G:$G,'Industrial Summary'!$F:$F,P$17,'Industrial Summary'!$D:$D,$E156,'Industrial Summary'!$A:$A,"NGA")/SUMIFS('Industrial Summary'!$G:$G,'Industrial Summary'!$F:$F,P$17,'Industrial Summary'!$D:$D,$E156)),0)*0.98</f>
        <v>0</v>
      </c>
      <c r="Q156" s="5">
        <v>0</v>
      </c>
      <c r="R156" s="5">
        <v>15</v>
      </c>
      <c r="S156" s="5" t="str">
        <f t="shared" si="33"/>
        <v>UC_ICAFS_NGA</v>
      </c>
      <c r="V156" s="4" t="str">
        <f t="shared" si="34"/>
        <v>S_ICAFSNGA</v>
      </c>
      <c r="W156" s="4" t="str">
        <f t="shared" si="35"/>
        <v>ICAFS_NGA</v>
      </c>
      <c r="X156" s="4" t="str">
        <f t="shared" si="36"/>
        <v>ICAFEED</v>
      </c>
      <c r="Y156" s="5" t="str">
        <f t="shared" si="37"/>
        <v>LO</v>
      </c>
      <c r="Z156" s="5">
        <v>1</v>
      </c>
      <c r="AA156" s="6">
        <f t="shared" si="38"/>
        <v>0</v>
      </c>
      <c r="AB156" s="6">
        <f t="shared" si="39"/>
        <v>0</v>
      </c>
      <c r="AC156" s="6">
        <f t="shared" si="40"/>
        <v>-0.83394021505865235</v>
      </c>
      <c r="AD156" s="6">
        <f t="shared" si="41"/>
        <v>-0.83394021505865312</v>
      </c>
      <c r="AE156" s="6">
        <f t="shared" si="42"/>
        <v>-0.88200000000000001</v>
      </c>
      <c r="AF156" s="6">
        <f t="shared" si="43"/>
        <v>-0.88200000000000001</v>
      </c>
      <c r="AG156" s="6">
        <f t="shared" si="44"/>
        <v>-0.88200000000000001</v>
      </c>
      <c r="AH156" s="6">
        <f t="shared" si="45"/>
        <v>0</v>
      </c>
      <c r="AI156" s="6">
        <f t="shared" si="46"/>
        <v>0</v>
      </c>
      <c r="AL156" s="5" t="str">
        <f t="shared" si="47"/>
        <v>NGA</v>
      </c>
      <c r="AM156" s="5">
        <f>Y7</f>
        <v>0.9</v>
      </c>
    </row>
    <row r="157" spans="1:39" s="5" customFormat="1" x14ac:dyDescent="0.3">
      <c r="A157" s="8"/>
      <c r="C157" s="4" t="s">
        <v>322</v>
      </c>
      <c r="D157" s="5" t="s">
        <v>323</v>
      </c>
      <c r="E157" s="5" t="s">
        <v>715</v>
      </c>
      <c r="F157" s="5" t="s">
        <v>1588</v>
      </c>
      <c r="G157" s="5">
        <v>1</v>
      </c>
      <c r="H157" s="6">
        <f>IF(SUMIFS('Industrial Summary'!$G:$G,'Industrial Summary'!$F:$F,H$17,'Industrial Summary'!$D:$D,$E157)&gt;0,(-SUMIFS('Industrial Summary'!$G:$G,'Industrial Summary'!$F:$F,H$17,'Industrial Summary'!$D:$D,$E157,'Industrial Summary'!$A:$A,"PFS")/SUMIFS('Industrial Summary'!$G:$G,'Industrial Summary'!$F:$F,H$17,'Industrial Summary'!$D:$D,$E157)),0)*0.98</f>
        <v>0</v>
      </c>
      <c r="I157" s="6">
        <f>IF(SUMIFS('Industrial Summary'!$G:$G,'Industrial Summary'!$F:$F,I$17,'Industrial Summary'!$D:$D,$E157)&gt;0,(-SUMIFS('Industrial Summary'!$G:$G,'Industrial Summary'!$F:$F,I$17,'Industrial Summary'!$D:$D,$E157,'Industrial Summary'!$A:$A,"PFS")/SUMIFS('Industrial Summary'!$G:$G,'Industrial Summary'!$F:$F,I$17,'Industrial Summary'!$D:$D,$E157)),0)*0.98</f>
        <v>0</v>
      </c>
      <c r="J157" s="6">
        <f>IF(SUMIFS('Industrial Summary'!$G:$G,'Industrial Summary'!$F:$F,J$17,'Industrial Summary'!$D:$D,$E157)&gt;0,(-SUMIFS('Industrial Summary'!$G:$G,'Industrial Summary'!$F:$F,J$17,'Industrial Summary'!$D:$D,$E157,'Industrial Summary'!$A:$A,"PFS")/SUMIFS('Industrial Summary'!$G:$G,'Industrial Summary'!$F:$F,J$17,'Industrial Summary'!$D:$D,$E157)),0)*0.98</f>
        <v>-5.3399761045941692E-2</v>
      </c>
      <c r="K157" s="6">
        <f>IF(SUMIFS('Industrial Summary'!$G:$G,'Industrial Summary'!$F:$F,K$17,'Industrial Summary'!$D:$D,$E157)&gt;0,(-SUMIFS('Industrial Summary'!$G:$G,'Industrial Summary'!$F:$F,K$17,'Industrial Summary'!$D:$D,$E157,'Industrial Summary'!$A:$A,"PFS")/SUMIFS('Industrial Summary'!$G:$G,'Industrial Summary'!$F:$F,K$17,'Industrial Summary'!$D:$D,$E157)),0)*0.98</f>
        <v>-5.3399761045941081E-2</v>
      </c>
      <c r="L157" s="6">
        <f>IF(SUMIFS('Industrial Summary'!$G:$G,'Industrial Summary'!$F:$F,L$17,'Industrial Summary'!$D:$D,$E157)&gt;0,(-SUMIFS('Industrial Summary'!$G:$G,'Industrial Summary'!$F:$F,L$17,'Industrial Summary'!$D:$D,$E157,'Industrial Summary'!$A:$A,"PFS")/SUMIFS('Industrial Summary'!$G:$G,'Industrial Summary'!$F:$F,L$17,'Industrial Summary'!$D:$D,$E157)),0)*0.98</f>
        <v>0</v>
      </c>
      <c r="M157" s="6">
        <f>IF(SUMIFS('Industrial Summary'!$G:$G,'Industrial Summary'!$F:$F,M$17,'Industrial Summary'!$D:$D,$E157)&gt;0,(-SUMIFS('Industrial Summary'!$G:$G,'Industrial Summary'!$F:$F,M$17,'Industrial Summary'!$D:$D,$E157,'Industrial Summary'!$A:$A,"PFS")/SUMIFS('Industrial Summary'!$G:$G,'Industrial Summary'!$F:$F,M$17,'Industrial Summary'!$D:$D,$E157)),0)*0.98</f>
        <v>0</v>
      </c>
      <c r="N157" s="6">
        <f>IF(SUMIFS('Industrial Summary'!$G:$G,'Industrial Summary'!$F:$F,N$17,'Industrial Summary'!$D:$D,$E157)&gt;0,(-SUMIFS('Industrial Summary'!$G:$G,'Industrial Summary'!$F:$F,N$17,'Industrial Summary'!$D:$D,$E157,'Industrial Summary'!$A:$A,"PFS")/SUMIFS('Industrial Summary'!$G:$G,'Industrial Summary'!$F:$F,N$17,'Industrial Summary'!$D:$D,$E157)),0)*0.98</f>
        <v>0</v>
      </c>
      <c r="O157" s="6">
        <f>IF(SUMIFS('Industrial Summary'!$G:$G,'Industrial Summary'!$F:$F,O$17,'Industrial Summary'!$D:$D,$E157)&gt;0,(-SUMIFS('Industrial Summary'!$G:$G,'Industrial Summary'!$F:$F,O$17,'Industrial Summary'!$D:$D,$E157,'Industrial Summary'!$A:$A,"PFS")/SUMIFS('Industrial Summary'!$G:$G,'Industrial Summary'!$F:$F,O$17,'Industrial Summary'!$D:$D,$E157)),0)*0.98</f>
        <v>0</v>
      </c>
      <c r="P157" s="6">
        <f>IF(SUMIFS('Industrial Summary'!$G:$G,'Industrial Summary'!$F:$F,P$17,'Industrial Summary'!$D:$D,$E157)&gt;0,(-SUMIFS('Industrial Summary'!$G:$G,'Industrial Summary'!$F:$F,P$17,'Industrial Summary'!$D:$D,$E157,'Industrial Summary'!$A:$A,"PFS")/SUMIFS('Industrial Summary'!$G:$G,'Industrial Summary'!$F:$F,P$17,'Industrial Summary'!$D:$D,$E157)),0)*0.98</f>
        <v>0</v>
      </c>
      <c r="Q157" s="5">
        <v>0</v>
      </c>
      <c r="R157" s="5">
        <v>15</v>
      </c>
      <c r="S157" s="5" t="str">
        <f t="shared" si="33"/>
        <v>UC_ICAFS_PFS</v>
      </c>
      <c r="V157" s="4" t="str">
        <f t="shared" si="34"/>
        <v>S_ICAFSPFS</v>
      </c>
      <c r="W157" s="4" t="str">
        <f t="shared" si="35"/>
        <v>ICAFS_PFS</v>
      </c>
      <c r="X157" s="4" t="str">
        <f t="shared" si="36"/>
        <v>ICAFEED</v>
      </c>
      <c r="Y157" s="5" t="str">
        <f t="shared" si="37"/>
        <v>LO</v>
      </c>
      <c r="Z157" s="5">
        <v>1</v>
      </c>
      <c r="AA157" s="6">
        <f t="shared" si="38"/>
        <v>0</v>
      </c>
      <c r="AB157" s="6">
        <f t="shared" si="39"/>
        <v>0</v>
      </c>
      <c r="AC157" s="6">
        <f t="shared" si="40"/>
        <v>-5.3399761045941692E-2</v>
      </c>
      <c r="AD157" s="6">
        <f t="shared" si="41"/>
        <v>-5.3399761045941081E-2</v>
      </c>
      <c r="AE157" s="6">
        <f t="shared" si="42"/>
        <v>0</v>
      </c>
      <c r="AF157" s="6">
        <f t="shared" si="43"/>
        <v>0</v>
      </c>
      <c r="AG157" s="6">
        <f t="shared" si="44"/>
        <v>0</v>
      </c>
      <c r="AH157" s="6">
        <f t="shared" si="45"/>
        <v>0</v>
      </c>
      <c r="AI157" s="6">
        <f t="shared" si="46"/>
        <v>0</v>
      </c>
      <c r="AL157" s="5" t="str">
        <f t="shared" si="47"/>
        <v>PFS</v>
      </c>
      <c r="AM157" s="5">
        <f>1</f>
        <v>1</v>
      </c>
    </row>
    <row r="158" spans="1:39" s="5" customFormat="1" x14ac:dyDescent="0.3">
      <c r="C158" s="4" t="s">
        <v>324</v>
      </c>
      <c r="D158" s="5" t="s">
        <v>325</v>
      </c>
      <c r="E158" s="5" t="s">
        <v>776</v>
      </c>
      <c r="F158" s="5" t="s">
        <v>1588</v>
      </c>
      <c r="G158" s="5">
        <v>1</v>
      </c>
      <c r="H158" s="6">
        <f>(IF(SUMIFS('Industrial Summary'!$G:$G,'Industrial Summary'!$F:$F,H$17,'Industrial Summary'!$D:$D,$E158)&gt;0,((-SUMIFS('Industrial Summary'!$G:$G,'Industrial Summary'!$F:$F,H$17,'Industrial Summary'!$D:$D,$E158,'Industrial Summary'!$A:$A,"NGA")+-SUMIFS('Industrial Summary'!$G:$G,'Industrial Summary'!$F:$F,H$17,'Industrial Summary'!$D:$D,"ICAFSTM",'Industrial Summary'!$A:$A,"NGA"))/SUMIFS('Industrial Summary'!$G:$G,'Industrial Summary'!$F:$F,H$17,'Industrial Summary'!$D:$D,$E158)),0))*0.98</f>
        <v>0</v>
      </c>
      <c r="I158" s="6">
        <f>(IF(SUMIFS('Industrial Summary'!$G:$G,'Industrial Summary'!$F:$F,I$17,'Industrial Summary'!$D:$D,$E158)&gt;0,((-SUMIFS('Industrial Summary'!$G:$G,'Industrial Summary'!$F:$F,I$17,'Industrial Summary'!$D:$D,$E158,'Industrial Summary'!$A:$A,"NGA")+-SUMIFS('Industrial Summary'!$G:$G,'Industrial Summary'!$F:$F,I$17,'Industrial Summary'!$D:$D,"ICAFSTM",'Industrial Summary'!$A:$A,"NGA"))/SUMIFS('Industrial Summary'!$G:$G,'Industrial Summary'!$F:$F,I$17,'Industrial Summary'!$D:$D,$E158)),0))*0.98</f>
        <v>0</v>
      </c>
      <c r="J158" s="6">
        <f>(IF(SUMIFS('Industrial Summary'!$G:$G,'Industrial Summary'!$F:$F,J$17,'Industrial Summary'!$D:$D,$E158)&gt;0,((-SUMIFS('Industrial Summary'!$G:$G,'Industrial Summary'!$F:$F,J$17,'Industrial Summary'!$D:$D,$E158,'Industrial Summary'!$A:$A,"NGA")+-SUMIFS('Industrial Summary'!$G:$G,'Industrial Summary'!$F:$F,J$17,'Industrial Summary'!$D:$D,"ICAFSTM",'Industrial Summary'!$A:$A,"NGA"))/SUMIFS('Industrial Summary'!$G:$G,'Industrial Summary'!$F:$F,J$17,'Industrial Summary'!$D:$D,$E158)),0))*0.98</f>
        <v>-0.98</v>
      </c>
      <c r="K158" s="6">
        <f>(IF(SUMIFS('Industrial Summary'!$G:$G,'Industrial Summary'!$F:$F,K$17,'Industrial Summary'!$D:$D,$E158)&gt;0,((-SUMIFS('Industrial Summary'!$G:$G,'Industrial Summary'!$F:$F,K$17,'Industrial Summary'!$D:$D,$E158,'Industrial Summary'!$A:$A,"NGA")+-SUMIFS('Industrial Summary'!$G:$G,'Industrial Summary'!$F:$F,K$17,'Industrial Summary'!$D:$D,"ICAFSTM",'Industrial Summary'!$A:$A,"NGA"))/SUMIFS('Industrial Summary'!$G:$G,'Industrial Summary'!$F:$F,K$17,'Industrial Summary'!$D:$D,$E158)),0))*0.98</f>
        <v>-0.98</v>
      </c>
      <c r="L158" s="6">
        <f>(IF(SUMIFS('Industrial Summary'!$G:$G,'Industrial Summary'!$F:$F,L$17,'Industrial Summary'!$D:$D,$E158)&gt;0,((-SUMIFS('Industrial Summary'!$G:$G,'Industrial Summary'!$F:$F,L$17,'Industrial Summary'!$D:$D,$E158,'Industrial Summary'!$A:$A,"NGA")+-SUMIFS('Industrial Summary'!$G:$G,'Industrial Summary'!$F:$F,L$17,'Industrial Summary'!$D:$D,"ICAFSTM",'Industrial Summary'!$A:$A,"NGA"))/SUMIFS('Industrial Summary'!$G:$G,'Industrial Summary'!$F:$F,L$17,'Industrial Summary'!$D:$D,$E158)),0))*0.98</f>
        <v>-0.98</v>
      </c>
      <c r="M158" s="6">
        <f>(IF(SUMIFS('Industrial Summary'!$G:$G,'Industrial Summary'!$F:$F,M$17,'Industrial Summary'!$D:$D,$E158)&gt;0,((-SUMIFS('Industrial Summary'!$G:$G,'Industrial Summary'!$F:$F,M$17,'Industrial Summary'!$D:$D,$E158,'Industrial Summary'!$A:$A,"NGA")+-SUMIFS('Industrial Summary'!$G:$G,'Industrial Summary'!$F:$F,M$17,'Industrial Summary'!$D:$D,"ICAFSTM",'Industrial Summary'!$A:$A,"NGA"))/SUMIFS('Industrial Summary'!$G:$G,'Industrial Summary'!$F:$F,M$17,'Industrial Summary'!$D:$D,$E158)),0))*0.98</f>
        <v>-0.98</v>
      </c>
      <c r="N158" s="6">
        <f>(IF(SUMIFS('Industrial Summary'!$G:$G,'Industrial Summary'!$F:$F,N$17,'Industrial Summary'!$D:$D,$E158)&gt;0,((-SUMIFS('Industrial Summary'!$G:$G,'Industrial Summary'!$F:$F,N$17,'Industrial Summary'!$D:$D,$E158,'Industrial Summary'!$A:$A,"NGA")+-SUMIFS('Industrial Summary'!$G:$G,'Industrial Summary'!$F:$F,N$17,'Industrial Summary'!$D:$D,"ICAFSTM",'Industrial Summary'!$A:$A,"NGA"))/SUMIFS('Industrial Summary'!$G:$G,'Industrial Summary'!$F:$F,N$17,'Industrial Summary'!$D:$D,$E158)),0))*0.98</f>
        <v>-0.98</v>
      </c>
      <c r="O158" s="6">
        <f>(IF(SUMIFS('Industrial Summary'!$G:$G,'Industrial Summary'!$F:$F,O$17,'Industrial Summary'!$D:$D,$E158)&gt;0,((-SUMIFS('Industrial Summary'!$G:$G,'Industrial Summary'!$F:$F,O$17,'Industrial Summary'!$D:$D,$E158,'Industrial Summary'!$A:$A,"NGA")+-SUMIFS('Industrial Summary'!$G:$G,'Industrial Summary'!$F:$F,O$17,'Industrial Summary'!$D:$D,"ICAFSTM",'Industrial Summary'!$A:$A,"NGA"))/SUMIFS('Industrial Summary'!$G:$G,'Industrial Summary'!$F:$F,O$17,'Industrial Summary'!$D:$D,$E158)),0))*0.98</f>
        <v>-0.98</v>
      </c>
      <c r="P158" s="6">
        <f>(IF(SUMIFS('Industrial Summary'!$G:$G,'Industrial Summary'!$F:$F,P$17,'Industrial Summary'!$D:$D,$E158)&gt;0,((-SUMIFS('Industrial Summary'!$G:$G,'Industrial Summary'!$F:$F,P$17,'Industrial Summary'!$D:$D,$E158,'Industrial Summary'!$A:$A,"NGA")+-SUMIFS('Industrial Summary'!$G:$G,'Industrial Summary'!$F:$F,P$17,'Industrial Summary'!$D:$D,"ICAFSTM",'Industrial Summary'!$A:$A,"NGA"))/SUMIFS('Industrial Summary'!$G:$G,'Industrial Summary'!$F:$F,P$17,'Industrial Summary'!$D:$D,$E158)),0))*0.98</f>
        <v>0</v>
      </c>
      <c r="Q158" s="5">
        <v>0</v>
      </c>
      <c r="R158" s="5">
        <v>15</v>
      </c>
      <c r="S158" s="5" t="str">
        <f t="shared" si="33"/>
        <v>UC_ICAST_NGA</v>
      </c>
      <c r="V158" s="4" t="str">
        <f t="shared" si="34"/>
        <v>S_ICASTNGA</v>
      </c>
      <c r="W158" s="4" t="str">
        <f t="shared" si="35"/>
        <v>ICAST_NGA</v>
      </c>
      <c r="X158" s="4" t="str">
        <f t="shared" si="36"/>
        <v>ICASTM</v>
      </c>
      <c r="Y158" s="5" t="str">
        <f t="shared" si="37"/>
        <v>LO</v>
      </c>
      <c r="Z158" s="5">
        <v>1</v>
      </c>
      <c r="AA158" s="6">
        <f t="shared" si="38"/>
        <v>0</v>
      </c>
      <c r="AB158" s="6">
        <f t="shared" si="39"/>
        <v>0</v>
      </c>
      <c r="AC158" s="6">
        <f t="shared" si="40"/>
        <v>-0.88200000000000001</v>
      </c>
      <c r="AD158" s="6">
        <f t="shared" si="41"/>
        <v>-0.88200000000000001</v>
      </c>
      <c r="AE158" s="6">
        <f t="shared" si="42"/>
        <v>-0.88200000000000001</v>
      </c>
      <c r="AF158" s="6">
        <f t="shared" si="43"/>
        <v>-0.88200000000000001</v>
      </c>
      <c r="AG158" s="6">
        <f t="shared" si="44"/>
        <v>-0.88200000000000001</v>
      </c>
      <c r="AH158" s="6">
        <f t="shared" si="45"/>
        <v>-0.88200000000000001</v>
      </c>
      <c r="AI158" s="6">
        <f t="shared" si="46"/>
        <v>0</v>
      </c>
      <c r="AL158" s="5" t="str">
        <f t="shared" si="47"/>
        <v>NGA</v>
      </c>
      <c r="AM158" s="5">
        <f>Y7</f>
        <v>0.9</v>
      </c>
    </row>
    <row r="159" spans="1:39" s="5" customFormat="1" x14ac:dyDescent="0.3">
      <c r="A159" s="8"/>
      <c r="C159" s="4" t="s">
        <v>1525</v>
      </c>
      <c r="D159" s="5" t="s">
        <v>1526</v>
      </c>
      <c r="E159" s="5" t="s">
        <v>776</v>
      </c>
      <c r="F159" s="5" t="s">
        <v>1591</v>
      </c>
      <c r="G159" s="5">
        <v>1</v>
      </c>
      <c r="H159" s="6">
        <f>(IF(SUMIFS('Industrial Summary'!$G:$G,'Industrial Summary'!$F:$F,H$17,'Industrial Summary'!$D:$D,$E159)&gt;0,((-SUMIFS('Industrial Summary'!$G:$G,'Industrial Summary'!$F:$F,H$17,'Industrial Summary'!$D:$D,$E159,'Industrial Summary'!$A:$A,"COA")+-SUMIFS('Industrial Summary'!$G:$G,'Industrial Summary'!$F:$F,H$17,'Industrial Summary'!$D:$D,"ICAFSTM",'Industrial Summary'!$A:$A,"COA"))/SUMIFS('Industrial Summary'!$G:$G,'Industrial Summary'!$F:$F,H$17,'Industrial Summary'!$D:$D,$E159)),0))*0.98</f>
        <v>0</v>
      </c>
      <c r="I159" s="6">
        <f>(IF(SUMIFS('Industrial Summary'!$G:$G,'Industrial Summary'!$F:$F,I$17,'Industrial Summary'!$D:$D,$E159)&gt;0,((-SUMIFS('Industrial Summary'!$G:$G,'Industrial Summary'!$F:$F,I$17,'Industrial Summary'!$D:$D,$E159,'Industrial Summary'!$A:$A,"COA")+-SUMIFS('Industrial Summary'!$G:$G,'Industrial Summary'!$F:$F,I$17,'Industrial Summary'!$D:$D,"ICAFSTM",'Industrial Summary'!$A:$A,"COA"))/SUMIFS('Industrial Summary'!$G:$G,'Industrial Summary'!$F:$F,I$17,'Industrial Summary'!$D:$D,$E159)),0))*0.98</f>
        <v>0</v>
      </c>
      <c r="J159" s="6">
        <f>(IF(SUMIFS('Industrial Summary'!$G:$G,'Industrial Summary'!$F:$F,J$17,'Industrial Summary'!$D:$D,$E159)&gt;0,((-SUMIFS('Industrial Summary'!$G:$G,'Industrial Summary'!$F:$F,J$17,'Industrial Summary'!$D:$D,$E159,'Industrial Summary'!$A:$A,"COA")+-SUMIFS('Industrial Summary'!$G:$G,'Industrial Summary'!$F:$F,J$17,'Industrial Summary'!$D:$D,"ICAFSTM",'Industrial Summary'!$A:$A,"COA"))/SUMIFS('Industrial Summary'!$G:$G,'Industrial Summary'!$F:$F,J$17,'Industrial Summary'!$D:$D,$E159)),0))*0.98</f>
        <v>0</v>
      </c>
      <c r="K159" s="6">
        <f>(IF(SUMIFS('Industrial Summary'!$G:$G,'Industrial Summary'!$F:$F,K$17,'Industrial Summary'!$D:$D,$E159)&gt;0,((-SUMIFS('Industrial Summary'!$G:$G,'Industrial Summary'!$F:$F,K$17,'Industrial Summary'!$D:$D,$E159,'Industrial Summary'!$A:$A,"COA")+-SUMIFS('Industrial Summary'!$G:$G,'Industrial Summary'!$F:$F,K$17,'Industrial Summary'!$D:$D,"ICAFSTM",'Industrial Summary'!$A:$A,"COA"))/SUMIFS('Industrial Summary'!$G:$G,'Industrial Summary'!$F:$F,K$17,'Industrial Summary'!$D:$D,$E159)),0))*0.98</f>
        <v>0</v>
      </c>
      <c r="L159" s="6">
        <f>(IF(SUMIFS('Industrial Summary'!$G:$G,'Industrial Summary'!$F:$F,L$17,'Industrial Summary'!$D:$D,$E159)&gt;0,((-SUMIFS('Industrial Summary'!$G:$G,'Industrial Summary'!$F:$F,L$17,'Industrial Summary'!$D:$D,$E159,'Industrial Summary'!$A:$A,"COA")+-SUMIFS('Industrial Summary'!$G:$G,'Industrial Summary'!$F:$F,L$17,'Industrial Summary'!$D:$D,"ICAFSTM",'Industrial Summary'!$A:$A,"COA"))/SUMIFS('Industrial Summary'!$G:$G,'Industrial Summary'!$F:$F,L$17,'Industrial Summary'!$D:$D,$E159)),0))*0.98</f>
        <v>0</v>
      </c>
      <c r="M159" s="6">
        <f>(IF(SUMIFS('Industrial Summary'!$G:$G,'Industrial Summary'!$F:$F,M$17,'Industrial Summary'!$D:$D,$E159)&gt;0,((-SUMIFS('Industrial Summary'!$G:$G,'Industrial Summary'!$F:$F,M$17,'Industrial Summary'!$D:$D,$E159,'Industrial Summary'!$A:$A,"COA")+-SUMIFS('Industrial Summary'!$G:$G,'Industrial Summary'!$F:$F,M$17,'Industrial Summary'!$D:$D,"ICAFSTM",'Industrial Summary'!$A:$A,"COA"))/SUMIFS('Industrial Summary'!$G:$G,'Industrial Summary'!$F:$F,M$17,'Industrial Summary'!$D:$D,$E159)),0))*0.98</f>
        <v>0</v>
      </c>
      <c r="N159" s="6">
        <f>(IF(SUMIFS('Industrial Summary'!$G:$G,'Industrial Summary'!$F:$F,N$17,'Industrial Summary'!$D:$D,$E159)&gt;0,((-SUMIFS('Industrial Summary'!$G:$G,'Industrial Summary'!$F:$F,N$17,'Industrial Summary'!$D:$D,$E159,'Industrial Summary'!$A:$A,"COA")+-SUMIFS('Industrial Summary'!$G:$G,'Industrial Summary'!$F:$F,N$17,'Industrial Summary'!$D:$D,"ICAFSTM",'Industrial Summary'!$A:$A,"COA"))/SUMIFS('Industrial Summary'!$G:$G,'Industrial Summary'!$F:$F,N$17,'Industrial Summary'!$D:$D,$E159)),0))*0.98</f>
        <v>0</v>
      </c>
      <c r="O159" s="6">
        <f>(IF(SUMIFS('Industrial Summary'!$G:$G,'Industrial Summary'!$F:$F,O$17,'Industrial Summary'!$D:$D,$E159)&gt;0,((-SUMIFS('Industrial Summary'!$G:$G,'Industrial Summary'!$F:$F,O$17,'Industrial Summary'!$D:$D,$E159,'Industrial Summary'!$A:$A,"COA")+-SUMIFS('Industrial Summary'!$G:$G,'Industrial Summary'!$F:$F,O$17,'Industrial Summary'!$D:$D,"ICAFSTM",'Industrial Summary'!$A:$A,"COA"))/SUMIFS('Industrial Summary'!$G:$G,'Industrial Summary'!$F:$F,O$17,'Industrial Summary'!$D:$D,$E159)),0))*0.98</f>
        <v>0</v>
      </c>
      <c r="P159" s="6">
        <f>(IF(SUMIFS('Industrial Summary'!$G:$G,'Industrial Summary'!$F:$F,P$17,'Industrial Summary'!$D:$D,$E159)&gt;0,((-SUMIFS('Industrial Summary'!$G:$G,'Industrial Summary'!$F:$F,P$17,'Industrial Summary'!$D:$D,$E159,'Industrial Summary'!$A:$A,"COA")+-SUMIFS('Industrial Summary'!$G:$G,'Industrial Summary'!$F:$F,P$17,'Industrial Summary'!$D:$D,"ICAFSTM",'Industrial Summary'!$A:$A,"COA"))/SUMIFS('Industrial Summary'!$G:$G,'Industrial Summary'!$F:$F,P$17,'Industrial Summary'!$D:$D,$E159)),0))*0.98</f>
        <v>0</v>
      </c>
      <c r="Q159" s="5">
        <v>0</v>
      </c>
      <c r="R159" s="5">
        <v>15</v>
      </c>
      <c r="S159" s="5" t="str">
        <f t="shared" si="33"/>
        <v>UC_ICAST_COA</v>
      </c>
      <c r="V159" s="4" t="str">
        <f t="shared" si="34"/>
        <v>S_ICASTCOA</v>
      </c>
      <c r="W159" s="4" t="str">
        <f t="shared" si="35"/>
        <v>ICAST_COA</v>
      </c>
      <c r="X159" s="4" t="str">
        <f t="shared" si="36"/>
        <v>ICASTM</v>
      </c>
      <c r="Y159" s="5" t="str">
        <f t="shared" si="37"/>
        <v>UP</v>
      </c>
      <c r="Z159" s="5">
        <v>1</v>
      </c>
      <c r="AA159" s="6">
        <f t="shared" si="38"/>
        <v>0</v>
      </c>
      <c r="AB159" s="6">
        <f t="shared" si="39"/>
        <v>0</v>
      </c>
      <c r="AC159" s="6">
        <f t="shared" si="40"/>
        <v>0</v>
      </c>
      <c r="AD159" s="6">
        <f t="shared" si="41"/>
        <v>0</v>
      </c>
      <c r="AE159" s="6">
        <f t="shared" si="42"/>
        <v>0</v>
      </c>
      <c r="AF159" s="6">
        <f t="shared" si="43"/>
        <v>0</v>
      </c>
      <c r="AG159" s="6">
        <f t="shared" si="44"/>
        <v>0</v>
      </c>
      <c r="AH159" s="6">
        <f t="shared" si="45"/>
        <v>0</v>
      </c>
      <c r="AI159" s="6">
        <f t="shared" si="46"/>
        <v>0</v>
      </c>
      <c r="AL159" s="5" t="str">
        <f t="shared" si="47"/>
        <v>COA</v>
      </c>
      <c r="AM159" s="5">
        <f>Z7</f>
        <v>0.64</v>
      </c>
    </row>
    <row r="160" spans="1:39" s="5" customFormat="1" x14ac:dyDescent="0.3">
      <c r="C160" s="4" t="s">
        <v>327</v>
      </c>
      <c r="D160" s="5" t="s">
        <v>328</v>
      </c>
      <c r="E160" s="5" t="s">
        <v>792</v>
      </c>
      <c r="F160" s="5" t="s">
        <v>1588</v>
      </c>
      <c r="G160" s="5">
        <v>1</v>
      </c>
      <c r="H160" s="6">
        <f>IF(SUMIFS('Industrial Summary'!$G:$G,'Industrial Summary'!$F:$F,H$17,'Industrial Summary'!$D:$D,$E160)&gt;0,(-SUMIFS('Industrial Summary'!$G:$G,'Industrial Summary'!$F:$F,H$17,'Industrial Summary'!$D:$D,$E160,'Industrial Summary'!$A:$A,"ELC")/SUMIFS('Industrial Summary'!$G:$G,'Industrial Summary'!$F:$F,H$17,'Industrial Summary'!$D:$D,$E160)),0)*0.98</f>
        <v>0</v>
      </c>
      <c r="I160" s="6">
        <f>IF(SUMIFS('Industrial Summary'!$G:$G,'Industrial Summary'!$F:$F,I$17,'Industrial Summary'!$D:$D,$E160)&gt;0,(-SUMIFS('Industrial Summary'!$G:$G,'Industrial Summary'!$F:$F,I$17,'Industrial Summary'!$D:$D,$E160,'Industrial Summary'!$A:$A,"ELC")/SUMIFS('Industrial Summary'!$G:$G,'Industrial Summary'!$F:$F,I$17,'Industrial Summary'!$D:$D,$E160)),0)*0.98</f>
        <v>0</v>
      </c>
      <c r="J160" s="6">
        <f>IF(SUMIFS('Industrial Summary'!$G:$G,'Industrial Summary'!$F:$F,J$17,'Industrial Summary'!$D:$D,$E160)&gt;0,(-SUMIFS('Industrial Summary'!$G:$G,'Industrial Summary'!$F:$F,J$17,'Industrial Summary'!$D:$D,$E160,'Industrial Summary'!$A:$A,"ELC")/SUMIFS('Industrial Summary'!$G:$G,'Industrial Summary'!$F:$F,J$17,'Industrial Summary'!$D:$D,$E160)),0)*0.98</f>
        <v>-1.597852873572438E-2</v>
      </c>
      <c r="K160" s="6">
        <f>IF(SUMIFS('Industrial Summary'!$G:$G,'Industrial Summary'!$F:$F,K$17,'Industrial Summary'!$D:$D,$E160)&gt;0,(-SUMIFS('Industrial Summary'!$G:$G,'Industrial Summary'!$F:$F,K$17,'Industrial Summary'!$D:$D,$E160,'Industrial Summary'!$A:$A,"ELC")/SUMIFS('Industrial Summary'!$G:$G,'Industrial Summary'!$F:$F,K$17,'Industrial Summary'!$D:$D,$E160)),0)*0.98</f>
        <v>-1.5978528735724369E-2</v>
      </c>
      <c r="L160" s="6">
        <f>IF(SUMIFS('Industrial Summary'!$G:$G,'Industrial Summary'!$F:$F,L$17,'Industrial Summary'!$D:$D,$E160)&gt;0,(-SUMIFS('Industrial Summary'!$G:$G,'Industrial Summary'!$F:$F,L$17,'Industrial Summary'!$D:$D,$E160,'Industrial Summary'!$A:$A,"ELC")/SUMIFS('Industrial Summary'!$G:$G,'Industrial Summary'!$F:$F,L$17,'Industrial Summary'!$D:$D,$E160)),0)*0.98</f>
        <v>-9.8471816694076873E-3</v>
      </c>
      <c r="M160" s="6">
        <f>IF(SUMIFS('Industrial Summary'!$G:$G,'Industrial Summary'!$F:$F,M$17,'Industrial Summary'!$D:$D,$E160)&gt;0,(-SUMIFS('Industrial Summary'!$G:$G,'Industrial Summary'!$F:$F,M$17,'Industrial Summary'!$D:$D,$E160,'Industrial Summary'!$A:$A,"ELC")/SUMIFS('Industrial Summary'!$G:$G,'Industrial Summary'!$F:$F,M$17,'Industrial Summary'!$D:$D,$E160)),0)*0.98</f>
        <v>-9.8471816694076023E-3</v>
      </c>
      <c r="N160" s="6">
        <f>IF(SUMIFS('Industrial Summary'!$G:$G,'Industrial Summary'!$F:$F,N$17,'Industrial Summary'!$D:$D,$E160)&gt;0,(-SUMIFS('Industrial Summary'!$G:$G,'Industrial Summary'!$F:$F,N$17,'Industrial Summary'!$D:$D,$E160,'Industrial Summary'!$A:$A,"ELC")/SUMIFS('Industrial Summary'!$G:$G,'Industrial Summary'!$F:$F,N$17,'Industrial Summary'!$D:$D,$E160)),0)*0.98</f>
        <v>-9.8690064586299669E-3</v>
      </c>
      <c r="O160" s="6">
        <f>IF(SUMIFS('Industrial Summary'!$G:$G,'Industrial Summary'!$F:$F,O$17,'Industrial Summary'!$D:$D,$E160)&gt;0,(-SUMIFS('Industrial Summary'!$G:$G,'Industrial Summary'!$F:$F,O$17,'Industrial Summary'!$D:$D,$E160,'Industrial Summary'!$A:$A,"ELC")/SUMIFS('Industrial Summary'!$G:$G,'Industrial Summary'!$F:$F,O$17,'Industrial Summary'!$D:$D,$E160)),0)*0.98</f>
        <v>-6.625990668550083E-2</v>
      </c>
      <c r="P160" s="6">
        <f>IF(SUMIFS('Industrial Summary'!$G:$G,'Industrial Summary'!$F:$F,P$17,'Industrial Summary'!$D:$D,$E160)&gt;0,(-SUMIFS('Industrial Summary'!$G:$G,'Industrial Summary'!$F:$F,P$17,'Industrial Summary'!$D:$D,$E160,'Industrial Summary'!$A:$A,"ELC")/SUMIFS('Industrial Summary'!$G:$G,'Industrial Summary'!$F:$F,P$17,'Industrial Summary'!$D:$D,$E160)),0)*0.98</f>
        <v>-6.6259906685498374E-2</v>
      </c>
      <c r="Q160" s="5">
        <v>0</v>
      </c>
      <c r="R160" s="5">
        <v>15</v>
      </c>
      <c r="S160" s="5" t="str">
        <f t="shared" si="33"/>
        <v>UC_ICAPH_ELC</v>
      </c>
      <c r="V160" s="4" t="str">
        <f t="shared" si="34"/>
        <v>S_ICAPHELC</v>
      </c>
      <c r="W160" s="4" t="str">
        <f t="shared" si="35"/>
        <v>ICAPH_ELC</v>
      </c>
      <c r="X160" s="4" t="str">
        <f t="shared" si="36"/>
        <v>ICAPRH</v>
      </c>
      <c r="Y160" s="5" t="str">
        <f t="shared" si="37"/>
        <v>LO</v>
      </c>
      <c r="Z160" s="5">
        <v>1</v>
      </c>
      <c r="AA160" s="6">
        <f t="shared" si="38"/>
        <v>0</v>
      </c>
      <c r="AB160" s="6">
        <f t="shared" si="39"/>
        <v>0</v>
      </c>
      <c r="AC160" s="6">
        <f t="shared" si="40"/>
        <v>-1.597852873572438E-2</v>
      </c>
      <c r="AD160" s="6">
        <f t="shared" si="41"/>
        <v>-1.5978528735724369E-2</v>
      </c>
      <c r="AE160" s="6">
        <f t="shared" si="42"/>
        <v>-9.8471816694076873E-3</v>
      </c>
      <c r="AF160" s="6">
        <f t="shared" si="43"/>
        <v>-9.8471816694076023E-3</v>
      </c>
      <c r="AG160" s="6">
        <f t="shared" si="44"/>
        <v>-9.8690064586299669E-3</v>
      </c>
      <c r="AH160" s="6">
        <f t="shared" si="45"/>
        <v>-6.625990668550083E-2</v>
      </c>
      <c r="AI160" s="6">
        <f t="shared" si="46"/>
        <v>-6.6259906685498374E-2</v>
      </c>
      <c r="AL160" s="5" t="str">
        <f t="shared" si="47"/>
        <v>ELC</v>
      </c>
      <c r="AM160" s="5">
        <f>1</f>
        <v>1</v>
      </c>
    </row>
    <row r="161" spans="1:39" s="5" customFormat="1" x14ac:dyDescent="0.3">
      <c r="C161" s="4" t="s">
        <v>329</v>
      </c>
      <c r="D161" s="5" t="s">
        <v>330</v>
      </c>
      <c r="E161" s="5" t="s">
        <v>792</v>
      </c>
      <c r="F161" s="5" t="s">
        <v>1588</v>
      </c>
      <c r="G161" s="5">
        <v>1</v>
      </c>
      <c r="H161" s="6">
        <f>IF(SUMIFS('Industrial Summary'!$G:$G,'Industrial Summary'!$F:$F,H$17,'Industrial Summary'!$D:$D,$E161)&gt;0,(-SUMIFS('Industrial Summary'!$G:$G,'Industrial Summary'!$F:$F,H$17,'Industrial Summary'!$D:$D,$E161,'Industrial Summary'!$A:$A,"NGA")/SUMIFS('Industrial Summary'!$G:$G,'Industrial Summary'!$F:$F,H$17,'Industrial Summary'!$D:$D,$E161)),0)*0.98</f>
        <v>0</v>
      </c>
      <c r="I161" s="6">
        <f>IF(SUMIFS('Industrial Summary'!$G:$G,'Industrial Summary'!$F:$F,I$17,'Industrial Summary'!$D:$D,$E161)&gt;0,(-SUMIFS('Industrial Summary'!$G:$G,'Industrial Summary'!$F:$F,I$17,'Industrial Summary'!$D:$D,$E161,'Industrial Summary'!$A:$A,"NGA")/SUMIFS('Industrial Summary'!$G:$G,'Industrial Summary'!$F:$F,I$17,'Industrial Summary'!$D:$D,$E161)),0)*0.98</f>
        <v>0</v>
      </c>
      <c r="J161" s="6">
        <f>IF(SUMIFS('Industrial Summary'!$G:$G,'Industrial Summary'!$F:$F,J$17,'Industrial Summary'!$D:$D,$E161)&gt;0,(-SUMIFS('Industrial Summary'!$G:$G,'Industrial Summary'!$F:$F,J$17,'Industrial Summary'!$D:$D,$E161,'Industrial Summary'!$A:$A,"NGA")/SUMIFS('Industrial Summary'!$G:$G,'Industrial Summary'!$F:$F,J$17,'Industrial Summary'!$D:$D,$E161)),0)*0.98</f>
        <v>-0.96402147126427551</v>
      </c>
      <c r="K161" s="6">
        <f>IF(SUMIFS('Industrial Summary'!$G:$G,'Industrial Summary'!$F:$F,K$17,'Industrial Summary'!$D:$D,$E161)&gt;0,(-SUMIFS('Industrial Summary'!$G:$G,'Industrial Summary'!$F:$F,K$17,'Industrial Summary'!$D:$D,$E161,'Industrial Summary'!$A:$A,"NGA")/SUMIFS('Industrial Summary'!$G:$G,'Industrial Summary'!$F:$F,K$17,'Industrial Summary'!$D:$D,$E161)),0)*0.98</f>
        <v>-0.96402147126427562</v>
      </c>
      <c r="L161" s="6">
        <f>IF(SUMIFS('Industrial Summary'!$G:$G,'Industrial Summary'!$F:$F,L$17,'Industrial Summary'!$D:$D,$E161)&gt;0,(-SUMIFS('Industrial Summary'!$G:$G,'Industrial Summary'!$F:$F,L$17,'Industrial Summary'!$D:$D,$E161,'Industrial Summary'!$A:$A,"NGA")/SUMIFS('Industrial Summary'!$G:$G,'Industrial Summary'!$F:$F,L$17,'Industrial Summary'!$D:$D,$E161)),0)*0.98</f>
        <v>-0.95056507069014751</v>
      </c>
      <c r="M161" s="6">
        <f>IF(SUMIFS('Industrial Summary'!$G:$G,'Industrial Summary'!$F:$F,M$17,'Industrial Summary'!$D:$D,$E161)&gt;0,(-SUMIFS('Industrial Summary'!$G:$G,'Industrial Summary'!$F:$F,M$17,'Industrial Summary'!$D:$D,$E161,'Industrial Summary'!$A:$A,"NGA")/SUMIFS('Industrial Summary'!$G:$G,'Industrial Summary'!$F:$F,M$17,'Industrial Summary'!$D:$D,$E161)),0)*0.98</f>
        <v>-0.95056507069014762</v>
      </c>
      <c r="N161" s="6">
        <f>IF(SUMIFS('Industrial Summary'!$G:$G,'Industrial Summary'!$F:$F,N$17,'Industrial Summary'!$D:$D,$E161)&gt;0,(-SUMIFS('Industrial Summary'!$G:$G,'Industrial Summary'!$F:$F,N$17,'Industrial Summary'!$D:$D,$E161,'Industrial Summary'!$A:$A,"NGA")/SUMIFS('Industrial Summary'!$G:$G,'Industrial Summary'!$F:$F,N$17,'Industrial Summary'!$D:$D,$E161)),0)*0.98</f>
        <v>-0.95049983262005522</v>
      </c>
      <c r="O161" s="6">
        <f>IF(SUMIFS('Industrial Summary'!$G:$G,'Industrial Summary'!$F:$F,O$17,'Industrial Summary'!$D:$D,$E161)&gt;0,(-SUMIFS('Industrial Summary'!$G:$G,'Industrial Summary'!$F:$F,O$17,'Industrial Summary'!$D:$D,$E161,'Industrial Summary'!$A:$A,"NGA")/SUMIFS('Industrial Summary'!$G:$G,'Industrial Summary'!$F:$F,O$17,'Industrial Summary'!$D:$D,$E161)),0)*0.98</f>
        <v>-0.91374009331449901</v>
      </c>
      <c r="P161" s="6">
        <f>IF(SUMIFS('Industrial Summary'!$G:$G,'Industrial Summary'!$F:$F,P$17,'Industrial Summary'!$D:$D,$E161)&gt;0,(-SUMIFS('Industrial Summary'!$G:$G,'Industrial Summary'!$F:$F,P$17,'Industrial Summary'!$D:$D,$E161,'Industrial Summary'!$A:$A,"NGA")/SUMIFS('Industrial Summary'!$G:$G,'Industrial Summary'!$F:$F,P$17,'Industrial Summary'!$D:$D,$E161)),0)*0.98</f>
        <v>-0.91374009331450157</v>
      </c>
      <c r="Q161" s="5">
        <v>0</v>
      </c>
      <c r="R161" s="5">
        <v>15</v>
      </c>
      <c r="S161" s="5" t="str">
        <f t="shared" si="33"/>
        <v>UC_ICAPH_NGA</v>
      </c>
      <c r="V161" s="4" t="str">
        <f t="shared" si="34"/>
        <v>S_ICAPHNGA</v>
      </c>
      <c r="W161" s="4" t="str">
        <f t="shared" si="35"/>
        <v>ICAPH_NGA</v>
      </c>
      <c r="X161" s="4" t="str">
        <f t="shared" si="36"/>
        <v>ICAPRH</v>
      </c>
      <c r="Y161" s="5" t="str">
        <f t="shared" si="37"/>
        <v>LO</v>
      </c>
      <c r="Z161" s="5">
        <v>1</v>
      </c>
      <c r="AA161" s="6">
        <f t="shared" si="38"/>
        <v>0</v>
      </c>
      <c r="AB161" s="6">
        <f t="shared" si="39"/>
        <v>0</v>
      </c>
      <c r="AC161" s="6">
        <f t="shared" si="40"/>
        <v>-0.86761932413784792</v>
      </c>
      <c r="AD161" s="6">
        <f t="shared" si="41"/>
        <v>-0.86761932413784804</v>
      </c>
      <c r="AE161" s="6">
        <f t="shared" si="42"/>
        <v>-0.85550856362113281</v>
      </c>
      <c r="AF161" s="6">
        <f t="shared" si="43"/>
        <v>-0.85550856362113292</v>
      </c>
      <c r="AG161" s="6">
        <f t="shared" si="44"/>
        <v>-0.85544984935804969</v>
      </c>
      <c r="AH161" s="6">
        <f t="shared" si="45"/>
        <v>-0.82236608398304911</v>
      </c>
      <c r="AI161" s="6">
        <f t="shared" si="46"/>
        <v>-0.82236608398305144</v>
      </c>
      <c r="AL161" s="5" t="str">
        <f t="shared" si="47"/>
        <v>NGA</v>
      </c>
      <c r="AM161" s="5">
        <f>Y7</f>
        <v>0.9</v>
      </c>
    </row>
    <row r="162" spans="1:39" s="5" customFormat="1" x14ac:dyDescent="0.3">
      <c r="A162" s="8"/>
      <c r="C162" s="4" t="s">
        <v>331</v>
      </c>
      <c r="D162" s="5" t="s">
        <v>332</v>
      </c>
      <c r="E162" s="5" t="s">
        <v>792</v>
      </c>
      <c r="F162" s="5" t="s">
        <v>1591</v>
      </c>
      <c r="G162" s="5">
        <v>1</v>
      </c>
      <c r="H162" s="6">
        <f>IF(SUMIFS('Industrial Summary'!$G:$G,'Industrial Summary'!$F:$F,H$17,'Industrial Summary'!$D:$D,$E162)&gt;0,(-SUMIFS('Industrial Summary'!$G:$G,'Industrial Summary'!$F:$F,H$17,'Industrial Summary'!$D:$D,$E162,'Industrial Summary'!$A:$A,"COA")/SUMIFS('Industrial Summary'!$G:$G,'Industrial Summary'!$F:$F,H$17,'Industrial Summary'!$D:$D,$E162)),0)*0.98</f>
        <v>0</v>
      </c>
      <c r="I162" s="6">
        <f>IF(SUMIFS('Industrial Summary'!$G:$G,'Industrial Summary'!$F:$F,I$17,'Industrial Summary'!$D:$D,$E162)&gt;0,(-SUMIFS('Industrial Summary'!$G:$G,'Industrial Summary'!$F:$F,I$17,'Industrial Summary'!$D:$D,$E162,'Industrial Summary'!$A:$A,"COA")/SUMIFS('Industrial Summary'!$G:$G,'Industrial Summary'!$F:$F,I$17,'Industrial Summary'!$D:$D,$E162)),0)*0.98</f>
        <v>0</v>
      </c>
      <c r="J162" s="6">
        <f>IF(SUMIFS('Industrial Summary'!$G:$G,'Industrial Summary'!$F:$F,J$17,'Industrial Summary'!$D:$D,$E162)&gt;0,(-SUMIFS('Industrial Summary'!$G:$G,'Industrial Summary'!$F:$F,J$17,'Industrial Summary'!$D:$D,$E162,'Industrial Summary'!$A:$A,"COA")/SUMIFS('Industrial Summary'!$G:$G,'Industrial Summary'!$F:$F,J$17,'Industrial Summary'!$D:$D,$E162)),0)*0.98</f>
        <v>0</v>
      </c>
      <c r="K162" s="6">
        <f>IF(SUMIFS('Industrial Summary'!$G:$G,'Industrial Summary'!$F:$F,K$17,'Industrial Summary'!$D:$D,$E162)&gt;0,(-SUMIFS('Industrial Summary'!$G:$G,'Industrial Summary'!$F:$F,K$17,'Industrial Summary'!$D:$D,$E162,'Industrial Summary'!$A:$A,"COA")/SUMIFS('Industrial Summary'!$G:$G,'Industrial Summary'!$F:$F,K$17,'Industrial Summary'!$D:$D,$E162)),0)*0.98</f>
        <v>0</v>
      </c>
      <c r="L162" s="6">
        <f>IF(SUMIFS('Industrial Summary'!$G:$G,'Industrial Summary'!$F:$F,L$17,'Industrial Summary'!$D:$D,$E162)&gt;0,(-SUMIFS('Industrial Summary'!$G:$G,'Industrial Summary'!$F:$F,L$17,'Industrial Summary'!$D:$D,$E162,'Industrial Summary'!$A:$A,"COA")/SUMIFS('Industrial Summary'!$G:$G,'Industrial Summary'!$F:$F,L$17,'Industrial Summary'!$D:$D,$E162)),0)*0.98</f>
        <v>-1.9587747640444703E-2</v>
      </c>
      <c r="M162" s="6">
        <f>IF(SUMIFS('Industrial Summary'!$G:$G,'Industrial Summary'!$F:$F,M$17,'Industrial Summary'!$D:$D,$E162)&gt;0,(-SUMIFS('Industrial Summary'!$G:$G,'Industrial Summary'!$F:$F,M$17,'Industrial Summary'!$D:$D,$E162,'Industrial Summary'!$A:$A,"COA")/SUMIFS('Industrial Summary'!$G:$G,'Industrial Summary'!$F:$F,M$17,'Industrial Summary'!$D:$D,$E162)),0)*0.98</f>
        <v>-1.9587747640444658E-2</v>
      </c>
      <c r="N162" s="6">
        <f>IF(SUMIFS('Industrial Summary'!$G:$G,'Industrial Summary'!$F:$F,N$17,'Industrial Summary'!$D:$D,$E162)&gt;0,(-SUMIFS('Industrial Summary'!$G:$G,'Industrial Summary'!$F:$F,N$17,'Industrial Summary'!$D:$D,$E162,'Industrial Summary'!$A:$A,"COA")/SUMIFS('Industrial Summary'!$G:$G,'Industrial Summary'!$F:$F,N$17,'Industrial Summary'!$D:$D,$E162)),0)*0.98</f>
        <v>-1.9631160921314793E-2</v>
      </c>
      <c r="O162" s="6">
        <f>IF(SUMIFS('Industrial Summary'!$G:$G,'Industrial Summary'!$F:$F,O$17,'Industrial Summary'!$D:$D,$E162)&gt;0,(-SUMIFS('Industrial Summary'!$G:$G,'Industrial Summary'!$F:$F,O$17,'Industrial Summary'!$D:$D,$E162,'Industrial Summary'!$A:$A,"COA")/SUMIFS('Industrial Summary'!$G:$G,'Industrial Summary'!$F:$F,O$17,'Industrial Summary'!$D:$D,$E162)),0)*0.98</f>
        <v>0</v>
      </c>
      <c r="P162" s="6">
        <f>IF(SUMIFS('Industrial Summary'!$G:$G,'Industrial Summary'!$F:$F,P$17,'Industrial Summary'!$D:$D,$E162)&gt;0,(-SUMIFS('Industrial Summary'!$G:$G,'Industrial Summary'!$F:$F,P$17,'Industrial Summary'!$D:$D,$E162,'Industrial Summary'!$A:$A,"COA")/SUMIFS('Industrial Summary'!$G:$G,'Industrial Summary'!$F:$F,P$17,'Industrial Summary'!$D:$D,$E162)),0)*0.98</f>
        <v>0</v>
      </c>
      <c r="Q162" s="5">
        <v>0</v>
      </c>
      <c r="R162" s="5">
        <v>15</v>
      </c>
      <c r="S162" s="5" t="str">
        <f t="shared" si="33"/>
        <v>UC_ICAPH_COA</v>
      </c>
      <c r="V162" s="4" t="str">
        <f t="shared" si="34"/>
        <v>S_ICAPHCOA</v>
      </c>
      <c r="W162" s="4" t="str">
        <f t="shared" si="35"/>
        <v>ICAPH_COA</v>
      </c>
      <c r="X162" s="4" t="str">
        <f t="shared" si="36"/>
        <v>ICAPRH</v>
      </c>
      <c r="Y162" s="5" t="str">
        <f t="shared" si="37"/>
        <v>UP</v>
      </c>
      <c r="Z162" s="5">
        <v>1</v>
      </c>
      <c r="AA162" s="6">
        <f t="shared" si="38"/>
        <v>0</v>
      </c>
      <c r="AB162" s="6">
        <f t="shared" si="39"/>
        <v>0</v>
      </c>
      <c r="AC162" s="6">
        <f t="shared" si="40"/>
        <v>0</v>
      </c>
      <c r="AD162" s="6">
        <f t="shared" si="41"/>
        <v>0</v>
      </c>
      <c r="AE162" s="6">
        <f t="shared" si="42"/>
        <v>-1.2536158489884611E-2</v>
      </c>
      <c r="AF162" s="6">
        <f t="shared" si="43"/>
        <v>-1.2536158489884581E-2</v>
      </c>
      <c r="AG162" s="6">
        <f t="shared" si="44"/>
        <v>-1.2563942989641468E-2</v>
      </c>
      <c r="AH162" s="6">
        <f t="shared" si="45"/>
        <v>0</v>
      </c>
      <c r="AI162" s="6">
        <f t="shared" si="46"/>
        <v>0</v>
      </c>
      <c r="AL162" s="5" t="str">
        <f t="shared" si="47"/>
        <v>COA</v>
      </c>
      <c r="AM162" s="5">
        <f>Z7</f>
        <v>0.64</v>
      </c>
    </row>
    <row r="163" spans="1:39" s="5" customFormat="1" x14ac:dyDescent="0.3">
      <c r="C163" s="4" t="s">
        <v>333</v>
      </c>
      <c r="D163" s="5" t="s">
        <v>334</v>
      </c>
      <c r="E163" s="5" t="s">
        <v>745</v>
      </c>
      <c r="F163" s="5" t="s">
        <v>1588</v>
      </c>
      <c r="G163" s="5">
        <v>1</v>
      </c>
      <c r="H163" s="6">
        <f>IF(SUMIFS('Industrial Summary'!$G:$G,'Industrial Summary'!$F:$F,H$17,'Industrial Summary'!$D:$D,$E163)&gt;0,(-SUMIFS('Industrial Summary'!$G:$G,'Industrial Summary'!$F:$F,H$17,'Industrial Summary'!$D:$D,$E163,'Industrial Summary'!$A:$A,"ELC")/SUMIFS('Industrial Summary'!$G:$G,'Industrial Summary'!$F:$F,H$17,'Industrial Summary'!$D:$D,$E163)),0)*0.98</f>
        <v>0</v>
      </c>
      <c r="I163" s="6">
        <f>IF(SUMIFS('Industrial Summary'!$G:$G,'Industrial Summary'!$F:$F,I$17,'Industrial Summary'!$D:$D,$E163)&gt;0,(-SUMIFS('Industrial Summary'!$G:$G,'Industrial Summary'!$F:$F,I$17,'Industrial Summary'!$D:$D,$E163,'Industrial Summary'!$A:$A,"ELC")/SUMIFS('Industrial Summary'!$G:$G,'Industrial Summary'!$F:$F,I$17,'Industrial Summary'!$D:$D,$E163)),0)*0.98</f>
        <v>0</v>
      </c>
      <c r="J163" s="6">
        <f>IF(SUMIFS('Industrial Summary'!$G:$G,'Industrial Summary'!$F:$F,J$17,'Industrial Summary'!$D:$D,$E163)&gt;0,(-SUMIFS('Industrial Summary'!$G:$G,'Industrial Summary'!$F:$F,J$17,'Industrial Summary'!$D:$D,$E163,'Industrial Summary'!$A:$A,"ELC")/SUMIFS('Industrial Summary'!$G:$G,'Industrial Summary'!$F:$F,J$17,'Industrial Summary'!$D:$D,$E163)),0)*0.98</f>
        <v>-0.88747143322617628</v>
      </c>
      <c r="K163" s="6">
        <f>IF(SUMIFS('Industrial Summary'!$G:$G,'Industrial Summary'!$F:$F,K$17,'Industrial Summary'!$D:$D,$E163)&gt;0,(-SUMIFS('Industrial Summary'!$G:$G,'Industrial Summary'!$F:$F,K$17,'Industrial Summary'!$D:$D,$E163,'Industrial Summary'!$A:$A,"ELC")/SUMIFS('Industrial Summary'!$G:$G,'Industrial Summary'!$F:$F,K$17,'Industrial Summary'!$D:$D,$E163)),0)*0.98</f>
        <v>-0.8874714332261765</v>
      </c>
      <c r="L163" s="6">
        <f>IF(SUMIFS('Industrial Summary'!$G:$G,'Industrial Summary'!$F:$F,L$17,'Industrial Summary'!$D:$D,$E163)&gt;0,(-SUMIFS('Industrial Summary'!$G:$G,'Industrial Summary'!$F:$F,L$17,'Industrial Summary'!$D:$D,$E163,'Industrial Summary'!$A:$A,"ELC")/SUMIFS('Industrial Summary'!$G:$G,'Industrial Summary'!$F:$F,L$17,'Industrial Summary'!$D:$D,$E163)),0)*0.98</f>
        <v>-0.83989146187155417</v>
      </c>
      <c r="M163" s="6">
        <f>IF(SUMIFS('Industrial Summary'!$G:$G,'Industrial Summary'!$F:$F,M$17,'Industrial Summary'!$D:$D,$E163)&gt;0,(-SUMIFS('Industrial Summary'!$G:$G,'Industrial Summary'!$F:$F,M$17,'Industrial Summary'!$D:$D,$E163,'Industrial Summary'!$A:$A,"ELC")/SUMIFS('Industrial Summary'!$G:$G,'Industrial Summary'!$F:$F,M$17,'Industrial Summary'!$D:$D,$E163)),0)*0.98</f>
        <v>-0.83989146187155461</v>
      </c>
      <c r="N163" s="6">
        <f>IF(SUMIFS('Industrial Summary'!$G:$G,'Industrial Summary'!$F:$F,N$17,'Industrial Summary'!$D:$D,$E163)&gt;0,(-SUMIFS('Industrial Summary'!$G:$G,'Industrial Summary'!$F:$F,N$17,'Industrial Summary'!$D:$D,$E163,'Industrial Summary'!$A:$A,"ELC")/SUMIFS('Industrial Summary'!$G:$G,'Industrial Summary'!$F:$F,N$17,'Industrial Summary'!$D:$D,$E163)),0)*0.98</f>
        <v>-0.84175295430059094</v>
      </c>
      <c r="O163" s="6">
        <f>IF(SUMIFS('Industrial Summary'!$G:$G,'Industrial Summary'!$F:$F,O$17,'Industrial Summary'!$D:$D,$E163)&gt;0,(-SUMIFS('Industrial Summary'!$G:$G,'Industrial Summary'!$F:$F,O$17,'Industrial Summary'!$D:$D,$E163,'Industrial Summary'!$A:$A,"ELC")/SUMIFS('Industrial Summary'!$G:$G,'Industrial Summary'!$F:$F,O$17,'Industrial Summary'!$D:$D,$E163)),0)*0.98</f>
        <v>-0.95718916570807022</v>
      </c>
      <c r="P163" s="6">
        <f>IF(SUMIFS('Industrial Summary'!$G:$G,'Industrial Summary'!$F:$F,P$17,'Industrial Summary'!$D:$D,$E163)&gt;0,(-SUMIFS('Industrial Summary'!$G:$G,'Industrial Summary'!$F:$F,P$17,'Industrial Summary'!$D:$D,$E163,'Industrial Summary'!$A:$A,"ELC")/SUMIFS('Industrial Summary'!$G:$G,'Industrial Summary'!$F:$F,P$17,'Industrial Summary'!$D:$D,$E163)),0)*0.98</f>
        <v>-0.95718916570806489</v>
      </c>
      <c r="Q163" s="5">
        <v>0</v>
      </c>
      <c r="R163" s="5">
        <v>15</v>
      </c>
      <c r="S163" s="5" t="str">
        <f t="shared" si="33"/>
        <v>UC_ICAMD_ELC</v>
      </c>
      <c r="V163" s="4" t="str">
        <f t="shared" si="34"/>
        <v>S_ICAMDELC</v>
      </c>
      <c r="W163" s="4" t="str">
        <f t="shared" si="35"/>
        <v>ICAMD_ELC</v>
      </c>
      <c r="X163" s="4" t="str">
        <f t="shared" si="36"/>
        <v>ICAMDR</v>
      </c>
      <c r="Y163" s="5" t="str">
        <f t="shared" si="37"/>
        <v>LO</v>
      </c>
      <c r="Z163" s="5">
        <v>1</v>
      </c>
      <c r="AA163" s="6">
        <f t="shared" si="38"/>
        <v>0</v>
      </c>
      <c r="AB163" s="6">
        <f t="shared" si="39"/>
        <v>0</v>
      </c>
      <c r="AC163" s="6">
        <f t="shared" si="40"/>
        <v>-0.88747143322617628</v>
      </c>
      <c r="AD163" s="6">
        <f t="shared" si="41"/>
        <v>-0.8874714332261765</v>
      </c>
      <c r="AE163" s="6">
        <f t="shared" si="42"/>
        <v>-0.83989146187155417</v>
      </c>
      <c r="AF163" s="6">
        <f t="shared" si="43"/>
        <v>-0.83989146187155461</v>
      </c>
      <c r="AG163" s="6">
        <f t="shared" si="44"/>
        <v>-0.84175295430059094</v>
      </c>
      <c r="AH163" s="6">
        <f t="shared" si="45"/>
        <v>-0.95718916570807022</v>
      </c>
      <c r="AI163" s="6">
        <f t="shared" si="46"/>
        <v>-0.95718916570806489</v>
      </c>
      <c r="AL163" s="5" t="str">
        <f t="shared" si="47"/>
        <v>ELC</v>
      </c>
      <c r="AM163" s="5">
        <f>1</f>
        <v>1</v>
      </c>
    </row>
    <row r="164" spans="1:39" s="5" customFormat="1" x14ac:dyDescent="0.3">
      <c r="A164" s="8"/>
      <c r="C164" s="4" t="s">
        <v>335</v>
      </c>
      <c r="D164" s="5" t="s">
        <v>336</v>
      </c>
      <c r="E164" s="5" t="s">
        <v>745</v>
      </c>
      <c r="F164" s="5" t="s">
        <v>1588</v>
      </c>
      <c r="G164" s="5">
        <v>1</v>
      </c>
      <c r="H164" s="6">
        <f>IF(SUMIFS('Industrial Summary'!$G:$G,'Industrial Summary'!$F:$F,H$17,'Industrial Summary'!$D:$D,$E164)&gt;0,(-SUMIFS('Industrial Summary'!$G:$G,'Industrial Summary'!$F:$F,H$17,'Industrial Summary'!$D:$D,$E164,'Industrial Summary'!$A:$A,"NGA")/SUMIFS('Industrial Summary'!$G:$G,'Industrial Summary'!$F:$F,H$17,'Industrial Summary'!$D:$D,$E164)),0)*0.98</f>
        <v>0</v>
      </c>
      <c r="I164" s="6">
        <f>IF(SUMIFS('Industrial Summary'!$G:$G,'Industrial Summary'!$F:$F,I$17,'Industrial Summary'!$D:$D,$E164)&gt;0,(-SUMIFS('Industrial Summary'!$G:$G,'Industrial Summary'!$F:$F,I$17,'Industrial Summary'!$D:$D,$E164,'Industrial Summary'!$A:$A,"NGA")/SUMIFS('Industrial Summary'!$G:$G,'Industrial Summary'!$F:$F,I$17,'Industrial Summary'!$D:$D,$E164)),0)*0.98</f>
        <v>0</v>
      </c>
      <c r="J164" s="6">
        <f>IF(SUMIFS('Industrial Summary'!$G:$G,'Industrial Summary'!$F:$F,J$17,'Industrial Summary'!$D:$D,$E164)&gt;0,(-SUMIFS('Industrial Summary'!$G:$G,'Industrial Summary'!$F:$F,J$17,'Industrial Summary'!$D:$D,$E164,'Industrial Summary'!$A:$A,"NGA")/SUMIFS('Industrial Summary'!$G:$G,'Industrial Summary'!$F:$F,J$17,'Industrial Summary'!$D:$D,$E164)),0)*0.98</f>
        <v>-9.2528566773823706E-2</v>
      </c>
      <c r="K164" s="6">
        <f>IF(SUMIFS('Industrial Summary'!$G:$G,'Industrial Summary'!$F:$F,K$17,'Industrial Summary'!$D:$D,$E164)&gt;0,(-SUMIFS('Industrial Summary'!$G:$G,'Industrial Summary'!$F:$F,K$17,'Industrial Summary'!$D:$D,$E164,'Industrial Summary'!$A:$A,"NGA")/SUMIFS('Industrial Summary'!$G:$G,'Industrial Summary'!$F:$F,K$17,'Industrial Summary'!$D:$D,$E164)),0)*0.98</f>
        <v>-9.2528566773823401E-2</v>
      </c>
      <c r="L164" s="6">
        <f>IF(SUMIFS('Industrial Summary'!$G:$G,'Industrial Summary'!$F:$F,L$17,'Industrial Summary'!$D:$D,$E164)&gt;0,(-SUMIFS('Industrial Summary'!$G:$G,'Industrial Summary'!$F:$F,L$17,'Industrial Summary'!$D:$D,$E164,'Industrial Summary'!$A:$A,"NGA")/SUMIFS('Industrial Summary'!$G:$G,'Industrial Summary'!$F:$F,L$17,'Industrial Summary'!$D:$D,$E164)),0)*0.98</f>
        <v>-0.14010853812844581</v>
      </c>
      <c r="M164" s="6">
        <f>IF(SUMIFS('Industrial Summary'!$G:$G,'Industrial Summary'!$F:$F,M$17,'Industrial Summary'!$D:$D,$E164)&gt;0,(-SUMIFS('Industrial Summary'!$G:$G,'Industrial Summary'!$F:$F,M$17,'Industrial Summary'!$D:$D,$E164,'Industrial Summary'!$A:$A,"NGA")/SUMIFS('Industrial Summary'!$G:$G,'Industrial Summary'!$F:$F,M$17,'Industrial Summary'!$D:$D,$E164)),0)*0.98</f>
        <v>-0.14010853812844537</v>
      </c>
      <c r="N164" s="6">
        <f>IF(SUMIFS('Industrial Summary'!$G:$G,'Industrial Summary'!$F:$F,N$17,'Industrial Summary'!$D:$D,$E164)&gt;0,(-SUMIFS('Industrial Summary'!$G:$G,'Industrial Summary'!$F:$F,N$17,'Industrial Summary'!$D:$D,$E164,'Industrial Summary'!$A:$A,"NGA")/SUMIFS('Industrial Summary'!$G:$G,'Industrial Summary'!$F:$F,N$17,'Industrial Summary'!$D:$D,$E164)),0)*0.98</f>
        <v>-0.13824704569940904</v>
      </c>
      <c r="O164" s="6">
        <f>IF(SUMIFS('Industrial Summary'!$G:$G,'Industrial Summary'!$F:$F,O$17,'Industrial Summary'!$D:$D,$E164)&gt;0,(-SUMIFS('Industrial Summary'!$G:$G,'Industrial Summary'!$F:$F,O$17,'Industrial Summary'!$D:$D,$E164,'Industrial Summary'!$A:$A,"NGA")/SUMIFS('Industrial Summary'!$G:$G,'Industrial Summary'!$F:$F,O$17,'Industrial Summary'!$D:$D,$E164)),0)*0.98</f>
        <v>-2.2810834291929802E-2</v>
      </c>
      <c r="P164" s="6">
        <f>IF(SUMIFS('Industrial Summary'!$G:$G,'Industrial Summary'!$F:$F,P$17,'Industrial Summary'!$D:$D,$E164)&gt;0,(-SUMIFS('Industrial Summary'!$G:$G,'Industrial Summary'!$F:$F,P$17,'Industrial Summary'!$D:$D,$E164,'Industrial Summary'!$A:$A,"NGA")/SUMIFS('Industrial Summary'!$G:$G,'Industrial Summary'!$F:$F,P$17,'Industrial Summary'!$D:$D,$E164)),0)*0.98</f>
        <v>-2.2810834291935079E-2</v>
      </c>
      <c r="Q164" s="5">
        <v>0</v>
      </c>
      <c r="R164" s="5">
        <v>15</v>
      </c>
      <c r="S164" s="5" t="str">
        <f t="shared" si="33"/>
        <v>UC_ICAMD_NGA</v>
      </c>
      <c r="V164" s="4" t="str">
        <f t="shared" si="34"/>
        <v>S_ICAMDNGA</v>
      </c>
      <c r="W164" s="4" t="str">
        <f t="shared" si="35"/>
        <v>ICAMD_NGA</v>
      </c>
      <c r="X164" s="4" t="str">
        <f t="shared" si="36"/>
        <v>ICAMDR</v>
      </c>
      <c r="Y164" s="5" t="str">
        <f t="shared" si="37"/>
        <v>LO</v>
      </c>
      <c r="Z164" s="5">
        <v>1</v>
      </c>
      <c r="AA164" s="6">
        <f t="shared" si="38"/>
        <v>0</v>
      </c>
      <c r="AB164" s="6">
        <f t="shared" si="39"/>
        <v>0</v>
      </c>
      <c r="AC164" s="6">
        <f t="shared" si="40"/>
        <v>-8.3275710096441344E-2</v>
      </c>
      <c r="AD164" s="6">
        <f t="shared" si="41"/>
        <v>-8.3275710096441066E-2</v>
      </c>
      <c r="AE164" s="6">
        <f t="shared" si="42"/>
        <v>-0.12609768431560123</v>
      </c>
      <c r="AF164" s="6">
        <f t="shared" si="43"/>
        <v>-0.12609768431560084</v>
      </c>
      <c r="AG164" s="6">
        <f t="shared" si="44"/>
        <v>-0.12442234112946814</v>
      </c>
      <c r="AH164" s="6">
        <f t="shared" si="45"/>
        <v>-2.0529750862736822E-2</v>
      </c>
      <c r="AI164" s="6">
        <f t="shared" si="46"/>
        <v>-2.0529750862741572E-2</v>
      </c>
      <c r="AL164" s="5" t="str">
        <f t="shared" si="47"/>
        <v>NGA</v>
      </c>
      <c r="AM164" s="5">
        <f>Y7</f>
        <v>0.9</v>
      </c>
    </row>
    <row r="165" spans="1:39" s="5" customFormat="1" x14ac:dyDescent="0.3">
      <c r="C165" s="4" t="s">
        <v>337</v>
      </c>
      <c r="D165" s="5" t="s">
        <v>338</v>
      </c>
      <c r="E165" s="5" t="s">
        <v>729</v>
      </c>
      <c r="F165" s="5" t="s">
        <v>1588</v>
      </c>
      <c r="G165" s="5">
        <v>1</v>
      </c>
      <c r="H165" s="6">
        <f>IF(SUMIFS('Industrial Summary'!$G:$G,'Industrial Summary'!$F:$F,H$17,'Industrial Summary'!$D:$D,$E165)&gt;0,(-SUMIFS('Industrial Summary'!$G:$G,'Industrial Summary'!$F:$F,H$17,'Industrial Summary'!$D:$D,$E165,'Industrial Summary'!$A:$A,"ELC")/SUMIFS('Industrial Summary'!$G:$G,'Industrial Summary'!$F:$F,H$17,'Industrial Summary'!$D:$D,$E165)),0)*0.98</f>
        <v>0</v>
      </c>
      <c r="I165" s="6">
        <f>IF(SUMIFS('Industrial Summary'!$G:$G,'Industrial Summary'!$F:$F,I$17,'Industrial Summary'!$D:$D,$E165)&gt;0,(-SUMIFS('Industrial Summary'!$G:$G,'Industrial Summary'!$F:$F,I$17,'Industrial Summary'!$D:$D,$E165,'Industrial Summary'!$A:$A,"ELC")/SUMIFS('Industrial Summary'!$G:$G,'Industrial Summary'!$F:$F,I$17,'Industrial Summary'!$D:$D,$E165)),0)*0.98</f>
        <v>0</v>
      </c>
      <c r="J165" s="6">
        <f>IF(SUMIFS('Industrial Summary'!$G:$G,'Industrial Summary'!$F:$F,J$17,'Industrial Summary'!$D:$D,$E165)&gt;0,(-SUMIFS('Industrial Summary'!$G:$G,'Industrial Summary'!$F:$F,J$17,'Industrial Summary'!$D:$D,$E165,'Industrial Summary'!$A:$A,"ELC")/SUMIFS('Industrial Summary'!$G:$G,'Industrial Summary'!$F:$F,J$17,'Industrial Summary'!$D:$D,$E165)),0)*0.98</f>
        <v>-0.6592441835529026</v>
      </c>
      <c r="K165" s="6">
        <f>IF(SUMIFS('Industrial Summary'!$G:$G,'Industrial Summary'!$F:$F,K$17,'Industrial Summary'!$D:$D,$E165)&gt;0,(-SUMIFS('Industrial Summary'!$G:$G,'Industrial Summary'!$F:$F,K$17,'Industrial Summary'!$D:$D,$E165,'Industrial Summary'!$A:$A,"ELC")/SUMIFS('Industrial Summary'!$G:$G,'Industrial Summary'!$F:$F,K$17,'Industrial Summary'!$D:$D,$E165)),0)*0.98</f>
        <v>-0.65924418355290337</v>
      </c>
      <c r="L165" s="6">
        <f>IF(SUMIFS('Industrial Summary'!$G:$G,'Industrial Summary'!$F:$F,L$17,'Industrial Summary'!$D:$D,$E165)&gt;0,(-SUMIFS('Industrial Summary'!$G:$G,'Industrial Summary'!$F:$F,L$17,'Industrial Summary'!$D:$D,$E165,'Industrial Summary'!$A:$A,"ELC")/SUMIFS('Industrial Summary'!$G:$G,'Industrial Summary'!$F:$F,L$17,'Industrial Summary'!$D:$D,$E165)),0)*0.98</f>
        <v>-5.3492394635156926E-2</v>
      </c>
      <c r="M165" s="6">
        <f>IF(SUMIFS('Industrial Summary'!$G:$G,'Industrial Summary'!$F:$F,M$17,'Industrial Summary'!$D:$D,$E165)&gt;0,(-SUMIFS('Industrial Summary'!$G:$G,'Industrial Summary'!$F:$F,M$17,'Industrial Summary'!$D:$D,$E165,'Industrial Summary'!$A:$A,"ELC")/SUMIFS('Industrial Summary'!$G:$G,'Industrial Summary'!$F:$F,M$17,'Industrial Summary'!$D:$D,$E165)),0)*0.98</f>
        <v>-5.3492394635156419E-2</v>
      </c>
      <c r="N165" s="6">
        <f>IF(SUMIFS('Industrial Summary'!$G:$G,'Industrial Summary'!$F:$F,N$17,'Industrial Summary'!$D:$D,$E165)&gt;0,(-SUMIFS('Industrial Summary'!$G:$G,'Industrial Summary'!$F:$F,N$17,'Industrial Summary'!$D:$D,$E165,'Industrial Summary'!$A:$A,"ELC")/SUMIFS('Industrial Summary'!$G:$G,'Industrial Summary'!$F:$F,N$17,'Industrial Summary'!$D:$D,$E165)),0)*0.98</f>
        <v>-5.3610952439521624E-2</v>
      </c>
      <c r="O165" s="6">
        <f>IF(SUMIFS('Industrial Summary'!$G:$G,'Industrial Summary'!$F:$F,O$17,'Industrial Summary'!$D:$D,$E165)&gt;0,(-SUMIFS('Industrial Summary'!$G:$G,'Industrial Summary'!$F:$F,O$17,'Industrial Summary'!$D:$D,$E165,'Industrial Summary'!$A:$A,"ELC")/SUMIFS('Industrial Summary'!$G:$G,'Industrial Summary'!$F:$F,O$17,'Industrial Summary'!$D:$D,$E165)),0)*0.98</f>
        <v>-0.88192022138309245</v>
      </c>
      <c r="P165" s="6">
        <f>IF(SUMIFS('Industrial Summary'!$G:$G,'Industrial Summary'!$F:$F,P$17,'Industrial Summary'!$D:$D,$E165)&gt;0,(-SUMIFS('Industrial Summary'!$G:$G,'Industrial Summary'!$F:$F,P$17,'Industrial Summary'!$D:$D,$E165,'Industrial Summary'!$A:$A,"ELC")/SUMIFS('Industrial Summary'!$G:$G,'Industrial Summary'!$F:$F,P$17,'Industrial Summary'!$D:$D,$E165)),0)*0.98</f>
        <v>-0.88192022138308557</v>
      </c>
      <c r="Q165" s="5">
        <v>0</v>
      </c>
      <c r="R165" s="5">
        <v>15</v>
      </c>
      <c r="S165" s="5" t="str">
        <f t="shared" si="33"/>
        <v>UC_ICAFA_ELC</v>
      </c>
      <c r="V165" s="4" t="str">
        <f t="shared" si="34"/>
        <v>S_ICAFAELC</v>
      </c>
      <c r="W165" s="4" t="str">
        <f t="shared" si="35"/>
        <v>ICAFA_ELC</v>
      </c>
      <c r="X165" s="4" t="str">
        <f t="shared" si="36"/>
        <v>ICAFAC</v>
      </c>
      <c r="Y165" s="5" t="str">
        <f t="shared" si="37"/>
        <v>LO</v>
      </c>
      <c r="Z165" s="5">
        <v>1</v>
      </c>
      <c r="AA165" s="6">
        <f t="shared" si="38"/>
        <v>0</v>
      </c>
      <c r="AB165" s="6">
        <f t="shared" si="39"/>
        <v>0</v>
      </c>
      <c r="AC165" s="6">
        <f t="shared" si="40"/>
        <v>-0.6592441835529026</v>
      </c>
      <c r="AD165" s="6">
        <f t="shared" si="41"/>
        <v>-0.65924418355290337</v>
      </c>
      <c r="AE165" s="6">
        <f t="shared" si="42"/>
        <v>-5.3492394635156926E-2</v>
      </c>
      <c r="AF165" s="6">
        <f t="shared" si="43"/>
        <v>-5.3492394635156419E-2</v>
      </c>
      <c r="AG165" s="6">
        <f t="shared" si="44"/>
        <v>-5.3610952439521624E-2</v>
      </c>
      <c r="AH165" s="6">
        <f t="shared" si="45"/>
        <v>-0.88192022138309245</v>
      </c>
      <c r="AI165" s="6">
        <f t="shared" si="46"/>
        <v>-0.88192022138308557</v>
      </c>
      <c r="AL165" s="5" t="str">
        <f t="shared" si="47"/>
        <v>ELC</v>
      </c>
      <c r="AM165" s="5">
        <f>1</f>
        <v>1</v>
      </c>
    </row>
    <row r="166" spans="1:39" s="5" customFormat="1" x14ac:dyDescent="0.3">
      <c r="C166" s="4" t="s">
        <v>339</v>
      </c>
      <c r="D166" s="5" t="s">
        <v>340</v>
      </c>
      <c r="E166" s="5" t="s">
        <v>729</v>
      </c>
      <c r="F166" s="5" t="s">
        <v>1588</v>
      </c>
      <c r="G166" s="5">
        <v>1</v>
      </c>
      <c r="H166" s="6">
        <f>IF(SUMIFS('Industrial Summary'!$G:$G,'Industrial Summary'!$F:$F,H$17,'Industrial Summary'!$D:$D,$E166)&gt;0,(-SUMIFS('Industrial Summary'!$G:$G,'Industrial Summary'!$F:$F,H$17,'Industrial Summary'!$D:$D,$E166,'Industrial Summary'!$A:$A,"DST")/SUMIFS('Industrial Summary'!$G:$G,'Industrial Summary'!$F:$F,H$17,'Industrial Summary'!$D:$D,$E166)),0)*0.98</f>
        <v>0</v>
      </c>
      <c r="I166" s="6">
        <f>IF(SUMIFS('Industrial Summary'!$G:$G,'Industrial Summary'!$F:$F,I$17,'Industrial Summary'!$D:$D,$E166)&gt;0,(-SUMIFS('Industrial Summary'!$G:$G,'Industrial Summary'!$F:$F,I$17,'Industrial Summary'!$D:$D,$E166,'Industrial Summary'!$A:$A,"DST")/SUMIFS('Industrial Summary'!$G:$G,'Industrial Summary'!$F:$F,I$17,'Industrial Summary'!$D:$D,$E166)),0)*0.98</f>
        <v>0</v>
      </c>
      <c r="J166" s="6">
        <f>IF(SUMIFS('Industrial Summary'!$G:$G,'Industrial Summary'!$F:$F,J$17,'Industrial Summary'!$D:$D,$E166)&gt;0,(-SUMIFS('Industrial Summary'!$G:$G,'Industrial Summary'!$F:$F,J$17,'Industrial Summary'!$D:$D,$E166,'Industrial Summary'!$A:$A,"DST")/SUMIFS('Industrial Summary'!$G:$G,'Industrial Summary'!$F:$F,J$17,'Industrial Summary'!$D:$D,$E166)),0)*0.98</f>
        <v>0</v>
      </c>
      <c r="K166" s="6">
        <f>IF(SUMIFS('Industrial Summary'!$G:$G,'Industrial Summary'!$F:$F,K$17,'Industrial Summary'!$D:$D,$E166)&gt;0,(-SUMIFS('Industrial Summary'!$G:$G,'Industrial Summary'!$F:$F,K$17,'Industrial Summary'!$D:$D,$E166,'Industrial Summary'!$A:$A,"DST")/SUMIFS('Industrial Summary'!$G:$G,'Industrial Summary'!$F:$F,K$17,'Industrial Summary'!$D:$D,$E166)),0)*0.98</f>
        <v>0</v>
      </c>
      <c r="L166" s="6">
        <f>IF(SUMIFS('Industrial Summary'!$G:$G,'Industrial Summary'!$F:$F,L$17,'Industrial Summary'!$D:$D,$E166)&gt;0,(-SUMIFS('Industrial Summary'!$G:$G,'Industrial Summary'!$F:$F,L$17,'Industrial Summary'!$D:$D,$E166,'Industrial Summary'!$A:$A,"DST")/SUMIFS('Industrial Summary'!$G:$G,'Industrial Summary'!$F:$F,L$17,'Industrial Summary'!$D:$D,$E166)),0)*0.98</f>
        <v>-0.88486477342372039</v>
      </c>
      <c r="M166" s="6">
        <f>IF(SUMIFS('Industrial Summary'!$G:$G,'Industrial Summary'!$F:$F,M$17,'Industrial Summary'!$D:$D,$E166)&gt;0,(-SUMIFS('Industrial Summary'!$G:$G,'Industrial Summary'!$F:$F,M$17,'Industrial Summary'!$D:$D,$E166,'Industrial Summary'!$A:$A,"DST")/SUMIFS('Industrial Summary'!$G:$G,'Industrial Summary'!$F:$F,M$17,'Industrial Summary'!$D:$D,$E166)),0)*0.98</f>
        <v>-0.88486477342372127</v>
      </c>
      <c r="N166" s="6">
        <f>IF(SUMIFS('Industrial Summary'!$G:$G,'Industrial Summary'!$F:$F,N$17,'Industrial Summary'!$D:$D,$E166)&gt;0,(-SUMIFS('Industrial Summary'!$G:$G,'Industrial Summary'!$F:$F,N$17,'Industrial Summary'!$D:$D,$E166,'Industrial Summary'!$A:$A,"DST")/SUMIFS('Industrial Summary'!$G:$G,'Industrial Summary'!$F:$F,N$17,'Industrial Summary'!$D:$D,$E166)),0)*0.98</f>
        <v>-0.88465392057898318</v>
      </c>
      <c r="O166" s="6">
        <f>IF(SUMIFS('Industrial Summary'!$G:$G,'Industrial Summary'!$F:$F,O$17,'Industrial Summary'!$D:$D,$E166)&gt;0,(-SUMIFS('Industrial Summary'!$G:$G,'Industrial Summary'!$F:$F,O$17,'Industrial Summary'!$D:$D,$E166,'Industrial Summary'!$A:$A,"DST")/SUMIFS('Industrial Summary'!$G:$G,'Industrial Summary'!$F:$F,O$17,'Industrial Summary'!$D:$D,$E166)),0)*0.98</f>
        <v>0</v>
      </c>
      <c r="P166" s="6">
        <f>IF(SUMIFS('Industrial Summary'!$G:$G,'Industrial Summary'!$F:$F,P$17,'Industrial Summary'!$D:$D,$E166)&gt;0,(-SUMIFS('Industrial Summary'!$G:$G,'Industrial Summary'!$F:$F,P$17,'Industrial Summary'!$D:$D,$E166,'Industrial Summary'!$A:$A,"DST")/SUMIFS('Industrial Summary'!$G:$G,'Industrial Summary'!$F:$F,P$17,'Industrial Summary'!$D:$D,$E166)),0)*0.98</f>
        <v>0</v>
      </c>
      <c r="Q166" s="5">
        <v>0</v>
      </c>
      <c r="R166" s="5">
        <v>15</v>
      </c>
      <c r="S166" s="5" t="str">
        <f t="shared" si="33"/>
        <v>UC_ICAFA_DST</v>
      </c>
      <c r="V166" s="4" t="str">
        <f t="shared" si="34"/>
        <v>S_ICAFADST</v>
      </c>
      <c r="W166" s="4" t="str">
        <f t="shared" si="35"/>
        <v>ICAFA_DST</v>
      </c>
      <c r="X166" s="4" t="str">
        <f t="shared" si="36"/>
        <v>ICAFAC</v>
      </c>
      <c r="Y166" s="5" t="str">
        <f t="shared" si="37"/>
        <v>LO</v>
      </c>
      <c r="Z166" s="5">
        <v>1</v>
      </c>
      <c r="AA166" s="6">
        <f t="shared" si="38"/>
        <v>0</v>
      </c>
      <c r="AB166" s="6">
        <f t="shared" si="39"/>
        <v>0</v>
      </c>
      <c r="AC166" s="6">
        <f t="shared" si="40"/>
        <v>0</v>
      </c>
      <c r="AD166" s="6">
        <f t="shared" si="41"/>
        <v>0</v>
      </c>
      <c r="AE166" s="6">
        <f t="shared" si="42"/>
        <v>-0.88486477342372039</v>
      </c>
      <c r="AF166" s="6">
        <f t="shared" si="43"/>
        <v>-0.88486477342372127</v>
      </c>
      <c r="AG166" s="6">
        <f t="shared" si="44"/>
        <v>-0.88465392057898318</v>
      </c>
      <c r="AH166" s="6">
        <f t="shared" si="45"/>
        <v>0</v>
      </c>
      <c r="AI166" s="6">
        <f t="shared" si="46"/>
        <v>0</v>
      </c>
      <c r="AL166" s="5" t="str">
        <f t="shared" si="47"/>
        <v>DST</v>
      </c>
      <c r="AM166" s="5">
        <f>1</f>
        <v>1</v>
      </c>
    </row>
    <row r="167" spans="1:39" s="5" customFormat="1" x14ac:dyDescent="0.3">
      <c r="A167" s="8"/>
      <c r="C167" s="4" t="s">
        <v>341</v>
      </c>
      <c r="D167" s="5" t="s">
        <v>342</v>
      </c>
      <c r="E167" s="5" t="s">
        <v>729</v>
      </c>
      <c r="F167" s="5" t="s">
        <v>1588</v>
      </c>
      <c r="G167" s="5">
        <v>1</v>
      </c>
      <c r="H167" s="6">
        <f>IF(SUMIFS('Industrial Summary'!$G:$G,'Industrial Summary'!$F:$F,H$17,'Industrial Summary'!$D:$D,$E167)&gt;0,(-SUMIFS('Industrial Summary'!$G:$G,'Industrial Summary'!$F:$F,H$17,'Industrial Summary'!$D:$D,$E167,'Industrial Summary'!$A:$A,"NGA")/SUMIFS('Industrial Summary'!$G:$G,'Industrial Summary'!$F:$F,H$17,'Industrial Summary'!$D:$D,$E167)),0)*0.98</f>
        <v>0</v>
      </c>
      <c r="I167" s="6">
        <f>IF(SUMIFS('Industrial Summary'!$G:$G,'Industrial Summary'!$F:$F,I$17,'Industrial Summary'!$D:$D,$E167)&gt;0,(-SUMIFS('Industrial Summary'!$G:$G,'Industrial Summary'!$F:$F,I$17,'Industrial Summary'!$D:$D,$E167,'Industrial Summary'!$A:$A,"NGA")/SUMIFS('Industrial Summary'!$G:$G,'Industrial Summary'!$F:$F,I$17,'Industrial Summary'!$D:$D,$E167)),0)*0.98</f>
        <v>0</v>
      </c>
      <c r="J167" s="6">
        <f>IF(SUMIFS('Industrial Summary'!$G:$G,'Industrial Summary'!$F:$F,J$17,'Industrial Summary'!$D:$D,$E167)&gt;0,(-SUMIFS('Industrial Summary'!$G:$G,'Industrial Summary'!$F:$F,J$17,'Industrial Summary'!$D:$D,$E167,'Industrial Summary'!$A:$A,"NGA")/SUMIFS('Industrial Summary'!$G:$G,'Industrial Summary'!$F:$F,J$17,'Industrial Summary'!$D:$D,$E167)),0)*0.98</f>
        <v>-0.32075581644709739</v>
      </c>
      <c r="K167" s="6">
        <f>IF(SUMIFS('Industrial Summary'!$G:$G,'Industrial Summary'!$F:$F,K$17,'Industrial Summary'!$D:$D,$E167)&gt;0,(-SUMIFS('Industrial Summary'!$G:$G,'Industrial Summary'!$F:$F,K$17,'Industrial Summary'!$D:$D,$E167,'Industrial Summary'!$A:$A,"NGA")/SUMIFS('Industrial Summary'!$G:$G,'Industrial Summary'!$F:$F,K$17,'Industrial Summary'!$D:$D,$E167)),0)*0.98</f>
        <v>-0.32075581644709661</v>
      </c>
      <c r="L167" s="6">
        <f>IF(SUMIFS('Industrial Summary'!$G:$G,'Industrial Summary'!$F:$F,L$17,'Industrial Summary'!$D:$D,$E167)&gt;0,(-SUMIFS('Industrial Summary'!$G:$G,'Industrial Summary'!$F:$F,L$17,'Industrial Summary'!$D:$D,$E167,'Industrial Summary'!$A:$A,"NGA")/SUMIFS('Industrial Summary'!$G:$G,'Industrial Summary'!$F:$F,L$17,'Industrial Summary'!$D:$D,$E167)),0)*0.98</f>
        <v>-4.1642831941122588E-2</v>
      </c>
      <c r="M167" s="6">
        <f>IF(SUMIFS('Industrial Summary'!$G:$G,'Industrial Summary'!$F:$F,M$17,'Industrial Summary'!$D:$D,$E167)&gt;0,(-SUMIFS('Industrial Summary'!$G:$G,'Industrial Summary'!$F:$F,M$17,'Industrial Summary'!$D:$D,$E167,'Industrial Summary'!$A:$A,"NGA")/SUMIFS('Industrial Summary'!$G:$G,'Industrial Summary'!$F:$F,M$17,'Industrial Summary'!$D:$D,$E167)),0)*0.98</f>
        <v>-4.1642831941122359E-2</v>
      </c>
      <c r="N167" s="6">
        <f>IF(SUMIFS('Industrial Summary'!$G:$G,'Industrial Summary'!$F:$F,N$17,'Industrial Summary'!$D:$D,$E167)&gt;0,(-SUMIFS('Industrial Summary'!$G:$G,'Industrial Summary'!$F:$F,N$17,'Industrial Summary'!$D:$D,$E167,'Industrial Summary'!$A:$A,"NGA")/SUMIFS('Industrial Summary'!$G:$G,'Industrial Summary'!$F:$F,N$17,'Industrial Summary'!$D:$D,$E167)),0)*0.98</f>
        <v>-4.1735126981495209E-2</v>
      </c>
      <c r="O167" s="6">
        <f>IF(SUMIFS('Industrial Summary'!$G:$G,'Industrial Summary'!$F:$F,O$17,'Industrial Summary'!$D:$D,$E167)&gt;0,(-SUMIFS('Industrial Summary'!$G:$G,'Industrial Summary'!$F:$F,O$17,'Industrial Summary'!$D:$D,$E167,'Industrial Summary'!$A:$A,"NGA")/SUMIFS('Industrial Summary'!$G:$G,'Industrial Summary'!$F:$F,O$17,'Industrial Summary'!$D:$D,$E167)),0)*0.98</f>
        <v>-9.8079778616907476E-2</v>
      </c>
      <c r="P167" s="6">
        <f>IF(SUMIFS('Industrial Summary'!$G:$G,'Industrial Summary'!$F:$F,P$17,'Industrial Summary'!$D:$D,$E167)&gt;0,(-SUMIFS('Industrial Summary'!$G:$G,'Industrial Summary'!$F:$F,P$17,'Industrial Summary'!$D:$D,$E167,'Industrial Summary'!$A:$A,"NGA")/SUMIFS('Industrial Summary'!$G:$G,'Industrial Summary'!$F:$F,P$17,'Industrial Summary'!$D:$D,$E167)),0)*0.98</f>
        <v>-9.8079778616914456E-2</v>
      </c>
      <c r="Q167" s="5">
        <v>0</v>
      </c>
      <c r="R167" s="5">
        <v>15</v>
      </c>
      <c r="S167" s="5" t="str">
        <f t="shared" si="33"/>
        <v>UC_ICAFA_NGA</v>
      </c>
      <c r="V167" s="4" t="str">
        <f t="shared" si="34"/>
        <v>S_ICAFANGA</v>
      </c>
      <c r="W167" s="4" t="str">
        <f t="shared" si="35"/>
        <v>ICAFA_NGA</v>
      </c>
      <c r="X167" s="4" t="str">
        <f t="shared" si="36"/>
        <v>ICAFAC</v>
      </c>
      <c r="Y167" s="5" t="str">
        <f t="shared" si="37"/>
        <v>LO</v>
      </c>
      <c r="Z167" s="5">
        <v>1</v>
      </c>
      <c r="AA167" s="6">
        <f t="shared" si="38"/>
        <v>0</v>
      </c>
      <c r="AB167" s="6">
        <f t="shared" si="39"/>
        <v>0</v>
      </c>
      <c r="AC167" s="6">
        <f t="shared" si="40"/>
        <v>-0.28868023480238764</v>
      </c>
      <c r="AD167" s="6">
        <f t="shared" si="41"/>
        <v>-0.28868023480238697</v>
      </c>
      <c r="AE167" s="6">
        <f t="shared" si="42"/>
        <v>-3.7478548747010329E-2</v>
      </c>
      <c r="AF167" s="6">
        <f t="shared" si="43"/>
        <v>-3.7478548747010121E-2</v>
      </c>
      <c r="AG167" s="6">
        <f t="shared" si="44"/>
        <v>-3.7561614283345687E-2</v>
      </c>
      <c r="AH167" s="6">
        <f t="shared" si="45"/>
        <v>-8.8271800755216734E-2</v>
      </c>
      <c r="AI167" s="6">
        <f t="shared" si="46"/>
        <v>-8.8271800755223007E-2</v>
      </c>
      <c r="AL167" s="5" t="str">
        <f t="shared" si="47"/>
        <v>NGA</v>
      </c>
      <c r="AM167" s="5">
        <f>Y7</f>
        <v>0.9</v>
      </c>
    </row>
    <row r="168" spans="1:39" s="5" customFormat="1" x14ac:dyDescent="0.3">
      <c r="C168" s="4" t="s">
        <v>343</v>
      </c>
      <c r="D168" s="5" t="s">
        <v>344</v>
      </c>
      <c r="E168" s="5" t="s">
        <v>716</v>
      </c>
      <c r="F168" s="5" t="s">
        <v>1588</v>
      </c>
      <c r="G168" s="5">
        <v>1</v>
      </c>
      <c r="H168" s="6">
        <f>IF(SUMIFS('Industrial Summary'!$G:$G,'Industrial Summary'!$F:$F,H$17,'Industrial Summary'!$D:$D,$E168)&gt;0,(-SUMIFS('Industrial Summary'!$G:$G,'Industrial Summary'!$F:$F,H$17,'Industrial Summary'!$D:$D,$E168,'Industrial Summary'!$A:$A,"RFL")/SUMIFS('Industrial Summary'!$G:$G,'Industrial Summary'!$F:$F,H$17,'Industrial Summary'!$D:$D,$E168)),0)*0.98</f>
        <v>0</v>
      </c>
      <c r="I168" s="6">
        <f>IF(SUMIFS('Industrial Summary'!$G:$G,'Industrial Summary'!$F:$F,I$17,'Industrial Summary'!$D:$D,$E168)&gt;0,(-SUMIFS('Industrial Summary'!$G:$G,'Industrial Summary'!$F:$F,I$17,'Industrial Summary'!$D:$D,$E168,'Industrial Summary'!$A:$A,"RFL")/SUMIFS('Industrial Summary'!$G:$G,'Industrial Summary'!$F:$F,I$17,'Industrial Summary'!$D:$D,$E168)),0)*0.98</f>
        <v>0</v>
      </c>
      <c r="J168" s="6">
        <f>IF(SUMIFS('Industrial Summary'!$G:$G,'Industrial Summary'!$F:$F,J$17,'Industrial Summary'!$D:$D,$E168)&gt;0,(-SUMIFS('Industrial Summary'!$G:$G,'Industrial Summary'!$F:$F,J$17,'Industrial Summary'!$D:$D,$E168,'Industrial Summary'!$A:$A,"RFL")/SUMIFS('Industrial Summary'!$G:$G,'Industrial Summary'!$F:$F,J$17,'Industrial Summary'!$D:$D,$E168)),0)*0.98</f>
        <v>0</v>
      </c>
      <c r="K168" s="6">
        <f>IF(SUMIFS('Industrial Summary'!$G:$G,'Industrial Summary'!$F:$F,K$17,'Industrial Summary'!$D:$D,$E168)&gt;0,(-SUMIFS('Industrial Summary'!$G:$G,'Industrial Summary'!$F:$F,K$17,'Industrial Summary'!$D:$D,$E168,'Industrial Summary'!$A:$A,"RFL")/SUMIFS('Industrial Summary'!$G:$G,'Industrial Summary'!$F:$F,K$17,'Industrial Summary'!$D:$D,$E168)),0)*0.98</f>
        <v>0</v>
      </c>
      <c r="L168" s="6">
        <f>IF(SUMIFS('Industrial Summary'!$G:$G,'Industrial Summary'!$F:$F,L$17,'Industrial Summary'!$D:$D,$E168)&gt;0,(-SUMIFS('Industrial Summary'!$G:$G,'Industrial Summary'!$F:$F,L$17,'Industrial Summary'!$D:$D,$E168,'Industrial Summary'!$A:$A,"RFL")/SUMIFS('Industrial Summary'!$G:$G,'Industrial Summary'!$F:$F,L$17,'Industrial Summary'!$D:$D,$E168)),0)*0.98</f>
        <v>-0.1723758591784196</v>
      </c>
      <c r="M168" s="6">
        <f>IF(SUMIFS('Industrial Summary'!$G:$G,'Industrial Summary'!$F:$F,M$17,'Industrial Summary'!$D:$D,$E168)&gt;0,(-SUMIFS('Industrial Summary'!$G:$G,'Industrial Summary'!$F:$F,M$17,'Industrial Summary'!$D:$D,$E168,'Industrial Summary'!$A:$A,"RFL")/SUMIFS('Industrial Summary'!$G:$G,'Industrial Summary'!$F:$F,M$17,'Industrial Summary'!$D:$D,$E168)),0)*0.98</f>
        <v>0</v>
      </c>
      <c r="N168" s="6">
        <f>IF(SUMIFS('Industrial Summary'!$G:$G,'Industrial Summary'!$F:$F,N$17,'Industrial Summary'!$D:$D,$E168)&gt;0,(-SUMIFS('Industrial Summary'!$G:$G,'Industrial Summary'!$F:$F,N$17,'Industrial Summary'!$D:$D,$E168,'Industrial Summary'!$A:$A,"RFL")/SUMIFS('Industrial Summary'!$G:$G,'Industrial Summary'!$F:$F,N$17,'Industrial Summary'!$D:$D,$E168)),0)*0.98</f>
        <v>-0.17201655653621051</v>
      </c>
      <c r="O168" s="6">
        <f>IF(SUMIFS('Industrial Summary'!$G:$G,'Industrial Summary'!$F:$F,O$17,'Industrial Summary'!$D:$D,$E168)&gt;0,(-SUMIFS('Industrial Summary'!$G:$G,'Industrial Summary'!$F:$F,O$17,'Industrial Summary'!$D:$D,$E168,'Industrial Summary'!$A:$A,"RFL")/SUMIFS('Industrial Summary'!$G:$G,'Industrial Summary'!$F:$F,O$17,'Industrial Summary'!$D:$D,$E168)),0)*0.98</f>
        <v>0</v>
      </c>
      <c r="P168" s="6">
        <f>IF(SUMIFS('Industrial Summary'!$G:$G,'Industrial Summary'!$F:$F,P$17,'Industrial Summary'!$D:$D,$E168)&gt;0,(-SUMIFS('Industrial Summary'!$G:$G,'Industrial Summary'!$F:$F,P$17,'Industrial Summary'!$D:$D,$E168,'Industrial Summary'!$A:$A,"RFL")/SUMIFS('Industrial Summary'!$G:$G,'Industrial Summary'!$F:$F,P$17,'Industrial Summary'!$D:$D,$E168)),0)*0.98</f>
        <v>0</v>
      </c>
      <c r="Q168" s="5">
        <v>0</v>
      </c>
      <c r="R168" s="5">
        <v>15</v>
      </c>
      <c r="S168" s="5" t="str">
        <f t="shared" si="33"/>
        <v>UC_ICTFS_RFL</v>
      </c>
      <c r="V168" s="4" t="str">
        <f t="shared" si="34"/>
        <v>S_ICTFSRFL</v>
      </c>
      <c r="W168" s="4" t="str">
        <f t="shared" si="35"/>
        <v>ICTFS_RFL</v>
      </c>
      <c r="X168" s="4" t="str">
        <f t="shared" si="36"/>
        <v>ICTFEED</v>
      </c>
      <c r="Y168" s="5" t="str">
        <f t="shared" si="37"/>
        <v>LO</v>
      </c>
      <c r="Z168" s="5">
        <v>1</v>
      </c>
      <c r="AA168" s="6">
        <f t="shared" si="38"/>
        <v>0</v>
      </c>
      <c r="AB168" s="6">
        <f t="shared" si="39"/>
        <v>0</v>
      </c>
      <c r="AC168" s="6">
        <f t="shared" si="40"/>
        <v>0</v>
      </c>
      <c r="AD168" s="6">
        <f t="shared" si="41"/>
        <v>0</v>
      </c>
      <c r="AE168" s="6">
        <f t="shared" si="42"/>
        <v>-0.1723758591784196</v>
      </c>
      <c r="AF168" s="6">
        <f t="shared" si="43"/>
        <v>0</v>
      </c>
      <c r="AG168" s="6">
        <f t="shared" si="44"/>
        <v>-0.17201655653621051</v>
      </c>
      <c r="AH168" s="6">
        <f t="shared" si="45"/>
        <v>0</v>
      </c>
      <c r="AI168" s="6">
        <f t="shared" si="46"/>
        <v>0</v>
      </c>
      <c r="AL168" s="5" t="str">
        <f t="shared" si="47"/>
        <v>RFL</v>
      </c>
      <c r="AM168" s="5">
        <f>1</f>
        <v>1</v>
      </c>
    </row>
    <row r="169" spans="1:39" s="5" customFormat="1" x14ac:dyDescent="0.3">
      <c r="C169" s="4" t="s">
        <v>345</v>
      </c>
      <c r="D169" s="5" t="s">
        <v>346</v>
      </c>
      <c r="E169" s="5" t="s">
        <v>716</v>
      </c>
      <c r="F169" s="5" t="s">
        <v>1588</v>
      </c>
      <c r="G169" s="5">
        <v>1</v>
      </c>
      <c r="H169" s="6">
        <f>IF(SUMIFS('Industrial Summary'!$G:$G,'Industrial Summary'!$F:$F,H$17,'Industrial Summary'!$D:$D,$E169)&gt;0,(-SUMIFS('Industrial Summary'!$G:$G,'Industrial Summary'!$F:$F,H$17,'Industrial Summary'!$D:$D,$E169,'Industrial Summary'!$A:$A,"NGA")/SUMIFS('Industrial Summary'!$G:$G,'Industrial Summary'!$F:$F,H$17,'Industrial Summary'!$D:$D,$E169)),0)*0.98</f>
        <v>0</v>
      </c>
      <c r="I169" s="6">
        <f>IF(SUMIFS('Industrial Summary'!$G:$G,'Industrial Summary'!$F:$F,I$17,'Industrial Summary'!$D:$D,$E169)&gt;0,(-SUMIFS('Industrial Summary'!$G:$G,'Industrial Summary'!$F:$F,I$17,'Industrial Summary'!$D:$D,$E169,'Industrial Summary'!$A:$A,"NGA")/SUMIFS('Industrial Summary'!$G:$G,'Industrial Summary'!$F:$F,I$17,'Industrial Summary'!$D:$D,$E169)),0)*0.98</f>
        <v>0</v>
      </c>
      <c r="J169" s="6">
        <f>IF(SUMIFS('Industrial Summary'!$G:$G,'Industrial Summary'!$F:$F,J$17,'Industrial Summary'!$D:$D,$E169)&gt;0,(-SUMIFS('Industrial Summary'!$G:$G,'Industrial Summary'!$F:$F,J$17,'Industrial Summary'!$D:$D,$E169,'Industrial Summary'!$A:$A,"NGA")/SUMIFS('Industrial Summary'!$G:$G,'Industrial Summary'!$F:$F,J$17,'Industrial Summary'!$D:$D,$E169)),0)*0.98</f>
        <v>-0.87021529533705699</v>
      </c>
      <c r="K169" s="6">
        <f>IF(SUMIFS('Industrial Summary'!$G:$G,'Industrial Summary'!$F:$F,K$17,'Industrial Summary'!$D:$D,$E169)&gt;0,(-SUMIFS('Industrial Summary'!$G:$G,'Industrial Summary'!$F:$F,K$17,'Industrial Summary'!$D:$D,$E169,'Industrial Summary'!$A:$A,"NGA")/SUMIFS('Industrial Summary'!$G:$G,'Industrial Summary'!$F:$F,K$17,'Industrial Summary'!$D:$D,$E169)),0)*0.98</f>
        <v>-0.8702152953370581</v>
      </c>
      <c r="L169" s="6">
        <f>IF(SUMIFS('Industrial Summary'!$G:$G,'Industrial Summary'!$F:$F,L$17,'Industrial Summary'!$D:$D,$E169)&gt;0,(-SUMIFS('Industrial Summary'!$G:$G,'Industrial Summary'!$F:$F,L$17,'Industrial Summary'!$D:$D,$E169,'Industrial Summary'!$A:$A,"NGA")/SUMIFS('Industrial Summary'!$G:$G,'Industrial Summary'!$F:$F,L$17,'Industrial Summary'!$D:$D,$E169)),0)*0.98</f>
        <v>-0.7575830932083647</v>
      </c>
      <c r="M169" s="6">
        <f>IF(SUMIFS('Industrial Summary'!$G:$G,'Industrial Summary'!$F:$F,M$17,'Industrial Summary'!$D:$D,$E169)&gt;0,(-SUMIFS('Industrial Summary'!$G:$G,'Industrial Summary'!$F:$F,M$17,'Industrial Summary'!$D:$D,$E169,'Industrial Summary'!$A:$A,"NGA")/SUMIFS('Industrial Summary'!$G:$G,'Industrial Summary'!$F:$F,M$17,'Industrial Summary'!$D:$D,$E169)),0)*0.98</f>
        <v>-0.98</v>
      </c>
      <c r="N169" s="6">
        <f>IF(SUMIFS('Industrial Summary'!$G:$G,'Industrial Summary'!$F:$F,N$17,'Industrial Summary'!$D:$D,$E169)&gt;0,(-SUMIFS('Industrial Summary'!$G:$G,'Industrial Summary'!$F:$F,N$17,'Industrial Summary'!$D:$D,$E169,'Industrial Summary'!$A:$A,"NGA")/SUMIFS('Industrial Summary'!$G:$G,'Industrial Summary'!$F:$F,N$17,'Industrial Summary'!$D:$D,$E169)),0)*0.98</f>
        <v>-0.75600397645512463</v>
      </c>
      <c r="O169" s="6">
        <f>IF(SUMIFS('Industrial Summary'!$G:$G,'Industrial Summary'!$F:$F,O$17,'Industrial Summary'!$D:$D,$E169)&gt;0,(-SUMIFS('Industrial Summary'!$G:$G,'Industrial Summary'!$F:$F,O$17,'Industrial Summary'!$D:$D,$E169,'Industrial Summary'!$A:$A,"NGA")/SUMIFS('Industrial Summary'!$G:$G,'Industrial Summary'!$F:$F,O$17,'Industrial Summary'!$D:$D,$E169)),0)*0.98</f>
        <v>0</v>
      </c>
      <c r="P169" s="6">
        <f>IF(SUMIFS('Industrial Summary'!$G:$G,'Industrial Summary'!$F:$F,P$17,'Industrial Summary'!$D:$D,$E169)&gt;0,(-SUMIFS('Industrial Summary'!$G:$G,'Industrial Summary'!$F:$F,P$17,'Industrial Summary'!$D:$D,$E169,'Industrial Summary'!$A:$A,"NGA")/SUMIFS('Industrial Summary'!$G:$G,'Industrial Summary'!$F:$F,P$17,'Industrial Summary'!$D:$D,$E169)),0)*0.98</f>
        <v>0</v>
      </c>
      <c r="Q169" s="5">
        <v>0</v>
      </c>
      <c r="R169" s="5">
        <v>15</v>
      </c>
      <c r="S169" s="5" t="str">
        <f t="shared" si="33"/>
        <v>UC_ICTFS_NGA</v>
      </c>
      <c r="V169" s="4" t="str">
        <f t="shared" si="34"/>
        <v>S_ICTFSNGA</v>
      </c>
      <c r="W169" s="4" t="str">
        <f t="shared" si="35"/>
        <v>ICTFS_NGA</v>
      </c>
      <c r="X169" s="4" t="str">
        <f t="shared" si="36"/>
        <v>ICTFEED</v>
      </c>
      <c r="Y169" s="5" t="str">
        <f t="shared" si="37"/>
        <v>LO</v>
      </c>
      <c r="Z169" s="5">
        <v>1</v>
      </c>
      <c r="AA169" s="6">
        <f t="shared" si="38"/>
        <v>0</v>
      </c>
      <c r="AB169" s="6">
        <f t="shared" si="39"/>
        <v>0</v>
      </c>
      <c r="AC169" s="6">
        <f t="shared" si="40"/>
        <v>-0.78319376580335132</v>
      </c>
      <c r="AD169" s="6">
        <f t="shared" si="41"/>
        <v>-0.78319376580335232</v>
      </c>
      <c r="AE169" s="6">
        <f t="shared" si="42"/>
        <v>-0.68182478388752821</v>
      </c>
      <c r="AF169" s="6">
        <f t="shared" si="43"/>
        <v>-0.88200000000000001</v>
      </c>
      <c r="AG169" s="6">
        <f t="shared" si="44"/>
        <v>-0.68040357880961222</v>
      </c>
      <c r="AH169" s="6">
        <f t="shared" si="45"/>
        <v>0</v>
      </c>
      <c r="AI169" s="6">
        <f t="shared" si="46"/>
        <v>0</v>
      </c>
      <c r="AL169" s="5" t="str">
        <f t="shared" si="47"/>
        <v>NGA</v>
      </c>
      <c r="AM169" s="5">
        <f>Y7</f>
        <v>0.9</v>
      </c>
    </row>
    <row r="170" spans="1:39" s="5" customFormat="1" x14ac:dyDescent="0.3">
      <c r="C170" s="4" t="s">
        <v>347</v>
      </c>
      <c r="D170" s="5" t="s">
        <v>348</v>
      </c>
      <c r="E170" s="5" t="s">
        <v>716</v>
      </c>
      <c r="F170" s="5" t="s">
        <v>1588</v>
      </c>
      <c r="G170" s="5">
        <v>1</v>
      </c>
      <c r="H170" s="6">
        <f>IF(SUMIFS('Industrial Summary'!$G:$G,'Industrial Summary'!$F:$F,H$17,'Industrial Summary'!$D:$D,$E170)&gt;0,(-SUMIFS('Industrial Summary'!$G:$G,'Industrial Summary'!$F:$F,H$17,'Industrial Summary'!$D:$D,$E170,'Industrial Summary'!$A:$A,"BIO")/SUMIFS('Industrial Summary'!$G:$G,'Industrial Summary'!$F:$F,H$17,'Industrial Summary'!$D:$D,$E170)),0)*0.98</f>
        <v>0</v>
      </c>
      <c r="I170" s="6">
        <f>IF(SUMIFS('Industrial Summary'!$G:$G,'Industrial Summary'!$F:$F,I$17,'Industrial Summary'!$D:$D,$E170)&gt;0,(-SUMIFS('Industrial Summary'!$G:$G,'Industrial Summary'!$F:$F,I$17,'Industrial Summary'!$D:$D,$E170,'Industrial Summary'!$A:$A,"BIO")/SUMIFS('Industrial Summary'!$G:$G,'Industrial Summary'!$F:$F,I$17,'Industrial Summary'!$D:$D,$E170)),0)*0.98</f>
        <v>0</v>
      </c>
      <c r="J170" s="6">
        <f>IF(SUMIFS('Industrial Summary'!$G:$G,'Industrial Summary'!$F:$F,J$17,'Industrial Summary'!$D:$D,$E170)&gt;0,(-SUMIFS('Industrial Summary'!$G:$G,'Industrial Summary'!$F:$F,J$17,'Industrial Summary'!$D:$D,$E170,'Industrial Summary'!$A:$A,"BIO")/SUMIFS('Industrial Summary'!$G:$G,'Industrial Summary'!$F:$F,J$17,'Industrial Summary'!$D:$D,$E170)),0)*0.98</f>
        <v>-7.1402381509599835E-2</v>
      </c>
      <c r="K170" s="6">
        <f>IF(SUMIFS('Industrial Summary'!$G:$G,'Industrial Summary'!$F:$F,K$17,'Industrial Summary'!$D:$D,$E170)&gt;0,(-SUMIFS('Industrial Summary'!$G:$G,'Industrial Summary'!$F:$F,K$17,'Industrial Summary'!$D:$D,$E170,'Industrial Summary'!$A:$A,"BIO")/SUMIFS('Industrial Summary'!$G:$G,'Industrial Summary'!$F:$F,K$17,'Industrial Summary'!$D:$D,$E170)),0)*0.98</f>
        <v>-7.1402381509599919E-2</v>
      </c>
      <c r="L170" s="6">
        <f>IF(SUMIFS('Industrial Summary'!$G:$G,'Industrial Summary'!$F:$F,L$17,'Industrial Summary'!$D:$D,$E170)&gt;0,(-SUMIFS('Industrial Summary'!$G:$G,'Industrial Summary'!$F:$F,L$17,'Industrial Summary'!$D:$D,$E170,'Industrial Summary'!$A:$A,"BIO")/SUMIFS('Industrial Summary'!$G:$G,'Industrial Summary'!$F:$F,L$17,'Industrial Summary'!$D:$D,$E170)),0)*0.98</f>
        <v>-3.4533751038608514E-2</v>
      </c>
      <c r="M170" s="6">
        <f>IF(SUMIFS('Industrial Summary'!$G:$G,'Industrial Summary'!$F:$F,M$17,'Industrial Summary'!$D:$D,$E170)&gt;0,(-SUMIFS('Industrial Summary'!$G:$G,'Industrial Summary'!$F:$F,M$17,'Industrial Summary'!$D:$D,$E170,'Industrial Summary'!$A:$A,"BIO")/SUMIFS('Industrial Summary'!$G:$G,'Industrial Summary'!$F:$F,M$17,'Industrial Summary'!$D:$D,$E170)),0)*0.98</f>
        <v>0</v>
      </c>
      <c r="N170" s="6">
        <f>IF(SUMIFS('Industrial Summary'!$G:$G,'Industrial Summary'!$F:$F,N$17,'Industrial Summary'!$D:$D,$E170)&gt;0,(-SUMIFS('Industrial Summary'!$G:$G,'Industrial Summary'!$F:$F,N$17,'Industrial Summary'!$D:$D,$E170,'Industrial Summary'!$A:$A,"BIO")/SUMIFS('Industrial Summary'!$G:$G,'Industrial Summary'!$F:$F,N$17,'Industrial Summary'!$D:$D,$E170)),0)*0.98</f>
        <v>-3.4461768406860077E-2</v>
      </c>
      <c r="O170" s="6">
        <f>IF(SUMIFS('Industrial Summary'!$G:$G,'Industrial Summary'!$F:$F,O$17,'Industrial Summary'!$D:$D,$E170)&gt;0,(-SUMIFS('Industrial Summary'!$G:$G,'Industrial Summary'!$F:$F,O$17,'Industrial Summary'!$D:$D,$E170,'Industrial Summary'!$A:$A,"BIO")/SUMIFS('Industrial Summary'!$G:$G,'Industrial Summary'!$F:$F,O$17,'Industrial Summary'!$D:$D,$E170)),0)*0.98</f>
        <v>0</v>
      </c>
      <c r="P170" s="6">
        <f>IF(SUMIFS('Industrial Summary'!$G:$G,'Industrial Summary'!$F:$F,P$17,'Industrial Summary'!$D:$D,$E170)&gt;0,(-SUMIFS('Industrial Summary'!$G:$G,'Industrial Summary'!$F:$F,P$17,'Industrial Summary'!$D:$D,$E170,'Industrial Summary'!$A:$A,"BIO")/SUMIFS('Industrial Summary'!$G:$G,'Industrial Summary'!$F:$F,P$17,'Industrial Summary'!$D:$D,$E170)),0)*0.98</f>
        <v>0</v>
      </c>
      <c r="Q170" s="5">
        <v>0</v>
      </c>
      <c r="R170" s="5">
        <v>15</v>
      </c>
      <c r="S170" s="5" t="str">
        <f t="shared" si="33"/>
        <v>UC_ICTFS_BIO</v>
      </c>
      <c r="V170" s="4" t="str">
        <f t="shared" si="34"/>
        <v>S_ICTFSBIO</v>
      </c>
      <c r="W170" s="4" t="str">
        <f t="shared" si="35"/>
        <v>ICTFS_BIO</v>
      </c>
      <c r="X170" s="4" t="str">
        <f t="shared" si="36"/>
        <v>ICTFEED</v>
      </c>
      <c r="Y170" s="5" t="str">
        <f t="shared" si="37"/>
        <v>LO</v>
      </c>
      <c r="Z170" s="5">
        <v>1</v>
      </c>
      <c r="AA170" s="6">
        <f t="shared" si="38"/>
        <v>0</v>
      </c>
      <c r="AB170" s="6">
        <f t="shared" si="39"/>
        <v>0</v>
      </c>
      <c r="AC170" s="6">
        <f t="shared" si="40"/>
        <v>-7.1402381509599835E-2</v>
      </c>
      <c r="AD170" s="6">
        <f t="shared" si="41"/>
        <v>-7.1402381509599919E-2</v>
      </c>
      <c r="AE170" s="6">
        <f t="shared" si="42"/>
        <v>-3.4533751038608514E-2</v>
      </c>
      <c r="AF170" s="6">
        <f t="shared" si="43"/>
        <v>0</v>
      </c>
      <c r="AG170" s="6">
        <f t="shared" si="44"/>
        <v>-3.4461768406860077E-2</v>
      </c>
      <c r="AH170" s="6">
        <f t="shared" si="45"/>
        <v>0</v>
      </c>
      <c r="AI170" s="6">
        <f t="shared" si="46"/>
        <v>0</v>
      </c>
      <c r="AL170" s="5" t="str">
        <f t="shared" si="47"/>
        <v>BIO</v>
      </c>
      <c r="AM170" s="5">
        <f>1</f>
        <v>1</v>
      </c>
    </row>
    <row r="171" spans="1:39" s="5" customFormat="1" x14ac:dyDescent="0.3">
      <c r="C171" s="4" t="s">
        <v>349</v>
      </c>
      <c r="D171" s="5" t="s">
        <v>350</v>
      </c>
      <c r="E171" s="5" t="s">
        <v>716</v>
      </c>
      <c r="F171" s="5" t="s">
        <v>1588</v>
      </c>
      <c r="G171" s="5">
        <v>1</v>
      </c>
      <c r="H171" s="6">
        <f>IF(SUMIFS('Industrial Summary'!$G:$G,'Industrial Summary'!$F:$F,H$17,'Industrial Summary'!$D:$D,$E171)&gt;0,(-SUMIFS('Industrial Summary'!$G:$G,'Industrial Summary'!$F:$F,H$17,'Industrial Summary'!$D:$D,$E171,'Industrial Summary'!$A:$A,"PTC")/SUMIFS('Industrial Summary'!$G:$G,'Industrial Summary'!$F:$F,H$17,'Industrial Summary'!$D:$D,$E171)),0)*0.98</f>
        <v>0</v>
      </c>
      <c r="I171" s="6">
        <f>IF(SUMIFS('Industrial Summary'!$G:$G,'Industrial Summary'!$F:$F,I$17,'Industrial Summary'!$D:$D,$E171)&gt;0,(-SUMIFS('Industrial Summary'!$G:$G,'Industrial Summary'!$F:$F,I$17,'Industrial Summary'!$D:$D,$E171,'Industrial Summary'!$A:$A,"PTC")/SUMIFS('Industrial Summary'!$G:$G,'Industrial Summary'!$F:$F,I$17,'Industrial Summary'!$D:$D,$E171)),0)*0.98</f>
        <v>0</v>
      </c>
      <c r="J171" s="6">
        <f>IF(SUMIFS('Industrial Summary'!$G:$G,'Industrial Summary'!$F:$F,J$17,'Industrial Summary'!$D:$D,$E171)&gt;0,(-SUMIFS('Industrial Summary'!$G:$G,'Industrial Summary'!$F:$F,J$17,'Industrial Summary'!$D:$D,$E171,'Industrial Summary'!$A:$A,"PTC")/SUMIFS('Industrial Summary'!$G:$G,'Industrial Summary'!$F:$F,J$17,'Industrial Summary'!$D:$D,$E171)),0)*0.98</f>
        <v>-3.577381575457228E-2</v>
      </c>
      <c r="K171" s="6">
        <f>IF(SUMIFS('Industrial Summary'!$G:$G,'Industrial Summary'!$F:$F,K$17,'Industrial Summary'!$D:$D,$E171)&gt;0,(-SUMIFS('Industrial Summary'!$G:$G,'Industrial Summary'!$F:$F,K$17,'Industrial Summary'!$D:$D,$E171,'Industrial Summary'!$A:$A,"PTC")/SUMIFS('Industrial Summary'!$G:$G,'Industrial Summary'!$F:$F,K$17,'Industrial Summary'!$D:$D,$E171)),0)*0.98</f>
        <v>-3.5773815754571024E-2</v>
      </c>
      <c r="L171" s="6">
        <f>IF(SUMIFS('Industrial Summary'!$G:$G,'Industrial Summary'!$F:$F,L$17,'Industrial Summary'!$D:$D,$E171)&gt;0,(-SUMIFS('Industrial Summary'!$G:$G,'Industrial Summary'!$F:$F,L$17,'Industrial Summary'!$D:$D,$E171,'Industrial Summary'!$A:$A,"PTC")/SUMIFS('Industrial Summary'!$G:$G,'Industrial Summary'!$F:$F,L$17,'Industrial Summary'!$D:$D,$E171)),0)*0.98</f>
        <v>-1.424569236495747E-2</v>
      </c>
      <c r="M171" s="6">
        <f>IF(SUMIFS('Industrial Summary'!$G:$G,'Industrial Summary'!$F:$F,M$17,'Industrial Summary'!$D:$D,$E171)&gt;0,(-SUMIFS('Industrial Summary'!$G:$G,'Industrial Summary'!$F:$F,M$17,'Industrial Summary'!$D:$D,$E171,'Industrial Summary'!$A:$A,"PTC")/SUMIFS('Industrial Summary'!$G:$G,'Industrial Summary'!$F:$F,M$17,'Industrial Summary'!$D:$D,$E171)),0)*0.98</f>
        <v>0</v>
      </c>
      <c r="N171" s="6">
        <f>IF(SUMIFS('Industrial Summary'!$G:$G,'Industrial Summary'!$F:$F,N$17,'Industrial Summary'!$D:$D,$E171)&gt;0,(-SUMIFS('Industrial Summary'!$G:$G,'Industrial Summary'!$F:$F,N$17,'Industrial Summary'!$D:$D,$E171,'Industrial Summary'!$A:$A,"PTC")/SUMIFS('Industrial Summary'!$G:$G,'Industrial Summary'!$F:$F,N$17,'Industrial Summary'!$D:$D,$E171)),0)*0.98</f>
        <v>-1.6258724097545089E-2</v>
      </c>
      <c r="O171" s="6">
        <f>IF(SUMIFS('Industrial Summary'!$G:$G,'Industrial Summary'!$F:$F,O$17,'Industrial Summary'!$D:$D,$E171)&gt;0,(-SUMIFS('Industrial Summary'!$G:$G,'Industrial Summary'!$F:$F,O$17,'Industrial Summary'!$D:$D,$E171,'Industrial Summary'!$A:$A,"PTC")/SUMIFS('Industrial Summary'!$G:$G,'Industrial Summary'!$F:$F,O$17,'Industrial Summary'!$D:$D,$E171)),0)*0.98</f>
        <v>0</v>
      </c>
      <c r="P171" s="6">
        <f>IF(SUMIFS('Industrial Summary'!$G:$G,'Industrial Summary'!$F:$F,P$17,'Industrial Summary'!$D:$D,$E171)&gt;0,(-SUMIFS('Industrial Summary'!$G:$G,'Industrial Summary'!$F:$F,P$17,'Industrial Summary'!$D:$D,$E171,'Industrial Summary'!$A:$A,"PTC")/SUMIFS('Industrial Summary'!$G:$G,'Industrial Summary'!$F:$F,P$17,'Industrial Summary'!$D:$D,$E171)),0)*0.98</f>
        <v>0</v>
      </c>
      <c r="Q171" s="5">
        <v>0</v>
      </c>
      <c r="R171" s="5">
        <v>15</v>
      </c>
      <c r="S171" s="5" t="str">
        <f t="shared" si="33"/>
        <v>UC_ICTFS_PTC</v>
      </c>
      <c r="V171" s="4" t="str">
        <f t="shared" si="34"/>
        <v>S_ICTFSPTC</v>
      </c>
      <c r="W171" s="4" t="str">
        <f t="shared" si="35"/>
        <v>ICTFS_PTC</v>
      </c>
      <c r="X171" s="4" t="str">
        <f t="shared" si="36"/>
        <v>ICTFEED</v>
      </c>
      <c r="Y171" s="5" t="str">
        <f t="shared" si="37"/>
        <v>LO</v>
      </c>
      <c r="Z171" s="5">
        <v>1</v>
      </c>
      <c r="AA171" s="6">
        <f t="shared" si="38"/>
        <v>0</v>
      </c>
      <c r="AB171" s="6">
        <f t="shared" si="39"/>
        <v>0</v>
      </c>
      <c r="AC171" s="6">
        <f t="shared" si="40"/>
        <v>-3.577381575457228E-2</v>
      </c>
      <c r="AD171" s="6">
        <f t="shared" si="41"/>
        <v>-3.5773815754571024E-2</v>
      </c>
      <c r="AE171" s="6">
        <f t="shared" si="42"/>
        <v>-1.424569236495747E-2</v>
      </c>
      <c r="AF171" s="6">
        <f t="shared" si="43"/>
        <v>0</v>
      </c>
      <c r="AG171" s="6">
        <f t="shared" si="44"/>
        <v>-1.6258724097545089E-2</v>
      </c>
      <c r="AH171" s="6">
        <f t="shared" si="45"/>
        <v>0</v>
      </c>
      <c r="AI171" s="6">
        <f t="shared" si="46"/>
        <v>0</v>
      </c>
      <c r="AL171" s="5" t="str">
        <f t="shared" si="47"/>
        <v>PTC</v>
      </c>
      <c r="AM171" s="5">
        <f>1</f>
        <v>1</v>
      </c>
    </row>
    <row r="172" spans="1:39" s="5" customFormat="1" x14ac:dyDescent="0.3">
      <c r="A172" s="8"/>
      <c r="C172" s="4" t="s">
        <v>351</v>
      </c>
      <c r="D172" s="5" t="s">
        <v>352</v>
      </c>
      <c r="E172" s="5" t="s">
        <v>716</v>
      </c>
      <c r="F172" s="5" t="s">
        <v>1588</v>
      </c>
      <c r="G172" s="5">
        <v>1</v>
      </c>
      <c r="H172" s="6">
        <f>IF(SUMIFS('Industrial Summary'!$G:$G,'Industrial Summary'!$F:$F,H$17,'Industrial Summary'!$D:$D,$E172)&gt;0,(-SUMIFS('Industrial Summary'!$G:$G,'Industrial Summary'!$F:$F,H$17,'Industrial Summary'!$D:$D,$E172,'Industrial Summary'!$A:$A,"OTP")/SUMIFS('Industrial Summary'!$G:$G,'Industrial Summary'!$F:$F,H$17,'Industrial Summary'!$D:$D,$E172)),0)*0.98</f>
        <v>0</v>
      </c>
      <c r="I172" s="6">
        <f>IF(SUMIFS('Industrial Summary'!$G:$G,'Industrial Summary'!$F:$F,I$17,'Industrial Summary'!$D:$D,$E172)&gt;0,(-SUMIFS('Industrial Summary'!$G:$G,'Industrial Summary'!$F:$F,I$17,'Industrial Summary'!$D:$D,$E172,'Industrial Summary'!$A:$A,"OTP")/SUMIFS('Industrial Summary'!$G:$G,'Industrial Summary'!$F:$F,I$17,'Industrial Summary'!$D:$D,$E172)),0)*0.98</f>
        <v>0</v>
      </c>
      <c r="J172" s="6">
        <f>IF(SUMIFS('Industrial Summary'!$G:$G,'Industrial Summary'!$F:$F,J$17,'Industrial Summary'!$D:$D,$E172)&gt;0,(-SUMIFS('Industrial Summary'!$G:$G,'Industrial Summary'!$F:$F,J$17,'Industrial Summary'!$D:$D,$E172,'Industrial Summary'!$A:$A,"OTP")/SUMIFS('Industrial Summary'!$G:$G,'Industrial Summary'!$F:$F,J$17,'Industrial Summary'!$D:$D,$E172)),0)*0.98</f>
        <v>-2.6085073987708969E-3</v>
      </c>
      <c r="K172" s="6">
        <f>IF(SUMIFS('Industrial Summary'!$G:$G,'Industrial Summary'!$F:$F,K$17,'Industrial Summary'!$D:$D,$E172)&gt;0,(-SUMIFS('Industrial Summary'!$G:$G,'Industrial Summary'!$F:$F,K$17,'Industrial Summary'!$D:$D,$E172,'Industrial Summary'!$A:$A,"OTP")/SUMIFS('Industrial Summary'!$G:$G,'Industrial Summary'!$F:$F,K$17,'Industrial Summary'!$D:$D,$E172)),0)*0.98</f>
        <v>-2.6085073987708938E-3</v>
      </c>
      <c r="L172" s="6">
        <f>IF(SUMIFS('Industrial Summary'!$G:$G,'Industrial Summary'!$F:$F,L$17,'Industrial Summary'!$D:$D,$E172)&gt;0,(-SUMIFS('Industrial Summary'!$G:$G,'Industrial Summary'!$F:$F,L$17,'Industrial Summary'!$D:$D,$E172,'Industrial Summary'!$A:$A,"OTP")/SUMIFS('Industrial Summary'!$G:$G,'Industrial Summary'!$F:$F,L$17,'Industrial Summary'!$D:$D,$E172)),0)*0.98</f>
        <v>-1.2616042096496613E-3</v>
      </c>
      <c r="M172" s="6">
        <f>IF(SUMIFS('Industrial Summary'!$G:$G,'Industrial Summary'!$F:$F,M$17,'Industrial Summary'!$D:$D,$E172)&gt;0,(-SUMIFS('Industrial Summary'!$G:$G,'Industrial Summary'!$F:$F,M$17,'Industrial Summary'!$D:$D,$E172,'Industrial Summary'!$A:$A,"OTP")/SUMIFS('Industrial Summary'!$G:$G,'Industrial Summary'!$F:$F,M$17,'Industrial Summary'!$D:$D,$E172)),0)*0.98</f>
        <v>0</v>
      </c>
      <c r="N172" s="6">
        <f>IF(SUMIFS('Industrial Summary'!$G:$G,'Industrial Summary'!$F:$F,N$17,'Industrial Summary'!$D:$D,$E172)&gt;0,(-SUMIFS('Industrial Summary'!$G:$G,'Industrial Summary'!$F:$F,N$17,'Industrial Summary'!$D:$D,$E172,'Industrial Summary'!$A:$A,"OTP")/SUMIFS('Industrial Summary'!$G:$G,'Industrial Summary'!$F:$F,N$17,'Industrial Summary'!$D:$D,$E172)),0)*0.98</f>
        <v>-1.2589745042598847E-3</v>
      </c>
      <c r="O172" s="6">
        <f>IF(SUMIFS('Industrial Summary'!$G:$G,'Industrial Summary'!$F:$F,O$17,'Industrial Summary'!$D:$D,$E172)&gt;0,(-SUMIFS('Industrial Summary'!$G:$G,'Industrial Summary'!$F:$F,O$17,'Industrial Summary'!$D:$D,$E172,'Industrial Summary'!$A:$A,"OTP")/SUMIFS('Industrial Summary'!$G:$G,'Industrial Summary'!$F:$F,O$17,'Industrial Summary'!$D:$D,$E172)),0)*0.98</f>
        <v>0</v>
      </c>
      <c r="P172" s="6">
        <f>IF(SUMIFS('Industrial Summary'!$G:$G,'Industrial Summary'!$F:$F,P$17,'Industrial Summary'!$D:$D,$E172)&gt;0,(-SUMIFS('Industrial Summary'!$G:$G,'Industrial Summary'!$F:$F,P$17,'Industrial Summary'!$D:$D,$E172,'Industrial Summary'!$A:$A,"OTP")/SUMIFS('Industrial Summary'!$G:$G,'Industrial Summary'!$F:$F,P$17,'Industrial Summary'!$D:$D,$E172)),0)*0.98</f>
        <v>0</v>
      </c>
      <c r="Q172" s="5">
        <v>0</v>
      </c>
      <c r="R172" s="5">
        <v>15</v>
      </c>
      <c r="S172" s="5" t="str">
        <f t="shared" si="33"/>
        <v>UC_ICTFS_OTP</v>
      </c>
      <c r="V172" s="4" t="str">
        <f t="shared" si="34"/>
        <v>S_ICTFSOTP</v>
      </c>
      <c r="W172" s="4" t="str">
        <f t="shared" si="35"/>
        <v>ICTFS_OTP</v>
      </c>
      <c r="X172" s="4" t="str">
        <f t="shared" si="36"/>
        <v>ICTFEED</v>
      </c>
      <c r="Y172" s="5" t="str">
        <f t="shared" si="37"/>
        <v>LO</v>
      </c>
      <c r="Z172" s="5">
        <v>1</v>
      </c>
      <c r="AA172" s="6">
        <f t="shared" si="38"/>
        <v>0</v>
      </c>
      <c r="AB172" s="6">
        <f t="shared" si="39"/>
        <v>0</v>
      </c>
      <c r="AC172" s="6">
        <f t="shared" si="40"/>
        <v>-2.6085073987708969E-3</v>
      </c>
      <c r="AD172" s="6">
        <f t="shared" si="41"/>
        <v>-2.6085073987708938E-3</v>
      </c>
      <c r="AE172" s="6">
        <f t="shared" si="42"/>
        <v>-1.2616042096496613E-3</v>
      </c>
      <c r="AF172" s="6">
        <f t="shared" si="43"/>
        <v>0</v>
      </c>
      <c r="AG172" s="6">
        <f t="shared" si="44"/>
        <v>-1.2589745042598847E-3</v>
      </c>
      <c r="AH172" s="6">
        <f t="shared" si="45"/>
        <v>0</v>
      </c>
      <c r="AI172" s="6">
        <f t="shared" si="46"/>
        <v>0</v>
      </c>
      <c r="AL172" s="5" t="str">
        <f t="shared" si="47"/>
        <v>OTP</v>
      </c>
      <c r="AM172" s="5">
        <f>1</f>
        <v>1</v>
      </c>
    </row>
    <row r="173" spans="1:39" s="5" customFormat="1" x14ac:dyDescent="0.3">
      <c r="C173" s="4" t="s">
        <v>353</v>
      </c>
      <c r="D173" s="5" t="s">
        <v>354</v>
      </c>
      <c r="E173" s="5" t="s">
        <v>777</v>
      </c>
      <c r="F173" s="5" t="s">
        <v>1588</v>
      </c>
      <c r="G173" s="5">
        <v>1</v>
      </c>
      <c r="H173" s="6">
        <f>(IF(SUMIFS('Industrial Summary'!$G:$G,'Industrial Summary'!$F:$F,H$17,'Industrial Summary'!$D:$D,$E173)&gt;0,((-SUMIFS('Industrial Summary'!$G:$G,'Industrial Summary'!$F:$F,H$17,'Industrial Summary'!$D:$D,$E173,'Industrial Summary'!$A:$A,"ELC")+-SUMIFS('Industrial Summary'!$G:$G,'Industrial Summary'!$F:$F,H$17,'Industrial Summary'!$D:$D,"ICTFSTM",'Industrial Summary'!$A:$A,"ELC"))/SUMIFS('Industrial Summary'!$G:$G,'Industrial Summary'!$F:$F,H$17,'Industrial Summary'!$D:$D,$E173)),0))*0.98</f>
        <v>-0.11580798946190304</v>
      </c>
      <c r="I173" s="6">
        <f>(IF(SUMIFS('Industrial Summary'!$G:$G,'Industrial Summary'!$F:$F,I$17,'Industrial Summary'!$D:$D,$E173)&gt;0,((-SUMIFS('Industrial Summary'!$G:$G,'Industrial Summary'!$F:$F,I$17,'Industrial Summary'!$D:$D,$E173,'Industrial Summary'!$A:$A,"ELC")+-SUMIFS('Industrial Summary'!$G:$G,'Industrial Summary'!$F:$F,I$17,'Industrial Summary'!$D:$D,"ICTFSTM",'Industrial Summary'!$A:$A,"ELC"))/SUMIFS('Industrial Summary'!$G:$G,'Industrial Summary'!$F:$F,I$17,'Industrial Summary'!$D:$D,$E173)),0))*0.98</f>
        <v>-2.2229292486228118E-2</v>
      </c>
      <c r="J173" s="6">
        <f>(IF(SUMIFS('Industrial Summary'!$G:$G,'Industrial Summary'!$F:$F,J$17,'Industrial Summary'!$D:$D,$E173)&gt;0,((-SUMIFS('Industrial Summary'!$G:$G,'Industrial Summary'!$F:$F,J$17,'Industrial Summary'!$D:$D,$E173,'Industrial Summary'!$A:$A,"ELC")+-SUMIFS('Industrial Summary'!$G:$G,'Industrial Summary'!$F:$F,J$17,'Industrial Summary'!$D:$D,"ICTFSTM",'Industrial Summary'!$A:$A,"ELC"))/SUMIFS('Industrial Summary'!$G:$G,'Industrial Summary'!$F:$F,J$17,'Industrial Summary'!$D:$D,$E173)),0))*0.98</f>
        <v>-3.4107977683817417E-2</v>
      </c>
      <c r="K173" s="6">
        <f>(IF(SUMIFS('Industrial Summary'!$G:$G,'Industrial Summary'!$F:$F,K$17,'Industrial Summary'!$D:$D,$E173)&gt;0,((-SUMIFS('Industrial Summary'!$G:$G,'Industrial Summary'!$F:$F,K$17,'Industrial Summary'!$D:$D,$E173,'Industrial Summary'!$A:$A,"ELC")+-SUMIFS('Industrial Summary'!$G:$G,'Industrial Summary'!$F:$F,K$17,'Industrial Summary'!$D:$D,"ICTFSTM",'Industrial Summary'!$A:$A,"ELC"))/SUMIFS('Industrial Summary'!$G:$G,'Industrial Summary'!$F:$F,K$17,'Industrial Summary'!$D:$D,$E173)),0))*0.98</f>
        <v>-0.16306992997684405</v>
      </c>
      <c r="L173" s="6">
        <f>(IF(SUMIFS('Industrial Summary'!$G:$G,'Industrial Summary'!$F:$F,L$17,'Industrial Summary'!$D:$D,$E173)&gt;0,((-SUMIFS('Industrial Summary'!$G:$G,'Industrial Summary'!$F:$F,L$17,'Industrial Summary'!$D:$D,$E173,'Industrial Summary'!$A:$A,"ELC")+-SUMIFS('Industrial Summary'!$G:$G,'Industrial Summary'!$F:$F,L$17,'Industrial Summary'!$D:$D,"ICTFSTM",'Industrial Summary'!$A:$A,"ELC"))/SUMIFS('Industrial Summary'!$G:$G,'Industrial Summary'!$F:$F,L$17,'Industrial Summary'!$D:$D,$E173)),0))*0.98</f>
        <v>-8.3435337603092342E-3</v>
      </c>
      <c r="M173" s="6">
        <f>(IF(SUMIFS('Industrial Summary'!$G:$G,'Industrial Summary'!$F:$F,M$17,'Industrial Summary'!$D:$D,$E173)&gt;0,((-SUMIFS('Industrial Summary'!$G:$G,'Industrial Summary'!$F:$F,M$17,'Industrial Summary'!$D:$D,$E173,'Industrial Summary'!$A:$A,"ELC")+-SUMIFS('Industrial Summary'!$G:$G,'Industrial Summary'!$F:$F,M$17,'Industrial Summary'!$D:$D,"ICTFSTM",'Industrial Summary'!$A:$A,"ELC"))/SUMIFS('Industrial Summary'!$G:$G,'Industrial Summary'!$F:$F,M$17,'Industrial Summary'!$D:$D,$E173)),0))*0.98</f>
        <v>-6.5631240296740292E-2</v>
      </c>
      <c r="N173" s="6">
        <f>(IF(SUMIFS('Industrial Summary'!$G:$G,'Industrial Summary'!$F:$F,N$17,'Industrial Summary'!$D:$D,$E173)&gt;0,((-SUMIFS('Industrial Summary'!$G:$G,'Industrial Summary'!$F:$F,N$17,'Industrial Summary'!$D:$D,$E173,'Industrial Summary'!$A:$A,"ELC")+-SUMIFS('Industrial Summary'!$G:$G,'Industrial Summary'!$F:$F,N$17,'Industrial Summary'!$D:$D,"ICTFSTM",'Industrial Summary'!$A:$A,"ELC"))/SUMIFS('Industrial Summary'!$G:$G,'Industrial Summary'!$F:$F,N$17,'Industrial Summary'!$D:$D,$E173)),0))*0.98</f>
        <v>-4.0681106244722195E-2</v>
      </c>
      <c r="O173" s="6">
        <f>(IF(SUMIFS('Industrial Summary'!$G:$G,'Industrial Summary'!$F:$F,O$17,'Industrial Summary'!$D:$D,$E173)&gt;0,((-SUMIFS('Industrial Summary'!$G:$G,'Industrial Summary'!$F:$F,O$17,'Industrial Summary'!$D:$D,$E173,'Industrial Summary'!$A:$A,"ELC")+-SUMIFS('Industrial Summary'!$G:$G,'Industrial Summary'!$F:$F,O$17,'Industrial Summary'!$D:$D,"ICTFSTM",'Industrial Summary'!$A:$A,"ELC"))/SUMIFS('Industrial Summary'!$G:$G,'Industrial Summary'!$F:$F,O$17,'Industrial Summary'!$D:$D,$E173)),0))*0.98</f>
        <v>-0.13017471461751026</v>
      </c>
      <c r="P173" s="6">
        <f>(IF(SUMIFS('Industrial Summary'!$G:$G,'Industrial Summary'!$F:$F,P$17,'Industrial Summary'!$D:$D,$E173)&gt;0,((-SUMIFS('Industrial Summary'!$G:$G,'Industrial Summary'!$F:$F,P$17,'Industrial Summary'!$D:$D,$E173,'Industrial Summary'!$A:$A,"ELC")+-SUMIFS('Industrial Summary'!$G:$G,'Industrial Summary'!$F:$F,P$17,'Industrial Summary'!$D:$D,"ICTFSTM",'Industrial Summary'!$A:$A,"ELC"))/SUMIFS('Industrial Summary'!$G:$G,'Industrial Summary'!$F:$F,P$17,'Industrial Summary'!$D:$D,$E173)),0))*0.98</f>
        <v>0</v>
      </c>
      <c r="Q173" s="6">
        <f>(IF(SUMIFS('Industrial Summary'!$G:$G,'Industrial Summary'!$F:$F,Q$17,'Industrial Summary'!$D:$D,$E173)&gt;0,((-SUMIFS('Industrial Summary'!$G:$G,'Industrial Summary'!$F:$F,Q$17,'Industrial Summary'!$D:$D,$E173,'Industrial Summary'!$A:$A,"ELC")+-SUMIFS('Industrial Summary'!$G:$G,'Industrial Summary'!$F:$F,Q$17,'Industrial Summary'!$D:$D,"ICTFSTM",'Industrial Summary'!$A:$A,"ELC"))/SUMIFS('Industrial Summary'!$G:$G,'Industrial Summary'!$F:$F,Q$17,'Industrial Summary'!$D:$D,$E173)),0))*0.98</f>
        <v>0</v>
      </c>
      <c r="R173" s="5">
        <v>15</v>
      </c>
      <c r="S173" s="5" t="str">
        <f t="shared" si="33"/>
        <v>UC_ICTST_ELC</v>
      </c>
      <c r="V173" s="4" t="str">
        <f t="shared" si="34"/>
        <v>S_ICTSTELC</v>
      </c>
      <c r="W173" s="4" t="str">
        <f t="shared" si="35"/>
        <v>ICTST_ELC</v>
      </c>
      <c r="X173" s="4" t="str">
        <f t="shared" si="36"/>
        <v>ICTSTM</v>
      </c>
      <c r="Y173" s="5" t="str">
        <f t="shared" si="37"/>
        <v>LO</v>
      </c>
      <c r="Z173" s="5">
        <v>1</v>
      </c>
      <c r="AA173" s="6">
        <f t="shared" si="38"/>
        <v>-0.11580798946190304</v>
      </c>
      <c r="AB173" s="6">
        <f t="shared" si="39"/>
        <v>-2.2229292486228118E-2</v>
      </c>
      <c r="AC173" s="6">
        <f t="shared" si="40"/>
        <v>-3.4107977683817417E-2</v>
      </c>
      <c r="AD173" s="6">
        <f t="shared" si="41"/>
        <v>-0.16306992997684405</v>
      </c>
      <c r="AE173" s="6">
        <f t="shared" si="42"/>
        <v>-8.3435337603092342E-3</v>
      </c>
      <c r="AF173" s="6">
        <f t="shared" si="43"/>
        <v>-6.5631240296740292E-2</v>
      </c>
      <c r="AG173" s="6">
        <f t="shared" si="44"/>
        <v>-4.0681106244722195E-2</v>
      </c>
      <c r="AH173" s="6">
        <f t="shared" si="45"/>
        <v>-0.13017471461751026</v>
      </c>
      <c r="AI173" s="6">
        <f t="shared" si="46"/>
        <v>0</v>
      </c>
      <c r="AL173" s="5" t="str">
        <f t="shared" si="47"/>
        <v>ELC</v>
      </c>
      <c r="AM173" s="5">
        <f>1</f>
        <v>1</v>
      </c>
    </row>
    <row r="174" spans="1:39" s="5" customFormat="1" x14ac:dyDescent="0.3">
      <c r="C174" s="4" t="s">
        <v>355</v>
      </c>
      <c r="D174" s="5" t="s">
        <v>356</v>
      </c>
      <c r="E174" s="5" t="s">
        <v>777</v>
      </c>
      <c r="F174" s="5" t="s">
        <v>1588</v>
      </c>
      <c r="G174" s="5">
        <v>1</v>
      </c>
      <c r="H174" s="6">
        <f>(IF(SUMIFS('Industrial Summary'!$G:$G,'Industrial Summary'!$F:$F,H$17,'Industrial Summary'!$D:$D,$E174)&gt;0,((-SUMIFS('Industrial Summary'!$G:$G,'Industrial Summary'!$F:$F,H$17,'Industrial Summary'!$D:$D,$E174,'Industrial Summary'!$A:$A,"RFL")+-SUMIFS('Industrial Summary'!$G:$G,'Industrial Summary'!$F:$F,H$17,'Industrial Summary'!$D:$D,"ICTFSTM",'Industrial Summary'!$A:$A,"RFL"))/SUMIFS('Industrial Summary'!$G:$G,'Industrial Summary'!$F:$F,H$17,'Industrial Summary'!$D:$D,$E174)),0))*0.98</f>
        <v>0</v>
      </c>
      <c r="I174" s="6">
        <f>(IF(SUMIFS('Industrial Summary'!$G:$G,'Industrial Summary'!$F:$F,I$17,'Industrial Summary'!$D:$D,$E174)&gt;0,((-SUMIFS('Industrial Summary'!$G:$G,'Industrial Summary'!$F:$F,I$17,'Industrial Summary'!$D:$D,$E174,'Industrial Summary'!$A:$A,"RFL")+-SUMIFS('Industrial Summary'!$G:$G,'Industrial Summary'!$F:$F,I$17,'Industrial Summary'!$D:$D,"ICTFSTM",'Industrial Summary'!$A:$A,"RFL"))/SUMIFS('Industrial Summary'!$G:$G,'Industrial Summary'!$F:$F,I$17,'Industrial Summary'!$D:$D,$E174)),0))*0.98</f>
        <v>0</v>
      </c>
      <c r="J174" s="6">
        <f>(IF(SUMIFS('Industrial Summary'!$G:$G,'Industrial Summary'!$F:$F,J$17,'Industrial Summary'!$D:$D,$E174)&gt;0,((-SUMIFS('Industrial Summary'!$G:$G,'Industrial Summary'!$F:$F,J$17,'Industrial Summary'!$D:$D,$E174,'Industrial Summary'!$A:$A,"RFL")+-SUMIFS('Industrial Summary'!$G:$G,'Industrial Summary'!$F:$F,J$17,'Industrial Summary'!$D:$D,"ICTFSTM",'Industrial Summary'!$A:$A,"RFL"))/SUMIFS('Industrial Summary'!$G:$G,'Industrial Summary'!$F:$F,J$17,'Industrial Summary'!$D:$D,$E174)),0))*0.98</f>
        <v>0</v>
      </c>
      <c r="K174" s="6">
        <f>(IF(SUMIFS('Industrial Summary'!$G:$G,'Industrial Summary'!$F:$F,K$17,'Industrial Summary'!$D:$D,$E174)&gt;0,((-SUMIFS('Industrial Summary'!$G:$G,'Industrial Summary'!$F:$F,K$17,'Industrial Summary'!$D:$D,$E174,'Industrial Summary'!$A:$A,"RFL")+-SUMIFS('Industrial Summary'!$G:$G,'Industrial Summary'!$F:$F,K$17,'Industrial Summary'!$D:$D,"ICTFSTM",'Industrial Summary'!$A:$A,"RFL"))/SUMIFS('Industrial Summary'!$G:$G,'Industrial Summary'!$F:$F,K$17,'Industrial Summary'!$D:$D,$E174)),0))*0.98</f>
        <v>0</v>
      </c>
      <c r="L174" s="6">
        <f>(IF(SUMIFS('Industrial Summary'!$G:$G,'Industrial Summary'!$F:$F,L$17,'Industrial Summary'!$D:$D,$E174)&gt;0,((-SUMIFS('Industrial Summary'!$G:$G,'Industrial Summary'!$F:$F,L$17,'Industrial Summary'!$D:$D,$E174,'Industrial Summary'!$A:$A,"RFL")+-SUMIFS('Industrial Summary'!$G:$G,'Industrial Summary'!$F:$F,L$17,'Industrial Summary'!$D:$D,"ICTFSTM",'Industrial Summary'!$A:$A,"RFL"))/SUMIFS('Industrial Summary'!$G:$G,'Industrial Summary'!$F:$F,L$17,'Industrial Summary'!$D:$D,$E174)),0))*0.98</f>
        <v>0</v>
      </c>
      <c r="M174" s="6">
        <f>(IF(SUMIFS('Industrial Summary'!$G:$G,'Industrial Summary'!$F:$F,M$17,'Industrial Summary'!$D:$D,$E174)&gt;0,((-SUMIFS('Industrial Summary'!$G:$G,'Industrial Summary'!$F:$F,M$17,'Industrial Summary'!$D:$D,$E174,'Industrial Summary'!$A:$A,"RFL")+-SUMIFS('Industrial Summary'!$G:$G,'Industrial Summary'!$F:$F,M$17,'Industrial Summary'!$D:$D,"ICTFSTM",'Industrial Summary'!$A:$A,"RFL"))/SUMIFS('Industrial Summary'!$G:$G,'Industrial Summary'!$F:$F,M$17,'Industrial Summary'!$D:$D,$E174)),0))*0.98</f>
        <v>-5.757143429180038E-3</v>
      </c>
      <c r="N174" s="6">
        <f>(IF(SUMIFS('Industrial Summary'!$G:$G,'Industrial Summary'!$F:$F,N$17,'Industrial Summary'!$D:$D,$E174)&gt;0,((-SUMIFS('Industrial Summary'!$G:$G,'Industrial Summary'!$F:$F,N$17,'Industrial Summary'!$D:$D,$E174,'Industrial Summary'!$A:$A,"RFL")+-SUMIFS('Industrial Summary'!$G:$G,'Industrial Summary'!$F:$F,N$17,'Industrial Summary'!$D:$D,"ICTFSTM",'Industrial Summary'!$A:$A,"RFL"))/SUMIFS('Industrial Summary'!$G:$G,'Industrial Summary'!$F:$F,N$17,'Industrial Summary'!$D:$D,$E174)),0))*0.98</f>
        <v>0</v>
      </c>
      <c r="O174" s="6">
        <f>(IF(SUMIFS('Industrial Summary'!$G:$G,'Industrial Summary'!$F:$F,O$17,'Industrial Summary'!$D:$D,$E174)&gt;0,((-SUMIFS('Industrial Summary'!$G:$G,'Industrial Summary'!$F:$F,O$17,'Industrial Summary'!$D:$D,$E174,'Industrial Summary'!$A:$A,"RFL")+-SUMIFS('Industrial Summary'!$G:$G,'Industrial Summary'!$F:$F,O$17,'Industrial Summary'!$D:$D,"ICTFSTM",'Industrial Summary'!$A:$A,"RFL"))/SUMIFS('Industrial Summary'!$G:$G,'Industrial Summary'!$F:$F,O$17,'Industrial Summary'!$D:$D,$E174)),0))*0.98</f>
        <v>0</v>
      </c>
      <c r="P174" s="6">
        <f>(IF(SUMIFS('Industrial Summary'!$G:$G,'Industrial Summary'!$F:$F,P$17,'Industrial Summary'!$D:$D,$E174)&gt;0,((-SUMIFS('Industrial Summary'!$G:$G,'Industrial Summary'!$F:$F,P$17,'Industrial Summary'!$D:$D,$E174,'Industrial Summary'!$A:$A,"RFL")+-SUMIFS('Industrial Summary'!$G:$G,'Industrial Summary'!$F:$F,P$17,'Industrial Summary'!$D:$D,"ICTFSTM",'Industrial Summary'!$A:$A,"RFL"))/SUMIFS('Industrial Summary'!$G:$G,'Industrial Summary'!$F:$F,P$17,'Industrial Summary'!$D:$D,$E174)),0))*0.98</f>
        <v>0</v>
      </c>
      <c r="Q174" s="6">
        <f>(IF(SUMIFS('Industrial Summary'!$G:$G,'Industrial Summary'!$F:$F,Q$17,'Industrial Summary'!$D:$D,$E174)&gt;0,((-SUMIFS('Industrial Summary'!$G:$G,'Industrial Summary'!$F:$F,Q$17,'Industrial Summary'!$D:$D,$E174,'Industrial Summary'!$A:$A,"RFL")+-SUMIFS('Industrial Summary'!$G:$G,'Industrial Summary'!$F:$F,Q$17,'Industrial Summary'!$D:$D,"ICTFSTM",'Industrial Summary'!$A:$A,"RFL"))/SUMIFS('Industrial Summary'!$G:$G,'Industrial Summary'!$F:$F,Q$17,'Industrial Summary'!$D:$D,$E174)),0))*0.98</f>
        <v>0</v>
      </c>
      <c r="R174" s="5">
        <v>15</v>
      </c>
      <c r="S174" s="5" t="str">
        <f t="shared" si="33"/>
        <v>UC_ICTST_RFL</v>
      </c>
      <c r="V174" s="4" t="str">
        <f t="shared" si="34"/>
        <v>S_ICTSTRFL</v>
      </c>
      <c r="W174" s="4" t="str">
        <f t="shared" si="35"/>
        <v>ICTST_RFL</v>
      </c>
      <c r="X174" s="4" t="str">
        <f t="shared" si="36"/>
        <v>ICTSTM</v>
      </c>
      <c r="Y174" s="5" t="str">
        <f t="shared" si="37"/>
        <v>LO</v>
      </c>
      <c r="Z174" s="5">
        <v>1</v>
      </c>
      <c r="AA174" s="6">
        <f t="shared" si="38"/>
        <v>0</v>
      </c>
      <c r="AB174" s="6">
        <f t="shared" si="39"/>
        <v>0</v>
      </c>
      <c r="AC174" s="6">
        <f t="shared" si="40"/>
        <v>0</v>
      </c>
      <c r="AD174" s="6">
        <f t="shared" si="41"/>
        <v>0</v>
      </c>
      <c r="AE174" s="6">
        <f t="shared" si="42"/>
        <v>0</v>
      </c>
      <c r="AF174" s="6">
        <f t="shared" si="43"/>
        <v>-5.757143429180038E-3</v>
      </c>
      <c r="AG174" s="6">
        <f t="shared" si="44"/>
        <v>0</v>
      </c>
      <c r="AH174" s="6">
        <f t="shared" si="45"/>
        <v>0</v>
      </c>
      <c r="AI174" s="6">
        <f t="shared" si="46"/>
        <v>0</v>
      </c>
      <c r="AL174" s="5" t="str">
        <f t="shared" si="47"/>
        <v>RFL</v>
      </c>
      <c r="AM174" s="5">
        <f>1</f>
        <v>1</v>
      </c>
    </row>
    <row r="175" spans="1:39" s="5" customFormat="1" x14ac:dyDescent="0.3">
      <c r="C175" s="4" t="s">
        <v>357</v>
      </c>
      <c r="D175" s="5" t="s">
        <v>358</v>
      </c>
      <c r="E175" s="5" t="s">
        <v>777</v>
      </c>
      <c r="F175" s="5" t="s">
        <v>1588</v>
      </c>
      <c r="G175" s="5">
        <v>1</v>
      </c>
      <c r="H175" s="6">
        <f>(IF(SUMIFS('Industrial Summary'!$G:$G,'Industrial Summary'!$F:$F,H$17,'Industrial Summary'!$D:$D,$E175)&gt;0,((-SUMIFS('Industrial Summary'!$G:$G,'Industrial Summary'!$F:$F,H$17,'Industrial Summary'!$D:$D,$E175,'Industrial Summary'!$A:$A,"DST")+-SUMIFS('Industrial Summary'!$G:$G,'Industrial Summary'!$F:$F,H$17,'Industrial Summary'!$D:$D,"ICTFSTM",'Industrial Summary'!$A:$A,"DST"))/SUMIFS('Industrial Summary'!$G:$G,'Industrial Summary'!$F:$F,H$17,'Industrial Summary'!$D:$D,$E175)),0))*0.98</f>
        <v>0</v>
      </c>
      <c r="I175" s="6">
        <f>(IF(SUMIFS('Industrial Summary'!$G:$G,'Industrial Summary'!$F:$F,I$17,'Industrial Summary'!$D:$D,$E175)&gt;0,((-SUMIFS('Industrial Summary'!$G:$G,'Industrial Summary'!$F:$F,I$17,'Industrial Summary'!$D:$D,$E175,'Industrial Summary'!$A:$A,"DST")+-SUMIFS('Industrial Summary'!$G:$G,'Industrial Summary'!$F:$F,I$17,'Industrial Summary'!$D:$D,"ICTFSTM",'Industrial Summary'!$A:$A,"DST"))/SUMIFS('Industrial Summary'!$G:$G,'Industrial Summary'!$F:$F,I$17,'Industrial Summary'!$D:$D,$E175)),0))*0.98</f>
        <v>0</v>
      </c>
      <c r="J175" s="6">
        <f>(IF(SUMIFS('Industrial Summary'!$G:$G,'Industrial Summary'!$F:$F,J$17,'Industrial Summary'!$D:$D,$E175)&gt;0,((-SUMIFS('Industrial Summary'!$G:$G,'Industrial Summary'!$F:$F,J$17,'Industrial Summary'!$D:$D,$E175,'Industrial Summary'!$A:$A,"DST")+-SUMIFS('Industrial Summary'!$G:$G,'Industrial Summary'!$F:$F,J$17,'Industrial Summary'!$D:$D,"ICTFSTM",'Industrial Summary'!$A:$A,"DST"))/SUMIFS('Industrial Summary'!$G:$G,'Industrial Summary'!$F:$F,J$17,'Industrial Summary'!$D:$D,$E175)),0))*0.98</f>
        <v>0</v>
      </c>
      <c r="K175" s="6">
        <f>(IF(SUMIFS('Industrial Summary'!$G:$G,'Industrial Summary'!$F:$F,K$17,'Industrial Summary'!$D:$D,$E175)&gt;0,((-SUMIFS('Industrial Summary'!$G:$G,'Industrial Summary'!$F:$F,K$17,'Industrial Summary'!$D:$D,$E175,'Industrial Summary'!$A:$A,"DST")+-SUMIFS('Industrial Summary'!$G:$G,'Industrial Summary'!$F:$F,K$17,'Industrial Summary'!$D:$D,"ICTFSTM",'Industrial Summary'!$A:$A,"DST"))/SUMIFS('Industrial Summary'!$G:$G,'Industrial Summary'!$F:$F,K$17,'Industrial Summary'!$D:$D,$E175)),0))*0.98</f>
        <v>0</v>
      </c>
      <c r="L175" s="6">
        <f>(IF(SUMIFS('Industrial Summary'!$G:$G,'Industrial Summary'!$F:$F,L$17,'Industrial Summary'!$D:$D,$E175)&gt;0,((-SUMIFS('Industrial Summary'!$G:$G,'Industrial Summary'!$F:$F,L$17,'Industrial Summary'!$D:$D,$E175,'Industrial Summary'!$A:$A,"DST")+-SUMIFS('Industrial Summary'!$G:$G,'Industrial Summary'!$F:$F,L$17,'Industrial Summary'!$D:$D,"ICTFSTM",'Industrial Summary'!$A:$A,"DST"))/SUMIFS('Industrial Summary'!$G:$G,'Industrial Summary'!$F:$F,L$17,'Industrial Summary'!$D:$D,$E175)),0))*0.98</f>
        <v>0</v>
      </c>
      <c r="M175" s="6">
        <f>(IF(SUMIFS('Industrial Summary'!$G:$G,'Industrial Summary'!$F:$F,M$17,'Industrial Summary'!$D:$D,$E175)&gt;0,((-SUMIFS('Industrial Summary'!$G:$G,'Industrial Summary'!$F:$F,M$17,'Industrial Summary'!$D:$D,$E175,'Industrial Summary'!$A:$A,"DST")+-SUMIFS('Industrial Summary'!$G:$G,'Industrial Summary'!$F:$F,M$17,'Industrial Summary'!$D:$D,"ICTFSTM",'Industrial Summary'!$A:$A,"DST"))/SUMIFS('Industrial Summary'!$G:$G,'Industrial Summary'!$F:$F,M$17,'Industrial Summary'!$D:$D,$E175)),0))*0.98</f>
        <v>0</v>
      </c>
      <c r="N175" s="6">
        <f>(IF(SUMIFS('Industrial Summary'!$G:$G,'Industrial Summary'!$F:$F,N$17,'Industrial Summary'!$D:$D,$E175)&gt;0,((-SUMIFS('Industrial Summary'!$G:$G,'Industrial Summary'!$F:$F,N$17,'Industrial Summary'!$D:$D,$E175,'Industrial Summary'!$A:$A,"DST")+-SUMIFS('Industrial Summary'!$G:$G,'Industrial Summary'!$F:$F,N$17,'Industrial Summary'!$D:$D,"ICTFSTM",'Industrial Summary'!$A:$A,"DST"))/SUMIFS('Industrial Summary'!$G:$G,'Industrial Summary'!$F:$F,N$17,'Industrial Summary'!$D:$D,$E175)),0))*0.98</f>
        <v>0</v>
      </c>
      <c r="O175" s="6">
        <f>(IF(SUMIFS('Industrial Summary'!$G:$G,'Industrial Summary'!$F:$F,O$17,'Industrial Summary'!$D:$D,$E175)&gt;0,((-SUMIFS('Industrial Summary'!$G:$G,'Industrial Summary'!$F:$F,O$17,'Industrial Summary'!$D:$D,$E175,'Industrial Summary'!$A:$A,"DST")+-SUMIFS('Industrial Summary'!$G:$G,'Industrial Summary'!$F:$F,O$17,'Industrial Summary'!$D:$D,"ICTFSTM",'Industrial Summary'!$A:$A,"DST"))/SUMIFS('Industrial Summary'!$G:$G,'Industrial Summary'!$F:$F,O$17,'Industrial Summary'!$D:$D,$E175)),0))*0.98</f>
        <v>0</v>
      </c>
      <c r="P175" s="6">
        <f>(IF(SUMIFS('Industrial Summary'!$G:$G,'Industrial Summary'!$F:$F,P$17,'Industrial Summary'!$D:$D,$E175)&gt;0,((-SUMIFS('Industrial Summary'!$G:$G,'Industrial Summary'!$F:$F,P$17,'Industrial Summary'!$D:$D,$E175,'Industrial Summary'!$A:$A,"DST")+-SUMIFS('Industrial Summary'!$G:$G,'Industrial Summary'!$F:$F,P$17,'Industrial Summary'!$D:$D,"ICTFSTM",'Industrial Summary'!$A:$A,"DST"))/SUMIFS('Industrial Summary'!$G:$G,'Industrial Summary'!$F:$F,P$17,'Industrial Summary'!$D:$D,$E175)),0))*0.98</f>
        <v>0</v>
      </c>
      <c r="Q175" s="6">
        <f>(IF(SUMIFS('Industrial Summary'!$G:$G,'Industrial Summary'!$F:$F,Q$17,'Industrial Summary'!$D:$D,$E175)&gt;0,((-SUMIFS('Industrial Summary'!$G:$G,'Industrial Summary'!$F:$F,Q$17,'Industrial Summary'!$D:$D,$E175,'Industrial Summary'!$A:$A,"DST")+-SUMIFS('Industrial Summary'!$G:$G,'Industrial Summary'!$F:$F,Q$17,'Industrial Summary'!$D:$D,"ICTFSTM",'Industrial Summary'!$A:$A,"DST"))/SUMIFS('Industrial Summary'!$G:$G,'Industrial Summary'!$F:$F,Q$17,'Industrial Summary'!$D:$D,$E175)),0))*0.98</f>
        <v>0</v>
      </c>
      <c r="R175" s="5">
        <v>15</v>
      </c>
      <c r="S175" s="5" t="str">
        <f t="shared" si="33"/>
        <v>UC_ICTST_DST</v>
      </c>
      <c r="V175" s="4" t="str">
        <f t="shared" si="34"/>
        <v>S_ICTSTDST</v>
      </c>
      <c r="W175" s="4" t="str">
        <f t="shared" si="35"/>
        <v>ICTST_DST</v>
      </c>
      <c r="X175" s="4" t="str">
        <f t="shared" si="36"/>
        <v>ICTSTM</v>
      </c>
      <c r="Y175" s="5" t="str">
        <f t="shared" si="37"/>
        <v>LO</v>
      </c>
      <c r="Z175" s="5">
        <v>1</v>
      </c>
      <c r="AA175" s="6">
        <f t="shared" si="38"/>
        <v>0</v>
      </c>
      <c r="AB175" s="6">
        <f t="shared" si="39"/>
        <v>0</v>
      </c>
      <c r="AC175" s="6">
        <f t="shared" si="40"/>
        <v>0</v>
      </c>
      <c r="AD175" s="6">
        <f t="shared" si="41"/>
        <v>0</v>
      </c>
      <c r="AE175" s="6">
        <f t="shared" si="42"/>
        <v>0</v>
      </c>
      <c r="AF175" s="6">
        <f t="shared" si="43"/>
        <v>0</v>
      </c>
      <c r="AG175" s="6">
        <f t="shared" si="44"/>
        <v>0</v>
      </c>
      <c r="AH175" s="6">
        <f t="shared" si="45"/>
        <v>0</v>
      </c>
      <c r="AI175" s="6">
        <f t="shared" si="46"/>
        <v>0</v>
      </c>
      <c r="AL175" s="5" t="str">
        <f t="shared" si="47"/>
        <v>DST</v>
      </c>
      <c r="AM175" s="5">
        <f>1</f>
        <v>1</v>
      </c>
    </row>
    <row r="176" spans="1:39" s="5" customFormat="1" x14ac:dyDescent="0.3">
      <c r="C176" s="4" t="s">
        <v>359</v>
      </c>
      <c r="D176" s="5" t="s">
        <v>360</v>
      </c>
      <c r="E176" s="5" t="s">
        <v>777</v>
      </c>
      <c r="F176" s="5" t="s">
        <v>1588</v>
      </c>
      <c r="G176" s="5">
        <v>1</v>
      </c>
      <c r="H176" s="6">
        <f>(IF(SUMIFS('Industrial Summary'!$G:$G,'Industrial Summary'!$F:$F,H$17,'Industrial Summary'!$D:$D,$E176)&gt;0,((-SUMIFS('Industrial Summary'!$G:$G,'Industrial Summary'!$F:$F,H$17,'Industrial Summary'!$D:$D,$E176,'Industrial Summary'!$A:$A,"NGA")+-SUMIFS('Industrial Summary'!$G:$G,'Industrial Summary'!$F:$F,H$17,'Industrial Summary'!$D:$D,"ICTFSTM",'Industrial Summary'!$A:$A,"NGA"))/SUMIFS('Industrial Summary'!$G:$G,'Industrial Summary'!$F:$F,H$17,'Industrial Summary'!$D:$D,$E176)),0))*0.98</f>
        <v>-0.86419201053809747</v>
      </c>
      <c r="I176" s="6">
        <f>(IF(SUMIFS('Industrial Summary'!$G:$G,'Industrial Summary'!$F:$F,I$17,'Industrial Summary'!$D:$D,$E176)&gt;0,((-SUMIFS('Industrial Summary'!$G:$G,'Industrial Summary'!$F:$F,I$17,'Industrial Summary'!$D:$D,$E176,'Industrial Summary'!$A:$A,"NGA")+-SUMIFS('Industrial Summary'!$G:$G,'Industrial Summary'!$F:$F,I$17,'Industrial Summary'!$D:$D,"ICTFSTM",'Industrial Summary'!$A:$A,"NGA"))/SUMIFS('Industrial Summary'!$G:$G,'Industrial Summary'!$F:$F,I$17,'Industrial Summary'!$D:$D,$E176)),0))*0.98</f>
        <v>-7.5243816087903509E-2</v>
      </c>
      <c r="J176" s="6">
        <f>(IF(SUMIFS('Industrial Summary'!$G:$G,'Industrial Summary'!$F:$F,J$17,'Industrial Summary'!$D:$D,$E176)&gt;0,((-SUMIFS('Industrial Summary'!$G:$G,'Industrial Summary'!$F:$F,J$17,'Industrial Summary'!$D:$D,$E176,'Industrial Summary'!$A:$A,"NGA")+-SUMIFS('Industrial Summary'!$G:$G,'Industrial Summary'!$F:$F,J$17,'Industrial Summary'!$D:$D,"ICTFSTM",'Industrial Summary'!$A:$A,"NGA"))/SUMIFS('Industrial Summary'!$G:$G,'Industrial Summary'!$F:$F,J$17,'Industrial Summary'!$D:$D,$E176)),0))*0.98</f>
        <v>-0.39205570560503039</v>
      </c>
      <c r="K176" s="6">
        <f>(IF(SUMIFS('Industrial Summary'!$G:$G,'Industrial Summary'!$F:$F,K$17,'Industrial Summary'!$D:$D,$E176)&gt;0,((-SUMIFS('Industrial Summary'!$G:$G,'Industrial Summary'!$F:$F,K$17,'Industrial Summary'!$D:$D,$E176,'Industrial Summary'!$A:$A,"NGA")+-SUMIFS('Industrial Summary'!$G:$G,'Industrial Summary'!$F:$F,K$17,'Industrial Summary'!$D:$D,"ICTFSTM",'Industrial Summary'!$A:$A,"NGA"))/SUMIFS('Industrial Summary'!$G:$G,'Industrial Summary'!$F:$F,K$17,'Industrial Summary'!$D:$D,$E176)),0))*0.98</f>
        <v>-0.70336267614605186</v>
      </c>
      <c r="L176" s="6">
        <f>(IF(SUMIFS('Industrial Summary'!$G:$G,'Industrial Summary'!$F:$F,L$17,'Industrial Summary'!$D:$D,$E176)&gt;0,((-SUMIFS('Industrial Summary'!$G:$G,'Industrial Summary'!$F:$F,L$17,'Industrial Summary'!$D:$D,$E176,'Industrial Summary'!$A:$A,"NGA")+-SUMIFS('Industrial Summary'!$G:$G,'Industrial Summary'!$F:$F,L$17,'Industrial Summary'!$D:$D,"ICTFSTM",'Industrial Summary'!$A:$A,"NGA"))/SUMIFS('Industrial Summary'!$G:$G,'Industrial Summary'!$F:$F,L$17,'Industrial Summary'!$D:$D,$E176)),0))*0.98</f>
        <v>-0.19172663258171305</v>
      </c>
      <c r="M176" s="6">
        <f>(IF(SUMIFS('Industrial Summary'!$G:$G,'Industrial Summary'!$F:$F,M$17,'Industrial Summary'!$D:$D,$E176)&gt;0,((-SUMIFS('Industrial Summary'!$G:$G,'Industrial Summary'!$F:$F,M$17,'Industrial Summary'!$D:$D,$E176,'Industrial Summary'!$A:$A,"NGA")+-SUMIFS('Industrial Summary'!$G:$G,'Industrial Summary'!$F:$F,M$17,'Industrial Summary'!$D:$D,"ICTFSTM",'Industrial Summary'!$A:$A,"NGA"))/SUMIFS('Industrial Summary'!$G:$G,'Industrial Summary'!$F:$F,M$17,'Industrial Summary'!$D:$D,$E176)),0))*0.98</f>
        <v>-0.88069887567088523</v>
      </c>
      <c r="N176" s="6">
        <f>(IF(SUMIFS('Industrial Summary'!$G:$G,'Industrial Summary'!$F:$F,N$17,'Industrial Summary'!$D:$D,$E176)&gt;0,((-SUMIFS('Industrial Summary'!$G:$G,'Industrial Summary'!$F:$F,N$17,'Industrial Summary'!$D:$D,$E176,'Industrial Summary'!$A:$A,"NGA")+-SUMIFS('Industrial Summary'!$G:$G,'Industrial Summary'!$F:$F,N$17,'Industrial Summary'!$D:$D,"ICTFSTM",'Industrial Summary'!$A:$A,"NGA"))/SUMIFS('Industrial Summary'!$G:$G,'Industrial Summary'!$F:$F,N$17,'Industrial Summary'!$D:$D,$E176)),0))*0.98</f>
        <v>-0.93226712700536785</v>
      </c>
      <c r="O176" s="6">
        <f>(IF(SUMIFS('Industrial Summary'!$G:$G,'Industrial Summary'!$F:$F,O$17,'Industrial Summary'!$D:$D,$E176)&gt;0,((-SUMIFS('Industrial Summary'!$G:$G,'Industrial Summary'!$F:$F,O$17,'Industrial Summary'!$D:$D,$E176,'Industrial Summary'!$A:$A,"NGA")+-SUMIFS('Industrial Summary'!$G:$G,'Industrial Summary'!$F:$F,O$17,'Industrial Summary'!$D:$D,"ICTFSTM",'Industrial Summary'!$A:$A,"NGA"))/SUMIFS('Industrial Summary'!$G:$G,'Industrial Summary'!$F:$F,O$17,'Industrial Summary'!$D:$D,$E176)),0))*0.98</f>
        <v>0</v>
      </c>
      <c r="P176" s="6">
        <f>(IF(SUMIFS('Industrial Summary'!$G:$G,'Industrial Summary'!$F:$F,P$17,'Industrial Summary'!$D:$D,$E176)&gt;0,((-SUMIFS('Industrial Summary'!$G:$G,'Industrial Summary'!$F:$F,P$17,'Industrial Summary'!$D:$D,$E176,'Industrial Summary'!$A:$A,"NGA")+-SUMIFS('Industrial Summary'!$G:$G,'Industrial Summary'!$F:$F,P$17,'Industrial Summary'!$D:$D,"ICTFSTM",'Industrial Summary'!$A:$A,"NGA"))/SUMIFS('Industrial Summary'!$G:$G,'Industrial Summary'!$F:$F,P$17,'Industrial Summary'!$D:$D,$E176)),0))*0.98</f>
        <v>0</v>
      </c>
      <c r="Q176" s="6">
        <f>(IF(SUMIFS('Industrial Summary'!$G:$G,'Industrial Summary'!$F:$F,Q$17,'Industrial Summary'!$D:$D,$E176)&gt;0,((-SUMIFS('Industrial Summary'!$G:$G,'Industrial Summary'!$F:$F,Q$17,'Industrial Summary'!$D:$D,$E176,'Industrial Summary'!$A:$A,"NGA")+-SUMIFS('Industrial Summary'!$G:$G,'Industrial Summary'!$F:$F,Q$17,'Industrial Summary'!$D:$D,"ICTFSTM",'Industrial Summary'!$A:$A,"NGA"))/SUMIFS('Industrial Summary'!$G:$G,'Industrial Summary'!$F:$F,Q$17,'Industrial Summary'!$D:$D,$E176)),0))*0.98</f>
        <v>0</v>
      </c>
      <c r="R176" s="5">
        <v>15</v>
      </c>
      <c r="S176" s="5" t="str">
        <f t="shared" si="33"/>
        <v>UC_ICTST_NGA</v>
      </c>
      <c r="V176" s="4" t="str">
        <f t="shared" si="34"/>
        <v>S_ICTSTNGA</v>
      </c>
      <c r="W176" s="4" t="str">
        <f t="shared" si="35"/>
        <v>ICTST_NGA</v>
      </c>
      <c r="X176" s="4" t="str">
        <f t="shared" si="36"/>
        <v>ICTSTM</v>
      </c>
      <c r="Y176" s="5" t="str">
        <f t="shared" si="37"/>
        <v>LO</v>
      </c>
      <c r="Z176" s="5">
        <v>1</v>
      </c>
      <c r="AA176" s="6">
        <f t="shared" si="38"/>
        <v>-0.77777280948428773</v>
      </c>
      <c r="AB176" s="6">
        <f t="shared" si="39"/>
        <v>-6.7719434479113161E-2</v>
      </c>
      <c r="AC176" s="6">
        <f t="shared" si="40"/>
        <v>-0.35285013504452734</v>
      </c>
      <c r="AD176" s="6">
        <f t="shared" si="41"/>
        <v>-0.63302640853144665</v>
      </c>
      <c r="AE176" s="6">
        <f t="shared" si="42"/>
        <v>-0.17255396932354175</v>
      </c>
      <c r="AF176" s="6">
        <f t="shared" si="43"/>
        <v>-0.79262898810379667</v>
      </c>
      <c r="AG176" s="6">
        <f t="shared" si="44"/>
        <v>-0.83904041430483112</v>
      </c>
      <c r="AH176" s="6">
        <f t="shared" si="45"/>
        <v>0</v>
      </c>
      <c r="AI176" s="6">
        <f t="shared" si="46"/>
        <v>0</v>
      </c>
      <c r="AL176" s="5" t="str">
        <f t="shared" si="47"/>
        <v>NGA</v>
      </c>
      <c r="AM176" s="5">
        <f>Y7</f>
        <v>0.9</v>
      </c>
    </row>
    <row r="177" spans="1:39" s="5" customFormat="1" x14ac:dyDescent="0.3">
      <c r="A177" s="8"/>
      <c r="C177" s="4" t="s">
        <v>361</v>
      </c>
      <c r="D177" s="5" t="s">
        <v>362</v>
      </c>
      <c r="E177" s="5" t="s">
        <v>777</v>
      </c>
      <c r="F177" s="5" t="s">
        <v>1591</v>
      </c>
      <c r="G177" s="5">
        <v>1</v>
      </c>
      <c r="H177" s="6">
        <f>(IF(SUMIFS('Industrial Summary'!$G:$G,'Industrial Summary'!$F:$F,H$17,'Industrial Summary'!$D:$D,$E177)&gt;0,((-SUMIFS('Industrial Summary'!$G:$G,'Industrial Summary'!$F:$F,H$17,'Industrial Summary'!$D:$D,$E177,'Industrial Summary'!$A:$A,"COA")+-SUMIFS('Industrial Summary'!$G:$G,'Industrial Summary'!$F:$F,H$17,'Industrial Summary'!$D:$D,"ICTFSTM",'Industrial Summary'!$A:$A,"COA"))/SUMIFS('Industrial Summary'!$G:$G,'Industrial Summary'!$F:$F,H$17,'Industrial Summary'!$D:$D,$E177)),0))*0.98</f>
        <v>0</v>
      </c>
      <c r="I177" s="6">
        <f>(IF(SUMIFS('Industrial Summary'!$G:$G,'Industrial Summary'!$F:$F,I$17,'Industrial Summary'!$D:$D,$E177)&gt;0,((-SUMIFS('Industrial Summary'!$G:$G,'Industrial Summary'!$F:$F,I$17,'Industrial Summary'!$D:$D,$E177,'Industrial Summary'!$A:$A,"COA")+-SUMIFS('Industrial Summary'!$G:$G,'Industrial Summary'!$F:$F,I$17,'Industrial Summary'!$D:$D,"ICTFSTM",'Industrial Summary'!$A:$A,"COA"))/SUMIFS('Industrial Summary'!$G:$G,'Industrial Summary'!$F:$F,I$17,'Industrial Summary'!$D:$D,$E177)),0))*0.98</f>
        <v>-0.88252689142586827</v>
      </c>
      <c r="J177" s="6">
        <f>(IF(SUMIFS('Industrial Summary'!$G:$G,'Industrial Summary'!$F:$F,J$17,'Industrial Summary'!$D:$D,$E177)&gt;0,((-SUMIFS('Industrial Summary'!$G:$G,'Industrial Summary'!$F:$F,J$17,'Industrial Summary'!$D:$D,$E177,'Industrial Summary'!$A:$A,"COA")+-SUMIFS('Industrial Summary'!$G:$G,'Industrial Summary'!$F:$F,J$17,'Industrial Summary'!$D:$D,"ICTFSTM",'Industrial Summary'!$A:$A,"COA"))/SUMIFS('Industrial Summary'!$G:$G,'Industrial Summary'!$F:$F,J$17,'Industrial Summary'!$D:$D,$E177)),0))*0.98</f>
        <v>-0.55383631671115185</v>
      </c>
      <c r="K177" s="6">
        <f>(IF(SUMIFS('Industrial Summary'!$G:$G,'Industrial Summary'!$F:$F,K$17,'Industrial Summary'!$D:$D,$E177)&gt;0,((-SUMIFS('Industrial Summary'!$G:$G,'Industrial Summary'!$F:$F,K$17,'Industrial Summary'!$D:$D,$E177,'Industrial Summary'!$A:$A,"COA")+-SUMIFS('Industrial Summary'!$G:$G,'Industrial Summary'!$F:$F,K$17,'Industrial Summary'!$D:$D,"ICTFSTM",'Industrial Summary'!$A:$A,"COA"))/SUMIFS('Industrial Summary'!$G:$G,'Industrial Summary'!$F:$F,K$17,'Industrial Summary'!$D:$D,$E177)),0))*0.98</f>
        <v>-0.113567393877104</v>
      </c>
      <c r="L177" s="6">
        <f>(IF(SUMIFS('Industrial Summary'!$G:$G,'Industrial Summary'!$F:$F,L$17,'Industrial Summary'!$D:$D,$E177)&gt;0,((-SUMIFS('Industrial Summary'!$G:$G,'Industrial Summary'!$F:$F,L$17,'Industrial Summary'!$D:$D,$E177,'Industrial Summary'!$A:$A,"COA")+-SUMIFS('Industrial Summary'!$G:$G,'Industrial Summary'!$F:$F,L$17,'Industrial Summary'!$D:$D,"ICTFSTM",'Industrial Summary'!$A:$A,"COA"))/SUMIFS('Industrial Summary'!$G:$G,'Industrial Summary'!$F:$F,L$17,'Industrial Summary'!$D:$D,$E177)),0))*0.98</f>
        <v>-0.77992983365798008</v>
      </c>
      <c r="M177" s="6">
        <f>(IF(SUMIFS('Industrial Summary'!$G:$G,'Industrial Summary'!$F:$F,M$17,'Industrial Summary'!$D:$D,$E177)&gt;0,((-SUMIFS('Industrial Summary'!$G:$G,'Industrial Summary'!$F:$F,M$17,'Industrial Summary'!$D:$D,$E177,'Industrial Summary'!$A:$A,"COA")+-SUMIFS('Industrial Summary'!$G:$G,'Industrial Summary'!$F:$F,M$17,'Industrial Summary'!$D:$D,"ICTFSTM",'Industrial Summary'!$A:$A,"COA"))/SUMIFS('Industrial Summary'!$G:$G,'Industrial Summary'!$F:$F,M$17,'Industrial Summary'!$D:$D,$E177)),0))*0.98</f>
        <v>-2.7912740603194333E-2</v>
      </c>
      <c r="N177" s="6">
        <f>(IF(SUMIFS('Industrial Summary'!$G:$G,'Industrial Summary'!$F:$F,N$17,'Industrial Summary'!$D:$D,$E177)&gt;0,((-SUMIFS('Industrial Summary'!$G:$G,'Industrial Summary'!$F:$F,N$17,'Industrial Summary'!$D:$D,$E177,'Industrial Summary'!$A:$A,"COA")+-SUMIFS('Industrial Summary'!$G:$G,'Industrial Summary'!$F:$F,N$17,'Industrial Summary'!$D:$D,"ICTFSTM",'Industrial Summary'!$A:$A,"COA"))/SUMIFS('Industrial Summary'!$G:$G,'Industrial Summary'!$F:$F,N$17,'Industrial Summary'!$D:$D,$E177)),0))*0.98</f>
        <v>-7.0517667499106623E-3</v>
      </c>
      <c r="O177" s="6">
        <f>(IF(SUMIFS('Industrial Summary'!$G:$G,'Industrial Summary'!$F:$F,O$17,'Industrial Summary'!$D:$D,$E177)&gt;0,((-SUMIFS('Industrial Summary'!$G:$G,'Industrial Summary'!$F:$F,O$17,'Industrial Summary'!$D:$D,$E177,'Industrial Summary'!$A:$A,"COA")+-SUMIFS('Industrial Summary'!$G:$G,'Industrial Summary'!$F:$F,O$17,'Industrial Summary'!$D:$D,"ICTFSTM",'Industrial Summary'!$A:$A,"COA"))/SUMIFS('Industrial Summary'!$G:$G,'Industrial Summary'!$F:$F,O$17,'Industrial Summary'!$D:$D,$E177)),0))*0.98</f>
        <v>-0.84982528538248969</v>
      </c>
      <c r="P177" s="6">
        <f>(IF(SUMIFS('Industrial Summary'!$G:$G,'Industrial Summary'!$F:$F,P$17,'Industrial Summary'!$D:$D,$E177)&gt;0,((-SUMIFS('Industrial Summary'!$G:$G,'Industrial Summary'!$F:$F,P$17,'Industrial Summary'!$D:$D,$E177,'Industrial Summary'!$A:$A,"COA")+-SUMIFS('Industrial Summary'!$G:$G,'Industrial Summary'!$F:$F,P$17,'Industrial Summary'!$D:$D,"ICTFSTM",'Industrial Summary'!$A:$A,"COA"))/SUMIFS('Industrial Summary'!$G:$G,'Industrial Summary'!$F:$F,P$17,'Industrial Summary'!$D:$D,$E177)),0))*0.98</f>
        <v>-0.98</v>
      </c>
      <c r="Q177" s="6">
        <f>(IF(SUMIFS('Industrial Summary'!$G:$G,'Industrial Summary'!$F:$F,Q$17,'Industrial Summary'!$D:$D,$E177)&gt;0,((-SUMIFS('Industrial Summary'!$G:$G,'Industrial Summary'!$F:$F,Q$17,'Industrial Summary'!$D:$D,$E177,'Industrial Summary'!$A:$A,"COA")+-SUMIFS('Industrial Summary'!$G:$G,'Industrial Summary'!$F:$F,Q$17,'Industrial Summary'!$D:$D,"ICTFSTM",'Industrial Summary'!$A:$A,"COA"))/SUMIFS('Industrial Summary'!$G:$G,'Industrial Summary'!$F:$F,Q$17,'Industrial Summary'!$D:$D,$E177)),0))*0.98</f>
        <v>0</v>
      </c>
      <c r="R177" s="5">
        <v>15</v>
      </c>
      <c r="S177" s="5" t="str">
        <f t="shared" si="33"/>
        <v>UC_ICTST_COA</v>
      </c>
      <c r="V177" s="4" t="str">
        <f t="shared" si="34"/>
        <v>S_ICTSTCOA</v>
      </c>
      <c r="W177" s="4" t="str">
        <f t="shared" si="35"/>
        <v>ICTST_COA</v>
      </c>
      <c r="X177" s="4" t="str">
        <f t="shared" si="36"/>
        <v>ICTSTM</v>
      </c>
      <c r="Y177" s="5" t="str">
        <f t="shared" si="37"/>
        <v>UP</v>
      </c>
      <c r="Z177" s="5">
        <v>1</v>
      </c>
      <c r="AA177" s="6">
        <f t="shared" si="38"/>
        <v>0</v>
      </c>
      <c r="AB177" s="6">
        <f t="shared" si="39"/>
        <v>-0.56481721051255573</v>
      </c>
      <c r="AC177" s="6">
        <f t="shared" si="40"/>
        <v>-0.35445524269513717</v>
      </c>
      <c r="AD177" s="6">
        <f t="shared" si="41"/>
        <v>-7.2683132081346566E-2</v>
      </c>
      <c r="AE177" s="6">
        <f t="shared" si="42"/>
        <v>-0.49915509354110726</v>
      </c>
      <c r="AF177" s="6">
        <f t="shared" si="43"/>
        <v>-1.7864153986044375E-2</v>
      </c>
      <c r="AG177" s="6">
        <f t="shared" si="44"/>
        <v>-4.5131307199428239E-3</v>
      </c>
      <c r="AH177" s="6">
        <f t="shared" si="45"/>
        <v>-0.54388818264479344</v>
      </c>
      <c r="AI177" s="6">
        <f t="shared" si="46"/>
        <v>-0.62719999999999998</v>
      </c>
      <c r="AL177" s="5" t="str">
        <f t="shared" si="47"/>
        <v>COA</v>
      </c>
      <c r="AM177" s="5">
        <f>Z7</f>
        <v>0.64</v>
      </c>
    </row>
    <row r="178" spans="1:39" s="5" customFormat="1" x14ac:dyDescent="0.3">
      <c r="C178" s="4" t="s">
        <v>364</v>
      </c>
      <c r="D178" s="5" t="s">
        <v>365</v>
      </c>
      <c r="E178" s="5" t="s">
        <v>793</v>
      </c>
      <c r="F178" s="5" t="s">
        <v>1588</v>
      </c>
      <c r="G178" s="5">
        <v>1</v>
      </c>
      <c r="H178" s="6">
        <f>IF(SUMIFS('Industrial Summary'!$G:$G,'Industrial Summary'!$F:$F,H$17,'Industrial Summary'!$D:$D,$E178)&gt;0,(-SUMIFS('Industrial Summary'!$G:$G,'Industrial Summary'!$F:$F,H$17,'Industrial Summary'!$D:$D,$E178,'Industrial Summary'!$A:$A,"ELC")/SUMIFS('Industrial Summary'!$G:$G,'Industrial Summary'!$F:$F,H$17,'Industrial Summary'!$D:$D,$E178)),0)*0.98</f>
        <v>-0.17669046784634193</v>
      </c>
      <c r="I178" s="6">
        <f>IF(SUMIFS('Industrial Summary'!$G:$G,'Industrial Summary'!$F:$F,I$17,'Industrial Summary'!$D:$D,$E178)&gt;0,(-SUMIFS('Industrial Summary'!$G:$G,'Industrial Summary'!$F:$F,I$17,'Industrial Summary'!$D:$D,$E178,'Industrial Summary'!$A:$A,"ELC")/SUMIFS('Industrial Summary'!$G:$G,'Industrial Summary'!$F:$F,I$17,'Industrial Summary'!$D:$D,$E178)),0)*0.98</f>
        <v>-0.17687705112144253</v>
      </c>
      <c r="J178" s="6">
        <f>IF(SUMIFS('Industrial Summary'!$G:$G,'Industrial Summary'!$F:$F,J$17,'Industrial Summary'!$D:$D,$E178)&gt;0,(-SUMIFS('Industrial Summary'!$G:$G,'Industrial Summary'!$F:$F,J$17,'Industrial Summary'!$D:$D,$E178,'Industrial Summary'!$A:$A,"ELC")/SUMIFS('Industrial Summary'!$G:$G,'Industrial Summary'!$F:$F,J$17,'Industrial Summary'!$D:$D,$E178)),0)*0.98</f>
        <v>-0.24466856844737778</v>
      </c>
      <c r="K178" s="6">
        <f>IF(SUMIFS('Industrial Summary'!$G:$G,'Industrial Summary'!$F:$F,K$17,'Industrial Summary'!$D:$D,$E178)&gt;0,(-SUMIFS('Industrial Summary'!$G:$G,'Industrial Summary'!$F:$F,K$17,'Industrial Summary'!$D:$D,$E178,'Industrial Summary'!$A:$A,"ELC")/SUMIFS('Industrial Summary'!$G:$G,'Industrial Summary'!$F:$F,K$17,'Industrial Summary'!$D:$D,$E178)),0)*0.98</f>
        <v>-0.24466856844737933</v>
      </c>
      <c r="L178" s="6">
        <f>IF(SUMIFS('Industrial Summary'!$G:$G,'Industrial Summary'!$F:$F,L$17,'Industrial Summary'!$D:$D,$E178)&gt;0,(-SUMIFS('Industrial Summary'!$G:$G,'Industrial Summary'!$F:$F,L$17,'Industrial Summary'!$D:$D,$E178,'Industrial Summary'!$A:$A,"ELC")/SUMIFS('Industrial Summary'!$G:$G,'Industrial Summary'!$F:$F,L$17,'Industrial Summary'!$D:$D,$E178)),0)*0.98</f>
        <v>-0.95840658675235901</v>
      </c>
      <c r="M178" s="6">
        <f>IF(SUMIFS('Industrial Summary'!$G:$G,'Industrial Summary'!$F:$F,M$17,'Industrial Summary'!$D:$D,$E178)&gt;0,(-SUMIFS('Industrial Summary'!$G:$G,'Industrial Summary'!$F:$F,M$17,'Industrial Summary'!$D:$D,$E178,'Industrial Summary'!$A:$A,"ELC")/SUMIFS('Industrial Summary'!$G:$G,'Industrial Summary'!$F:$F,M$17,'Industrial Summary'!$D:$D,$E178)),0)*0.98</f>
        <v>-0.98</v>
      </c>
      <c r="N178" s="6">
        <f>IF(SUMIFS('Industrial Summary'!$G:$G,'Industrial Summary'!$F:$F,N$17,'Industrial Summary'!$D:$D,$E178)&gt;0,(-SUMIFS('Industrial Summary'!$G:$G,'Industrial Summary'!$F:$F,N$17,'Industrial Summary'!$D:$D,$E178,'Industrial Summary'!$A:$A,"ELC")/SUMIFS('Industrial Summary'!$G:$G,'Industrial Summary'!$F:$F,N$17,'Industrial Summary'!$D:$D,$E178)),0)*0.98</f>
        <v>-0.95640887071154035</v>
      </c>
      <c r="O178" s="6">
        <f>IF(SUMIFS('Industrial Summary'!$G:$G,'Industrial Summary'!$F:$F,O$17,'Industrial Summary'!$D:$D,$E178)&gt;0,(-SUMIFS('Industrial Summary'!$G:$G,'Industrial Summary'!$F:$F,O$17,'Industrial Summary'!$D:$D,$E178,'Industrial Summary'!$A:$A,"ELC")/SUMIFS('Industrial Summary'!$G:$G,'Industrial Summary'!$F:$F,O$17,'Industrial Summary'!$D:$D,$E178)),0)*0.98</f>
        <v>-0.29636918473939011</v>
      </c>
      <c r="P178" s="6">
        <f>IF(SUMIFS('Industrial Summary'!$G:$G,'Industrial Summary'!$F:$F,P$17,'Industrial Summary'!$D:$D,$E178)&gt;0,(-SUMIFS('Industrial Summary'!$G:$G,'Industrial Summary'!$F:$F,P$17,'Industrial Summary'!$D:$D,$E178,'Industrial Summary'!$A:$A,"ELC")/SUMIFS('Industrial Summary'!$G:$G,'Industrial Summary'!$F:$F,P$17,'Industrial Summary'!$D:$D,$E178)),0)*0.98</f>
        <v>-0.29636918473939045</v>
      </c>
      <c r="Q178" s="5">
        <v>0</v>
      </c>
      <c r="R178" s="5">
        <v>15</v>
      </c>
      <c r="S178" s="5" t="str">
        <f t="shared" si="33"/>
        <v>UC_ICTPH_ELC</v>
      </c>
      <c r="V178" s="4" t="str">
        <f t="shared" si="34"/>
        <v>S_ICTPHELC</v>
      </c>
      <c r="W178" s="4" t="str">
        <f t="shared" si="35"/>
        <v>ICTPH_ELC</v>
      </c>
      <c r="X178" s="4" t="str">
        <f t="shared" si="36"/>
        <v>ICTPRH</v>
      </c>
      <c r="Y178" s="5" t="str">
        <f t="shared" si="37"/>
        <v>LO</v>
      </c>
      <c r="Z178" s="5">
        <v>1</v>
      </c>
      <c r="AA178" s="6">
        <f t="shared" si="38"/>
        <v>-0.17669046784634193</v>
      </c>
      <c r="AB178" s="6">
        <f t="shared" si="39"/>
        <v>-0.17687705112144253</v>
      </c>
      <c r="AC178" s="6">
        <f t="shared" si="40"/>
        <v>-0.24466856844737778</v>
      </c>
      <c r="AD178" s="6">
        <f t="shared" si="41"/>
        <v>-0.24466856844737933</v>
      </c>
      <c r="AE178" s="6">
        <f t="shared" si="42"/>
        <v>-0.95840658675235901</v>
      </c>
      <c r="AF178" s="6">
        <f t="shared" si="43"/>
        <v>-0.98</v>
      </c>
      <c r="AG178" s="6">
        <f t="shared" si="44"/>
        <v>-0.95640887071154035</v>
      </c>
      <c r="AH178" s="6">
        <f t="shared" si="45"/>
        <v>-0.29636918473939011</v>
      </c>
      <c r="AI178" s="6">
        <f t="shared" si="46"/>
        <v>-0.29636918473939045</v>
      </c>
      <c r="AL178" s="5" t="str">
        <f t="shared" si="47"/>
        <v>ELC</v>
      </c>
      <c r="AM178" s="5">
        <f>1</f>
        <v>1</v>
      </c>
    </row>
    <row r="179" spans="1:39" s="5" customFormat="1" x14ac:dyDescent="0.3">
      <c r="C179" s="4" t="s">
        <v>366</v>
      </c>
      <c r="D179" s="5" t="s">
        <v>367</v>
      </c>
      <c r="E179" s="5" t="s">
        <v>793</v>
      </c>
      <c r="F179" s="5" t="s">
        <v>1588</v>
      </c>
      <c r="G179" s="5">
        <v>1</v>
      </c>
      <c r="H179" s="6">
        <f>IF(SUMIFS('Industrial Summary'!$G:$G,'Industrial Summary'!$F:$F,H$17,'Industrial Summary'!$D:$D,$E179)&gt;0,(-SUMIFS('Industrial Summary'!$G:$G,'Industrial Summary'!$F:$F,H$17,'Industrial Summary'!$D:$D,$E179,'Industrial Summary'!$A:$A,"RFL")/SUMIFS('Industrial Summary'!$G:$G,'Industrial Summary'!$F:$F,H$17,'Industrial Summary'!$D:$D,$E179)),0)*0.98</f>
        <v>-4.5807650443327698E-3</v>
      </c>
      <c r="I179" s="6">
        <f>IF(SUMIFS('Industrial Summary'!$G:$G,'Industrial Summary'!$F:$F,I$17,'Industrial Summary'!$D:$D,$E179)&gt;0,(-SUMIFS('Industrial Summary'!$G:$G,'Industrial Summary'!$F:$F,I$17,'Industrial Summary'!$D:$D,$E179,'Industrial Summary'!$A:$A,"RFL")/SUMIFS('Industrial Summary'!$G:$G,'Industrial Summary'!$F:$F,I$17,'Industrial Summary'!$D:$D,$E179)),0)*0.98</f>
        <v>-4.5856022840258205E-3</v>
      </c>
      <c r="J179" s="6">
        <f>IF(SUMIFS('Industrial Summary'!$G:$G,'Industrial Summary'!$F:$F,J$17,'Industrial Summary'!$D:$D,$E179)&gt;0,(-SUMIFS('Industrial Summary'!$G:$G,'Industrial Summary'!$F:$F,J$17,'Industrial Summary'!$D:$D,$E179,'Industrial Summary'!$A:$A,"RFL")/SUMIFS('Industrial Summary'!$G:$G,'Industrial Summary'!$F:$F,J$17,'Industrial Summary'!$D:$D,$E179)),0)*0.98</f>
        <v>0</v>
      </c>
      <c r="K179" s="6">
        <f>IF(SUMIFS('Industrial Summary'!$G:$G,'Industrial Summary'!$F:$F,K$17,'Industrial Summary'!$D:$D,$E179)&gt;0,(-SUMIFS('Industrial Summary'!$G:$G,'Industrial Summary'!$F:$F,K$17,'Industrial Summary'!$D:$D,$E179,'Industrial Summary'!$A:$A,"RFL")/SUMIFS('Industrial Summary'!$G:$G,'Industrial Summary'!$F:$F,K$17,'Industrial Summary'!$D:$D,$E179)),0)*0.98</f>
        <v>0</v>
      </c>
      <c r="L179" s="6">
        <f>IF(SUMIFS('Industrial Summary'!$G:$G,'Industrial Summary'!$F:$F,L$17,'Industrial Summary'!$D:$D,$E179)&gt;0,(-SUMIFS('Industrial Summary'!$G:$G,'Industrial Summary'!$F:$F,L$17,'Industrial Summary'!$D:$D,$E179,'Industrial Summary'!$A:$A,"RFL")/SUMIFS('Industrial Summary'!$G:$G,'Industrial Summary'!$F:$F,L$17,'Industrial Summary'!$D:$D,$E179)),0)*0.98</f>
        <v>0</v>
      </c>
      <c r="M179" s="6">
        <f>IF(SUMIFS('Industrial Summary'!$G:$G,'Industrial Summary'!$F:$F,M$17,'Industrial Summary'!$D:$D,$E179)&gt;0,(-SUMIFS('Industrial Summary'!$G:$G,'Industrial Summary'!$F:$F,M$17,'Industrial Summary'!$D:$D,$E179,'Industrial Summary'!$A:$A,"RFL")/SUMIFS('Industrial Summary'!$G:$G,'Industrial Summary'!$F:$F,M$17,'Industrial Summary'!$D:$D,$E179)),0)*0.98</f>
        <v>0</v>
      </c>
      <c r="N179" s="6">
        <f>IF(SUMIFS('Industrial Summary'!$G:$G,'Industrial Summary'!$F:$F,N$17,'Industrial Summary'!$D:$D,$E179)&gt;0,(-SUMIFS('Industrial Summary'!$G:$G,'Industrial Summary'!$F:$F,N$17,'Industrial Summary'!$D:$D,$E179,'Industrial Summary'!$A:$A,"RFL")/SUMIFS('Industrial Summary'!$G:$G,'Industrial Summary'!$F:$F,N$17,'Industrial Summary'!$D:$D,$E179)),0)*0.98</f>
        <v>0</v>
      </c>
      <c r="O179" s="6">
        <f>IF(SUMIFS('Industrial Summary'!$G:$G,'Industrial Summary'!$F:$F,O$17,'Industrial Summary'!$D:$D,$E179)&gt;0,(-SUMIFS('Industrial Summary'!$G:$G,'Industrial Summary'!$F:$F,O$17,'Industrial Summary'!$D:$D,$E179,'Industrial Summary'!$A:$A,"RFL")/SUMIFS('Industrial Summary'!$G:$G,'Industrial Summary'!$F:$F,O$17,'Industrial Summary'!$D:$D,$E179)),0)*0.98</f>
        <v>0</v>
      </c>
      <c r="P179" s="6">
        <f>IF(SUMIFS('Industrial Summary'!$G:$G,'Industrial Summary'!$F:$F,P$17,'Industrial Summary'!$D:$D,$E179)&gt;0,(-SUMIFS('Industrial Summary'!$G:$G,'Industrial Summary'!$F:$F,P$17,'Industrial Summary'!$D:$D,$E179,'Industrial Summary'!$A:$A,"RFL")/SUMIFS('Industrial Summary'!$G:$G,'Industrial Summary'!$F:$F,P$17,'Industrial Summary'!$D:$D,$E179)),0)*0.98</f>
        <v>0</v>
      </c>
      <c r="Q179" s="5">
        <v>0</v>
      </c>
      <c r="R179" s="5">
        <v>15</v>
      </c>
      <c r="S179" s="5" t="str">
        <f t="shared" si="33"/>
        <v>UC_ICTPH_RFL</v>
      </c>
      <c r="V179" s="4" t="str">
        <f t="shared" si="34"/>
        <v>S_ICTPHRFL</v>
      </c>
      <c r="W179" s="4" t="str">
        <f t="shared" si="35"/>
        <v>ICTPH_RFL</v>
      </c>
      <c r="X179" s="4" t="str">
        <f t="shared" si="36"/>
        <v>ICTPRH</v>
      </c>
      <c r="Y179" s="5" t="str">
        <f t="shared" si="37"/>
        <v>LO</v>
      </c>
      <c r="Z179" s="5">
        <v>1</v>
      </c>
      <c r="AA179" s="6">
        <f t="shared" si="38"/>
        <v>-4.5807650443327698E-3</v>
      </c>
      <c r="AB179" s="6">
        <f t="shared" si="39"/>
        <v>-4.5856022840258205E-3</v>
      </c>
      <c r="AC179" s="6">
        <f t="shared" si="40"/>
        <v>0</v>
      </c>
      <c r="AD179" s="6">
        <f t="shared" si="41"/>
        <v>0</v>
      </c>
      <c r="AE179" s="6">
        <f t="shared" si="42"/>
        <v>0</v>
      </c>
      <c r="AF179" s="6">
        <f t="shared" si="43"/>
        <v>0</v>
      </c>
      <c r="AG179" s="6">
        <f t="shared" si="44"/>
        <v>0</v>
      </c>
      <c r="AH179" s="6">
        <f t="shared" si="45"/>
        <v>0</v>
      </c>
      <c r="AI179" s="6">
        <f t="shared" si="46"/>
        <v>0</v>
      </c>
      <c r="AL179" s="5" t="str">
        <f t="shared" si="47"/>
        <v>RFL</v>
      </c>
      <c r="AM179" s="5">
        <f>1</f>
        <v>1</v>
      </c>
    </row>
    <row r="180" spans="1:39" s="5" customFormat="1" x14ac:dyDescent="0.3">
      <c r="C180" s="4" t="s">
        <v>368</v>
      </c>
      <c r="D180" s="5" t="s">
        <v>369</v>
      </c>
      <c r="E180" s="5" t="s">
        <v>793</v>
      </c>
      <c r="F180" s="5" t="s">
        <v>1588</v>
      </c>
      <c r="G180" s="5">
        <v>1</v>
      </c>
      <c r="H180" s="6">
        <f>IF(SUMIFS('Industrial Summary'!$G:$G,'Industrial Summary'!$F:$F,H$17,'Industrial Summary'!$D:$D,$E180)&gt;0,(-SUMIFS('Industrial Summary'!$G:$G,'Industrial Summary'!$F:$F,H$17,'Industrial Summary'!$D:$D,$E180,'Industrial Summary'!$A:$A,"DST")/SUMIFS('Industrial Summary'!$G:$G,'Industrial Summary'!$F:$F,H$17,'Industrial Summary'!$D:$D,$E180)),0)*0.98</f>
        <v>-3.2820575683877589E-3</v>
      </c>
      <c r="I180" s="6">
        <f>IF(SUMIFS('Industrial Summary'!$G:$G,'Industrial Summary'!$F:$F,I$17,'Industrial Summary'!$D:$D,$E180)&gt;0,(-SUMIFS('Industrial Summary'!$G:$G,'Industrial Summary'!$F:$F,I$17,'Industrial Summary'!$D:$D,$E180,'Industrial Summary'!$A:$A,"DST")/SUMIFS('Industrial Summary'!$G:$G,'Industrial Summary'!$F:$F,I$17,'Industrial Summary'!$D:$D,$E180)),0)*0.98</f>
        <v>-2.2506536971347497E-3</v>
      </c>
      <c r="J180" s="6">
        <f>IF(SUMIFS('Industrial Summary'!$G:$G,'Industrial Summary'!$F:$F,J$17,'Industrial Summary'!$D:$D,$E180)&gt;0,(-SUMIFS('Industrial Summary'!$G:$G,'Industrial Summary'!$F:$F,J$17,'Industrial Summary'!$D:$D,$E180,'Industrial Summary'!$A:$A,"DST")/SUMIFS('Industrial Summary'!$G:$G,'Industrial Summary'!$F:$F,J$17,'Industrial Summary'!$D:$D,$E180)),0)*0.98</f>
        <v>-2.8208874709935603E-3</v>
      </c>
      <c r="K180" s="6">
        <f>IF(SUMIFS('Industrial Summary'!$G:$G,'Industrial Summary'!$F:$F,K$17,'Industrial Summary'!$D:$D,$E180)&gt;0,(-SUMIFS('Industrial Summary'!$G:$G,'Industrial Summary'!$F:$F,K$17,'Industrial Summary'!$D:$D,$E180,'Industrial Summary'!$A:$A,"DST")/SUMIFS('Industrial Summary'!$G:$G,'Industrial Summary'!$F:$F,K$17,'Industrial Summary'!$D:$D,$E180)),0)*0.98</f>
        <v>-2.8208874709881094E-3</v>
      </c>
      <c r="L180" s="6">
        <f>IF(SUMIFS('Industrial Summary'!$G:$G,'Industrial Summary'!$F:$F,L$17,'Industrial Summary'!$D:$D,$E180)&gt;0,(-SUMIFS('Industrial Summary'!$G:$G,'Industrial Summary'!$F:$F,L$17,'Industrial Summary'!$D:$D,$E180,'Industrial Summary'!$A:$A,"DST")/SUMIFS('Industrial Summary'!$G:$G,'Industrial Summary'!$F:$F,L$17,'Industrial Summary'!$D:$D,$E180)),0)*0.98</f>
        <v>-2.159341324764099E-2</v>
      </c>
      <c r="M180" s="6">
        <f>IF(SUMIFS('Industrial Summary'!$G:$G,'Industrial Summary'!$F:$F,M$17,'Industrial Summary'!$D:$D,$E180)&gt;0,(-SUMIFS('Industrial Summary'!$G:$G,'Industrial Summary'!$F:$F,M$17,'Industrial Summary'!$D:$D,$E180,'Industrial Summary'!$A:$A,"DST")/SUMIFS('Industrial Summary'!$G:$G,'Industrial Summary'!$F:$F,M$17,'Industrial Summary'!$D:$D,$E180)),0)*0.98</f>
        <v>0</v>
      </c>
      <c r="N180" s="6">
        <f>IF(SUMIFS('Industrial Summary'!$G:$G,'Industrial Summary'!$F:$F,N$17,'Industrial Summary'!$D:$D,$E180)&gt;0,(-SUMIFS('Industrial Summary'!$G:$G,'Industrial Summary'!$F:$F,N$17,'Industrial Summary'!$D:$D,$E180,'Industrial Summary'!$A:$A,"DST")/SUMIFS('Industrial Summary'!$G:$G,'Industrial Summary'!$F:$F,N$17,'Industrial Summary'!$D:$D,$E180)),0)*0.98</f>
        <v>-2.3591129288459682E-2</v>
      </c>
      <c r="O180" s="6">
        <f>IF(SUMIFS('Industrial Summary'!$G:$G,'Industrial Summary'!$F:$F,O$17,'Industrial Summary'!$D:$D,$E180)&gt;0,(-SUMIFS('Industrial Summary'!$G:$G,'Industrial Summary'!$F:$F,O$17,'Industrial Summary'!$D:$D,$E180,'Industrial Summary'!$A:$A,"DST")/SUMIFS('Industrial Summary'!$G:$G,'Industrial Summary'!$F:$F,O$17,'Industrial Summary'!$D:$D,$E180)),0)*0.98</f>
        <v>-1.6515334488616983E-2</v>
      </c>
      <c r="P180" s="6">
        <f>IF(SUMIFS('Industrial Summary'!$G:$G,'Industrial Summary'!$F:$F,P$17,'Industrial Summary'!$D:$D,$E180)&gt;0,(-SUMIFS('Industrial Summary'!$G:$G,'Industrial Summary'!$F:$F,P$17,'Industrial Summary'!$D:$D,$E180,'Industrial Summary'!$A:$A,"DST")/SUMIFS('Industrial Summary'!$G:$G,'Industrial Summary'!$F:$F,P$17,'Industrial Summary'!$D:$D,$E180)),0)*0.98</f>
        <v>-1.651533448861621E-2</v>
      </c>
      <c r="Q180" s="5">
        <v>0</v>
      </c>
      <c r="R180" s="5">
        <v>15</v>
      </c>
      <c r="S180" s="5" t="str">
        <f t="shared" si="33"/>
        <v>UC_ICTPH_DST</v>
      </c>
      <c r="V180" s="4" t="str">
        <f t="shared" si="34"/>
        <v>S_ICTPHDST</v>
      </c>
      <c r="W180" s="4" t="str">
        <f t="shared" si="35"/>
        <v>ICTPH_DST</v>
      </c>
      <c r="X180" s="4" t="str">
        <f t="shared" si="36"/>
        <v>ICTPRH</v>
      </c>
      <c r="Y180" s="5" t="str">
        <f t="shared" si="37"/>
        <v>LO</v>
      </c>
      <c r="Z180" s="5">
        <v>1</v>
      </c>
      <c r="AA180" s="6">
        <f t="shared" si="38"/>
        <v>-3.2820575683877589E-3</v>
      </c>
      <c r="AB180" s="6">
        <f t="shared" si="39"/>
        <v>-2.2506536971347497E-3</v>
      </c>
      <c r="AC180" s="6">
        <f t="shared" si="40"/>
        <v>-2.8208874709935603E-3</v>
      </c>
      <c r="AD180" s="6">
        <f t="shared" si="41"/>
        <v>-2.8208874709881094E-3</v>
      </c>
      <c r="AE180" s="6">
        <f t="shared" si="42"/>
        <v>-2.159341324764099E-2</v>
      </c>
      <c r="AF180" s="6">
        <f t="shared" si="43"/>
        <v>0</v>
      </c>
      <c r="AG180" s="6">
        <f t="shared" si="44"/>
        <v>-2.3591129288459682E-2</v>
      </c>
      <c r="AH180" s="6">
        <f t="shared" si="45"/>
        <v>-1.6515334488616983E-2</v>
      </c>
      <c r="AI180" s="6">
        <f t="shared" si="46"/>
        <v>-1.651533448861621E-2</v>
      </c>
      <c r="AL180" s="5" t="str">
        <f t="shared" si="47"/>
        <v>DST</v>
      </c>
      <c r="AM180" s="5">
        <f>1</f>
        <v>1</v>
      </c>
    </row>
    <row r="181" spans="1:39" s="5" customFormat="1" x14ac:dyDescent="0.3">
      <c r="A181" s="8"/>
      <c r="C181" s="4" t="s">
        <v>370</v>
      </c>
      <c r="D181" s="5" t="s">
        <v>371</v>
      </c>
      <c r="E181" s="5" t="s">
        <v>793</v>
      </c>
      <c r="F181" s="5" t="s">
        <v>1588</v>
      </c>
      <c r="G181" s="5">
        <v>1</v>
      </c>
      <c r="H181" s="6">
        <f>IF(SUMIFS('Industrial Summary'!$G:$G,'Industrial Summary'!$F:$F,H$17,'Industrial Summary'!$D:$D,$E181)&gt;0,(-SUMIFS('Industrial Summary'!$G:$G,'Industrial Summary'!$F:$F,H$17,'Industrial Summary'!$D:$D,$E181,'Industrial Summary'!$A:$A,"NGA")/SUMIFS('Industrial Summary'!$G:$G,'Industrial Summary'!$F:$F,H$17,'Industrial Summary'!$D:$D,$E181)),0)*0.98</f>
        <v>-0.79544670954093744</v>
      </c>
      <c r="I181" s="6">
        <f>IF(SUMIFS('Industrial Summary'!$G:$G,'Industrial Summary'!$F:$F,I$17,'Industrial Summary'!$D:$D,$E181)&gt;0,(-SUMIFS('Industrial Summary'!$G:$G,'Industrial Summary'!$F:$F,I$17,'Industrial Summary'!$D:$D,$E181,'Industrial Summary'!$A:$A,"NGA")/SUMIFS('Industrial Summary'!$G:$G,'Industrial Summary'!$F:$F,I$17,'Industrial Summary'!$D:$D,$E181)),0)*0.98</f>
        <v>-0.79628669289739695</v>
      </c>
      <c r="J181" s="6">
        <f>IF(SUMIFS('Industrial Summary'!$G:$G,'Industrial Summary'!$F:$F,J$17,'Industrial Summary'!$D:$D,$E181)&gt;0,(-SUMIFS('Industrial Summary'!$G:$G,'Industrial Summary'!$F:$F,J$17,'Industrial Summary'!$D:$D,$E181,'Industrial Summary'!$A:$A,"NGA")/SUMIFS('Industrial Summary'!$G:$G,'Industrial Summary'!$F:$F,J$17,'Industrial Summary'!$D:$D,$E181)),0)*0.98</f>
        <v>-0.73251054408162852</v>
      </c>
      <c r="K181" s="6">
        <f>IF(SUMIFS('Industrial Summary'!$G:$G,'Industrial Summary'!$F:$F,K$17,'Industrial Summary'!$D:$D,$E181)&gt;0,(-SUMIFS('Industrial Summary'!$G:$G,'Industrial Summary'!$F:$F,K$17,'Industrial Summary'!$D:$D,$E181,'Industrial Summary'!$A:$A,"NGA")/SUMIFS('Industrial Summary'!$G:$G,'Industrial Summary'!$F:$F,K$17,'Industrial Summary'!$D:$D,$E181)),0)*0.98</f>
        <v>-0.73251054408163252</v>
      </c>
      <c r="L181" s="6">
        <f>IF(SUMIFS('Industrial Summary'!$G:$G,'Industrial Summary'!$F:$F,L$17,'Industrial Summary'!$D:$D,$E181)&gt;0,(-SUMIFS('Industrial Summary'!$G:$G,'Industrial Summary'!$F:$F,L$17,'Industrial Summary'!$D:$D,$E181,'Industrial Summary'!$A:$A,"NGA")/SUMIFS('Industrial Summary'!$G:$G,'Industrial Summary'!$F:$F,L$17,'Industrial Summary'!$D:$D,$E181)),0)*0.98</f>
        <v>0</v>
      </c>
      <c r="M181" s="6">
        <f>IF(SUMIFS('Industrial Summary'!$G:$G,'Industrial Summary'!$F:$F,M$17,'Industrial Summary'!$D:$D,$E181)&gt;0,(-SUMIFS('Industrial Summary'!$G:$G,'Industrial Summary'!$F:$F,M$17,'Industrial Summary'!$D:$D,$E181,'Industrial Summary'!$A:$A,"NGA")/SUMIFS('Industrial Summary'!$G:$G,'Industrial Summary'!$F:$F,M$17,'Industrial Summary'!$D:$D,$E181)),0)*0.98</f>
        <v>0</v>
      </c>
      <c r="N181" s="6">
        <f>IF(SUMIFS('Industrial Summary'!$G:$G,'Industrial Summary'!$F:$F,N$17,'Industrial Summary'!$D:$D,$E181)&gt;0,(-SUMIFS('Industrial Summary'!$G:$G,'Industrial Summary'!$F:$F,N$17,'Industrial Summary'!$D:$D,$E181,'Industrial Summary'!$A:$A,"NGA")/SUMIFS('Industrial Summary'!$G:$G,'Industrial Summary'!$F:$F,N$17,'Industrial Summary'!$D:$D,$E181)),0)*0.98</f>
        <v>0</v>
      </c>
      <c r="O181" s="6">
        <f>IF(SUMIFS('Industrial Summary'!$G:$G,'Industrial Summary'!$F:$F,O$17,'Industrial Summary'!$D:$D,$E181)&gt;0,(-SUMIFS('Industrial Summary'!$G:$G,'Industrial Summary'!$F:$F,O$17,'Industrial Summary'!$D:$D,$E181,'Industrial Summary'!$A:$A,"NGA")/SUMIFS('Industrial Summary'!$G:$G,'Industrial Summary'!$F:$F,O$17,'Industrial Summary'!$D:$D,$E181)),0)*0.98</f>
        <v>-0.6671154807719929</v>
      </c>
      <c r="P181" s="6">
        <f>IF(SUMIFS('Industrial Summary'!$G:$G,'Industrial Summary'!$F:$F,P$17,'Industrial Summary'!$D:$D,$E181)&gt;0,(-SUMIFS('Industrial Summary'!$G:$G,'Industrial Summary'!$F:$F,P$17,'Industrial Summary'!$D:$D,$E181,'Industrial Summary'!$A:$A,"NGA")/SUMIFS('Industrial Summary'!$G:$G,'Industrial Summary'!$F:$F,P$17,'Industrial Summary'!$D:$D,$E181)),0)*0.98</f>
        <v>-0.66711548077199334</v>
      </c>
      <c r="Q181" s="5">
        <v>0</v>
      </c>
      <c r="R181" s="5">
        <v>15</v>
      </c>
      <c r="S181" s="5" t="str">
        <f t="shared" si="33"/>
        <v>UC_ICTPH_NGA</v>
      </c>
      <c r="V181" s="4" t="str">
        <f t="shared" si="34"/>
        <v>S_ICTPHNGA</v>
      </c>
      <c r="W181" s="4" t="str">
        <f t="shared" si="35"/>
        <v>ICTPH_NGA</v>
      </c>
      <c r="X181" s="4" t="str">
        <f t="shared" si="36"/>
        <v>ICTPRH</v>
      </c>
      <c r="Y181" s="5" t="str">
        <f t="shared" si="37"/>
        <v>LO</v>
      </c>
      <c r="Z181" s="5">
        <v>1</v>
      </c>
      <c r="AA181" s="6">
        <f t="shared" si="38"/>
        <v>-0.71590203858684376</v>
      </c>
      <c r="AB181" s="6">
        <f t="shared" si="39"/>
        <v>-0.71665802360765729</v>
      </c>
      <c r="AC181" s="6">
        <f t="shared" si="40"/>
        <v>-0.6592594896734657</v>
      </c>
      <c r="AD181" s="6">
        <f t="shared" si="41"/>
        <v>-0.65925948967346926</v>
      </c>
      <c r="AE181" s="6">
        <f t="shared" si="42"/>
        <v>0</v>
      </c>
      <c r="AF181" s="6">
        <f t="shared" si="43"/>
        <v>0</v>
      </c>
      <c r="AG181" s="6">
        <f t="shared" si="44"/>
        <v>0</v>
      </c>
      <c r="AH181" s="6">
        <f t="shared" si="45"/>
        <v>-0.60040393269479364</v>
      </c>
      <c r="AI181" s="6">
        <f t="shared" si="46"/>
        <v>-0.60040393269479397</v>
      </c>
      <c r="AL181" s="5" t="str">
        <f t="shared" si="47"/>
        <v>NGA</v>
      </c>
      <c r="AM181" s="5">
        <f>Y7</f>
        <v>0.9</v>
      </c>
    </row>
    <row r="182" spans="1:39" s="5" customFormat="1" x14ac:dyDescent="0.3">
      <c r="C182" s="4" t="s">
        <v>372</v>
      </c>
      <c r="D182" s="5" t="s">
        <v>373</v>
      </c>
      <c r="E182" s="5" t="s">
        <v>746</v>
      </c>
      <c r="F182" s="5" t="s">
        <v>1588</v>
      </c>
      <c r="G182" s="5">
        <v>1</v>
      </c>
      <c r="H182" s="6">
        <f>IF(SUMIFS('Industrial Summary'!$G:$G,'Industrial Summary'!$F:$F,H$17,'Industrial Summary'!$D:$D,$E182)&gt;0,(-SUMIFS('Industrial Summary'!$G:$G,'Industrial Summary'!$F:$F,H$17,'Industrial Summary'!$D:$D,$E182,'Industrial Summary'!$A:$A,"ELC")/SUMIFS('Industrial Summary'!$G:$G,'Industrial Summary'!$F:$F,H$17,'Industrial Summary'!$D:$D,$E182)),0)*0.98</f>
        <v>-0.64636200779836395</v>
      </c>
      <c r="I182" s="6">
        <f>IF(SUMIFS('Industrial Summary'!$G:$G,'Industrial Summary'!$F:$F,I$17,'Industrial Summary'!$D:$D,$E182)&gt;0,(-SUMIFS('Industrial Summary'!$G:$G,'Industrial Summary'!$F:$F,I$17,'Industrial Summary'!$D:$D,$E182,'Industrial Summary'!$A:$A,"ELC")/SUMIFS('Industrial Summary'!$G:$G,'Industrial Summary'!$F:$F,I$17,'Industrial Summary'!$D:$D,$E182)),0)*0.98</f>
        <v>-0.64704455927829063</v>
      </c>
      <c r="J182" s="6">
        <f>IF(SUMIFS('Industrial Summary'!$G:$G,'Industrial Summary'!$F:$F,J$17,'Industrial Summary'!$D:$D,$E182)&gt;0,(-SUMIFS('Industrial Summary'!$G:$G,'Industrial Summary'!$F:$F,J$17,'Industrial Summary'!$D:$D,$E182,'Industrial Summary'!$A:$A,"ELC")/SUMIFS('Industrial Summary'!$G:$G,'Industrial Summary'!$F:$F,J$17,'Industrial Summary'!$D:$D,$E182)),0)*0.98</f>
        <v>-0.72972708742669956</v>
      </c>
      <c r="K182" s="6">
        <f>IF(SUMIFS('Industrial Summary'!$G:$G,'Industrial Summary'!$F:$F,K$17,'Industrial Summary'!$D:$D,$E182)&gt;0,(-SUMIFS('Industrial Summary'!$G:$G,'Industrial Summary'!$F:$F,K$17,'Industrial Summary'!$D:$D,$E182,'Industrial Summary'!$A:$A,"ELC")/SUMIFS('Industrial Summary'!$G:$G,'Industrial Summary'!$F:$F,K$17,'Industrial Summary'!$D:$D,$E182)),0)*0.98</f>
        <v>-0.72972708742669801</v>
      </c>
      <c r="L182" s="6">
        <f>IF(SUMIFS('Industrial Summary'!$G:$G,'Industrial Summary'!$F:$F,L$17,'Industrial Summary'!$D:$D,$E182)&gt;0,(-SUMIFS('Industrial Summary'!$G:$G,'Industrial Summary'!$F:$F,L$17,'Industrial Summary'!$D:$D,$E182,'Industrial Summary'!$A:$A,"ELC")/SUMIFS('Industrial Summary'!$G:$G,'Industrial Summary'!$F:$F,L$17,'Industrial Summary'!$D:$D,$E182)),0)*0.98</f>
        <v>-0.97382869815194228</v>
      </c>
      <c r="M182" s="6">
        <f>IF(SUMIFS('Industrial Summary'!$G:$G,'Industrial Summary'!$F:$F,M$17,'Industrial Summary'!$D:$D,$E182)&gt;0,(-SUMIFS('Industrial Summary'!$G:$G,'Industrial Summary'!$F:$F,M$17,'Industrial Summary'!$D:$D,$E182,'Industrial Summary'!$A:$A,"ELC")/SUMIFS('Industrial Summary'!$G:$G,'Industrial Summary'!$F:$F,M$17,'Industrial Summary'!$D:$D,$E182)),0)*0.98</f>
        <v>-0.98</v>
      </c>
      <c r="N182" s="6">
        <f>IF(SUMIFS('Industrial Summary'!$G:$G,'Industrial Summary'!$F:$F,N$17,'Industrial Summary'!$D:$D,$E182)&gt;0,(-SUMIFS('Industrial Summary'!$G:$G,'Industrial Summary'!$F:$F,N$17,'Industrial Summary'!$D:$D,$E182,'Industrial Summary'!$A:$A,"ELC")/SUMIFS('Industrial Summary'!$G:$G,'Industrial Summary'!$F:$F,N$17,'Industrial Summary'!$D:$D,$E182)),0)*0.98</f>
        <v>-0.9717988360472809</v>
      </c>
      <c r="O182" s="6">
        <f>IF(SUMIFS('Industrial Summary'!$G:$G,'Industrial Summary'!$F:$F,O$17,'Industrial Summary'!$D:$D,$E182)&gt;0,(-SUMIFS('Industrial Summary'!$G:$G,'Industrial Summary'!$F:$F,O$17,'Industrial Summary'!$D:$D,$E182,'Industrial Summary'!$A:$A,"ELC")/SUMIFS('Industrial Summary'!$G:$G,'Industrial Summary'!$F:$F,O$17,'Industrial Summary'!$D:$D,$E182)),0)*0.98</f>
        <v>-0.76850820785990259</v>
      </c>
      <c r="P182" s="6">
        <f>IF(SUMIFS('Industrial Summary'!$G:$G,'Industrial Summary'!$F:$F,P$17,'Industrial Summary'!$D:$D,$E182)&gt;0,(-SUMIFS('Industrial Summary'!$G:$G,'Industrial Summary'!$F:$F,P$17,'Industrial Summary'!$D:$D,$E182,'Industrial Summary'!$A:$A,"ELC")/SUMIFS('Industrial Summary'!$G:$G,'Industrial Summary'!$F:$F,P$17,'Industrial Summary'!$D:$D,$E182)),0)*0.98</f>
        <v>-0.76850820785990459</v>
      </c>
      <c r="Q182" s="5">
        <v>0</v>
      </c>
      <c r="R182" s="5">
        <v>15</v>
      </c>
      <c r="S182" s="5" t="str">
        <f t="shared" si="33"/>
        <v>UC_ICTMD_ELC</v>
      </c>
      <c r="V182" s="4" t="str">
        <f t="shared" si="34"/>
        <v>S_ICTMDELC</v>
      </c>
      <c r="W182" s="4" t="str">
        <f t="shared" si="35"/>
        <v>ICTMD_ELC</v>
      </c>
      <c r="X182" s="4" t="str">
        <f t="shared" si="36"/>
        <v>ICTMDR</v>
      </c>
      <c r="Y182" s="5" t="str">
        <f t="shared" si="37"/>
        <v>LO</v>
      </c>
      <c r="Z182" s="5">
        <v>1</v>
      </c>
      <c r="AA182" s="6">
        <f t="shared" si="38"/>
        <v>-0.64636200779836395</v>
      </c>
      <c r="AB182" s="6">
        <f t="shared" si="39"/>
        <v>-0.64704455927829063</v>
      </c>
      <c r="AC182" s="6">
        <f t="shared" si="40"/>
        <v>-0.72972708742669956</v>
      </c>
      <c r="AD182" s="6">
        <f t="shared" si="41"/>
        <v>-0.72972708742669801</v>
      </c>
      <c r="AE182" s="6">
        <f t="shared" si="42"/>
        <v>-0.97382869815194228</v>
      </c>
      <c r="AF182" s="6">
        <f t="shared" si="43"/>
        <v>-0.98</v>
      </c>
      <c r="AG182" s="6">
        <f t="shared" si="44"/>
        <v>-0.9717988360472809</v>
      </c>
      <c r="AH182" s="6">
        <f t="shared" si="45"/>
        <v>-0.76850820785990259</v>
      </c>
      <c r="AI182" s="6">
        <f t="shared" si="46"/>
        <v>-0.76850820785990459</v>
      </c>
      <c r="AL182" s="5" t="str">
        <f t="shared" si="47"/>
        <v>ELC</v>
      </c>
      <c r="AM182" s="5">
        <f>1</f>
        <v>1</v>
      </c>
    </row>
    <row r="183" spans="1:39" s="5" customFormat="1" x14ac:dyDescent="0.3">
      <c r="C183" s="4" t="s">
        <v>374</v>
      </c>
      <c r="D183" s="5" t="s">
        <v>375</v>
      </c>
      <c r="E183" s="5" t="s">
        <v>746</v>
      </c>
      <c r="F183" s="5" t="s">
        <v>1588</v>
      </c>
      <c r="G183" s="5">
        <v>1</v>
      </c>
      <c r="H183" s="6">
        <f>IF(SUMIFS('Industrial Summary'!$G:$G,'Industrial Summary'!$F:$F,H$17,'Industrial Summary'!$D:$D,$E183)&gt;0,(-SUMIFS('Industrial Summary'!$G:$G,'Industrial Summary'!$F:$F,H$17,'Industrial Summary'!$D:$D,$E183,'Industrial Summary'!$A:$A,"DST")/SUMIFS('Industrial Summary'!$G:$G,'Industrial Summary'!$F:$F,H$17,'Industrial Summary'!$D:$D,$E183)),0)*0.98</f>
        <v>-4.423370672272514E-3</v>
      </c>
      <c r="I183" s="6">
        <f>IF(SUMIFS('Industrial Summary'!$G:$G,'Industrial Summary'!$F:$F,I$17,'Industrial Summary'!$D:$D,$E183)&gt;0,(-SUMIFS('Industrial Summary'!$G:$G,'Industrial Summary'!$F:$F,I$17,'Industrial Summary'!$D:$D,$E183,'Industrial Summary'!$A:$A,"DST")/SUMIFS('Industrial Summary'!$G:$G,'Industrial Summary'!$F:$F,I$17,'Industrial Summary'!$D:$D,$E183)),0)*0.98</f>
        <v>-3.3931720156460234E-3</v>
      </c>
      <c r="J183" s="6">
        <f>IF(SUMIFS('Industrial Summary'!$G:$G,'Industrial Summary'!$F:$F,J$17,'Industrial Summary'!$D:$D,$E183)&gt;0,(-SUMIFS('Industrial Summary'!$G:$G,'Industrial Summary'!$F:$F,J$17,'Industrial Summary'!$D:$D,$E183,'Industrial Summary'!$A:$A,"DST")/SUMIFS('Industrial Summary'!$G:$G,'Industrial Summary'!$F:$F,J$17,'Industrial Summary'!$D:$D,$E183)),0)*0.98</f>
        <v>-3.0996487849464516E-3</v>
      </c>
      <c r="K183" s="6">
        <f>IF(SUMIFS('Industrial Summary'!$G:$G,'Industrial Summary'!$F:$F,K$17,'Industrial Summary'!$D:$D,$E183)&gt;0,(-SUMIFS('Industrial Summary'!$G:$G,'Industrial Summary'!$F:$F,K$17,'Industrial Summary'!$D:$D,$E183,'Industrial Summary'!$A:$A,"DST")/SUMIFS('Industrial Summary'!$G:$G,'Industrial Summary'!$F:$F,K$17,'Industrial Summary'!$D:$D,$E183)),0)*0.98</f>
        <v>-3.0996487849473133E-3</v>
      </c>
      <c r="L183" s="6">
        <f>IF(SUMIFS('Industrial Summary'!$G:$G,'Industrial Summary'!$F:$F,L$17,'Industrial Summary'!$D:$D,$E183)&gt;0,(-SUMIFS('Industrial Summary'!$G:$G,'Industrial Summary'!$F:$F,L$17,'Industrial Summary'!$D:$D,$E183,'Industrial Summary'!$A:$A,"DST")/SUMIFS('Industrial Summary'!$G:$G,'Industrial Summary'!$F:$F,L$17,'Industrial Summary'!$D:$D,$E183)),0)*0.98</f>
        <v>-6.1713018480577418E-3</v>
      </c>
      <c r="M183" s="6">
        <f>IF(SUMIFS('Industrial Summary'!$G:$G,'Industrial Summary'!$F:$F,M$17,'Industrial Summary'!$D:$D,$E183)&gt;0,(-SUMIFS('Industrial Summary'!$G:$G,'Industrial Summary'!$F:$F,M$17,'Industrial Summary'!$D:$D,$E183,'Industrial Summary'!$A:$A,"DST")/SUMIFS('Industrial Summary'!$G:$G,'Industrial Summary'!$F:$F,M$17,'Industrial Summary'!$D:$D,$E183)),0)*0.98</f>
        <v>0</v>
      </c>
      <c r="N183" s="6">
        <f>IF(SUMIFS('Industrial Summary'!$G:$G,'Industrial Summary'!$F:$F,N$17,'Industrial Summary'!$D:$D,$E183)&gt;0,(-SUMIFS('Industrial Summary'!$G:$G,'Industrial Summary'!$F:$F,N$17,'Industrial Summary'!$D:$D,$E183,'Industrial Summary'!$A:$A,"DST")/SUMIFS('Industrial Summary'!$G:$G,'Industrial Summary'!$F:$F,N$17,'Industrial Summary'!$D:$D,$E183)),0)*0.98</f>
        <v>-8.201163952719092E-3</v>
      </c>
      <c r="O183" s="6">
        <f>IF(SUMIFS('Industrial Summary'!$G:$G,'Industrial Summary'!$F:$F,O$17,'Industrial Summary'!$D:$D,$E183)&gt;0,(-SUMIFS('Industrial Summary'!$G:$G,'Industrial Summary'!$F:$F,O$17,'Industrial Summary'!$D:$D,$E183,'Industrial Summary'!$A:$A,"DST")/SUMIFS('Industrial Summary'!$G:$G,'Industrial Summary'!$F:$F,O$17,'Industrial Summary'!$D:$D,$E183)),0)*0.98</f>
        <v>-1.5777830195932561E-2</v>
      </c>
      <c r="P183" s="6">
        <f>IF(SUMIFS('Industrial Summary'!$G:$G,'Industrial Summary'!$F:$F,P$17,'Industrial Summary'!$D:$D,$E183)&gt;0,(-SUMIFS('Industrial Summary'!$G:$G,'Industrial Summary'!$F:$F,P$17,'Industrial Summary'!$D:$D,$E183,'Industrial Summary'!$A:$A,"DST")/SUMIFS('Industrial Summary'!$G:$G,'Industrial Summary'!$F:$F,P$17,'Industrial Summary'!$D:$D,$E183)),0)*0.98</f>
        <v>-1.5777830195930428E-2</v>
      </c>
      <c r="Q183" s="5">
        <v>0</v>
      </c>
      <c r="R183" s="5">
        <v>15</v>
      </c>
      <c r="S183" s="5" t="str">
        <f t="shared" si="33"/>
        <v>UC_ICTMD_DST</v>
      </c>
      <c r="V183" s="4" t="str">
        <f t="shared" si="34"/>
        <v>S_ICTMDDST</v>
      </c>
      <c r="W183" s="4" t="str">
        <f t="shared" si="35"/>
        <v>ICTMD_DST</v>
      </c>
      <c r="X183" s="4" t="str">
        <f t="shared" si="36"/>
        <v>ICTMDR</v>
      </c>
      <c r="Y183" s="5" t="str">
        <f t="shared" si="37"/>
        <v>LO</v>
      </c>
      <c r="Z183" s="5">
        <v>1</v>
      </c>
      <c r="AA183" s="6">
        <f t="shared" si="38"/>
        <v>-4.423370672272514E-3</v>
      </c>
      <c r="AB183" s="6">
        <f t="shared" si="39"/>
        <v>-3.3931720156460234E-3</v>
      </c>
      <c r="AC183" s="6">
        <f t="shared" si="40"/>
        <v>-3.0996487849464516E-3</v>
      </c>
      <c r="AD183" s="6">
        <f t="shared" si="41"/>
        <v>-3.0996487849473133E-3</v>
      </c>
      <c r="AE183" s="6">
        <f t="shared" si="42"/>
        <v>-6.1713018480577418E-3</v>
      </c>
      <c r="AF183" s="6">
        <f t="shared" si="43"/>
        <v>0</v>
      </c>
      <c r="AG183" s="6">
        <f t="shared" si="44"/>
        <v>-8.201163952719092E-3</v>
      </c>
      <c r="AH183" s="6">
        <f t="shared" si="45"/>
        <v>-1.5777830195932561E-2</v>
      </c>
      <c r="AI183" s="6">
        <f t="shared" si="46"/>
        <v>-1.5777830195930428E-2</v>
      </c>
      <c r="AL183" s="5" t="str">
        <f t="shared" si="47"/>
        <v>DST</v>
      </c>
      <c r="AM183" s="5">
        <f>1</f>
        <v>1</v>
      </c>
    </row>
    <row r="184" spans="1:39" s="5" customFormat="1" x14ac:dyDescent="0.3">
      <c r="A184" s="8"/>
      <c r="C184" s="4" t="s">
        <v>376</v>
      </c>
      <c r="D184" s="5" t="s">
        <v>377</v>
      </c>
      <c r="E184" s="5" t="s">
        <v>746</v>
      </c>
      <c r="F184" s="5" t="s">
        <v>1588</v>
      </c>
      <c r="G184" s="5">
        <v>1</v>
      </c>
      <c r="H184" s="6">
        <f>IF(SUMIFS('Industrial Summary'!$G:$G,'Industrial Summary'!$F:$F,H$17,'Industrial Summary'!$D:$D,$E184)&gt;0,(-SUMIFS('Industrial Summary'!$G:$G,'Industrial Summary'!$F:$F,H$17,'Industrial Summary'!$D:$D,$E184,'Industrial Summary'!$A:$A,"NGA")/SUMIFS('Industrial Summary'!$G:$G,'Industrial Summary'!$F:$F,H$17,'Industrial Summary'!$D:$D,$E184)),0)*0.98</f>
        <v>-0.32921462152936337</v>
      </c>
      <c r="I184" s="6">
        <f>IF(SUMIFS('Industrial Summary'!$G:$G,'Industrial Summary'!$F:$F,I$17,'Industrial Summary'!$D:$D,$E184)&gt;0,(-SUMIFS('Industrial Summary'!$G:$G,'Industrial Summary'!$F:$F,I$17,'Industrial Summary'!$D:$D,$E184,'Industrial Summary'!$A:$A,"NGA")/SUMIFS('Industrial Summary'!$G:$G,'Industrial Summary'!$F:$F,I$17,'Industrial Summary'!$D:$D,$E184)),0)*0.98</f>
        <v>-0.32956226870606342</v>
      </c>
      <c r="J184" s="6">
        <f>IF(SUMIFS('Industrial Summary'!$G:$G,'Industrial Summary'!$F:$F,J$17,'Industrial Summary'!$D:$D,$E184)&gt;0,(-SUMIFS('Industrial Summary'!$G:$G,'Industrial Summary'!$F:$F,J$17,'Industrial Summary'!$D:$D,$E184,'Industrial Summary'!$A:$A,"NGA")/SUMIFS('Industrial Summary'!$G:$G,'Industrial Summary'!$F:$F,J$17,'Industrial Summary'!$D:$D,$E184)),0)*0.98</f>
        <v>-0.24717326378835405</v>
      </c>
      <c r="K184" s="6">
        <f>IF(SUMIFS('Industrial Summary'!$G:$G,'Industrial Summary'!$F:$F,K$17,'Industrial Summary'!$D:$D,$E184)&gt;0,(-SUMIFS('Industrial Summary'!$G:$G,'Industrial Summary'!$F:$F,K$17,'Industrial Summary'!$D:$D,$E184,'Industrial Summary'!$A:$A,"NGA")/SUMIFS('Industrial Summary'!$G:$G,'Industrial Summary'!$F:$F,K$17,'Industrial Summary'!$D:$D,$E184)),0)*0.98</f>
        <v>-0.24717326378835461</v>
      </c>
      <c r="L184" s="6">
        <f>IF(SUMIFS('Industrial Summary'!$G:$G,'Industrial Summary'!$F:$F,L$17,'Industrial Summary'!$D:$D,$E184)&gt;0,(-SUMIFS('Industrial Summary'!$G:$G,'Industrial Summary'!$F:$F,L$17,'Industrial Summary'!$D:$D,$E184,'Industrial Summary'!$A:$A,"NGA")/SUMIFS('Industrial Summary'!$G:$G,'Industrial Summary'!$F:$F,L$17,'Industrial Summary'!$D:$D,$E184)),0)*0.98</f>
        <v>0</v>
      </c>
      <c r="M184" s="6">
        <f>IF(SUMIFS('Industrial Summary'!$G:$G,'Industrial Summary'!$F:$F,M$17,'Industrial Summary'!$D:$D,$E184)&gt;0,(-SUMIFS('Industrial Summary'!$G:$G,'Industrial Summary'!$F:$F,M$17,'Industrial Summary'!$D:$D,$E184,'Industrial Summary'!$A:$A,"NGA")/SUMIFS('Industrial Summary'!$G:$G,'Industrial Summary'!$F:$F,M$17,'Industrial Summary'!$D:$D,$E184)),0)*0.98</f>
        <v>0</v>
      </c>
      <c r="N184" s="6">
        <f>IF(SUMIFS('Industrial Summary'!$G:$G,'Industrial Summary'!$F:$F,N$17,'Industrial Summary'!$D:$D,$E184)&gt;0,(-SUMIFS('Industrial Summary'!$G:$G,'Industrial Summary'!$F:$F,N$17,'Industrial Summary'!$D:$D,$E184,'Industrial Summary'!$A:$A,"NGA")/SUMIFS('Industrial Summary'!$G:$G,'Industrial Summary'!$F:$F,N$17,'Industrial Summary'!$D:$D,$E184)),0)*0.98</f>
        <v>0</v>
      </c>
      <c r="O184" s="6">
        <f>IF(SUMIFS('Industrial Summary'!$G:$G,'Industrial Summary'!$F:$F,O$17,'Industrial Summary'!$D:$D,$E184)&gt;0,(-SUMIFS('Industrial Summary'!$G:$G,'Industrial Summary'!$F:$F,O$17,'Industrial Summary'!$D:$D,$E184,'Industrial Summary'!$A:$A,"NGA")/SUMIFS('Industrial Summary'!$G:$G,'Industrial Summary'!$F:$F,O$17,'Industrial Summary'!$D:$D,$E184)),0)*0.98</f>
        <v>-0.19571396194416479</v>
      </c>
      <c r="P184" s="6">
        <f>IF(SUMIFS('Industrial Summary'!$G:$G,'Industrial Summary'!$F:$F,P$17,'Industrial Summary'!$D:$D,$E184)&gt;0,(-SUMIFS('Industrial Summary'!$G:$G,'Industrial Summary'!$F:$F,P$17,'Industrial Summary'!$D:$D,$E184,'Industrial Summary'!$A:$A,"NGA")/SUMIFS('Industrial Summary'!$G:$G,'Industrial Summary'!$F:$F,P$17,'Industrial Summary'!$D:$D,$E184)),0)*0.98</f>
        <v>-0.19571396194416496</v>
      </c>
      <c r="Q184" s="5">
        <v>0</v>
      </c>
      <c r="R184" s="5">
        <v>15</v>
      </c>
      <c r="S184" s="5" t="str">
        <f t="shared" si="33"/>
        <v>UC_ICTMD_NGA</v>
      </c>
      <c r="V184" s="4" t="str">
        <f t="shared" si="34"/>
        <v>S_ICTMDNGA</v>
      </c>
      <c r="W184" s="4" t="str">
        <f t="shared" si="35"/>
        <v>ICTMD_NGA</v>
      </c>
      <c r="X184" s="4" t="str">
        <f t="shared" si="36"/>
        <v>ICTMDR</v>
      </c>
      <c r="Y184" s="5" t="str">
        <f t="shared" si="37"/>
        <v>LO</v>
      </c>
      <c r="Z184" s="5">
        <v>1</v>
      </c>
      <c r="AA184" s="6">
        <f t="shared" si="38"/>
        <v>-0.29629315937642703</v>
      </c>
      <c r="AB184" s="6">
        <f t="shared" si="39"/>
        <v>-0.29660604183545708</v>
      </c>
      <c r="AC184" s="6">
        <f t="shared" si="40"/>
        <v>-0.22245593740951866</v>
      </c>
      <c r="AD184" s="6">
        <f t="shared" si="41"/>
        <v>-0.22245593740951916</v>
      </c>
      <c r="AE184" s="6">
        <f t="shared" si="42"/>
        <v>0</v>
      </c>
      <c r="AF184" s="6">
        <f t="shared" si="43"/>
        <v>0</v>
      </c>
      <c r="AG184" s="6">
        <f t="shared" si="44"/>
        <v>0</v>
      </c>
      <c r="AH184" s="6">
        <f t="shared" si="45"/>
        <v>-0.17614256574974832</v>
      </c>
      <c r="AI184" s="6">
        <f t="shared" si="46"/>
        <v>-0.17614256574974846</v>
      </c>
      <c r="AL184" s="5" t="str">
        <f t="shared" si="47"/>
        <v>NGA</v>
      </c>
      <c r="AM184" s="5">
        <f>Y7</f>
        <v>0.9</v>
      </c>
    </row>
    <row r="185" spans="1:39" s="5" customFormat="1" x14ac:dyDescent="0.3">
      <c r="C185" s="4" t="s">
        <v>378</v>
      </c>
      <c r="D185" s="5" t="s">
        <v>379</v>
      </c>
      <c r="E185" s="5" t="s">
        <v>730</v>
      </c>
      <c r="F185" s="5" t="s">
        <v>1588</v>
      </c>
      <c r="G185" s="5">
        <v>1</v>
      </c>
      <c r="H185" s="6">
        <f>IF(SUMIFS('Industrial Summary'!$G:$G,'Industrial Summary'!$F:$F,H$17,'Industrial Summary'!$D:$D,$E185)&gt;0,(-SUMIFS('Industrial Summary'!$G:$G,'Industrial Summary'!$F:$F,H$17,'Industrial Summary'!$D:$D,$E185,'Industrial Summary'!$A:$A,"ELC")/SUMIFS('Industrial Summary'!$G:$G,'Industrial Summary'!$F:$F,H$17,'Industrial Summary'!$D:$D,$E185)),0)*0.98</f>
        <v>-0.57873069083473772</v>
      </c>
      <c r="I185" s="6">
        <f>IF(SUMIFS('Industrial Summary'!$G:$G,'Industrial Summary'!$F:$F,I$17,'Industrial Summary'!$D:$D,$E185)&gt;0,(-SUMIFS('Industrial Summary'!$G:$G,'Industrial Summary'!$F:$F,I$17,'Industrial Summary'!$D:$D,$E185,'Industrial Summary'!$A:$A,"ELC")/SUMIFS('Industrial Summary'!$G:$G,'Industrial Summary'!$F:$F,I$17,'Industrial Summary'!$D:$D,$E185)),0)*0.98</f>
        <v>-0.57934182435548842</v>
      </c>
      <c r="J185" s="6">
        <f>IF(SUMIFS('Industrial Summary'!$G:$G,'Industrial Summary'!$F:$F,J$17,'Industrial Summary'!$D:$D,$E185)&gt;0,(-SUMIFS('Industrial Summary'!$G:$G,'Industrial Summary'!$F:$F,J$17,'Industrial Summary'!$D:$D,$E185,'Industrial Summary'!$A:$A,"ELC")/SUMIFS('Industrial Summary'!$G:$G,'Industrial Summary'!$F:$F,J$17,'Industrial Summary'!$D:$D,$E185)),0)*0.98</f>
        <v>-0.67937046902122045</v>
      </c>
      <c r="K185" s="6">
        <f>IF(SUMIFS('Industrial Summary'!$G:$G,'Industrial Summary'!$F:$F,K$17,'Industrial Summary'!$D:$D,$E185)&gt;0,(-SUMIFS('Industrial Summary'!$G:$G,'Industrial Summary'!$F:$F,K$17,'Industrial Summary'!$D:$D,$E185,'Industrial Summary'!$A:$A,"ELC")/SUMIFS('Industrial Summary'!$G:$G,'Industrial Summary'!$F:$F,K$17,'Industrial Summary'!$D:$D,$E185)),0)*0.98</f>
        <v>-0.67937046902121934</v>
      </c>
      <c r="L185" s="6">
        <f>IF(SUMIFS('Industrial Summary'!$G:$G,'Industrial Summary'!$F:$F,L$17,'Industrial Summary'!$D:$D,$E185)&gt;0,(-SUMIFS('Industrial Summary'!$G:$G,'Industrial Summary'!$F:$F,L$17,'Industrial Summary'!$D:$D,$E185,'Industrial Summary'!$A:$A,"ELC")/SUMIFS('Industrial Summary'!$G:$G,'Industrial Summary'!$F:$F,L$17,'Industrial Summary'!$D:$D,$E185)),0)*0.98</f>
        <v>-0.91252757163168763</v>
      </c>
      <c r="M185" s="6">
        <f>IF(SUMIFS('Industrial Summary'!$G:$G,'Industrial Summary'!$F:$F,M$17,'Industrial Summary'!$D:$D,$E185)&gt;0,(-SUMIFS('Industrial Summary'!$G:$G,'Industrial Summary'!$F:$F,M$17,'Industrial Summary'!$D:$D,$E185,'Industrial Summary'!$A:$A,"ELC")/SUMIFS('Industrial Summary'!$G:$G,'Industrial Summary'!$F:$F,M$17,'Industrial Summary'!$D:$D,$E185)),0)*0.98</f>
        <v>-0.98</v>
      </c>
      <c r="N185" s="6">
        <f>IF(SUMIFS('Industrial Summary'!$G:$G,'Industrial Summary'!$F:$F,N$17,'Industrial Summary'!$D:$D,$E185)&gt;0,(-SUMIFS('Industrial Summary'!$G:$G,'Industrial Summary'!$F:$F,N$17,'Industrial Summary'!$D:$D,$E185,'Industrial Summary'!$A:$A,"ELC")/SUMIFS('Industrial Summary'!$G:$G,'Industrial Summary'!$F:$F,N$17,'Industrial Summary'!$D:$D,$E185)),0)*0.98</f>
        <v>-0.91062548644912</v>
      </c>
      <c r="O185" s="6">
        <f>IF(SUMIFS('Industrial Summary'!$G:$G,'Industrial Summary'!$F:$F,O$17,'Industrial Summary'!$D:$D,$E185)&gt;0,(-SUMIFS('Industrial Summary'!$G:$G,'Industrial Summary'!$F:$F,O$17,'Industrial Summary'!$D:$D,$E185,'Industrial Summary'!$A:$A,"ELC")/SUMIFS('Industrial Summary'!$G:$G,'Industrial Summary'!$F:$F,O$17,'Industrial Summary'!$D:$D,$E185)),0)*0.98</f>
        <v>-0.70974736956358553</v>
      </c>
      <c r="P185" s="6">
        <f>IF(SUMIFS('Industrial Summary'!$G:$G,'Industrial Summary'!$F:$F,P$17,'Industrial Summary'!$D:$D,$E185)&gt;0,(-SUMIFS('Industrial Summary'!$G:$G,'Industrial Summary'!$F:$F,P$17,'Industrial Summary'!$D:$D,$E185,'Industrial Summary'!$A:$A,"ELC")/SUMIFS('Industrial Summary'!$G:$G,'Industrial Summary'!$F:$F,P$17,'Industrial Summary'!$D:$D,$E185)),0)*0.98</f>
        <v>-0.70974736956358797</v>
      </c>
      <c r="Q185" s="5">
        <v>0</v>
      </c>
      <c r="R185" s="5">
        <v>15</v>
      </c>
      <c r="S185" s="5" t="str">
        <f t="shared" si="33"/>
        <v>UC_ICTFA_ELC</v>
      </c>
      <c r="V185" s="4" t="str">
        <f t="shared" si="34"/>
        <v>S_ICTFAELC</v>
      </c>
      <c r="W185" s="4" t="str">
        <f t="shared" si="35"/>
        <v>ICTFA_ELC</v>
      </c>
      <c r="X185" s="4" t="str">
        <f t="shared" si="36"/>
        <v>ICTFAC</v>
      </c>
      <c r="Y185" s="5" t="str">
        <f t="shared" si="37"/>
        <v>LO</v>
      </c>
      <c r="Z185" s="5">
        <v>1</v>
      </c>
      <c r="AA185" s="6">
        <f t="shared" si="38"/>
        <v>-0.57873069083473772</v>
      </c>
      <c r="AB185" s="6">
        <f t="shared" si="39"/>
        <v>-0.57934182435548842</v>
      </c>
      <c r="AC185" s="6">
        <f t="shared" si="40"/>
        <v>-0.67937046902122045</v>
      </c>
      <c r="AD185" s="6">
        <f t="shared" si="41"/>
        <v>-0.67937046902121934</v>
      </c>
      <c r="AE185" s="6">
        <f t="shared" si="42"/>
        <v>-0.91252757163168763</v>
      </c>
      <c r="AF185" s="6">
        <f t="shared" si="43"/>
        <v>-0.98</v>
      </c>
      <c r="AG185" s="6">
        <f t="shared" si="44"/>
        <v>-0.91062548644912</v>
      </c>
      <c r="AH185" s="6">
        <f t="shared" si="45"/>
        <v>-0.70974736956358553</v>
      </c>
      <c r="AI185" s="6">
        <f t="shared" si="46"/>
        <v>-0.70974736956358797</v>
      </c>
      <c r="AL185" s="5" t="str">
        <f t="shared" si="47"/>
        <v>ELC</v>
      </c>
      <c r="AM185" s="5">
        <f>1</f>
        <v>1</v>
      </c>
    </row>
    <row r="186" spans="1:39" s="5" customFormat="1" x14ac:dyDescent="0.3">
      <c r="C186" s="4" t="s">
        <v>380</v>
      </c>
      <c r="D186" s="5" t="s">
        <v>381</v>
      </c>
      <c r="E186" s="5" t="s">
        <v>730</v>
      </c>
      <c r="F186" s="5" t="s">
        <v>1588</v>
      </c>
      <c r="G186" s="5">
        <v>1</v>
      </c>
      <c r="H186" s="6">
        <f>IF(SUMIFS('Industrial Summary'!$G:$G,'Industrial Summary'!$F:$F,H$17,'Industrial Summary'!$D:$D,$E186)&gt;0,(-SUMIFS('Industrial Summary'!$G:$G,'Industrial Summary'!$F:$F,H$17,'Industrial Summary'!$D:$D,$E186,'Industrial Summary'!$A:$A,"DST")/SUMIFS('Industrial Summary'!$G:$G,'Industrial Summary'!$F:$F,H$17,'Industrial Summary'!$D:$D,$E186)),0)*0.98</f>
        <v>-1.6722265489286164E-2</v>
      </c>
      <c r="I186" s="6">
        <f>IF(SUMIFS('Industrial Summary'!$G:$G,'Industrial Summary'!$F:$F,I$17,'Industrial Summary'!$D:$D,$E186)&gt;0,(-SUMIFS('Industrial Summary'!$G:$G,'Industrial Summary'!$F:$F,I$17,'Industrial Summary'!$D:$D,$E186,'Industrial Summary'!$A:$A,"DST")/SUMIFS('Industrial Summary'!$G:$G,'Industrial Summary'!$F:$F,I$17,'Industrial Summary'!$D:$D,$E186)),0)*0.98</f>
        <v>-1.5705054336198187E-2</v>
      </c>
      <c r="J186" s="6">
        <f>IF(SUMIFS('Industrial Summary'!$G:$G,'Industrial Summary'!$F:$F,J$17,'Industrial Summary'!$D:$D,$E186)&gt;0,(-SUMIFS('Industrial Summary'!$G:$G,'Industrial Summary'!$F:$F,J$17,'Industrial Summary'!$D:$D,$E186,'Industrial Summary'!$A:$A,"DST")/SUMIFS('Industrial Summary'!$G:$G,'Industrial Summary'!$F:$F,J$17,'Industrial Summary'!$D:$D,$E186)),0)*0.98</f>
        <v>-1.2184277235562278E-2</v>
      </c>
      <c r="K186" s="6">
        <f>IF(SUMIFS('Industrial Summary'!$G:$G,'Industrial Summary'!$F:$F,K$17,'Industrial Summary'!$D:$D,$E186)&gt;0,(-SUMIFS('Industrial Summary'!$G:$G,'Industrial Summary'!$F:$F,K$17,'Industrial Summary'!$D:$D,$E186,'Industrial Summary'!$A:$A,"DST")/SUMIFS('Industrial Summary'!$G:$G,'Industrial Summary'!$F:$F,K$17,'Industrial Summary'!$D:$D,$E186)),0)*0.98</f>
        <v>-1.2184277235563879E-2</v>
      </c>
      <c r="L186" s="6">
        <f>IF(SUMIFS('Industrial Summary'!$G:$G,'Industrial Summary'!$F:$F,L$17,'Industrial Summary'!$D:$D,$E186)&gt;0,(-SUMIFS('Industrial Summary'!$G:$G,'Industrial Summary'!$F:$F,L$17,'Industrial Summary'!$D:$D,$E186,'Industrial Summary'!$A:$A,"DST")/SUMIFS('Industrial Summary'!$G:$G,'Industrial Summary'!$F:$F,L$17,'Industrial Summary'!$D:$D,$E186)),0)*0.98</f>
        <v>-3.3452171466007562E-2</v>
      </c>
      <c r="M186" s="6">
        <f>IF(SUMIFS('Industrial Summary'!$G:$G,'Industrial Summary'!$F:$F,M$17,'Industrial Summary'!$D:$D,$E186)&gt;0,(-SUMIFS('Industrial Summary'!$G:$G,'Industrial Summary'!$F:$F,M$17,'Industrial Summary'!$D:$D,$E186,'Industrial Summary'!$A:$A,"DST")/SUMIFS('Industrial Summary'!$G:$G,'Industrial Summary'!$F:$F,M$17,'Industrial Summary'!$D:$D,$E186)),0)*0.98</f>
        <v>0</v>
      </c>
      <c r="N186" s="6">
        <f>IF(SUMIFS('Industrial Summary'!$G:$G,'Industrial Summary'!$F:$F,N$17,'Industrial Summary'!$D:$D,$E186)&gt;0,(-SUMIFS('Industrial Summary'!$G:$G,'Industrial Summary'!$F:$F,N$17,'Industrial Summary'!$D:$D,$E186,'Industrial Summary'!$A:$A,"DST")/SUMIFS('Industrial Summary'!$G:$G,'Industrial Summary'!$F:$F,N$17,'Industrial Summary'!$D:$D,$E186)),0)*0.98</f>
        <v>-3.5425168945992416E-2</v>
      </c>
      <c r="O186" s="6">
        <f>IF(SUMIFS('Industrial Summary'!$G:$G,'Industrial Summary'!$F:$F,O$17,'Industrial Summary'!$D:$D,$E186)&gt;0,(-SUMIFS('Industrial Summary'!$G:$G,'Industrial Summary'!$F:$F,O$17,'Industrial Summary'!$D:$D,$E186,'Industrial Summary'!$A:$A,"DST")/SUMIFS('Industrial Summary'!$G:$G,'Industrial Summary'!$F:$F,O$17,'Industrial Summary'!$D:$D,$E186)),0)*0.98</f>
        <v>-6.1523870077009921E-2</v>
      </c>
      <c r="P186" s="6">
        <f>IF(SUMIFS('Industrial Summary'!$G:$G,'Industrial Summary'!$F:$F,P$17,'Industrial Summary'!$D:$D,$E186)&gt;0,(-SUMIFS('Industrial Summary'!$G:$G,'Industrial Summary'!$F:$F,P$17,'Industrial Summary'!$D:$D,$E186,'Industrial Summary'!$A:$A,"DST")/SUMIFS('Industrial Summary'!$G:$G,'Industrial Summary'!$F:$F,P$17,'Industrial Summary'!$D:$D,$E186)),0)*0.98</f>
        <v>-6.1523870077006722E-2</v>
      </c>
      <c r="Q186" s="5">
        <v>0</v>
      </c>
      <c r="R186" s="5">
        <v>15</v>
      </c>
      <c r="S186" s="5" t="str">
        <f t="shared" si="33"/>
        <v>UC_ICTFA_DST</v>
      </c>
      <c r="V186" s="4" t="str">
        <f t="shared" si="34"/>
        <v>S_ICTFADST</v>
      </c>
      <c r="W186" s="4" t="str">
        <f t="shared" si="35"/>
        <v>ICTFA_DST</v>
      </c>
      <c r="X186" s="4" t="str">
        <f t="shared" si="36"/>
        <v>ICTFAC</v>
      </c>
      <c r="Y186" s="5" t="str">
        <f t="shared" si="37"/>
        <v>LO</v>
      </c>
      <c r="Z186" s="5">
        <v>1</v>
      </c>
      <c r="AA186" s="6">
        <f t="shared" si="38"/>
        <v>-1.6722265489286164E-2</v>
      </c>
      <c r="AB186" s="6">
        <f t="shared" si="39"/>
        <v>-1.5705054336198187E-2</v>
      </c>
      <c r="AC186" s="6">
        <f t="shared" si="40"/>
        <v>-1.2184277235562278E-2</v>
      </c>
      <c r="AD186" s="6">
        <f t="shared" si="41"/>
        <v>-1.2184277235563879E-2</v>
      </c>
      <c r="AE186" s="6">
        <f t="shared" si="42"/>
        <v>-3.3452171466007562E-2</v>
      </c>
      <c r="AF186" s="6">
        <f t="shared" si="43"/>
        <v>0</v>
      </c>
      <c r="AG186" s="6">
        <f t="shared" si="44"/>
        <v>-3.5425168945992416E-2</v>
      </c>
      <c r="AH186" s="6">
        <f t="shared" si="45"/>
        <v>-6.1523870077009921E-2</v>
      </c>
      <c r="AI186" s="6">
        <f t="shared" si="46"/>
        <v>-6.1523870077006722E-2</v>
      </c>
      <c r="AL186" s="5" t="str">
        <f t="shared" si="47"/>
        <v>DST</v>
      </c>
      <c r="AM186" s="5">
        <f>1</f>
        <v>1</v>
      </c>
    </row>
    <row r="187" spans="1:39" s="5" customFormat="1" x14ac:dyDescent="0.3">
      <c r="C187" s="4" t="s">
        <v>382</v>
      </c>
      <c r="D187" s="5" t="s">
        <v>383</v>
      </c>
      <c r="E187" s="5" t="s">
        <v>730</v>
      </c>
      <c r="F187" s="5" t="s">
        <v>1588</v>
      </c>
      <c r="G187" s="5">
        <v>1</v>
      </c>
      <c r="H187" s="6">
        <f>IF(SUMIFS('Industrial Summary'!$G:$G,'Industrial Summary'!$F:$F,H$17,'Industrial Summary'!$D:$D,$E187)&gt;0,(-SUMIFS('Industrial Summary'!$G:$G,'Industrial Summary'!$F:$F,H$17,'Industrial Summary'!$D:$D,$E187,'Industrial Summary'!$A:$A,"NGA")/SUMIFS('Industrial Summary'!$G:$G,'Industrial Summary'!$F:$F,H$17,'Industrial Summary'!$D:$D,$E187)),0)*0.98</f>
        <v>-0.34039644205840219</v>
      </c>
      <c r="I187" s="6">
        <f>IF(SUMIFS('Industrial Summary'!$G:$G,'Industrial Summary'!$F:$F,I$17,'Industrial Summary'!$D:$D,$E187)&gt;0,(-SUMIFS('Industrial Summary'!$G:$G,'Industrial Summary'!$F:$F,I$17,'Industrial Summary'!$D:$D,$E187,'Industrial Summary'!$A:$A,"NGA")/SUMIFS('Industrial Summary'!$G:$G,'Industrial Summary'!$F:$F,I$17,'Industrial Summary'!$D:$D,$E187)),0)*0.98</f>
        <v>-0.34075589711993565</v>
      </c>
      <c r="J187" s="6">
        <f>IF(SUMIFS('Industrial Summary'!$G:$G,'Industrial Summary'!$F:$F,J$17,'Industrial Summary'!$D:$D,$E187)&gt;0,(-SUMIFS('Industrial Summary'!$G:$G,'Industrial Summary'!$F:$F,J$17,'Industrial Summary'!$D:$D,$E187,'Industrial Summary'!$A:$A,"NGA")/SUMIFS('Industrial Summary'!$G:$G,'Industrial Summary'!$F:$F,J$17,'Industrial Summary'!$D:$D,$E187)),0)*0.98</f>
        <v>-0.26573752966176861</v>
      </c>
      <c r="K187" s="6">
        <f>IF(SUMIFS('Industrial Summary'!$G:$G,'Industrial Summary'!$F:$F,K$17,'Industrial Summary'!$D:$D,$E187)&gt;0,(-SUMIFS('Industrial Summary'!$G:$G,'Industrial Summary'!$F:$F,K$17,'Industrial Summary'!$D:$D,$E187,'Industrial Summary'!$A:$A,"NGA")/SUMIFS('Industrial Summary'!$G:$G,'Industrial Summary'!$F:$F,K$17,'Industrial Summary'!$D:$D,$E187)),0)*0.98</f>
        <v>-0.26573752966176828</v>
      </c>
      <c r="L187" s="6">
        <f>IF(SUMIFS('Industrial Summary'!$G:$G,'Industrial Summary'!$F:$F,L$17,'Industrial Summary'!$D:$D,$E187)&gt;0,(-SUMIFS('Industrial Summary'!$G:$G,'Industrial Summary'!$F:$F,L$17,'Industrial Summary'!$D:$D,$E187,'Industrial Summary'!$A:$A,"NGA")/SUMIFS('Industrial Summary'!$G:$G,'Industrial Summary'!$F:$F,L$17,'Industrial Summary'!$D:$D,$E187)),0)*0.98</f>
        <v>0</v>
      </c>
      <c r="M187" s="6">
        <f>IF(SUMIFS('Industrial Summary'!$G:$G,'Industrial Summary'!$F:$F,M$17,'Industrial Summary'!$D:$D,$E187)&gt;0,(-SUMIFS('Industrial Summary'!$G:$G,'Industrial Summary'!$F:$F,M$17,'Industrial Summary'!$D:$D,$E187,'Industrial Summary'!$A:$A,"NGA")/SUMIFS('Industrial Summary'!$G:$G,'Industrial Summary'!$F:$F,M$17,'Industrial Summary'!$D:$D,$E187)),0)*0.98</f>
        <v>0</v>
      </c>
      <c r="N187" s="6">
        <f>IF(SUMIFS('Industrial Summary'!$G:$G,'Industrial Summary'!$F:$F,N$17,'Industrial Summary'!$D:$D,$E187)&gt;0,(-SUMIFS('Industrial Summary'!$G:$G,'Industrial Summary'!$F:$F,N$17,'Industrial Summary'!$D:$D,$E187,'Industrial Summary'!$A:$A,"NGA")/SUMIFS('Industrial Summary'!$G:$G,'Industrial Summary'!$F:$F,N$17,'Industrial Summary'!$D:$D,$E187)),0)*0.98</f>
        <v>0</v>
      </c>
      <c r="O187" s="6">
        <f>IF(SUMIFS('Industrial Summary'!$G:$G,'Industrial Summary'!$F:$F,O$17,'Industrial Summary'!$D:$D,$E187)&gt;0,(-SUMIFS('Industrial Summary'!$G:$G,'Industrial Summary'!$F:$F,O$17,'Industrial Summary'!$D:$D,$E187,'Industrial Summary'!$A:$A,"NGA")/SUMIFS('Industrial Summary'!$G:$G,'Industrial Summary'!$F:$F,O$17,'Industrial Summary'!$D:$D,$E187)),0)*0.98</f>
        <v>-0.20872876035940449</v>
      </c>
      <c r="P187" s="6">
        <f>IF(SUMIFS('Industrial Summary'!$G:$G,'Industrial Summary'!$F:$F,P$17,'Industrial Summary'!$D:$D,$E187)&gt;0,(-SUMIFS('Industrial Summary'!$G:$G,'Industrial Summary'!$F:$F,P$17,'Industrial Summary'!$D:$D,$E187,'Industrial Summary'!$A:$A,"NGA")/SUMIFS('Industrial Summary'!$G:$G,'Industrial Summary'!$F:$F,P$17,'Industrial Summary'!$D:$D,$E187)),0)*0.98</f>
        <v>-0.2087287603594053</v>
      </c>
      <c r="Q187" s="5">
        <v>0</v>
      </c>
      <c r="R187" s="5">
        <v>15</v>
      </c>
      <c r="S187" s="5" t="str">
        <f t="shared" si="33"/>
        <v>UC_ICTFA_NGA</v>
      </c>
      <c r="V187" s="4" t="str">
        <f t="shared" si="34"/>
        <v>S_ICTFANGA</v>
      </c>
      <c r="W187" s="4" t="str">
        <f t="shared" si="35"/>
        <v>ICTFA_NGA</v>
      </c>
      <c r="X187" s="4" t="str">
        <f t="shared" si="36"/>
        <v>ICTFAC</v>
      </c>
      <c r="Y187" s="5" t="str">
        <f t="shared" si="37"/>
        <v>LO</v>
      </c>
      <c r="Z187" s="5">
        <v>1</v>
      </c>
      <c r="AA187" s="6">
        <f t="shared" si="38"/>
        <v>-0.30635679785256198</v>
      </c>
      <c r="AB187" s="6">
        <f t="shared" si="39"/>
        <v>-0.30668030740794211</v>
      </c>
      <c r="AC187" s="6">
        <f t="shared" si="40"/>
        <v>-0.23916377669559175</v>
      </c>
      <c r="AD187" s="6">
        <f t="shared" si="41"/>
        <v>-0.23916377669559147</v>
      </c>
      <c r="AE187" s="6">
        <f t="shared" si="42"/>
        <v>0</v>
      </c>
      <c r="AF187" s="6">
        <f t="shared" si="43"/>
        <v>0</v>
      </c>
      <c r="AG187" s="6">
        <f t="shared" si="44"/>
        <v>0</v>
      </c>
      <c r="AH187" s="6">
        <f t="shared" si="45"/>
        <v>-0.18785588432346403</v>
      </c>
      <c r="AI187" s="6">
        <f t="shared" si="46"/>
        <v>-0.18785588432346478</v>
      </c>
      <c r="AL187" s="5" t="str">
        <f t="shared" si="47"/>
        <v>NGA</v>
      </c>
      <c r="AM187" s="5">
        <f>Y7</f>
        <v>0.9</v>
      </c>
    </row>
    <row r="188" spans="1:39" s="5" customFormat="1" x14ac:dyDescent="0.3">
      <c r="A188" s="8"/>
      <c r="C188" s="4" t="s">
        <v>384</v>
      </c>
      <c r="D188" s="5" t="s">
        <v>385</v>
      </c>
      <c r="E188" s="5" t="s">
        <v>730</v>
      </c>
      <c r="F188" s="5" t="s">
        <v>1591</v>
      </c>
      <c r="G188" s="5">
        <v>1</v>
      </c>
      <c r="H188" s="6">
        <f>IF(SUMIFS('Industrial Summary'!$G:$G,'Industrial Summary'!$F:$F,H$17,'Industrial Summary'!$D:$D,$E188)&gt;0,(-SUMIFS('Industrial Summary'!$G:$G,'Industrial Summary'!$F:$F,H$17,'Industrial Summary'!$D:$D,$E188,'Industrial Summary'!$A:$A,"COA")/SUMIFS('Industrial Summary'!$G:$G,'Industrial Summary'!$F:$F,H$17,'Industrial Summary'!$D:$D,$E188)),0)*0.98</f>
        <v>-4.4150601617574003E-2</v>
      </c>
      <c r="I188" s="6">
        <f>IF(SUMIFS('Industrial Summary'!$G:$G,'Industrial Summary'!$F:$F,I$17,'Industrial Summary'!$D:$D,$E188)&gt;0,(-SUMIFS('Industrial Summary'!$G:$G,'Industrial Summary'!$F:$F,I$17,'Industrial Summary'!$D:$D,$E188,'Industrial Summary'!$A:$A,"COA")/SUMIFS('Industrial Summary'!$G:$G,'Industrial Summary'!$F:$F,I$17,'Industrial Summary'!$D:$D,$E188)),0)*0.98</f>
        <v>-4.4197224188377793E-2</v>
      </c>
      <c r="J188" s="6">
        <f>IF(SUMIFS('Industrial Summary'!$G:$G,'Industrial Summary'!$F:$F,J$17,'Industrial Summary'!$D:$D,$E188)&gt;0,(-SUMIFS('Industrial Summary'!$G:$G,'Industrial Summary'!$F:$F,J$17,'Industrial Summary'!$D:$D,$E188,'Industrial Summary'!$A:$A,"COA")/SUMIFS('Industrial Summary'!$G:$G,'Industrial Summary'!$F:$F,J$17,'Industrial Summary'!$D:$D,$E188)),0)*0.98</f>
        <v>-2.2707724081448506E-2</v>
      </c>
      <c r="K188" s="6">
        <f>IF(SUMIFS('Industrial Summary'!$G:$G,'Industrial Summary'!$F:$F,K$17,'Industrial Summary'!$D:$D,$E188)&gt;0,(-SUMIFS('Industrial Summary'!$G:$G,'Industrial Summary'!$F:$F,K$17,'Industrial Summary'!$D:$D,$E188,'Industrial Summary'!$A:$A,"COA")/SUMIFS('Industrial Summary'!$G:$G,'Industrial Summary'!$F:$F,K$17,'Industrial Summary'!$D:$D,$E188)),0)*0.98</f>
        <v>-2.2707724081448406E-2</v>
      </c>
      <c r="L188" s="6">
        <f>IF(SUMIFS('Industrial Summary'!$G:$G,'Industrial Summary'!$F:$F,L$17,'Industrial Summary'!$D:$D,$E188)&gt;0,(-SUMIFS('Industrial Summary'!$G:$G,'Industrial Summary'!$F:$F,L$17,'Industrial Summary'!$D:$D,$E188,'Industrial Summary'!$A:$A,"COA")/SUMIFS('Industrial Summary'!$G:$G,'Industrial Summary'!$F:$F,L$17,'Industrial Summary'!$D:$D,$E188)),0)*0.98</f>
        <v>-3.4020256902304764E-2</v>
      </c>
      <c r="M188" s="6">
        <f>IF(SUMIFS('Industrial Summary'!$G:$G,'Industrial Summary'!$F:$F,M$17,'Industrial Summary'!$D:$D,$E188)&gt;0,(-SUMIFS('Industrial Summary'!$G:$G,'Industrial Summary'!$F:$F,M$17,'Industrial Summary'!$D:$D,$E188,'Industrial Summary'!$A:$A,"COA")/SUMIFS('Industrial Summary'!$G:$G,'Industrial Summary'!$F:$F,M$17,'Industrial Summary'!$D:$D,$E188)),0)*0.98</f>
        <v>0</v>
      </c>
      <c r="N188" s="6">
        <f>IF(SUMIFS('Industrial Summary'!$G:$G,'Industrial Summary'!$F:$F,N$17,'Industrial Summary'!$D:$D,$E188)&gt;0,(-SUMIFS('Industrial Summary'!$G:$G,'Industrial Summary'!$F:$F,N$17,'Industrial Summary'!$D:$D,$E188,'Industrial Summary'!$A:$A,"COA")/SUMIFS('Industrial Summary'!$G:$G,'Industrial Summary'!$F:$F,N$17,'Industrial Summary'!$D:$D,$E188)),0)*0.98</f>
        <v>-3.3949344604887521E-2</v>
      </c>
      <c r="O188" s="6">
        <f>IF(SUMIFS('Industrial Summary'!$G:$G,'Industrial Summary'!$F:$F,O$17,'Industrial Summary'!$D:$D,$E188)&gt;0,(-SUMIFS('Industrial Summary'!$G:$G,'Industrial Summary'!$F:$F,O$17,'Industrial Summary'!$D:$D,$E188,'Industrial Summary'!$A:$A,"COA")/SUMIFS('Industrial Summary'!$G:$G,'Industrial Summary'!$F:$F,O$17,'Industrial Summary'!$D:$D,$E188)),0)*0.98</f>
        <v>0</v>
      </c>
      <c r="P188" s="6">
        <f>IF(SUMIFS('Industrial Summary'!$G:$G,'Industrial Summary'!$F:$F,P$17,'Industrial Summary'!$D:$D,$E188)&gt;0,(-SUMIFS('Industrial Summary'!$G:$G,'Industrial Summary'!$F:$F,P$17,'Industrial Summary'!$D:$D,$E188,'Industrial Summary'!$A:$A,"COA")/SUMIFS('Industrial Summary'!$G:$G,'Industrial Summary'!$F:$F,P$17,'Industrial Summary'!$D:$D,$E188)),0)*0.98</f>
        <v>0</v>
      </c>
      <c r="Q188" s="5">
        <v>0</v>
      </c>
      <c r="R188" s="5">
        <v>15</v>
      </c>
      <c r="S188" s="5" t="str">
        <f t="shared" si="33"/>
        <v>UC_ICTFA_COA</v>
      </c>
      <c r="V188" s="4" t="str">
        <f t="shared" si="34"/>
        <v>S_ICTFACOA</v>
      </c>
      <c r="W188" s="4" t="str">
        <f t="shared" si="35"/>
        <v>ICTFA_COA</v>
      </c>
      <c r="X188" s="4" t="str">
        <f t="shared" si="36"/>
        <v>ICTFAC</v>
      </c>
      <c r="Y188" s="5" t="str">
        <f t="shared" si="37"/>
        <v>UP</v>
      </c>
      <c r="Z188" s="5">
        <v>1</v>
      </c>
      <c r="AA188" s="6">
        <f t="shared" si="38"/>
        <v>-2.8256385035247363E-2</v>
      </c>
      <c r="AB188" s="6">
        <f t="shared" si="39"/>
        <v>-2.8286223480561788E-2</v>
      </c>
      <c r="AC188" s="6">
        <f t="shared" si="40"/>
        <v>-1.4532943412127044E-2</v>
      </c>
      <c r="AD188" s="6">
        <f t="shared" si="41"/>
        <v>-1.453294341212698E-2</v>
      </c>
      <c r="AE188" s="6">
        <f t="shared" si="42"/>
        <v>-2.177296441747505E-2</v>
      </c>
      <c r="AF188" s="6">
        <f t="shared" si="43"/>
        <v>0</v>
      </c>
      <c r="AG188" s="6">
        <f t="shared" si="44"/>
        <v>-2.1727580547128013E-2</v>
      </c>
      <c r="AH188" s="6">
        <f t="shared" si="45"/>
        <v>0</v>
      </c>
      <c r="AI188" s="6">
        <f t="shared" si="46"/>
        <v>0</v>
      </c>
      <c r="AL188" s="5" t="str">
        <f t="shared" si="47"/>
        <v>COA</v>
      </c>
      <c r="AM188" s="5">
        <f>Z7</f>
        <v>0.64</v>
      </c>
    </row>
    <row r="189" spans="1:39" s="5" customFormat="1" x14ac:dyDescent="0.3">
      <c r="C189" s="4" t="s">
        <v>386</v>
      </c>
      <c r="D189" s="5" t="s">
        <v>387</v>
      </c>
      <c r="E189" s="5" t="s">
        <v>760</v>
      </c>
      <c r="F189" s="5" t="s">
        <v>1588</v>
      </c>
      <c r="G189" s="5">
        <v>1</v>
      </c>
      <c r="H189" s="6">
        <f>(IF(SUMIFS('Industrial Summary'!$G:$G,'Industrial Summary'!$F:$F,H$17,'Industrial Summary'!$D:$D,$E189)&gt;0,((-SUMIFS('Industrial Summary'!$G:$G,'Industrial Summary'!$F:$F,H$17,'Industrial Summary'!$D:$D,$E189,'Industrial Summary'!$A:$A,"ELC")+-SUMIFS('Industrial Summary'!$G:$G,'Industrial Summary'!$F:$F,H$17,'Industrial Summary'!$D:$D,"ICTRSTM",'Industrial Summary'!$A:$A,"ELC"))/SUMIFS('Industrial Summary'!$G:$G,'Industrial Summary'!$F:$F,H$17,'Industrial Summary'!$D:$D,$E189)),0))*0.98</f>
        <v>-0.19921606616267151</v>
      </c>
      <c r="I189" s="6">
        <f>(IF(SUMIFS('Industrial Summary'!$G:$G,'Industrial Summary'!$F:$F,I$17,'Industrial Summary'!$D:$D,$E189)&gt;0,((-SUMIFS('Industrial Summary'!$G:$G,'Industrial Summary'!$F:$F,I$17,'Industrial Summary'!$D:$D,$E189,'Industrial Summary'!$A:$A,"ELC")+-SUMIFS('Industrial Summary'!$G:$G,'Industrial Summary'!$F:$F,I$17,'Industrial Summary'!$D:$D,"ICTRSTM",'Industrial Summary'!$A:$A,"ELC"))/SUMIFS('Industrial Summary'!$G:$G,'Industrial Summary'!$F:$F,I$17,'Industrial Summary'!$D:$D,$E189)),0))*0.98</f>
        <v>-0.13077126450060295</v>
      </c>
      <c r="J189" s="6">
        <f>(IF(SUMIFS('Industrial Summary'!$G:$G,'Industrial Summary'!$F:$F,J$17,'Industrial Summary'!$D:$D,$E189)&gt;0,((-SUMIFS('Industrial Summary'!$G:$G,'Industrial Summary'!$F:$F,J$17,'Industrial Summary'!$D:$D,$E189,'Industrial Summary'!$A:$A,"ELC")+-SUMIFS('Industrial Summary'!$G:$G,'Industrial Summary'!$F:$F,J$17,'Industrial Summary'!$D:$D,"ICTRSTM",'Industrial Summary'!$A:$A,"ELC"))/SUMIFS('Industrial Summary'!$G:$G,'Industrial Summary'!$F:$F,J$17,'Industrial Summary'!$D:$D,$E189)),0))*0.98</f>
        <v>-6.2203743588259038E-2</v>
      </c>
      <c r="K189" s="6">
        <f>(IF(SUMIFS('Industrial Summary'!$G:$G,'Industrial Summary'!$F:$F,K$17,'Industrial Summary'!$D:$D,$E189)&gt;0,((-SUMIFS('Industrial Summary'!$G:$G,'Industrial Summary'!$F:$F,K$17,'Industrial Summary'!$D:$D,$E189,'Industrial Summary'!$A:$A,"ELC")+-SUMIFS('Industrial Summary'!$G:$G,'Industrial Summary'!$F:$F,K$17,'Industrial Summary'!$D:$D,"ICTRSTM",'Industrial Summary'!$A:$A,"ELC"))/SUMIFS('Industrial Summary'!$G:$G,'Industrial Summary'!$F:$F,K$17,'Industrial Summary'!$D:$D,$E189)),0))*0.98</f>
        <v>-6.3090590045028067E-2</v>
      </c>
      <c r="L189" s="6">
        <f>(IF(SUMIFS('Industrial Summary'!$G:$G,'Industrial Summary'!$F:$F,L$17,'Industrial Summary'!$D:$D,$E189)&gt;0,((-SUMIFS('Industrial Summary'!$G:$G,'Industrial Summary'!$F:$F,L$17,'Industrial Summary'!$D:$D,$E189,'Industrial Summary'!$A:$A,"ELC")+-SUMIFS('Industrial Summary'!$G:$G,'Industrial Summary'!$F:$F,L$17,'Industrial Summary'!$D:$D,"ICTRSTM",'Industrial Summary'!$A:$A,"ELC"))/SUMIFS('Industrial Summary'!$G:$G,'Industrial Summary'!$F:$F,L$17,'Industrial Summary'!$D:$D,$E189)),0))*0.98</f>
        <v>-5.7490418077328888E-2</v>
      </c>
      <c r="M189" s="6">
        <f>(IF(SUMIFS('Industrial Summary'!$G:$G,'Industrial Summary'!$F:$F,M$17,'Industrial Summary'!$D:$D,$E189)&gt;0,((-SUMIFS('Industrial Summary'!$G:$G,'Industrial Summary'!$F:$F,M$17,'Industrial Summary'!$D:$D,$E189,'Industrial Summary'!$A:$A,"ELC")+-SUMIFS('Industrial Summary'!$G:$G,'Industrial Summary'!$F:$F,M$17,'Industrial Summary'!$D:$D,"ICTRSTM",'Industrial Summary'!$A:$A,"ELC"))/SUMIFS('Industrial Summary'!$G:$G,'Industrial Summary'!$F:$F,M$17,'Industrial Summary'!$D:$D,$E189)),0))*0.98</f>
        <v>-8.2166903180003734E-2</v>
      </c>
      <c r="N189" s="6">
        <f>(IF(SUMIFS('Industrial Summary'!$G:$G,'Industrial Summary'!$F:$F,N$17,'Industrial Summary'!$D:$D,$E189)&gt;0,((-SUMIFS('Industrial Summary'!$G:$G,'Industrial Summary'!$F:$F,N$17,'Industrial Summary'!$D:$D,$E189,'Industrial Summary'!$A:$A,"ELC")+-SUMIFS('Industrial Summary'!$G:$G,'Industrial Summary'!$F:$F,N$17,'Industrial Summary'!$D:$D,"ICTRSTM",'Industrial Summary'!$A:$A,"ELC"))/SUMIFS('Industrial Summary'!$G:$G,'Industrial Summary'!$F:$F,N$17,'Industrial Summary'!$D:$D,$E189)),0))*0.98</f>
        <v>-5.7370584248999622E-2</v>
      </c>
      <c r="O189" s="6">
        <f>(IF(SUMIFS('Industrial Summary'!$G:$G,'Industrial Summary'!$F:$F,O$17,'Industrial Summary'!$D:$D,$E189)&gt;0,((-SUMIFS('Industrial Summary'!$G:$G,'Industrial Summary'!$F:$F,O$17,'Industrial Summary'!$D:$D,$E189,'Industrial Summary'!$A:$A,"ELC")+-SUMIFS('Industrial Summary'!$G:$G,'Industrial Summary'!$F:$F,O$17,'Industrial Summary'!$D:$D,"ICTRSTM",'Industrial Summary'!$A:$A,"ELC"))/SUMIFS('Industrial Summary'!$G:$G,'Industrial Summary'!$F:$F,O$17,'Industrial Summary'!$D:$D,$E189)),0))*0.98</f>
        <v>-0.25084142416738903</v>
      </c>
      <c r="P189" s="6">
        <f>(IF(SUMIFS('Industrial Summary'!$G:$G,'Industrial Summary'!$F:$F,P$17,'Industrial Summary'!$D:$D,$E189)&gt;0,((-SUMIFS('Industrial Summary'!$G:$G,'Industrial Summary'!$F:$F,P$17,'Industrial Summary'!$D:$D,$E189,'Industrial Summary'!$A:$A,"ELC")+-SUMIFS('Industrial Summary'!$G:$G,'Industrial Summary'!$F:$F,P$17,'Industrial Summary'!$D:$D,"ICTRSTM",'Industrial Summary'!$A:$A,"ELC"))/SUMIFS('Industrial Summary'!$G:$G,'Industrial Summary'!$F:$F,P$17,'Industrial Summary'!$D:$D,$E189)),0))*0.98</f>
        <v>-0.25084142416738947</v>
      </c>
      <c r="Q189" s="5">
        <v>0</v>
      </c>
      <c r="R189" s="5">
        <v>15</v>
      </c>
      <c r="S189" s="5" t="str">
        <f t="shared" si="33"/>
        <v>UC_ICTOH_ELC</v>
      </c>
      <c r="V189" s="4" t="str">
        <f t="shared" si="34"/>
        <v>S_ICTOHELC</v>
      </c>
      <c r="W189" s="4" t="str">
        <f t="shared" si="35"/>
        <v>ICTOH_ELC</v>
      </c>
      <c r="X189" s="4" t="str">
        <f t="shared" si="36"/>
        <v>ICTOHT</v>
      </c>
      <c r="Y189" s="5" t="str">
        <f t="shared" si="37"/>
        <v>LO</v>
      </c>
      <c r="Z189" s="5">
        <v>1</v>
      </c>
      <c r="AA189" s="6">
        <f t="shared" si="38"/>
        <v>-0.19921606616267151</v>
      </c>
      <c r="AB189" s="6">
        <f t="shared" si="39"/>
        <v>-0.13077126450060295</v>
      </c>
      <c r="AC189" s="6">
        <f t="shared" si="40"/>
        <v>-6.2203743588259038E-2</v>
      </c>
      <c r="AD189" s="6">
        <f t="shared" si="41"/>
        <v>-6.3090590045028067E-2</v>
      </c>
      <c r="AE189" s="6">
        <f t="shared" si="42"/>
        <v>-5.7490418077328888E-2</v>
      </c>
      <c r="AF189" s="6">
        <f t="shared" si="43"/>
        <v>-8.2166903180003734E-2</v>
      </c>
      <c r="AG189" s="6">
        <f t="shared" si="44"/>
        <v>-5.7370584248999622E-2</v>
      </c>
      <c r="AH189" s="6">
        <f t="shared" si="45"/>
        <v>-0.25084142416738903</v>
      </c>
      <c r="AI189" s="6">
        <f t="shared" si="46"/>
        <v>-0.25084142416738947</v>
      </c>
      <c r="AL189" s="5" t="str">
        <f t="shared" si="47"/>
        <v>ELC</v>
      </c>
      <c r="AM189" s="5">
        <f>1</f>
        <v>1</v>
      </c>
    </row>
    <row r="190" spans="1:39" s="5" customFormat="1" x14ac:dyDescent="0.3">
      <c r="C190" s="4" t="s">
        <v>388</v>
      </c>
      <c r="D190" s="5" t="s">
        <v>389</v>
      </c>
      <c r="E190" s="5" t="s">
        <v>760</v>
      </c>
      <c r="F190" s="5" t="s">
        <v>1588</v>
      </c>
      <c r="G190" s="5">
        <v>1</v>
      </c>
      <c r="H190" s="6">
        <f>(IF(SUMIFS('Industrial Summary'!$G:$G,'Industrial Summary'!$F:$F,H$17,'Industrial Summary'!$D:$D,$E190)&gt;0,((-SUMIFS('Industrial Summary'!$G:$G,'Industrial Summary'!$F:$F,H$17,'Industrial Summary'!$D:$D,$E190,'Industrial Summary'!$A:$A,"BIO")+-SUMIFS('Industrial Summary'!$G:$G,'Industrial Summary'!$F:$F,H$17,'Industrial Summary'!$D:$D,"ICTRSTM",'Industrial Summary'!$A:$A,"BIO"))/SUMIFS('Industrial Summary'!$G:$G,'Industrial Summary'!$F:$F,H$17,'Industrial Summary'!$D:$D,$E190)),0))*0.98</f>
        <v>-0.75326527140405275</v>
      </c>
      <c r="I190" s="6">
        <f>(IF(SUMIFS('Industrial Summary'!$G:$G,'Industrial Summary'!$F:$F,I$17,'Industrial Summary'!$D:$D,$E190)&gt;0,((-SUMIFS('Industrial Summary'!$G:$G,'Industrial Summary'!$F:$F,I$17,'Industrial Summary'!$D:$D,$E190,'Industrial Summary'!$A:$A,"BIO")+-SUMIFS('Industrial Summary'!$G:$G,'Industrial Summary'!$F:$F,I$17,'Industrial Summary'!$D:$D,"ICTRSTM",'Industrial Summary'!$A:$A,"BIO"))/SUMIFS('Industrial Summary'!$G:$G,'Industrial Summary'!$F:$F,I$17,'Industrial Summary'!$D:$D,$E190)),0))*0.98</f>
        <v>-0.4944654010257527</v>
      </c>
      <c r="J190" s="6">
        <f>(IF(SUMIFS('Industrial Summary'!$G:$G,'Industrial Summary'!$F:$F,J$17,'Industrial Summary'!$D:$D,$E190)&gt;0,((-SUMIFS('Industrial Summary'!$G:$G,'Industrial Summary'!$F:$F,J$17,'Industrial Summary'!$D:$D,$E190,'Industrial Summary'!$A:$A,"BIO")+-SUMIFS('Industrial Summary'!$G:$G,'Industrial Summary'!$F:$F,J$17,'Industrial Summary'!$D:$D,"ICTRSTM",'Industrial Summary'!$A:$A,"BIO"))/SUMIFS('Industrial Summary'!$G:$G,'Industrial Summary'!$F:$F,J$17,'Industrial Summary'!$D:$D,$E190)),0))*0.98</f>
        <v>-0.55157802903137743</v>
      </c>
      <c r="K190" s="6">
        <f>(IF(SUMIFS('Industrial Summary'!$G:$G,'Industrial Summary'!$F:$F,K$17,'Industrial Summary'!$D:$D,$E190)&gt;0,((-SUMIFS('Industrial Summary'!$G:$G,'Industrial Summary'!$F:$F,K$17,'Industrial Summary'!$D:$D,$E190,'Industrial Summary'!$A:$A,"BIO")+-SUMIFS('Industrial Summary'!$G:$G,'Industrial Summary'!$F:$F,K$17,'Industrial Summary'!$D:$D,"ICTRSTM",'Industrial Summary'!$A:$A,"BIO"))/SUMIFS('Industrial Summary'!$G:$G,'Industrial Summary'!$F:$F,K$17,'Industrial Summary'!$D:$D,$E190)),0))*0.98</f>
        <v>-0.54546996406553827</v>
      </c>
      <c r="L190" s="6">
        <f>(IF(SUMIFS('Industrial Summary'!$G:$G,'Industrial Summary'!$F:$F,L$17,'Industrial Summary'!$D:$D,$E190)&gt;0,((-SUMIFS('Industrial Summary'!$G:$G,'Industrial Summary'!$F:$F,L$17,'Industrial Summary'!$D:$D,$E190,'Industrial Summary'!$A:$A,"BIO")+-SUMIFS('Industrial Summary'!$G:$G,'Industrial Summary'!$F:$F,L$17,'Industrial Summary'!$D:$D,"ICTRSTM",'Industrial Summary'!$A:$A,"BIO"))/SUMIFS('Industrial Summary'!$G:$G,'Industrial Summary'!$F:$F,L$17,'Industrial Summary'!$D:$D,$E190)),0))*0.98</f>
        <v>-0.60197464668199463</v>
      </c>
      <c r="M190" s="6">
        <f>(IF(SUMIFS('Industrial Summary'!$G:$G,'Industrial Summary'!$F:$F,M$17,'Industrial Summary'!$D:$D,$E190)&gt;0,((-SUMIFS('Industrial Summary'!$G:$G,'Industrial Summary'!$F:$F,M$17,'Industrial Summary'!$D:$D,$E190,'Industrial Summary'!$A:$A,"BIO")+-SUMIFS('Industrial Summary'!$G:$G,'Industrial Summary'!$F:$F,M$17,'Industrial Summary'!$D:$D,"ICTRSTM",'Industrial Summary'!$A:$A,"BIO"))/SUMIFS('Industrial Summary'!$G:$G,'Industrial Summary'!$F:$F,M$17,'Industrial Summary'!$D:$D,$E190)),0))*0.98</f>
        <v>-0.8603588939674407</v>
      </c>
      <c r="N190" s="6">
        <f>(IF(SUMIFS('Industrial Summary'!$G:$G,'Industrial Summary'!$F:$F,N$17,'Industrial Summary'!$D:$D,$E190)&gt;0,((-SUMIFS('Industrial Summary'!$G:$G,'Industrial Summary'!$F:$F,N$17,'Industrial Summary'!$D:$D,$E190,'Industrial Summary'!$A:$A,"BIO")+-SUMIFS('Industrial Summary'!$G:$G,'Industrial Summary'!$F:$F,N$17,'Industrial Summary'!$D:$D,"ICTRSTM",'Industrial Summary'!$A:$A,"BIO"))/SUMIFS('Industrial Summary'!$G:$G,'Industrial Summary'!$F:$F,N$17,'Industrial Summary'!$D:$D,$E190)),0))*0.98</f>
        <v>-0.60071988234244944</v>
      </c>
      <c r="O190" s="6">
        <f>(IF(SUMIFS('Industrial Summary'!$G:$G,'Industrial Summary'!$F:$F,O$17,'Industrial Summary'!$D:$D,$E190)&gt;0,((-SUMIFS('Industrial Summary'!$G:$G,'Industrial Summary'!$F:$F,O$17,'Industrial Summary'!$D:$D,$E190,'Industrial Summary'!$A:$A,"BIO")+-SUMIFS('Industrial Summary'!$G:$G,'Industrial Summary'!$F:$F,O$17,'Industrial Summary'!$D:$D,"ICTRSTM",'Industrial Summary'!$A:$A,"BIO"))/SUMIFS('Industrial Summary'!$G:$G,'Industrial Summary'!$F:$F,O$17,'Industrial Summary'!$D:$D,$E190)),0))*0.98</f>
        <v>-0.47423417471896828</v>
      </c>
      <c r="P190" s="6">
        <f>(IF(SUMIFS('Industrial Summary'!$G:$G,'Industrial Summary'!$F:$F,P$17,'Industrial Summary'!$D:$D,$E190)&gt;0,((-SUMIFS('Industrial Summary'!$G:$G,'Industrial Summary'!$F:$F,P$17,'Industrial Summary'!$D:$D,$E190,'Industrial Summary'!$A:$A,"BIO")+-SUMIFS('Industrial Summary'!$G:$G,'Industrial Summary'!$F:$F,P$17,'Industrial Summary'!$D:$D,"ICTRSTM",'Industrial Summary'!$A:$A,"BIO"))/SUMIFS('Industrial Summary'!$G:$G,'Industrial Summary'!$F:$F,P$17,'Industrial Summary'!$D:$D,$E190)),0))*0.98</f>
        <v>-0.47423417471896973</v>
      </c>
      <c r="Q190" s="5">
        <v>0</v>
      </c>
      <c r="R190" s="5">
        <v>15</v>
      </c>
      <c r="S190" s="5" t="str">
        <f t="shared" si="33"/>
        <v>UC_ICTOH_BIO</v>
      </c>
      <c r="V190" s="4" t="str">
        <f t="shared" si="34"/>
        <v>S_ICTOHBIO</v>
      </c>
      <c r="W190" s="4" t="str">
        <f t="shared" si="35"/>
        <v>ICTOH_BIO</v>
      </c>
      <c r="X190" s="4" t="str">
        <f t="shared" si="36"/>
        <v>ICTOHT</v>
      </c>
      <c r="Y190" s="5" t="str">
        <f t="shared" si="37"/>
        <v>LO</v>
      </c>
      <c r="Z190" s="5">
        <v>1</v>
      </c>
      <c r="AA190" s="6">
        <f t="shared" si="38"/>
        <v>-0.75326527140405275</v>
      </c>
      <c r="AB190" s="6">
        <f t="shared" si="39"/>
        <v>-0.4944654010257527</v>
      </c>
      <c r="AC190" s="6">
        <f t="shared" si="40"/>
        <v>-0.55157802903137743</v>
      </c>
      <c r="AD190" s="6">
        <f t="shared" si="41"/>
        <v>-0.54546996406553827</v>
      </c>
      <c r="AE190" s="6">
        <f t="shared" si="42"/>
        <v>-0.60197464668199463</v>
      </c>
      <c r="AF190" s="6">
        <f t="shared" si="43"/>
        <v>-0.8603588939674407</v>
      </c>
      <c r="AG190" s="6">
        <f t="shared" si="44"/>
        <v>-0.60071988234244944</v>
      </c>
      <c r="AH190" s="6">
        <f t="shared" si="45"/>
        <v>-0.47423417471896828</v>
      </c>
      <c r="AI190" s="6">
        <f t="shared" si="46"/>
        <v>-0.47423417471896973</v>
      </c>
      <c r="AL190" s="5" t="str">
        <f t="shared" si="47"/>
        <v>BIO</v>
      </c>
      <c r="AM190" s="5">
        <f>1</f>
        <v>1</v>
      </c>
    </row>
    <row r="191" spans="1:39" s="5" customFormat="1" x14ac:dyDescent="0.3">
      <c r="C191" s="4" t="s">
        <v>390</v>
      </c>
      <c r="D191" s="5" t="s">
        <v>391</v>
      </c>
      <c r="E191" s="5" t="s">
        <v>760</v>
      </c>
      <c r="F191" s="5" t="s">
        <v>1588</v>
      </c>
      <c r="G191" s="5">
        <v>1</v>
      </c>
      <c r="H191" s="6">
        <f>(IF(SUMIFS('Industrial Summary'!$G:$G,'Industrial Summary'!$F:$F,H$17,'Industrial Summary'!$D:$D,$E191)&gt;0,((-SUMIFS('Industrial Summary'!$G:$G,'Industrial Summary'!$F:$F,H$17,'Industrial Summary'!$D:$D,$E191,'Industrial Summary'!$A:$A,"PTC")+-SUMIFS('Industrial Summary'!$G:$G,'Industrial Summary'!$F:$F,H$17,'Industrial Summary'!$D:$D,"ICTRSTM",'Industrial Summary'!$A:$A,"PTC"))/SUMIFS('Industrial Summary'!$G:$G,'Industrial Summary'!$F:$F,H$17,'Industrial Summary'!$D:$D,$E191)),0))*0.98</f>
        <v>0</v>
      </c>
      <c r="I191" s="6">
        <f>(IF(SUMIFS('Industrial Summary'!$G:$G,'Industrial Summary'!$F:$F,I$17,'Industrial Summary'!$D:$D,$E191)&gt;0,((-SUMIFS('Industrial Summary'!$G:$G,'Industrial Summary'!$F:$F,I$17,'Industrial Summary'!$D:$D,$E191,'Industrial Summary'!$A:$A,"PTC")+-SUMIFS('Industrial Summary'!$G:$G,'Industrial Summary'!$F:$F,I$17,'Industrial Summary'!$D:$D,"ICTRSTM",'Industrial Summary'!$A:$A,"PTC"))/SUMIFS('Industrial Summary'!$G:$G,'Industrial Summary'!$F:$F,I$17,'Industrial Summary'!$D:$D,$E191)),0))*0.98</f>
        <v>-0.33669927792899706</v>
      </c>
      <c r="J191" s="6">
        <f>(IF(SUMIFS('Industrial Summary'!$G:$G,'Industrial Summary'!$F:$F,J$17,'Industrial Summary'!$D:$D,$E191)&gt;0,((-SUMIFS('Industrial Summary'!$G:$G,'Industrial Summary'!$F:$F,J$17,'Industrial Summary'!$D:$D,$E191,'Industrial Summary'!$A:$A,"PTC")+-SUMIFS('Industrial Summary'!$G:$G,'Industrial Summary'!$F:$F,J$17,'Industrial Summary'!$D:$D,"ICTRSTM",'Industrial Summary'!$A:$A,"PTC"))/SUMIFS('Industrial Summary'!$G:$G,'Industrial Summary'!$F:$F,J$17,'Industrial Summary'!$D:$D,$E191)),0))*0.98</f>
        <v>-0.34132960998558171</v>
      </c>
      <c r="K191" s="6">
        <f>(IF(SUMIFS('Industrial Summary'!$G:$G,'Industrial Summary'!$F:$F,K$17,'Industrial Summary'!$D:$D,$E191)&gt;0,((-SUMIFS('Industrial Summary'!$G:$G,'Industrial Summary'!$F:$F,K$17,'Industrial Summary'!$D:$D,$E191,'Industrial Summary'!$A:$A,"PTC")+-SUMIFS('Industrial Summary'!$G:$G,'Industrial Summary'!$F:$F,K$17,'Industrial Summary'!$D:$D,"ICTRSTM",'Industrial Summary'!$A:$A,"PTC"))/SUMIFS('Industrial Summary'!$G:$G,'Industrial Summary'!$F:$F,K$17,'Industrial Summary'!$D:$D,$E191)),0))*0.98</f>
        <v>-0.34619598840180221</v>
      </c>
      <c r="L191" s="6">
        <f>(IF(SUMIFS('Industrial Summary'!$G:$G,'Industrial Summary'!$F:$F,L$17,'Industrial Summary'!$D:$D,$E191)&gt;0,((-SUMIFS('Industrial Summary'!$G:$G,'Industrial Summary'!$F:$F,L$17,'Industrial Summary'!$D:$D,$E191,'Industrial Summary'!$A:$A,"PTC")+-SUMIFS('Industrial Summary'!$G:$G,'Industrial Summary'!$F:$F,L$17,'Industrial Summary'!$D:$D,"ICTRSTM",'Industrial Summary'!$A:$A,"PTC"))/SUMIFS('Industrial Summary'!$G:$G,'Industrial Summary'!$F:$F,L$17,'Industrial Summary'!$D:$D,$E191)),0))*0.98</f>
        <v>-0.29854329733527463</v>
      </c>
      <c r="M191" s="6">
        <f>(IF(SUMIFS('Industrial Summary'!$G:$G,'Industrial Summary'!$F:$F,M$17,'Industrial Summary'!$D:$D,$E191)&gt;0,((-SUMIFS('Industrial Summary'!$G:$G,'Industrial Summary'!$F:$F,M$17,'Industrial Summary'!$D:$D,$E191,'Industrial Summary'!$A:$A,"PTC")+-SUMIFS('Industrial Summary'!$G:$G,'Industrial Summary'!$F:$F,M$17,'Industrial Summary'!$D:$D,"ICTRSTM",'Industrial Summary'!$A:$A,"PTC"))/SUMIFS('Industrial Summary'!$G:$G,'Industrial Summary'!$F:$F,M$17,'Industrial Summary'!$D:$D,$E191)),0))*0.98</f>
        <v>-6.0431428085614214E-3</v>
      </c>
      <c r="N191" s="6">
        <f>(IF(SUMIFS('Industrial Summary'!$G:$G,'Industrial Summary'!$F:$F,N$17,'Industrial Summary'!$D:$D,$E191)&gt;0,((-SUMIFS('Industrial Summary'!$G:$G,'Industrial Summary'!$F:$F,N$17,'Industrial Summary'!$D:$D,$E191,'Industrial Summary'!$A:$A,"PTC")+-SUMIFS('Industrial Summary'!$G:$G,'Industrial Summary'!$F:$F,N$17,'Industrial Summary'!$D:$D,"ICTRSTM",'Industrial Summary'!$A:$A,"PTC"))/SUMIFS('Industrial Summary'!$G:$G,'Industrial Summary'!$F:$F,N$17,'Industrial Summary'!$D:$D,$E191)),0))*0.98</f>
        <v>-0.29996373517956076</v>
      </c>
      <c r="O191" s="6">
        <f>(IF(SUMIFS('Industrial Summary'!$G:$G,'Industrial Summary'!$F:$F,O$17,'Industrial Summary'!$D:$D,$E191)&gt;0,((-SUMIFS('Industrial Summary'!$G:$G,'Industrial Summary'!$F:$F,O$17,'Industrial Summary'!$D:$D,$E191,'Industrial Summary'!$A:$A,"PTC")+-SUMIFS('Industrial Summary'!$G:$G,'Industrial Summary'!$F:$F,O$17,'Industrial Summary'!$D:$D,"ICTRSTM",'Industrial Summary'!$A:$A,"PTC"))/SUMIFS('Industrial Summary'!$G:$G,'Industrial Summary'!$F:$F,O$17,'Industrial Summary'!$D:$D,$E191)),0))*0.98</f>
        <v>-0.23759944181465739</v>
      </c>
      <c r="P191" s="6">
        <f>(IF(SUMIFS('Industrial Summary'!$G:$G,'Industrial Summary'!$F:$F,P$17,'Industrial Summary'!$D:$D,$E191)&gt;0,((-SUMIFS('Industrial Summary'!$G:$G,'Industrial Summary'!$F:$F,P$17,'Industrial Summary'!$D:$D,$E191,'Industrial Summary'!$A:$A,"PTC")+-SUMIFS('Industrial Summary'!$G:$G,'Industrial Summary'!$F:$F,P$17,'Industrial Summary'!$D:$D,"ICTRSTM",'Industrial Summary'!$A:$A,"PTC"))/SUMIFS('Industrial Summary'!$G:$G,'Industrial Summary'!$F:$F,P$17,'Industrial Summary'!$D:$D,$E191)),0))*0.98</f>
        <v>-0.23759944181465539</v>
      </c>
      <c r="Q191" s="5">
        <v>0</v>
      </c>
      <c r="R191" s="5">
        <v>15</v>
      </c>
      <c r="S191" s="5" t="str">
        <f t="shared" si="33"/>
        <v>UC_ICTOH_PTC</v>
      </c>
      <c r="V191" s="4" t="str">
        <f t="shared" si="34"/>
        <v>S_ICTOHPTC</v>
      </c>
      <c r="W191" s="4" t="str">
        <f t="shared" si="35"/>
        <v>ICTOH_PTC</v>
      </c>
      <c r="X191" s="4" t="str">
        <f t="shared" si="36"/>
        <v>ICTOHT</v>
      </c>
      <c r="Y191" s="5" t="str">
        <f t="shared" si="37"/>
        <v>LO</v>
      </c>
      <c r="Z191" s="5">
        <v>1</v>
      </c>
      <c r="AA191" s="6">
        <f t="shared" si="38"/>
        <v>0</v>
      </c>
      <c r="AB191" s="6">
        <f t="shared" si="39"/>
        <v>-0.33669927792899706</v>
      </c>
      <c r="AC191" s="6">
        <f t="shared" si="40"/>
        <v>-0.34132960998558171</v>
      </c>
      <c r="AD191" s="6">
        <f t="shared" si="41"/>
        <v>-0.34619598840180221</v>
      </c>
      <c r="AE191" s="6">
        <f t="shared" si="42"/>
        <v>-0.29854329733527463</v>
      </c>
      <c r="AF191" s="6">
        <f t="shared" si="43"/>
        <v>-6.0431428085614214E-3</v>
      </c>
      <c r="AG191" s="6">
        <f t="shared" si="44"/>
        <v>-0.29996373517956076</v>
      </c>
      <c r="AH191" s="6">
        <f t="shared" si="45"/>
        <v>-0.23759944181465739</v>
      </c>
      <c r="AI191" s="6">
        <f t="shared" si="46"/>
        <v>-0.23759944181465539</v>
      </c>
      <c r="AL191" s="5" t="str">
        <f t="shared" si="47"/>
        <v>PTC</v>
      </c>
      <c r="AM191" s="5">
        <f>1</f>
        <v>1</v>
      </c>
    </row>
    <row r="192" spans="1:39" s="5" customFormat="1" x14ac:dyDescent="0.3">
      <c r="A192" s="8"/>
      <c r="C192" s="4" t="s">
        <v>392</v>
      </c>
      <c r="D192" s="5" t="s">
        <v>393</v>
      </c>
      <c r="E192" s="5" t="s">
        <v>760</v>
      </c>
      <c r="F192" s="5" t="s">
        <v>1588</v>
      </c>
      <c r="G192" s="5">
        <v>1</v>
      </c>
      <c r="H192" s="6">
        <f>(IF(SUMIFS('Industrial Summary'!$G:$G,'Industrial Summary'!$F:$F,H$17,'Industrial Summary'!$D:$D,$E192)&gt;0,((-SUMIFS('Industrial Summary'!$G:$G,'Industrial Summary'!$F:$F,H$17,'Industrial Summary'!$D:$D,$E192,'Industrial Summary'!$A:$A,"OTP")+-SUMIFS('Industrial Summary'!$G:$G,'Industrial Summary'!$F:$F,H$17,'Industrial Summary'!$D:$D,"ICTRSTM",'Industrial Summary'!$A:$A,"OTP"))/SUMIFS('Industrial Summary'!$G:$G,'Industrial Summary'!$F:$F,H$17,'Industrial Summary'!$D:$D,$E192)),0))*0.98</f>
        <v>-2.7518662433275599E-2</v>
      </c>
      <c r="I192" s="6">
        <f>(IF(SUMIFS('Industrial Summary'!$G:$G,'Industrial Summary'!$F:$F,I$17,'Industrial Summary'!$D:$D,$E192)&gt;0,((-SUMIFS('Industrial Summary'!$G:$G,'Industrial Summary'!$F:$F,I$17,'Industrial Summary'!$D:$D,$E192,'Industrial Summary'!$A:$A,"OTP")+-SUMIFS('Industrial Summary'!$G:$G,'Industrial Summary'!$F:$F,I$17,'Industrial Summary'!$D:$D,"ICTRSTM",'Industrial Summary'!$A:$A,"OTP"))/SUMIFS('Industrial Summary'!$G:$G,'Industrial Summary'!$F:$F,I$17,'Industrial Summary'!$D:$D,$E192)),0))*0.98</f>
        <v>-1.8064056544647381E-2</v>
      </c>
      <c r="J192" s="6">
        <f>(IF(SUMIFS('Industrial Summary'!$G:$G,'Industrial Summary'!$F:$F,J$17,'Industrial Summary'!$D:$D,$E192)&gt;0,((-SUMIFS('Industrial Summary'!$G:$G,'Industrial Summary'!$F:$F,J$17,'Industrial Summary'!$D:$D,$E192,'Industrial Summary'!$A:$A,"OTP")+-SUMIFS('Industrial Summary'!$G:$G,'Industrial Summary'!$F:$F,J$17,'Industrial Summary'!$D:$D,"ICTRSTM",'Industrial Summary'!$A:$A,"OTP"))/SUMIFS('Industrial Summary'!$G:$G,'Industrial Summary'!$F:$F,J$17,'Industrial Summary'!$D:$D,$E192)),0))*0.98</f>
        <v>-2.4888617394781952E-2</v>
      </c>
      <c r="K192" s="6">
        <f>(IF(SUMIFS('Industrial Summary'!$G:$G,'Industrial Summary'!$F:$F,K$17,'Industrial Summary'!$D:$D,$E192)&gt;0,((-SUMIFS('Industrial Summary'!$G:$G,'Industrial Summary'!$F:$F,K$17,'Industrial Summary'!$D:$D,$E192,'Industrial Summary'!$A:$A,"OTP")+-SUMIFS('Industrial Summary'!$G:$G,'Industrial Summary'!$F:$F,K$17,'Industrial Summary'!$D:$D,"ICTRSTM",'Industrial Summary'!$A:$A,"OTP"))/SUMIFS('Industrial Summary'!$G:$G,'Industrial Summary'!$F:$F,K$17,'Industrial Summary'!$D:$D,$E192)),0))*0.98</f>
        <v>-2.5243457487631463E-2</v>
      </c>
      <c r="L192" s="6">
        <f>(IF(SUMIFS('Industrial Summary'!$G:$G,'Industrial Summary'!$F:$F,L$17,'Industrial Summary'!$D:$D,$E192)&gt;0,((-SUMIFS('Industrial Summary'!$G:$G,'Industrial Summary'!$F:$F,L$17,'Industrial Summary'!$D:$D,$E192,'Industrial Summary'!$A:$A,"OTP")+-SUMIFS('Industrial Summary'!$G:$G,'Industrial Summary'!$F:$F,L$17,'Industrial Summary'!$D:$D,"ICTRSTM",'Industrial Summary'!$A:$A,"OTP"))/SUMIFS('Industrial Summary'!$G:$G,'Industrial Summary'!$F:$F,L$17,'Industrial Summary'!$D:$D,$E192)),0))*0.98</f>
        <v>-2.1991637905401849E-2</v>
      </c>
      <c r="M192" s="6">
        <f>(IF(SUMIFS('Industrial Summary'!$G:$G,'Industrial Summary'!$F:$F,M$17,'Industrial Summary'!$D:$D,$E192)&gt;0,((-SUMIFS('Industrial Summary'!$G:$G,'Industrial Summary'!$F:$F,M$17,'Industrial Summary'!$D:$D,$E192,'Industrial Summary'!$A:$A,"OTP")+-SUMIFS('Industrial Summary'!$G:$G,'Industrial Summary'!$F:$F,M$17,'Industrial Summary'!$D:$D,"ICTRSTM",'Industrial Summary'!$A:$A,"OTP"))/SUMIFS('Industrial Summary'!$G:$G,'Industrial Summary'!$F:$F,M$17,'Industrial Summary'!$D:$D,$E192)),0))*0.98</f>
        <v>-3.1431060043994173E-2</v>
      </c>
      <c r="N192" s="6">
        <f>(IF(SUMIFS('Industrial Summary'!$G:$G,'Industrial Summary'!$F:$F,N$17,'Industrial Summary'!$D:$D,$E192)&gt;0,((-SUMIFS('Industrial Summary'!$G:$G,'Industrial Summary'!$F:$F,N$17,'Industrial Summary'!$D:$D,$E192,'Industrial Summary'!$A:$A,"OTP")+-SUMIFS('Industrial Summary'!$G:$G,'Industrial Summary'!$F:$F,N$17,'Industrial Summary'!$D:$D,"ICTRSTM",'Industrial Summary'!$A:$A,"OTP"))/SUMIFS('Industrial Summary'!$G:$G,'Industrial Summary'!$F:$F,N$17,'Industrial Summary'!$D:$D,$E192)),0))*0.98</f>
        <v>-2.1945798228990235E-2</v>
      </c>
      <c r="O192" s="6">
        <f>(IF(SUMIFS('Industrial Summary'!$G:$G,'Industrial Summary'!$F:$F,O$17,'Industrial Summary'!$D:$D,$E192)&gt;0,((-SUMIFS('Industrial Summary'!$G:$G,'Industrial Summary'!$F:$F,O$17,'Industrial Summary'!$D:$D,$E192,'Industrial Summary'!$A:$A,"OTP")+-SUMIFS('Industrial Summary'!$G:$G,'Industrial Summary'!$F:$F,O$17,'Industrial Summary'!$D:$D,"ICTRSTM",'Industrial Summary'!$A:$A,"OTP"))/SUMIFS('Industrial Summary'!$G:$G,'Industrial Summary'!$F:$F,O$17,'Industrial Summary'!$D:$D,$E192)),0))*0.98</f>
        <v>-1.7324959298985372E-2</v>
      </c>
      <c r="P192" s="6">
        <f>(IF(SUMIFS('Industrial Summary'!$G:$G,'Industrial Summary'!$F:$F,P$17,'Industrial Summary'!$D:$D,$E192)&gt;0,((-SUMIFS('Industrial Summary'!$G:$G,'Industrial Summary'!$F:$F,P$17,'Industrial Summary'!$D:$D,$E192,'Industrial Summary'!$A:$A,"OTP")+-SUMIFS('Industrial Summary'!$G:$G,'Industrial Summary'!$F:$F,P$17,'Industrial Summary'!$D:$D,"ICTRSTM",'Industrial Summary'!$A:$A,"OTP"))/SUMIFS('Industrial Summary'!$G:$G,'Industrial Summary'!$F:$F,P$17,'Industrial Summary'!$D:$D,$E192)),0))*0.98</f>
        <v>-1.7324959298985337E-2</v>
      </c>
      <c r="Q192" s="5">
        <v>0</v>
      </c>
      <c r="R192" s="5">
        <v>15</v>
      </c>
      <c r="S192" s="5" t="str">
        <f t="shared" si="33"/>
        <v>UC_ICTOH_OTP</v>
      </c>
      <c r="V192" s="4" t="str">
        <f t="shared" si="34"/>
        <v>S_ICTOHOTP</v>
      </c>
      <c r="W192" s="4" t="str">
        <f t="shared" si="35"/>
        <v>ICTOH_OTP</v>
      </c>
      <c r="X192" s="4" t="str">
        <f t="shared" si="36"/>
        <v>ICTOHT</v>
      </c>
      <c r="Y192" s="5" t="str">
        <f t="shared" si="37"/>
        <v>LO</v>
      </c>
      <c r="Z192" s="5">
        <v>1</v>
      </c>
      <c r="AA192" s="6">
        <f t="shared" si="38"/>
        <v>-2.7518662433275599E-2</v>
      </c>
      <c r="AB192" s="6">
        <f t="shared" si="39"/>
        <v>-1.8064056544647381E-2</v>
      </c>
      <c r="AC192" s="6">
        <f t="shared" si="40"/>
        <v>-2.4888617394781952E-2</v>
      </c>
      <c r="AD192" s="6">
        <f t="shared" si="41"/>
        <v>-2.5243457487631463E-2</v>
      </c>
      <c r="AE192" s="6">
        <f t="shared" si="42"/>
        <v>-2.1991637905401849E-2</v>
      </c>
      <c r="AF192" s="6">
        <f t="shared" si="43"/>
        <v>-3.1431060043994173E-2</v>
      </c>
      <c r="AG192" s="6">
        <f t="shared" si="44"/>
        <v>-2.1945798228990235E-2</v>
      </c>
      <c r="AH192" s="6">
        <f t="shared" si="45"/>
        <v>-1.7324959298985372E-2</v>
      </c>
      <c r="AI192" s="6">
        <f t="shared" si="46"/>
        <v>-1.7324959298985337E-2</v>
      </c>
      <c r="AL192" s="5" t="str">
        <f t="shared" si="47"/>
        <v>OTP</v>
      </c>
      <c r="AM192" s="5">
        <f>1</f>
        <v>1</v>
      </c>
    </row>
    <row r="193" spans="1:39" s="5" customFormat="1" x14ac:dyDescent="0.3">
      <c r="C193" s="4" t="s">
        <v>395</v>
      </c>
      <c r="D193" s="5" t="s">
        <v>396</v>
      </c>
      <c r="E193" s="5" t="s">
        <v>717</v>
      </c>
      <c r="F193" s="5" t="s">
        <v>1588</v>
      </c>
      <c r="G193" s="5">
        <v>1</v>
      </c>
      <c r="H193" s="6">
        <f>IF(SUMIFS('Industrial Summary'!$G:$G,'Industrial Summary'!$F:$F,H$17,'Industrial Summary'!$D:$D,$E193)&gt;0,(-SUMIFS('Industrial Summary'!$G:$G,'Industrial Summary'!$F:$F,H$17,'Industrial Summary'!$D:$D,$E193,'Industrial Summary'!$A:$A,"PTC")/SUMIFS('Industrial Summary'!$G:$G,'Industrial Summary'!$F:$F,H$17,'Industrial Summary'!$D:$D,$E193)),0)*0.98</f>
        <v>0</v>
      </c>
      <c r="I193" s="6">
        <f>IF(SUMIFS('Industrial Summary'!$G:$G,'Industrial Summary'!$F:$F,I$17,'Industrial Summary'!$D:$D,$E193)&gt;0,(-SUMIFS('Industrial Summary'!$G:$G,'Industrial Summary'!$F:$F,I$17,'Industrial Summary'!$D:$D,$E193,'Industrial Summary'!$A:$A,"PTC")/SUMIFS('Industrial Summary'!$G:$G,'Industrial Summary'!$F:$F,I$17,'Industrial Summary'!$D:$D,$E193)),0)*0.98</f>
        <v>0</v>
      </c>
      <c r="J193" s="6">
        <f>IF(SUMIFS('Industrial Summary'!$G:$G,'Industrial Summary'!$F:$F,J$17,'Industrial Summary'!$D:$D,$E193)&gt;0,(-SUMIFS('Industrial Summary'!$G:$G,'Industrial Summary'!$F:$F,J$17,'Industrial Summary'!$D:$D,$E193,'Industrial Summary'!$A:$A,"PTC")/SUMIFS('Industrial Summary'!$G:$G,'Industrial Summary'!$F:$F,J$17,'Industrial Summary'!$D:$D,$E193)),0)*0.98</f>
        <v>0</v>
      </c>
      <c r="K193" s="6">
        <f>IF(SUMIFS('Industrial Summary'!$G:$G,'Industrial Summary'!$F:$F,K$17,'Industrial Summary'!$D:$D,$E193)&gt;0,(-SUMIFS('Industrial Summary'!$G:$G,'Industrial Summary'!$F:$F,K$17,'Industrial Summary'!$D:$D,$E193,'Industrial Summary'!$A:$A,"PTC")/SUMIFS('Industrial Summary'!$G:$G,'Industrial Summary'!$F:$F,K$17,'Industrial Summary'!$D:$D,$E193)),0)*0.98</f>
        <v>0</v>
      </c>
      <c r="L193" s="6">
        <f>IF(SUMIFS('Industrial Summary'!$G:$G,'Industrial Summary'!$F:$F,L$17,'Industrial Summary'!$D:$D,$E193)&gt;0,(-SUMIFS('Industrial Summary'!$G:$G,'Industrial Summary'!$F:$F,L$17,'Industrial Summary'!$D:$D,$E193,'Industrial Summary'!$A:$A,"PTC")/SUMIFS('Industrial Summary'!$G:$G,'Industrial Summary'!$F:$F,L$17,'Industrial Summary'!$D:$D,$E193)),0)*0.98</f>
        <v>-0.87919055649241173</v>
      </c>
      <c r="M193" s="6">
        <f>IF(SUMIFS('Industrial Summary'!$G:$G,'Industrial Summary'!$F:$F,M$17,'Industrial Summary'!$D:$D,$E193)&gt;0,(-SUMIFS('Industrial Summary'!$G:$G,'Industrial Summary'!$F:$F,M$17,'Industrial Summary'!$D:$D,$E193,'Industrial Summary'!$A:$A,"PTC")/SUMIFS('Industrial Summary'!$G:$G,'Industrial Summary'!$F:$F,M$17,'Industrial Summary'!$D:$D,$E193)),0)*0.98</f>
        <v>-0.87919055649241162</v>
      </c>
      <c r="N193" s="6">
        <f>IF(SUMIFS('Industrial Summary'!$G:$G,'Industrial Summary'!$F:$F,N$17,'Industrial Summary'!$D:$D,$E193)&gt;0,(-SUMIFS('Industrial Summary'!$G:$G,'Industrial Summary'!$F:$F,N$17,'Industrial Summary'!$D:$D,$E193,'Industrial Summary'!$A:$A,"PTC")/SUMIFS('Industrial Summary'!$G:$G,'Industrial Summary'!$F:$F,N$17,'Industrial Summary'!$D:$D,$E193)),0)*0.98</f>
        <v>-0.87919055649241151</v>
      </c>
      <c r="O193" s="6">
        <f>IF(SUMIFS('Industrial Summary'!$G:$G,'Industrial Summary'!$F:$F,O$17,'Industrial Summary'!$D:$D,$E193)&gt;0,(-SUMIFS('Industrial Summary'!$G:$G,'Industrial Summary'!$F:$F,O$17,'Industrial Summary'!$D:$D,$E193,'Industrial Summary'!$A:$A,"PTC")/SUMIFS('Industrial Summary'!$G:$G,'Industrial Summary'!$F:$F,O$17,'Industrial Summary'!$D:$D,$E193)),0)*0.98</f>
        <v>0</v>
      </c>
      <c r="P193" s="6">
        <f>IF(SUMIFS('Industrial Summary'!$G:$G,'Industrial Summary'!$F:$F,P$17,'Industrial Summary'!$D:$D,$E193)&gt;0,(-SUMIFS('Industrial Summary'!$G:$G,'Industrial Summary'!$F:$F,P$17,'Industrial Summary'!$D:$D,$E193,'Industrial Summary'!$A:$A,"PTC")/SUMIFS('Industrial Summary'!$G:$G,'Industrial Summary'!$F:$F,P$17,'Industrial Summary'!$D:$D,$E193)),0)*0.98</f>
        <v>0</v>
      </c>
      <c r="Q193" s="5">
        <v>0</v>
      </c>
      <c r="R193" s="5">
        <v>15</v>
      </c>
      <c r="S193" s="5" t="str">
        <f t="shared" si="33"/>
        <v>UC_INCFS_PTC</v>
      </c>
      <c r="V193" s="4" t="str">
        <f t="shared" si="34"/>
        <v>S_INCFSPTC</v>
      </c>
      <c r="W193" s="4" t="str">
        <f t="shared" si="35"/>
        <v>INCFS_PTC</v>
      </c>
      <c r="X193" s="4" t="str">
        <f t="shared" si="36"/>
        <v>INCFEED</v>
      </c>
      <c r="Y193" s="5" t="str">
        <f t="shared" si="37"/>
        <v>LO</v>
      </c>
      <c r="Z193" s="5">
        <v>1</v>
      </c>
      <c r="AA193" s="6">
        <f t="shared" si="38"/>
        <v>0</v>
      </c>
      <c r="AB193" s="6">
        <f t="shared" si="39"/>
        <v>0</v>
      </c>
      <c r="AC193" s="6">
        <f t="shared" si="40"/>
        <v>0</v>
      </c>
      <c r="AD193" s="6">
        <f t="shared" si="41"/>
        <v>0</v>
      </c>
      <c r="AE193" s="6">
        <f t="shared" si="42"/>
        <v>-0.87919055649241173</v>
      </c>
      <c r="AF193" s="6">
        <f t="shared" si="43"/>
        <v>-0.87919055649241162</v>
      </c>
      <c r="AG193" s="6">
        <f t="shared" si="44"/>
        <v>-0.87919055649241151</v>
      </c>
      <c r="AH193" s="6">
        <f t="shared" si="45"/>
        <v>0</v>
      </c>
      <c r="AI193" s="6">
        <f t="shared" si="46"/>
        <v>0</v>
      </c>
      <c r="AL193" s="5" t="str">
        <f t="shared" si="47"/>
        <v>PTC</v>
      </c>
      <c r="AM193" s="5">
        <f>1</f>
        <v>1</v>
      </c>
    </row>
    <row r="194" spans="1:39" s="5" customFormat="1" x14ac:dyDescent="0.3">
      <c r="A194" s="8"/>
      <c r="C194" s="4" t="s">
        <v>397</v>
      </c>
      <c r="D194" s="5" t="s">
        <v>398</v>
      </c>
      <c r="E194" s="5" t="s">
        <v>717</v>
      </c>
      <c r="F194" s="5" t="s">
        <v>1588</v>
      </c>
      <c r="G194" s="5">
        <v>1</v>
      </c>
      <c r="H194" s="6">
        <f>IF(SUMIFS('Industrial Summary'!$G:$G,'Industrial Summary'!$F:$F,H$17,'Industrial Summary'!$D:$D,$E194)&gt;0,(-SUMIFS('Industrial Summary'!$G:$G,'Industrial Summary'!$F:$F,H$17,'Industrial Summary'!$D:$D,$E194,'Industrial Summary'!$A:$A,"OTP")/SUMIFS('Industrial Summary'!$G:$G,'Industrial Summary'!$F:$F,H$17,'Industrial Summary'!$D:$D,$E194)),0)*0.98</f>
        <v>0</v>
      </c>
      <c r="I194" s="6">
        <f>IF(SUMIFS('Industrial Summary'!$G:$G,'Industrial Summary'!$F:$F,I$17,'Industrial Summary'!$D:$D,$E194)&gt;0,(-SUMIFS('Industrial Summary'!$G:$G,'Industrial Summary'!$F:$F,I$17,'Industrial Summary'!$D:$D,$E194,'Industrial Summary'!$A:$A,"OTP")/SUMIFS('Industrial Summary'!$G:$G,'Industrial Summary'!$F:$F,I$17,'Industrial Summary'!$D:$D,$E194)),0)*0.98</f>
        <v>0</v>
      </c>
      <c r="J194" s="6">
        <f>IF(SUMIFS('Industrial Summary'!$G:$G,'Industrial Summary'!$F:$F,J$17,'Industrial Summary'!$D:$D,$E194)&gt;0,(-SUMIFS('Industrial Summary'!$G:$G,'Industrial Summary'!$F:$F,J$17,'Industrial Summary'!$D:$D,$E194,'Industrial Summary'!$A:$A,"OTP")/SUMIFS('Industrial Summary'!$G:$G,'Industrial Summary'!$F:$F,J$17,'Industrial Summary'!$D:$D,$E194)),0)*0.98</f>
        <v>0</v>
      </c>
      <c r="K194" s="6">
        <f>IF(SUMIFS('Industrial Summary'!$G:$G,'Industrial Summary'!$F:$F,K$17,'Industrial Summary'!$D:$D,$E194)&gt;0,(-SUMIFS('Industrial Summary'!$G:$G,'Industrial Summary'!$F:$F,K$17,'Industrial Summary'!$D:$D,$E194,'Industrial Summary'!$A:$A,"OTP")/SUMIFS('Industrial Summary'!$G:$G,'Industrial Summary'!$F:$F,K$17,'Industrial Summary'!$D:$D,$E194)),0)*0.98</f>
        <v>0</v>
      </c>
      <c r="L194" s="6">
        <f>IF(SUMIFS('Industrial Summary'!$G:$G,'Industrial Summary'!$F:$F,L$17,'Industrial Summary'!$D:$D,$E194)&gt;0,(-SUMIFS('Industrial Summary'!$G:$G,'Industrial Summary'!$F:$F,L$17,'Industrial Summary'!$D:$D,$E194,'Industrial Summary'!$A:$A,"OTP")/SUMIFS('Industrial Summary'!$G:$G,'Industrial Summary'!$F:$F,L$17,'Industrial Summary'!$D:$D,$E194)),0)*0.98</f>
        <v>-0.10080944350758837</v>
      </c>
      <c r="M194" s="6">
        <f>IF(SUMIFS('Industrial Summary'!$G:$G,'Industrial Summary'!$F:$F,M$17,'Industrial Summary'!$D:$D,$E194)&gt;0,(-SUMIFS('Industrial Summary'!$G:$G,'Industrial Summary'!$F:$F,M$17,'Industrial Summary'!$D:$D,$E194,'Industrial Summary'!$A:$A,"OTP")/SUMIFS('Industrial Summary'!$G:$G,'Industrial Summary'!$F:$F,M$17,'Industrial Summary'!$D:$D,$E194)),0)*0.98</f>
        <v>-0.1008094435075884</v>
      </c>
      <c r="N194" s="6">
        <f>IF(SUMIFS('Industrial Summary'!$G:$G,'Industrial Summary'!$F:$F,N$17,'Industrial Summary'!$D:$D,$E194)&gt;0,(-SUMIFS('Industrial Summary'!$G:$G,'Industrial Summary'!$F:$F,N$17,'Industrial Summary'!$D:$D,$E194,'Industrial Summary'!$A:$A,"OTP")/SUMIFS('Industrial Summary'!$G:$G,'Industrial Summary'!$F:$F,N$17,'Industrial Summary'!$D:$D,$E194)),0)*0.98</f>
        <v>-0.10080944350758844</v>
      </c>
      <c r="O194" s="6">
        <f>IF(SUMIFS('Industrial Summary'!$G:$G,'Industrial Summary'!$F:$F,O$17,'Industrial Summary'!$D:$D,$E194)&gt;0,(-SUMIFS('Industrial Summary'!$G:$G,'Industrial Summary'!$F:$F,O$17,'Industrial Summary'!$D:$D,$E194,'Industrial Summary'!$A:$A,"OTP")/SUMIFS('Industrial Summary'!$G:$G,'Industrial Summary'!$F:$F,O$17,'Industrial Summary'!$D:$D,$E194)),0)*0.98</f>
        <v>0</v>
      </c>
      <c r="P194" s="6">
        <f>IF(SUMIFS('Industrial Summary'!$G:$G,'Industrial Summary'!$F:$F,P$17,'Industrial Summary'!$D:$D,$E194)&gt;0,(-SUMIFS('Industrial Summary'!$G:$G,'Industrial Summary'!$F:$F,P$17,'Industrial Summary'!$D:$D,$E194,'Industrial Summary'!$A:$A,"OTP")/SUMIFS('Industrial Summary'!$G:$G,'Industrial Summary'!$F:$F,P$17,'Industrial Summary'!$D:$D,$E194)),0)*0.98</f>
        <v>0</v>
      </c>
      <c r="Q194" s="5">
        <v>0</v>
      </c>
      <c r="R194" s="5">
        <v>15</v>
      </c>
      <c r="S194" s="5" t="str">
        <f t="shared" si="33"/>
        <v>UC_INCFS_OTP</v>
      </c>
      <c r="V194" s="4" t="str">
        <f t="shared" si="34"/>
        <v>S_INCFSOTP</v>
      </c>
      <c r="W194" s="4" t="str">
        <f t="shared" si="35"/>
        <v>INCFS_OTP</v>
      </c>
      <c r="X194" s="4" t="str">
        <f t="shared" si="36"/>
        <v>INCFEED</v>
      </c>
      <c r="Y194" s="5" t="str">
        <f t="shared" si="37"/>
        <v>LO</v>
      </c>
      <c r="Z194" s="5">
        <v>1</v>
      </c>
      <c r="AA194" s="6">
        <f t="shared" si="38"/>
        <v>0</v>
      </c>
      <c r="AB194" s="6">
        <f t="shared" si="39"/>
        <v>0</v>
      </c>
      <c r="AC194" s="6">
        <f t="shared" si="40"/>
        <v>0</v>
      </c>
      <c r="AD194" s="6">
        <f t="shared" si="41"/>
        <v>0</v>
      </c>
      <c r="AE194" s="6">
        <f t="shared" si="42"/>
        <v>-0.10080944350758837</v>
      </c>
      <c r="AF194" s="6">
        <f t="shared" si="43"/>
        <v>-0.1008094435075884</v>
      </c>
      <c r="AG194" s="6">
        <f t="shared" si="44"/>
        <v>-0.10080944350758844</v>
      </c>
      <c r="AH194" s="6">
        <f t="shared" si="45"/>
        <v>0</v>
      </c>
      <c r="AI194" s="6">
        <f t="shared" si="46"/>
        <v>0</v>
      </c>
      <c r="AL194" s="5" t="str">
        <f t="shared" si="47"/>
        <v>OTP</v>
      </c>
      <c r="AM194" s="5">
        <f>1</f>
        <v>1</v>
      </c>
    </row>
    <row r="195" spans="1:39" s="5" customFormat="1" x14ac:dyDescent="0.3">
      <c r="C195" s="4" t="s">
        <v>399</v>
      </c>
      <c r="D195" s="5" t="s">
        <v>400</v>
      </c>
      <c r="E195" s="5" t="s">
        <v>794</v>
      </c>
      <c r="F195" s="5" t="s">
        <v>1588</v>
      </c>
      <c r="G195" s="5">
        <v>1</v>
      </c>
      <c r="H195" s="6">
        <f>IF(SUMIFS('Industrial Summary'!$G:$G,'Industrial Summary'!$F:$F,H$17,'Industrial Summary'!$D:$D,$E195)&gt;0,(-SUMIFS('Industrial Summary'!$G:$G,'Industrial Summary'!$F:$F,H$17,'Industrial Summary'!$D:$D,$E195,'Industrial Summary'!$A:$A,"ELC")/SUMIFS('Industrial Summary'!$G:$G,'Industrial Summary'!$F:$F,H$17,'Industrial Summary'!$D:$D,$E195)),0)*0.98</f>
        <v>-3.6795435202391126E-2</v>
      </c>
      <c r="I195" s="6">
        <f>IF(SUMIFS('Industrial Summary'!$G:$G,'Industrial Summary'!$F:$F,I$17,'Industrial Summary'!$D:$D,$E195)&gt;0,(-SUMIFS('Industrial Summary'!$G:$G,'Industrial Summary'!$F:$F,I$17,'Industrial Summary'!$D:$D,$E195,'Industrial Summary'!$A:$A,"ELC")/SUMIFS('Industrial Summary'!$G:$G,'Industrial Summary'!$F:$F,I$17,'Industrial Summary'!$D:$D,$E195)),0)*0.98</f>
        <v>-3.6795435202391251E-2</v>
      </c>
      <c r="J195" s="6">
        <f>IF(SUMIFS('Industrial Summary'!$G:$G,'Industrial Summary'!$F:$F,J$17,'Industrial Summary'!$D:$D,$E195)&gt;0,(-SUMIFS('Industrial Summary'!$G:$G,'Industrial Summary'!$F:$F,J$17,'Industrial Summary'!$D:$D,$E195,'Industrial Summary'!$A:$A,"ELC")/SUMIFS('Industrial Summary'!$G:$G,'Industrial Summary'!$F:$F,J$17,'Industrial Summary'!$D:$D,$E195)),0)*0.98</f>
        <v>-5.6831322043010432E-2</v>
      </c>
      <c r="K195" s="6">
        <f>IF(SUMIFS('Industrial Summary'!$G:$G,'Industrial Summary'!$F:$F,K$17,'Industrial Summary'!$D:$D,$E195)&gt;0,(-SUMIFS('Industrial Summary'!$G:$G,'Industrial Summary'!$F:$F,K$17,'Industrial Summary'!$D:$D,$E195,'Industrial Summary'!$A:$A,"ELC")/SUMIFS('Industrial Summary'!$G:$G,'Industrial Summary'!$F:$F,K$17,'Industrial Summary'!$D:$D,$E195)),0)*0.98</f>
        <v>-5.6831322043010168E-2</v>
      </c>
      <c r="L195" s="6">
        <f>IF(SUMIFS('Industrial Summary'!$G:$G,'Industrial Summary'!$F:$F,L$17,'Industrial Summary'!$D:$D,$E195)&gt;0,(-SUMIFS('Industrial Summary'!$G:$G,'Industrial Summary'!$F:$F,L$17,'Industrial Summary'!$D:$D,$E195,'Industrial Summary'!$A:$A,"ELC")/SUMIFS('Industrial Summary'!$G:$G,'Industrial Summary'!$F:$F,L$17,'Industrial Summary'!$D:$D,$E195)),0)*0.98</f>
        <v>-4.4138300464045363E-2</v>
      </c>
      <c r="M195" s="6">
        <f>IF(SUMIFS('Industrial Summary'!$G:$G,'Industrial Summary'!$F:$F,M$17,'Industrial Summary'!$D:$D,$E195)&gt;0,(-SUMIFS('Industrial Summary'!$G:$G,'Industrial Summary'!$F:$F,M$17,'Industrial Summary'!$D:$D,$E195,'Industrial Summary'!$A:$A,"ELC")/SUMIFS('Industrial Summary'!$G:$G,'Industrial Summary'!$F:$F,M$17,'Industrial Summary'!$D:$D,$E195)),0)*0.98</f>
        <v>-4.4138300464045301E-2</v>
      </c>
      <c r="N195" s="6">
        <f>IF(SUMIFS('Industrial Summary'!$G:$G,'Industrial Summary'!$F:$F,N$17,'Industrial Summary'!$D:$D,$E195)&gt;0,(-SUMIFS('Industrial Summary'!$G:$G,'Industrial Summary'!$F:$F,N$17,'Industrial Summary'!$D:$D,$E195,'Industrial Summary'!$A:$A,"ELC")/SUMIFS('Industrial Summary'!$G:$G,'Industrial Summary'!$F:$F,N$17,'Industrial Summary'!$D:$D,$E195)),0)*0.98</f>
        <v>-4.4138300464045446E-2</v>
      </c>
      <c r="O195" s="6">
        <f>IF(SUMIFS('Industrial Summary'!$G:$G,'Industrial Summary'!$F:$F,O$17,'Industrial Summary'!$D:$D,$E195)&gt;0,(-SUMIFS('Industrial Summary'!$G:$G,'Industrial Summary'!$F:$F,O$17,'Industrial Summary'!$D:$D,$E195,'Industrial Summary'!$A:$A,"ELC")/SUMIFS('Industrial Summary'!$G:$G,'Industrial Summary'!$F:$F,O$17,'Industrial Summary'!$D:$D,$E195)),0)*0.98</f>
        <v>-3.7519212078914697E-2</v>
      </c>
      <c r="P195" s="6">
        <f>IF(SUMIFS('Industrial Summary'!$G:$G,'Industrial Summary'!$F:$F,P$17,'Industrial Summary'!$D:$D,$E195)&gt;0,(-SUMIFS('Industrial Summary'!$G:$G,'Industrial Summary'!$F:$F,P$17,'Industrial Summary'!$D:$D,$E195,'Industrial Summary'!$A:$A,"ELC")/SUMIFS('Industrial Summary'!$G:$G,'Industrial Summary'!$F:$F,P$17,'Industrial Summary'!$D:$D,$E195)),0)*0.98</f>
        <v>-3.7519212078912824E-2</v>
      </c>
      <c r="Q195" s="5">
        <v>0</v>
      </c>
      <c r="R195" s="5">
        <v>15</v>
      </c>
      <c r="S195" s="5" t="str">
        <f t="shared" si="33"/>
        <v>UC_INCPH_ELC</v>
      </c>
      <c r="V195" s="4" t="str">
        <f t="shared" si="34"/>
        <v>S_INCPHELC</v>
      </c>
      <c r="W195" s="4" t="str">
        <f t="shared" si="35"/>
        <v>INCPH_ELC</v>
      </c>
      <c r="X195" s="4" t="str">
        <f t="shared" si="36"/>
        <v>INCPRH</v>
      </c>
      <c r="Y195" s="5" t="str">
        <f t="shared" si="37"/>
        <v>LO</v>
      </c>
      <c r="Z195" s="5">
        <v>1</v>
      </c>
      <c r="AA195" s="6">
        <f t="shared" si="38"/>
        <v>-3.6795435202391126E-2</v>
      </c>
      <c r="AB195" s="6">
        <f t="shared" si="39"/>
        <v>-3.6795435202391251E-2</v>
      </c>
      <c r="AC195" s="6">
        <f t="shared" si="40"/>
        <v>-5.6831322043010432E-2</v>
      </c>
      <c r="AD195" s="6">
        <f t="shared" si="41"/>
        <v>-5.6831322043010168E-2</v>
      </c>
      <c r="AE195" s="6">
        <f t="shared" si="42"/>
        <v>-4.4138300464045363E-2</v>
      </c>
      <c r="AF195" s="6">
        <f t="shared" si="43"/>
        <v>-4.4138300464045301E-2</v>
      </c>
      <c r="AG195" s="6">
        <f t="shared" si="44"/>
        <v>-4.4138300464045446E-2</v>
      </c>
      <c r="AH195" s="6">
        <f t="shared" si="45"/>
        <v>-3.7519212078914697E-2</v>
      </c>
      <c r="AI195" s="6">
        <f t="shared" si="46"/>
        <v>-3.7519212078912824E-2</v>
      </c>
      <c r="AL195" s="5" t="str">
        <f t="shared" si="47"/>
        <v>ELC</v>
      </c>
      <c r="AM195" s="5">
        <f>1</f>
        <v>1</v>
      </c>
    </row>
    <row r="196" spans="1:39" s="5" customFormat="1" x14ac:dyDescent="0.3">
      <c r="C196" s="4" t="s">
        <v>401</v>
      </c>
      <c r="D196" s="5" t="s">
        <v>402</v>
      </c>
      <c r="E196" s="5" t="s">
        <v>794</v>
      </c>
      <c r="F196" s="5" t="s">
        <v>1588</v>
      </c>
      <c r="G196" s="5">
        <v>1</v>
      </c>
      <c r="H196" s="6">
        <f>IF(SUMIFS('Industrial Summary'!$G:$G,'Industrial Summary'!$F:$F,H$17,'Industrial Summary'!$D:$D,$E196)&gt;0,(-SUMIFS('Industrial Summary'!$G:$G,'Industrial Summary'!$F:$F,H$17,'Industrial Summary'!$D:$D,$E196,'Industrial Summary'!$A:$A,"NGA")/SUMIFS('Industrial Summary'!$G:$G,'Industrial Summary'!$F:$F,H$17,'Industrial Summary'!$D:$D,$E196)),0)*0.98</f>
        <v>0</v>
      </c>
      <c r="I196" s="6">
        <f>IF(SUMIFS('Industrial Summary'!$G:$G,'Industrial Summary'!$F:$F,I$17,'Industrial Summary'!$D:$D,$E196)&gt;0,(-SUMIFS('Industrial Summary'!$G:$G,'Industrial Summary'!$F:$F,I$17,'Industrial Summary'!$D:$D,$E196,'Industrial Summary'!$A:$A,"NGA")/SUMIFS('Industrial Summary'!$G:$G,'Industrial Summary'!$F:$F,I$17,'Industrial Summary'!$D:$D,$E196)),0)*0.98</f>
        <v>0</v>
      </c>
      <c r="J196" s="6">
        <f>IF(SUMIFS('Industrial Summary'!$G:$G,'Industrial Summary'!$F:$F,J$17,'Industrial Summary'!$D:$D,$E196)&gt;0,(-SUMIFS('Industrial Summary'!$G:$G,'Industrial Summary'!$F:$F,J$17,'Industrial Summary'!$D:$D,$E196,'Industrial Summary'!$A:$A,"NGA")/SUMIFS('Industrial Summary'!$G:$G,'Industrial Summary'!$F:$F,J$17,'Industrial Summary'!$D:$D,$E196)),0)*0.98</f>
        <v>-3.7663252012005252E-2</v>
      </c>
      <c r="K196" s="6">
        <f>IF(SUMIFS('Industrial Summary'!$G:$G,'Industrial Summary'!$F:$F,K$17,'Industrial Summary'!$D:$D,$E196)&gt;0,(-SUMIFS('Industrial Summary'!$G:$G,'Industrial Summary'!$F:$F,K$17,'Industrial Summary'!$D:$D,$E196,'Industrial Summary'!$A:$A,"NGA")/SUMIFS('Industrial Summary'!$G:$G,'Industrial Summary'!$F:$F,K$17,'Industrial Summary'!$D:$D,$E196)),0)*0.98</f>
        <v>-3.7663252012006834E-2</v>
      </c>
      <c r="L196" s="6">
        <f>IF(SUMIFS('Industrial Summary'!$G:$G,'Industrial Summary'!$F:$F,L$17,'Industrial Summary'!$D:$D,$E196)&gt;0,(-SUMIFS('Industrial Summary'!$G:$G,'Industrial Summary'!$F:$F,L$17,'Industrial Summary'!$D:$D,$E196,'Industrial Summary'!$A:$A,"NGA")/SUMIFS('Industrial Summary'!$G:$G,'Industrial Summary'!$F:$F,L$17,'Industrial Summary'!$D:$D,$E196)),0)*0.98</f>
        <v>-9.1129153237932831E-2</v>
      </c>
      <c r="M196" s="6">
        <f>IF(SUMIFS('Industrial Summary'!$G:$G,'Industrial Summary'!$F:$F,M$17,'Industrial Summary'!$D:$D,$E196)&gt;0,(-SUMIFS('Industrial Summary'!$G:$G,'Industrial Summary'!$F:$F,M$17,'Industrial Summary'!$D:$D,$E196,'Industrial Summary'!$A:$A,"NGA")/SUMIFS('Industrial Summary'!$G:$G,'Industrial Summary'!$F:$F,M$17,'Industrial Summary'!$D:$D,$E196)),0)*0.98</f>
        <v>-9.1129153237934399E-2</v>
      </c>
      <c r="N196" s="6">
        <f>IF(SUMIFS('Industrial Summary'!$G:$G,'Industrial Summary'!$F:$F,N$17,'Industrial Summary'!$D:$D,$E196)&gt;0,(-SUMIFS('Industrial Summary'!$G:$G,'Industrial Summary'!$F:$F,N$17,'Industrial Summary'!$D:$D,$E196,'Industrial Summary'!$A:$A,"NGA")/SUMIFS('Industrial Summary'!$G:$G,'Industrial Summary'!$F:$F,N$17,'Industrial Summary'!$D:$D,$E196)),0)*0.98</f>
        <v>-9.1129153237934385E-2</v>
      </c>
      <c r="O196" s="6">
        <f>IF(SUMIFS('Industrial Summary'!$G:$G,'Industrial Summary'!$F:$F,O$17,'Industrial Summary'!$D:$D,$E196)&gt;0,(-SUMIFS('Industrial Summary'!$G:$G,'Industrial Summary'!$F:$F,O$17,'Industrial Summary'!$D:$D,$E196,'Industrial Summary'!$A:$A,"NGA")/SUMIFS('Industrial Summary'!$G:$G,'Industrial Summary'!$F:$F,O$17,'Industrial Summary'!$D:$D,$E196)),0)*0.98</f>
        <v>-3.7297096627907859E-2</v>
      </c>
      <c r="P196" s="6">
        <f>IF(SUMIFS('Industrial Summary'!$G:$G,'Industrial Summary'!$F:$F,P$17,'Industrial Summary'!$D:$D,$E196)&gt;0,(-SUMIFS('Industrial Summary'!$G:$G,'Industrial Summary'!$F:$F,P$17,'Industrial Summary'!$D:$D,$E196,'Industrial Summary'!$A:$A,"NGA")/SUMIFS('Industrial Summary'!$G:$G,'Industrial Summary'!$F:$F,P$17,'Industrial Summary'!$D:$D,$E196)),0)*0.98</f>
        <v>-3.7297096627908935E-2</v>
      </c>
      <c r="Q196" s="5">
        <v>0</v>
      </c>
      <c r="R196" s="5">
        <v>15</v>
      </c>
      <c r="S196" s="5" t="str">
        <f t="shared" si="33"/>
        <v>UC_INCPH_NGA</v>
      </c>
      <c r="V196" s="4" t="str">
        <f t="shared" si="34"/>
        <v>S_INCPHNGA</v>
      </c>
      <c r="W196" s="4" t="str">
        <f t="shared" si="35"/>
        <v>INCPH_NGA</v>
      </c>
      <c r="X196" s="4" t="str">
        <f t="shared" si="36"/>
        <v>INCPRH</v>
      </c>
      <c r="Y196" s="5" t="str">
        <f t="shared" si="37"/>
        <v>LO</v>
      </c>
      <c r="Z196" s="5">
        <v>1</v>
      </c>
      <c r="AA196" s="6">
        <f t="shared" si="38"/>
        <v>0</v>
      </c>
      <c r="AB196" s="6">
        <f t="shared" si="39"/>
        <v>0</v>
      </c>
      <c r="AC196" s="6">
        <f t="shared" si="40"/>
        <v>-2.6740908928523727E-2</v>
      </c>
      <c r="AD196" s="6">
        <f t="shared" si="41"/>
        <v>-2.6740908928524851E-2</v>
      </c>
      <c r="AE196" s="6">
        <f t="shared" si="42"/>
        <v>-6.4701698798932311E-2</v>
      </c>
      <c r="AF196" s="6">
        <f t="shared" si="43"/>
        <v>-6.4701698798933421E-2</v>
      </c>
      <c r="AG196" s="6">
        <f t="shared" si="44"/>
        <v>-6.4701698798933407E-2</v>
      </c>
      <c r="AH196" s="6">
        <f t="shared" si="45"/>
        <v>-2.6480938605814578E-2</v>
      </c>
      <c r="AI196" s="6">
        <f t="shared" si="46"/>
        <v>-2.6480938605815341E-2</v>
      </c>
      <c r="AL196" s="5" t="str">
        <f t="shared" si="47"/>
        <v>NGA</v>
      </c>
      <c r="AM196" s="5">
        <f>Y8</f>
        <v>0.71</v>
      </c>
    </row>
    <row r="197" spans="1:39" s="5" customFormat="1" x14ac:dyDescent="0.3">
      <c r="A197" s="8"/>
      <c r="C197" s="4" t="s">
        <v>403</v>
      </c>
      <c r="D197" s="5" t="s">
        <v>404</v>
      </c>
      <c r="E197" s="5" t="s">
        <v>794</v>
      </c>
      <c r="F197" s="5" t="s">
        <v>1591</v>
      </c>
      <c r="G197" s="5">
        <v>1</v>
      </c>
      <c r="H197" s="6">
        <f>IF(SUMIFS('Industrial Summary'!$G:$G,'Industrial Summary'!$F:$F,H$17,'Industrial Summary'!$D:$D,$E197)&gt;0,(-SUMIFS('Industrial Summary'!$G:$G,'Industrial Summary'!$F:$F,H$17,'Industrial Summary'!$D:$D,$E197,'Industrial Summary'!$A:$A,"COA")/SUMIFS('Industrial Summary'!$G:$G,'Industrial Summary'!$F:$F,H$17,'Industrial Summary'!$D:$D,$E197)),0)*0.98</f>
        <v>-0.94320456479760884</v>
      </c>
      <c r="I197" s="6">
        <f>IF(SUMIFS('Industrial Summary'!$G:$G,'Industrial Summary'!$F:$F,I$17,'Industrial Summary'!$D:$D,$E197)&gt;0,(-SUMIFS('Industrial Summary'!$G:$G,'Industrial Summary'!$F:$F,I$17,'Industrial Summary'!$D:$D,$E197,'Industrial Summary'!$A:$A,"COA")/SUMIFS('Industrial Summary'!$G:$G,'Industrial Summary'!$F:$F,I$17,'Industrial Summary'!$D:$D,$E197)),0)*0.98</f>
        <v>-0.94320456479760872</v>
      </c>
      <c r="J197" s="6">
        <f>IF(SUMIFS('Industrial Summary'!$G:$G,'Industrial Summary'!$F:$F,J$17,'Industrial Summary'!$D:$D,$E197)&gt;0,(-SUMIFS('Industrial Summary'!$G:$G,'Industrial Summary'!$F:$F,J$17,'Industrial Summary'!$D:$D,$E197,'Industrial Summary'!$A:$A,"COA")/SUMIFS('Industrial Summary'!$G:$G,'Industrial Summary'!$F:$F,J$17,'Industrial Summary'!$D:$D,$E197)),0)*0.98</f>
        <v>-0.88550542594498427</v>
      </c>
      <c r="K197" s="6">
        <f>IF(SUMIFS('Industrial Summary'!$G:$G,'Industrial Summary'!$F:$F,K$17,'Industrial Summary'!$D:$D,$E197)&gt;0,(-SUMIFS('Industrial Summary'!$G:$G,'Industrial Summary'!$F:$F,K$17,'Industrial Summary'!$D:$D,$E197,'Industrial Summary'!$A:$A,"COA")/SUMIFS('Industrial Summary'!$G:$G,'Industrial Summary'!$F:$F,K$17,'Industrial Summary'!$D:$D,$E197)),0)*0.98</f>
        <v>-0.88550542594498294</v>
      </c>
      <c r="L197" s="6">
        <f>IF(SUMIFS('Industrial Summary'!$G:$G,'Industrial Summary'!$F:$F,L$17,'Industrial Summary'!$D:$D,$E197)&gt;0,(-SUMIFS('Industrial Summary'!$G:$G,'Industrial Summary'!$F:$F,L$17,'Industrial Summary'!$D:$D,$E197,'Industrial Summary'!$A:$A,"COA")/SUMIFS('Industrial Summary'!$G:$G,'Industrial Summary'!$F:$F,L$17,'Industrial Summary'!$D:$D,$E197)),0)*0.98</f>
        <v>-0.84473254629802164</v>
      </c>
      <c r="M197" s="6">
        <f>IF(SUMIFS('Industrial Summary'!$G:$G,'Industrial Summary'!$F:$F,M$17,'Industrial Summary'!$D:$D,$E197)&gt;0,(-SUMIFS('Industrial Summary'!$G:$G,'Industrial Summary'!$F:$F,M$17,'Industrial Summary'!$D:$D,$E197,'Industrial Summary'!$A:$A,"COA")/SUMIFS('Industrial Summary'!$G:$G,'Industrial Summary'!$F:$F,M$17,'Industrial Summary'!$D:$D,$E197)),0)*0.98</f>
        <v>-0.84473254629802019</v>
      </c>
      <c r="N197" s="6">
        <f>IF(SUMIFS('Industrial Summary'!$G:$G,'Industrial Summary'!$F:$F,N$17,'Industrial Summary'!$D:$D,$E197)&gt;0,(-SUMIFS('Industrial Summary'!$G:$G,'Industrial Summary'!$F:$F,N$17,'Industrial Summary'!$D:$D,$E197,'Industrial Summary'!$A:$A,"COA")/SUMIFS('Industrial Summary'!$G:$G,'Industrial Summary'!$F:$F,N$17,'Industrial Summary'!$D:$D,$E197)),0)*0.98</f>
        <v>-0.84473254629802008</v>
      </c>
      <c r="O197" s="6">
        <f>IF(SUMIFS('Industrial Summary'!$G:$G,'Industrial Summary'!$F:$F,O$17,'Industrial Summary'!$D:$D,$E197)&gt;0,(-SUMIFS('Industrial Summary'!$G:$G,'Industrial Summary'!$F:$F,O$17,'Industrial Summary'!$D:$D,$E197,'Industrial Summary'!$A:$A,"COA")/SUMIFS('Industrial Summary'!$G:$G,'Industrial Summary'!$F:$F,O$17,'Industrial Summary'!$D:$D,$E197)),0)*0.98</f>
        <v>-0.90518369129317733</v>
      </c>
      <c r="P197" s="6">
        <f>IF(SUMIFS('Industrial Summary'!$G:$G,'Industrial Summary'!$F:$F,P$17,'Industrial Summary'!$D:$D,$E197)&gt;0,(-SUMIFS('Industrial Summary'!$G:$G,'Industrial Summary'!$F:$F,P$17,'Industrial Summary'!$D:$D,$E197,'Industrial Summary'!$A:$A,"COA")/SUMIFS('Industrial Summary'!$G:$G,'Industrial Summary'!$F:$F,P$17,'Industrial Summary'!$D:$D,$E197)),0)*0.98</f>
        <v>-0.90518369129317822</v>
      </c>
      <c r="Q197" s="5">
        <v>0</v>
      </c>
      <c r="R197" s="5">
        <v>15</v>
      </c>
      <c r="S197" s="5" t="str">
        <f t="shared" si="33"/>
        <v>UC_INCPH_COA</v>
      </c>
      <c r="V197" s="4" t="str">
        <f t="shared" si="34"/>
        <v>S_INCPHCOA</v>
      </c>
      <c r="W197" s="4" t="str">
        <f t="shared" si="35"/>
        <v>INCPH_COA</v>
      </c>
      <c r="X197" s="4" t="str">
        <f t="shared" si="36"/>
        <v>INCPRH</v>
      </c>
      <c r="Y197" s="5" t="str">
        <f t="shared" si="37"/>
        <v>UP</v>
      </c>
      <c r="Z197" s="5">
        <v>1</v>
      </c>
      <c r="AA197" s="6">
        <f t="shared" si="38"/>
        <v>-0.4621702367508283</v>
      </c>
      <c r="AB197" s="6">
        <f t="shared" si="39"/>
        <v>-0.46217023675082824</v>
      </c>
      <c r="AC197" s="6">
        <f t="shared" si="40"/>
        <v>-0.43389765871304231</v>
      </c>
      <c r="AD197" s="6">
        <f t="shared" si="41"/>
        <v>-0.43389765871304165</v>
      </c>
      <c r="AE197" s="6">
        <f t="shared" si="42"/>
        <v>-0.4139189476860306</v>
      </c>
      <c r="AF197" s="6">
        <f t="shared" si="43"/>
        <v>-0.41391894768602988</v>
      </c>
      <c r="AG197" s="6">
        <f t="shared" si="44"/>
        <v>-0.41391894768602983</v>
      </c>
      <c r="AH197" s="6">
        <f t="shared" si="45"/>
        <v>-0.4435400087336569</v>
      </c>
      <c r="AI197" s="6">
        <f t="shared" si="46"/>
        <v>-0.44354000873365734</v>
      </c>
      <c r="AL197" s="5" t="str">
        <f t="shared" si="47"/>
        <v>COA</v>
      </c>
      <c r="AM197" s="5">
        <f>Z8</f>
        <v>0.49</v>
      </c>
    </row>
    <row r="198" spans="1:39" s="5" customFormat="1" x14ac:dyDescent="0.3">
      <c r="C198" s="4" t="s">
        <v>405</v>
      </c>
      <c r="D198" s="5" t="s">
        <v>406</v>
      </c>
      <c r="E198" s="5" t="s">
        <v>731</v>
      </c>
      <c r="F198" s="5" t="s">
        <v>1588</v>
      </c>
      <c r="G198" s="5">
        <v>1</v>
      </c>
      <c r="H198" s="6">
        <f>IF(SUMIFS('Industrial Summary'!$G:$G,'Industrial Summary'!$F:$F,H$17,'Industrial Summary'!$D:$D,$E198)&gt;0,(-SUMIFS('Industrial Summary'!$G:$G,'Industrial Summary'!$F:$F,H$17,'Industrial Summary'!$D:$D,$E198,'Industrial Summary'!$A:$A,"ELC")/SUMIFS('Industrial Summary'!$G:$G,'Industrial Summary'!$F:$F,H$17,'Industrial Summary'!$D:$D,$E198)),0)*0.98</f>
        <v>-0.17873384255142713</v>
      </c>
      <c r="I198" s="6">
        <f>IF(SUMIFS('Industrial Summary'!$G:$G,'Industrial Summary'!$F:$F,I$17,'Industrial Summary'!$D:$D,$E198)&gt;0,(-SUMIFS('Industrial Summary'!$G:$G,'Industrial Summary'!$F:$F,I$17,'Industrial Summary'!$D:$D,$E198,'Industrial Summary'!$A:$A,"ELC")/SUMIFS('Industrial Summary'!$G:$G,'Industrial Summary'!$F:$F,I$17,'Industrial Summary'!$D:$D,$E198)),0)*0.98</f>
        <v>-0.17873384255142677</v>
      </c>
      <c r="J198" s="6">
        <f>IF(SUMIFS('Industrial Summary'!$G:$G,'Industrial Summary'!$F:$F,J$17,'Industrial Summary'!$D:$D,$E198)&gt;0,(-SUMIFS('Industrial Summary'!$G:$G,'Industrial Summary'!$F:$F,J$17,'Industrial Summary'!$D:$D,$E198,'Industrial Summary'!$A:$A,"ELC")/SUMIFS('Industrial Summary'!$G:$G,'Industrial Summary'!$F:$F,J$17,'Industrial Summary'!$D:$D,$E198)),0)*0.98</f>
        <v>-0.39288986414710303</v>
      </c>
      <c r="K198" s="6">
        <f>IF(SUMIFS('Industrial Summary'!$G:$G,'Industrial Summary'!$F:$F,K$17,'Industrial Summary'!$D:$D,$E198)&gt;0,(-SUMIFS('Industrial Summary'!$G:$G,'Industrial Summary'!$F:$F,K$17,'Industrial Summary'!$D:$D,$E198,'Industrial Summary'!$A:$A,"ELC")/SUMIFS('Industrial Summary'!$G:$G,'Industrial Summary'!$F:$F,K$17,'Industrial Summary'!$D:$D,$E198)),0)*0.98</f>
        <v>-0.39288986414709987</v>
      </c>
      <c r="L198" s="6">
        <f>IF(SUMIFS('Industrial Summary'!$G:$G,'Industrial Summary'!$F:$F,L$17,'Industrial Summary'!$D:$D,$E198)&gt;0,(-SUMIFS('Industrial Summary'!$G:$G,'Industrial Summary'!$F:$F,L$17,'Industrial Summary'!$D:$D,$E198,'Industrial Summary'!$A:$A,"ELC")/SUMIFS('Industrial Summary'!$G:$G,'Industrial Summary'!$F:$F,L$17,'Industrial Summary'!$D:$D,$E198)),0)*0.98</f>
        <v>-0.4816810114155235</v>
      </c>
      <c r="M198" s="6">
        <f>IF(SUMIFS('Industrial Summary'!$G:$G,'Industrial Summary'!$F:$F,M$17,'Industrial Summary'!$D:$D,$E198)&gt;0,(-SUMIFS('Industrial Summary'!$G:$G,'Industrial Summary'!$F:$F,M$17,'Industrial Summary'!$D:$D,$E198,'Industrial Summary'!$A:$A,"ELC")/SUMIFS('Industrial Summary'!$G:$G,'Industrial Summary'!$F:$F,M$17,'Industrial Summary'!$D:$D,$E198)),0)*0.98</f>
        <v>-0.48168101141552572</v>
      </c>
      <c r="N198" s="6">
        <f>IF(SUMIFS('Industrial Summary'!$G:$G,'Industrial Summary'!$F:$F,N$17,'Industrial Summary'!$D:$D,$E198)&gt;0,(-SUMIFS('Industrial Summary'!$G:$G,'Industrial Summary'!$F:$F,N$17,'Industrial Summary'!$D:$D,$E198,'Industrial Summary'!$A:$A,"ELC")/SUMIFS('Industrial Summary'!$G:$G,'Industrial Summary'!$F:$F,N$17,'Industrial Summary'!$D:$D,$E198)),0)*0.98</f>
        <v>-0.48168101141552477</v>
      </c>
      <c r="O198" s="6">
        <f>IF(SUMIFS('Industrial Summary'!$G:$G,'Industrial Summary'!$F:$F,O$17,'Industrial Summary'!$D:$D,$E198)&gt;0,(-SUMIFS('Industrial Summary'!$G:$G,'Industrial Summary'!$F:$F,O$17,'Industrial Summary'!$D:$D,$E198,'Industrial Summary'!$A:$A,"ELC")/SUMIFS('Industrial Summary'!$G:$G,'Industrial Summary'!$F:$F,O$17,'Industrial Summary'!$D:$D,$E198)),0)*0.98</f>
        <v>-0.98</v>
      </c>
      <c r="P198" s="6">
        <f>IF(SUMIFS('Industrial Summary'!$G:$G,'Industrial Summary'!$F:$F,P$17,'Industrial Summary'!$D:$D,$E198)&gt;0,(-SUMIFS('Industrial Summary'!$G:$G,'Industrial Summary'!$F:$F,P$17,'Industrial Summary'!$D:$D,$E198,'Industrial Summary'!$A:$A,"ELC")/SUMIFS('Industrial Summary'!$G:$G,'Industrial Summary'!$F:$F,P$17,'Industrial Summary'!$D:$D,$E198)),0)*0.98</f>
        <v>-0.98</v>
      </c>
      <c r="Q198" s="5">
        <v>0</v>
      </c>
      <c r="R198" s="5">
        <v>15</v>
      </c>
      <c r="S198" s="5" t="str">
        <f t="shared" si="33"/>
        <v>UC_INCFA_ELC</v>
      </c>
      <c r="V198" s="4" t="str">
        <f t="shared" si="34"/>
        <v>S_INCFAELC</v>
      </c>
      <c r="W198" s="4" t="str">
        <f t="shared" si="35"/>
        <v>INCFA_ELC</v>
      </c>
      <c r="X198" s="4" t="str">
        <f t="shared" si="36"/>
        <v>INCFAC</v>
      </c>
      <c r="Y198" s="5" t="str">
        <f t="shared" si="37"/>
        <v>LO</v>
      </c>
      <c r="Z198" s="5">
        <v>1</v>
      </c>
      <c r="AA198" s="6">
        <f t="shared" si="38"/>
        <v>-0.17873384255142713</v>
      </c>
      <c r="AB198" s="6">
        <f t="shared" si="39"/>
        <v>-0.17873384255142677</v>
      </c>
      <c r="AC198" s="6">
        <f t="shared" si="40"/>
        <v>-0.39288986414710303</v>
      </c>
      <c r="AD198" s="6">
        <f t="shared" si="41"/>
        <v>-0.39288986414709987</v>
      </c>
      <c r="AE198" s="6">
        <f t="shared" si="42"/>
        <v>-0.4816810114155235</v>
      </c>
      <c r="AF198" s="6">
        <f t="shared" si="43"/>
        <v>-0.48168101141552572</v>
      </c>
      <c r="AG198" s="6">
        <f t="shared" si="44"/>
        <v>-0.48168101141552477</v>
      </c>
      <c r="AH198" s="6">
        <f t="shared" si="45"/>
        <v>-0.98</v>
      </c>
      <c r="AI198" s="6">
        <f t="shared" si="46"/>
        <v>-0.98</v>
      </c>
      <c r="AL198" s="5" t="str">
        <f t="shared" si="47"/>
        <v>ELC</v>
      </c>
      <c r="AM198" s="5">
        <f>1</f>
        <v>1</v>
      </c>
    </row>
    <row r="199" spans="1:39" s="5" customFormat="1" x14ac:dyDescent="0.3">
      <c r="A199" s="8"/>
      <c r="C199" s="4" t="s">
        <v>407</v>
      </c>
      <c r="D199" s="5" t="s">
        <v>408</v>
      </c>
      <c r="E199" s="5" t="s">
        <v>731</v>
      </c>
      <c r="F199" s="5" t="s">
        <v>1588</v>
      </c>
      <c r="G199" s="5">
        <v>1</v>
      </c>
      <c r="H199" s="6">
        <f>IF(SUMIFS('Industrial Summary'!$G:$G,'Industrial Summary'!$F:$F,H$17,'Industrial Summary'!$D:$D,$E199)&gt;0,(-SUMIFS('Industrial Summary'!$G:$G,'Industrial Summary'!$F:$F,H$17,'Industrial Summary'!$D:$D,$E199,'Industrial Summary'!$A:$A,"DST")/SUMIFS('Industrial Summary'!$G:$G,'Industrial Summary'!$F:$F,H$17,'Industrial Summary'!$D:$D,$E199)),0)*0.98</f>
        <v>-0.80126615744857288</v>
      </c>
      <c r="I199" s="6">
        <f>IF(SUMIFS('Industrial Summary'!$G:$G,'Industrial Summary'!$F:$F,I$17,'Industrial Summary'!$D:$D,$E199)&gt;0,(-SUMIFS('Industrial Summary'!$G:$G,'Industrial Summary'!$F:$F,I$17,'Industrial Summary'!$D:$D,$E199,'Industrial Summary'!$A:$A,"DST")/SUMIFS('Industrial Summary'!$G:$G,'Industrial Summary'!$F:$F,I$17,'Industrial Summary'!$D:$D,$E199)),0)*0.98</f>
        <v>-0.80126615744857321</v>
      </c>
      <c r="J199" s="6">
        <f>IF(SUMIFS('Industrial Summary'!$G:$G,'Industrial Summary'!$F:$F,J$17,'Industrial Summary'!$D:$D,$E199)&gt;0,(-SUMIFS('Industrial Summary'!$G:$G,'Industrial Summary'!$F:$F,J$17,'Industrial Summary'!$D:$D,$E199,'Industrial Summary'!$A:$A,"DST")/SUMIFS('Industrial Summary'!$G:$G,'Industrial Summary'!$F:$F,J$17,'Industrial Summary'!$D:$D,$E199)),0)*0.98</f>
        <v>-0.58711013585289684</v>
      </c>
      <c r="K199" s="6">
        <f>IF(SUMIFS('Industrial Summary'!$G:$G,'Industrial Summary'!$F:$F,K$17,'Industrial Summary'!$D:$D,$E199)&gt;0,(-SUMIFS('Industrial Summary'!$G:$G,'Industrial Summary'!$F:$F,K$17,'Industrial Summary'!$D:$D,$E199,'Industrial Summary'!$A:$A,"DST")/SUMIFS('Industrial Summary'!$G:$G,'Industrial Summary'!$F:$F,K$17,'Industrial Summary'!$D:$D,$E199)),0)*0.98</f>
        <v>-0.58711013585290006</v>
      </c>
      <c r="L199" s="6">
        <f>IF(SUMIFS('Industrial Summary'!$G:$G,'Industrial Summary'!$F:$F,L$17,'Industrial Summary'!$D:$D,$E199)&gt;0,(-SUMIFS('Industrial Summary'!$G:$G,'Industrial Summary'!$F:$F,L$17,'Industrial Summary'!$D:$D,$E199,'Industrial Summary'!$A:$A,"DST")/SUMIFS('Industrial Summary'!$G:$G,'Industrial Summary'!$F:$F,L$17,'Industrial Summary'!$D:$D,$E199)),0)*0.98</f>
        <v>-0.49831898858447649</v>
      </c>
      <c r="M199" s="6">
        <f>IF(SUMIFS('Industrial Summary'!$G:$G,'Industrial Summary'!$F:$F,M$17,'Industrial Summary'!$D:$D,$E199)&gt;0,(-SUMIFS('Industrial Summary'!$G:$G,'Industrial Summary'!$F:$F,M$17,'Industrial Summary'!$D:$D,$E199,'Industrial Summary'!$A:$A,"DST")/SUMIFS('Industrial Summary'!$G:$G,'Industrial Summary'!$F:$F,M$17,'Industrial Summary'!$D:$D,$E199)),0)*0.98</f>
        <v>-0.49831898858447421</v>
      </c>
      <c r="N199" s="6">
        <f>IF(SUMIFS('Industrial Summary'!$G:$G,'Industrial Summary'!$F:$F,N$17,'Industrial Summary'!$D:$D,$E199)&gt;0,(-SUMIFS('Industrial Summary'!$G:$G,'Industrial Summary'!$F:$F,N$17,'Industrial Summary'!$D:$D,$E199,'Industrial Summary'!$A:$A,"DST")/SUMIFS('Industrial Summary'!$G:$G,'Industrial Summary'!$F:$F,N$17,'Industrial Summary'!$D:$D,$E199)),0)*0.98</f>
        <v>-0.49831898858447532</v>
      </c>
      <c r="O199" s="6">
        <f>IF(SUMIFS('Industrial Summary'!$G:$G,'Industrial Summary'!$F:$F,O$17,'Industrial Summary'!$D:$D,$E199)&gt;0,(-SUMIFS('Industrial Summary'!$G:$G,'Industrial Summary'!$F:$F,O$17,'Industrial Summary'!$D:$D,$E199,'Industrial Summary'!$A:$A,"DST")/SUMIFS('Industrial Summary'!$G:$G,'Industrial Summary'!$F:$F,O$17,'Industrial Summary'!$D:$D,$E199)),0)*0.98</f>
        <v>0</v>
      </c>
      <c r="P199" s="6">
        <f>IF(SUMIFS('Industrial Summary'!$G:$G,'Industrial Summary'!$F:$F,P$17,'Industrial Summary'!$D:$D,$E199)&gt;0,(-SUMIFS('Industrial Summary'!$G:$G,'Industrial Summary'!$F:$F,P$17,'Industrial Summary'!$D:$D,$E199,'Industrial Summary'!$A:$A,"DST")/SUMIFS('Industrial Summary'!$G:$G,'Industrial Summary'!$F:$F,P$17,'Industrial Summary'!$D:$D,$E199)),0)*0.98</f>
        <v>0</v>
      </c>
      <c r="Q199" s="5">
        <v>0</v>
      </c>
      <c r="R199" s="5">
        <v>15</v>
      </c>
      <c r="S199" s="5" t="str">
        <f t="shared" si="33"/>
        <v>UC_INCFA_DST</v>
      </c>
      <c r="V199" s="4" t="str">
        <f t="shared" si="34"/>
        <v>S_INCFADST</v>
      </c>
      <c r="W199" s="4" t="str">
        <f t="shared" si="35"/>
        <v>INCFA_DST</v>
      </c>
      <c r="X199" s="4" t="str">
        <f t="shared" si="36"/>
        <v>INCFAC</v>
      </c>
      <c r="Y199" s="5" t="str">
        <f t="shared" si="37"/>
        <v>LO</v>
      </c>
      <c r="Z199" s="5">
        <v>1</v>
      </c>
      <c r="AA199" s="6">
        <f t="shared" si="38"/>
        <v>-0.80126615744857288</v>
      </c>
      <c r="AB199" s="6">
        <f t="shared" si="39"/>
        <v>-0.80126615744857321</v>
      </c>
      <c r="AC199" s="6">
        <f t="shared" si="40"/>
        <v>-0.58711013585289684</v>
      </c>
      <c r="AD199" s="6">
        <f t="shared" si="41"/>
        <v>-0.58711013585290006</v>
      </c>
      <c r="AE199" s="6">
        <f t="shared" si="42"/>
        <v>-0.49831898858447649</v>
      </c>
      <c r="AF199" s="6">
        <f t="shared" si="43"/>
        <v>-0.49831898858447421</v>
      </c>
      <c r="AG199" s="6">
        <f t="shared" si="44"/>
        <v>-0.49831898858447532</v>
      </c>
      <c r="AH199" s="6">
        <f t="shared" si="45"/>
        <v>0</v>
      </c>
      <c r="AI199" s="6">
        <f t="shared" si="46"/>
        <v>0</v>
      </c>
      <c r="AL199" s="5" t="str">
        <f t="shared" si="47"/>
        <v>DST</v>
      </c>
      <c r="AM199" s="5">
        <f>1</f>
        <v>1</v>
      </c>
    </row>
    <row r="200" spans="1:39" s="5" customFormat="1" x14ac:dyDescent="0.3">
      <c r="C200" s="4" t="s">
        <v>409</v>
      </c>
      <c r="D200" s="5" t="s">
        <v>410</v>
      </c>
      <c r="E200" s="5" t="s">
        <v>761</v>
      </c>
      <c r="F200" s="5" t="s">
        <v>1588</v>
      </c>
      <c r="G200" s="5">
        <v>1</v>
      </c>
      <c r="H200" s="6">
        <f>(IF(SUMIFS('Industrial Summary'!$G:$G,'Industrial Summary'!$F:$F,H$17,'Industrial Summary'!$D:$D,$E200)&gt;0,((-SUMIFS('Industrial Summary'!$G:$G,'Industrial Summary'!$F:$F,H$17,'Industrial Summary'!$D:$D,$E200,'Industrial Summary'!$A:$A,"PTC")+-SUMIFS('Industrial Summary'!$G:$G,'Industrial Summary'!$F:$F,H$17,'Industrial Summary'!$D:$D,"INCRSTM",'Industrial Summary'!$A:$A,"PTC"))/SUMIFS('Industrial Summary'!$G:$G,'Industrial Summary'!$F:$F,H$17,'Industrial Summary'!$D:$D,$E200)),0))*0.98</f>
        <v>0</v>
      </c>
      <c r="I200" s="6">
        <f>(IF(SUMIFS('Industrial Summary'!$G:$G,'Industrial Summary'!$F:$F,I$17,'Industrial Summary'!$D:$D,$E200)&gt;0,((-SUMIFS('Industrial Summary'!$G:$G,'Industrial Summary'!$F:$F,I$17,'Industrial Summary'!$D:$D,$E200,'Industrial Summary'!$A:$A,"PTC")+-SUMIFS('Industrial Summary'!$G:$G,'Industrial Summary'!$F:$F,I$17,'Industrial Summary'!$D:$D,"INCRSTM",'Industrial Summary'!$A:$A,"PTC"))/SUMIFS('Industrial Summary'!$G:$G,'Industrial Summary'!$F:$F,I$17,'Industrial Summary'!$D:$D,$E200)),0))*0.98</f>
        <v>-0.9039698815366326</v>
      </c>
      <c r="J200" s="6">
        <f>(IF(SUMIFS('Industrial Summary'!$G:$G,'Industrial Summary'!$F:$F,J$17,'Industrial Summary'!$D:$D,$E200)&gt;0,((-SUMIFS('Industrial Summary'!$G:$G,'Industrial Summary'!$F:$F,J$17,'Industrial Summary'!$D:$D,$E200,'Industrial Summary'!$A:$A,"PTC")+-SUMIFS('Industrial Summary'!$G:$G,'Industrial Summary'!$F:$F,J$17,'Industrial Summary'!$D:$D,"INCRSTM",'Industrial Summary'!$A:$A,"PTC"))/SUMIFS('Industrial Summary'!$G:$G,'Industrial Summary'!$F:$F,J$17,'Industrial Summary'!$D:$D,$E200)),0))*0.98</f>
        <v>-0.87919055649241173</v>
      </c>
      <c r="K200" s="6">
        <f>(IF(SUMIFS('Industrial Summary'!$G:$G,'Industrial Summary'!$F:$F,K$17,'Industrial Summary'!$D:$D,$E200)&gt;0,((-SUMIFS('Industrial Summary'!$G:$G,'Industrial Summary'!$F:$F,K$17,'Industrial Summary'!$D:$D,$E200,'Industrial Summary'!$A:$A,"PTC")+-SUMIFS('Industrial Summary'!$G:$G,'Industrial Summary'!$F:$F,K$17,'Industrial Summary'!$D:$D,"INCRSTM",'Industrial Summary'!$A:$A,"PTC"))/SUMIFS('Industrial Summary'!$G:$G,'Industrial Summary'!$F:$F,K$17,'Industrial Summary'!$D:$D,$E200)),0))*0.98</f>
        <v>-0.87919055649241096</v>
      </c>
      <c r="L200" s="6">
        <f>(IF(SUMIFS('Industrial Summary'!$G:$G,'Industrial Summary'!$F:$F,L$17,'Industrial Summary'!$D:$D,$E200)&gt;0,((-SUMIFS('Industrial Summary'!$G:$G,'Industrial Summary'!$F:$F,L$17,'Industrial Summary'!$D:$D,$E200,'Industrial Summary'!$A:$A,"PTC")+-SUMIFS('Industrial Summary'!$G:$G,'Industrial Summary'!$F:$F,L$17,'Industrial Summary'!$D:$D,"INCRSTM",'Industrial Summary'!$A:$A,"PTC"))/SUMIFS('Industrial Summary'!$G:$G,'Industrial Summary'!$F:$F,L$17,'Industrial Summary'!$D:$D,$E200)),0))*0.98</f>
        <v>-0.87919055649241118</v>
      </c>
      <c r="M200" s="6">
        <f>(IF(SUMIFS('Industrial Summary'!$G:$G,'Industrial Summary'!$F:$F,M$17,'Industrial Summary'!$D:$D,$E200)&gt;0,((-SUMIFS('Industrial Summary'!$G:$G,'Industrial Summary'!$F:$F,M$17,'Industrial Summary'!$D:$D,$E200,'Industrial Summary'!$A:$A,"PTC")+-SUMIFS('Industrial Summary'!$G:$G,'Industrial Summary'!$F:$F,M$17,'Industrial Summary'!$D:$D,"INCRSTM",'Industrial Summary'!$A:$A,"PTC"))/SUMIFS('Industrial Summary'!$G:$G,'Industrial Summary'!$F:$F,M$17,'Industrial Summary'!$D:$D,$E200)),0))*0.98</f>
        <v>-0.87919055649241129</v>
      </c>
      <c r="N200" s="6">
        <f>(IF(SUMIFS('Industrial Summary'!$G:$G,'Industrial Summary'!$F:$F,N$17,'Industrial Summary'!$D:$D,$E200)&gt;0,((-SUMIFS('Industrial Summary'!$G:$G,'Industrial Summary'!$F:$F,N$17,'Industrial Summary'!$D:$D,$E200,'Industrial Summary'!$A:$A,"PTC")+-SUMIFS('Industrial Summary'!$G:$G,'Industrial Summary'!$F:$F,N$17,'Industrial Summary'!$D:$D,"INCRSTM",'Industrial Summary'!$A:$A,"PTC"))/SUMIFS('Industrial Summary'!$G:$G,'Industrial Summary'!$F:$F,N$17,'Industrial Summary'!$D:$D,$E200)),0))*0.98</f>
        <v>-0.8791905564924114</v>
      </c>
      <c r="O200" s="6">
        <f>(IF(SUMIFS('Industrial Summary'!$G:$G,'Industrial Summary'!$F:$F,O$17,'Industrial Summary'!$D:$D,$E200)&gt;0,((-SUMIFS('Industrial Summary'!$G:$G,'Industrial Summary'!$F:$F,O$17,'Industrial Summary'!$D:$D,$E200,'Industrial Summary'!$A:$A,"PTC")+-SUMIFS('Industrial Summary'!$G:$G,'Industrial Summary'!$F:$F,O$17,'Industrial Summary'!$D:$D,"INCRSTM",'Industrial Summary'!$A:$A,"PTC"))/SUMIFS('Industrial Summary'!$G:$G,'Industrial Summary'!$F:$F,O$17,'Industrial Summary'!$D:$D,$E200)),0))*0.98</f>
        <v>-0.87919055649241218</v>
      </c>
      <c r="P200" s="6">
        <f>(IF(SUMIFS('Industrial Summary'!$G:$G,'Industrial Summary'!$F:$F,P$17,'Industrial Summary'!$D:$D,$E200)&gt;0,((-SUMIFS('Industrial Summary'!$G:$G,'Industrial Summary'!$F:$F,P$17,'Industrial Summary'!$D:$D,$E200,'Industrial Summary'!$A:$A,"PTC")+-SUMIFS('Industrial Summary'!$G:$G,'Industrial Summary'!$F:$F,P$17,'Industrial Summary'!$D:$D,"INCRSTM",'Industrial Summary'!$A:$A,"PTC"))/SUMIFS('Industrial Summary'!$G:$G,'Industrial Summary'!$F:$F,P$17,'Industrial Summary'!$D:$D,$E200)),0))*0.98</f>
        <v>-0.87919055649241185</v>
      </c>
      <c r="Q200" s="5">
        <v>0</v>
      </c>
      <c r="R200" s="5">
        <v>15</v>
      </c>
      <c r="S200" s="5" t="str">
        <f t="shared" si="33"/>
        <v>UC_INCOH_PTC</v>
      </c>
      <c r="V200" s="4" t="str">
        <f t="shared" si="34"/>
        <v>S_INCOHPTC</v>
      </c>
      <c r="W200" s="4" t="str">
        <f t="shared" si="35"/>
        <v>INCOH_PTC</v>
      </c>
      <c r="X200" s="4" t="str">
        <f t="shared" si="36"/>
        <v>INCOHT</v>
      </c>
      <c r="Y200" s="5" t="str">
        <f t="shared" si="37"/>
        <v>LO</v>
      </c>
      <c r="Z200" s="5">
        <v>1</v>
      </c>
      <c r="AA200" s="6">
        <f t="shared" si="38"/>
        <v>0</v>
      </c>
      <c r="AB200" s="6">
        <f t="shared" si="39"/>
        <v>-0.9039698815366326</v>
      </c>
      <c r="AC200" s="6">
        <f t="shared" si="40"/>
        <v>-0.87919055649241173</v>
      </c>
      <c r="AD200" s="6">
        <f t="shared" si="41"/>
        <v>-0.87919055649241096</v>
      </c>
      <c r="AE200" s="6">
        <f t="shared" si="42"/>
        <v>-0.87919055649241118</v>
      </c>
      <c r="AF200" s="6">
        <f t="shared" si="43"/>
        <v>-0.87919055649241129</v>
      </c>
      <c r="AG200" s="6">
        <f t="shared" si="44"/>
        <v>-0.8791905564924114</v>
      </c>
      <c r="AH200" s="6">
        <f t="shared" si="45"/>
        <v>-0.87919055649241218</v>
      </c>
      <c r="AI200" s="6">
        <f t="shared" si="46"/>
        <v>-0.87919055649241185</v>
      </c>
      <c r="AL200" s="5" t="str">
        <f t="shared" si="47"/>
        <v>PTC</v>
      </c>
      <c r="AM200" s="5">
        <f>1</f>
        <v>1</v>
      </c>
    </row>
    <row r="201" spans="1:39" s="5" customFormat="1" x14ac:dyDescent="0.3">
      <c r="A201" s="8"/>
      <c r="C201" s="4" t="s">
        <v>411</v>
      </c>
      <c r="D201" s="5" t="s">
        <v>412</v>
      </c>
      <c r="E201" s="5" t="s">
        <v>761</v>
      </c>
      <c r="F201" s="5" t="s">
        <v>1588</v>
      </c>
      <c r="G201" s="5">
        <v>1</v>
      </c>
      <c r="H201" s="6">
        <f>(IF(SUMIFS('Industrial Summary'!$G:$G,'Industrial Summary'!$F:$F,H$17,'Industrial Summary'!$D:$D,$E201)&gt;0,((-SUMIFS('Industrial Summary'!$G:$G,'Industrial Summary'!$F:$F,H$17,'Industrial Summary'!$D:$D,$E201,'Industrial Summary'!$A:$A,"OTP")+-SUMIFS('Industrial Summary'!$G:$G,'Industrial Summary'!$F:$F,H$17,'Industrial Summary'!$D:$D,"INCRSTM",'Industrial Summary'!$A:$A,"OTP"))/SUMIFS('Industrial Summary'!$G:$G,'Industrial Summary'!$F:$F,H$17,'Industrial Summary'!$D:$D,$E201)),0))*0.98</f>
        <v>-0.98</v>
      </c>
      <c r="I201" s="6">
        <f>(IF(SUMIFS('Industrial Summary'!$G:$G,'Industrial Summary'!$F:$F,I$17,'Industrial Summary'!$D:$D,$E201)&gt;0,((-SUMIFS('Industrial Summary'!$G:$G,'Industrial Summary'!$F:$F,I$17,'Industrial Summary'!$D:$D,$E201,'Industrial Summary'!$A:$A,"OTP")+-SUMIFS('Industrial Summary'!$G:$G,'Industrial Summary'!$F:$F,I$17,'Industrial Summary'!$D:$D,"INCRSTM",'Industrial Summary'!$A:$A,"OTP"))/SUMIFS('Industrial Summary'!$G:$G,'Industrial Summary'!$F:$F,I$17,'Industrial Summary'!$D:$D,$E201)),0))*0.98</f>
        <v>-7.6030118463367477E-2</v>
      </c>
      <c r="J201" s="6">
        <f>(IF(SUMIFS('Industrial Summary'!$G:$G,'Industrial Summary'!$F:$F,J$17,'Industrial Summary'!$D:$D,$E201)&gt;0,((-SUMIFS('Industrial Summary'!$G:$G,'Industrial Summary'!$F:$F,J$17,'Industrial Summary'!$D:$D,$E201,'Industrial Summary'!$A:$A,"OTP")+-SUMIFS('Industrial Summary'!$G:$G,'Industrial Summary'!$F:$F,J$17,'Industrial Summary'!$D:$D,"INCRSTM",'Industrial Summary'!$A:$A,"OTP"))/SUMIFS('Industrial Summary'!$G:$G,'Industrial Summary'!$F:$F,J$17,'Industrial Summary'!$D:$D,$E201)),0))*0.98</f>
        <v>-0.10080944350758829</v>
      </c>
      <c r="K201" s="6">
        <f>(IF(SUMIFS('Industrial Summary'!$G:$G,'Industrial Summary'!$F:$F,K$17,'Industrial Summary'!$D:$D,$E201)&gt;0,((-SUMIFS('Industrial Summary'!$G:$G,'Industrial Summary'!$F:$F,K$17,'Industrial Summary'!$D:$D,$E201,'Industrial Summary'!$A:$A,"OTP")+-SUMIFS('Industrial Summary'!$G:$G,'Industrial Summary'!$F:$F,K$17,'Industrial Summary'!$D:$D,"INCRSTM",'Industrial Summary'!$A:$A,"OTP"))/SUMIFS('Industrial Summary'!$G:$G,'Industrial Summary'!$F:$F,K$17,'Industrial Summary'!$D:$D,$E201)),0))*0.98</f>
        <v>-0.10080944350758897</v>
      </c>
      <c r="L201" s="6">
        <f>(IF(SUMIFS('Industrial Summary'!$G:$G,'Industrial Summary'!$F:$F,L$17,'Industrial Summary'!$D:$D,$E201)&gt;0,((-SUMIFS('Industrial Summary'!$G:$G,'Industrial Summary'!$F:$F,L$17,'Industrial Summary'!$D:$D,$E201,'Industrial Summary'!$A:$A,"OTP")+-SUMIFS('Industrial Summary'!$G:$G,'Industrial Summary'!$F:$F,L$17,'Industrial Summary'!$D:$D,"INCRSTM",'Industrial Summary'!$A:$A,"OTP"))/SUMIFS('Industrial Summary'!$G:$G,'Industrial Summary'!$F:$F,L$17,'Industrial Summary'!$D:$D,$E201)),0))*0.98</f>
        <v>-0.10080944350758886</v>
      </c>
      <c r="M201" s="6">
        <f>(IF(SUMIFS('Industrial Summary'!$G:$G,'Industrial Summary'!$F:$F,M$17,'Industrial Summary'!$D:$D,$E201)&gt;0,((-SUMIFS('Industrial Summary'!$G:$G,'Industrial Summary'!$F:$F,M$17,'Industrial Summary'!$D:$D,$E201,'Industrial Summary'!$A:$A,"OTP")+-SUMIFS('Industrial Summary'!$G:$G,'Industrial Summary'!$F:$F,M$17,'Industrial Summary'!$D:$D,"INCRSTM",'Industrial Summary'!$A:$A,"OTP"))/SUMIFS('Industrial Summary'!$G:$G,'Industrial Summary'!$F:$F,M$17,'Industrial Summary'!$D:$D,$E201)),0))*0.98</f>
        <v>-0.10080944350758876</v>
      </c>
      <c r="N201" s="6">
        <f>(IF(SUMIFS('Industrial Summary'!$G:$G,'Industrial Summary'!$F:$F,N$17,'Industrial Summary'!$D:$D,$E201)&gt;0,((-SUMIFS('Industrial Summary'!$G:$G,'Industrial Summary'!$F:$F,N$17,'Industrial Summary'!$D:$D,$E201,'Industrial Summary'!$A:$A,"OTP")+-SUMIFS('Industrial Summary'!$G:$G,'Industrial Summary'!$F:$F,N$17,'Industrial Summary'!$D:$D,"INCRSTM",'Industrial Summary'!$A:$A,"OTP"))/SUMIFS('Industrial Summary'!$G:$G,'Industrial Summary'!$F:$F,N$17,'Industrial Summary'!$D:$D,$E201)),0))*0.98</f>
        <v>-0.10080944350758858</v>
      </c>
      <c r="O201" s="6">
        <f>(IF(SUMIFS('Industrial Summary'!$G:$G,'Industrial Summary'!$F:$F,O$17,'Industrial Summary'!$D:$D,$E201)&gt;0,((-SUMIFS('Industrial Summary'!$G:$G,'Industrial Summary'!$F:$F,O$17,'Industrial Summary'!$D:$D,$E201,'Industrial Summary'!$A:$A,"OTP")+-SUMIFS('Industrial Summary'!$G:$G,'Industrial Summary'!$F:$F,O$17,'Industrial Summary'!$D:$D,"INCRSTM",'Industrial Summary'!$A:$A,"OTP"))/SUMIFS('Industrial Summary'!$G:$G,'Industrial Summary'!$F:$F,O$17,'Industrial Summary'!$D:$D,$E201)),0))*0.98</f>
        <v>-0.1008094435075879</v>
      </c>
      <c r="P201" s="6">
        <f>(IF(SUMIFS('Industrial Summary'!$G:$G,'Industrial Summary'!$F:$F,P$17,'Industrial Summary'!$D:$D,$E201)&gt;0,((-SUMIFS('Industrial Summary'!$G:$G,'Industrial Summary'!$F:$F,P$17,'Industrial Summary'!$D:$D,$E201,'Industrial Summary'!$A:$A,"OTP")+-SUMIFS('Industrial Summary'!$G:$G,'Industrial Summary'!$F:$F,P$17,'Industrial Summary'!$D:$D,"INCRSTM",'Industrial Summary'!$A:$A,"OTP"))/SUMIFS('Industrial Summary'!$G:$G,'Industrial Summary'!$F:$F,P$17,'Industrial Summary'!$D:$D,$E201)),0))*0.98</f>
        <v>-0.10080944350758808</v>
      </c>
      <c r="Q201" s="5">
        <v>0</v>
      </c>
      <c r="R201" s="5">
        <v>15</v>
      </c>
      <c r="S201" s="5" t="str">
        <f t="shared" si="33"/>
        <v>UC_INCOH_OTP</v>
      </c>
      <c r="V201" s="4" t="str">
        <f t="shared" si="34"/>
        <v>S_INCOHOTP</v>
      </c>
      <c r="W201" s="4" t="str">
        <f t="shared" si="35"/>
        <v>INCOH_OTP</v>
      </c>
      <c r="X201" s="4" t="str">
        <f t="shared" si="36"/>
        <v>INCOHT</v>
      </c>
      <c r="Y201" s="5" t="str">
        <f t="shared" si="37"/>
        <v>LO</v>
      </c>
      <c r="Z201" s="5">
        <v>1</v>
      </c>
      <c r="AA201" s="6">
        <f t="shared" si="38"/>
        <v>-0.98</v>
      </c>
      <c r="AB201" s="6">
        <f t="shared" si="39"/>
        <v>-7.6030118463367477E-2</v>
      </c>
      <c r="AC201" s="6">
        <f t="shared" si="40"/>
        <v>-0.10080944350758829</v>
      </c>
      <c r="AD201" s="6">
        <f t="shared" si="41"/>
        <v>-0.10080944350758897</v>
      </c>
      <c r="AE201" s="6">
        <f t="shared" si="42"/>
        <v>-0.10080944350758886</v>
      </c>
      <c r="AF201" s="6">
        <f t="shared" si="43"/>
        <v>-0.10080944350758876</v>
      </c>
      <c r="AG201" s="6">
        <f t="shared" si="44"/>
        <v>-0.10080944350758858</v>
      </c>
      <c r="AH201" s="6">
        <f t="shared" si="45"/>
        <v>-0.1008094435075879</v>
      </c>
      <c r="AI201" s="6">
        <f t="shared" si="46"/>
        <v>-0.10080944350758808</v>
      </c>
      <c r="AL201" s="5" t="str">
        <f t="shared" si="47"/>
        <v>OTP</v>
      </c>
      <c r="AM201" s="5">
        <f>1</f>
        <v>1</v>
      </c>
    </row>
    <row r="202" spans="1:39" s="5" customFormat="1" x14ac:dyDescent="0.3">
      <c r="C202" s="4" t="s">
        <v>414</v>
      </c>
      <c r="D202" s="5" t="s">
        <v>415</v>
      </c>
      <c r="E202" s="5" t="s">
        <v>795</v>
      </c>
      <c r="F202" s="5" t="s">
        <v>1588</v>
      </c>
      <c r="G202" s="5">
        <v>1</v>
      </c>
      <c r="H202" s="6">
        <f>IF(SUMIFS('Industrial Summary'!$G:$G,'Industrial Summary'!$F:$F,H$17,'Industrial Summary'!$D:$D,$E202)&gt;0,(-SUMIFS('Industrial Summary'!$G:$G,'Industrial Summary'!$F:$F,H$17,'Industrial Summary'!$D:$D,$E202,'Industrial Summary'!$A:$A,"ELC")/SUMIFS('Industrial Summary'!$G:$G,'Industrial Summary'!$F:$F,H$17,'Industrial Summary'!$D:$D,$E202)),0)*0.98</f>
        <v>-9.4718924907453997E-2</v>
      </c>
      <c r="I202" s="6">
        <f>IF(SUMIFS('Industrial Summary'!$G:$G,'Industrial Summary'!$F:$F,I$17,'Industrial Summary'!$D:$D,$E202)&gt;0,(-SUMIFS('Industrial Summary'!$G:$G,'Industrial Summary'!$F:$F,I$17,'Industrial Summary'!$D:$D,$E202,'Industrial Summary'!$A:$A,"ELC")/SUMIFS('Industrial Summary'!$G:$G,'Industrial Summary'!$F:$F,I$17,'Industrial Summary'!$D:$D,$E202)),0)*0.98</f>
        <v>-9.4718924907456273E-2</v>
      </c>
      <c r="J202" s="6">
        <f>IF(SUMIFS('Industrial Summary'!$G:$G,'Industrial Summary'!$F:$F,J$17,'Industrial Summary'!$D:$D,$E202)&gt;0,(-SUMIFS('Industrial Summary'!$G:$G,'Industrial Summary'!$F:$F,J$17,'Industrial Summary'!$D:$D,$E202,'Industrial Summary'!$A:$A,"ELC")/SUMIFS('Industrial Summary'!$G:$G,'Industrial Summary'!$F:$F,J$17,'Industrial Summary'!$D:$D,$E202)),0)*0.98</f>
        <v>-0.11692752014837315</v>
      </c>
      <c r="K202" s="6">
        <f>IF(SUMIFS('Industrial Summary'!$G:$G,'Industrial Summary'!$F:$F,K$17,'Industrial Summary'!$D:$D,$E202)&gt;0,(-SUMIFS('Industrial Summary'!$G:$G,'Industrial Summary'!$F:$F,K$17,'Industrial Summary'!$D:$D,$E202,'Industrial Summary'!$A:$A,"ELC")/SUMIFS('Industrial Summary'!$G:$G,'Industrial Summary'!$F:$F,K$17,'Industrial Summary'!$D:$D,$E202)),0)*0.98</f>
        <v>-0.116927520148373</v>
      </c>
      <c r="L202" s="6">
        <f>IF(SUMIFS('Industrial Summary'!$G:$G,'Industrial Summary'!$F:$F,L$17,'Industrial Summary'!$D:$D,$E202)&gt;0,(-SUMIFS('Industrial Summary'!$G:$G,'Industrial Summary'!$F:$F,L$17,'Industrial Summary'!$D:$D,$E202,'Industrial Summary'!$A:$A,"ELC")/SUMIFS('Industrial Summary'!$G:$G,'Industrial Summary'!$F:$F,L$17,'Industrial Summary'!$D:$D,$E202)),0)*0.98</f>
        <v>-0.11278870930487697</v>
      </c>
      <c r="M202" s="6">
        <f>IF(SUMIFS('Industrial Summary'!$G:$G,'Industrial Summary'!$F:$F,M$17,'Industrial Summary'!$D:$D,$E202)&gt;0,(-SUMIFS('Industrial Summary'!$G:$G,'Industrial Summary'!$F:$F,M$17,'Industrial Summary'!$D:$D,$E202,'Industrial Summary'!$A:$A,"ELC")/SUMIFS('Industrial Summary'!$G:$G,'Industrial Summary'!$F:$F,M$17,'Industrial Summary'!$D:$D,$E202)),0)*0.98</f>
        <v>-0.11278870930487699</v>
      </c>
      <c r="N202" s="6">
        <f>IF(SUMIFS('Industrial Summary'!$G:$G,'Industrial Summary'!$F:$F,N$17,'Industrial Summary'!$D:$D,$E202)&gt;0,(-SUMIFS('Industrial Summary'!$G:$G,'Industrial Summary'!$F:$F,N$17,'Industrial Summary'!$D:$D,$E202,'Industrial Summary'!$A:$A,"ELC")/SUMIFS('Industrial Summary'!$G:$G,'Industrial Summary'!$F:$F,N$17,'Industrial Summary'!$D:$D,$E202)),0)*0.98</f>
        <v>-0.11278870930487708</v>
      </c>
      <c r="O202" s="6">
        <f>IF(SUMIFS('Industrial Summary'!$G:$G,'Industrial Summary'!$F:$F,O$17,'Industrial Summary'!$D:$D,$E202)&gt;0,(-SUMIFS('Industrial Summary'!$G:$G,'Industrial Summary'!$F:$F,O$17,'Industrial Summary'!$D:$D,$E202,'Industrial Summary'!$A:$A,"ELC")/SUMIFS('Industrial Summary'!$G:$G,'Industrial Summary'!$F:$F,O$17,'Industrial Summary'!$D:$D,$E202)),0)*0.98</f>
        <v>-0.11966484955349393</v>
      </c>
      <c r="P202" s="6">
        <f>IF(SUMIFS('Industrial Summary'!$G:$G,'Industrial Summary'!$F:$F,P$17,'Industrial Summary'!$D:$D,$E202)&gt;0,(-SUMIFS('Industrial Summary'!$G:$G,'Industrial Summary'!$F:$F,P$17,'Industrial Summary'!$D:$D,$E202,'Industrial Summary'!$A:$A,"ELC")/SUMIFS('Industrial Summary'!$G:$G,'Industrial Summary'!$F:$F,P$17,'Industrial Summary'!$D:$D,$E202)),0)*0.98</f>
        <v>-0.11966484955349503</v>
      </c>
      <c r="Q202" s="5">
        <v>0</v>
      </c>
      <c r="R202" s="5">
        <v>15</v>
      </c>
      <c r="S202" s="5" t="str">
        <f t="shared" si="33"/>
        <v>UC_INGPH_ELC</v>
      </c>
      <c r="V202" s="4" t="str">
        <f t="shared" si="34"/>
        <v>S_INGPHELC</v>
      </c>
      <c r="W202" s="4" t="str">
        <f t="shared" si="35"/>
        <v>INGPH_ELC</v>
      </c>
      <c r="X202" s="4" t="str">
        <f t="shared" si="36"/>
        <v>INGPRH</v>
      </c>
      <c r="Y202" s="5" t="str">
        <f t="shared" si="37"/>
        <v>LO</v>
      </c>
      <c r="Z202" s="5">
        <v>1</v>
      </c>
      <c r="AA202" s="6">
        <f t="shared" si="38"/>
        <v>-9.4718924907453997E-2</v>
      </c>
      <c r="AB202" s="6">
        <f t="shared" si="39"/>
        <v>-9.4718924907456273E-2</v>
      </c>
      <c r="AC202" s="6">
        <f t="shared" si="40"/>
        <v>-0.11692752014837315</v>
      </c>
      <c r="AD202" s="6">
        <f t="shared" si="41"/>
        <v>-0.116927520148373</v>
      </c>
      <c r="AE202" s="6">
        <f t="shared" si="42"/>
        <v>-0.11278870930487697</v>
      </c>
      <c r="AF202" s="6">
        <f t="shared" si="43"/>
        <v>-0.11278870930487699</v>
      </c>
      <c r="AG202" s="6">
        <f t="shared" si="44"/>
        <v>-0.11278870930487708</v>
      </c>
      <c r="AH202" s="6">
        <f t="shared" si="45"/>
        <v>-0.11966484955349393</v>
      </c>
      <c r="AI202" s="6">
        <f t="shared" si="46"/>
        <v>-0.11966484955349503</v>
      </c>
      <c r="AL202" s="5" t="str">
        <f t="shared" si="47"/>
        <v>ELC</v>
      </c>
      <c r="AM202" s="5">
        <f>1</f>
        <v>1</v>
      </c>
    </row>
    <row r="203" spans="1:39" s="5" customFormat="1" x14ac:dyDescent="0.3">
      <c r="A203" s="8"/>
      <c r="C203" s="4" t="s">
        <v>416</v>
      </c>
      <c r="D203" s="5" t="s">
        <v>417</v>
      </c>
      <c r="E203" s="5" t="s">
        <v>795</v>
      </c>
      <c r="F203" s="5" t="s">
        <v>1588</v>
      </c>
      <c r="G203" s="5">
        <v>1</v>
      </c>
      <c r="H203" s="6">
        <f>IF(SUMIFS('Industrial Summary'!$G:$G,'Industrial Summary'!$F:$F,H$17,'Industrial Summary'!$D:$D,$E203)&gt;0,(-SUMIFS('Industrial Summary'!$G:$G,'Industrial Summary'!$F:$F,H$17,'Industrial Summary'!$D:$D,$E203,'Industrial Summary'!$A:$A,"NGA")/SUMIFS('Industrial Summary'!$G:$G,'Industrial Summary'!$F:$F,H$17,'Industrial Summary'!$D:$D,$E203)),0)*0.98</f>
        <v>-0.88528107509254594</v>
      </c>
      <c r="I203" s="6">
        <f>IF(SUMIFS('Industrial Summary'!$G:$G,'Industrial Summary'!$F:$F,I$17,'Industrial Summary'!$D:$D,$E203)&gt;0,(-SUMIFS('Industrial Summary'!$G:$G,'Industrial Summary'!$F:$F,I$17,'Industrial Summary'!$D:$D,$E203,'Industrial Summary'!$A:$A,"NGA")/SUMIFS('Industrial Summary'!$G:$G,'Industrial Summary'!$F:$F,I$17,'Industrial Summary'!$D:$D,$E203)),0)*0.98</f>
        <v>-0.88528107509254361</v>
      </c>
      <c r="J203" s="6">
        <f>IF(SUMIFS('Industrial Summary'!$G:$G,'Industrial Summary'!$F:$F,J$17,'Industrial Summary'!$D:$D,$E203)&gt;0,(-SUMIFS('Industrial Summary'!$G:$G,'Industrial Summary'!$F:$F,J$17,'Industrial Summary'!$D:$D,$E203,'Industrial Summary'!$A:$A,"NGA")/SUMIFS('Industrial Summary'!$G:$G,'Industrial Summary'!$F:$F,J$17,'Industrial Summary'!$D:$D,$E203)),0)*0.98</f>
        <v>-0.86307247985162694</v>
      </c>
      <c r="K203" s="6">
        <f>IF(SUMIFS('Industrial Summary'!$G:$G,'Industrial Summary'!$F:$F,K$17,'Industrial Summary'!$D:$D,$E203)&gt;0,(-SUMIFS('Industrial Summary'!$G:$G,'Industrial Summary'!$F:$F,K$17,'Industrial Summary'!$D:$D,$E203,'Industrial Summary'!$A:$A,"NGA")/SUMIFS('Industrial Summary'!$G:$G,'Industrial Summary'!$F:$F,K$17,'Industrial Summary'!$D:$D,$E203)),0)*0.98</f>
        <v>-0.86307247985162694</v>
      </c>
      <c r="L203" s="6">
        <f>IF(SUMIFS('Industrial Summary'!$G:$G,'Industrial Summary'!$F:$F,L$17,'Industrial Summary'!$D:$D,$E203)&gt;0,(-SUMIFS('Industrial Summary'!$G:$G,'Industrial Summary'!$F:$F,L$17,'Industrial Summary'!$D:$D,$E203,'Industrial Summary'!$A:$A,"NGA")/SUMIFS('Industrial Summary'!$G:$G,'Industrial Summary'!$F:$F,L$17,'Industrial Summary'!$D:$D,$E203)),0)*0.98</f>
        <v>-0.86721129069512282</v>
      </c>
      <c r="M203" s="6">
        <f>IF(SUMIFS('Industrial Summary'!$G:$G,'Industrial Summary'!$F:$F,M$17,'Industrial Summary'!$D:$D,$E203)&gt;0,(-SUMIFS('Industrial Summary'!$G:$G,'Industrial Summary'!$F:$F,M$17,'Industrial Summary'!$D:$D,$E203,'Industrial Summary'!$A:$A,"NGA")/SUMIFS('Industrial Summary'!$G:$G,'Industrial Summary'!$F:$F,M$17,'Industrial Summary'!$D:$D,$E203)),0)*0.98</f>
        <v>-0.86721129069512293</v>
      </c>
      <c r="N203" s="6">
        <f>IF(SUMIFS('Industrial Summary'!$G:$G,'Industrial Summary'!$F:$F,N$17,'Industrial Summary'!$D:$D,$E203)&gt;0,(-SUMIFS('Industrial Summary'!$G:$G,'Industrial Summary'!$F:$F,N$17,'Industrial Summary'!$D:$D,$E203,'Industrial Summary'!$A:$A,"NGA")/SUMIFS('Industrial Summary'!$G:$G,'Industrial Summary'!$F:$F,N$17,'Industrial Summary'!$D:$D,$E203)),0)*0.98</f>
        <v>-0.86721129069512282</v>
      </c>
      <c r="O203" s="6">
        <f>IF(SUMIFS('Industrial Summary'!$G:$G,'Industrial Summary'!$F:$F,O$17,'Industrial Summary'!$D:$D,$E203)&gt;0,(-SUMIFS('Industrial Summary'!$G:$G,'Industrial Summary'!$F:$F,O$17,'Industrial Summary'!$D:$D,$E203,'Industrial Summary'!$A:$A,"NGA")/SUMIFS('Industrial Summary'!$G:$G,'Industrial Summary'!$F:$F,O$17,'Industrial Summary'!$D:$D,$E203)),0)*0.98</f>
        <v>-0.8603351504465061</v>
      </c>
      <c r="P203" s="6">
        <f>IF(SUMIFS('Industrial Summary'!$G:$G,'Industrial Summary'!$F:$F,P$17,'Industrial Summary'!$D:$D,$E203)&gt;0,(-SUMIFS('Industrial Summary'!$G:$G,'Industrial Summary'!$F:$F,P$17,'Industrial Summary'!$D:$D,$E203,'Industrial Summary'!$A:$A,"NGA")/SUMIFS('Industrial Summary'!$G:$G,'Industrial Summary'!$F:$F,P$17,'Industrial Summary'!$D:$D,$E203)),0)*0.98</f>
        <v>-0.86033515044650488</v>
      </c>
      <c r="Q203" s="5">
        <v>0</v>
      </c>
      <c r="R203" s="5">
        <v>15</v>
      </c>
      <c r="S203" s="5" t="str">
        <f t="shared" si="33"/>
        <v>UC_INGPH_NGA</v>
      </c>
      <c r="V203" s="4" t="str">
        <f t="shared" si="34"/>
        <v>S_INGPHNGA</v>
      </c>
      <c r="W203" s="4" t="str">
        <f t="shared" si="35"/>
        <v>INGPH_NGA</v>
      </c>
      <c r="X203" s="4" t="str">
        <f t="shared" si="36"/>
        <v>INGPRH</v>
      </c>
      <c r="Y203" s="5" t="str">
        <f t="shared" si="37"/>
        <v>LO</v>
      </c>
      <c r="Z203" s="5">
        <v>1</v>
      </c>
      <c r="AA203" s="6">
        <f t="shared" si="38"/>
        <v>-0.62854956331570755</v>
      </c>
      <c r="AB203" s="6">
        <f t="shared" si="39"/>
        <v>-0.62854956331570588</v>
      </c>
      <c r="AC203" s="6">
        <f t="shared" si="40"/>
        <v>-0.61278146069465511</v>
      </c>
      <c r="AD203" s="6">
        <f t="shared" si="41"/>
        <v>-0.61278146069465511</v>
      </c>
      <c r="AE203" s="6">
        <f t="shared" si="42"/>
        <v>-0.61572001639353713</v>
      </c>
      <c r="AF203" s="6">
        <f t="shared" si="43"/>
        <v>-0.61572001639353724</v>
      </c>
      <c r="AG203" s="6">
        <f t="shared" si="44"/>
        <v>-0.61572001639353713</v>
      </c>
      <c r="AH203" s="6">
        <f t="shared" si="45"/>
        <v>-0.61083795681701936</v>
      </c>
      <c r="AI203" s="6">
        <f t="shared" si="46"/>
        <v>-0.61083795681701847</v>
      </c>
      <c r="AL203" s="5" t="str">
        <f t="shared" si="47"/>
        <v>NGA</v>
      </c>
      <c r="AM203" s="5">
        <f>Y8</f>
        <v>0.71</v>
      </c>
    </row>
    <row r="204" spans="1:39" s="5" customFormat="1" x14ac:dyDescent="0.3">
      <c r="C204" s="4" t="s">
        <v>418</v>
      </c>
      <c r="D204" s="5" t="s">
        <v>419</v>
      </c>
      <c r="E204" s="5" t="s">
        <v>732</v>
      </c>
      <c r="F204" s="5" t="s">
        <v>1588</v>
      </c>
      <c r="G204" s="5">
        <v>1</v>
      </c>
      <c r="H204" s="6">
        <f>IF(SUMIFS('Industrial Summary'!$G:$G,'Industrial Summary'!$F:$F,H$17,'Industrial Summary'!$D:$D,$E204)&gt;0,(-SUMIFS('Industrial Summary'!$G:$G,'Industrial Summary'!$F:$F,H$17,'Industrial Summary'!$D:$D,$E204,'Industrial Summary'!$A:$A,"ELC")/SUMIFS('Industrial Summary'!$G:$G,'Industrial Summary'!$F:$F,H$17,'Industrial Summary'!$D:$D,$E204)),0)*0.98</f>
        <v>-0.41966423732335939</v>
      </c>
      <c r="I204" s="6">
        <f>IF(SUMIFS('Industrial Summary'!$G:$G,'Industrial Summary'!$F:$F,I$17,'Industrial Summary'!$D:$D,$E204)&gt;0,(-SUMIFS('Industrial Summary'!$G:$G,'Industrial Summary'!$F:$F,I$17,'Industrial Summary'!$D:$D,$E204,'Industrial Summary'!$A:$A,"ELC")/SUMIFS('Industrial Summary'!$G:$G,'Industrial Summary'!$F:$F,I$17,'Industrial Summary'!$D:$D,$E204)),0)*0.98</f>
        <v>-0.41966423732335983</v>
      </c>
      <c r="J204" s="6">
        <f>IF(SUMIFS('Industrial Summary'!$G:$G,'Industrial Summary'!$F:$F,J$17,'Industrial Summary'!$D:$D,$E204)&gt;0,(-SUMIFS('Industrial Summary'!$G:$G,'Industrial Summary'!$F:$F,J$17,'Industrial Summary'!$D:$D,$E204,'Industrial Summary'!$A:$A,"ELC")/SUMIFS('Industrial Summary'!$G:$G,'Industrial Summary'!$F:$F,J$17,'Industrial Summary'!$D:$D,$E204)),0)*0.98</f>
        <v>-0.47700964907810744</v>
      </c>
      <c r="K204" s="6">
        <f>IF(SUMIFS('Industrial Summary'!$G:$G,'Industrial Summary'!$F:$F,K$17,'Industrial Summary'!$D:$D,$E204)&gt;0,(-SUMIFS('Industrial Summary'!$G:$G,'Industrial Summary'!$F:$F,K$17,'Industrial Summary'!$D:$D,$E204,'Industrial Summary'!$A:$A,"ELC")/SUMIFS('Industrial Summary'!$G:$G,'Industrial Summary'!$F:$F,K$17,'Industrial Summary'!$D:$D,$E204)),0)*0.98</f>
        <v>-0.47700964907810584</v>
      </c>
      <c r="L204" s="6">
        <f>IF(SUMIFS('Industrial Summary'!$G:$G,'Industrial Summary'!$F:$F,L$17,'Industrial Summary'!$D:$D,$E204)&gt;0,(-SUMIFS('Industrial Summary'!$G:$G,'Industrial Summary'!$F:$F,L$17,'Industrial Summary'!$D:$D,$E204,'Industrial Summary'!$A:$A,"ELC")/SUMIFS('Industrial Summary'!$G:$G,'Industrial Summary'!$F:$F,L$17,'Industrial Summary'!$D:$D,$E204)),0)*0.98</f>
        <v>-0.46702208103274623</v>
      </c>
      <c r="M204" s="6">
        <f>IF(SUMIFS('Industrial Summary'!$G:$G,'Industrial Summary'!$F:$F,M$17,'Industrial Summary'!$D:$D,$E204)&gt;0,(-SUMIFS('Industrial Summary'!$G:$G,'Industrial Summary'!$F:$F,M$17,'Industrial Summary'!$D:$D,$E204,'Industrial Summary'!$A:$A,"ELC")/SUMIFS('Industrial Summary'!$G:$G,'Industrial Summary'!$F:$F,M$17,'Industrial Summary'!$D:$D,$E204)),0)*0.98</f>
        <v>-0.46702208103274534</v>
      </c>
      <c r="N204" s="6">
        <f>IF(SUMIFS('Industrial Summary'!$G:$G,'Industrial Summary'!$F:$F,N$17,'Industrial Summary'!$D:$D,$E204)&gt;0,(-SUMIFS('Industrial Summary'!$G:$G,'Industrial Summary'!$F:$F,N$17,'Industrial Summary'!$D:$D,$E204,'Industrial Summary'!$A:$A,"ELC")/SUMIFS('Industrial Summary'!$G:$G,'Industrial Summary'!$F:$F,N$17,'Industrial Summary'!$D:$D,$E204)),0)*0.98</f>
        <v>-0.46702208103274595</v>
      </c>
      <c r="O204" s="6">
        <f>IF(SUMIFS('Industrial Summary'!$G:$G,'Industrial Summary'!$F:$F,O$17,'Industrial Summary'!$D:$D,$E204)&gt;0,(-SUMIFS('Industrial Summary'!$G:$G,'Industrial Summary'!$F:$F,O$17,'Industrial Summary'!$D:$D,$E204,'Industrial Summary'!$A:$A,"ELC")/SUMIFS('Industrial Summary'!$G:$G,'Industrial Summary'!$F:$F,O$17,'Industrial Summary'!$D:$D,$E204)),0)*0.98</f>
        <v>-0.48345473432789554</v>
      </c>
      <c r="P204" s="6">
        <f>IF(SUMIFS('Industrial Summary'!$G:$G,'Industrial Summary'!$F:$F,P$17,'Industrial Summary'!$D:$D,$E204)&gt;0,(-SUMIFS('Industrial Summary'!$G:$G,'Industrial Summary'!$F:$F,P$17,'Industrial Summary'!$D:$D,$E204,'Industrial Summary'!$A:$A,"ELC")/SUMIFS('Industrial Summary'!$G:$G,'Industrial Summary'!$F:$F,P$17,'Industrial Summary'!$D:$D,$E204)),0)*0.98</f>
        <v>-0.48345473432789421</v>
      </c>
      <c r="Q204" s="5">
        <v>0</v>
      </c>
      <c r="R204" s="5">
        <v>15</v>
      </c>
      <c r="S204" s="5" t="str">
        <f t="shared" si="33"/>
        <v>UC_INGFA_ELC</v>
      </c>
      <c r="V204" s="4" t="str">
        <f t="shared" si="34"/>
        <v>S_INGFAELC</v>
      </c>
      <c r="W204" s="4" t="str">
        <f t="shared" si="35"/>
        <v>INGFA_ELC</v>
      </c>
      <c r="X204" s="4" t="str">
        <f t="shared" si="36"/>
        <v>INGFAC</v>
      </c>
      <c r="Y204" s="5" t="str">
        <f t="shared" si="37"/>
        <v>LO</v>
      </c>
      <c r="Z204" s="5">
        <v>1</v>
      </c>
      <c r="AA204" s="6">
        <f t="shared" si="38"/>
        <v>-0.41966423732335939</v>
      </c>
      <c r="AB204" s="6">
        <f t="shared" si="39"/>
        <v>-0.41966423732335983</v>
      </c>
      <c r="AC204" s="6">
        <f t="shared" si="40"/>
        <v>-0.47700964907810744</v>
      </c>
      <c r="AD204" s="6">
        <f t="shared" si="41"/>
        <v>-0.47700964907810584</v>
      </c>
      <c r="AE204" s="6">
        <f t="shared" si="42"/>
        <v>-0.46702208103274623</v>
      </c>
      <c r="AF204" s="6">
        <f t="shared" si="43"/>
        <v>-0.46702208103274534</v>
      </c>
      <c r="AG204" s="6">
        <f t="shared" si="44"/>
        <v>-0.46702208103274595</v>
      </c>
      <c r="AH204" s="6">
        <f t="shared" si="45"/>
        <v>-0.48345473432789554</v>
      </c>
      <c r="AI204" s="6">
        <f t="shared" si="46"/>
        <v>-0.48345473432789421</v>
      </c>
      <c r="AL204" s="5" t="str">
        <f t="shared" si="47"/>
        <v>ELC</v>
      </c>
      <c r="AM204" s="5">
        <f>1</f>
        <v>1</v>
      </c>
    </row>
    <row r="205" spans="1:39" s="5" customFormat="1" x14ac:dyDescent="0.3">
      <c r="A205" s="8"/>
      <c r="C205" s="4" t="s">
        <v>420</v>
      </c>
      <c r="D205" s="5" t="s">
        <v>421</v>
      </c>
      <c r="E205" s="5" t="s">
        <v>732</v>
      </c>
      <c r="F205" s="5" t="s">
        <v>1588</v>
      </c>
      <c r="G205" s="5">
        <v>1</v>
      </c>
      <c r="H205" s="6">
        <f>IF(SUMIFS('Industrial Summary'!$G:$G,'Industrial Summary'!$F:$F,H$17,'Industrial Summary'!$D:$D,$E205)&gt;0,(-SUMIFS('Industrial Summary'!$G:$G,'Industrial Summary'!$F:$F,H$17,'Industrial Summary'!$D:$D,$E205,'Industrial Summary'!$A:$A,"NGA")/SUMIFS('Industrial Summary'!$G:$G,'Industrial Summary'!$F:$F,H$17,'Industrial Summary'!$D:$D,$E205)),0)*0.98</f>
        <v>-0.56033576267664054</v>
      </c>
      <c r="I205" s="6">
        <f>IF(SUMIFS('Industrial Summary'!$G:$G,'Industrial Summary'!$F:$F,I$17,'Industrial Summary'!$D:$D,$E205)&gt;0,(-SUMIFS('Industrial Summary'!$G:$G,'Industrial Summary'!$F:$F,I$17,'Industrial Summary'!$D:$D,$E205,'Industrial Summary'!$A:$A,"NGA")/SUMIFS('Industrial Summary'!$G:$G,'Industrial Summary'!$F:$F,I$17,'Industrial Summary'!$D:$D,$E205)),0)*0.98</f>
        <v>-0.5603357626766402</v>
      </c>
      <c r="J205" s="6">
        <f>IF(SUMIFS('Industrial Summary'!$G:$G,'Industrial Summary'!$F:$F,J$17,'Industrial Summary'!$D:$D,$E205)&gt;0,(-SUMIFS('Industrial Summary'!$G:$G,'Industrial Summary'!$F:$F,J$17,'Industrial Summary'!$D:$D,$E205,'Industrial Summary'!$A:$A,"NGA")/SUMIFS('Industrial Summary'!$G:$G,'Industrial Summary'!$F:$F,J$17,'Industrial Summary'!$D:$D,$E205)),0)*0.98</f>
        <v>-0.50299035092189259</v>
      </c>
      <c r="K205" s="6">
        <f>IF(SUMIFS('Industrial Summary'!$G:$G,'Industrial Summary'!$F:$F,K$17,'Industrial Summary'!$D:$D,$E205)&gt;0,(-SUMIFS('Industrial Summary'!$G:$G,'Industrial Summary'!$F:$F,K$17,'Industrial Summary'!$D:$D,$E205,'Industrial Summary'!$A:$A,"NGA")/SUMIFS('Industrial Summary'!$G:$G,'Industrial Summary'!$F:$F,K$17,'Industrial Summary'!$D:$D,$E205)),0)*0.98</f>
        <v>-0.50299035092189404</v>
      </c>
      <c r="L205" s="6">
        <f>IF(SUMIFS('Industrial Summary'!$G:$G,'Industrial Summary'!$F:$F,L$17,'Industrial Summary'!$D:$D,$E205)&gt;0,(-SUMIFS('Industrial Summary'!$G:$G,'Industrial Summary'!$F:$F,L$17,'Industrial Summary'!$D:$D,$E205,'Industrial Summary'!$A:$A,"NGA")/SUMIFS('Industrial Summary'!$G:$G,'Industrial Summary'!$F:$F,L$17,'Industrial Summary'!$D:$D,$E205)),0)*0.98</f>
        <v>-0.51297791896725375</v>
      </c>
      <c r="M205" s="6">
        <f>IF(SUMIFS('Industrial Summary'!$G:$G,'Industrial Summary'!$F:$F,M$17,'Industrial Summary'!$D:$D,$E205)&gt;0,(-SUMIFS('Industrial Summary'!$G:$G,'Industrial Summary'!$F:$F,M$17,'Industrial Summary'!$D:$D,$E205,'Industrial Summary'!$A:$A,"NGA")/SUMIFS('Industrial Summary'!$G:$G,'Industrial Summary'!$F:$F,M$17,'Industrial Summary'!$D:$D,$E205)),0)*0.98</f>
        <v>-0.51297791896725464</v>
      </c>
      <c r="N205" s="6">
        <f>IF(SUMIFS('Industrial Summary'!$G:$G,'Industrial Summary'!$F:$F,N$17,'Industrial Summary'!$D:$D,$E205)&gt;0,(-SUMIFS('Industrial Summary'!$G:$G,'Industrial Summary'!$F:$F,N$17,'Industrial Summary'!$D:$D,$E205,'Industrial Summary'!$A:$A,"NGA")/SUMIFS('Industrial Summary'!$G:$G,'Industrial Summary'!$F:$F,N$17,'Industrial Summary'!$D:$D,$E205)),0)*0.98</f>
        <v>-0.51297791896725398</v>
      </c>
      <c r="O205" s="6">
        <f>IF(SUMIFS('Industrial Summary'!$G:$G,'Industrial Summary'!$F:$F,O$17,'Industrial Summary'!$D:$D,$E205)&gt;0,(-SUMIFS('Industrial Summary'!$G:$G,'Industrial Summary'!$F:$F,O$17,'Industrial Summary'!$D:$D,$E205,'Industrial Summary'!$A:$A,"NGA")/SUMIFS('Industrial Summary'!$G:$G,'Industrial Summary'!$F:$F,O$17,'Industrial Summary'!$D:$D,$E205)),0)*0.98</f>
        <v>-0.49654526567210444</v>
      </c>
      <c r="P205" s="6">
        <f>IF(SUMIFS('Industrial Summary'!$G:$G,'Industrial Summary'!$F:$F,P$17,'Industrial Summary'!$D:$D,$E205)&gt;0,(-SUMIFS('Industrial Summary'!$G:$G,'Industrial Summary'!$F:$F,P$17,'Industrial Summary'!$D:$D,$E205,'Industrial Summary'!$A:$A,"NGA")/SUMIFS('Industrial Summary'!$G:$G,'Industrial Summary'!$F:$F,P$17,'Industrial Summary'!$D:$D,$E205)),0)*0.98</f>
        <v>-0.49654526567210577</v>
      </c>
      <c r="Q205" s="5">
        <v>0</v>
      </c>
      <c r="R205" s="5">
        <v>15</v>
      </c>
      <c r="S205" s="5" t="str">
        <f t="shared" si="33"/>
        <v>UC_INGFA_NGA</v>
      </c>
      <c r="V205" s="4" t="str">
        <f t="shared" si="34"/>
        <v>S_INGFANGA</v>
      </c>
      <c r="W205" s="4" t="str">
        <f t="shared" si="35"/>
        <v>INGFA_NGA</v>
      </c>
      <c r="X205" s="4" t="str">
        <f t="shared" si="36"/>
        <v>INGFAC</v>
      </c>
      <c r="Y205" s="5" t="str">
        <f t="shared" si="37"/>
        <v>LO</v>
      </c>
      <c r="Z205" s="5">
        <v>1</v>
      </c>
      <c r="AA205" s="6">
        <f t="shared" si="38"/>
        <v>-0.39783839150041478</v>
      </c>
      <c r="AB205" s="6">
        <f t="shared" si="39"/>
        <v>-0.3978383915004145</v>
      </c>
      <c r="AC205" s="6">
        <f t="shared" si="40"/>
        <v>-0.35712314915454374</v>
      </c>
      <c r="AD205" s="6">
        <f t="shared" si="41"/>
        <v>-0.35712314915454474</v>
      </c>
      <c r="AE205" s="6">
        <f t="shared" si="42"/>
        <v>-0.36421432246675017</v>
      </c>
      <c r="AF205" s="6">
        <f t="shared" si="43"/>
        <v>-0.36421432246675078</v>
      </c>
      <c r="AG205" s="6">
        <f t="shared" si="44"/>
        <v>-0.36421432246675028</v>
      </c>
      <c r="AH205" s="6">
        <f t="shared" si="45"/>
        <v>-0.35254713862719411</v>
      </c>
      <c r="AI205" s="6">
        <f t="shared" si="46"/>
        <v>-0.35254713862719506</v>
      </c>
      <c r="AL205" s="5" t="str">
        <f t="shared" si="47"/>
        <v>NGA</v>
      </c>
      <c r="AM205" s="5">
        <f>Y8</f>
        <v>0.71</v>
      </c>
    </row>
    <row r="206" spans="1:39" s="5" customFormat="1" x14ac:dyDescent="0.3">
      <c r="C206" s="4" t="s">
        <v>422</v>
      </c>
      <c r="D206" s="5" t="s">
        <v>423</v>
      </c>
      <c r="E206" s="5" t="s">
        <v>762</v>
      </c>
      <c r="F206" s="5" t="s">
        <v>1588</v>
      </c>
      <c r="G206" s="5">
        <v>1</v>
      </c>
      <c r="H206" s="6">
        <f>(IF(SUMIFS('Industrial Summary'!$G:$G,'Industrial Summary'!$F:$F,H$17,'Industrial Summary'!$D:$D,$E206)&gt;0,((-SUMIFS('Industrial Summary'!$G:$G,'Industrial Summary'!$F:$F,H$17,'Industrial Summary'!$D:$D,$E206,'Industrial Summary'!$A:$A,"RFL")+-SUMIFS('Industrial Summary'!$G:$G,'Industrial Summary'!$F:$F,H$17,'Industrial Summary'!$D:$D,"INGRSTM",'Industrial Summary'!$A:$A,"RFL"))/SUMIFS('Industrial Summary'!$G:$G,'Industrial Summary'!$F:$F,H$17,'Industrial Summary'!$D:$D,$E206)),0))*0.98</f>
        <v>-1.0736008356379679E-2</v>
      </c>
      <c r="I206" s="6">
        <f>(IF(SUMIFS('Industrial Summary'!$G:$G,'Industrial Summary'!$F:$F,I$17,'Industrial Summary'!$D:$D,$E206)&gt;0,((-SUMIFS('Industrial Summary'!$G:$G,'Industrial Summary'!$F:$F,I$17,'Industrial Summary'!$D:$D,$E206,'Industrial Summary'!$A:$A,"RFL")+-SUMIFS('Industrial Summary'!$G:$G,'Industrial Summary'!$F:$F,I$17,'Industrial Summary'!$D:$D,"INGRSTM",'Industrial Summary'!$A:$A,"RFL"))/SUMIFS('Industrial Summary'!$G:$G,'Industrial Summary'!$F:$F,I$17,'Industrial Summary'!$D:$D,$E206)),0))*0.98</f>
        <v>-1.0736008356379645E-2</v>
      </c>
      <c r="J206" s="6">
        <f>(IF(SUMIFS('Industrial Summary'!$G:$G,'Industrial Summary'!$F:$F,J$17,'Industrial Summary'!$D:$D,$E206)&gt;0,((-SUMIFS('Industrial Summary'!$G:$G,'Industrial Summary'!$F:$F,J$17,'Industrial Summary'!$D:$D,$E206,'Industrial Summary'!$A:$A,"RFL")+-SUMIFS('Industrial Summary'!$G:$G,'Industrial Summary'!$F:$F,J$17,'Industrial Summary'!$D:$D,"INGRSTM",'Industrial Summary'!$A:$A,"RFL"))/SUMIFS('Industrial Summary'!$G:$G,'Industrial Summary'!$F:$F,J$17,'Industrial Summary'!$D:$D,$E206)),0))*0.98</f>
        <v>-1.07489257397658E-2</v>
      </c>
      <c r="K206" s="6">
        <f>(IF(SUMIFS('Industrial Summary'!$G:$G,'Industrial Summary'!$F:$F,K$17,'Industrial Summary'!$D:$D,$E206)&gt;0,((-SUMIFS('Industrial Summary'!$G:$G,'Industrial Summary'!$F:$F,K$17,'Industrial Summary'!$D:$D,$E206,'Industrial Summary'!$A:$A,"RFL")+-SUMIFS('Industrial Summary'!$G:$G,'Industrial Summary'!$F:$F,K$17,'Industrial Summary'!$D:$D,"INGRSTM",'Industrial Summary'!$A:$A,"RFL"))/SUMIFS('Industrial Summary'!$G:$G,'Industrial Summary'!$F:$F,K$17,'Industrial Summary'!$D:$D,$E206)),0))*0.98</f>
        <v>-1.0748925739765814E-2</v>
      </c>
      <c r="L206" s="6">
        <f>(IF(SUMIFS('Industrial Summary'!$G:$G,'Industrial Summary'!$F:$F,L$17,'Industrial Summary'!$D:$D,$E206)&gt;0,((-SUMIFS('Industrial Summary'!$G:$G,'Industrial Summary'!$F:$F,L$17,'Industrial Summary'!$D:$D,$E206,'Industrial Summary'!$A:$A,"RFL")+-SUMIFS('Industrial Summary'!$G:$G,'Industrial Summary'!$F:$F,L$17,'Industrial Summary'!$D:$D,"INGRSTM",'Industrial Summary'!$A:$A,"RFL"))/SUMIFS('Industrial Summary'!$G:$G,'Industrial Summary'!$F:$F,L$17,'Industrial Summary'!$D:$D,$E206)),0))*0.98</f>
        <v>-1.0746573438800321E-2</v>
      </c>
      <c r="M206" s="6">
        <f>(IF(SUMIFS('Industrial Summary'!$G:$G,'Industrial Summary'!$F:$F,M$17,'Industrial Summary'!$D:$D,$E206)&gt;0,((-SUMIFS('Industrial Summary'!$G:$G,'Industrial Summary'!$F:$F,M$17,'Industrial Summary'!$D:$D,$E206,'Industrial Summary'!$A:$A,"RFL")+-SUMIFS('Industrial Summary'!$G:$G,'Industrial Summary'!$F:$F,M$17,'Industrial Summary'!$D:$D,"INGRSTM",'Industrial Summary'!$A:$A,"RFL"))/SUMIFS('Industrial Summary'!$G:$G,'Industrial Summary'!$F:$F,M$17,'Industrial Summary'!$D:$D,$E206)),0))*0.98</f>
        <v>-1.07465734388003E-2</v>
      </c>
      <c r="N206" s="6">
        <f>(IF(SUMIFS('Industrial Summary'!$G:$G,'Industrial Summary'!$F:$F,N$17,'Industrial Summary'!$D:$D,$E206)&gt;0,((-SUMIFS('Industrial Summary'!$G:$G,'Industrial Summary'!$F:$F,N$17,'Industrial Summary'!$D:$D,$E206,'Industrial Summary'!$A:$A,"RFL")+-SUMIFS('Industrial Summary'!$G:$G,'Industrial Summary'!$F:$F,N$17,'Industrial Summary'!$D:$D,"INGRSTM",'Industrial Summary'!$A:$A,"RFL"))/SUMIFS('Industrial Summary'!$G:$G,'Industrial Summary'!$F:$F,N$17,'Industrial Summary'!$D:$D,$E206)),0))*0.98</f>
        <v>-1.0746573438800306E-2</v>
      </c>
      <c r="O206" s="6">
        <f>(IF(SUMIFS('Industrial Summary'!$G:$G,'Industrial Summary'!$F:$F,O$17,'Industrial Summary'!$D:$D,$E206)&gt;0,((-SUMIFS('Industrial Summary'!$G:$G,'Industrial Summary'!$F:$F,O$17,'Industrial Summary'!$D:$D,$E206,'Industrial Summary'!$A:$A,"RFL")+-SUMIFS('Industrial Summary'!$G:$G,'Industrial Summary'!$F:$F,O$17,'Industrial Summary'!$D:$D,"INGRSTM",'Industrial Summary'!$A:$A,"RFL"))/SUMIFS('Industrial Summary'!$G:$G,'Industrial Summary'!$F:$F,O$17,'Industrial Summary'!$D:$D,$E206)),0))*0.98</f>
        <v>-1.0750468098488106E-2</v>
      </c>
      <c r="P206" s="6">
        <f>(IF(SUMIFS('Industrial Summary'!$G:$G,'Industrial Summary'!$F:$F,P$17,'Industrial Summary'!$D:$D,$E206)&gt;0,((-SUMIFS('Industrial Summary'!$G:$G,'Industrial Summary'!$F:$F,P$17,'Industrial Summary'!$D:$D,$E206,'Industrial Summary'!$A:$A,"RFL")+-SUMIFS('Industrial Summary'!$G:$G,'Industrial Summary'!$F:$F,P$17,'Industrial Summary'!$D:$D,"INGRSTM",'Industrial Summary'!$A:$A,"RFL"))/SUMIFS('Industrial Summary'!$G:$G,'Industrial Summary'!$F:$F,P$17,'Industrial Summary'!$D:$D,$E206)),0))*0.98</f>
        <v>-1.0750468098488085E-2</v>
      </c>
      <c r="Q206" s="5">
        <v>0</v>
      </c>
      <c r="R206" s="5">
        <v>15</v>
      </c>
      <c r="S206" s="5" t="str">
        <f t="shared" si="33"/>
        <v>UC_INGOH_RFL</v>
      </c>
      <c r="V206" s="4" t="str">
        <f t="shared" si="34"/>
        <v>S_INGOHRFL</v>
      </c>
      <c r="W206" s="4" t="str">
        <f t="shared" si="35"/>
        <v>INGOH_RFL</v>
      </c>
      <c r="X206" s="4" t="str">
        <f t="shared" si="36"/>
        <v>INGOHT</v>
      </c>
      <c r="Y206" s="5" t="str">
        <f t="shared" si="37"/>
        <v>LO</v>
      </c>
      <c r="Z206" s="5">
        <v>1</v>
      </c>
      <c r="AA206" s="6">
        <f t="shared" si="38"/>
        <v>-1.0736008356379679E-2</v>
      </c>
      <c r="AB206" s="6">
        <f t="shared" si="39"/>
        <v>-1.0736008356379645E-2</v>
      </c>
      <c r="AC206" s="6">
        <f t="shared" si="40"/>
        <v>-1.07489257397658E-2</v>
      </c>
      <c r="AD206" s="6">
        <f t="shared" si="41"/>
        <v>-1.0748925739765814E-2</v>
      </c>
      <c r="AE206" s="6">
        <f t="shared" si="42"/>
        <v>-1.0746573438800321E-2</v>
      </c>
      <c r="AF206" s="6">
        <f t="shared" si="43"/>
        <v>-1.07465734388003E-2</v>
      </c>
      <c r="AG206" s="6">
        <f t="shared" si="44"/>
        <v>-1.0746573438800306E-2</v>
      </c>
      <c r="AH206" s="6">
        <f t="shared" si="45"/>
        <v>-1.0750468098488106E-2</v>
      </c>
      <c r="AI206" s="6">
        <f t="shared" si="46"/>
        <v>-1.0750468098488085E-2</v>
      </c>
      <c r="AL206" s="5" t="str">
        <f t="shared" si="47"/>
        <v>RFL</v>
      </c>
      <c r="AM206" s="5">
        <f>1</f>
        <v>1</v>
      </c>
    </row>
    <row r="207" spans="1:39" s="5" customFormat="1" x14ac:dyDescent="0.3">
      <c r="C207" s="4" t="s">
        <v>424</v>
      </c>
      <c r="D207" s="5" t="s">
        <v>425</v>
      </c>
      <c r="E207" s="5" t="s">
        <v>762</v>
      </c>
      <c r="F207" s="5" t="s">
        <v>1588</v>
      </c>
      <c r="G207" s="5">
        <v>1</v>
      </c>
      <c r="H207" s="6">
        <f>(IF(SUMIFS('Industrial Summary'!$G:$G,'Industrial Summary'!$F:$F,H$17,'Industrial Summary'!$D:$D,$E207)&gt;0,((-SUMIFS('Industrial Summary'!$G:$G,'Industrial Summary'!$F:$F,H$17,'Industrial Summary'!$D:$D,$E207,'Industrial Summary'!$A:$A,"DST")+-SUMIFS('Industrial Summary'!$G:$G,'Industrial Summary'!$F:$F,H$17,'Industrial Summary'!$D:$D,"INGRSTM",'Industrial Summary'!$A:$A,"DST"))/SUMIFS('Industrial Summary'!$G:$G,'Industrial Summary'!$F:$F,H$17,'Industrial Summary'!$D:$D,$E207)),0))*0.98</f>
        <v>-0.42952539818506991</v>
      </c>
      <c r="I207" s="6">
        <f>(IF(SUMIFS('Industrial Summary'!$G:$G,'Industrial Summary'!$F:$F,I$17,'Industrial Summary'!$D:$D,$E207)&gt;0,((-SUMIFS('Industrial Summary'!$G:$G,'Industrial Summary'!$F:$F,I$17,'Industrial Summary'!$D:$D,$E207,'Industrial Summary'!$A:$A,"DST")+-SUMIFS('Industrial Summary'!$G:$G,'Industrial Summary'!$F:$F,I$17,'Industrial Summary'!$D:$D,"INGRSTM",'Industrial Summary'!$A:$A,"DST"))/SUMIFS('Industrial Summary'!$G:$G,'Industrial Summary'!$F:$F,I$17,'Industrial Summary'!$D:$D,$E207)),0))*0.98</f>
        <v>-0.42952539818506863</v>
      </c>
      <c r="J207" s="6">
        <f>(IF(SUMIFS('Industrial Summary'!$G:$G,'Industrial Summary'!$F:$F,J$17,'Industrial Summary'!$D:$D,$E207)&gt;0,((-SUMIFS('Industrial Summary'!$G:$G,'Industrial Summary'!$F:$F,J$17,'Industrial Summary'!$D:$D,$E207,'Industrial Summary'!$A:$A,"DST")+-SUMIFS('Industrial Summary'!$G:$G,'Industrial Summary'!$F:$F,J$17,'Industrial Summary'!$D:$D,"INGRSTM",'Industrial Summary'!$A:$A,"DST"))/SUMIFS('Industrial Summary'!$G:$G,'Industrial Summary'!$F:$F,J$17,'Industrial Summary'!$D:$D,$E207)),0))*0.98</f>
        <v>-0.43004219586799525</v>
      </c>
      <c r="K207" s="6">
        <f>(IF(SUMIFS('Industrial Summary'!$G:$G,'Industrial Summary'!$F:$F,K$17,'Industrial Summary'!$D:$D,$E207)&gt;0,((-SUMIFS('Industrial Summary'!$G:$G,'Industrial Summary'!$F:$F,K$17,'Industrial Summary'!$D:$D,$E207,'Industrial Summary'!$A:$A,"DST")+-SUMIFS('Industrial Summary'!$G:$G,'Industrial Summary'!$F:$F,K$17,'Industrial Summary'!$D:$D,"INGRSTM",'Industrial Summary'!$A:$A,"DST"))/SUMIFS('Industrial Summary'!$G:$G,'Industrial Summary'!$F:$F,K$17,'Industrial Summary'!$D:$D,$E207)),0))*0.98</f>
        <v>-0.43004219586799475</v>
      </c>
      <c r="L207" s="6">
        <f>(IF(SUMIFS('Industrial Summary'!$G:$G,'Industrial Summary'!$F:$F,L$17,'Industrial Summary'!$D:$D,$E207)&gt;0,((-SUMIFS('Industrial Summary'!$G:$G,'Industrial Summary'!$F:$F,L$17,'Industrial Summary'!$D:$D,$E207,'Industrial Summary'!$A:$A,"DST")+-SUMIFS('Industrial Summary'!$G:$G,'Industrial Summary'!$F:$F,L$17,'Industrial Summary'!$D:$D,"INGRSTM",'Industrial Summary'!$A:$A,"DST"))/SUMIFS('Industrial Summary'!$G:$G,'Industrial Summary'!$F:$F,L$17,'Industrial Summary'!$D:$D,$E207)),0))*0.98</f>
        <v>-0.42994808519153821</v>
      </c>
      <c r="M207" s="6">
        <f>(IF(SUMIFS('Industrial Summary'!$G:$G,'Industrial Summary'!$F:$F,M$17,'Industrial Summary'!$D:$D,$E207)&gt;0,((-SUMIFS('Industrial Summary'!$G:$G,'Industrial Summary'!$F:$F,M$17,'Industrial Summary'!$D:$D,$E207,'Industrial Summary'!$A:$A,"DST")+-SUMIFS('Industrial Summary'!$G:$G,'Industrial Summary'!$F:$F,M$17,'Industrial Summary'!$D:$D,"INGRSTM",'Industrial Summary'!$A:$A,"DST"))/SUMIFS('Industrial Summary'!$G:$G,'Industrial Summary'!$F:$F,M$17,'Industrial Summary'!$D:$D,$E207)),0))*0.98</f>
        <v>-0.42994808519153782</v>
      </c>
      <c r="N207" s="6">
        <f>(IF(SUMIFS('Industrial Summary'!$G:$G,'Industrial Summary'!$F:$F,N$17,'Industrial Summary'!$D:$D,$E207)&gt;0,((-SUMIFS('Industrial Summary'!$G:$G,'Industrial Summary'!$F:$F,N$17,'Industrial Summary'!$D:$D,$E207,'Industrial Summary'!$A:$A,"DST")+-SUMIFS('Industrial Summary'!$G:$G,'Industrial Summary'!$F:$F,N$17,'Industrial Summary'!$D:$D,"INGRSTM",'Industrial Summary'!$A:$A,"DST"))/SUMIFS('Industrial Summary'!$G:$G,'Industrial Summary'!$F:$F,N$17,'Industrial Summary'!$D:$D,$E207)),0))*0.98</f>
        <v>-0.42994808519153732</v>
      </c>
      <c r="O207" s="6">
        <f>(IF(SUMIFS('Industrial Summary'!$G:$G,'Industrial Summary'!$F:$F,O$17,'Industrial Summary'!$D:$D,$E207)&gt;0,((-SUMIFS('Industrial Summary'!$G:$G,'Industrial Summary'!$F:$F,O$17,'Industrial Summary'!$D:$D,$E207,'Industrial Summary'!$A:$A,"DST")+-SUMIFS('Industrial Summary'!$G:$G,'Industrial Summary'!$F:$F,O$17,'Industrial Summary'!$D:$D,"INGRSTM",'Industrial Summary'!$A:$A,"DST"))/SUMIFS('Industrial Summary'!$G:$G,'Industrial Summary'!$F:$F,O$17,'Industrial Summary'!$D:$D,$E207)),0))*0.98</f>
        <v>-0.4301039024373588</v>
      </c>
      <c r="P207" s="6">
        <f>(IF(SUMIFS('Industrial Summary'!$G:$G,'Industrial Summary'!$F:$F,P$17,'Industrial Summary'!$D:$D,$E207)&gt;0,((-SUMIFS('Industrial Summary'!$G:$G,'Industrial Summary'!$F:$F,P$17,'Industrial Summary'!$D:$D,$E207,'Industrial Summary'!$A:$A,"DST")+-SUMIFS('Industrial Summary'!$G:$G,'Industrial Summary'!$F:$F,P$17,'Industrial Summary'!$D:$D,"INGRSTM",'Industrial Summary'!$A:$A,"DST"))/SUMIFS('Industrial Summary'!$G:$G,'Industrial Summary'!$F:$F,P$17,'Industrial Summary'!$D:$D,$E207)),0))*0.98</f>
        <v>-0.43010390243736057</v>
      </c>
      <c r="Q207" s="5">
        <v>0</v>
      </c>
      <c r="R207" s="5">
        <v>15</v>
      </c>
      <c r="S207" s="5" t="str">
        <f t="shared" si="33"/>
        <v>UC_INGOH_DST</v>
      </c>
      <c r="V207" s="4" t="str">
        <f t="shared" si="34"/>
        <v>S_INGOHDST</v>
      </c>
      <c r="W207" s="4" t="str">
        <f t="shared" si="35"/>
        <v>INGOH_DST</v>
      </c>
      <c r="X207" s="4" t="str">
        <f t="shared" si="36"/>
        <v>INGOHT</v>
      </c>
      <c r="Y207" s="5" t="str">
        <f t="shared" si="37"/>
        <v>LO</v>
      </c>
      <c r="Z207" s="5">
        <v>1</v>
      </c>
      <c r="AA207" s="6">
        <f t="shared" si="38"/>
        <v>-0.42952539818506991</v>
      </c>
      <c r="AB207" s="6">
        <f t="shared" si="39"/>
        <v>-0.42952539818506863</v>
      </c>
      <c r="AC207" s="6">
        <f t="shared" si="40"/>
        <v>-0.43004219586799525</v>
      </c>
      <c r="AD207" s="6">
        <f t="shared" si="41"/>
        <v>-0.43004219586799475</v>
      </c>
      <c r="AE207" s="6">
        <f t="shared" si="42"/>
        <v>-0.42994808519153821</v>
      </c>
      <c r="AF207" s="6">
        <f t="shared" si="43"/>
        <v>-0.42994808519153782</v>
      </c>
      <c r="AG207" s="6">
        <f t="shared" si="44"/>
        <v>-0.42994808519153732</v>
      </c>
      <c r="AH207" s="6">
        <f t="shared" si="45"/>
        <v>-0.4301039024373588</v>
      </c>
      <c r="AI207" s="6">
        <f t="shared" si="46"/>
        <v>-0.43010390243736057</v>
      </c>
      <c r="AL207" s="5" t="str">
        <f t="shared" si="47"/>
        <v>DST</v>
      </c>
      <c r="AM207" s="5">
        <f>1</f>
        <v>1</v>
      </c>
    </row>
    <row r="208" spans="1:39" s="5" customFormat="1" x14ac:dyDescent="0.3">
      <c r="C208" s="4" t="s">
        <v>426</v>
      </c>
      <c r="D208" s="5" t="s">
        <v>427</v>
      </c>
      <c r="E208" s="5" t="s">
        <v>762</v>
      </c>
      <c r="F208" s="5" t="s">
        <v>1588</v>
      </c>
      <c r="G208" s="5">
        <v>1</v>
      </c>
      <c r="H208" s="6">
        <f>(IF(SUMIFS('Industrial Summary'!$G:$G,'Industrial Summary'!$F:$F,H$17,'Industrial Summary'!$D:$D,$E208)&gt;0,((-SUMIFS('Industrial Summary'!$G:$G,'Industrial Summary'!$F:$F,H$17,'Industrial Summary'!$D:$D,$E208,'Industrial Summary'!$A:$A,"NGA")+-SUMIFS('Industrial Summary'!$G:$G,'Industrial Summary'!$F:$F,H$17,'Industrial Summary'!$D:$D,"INGRSTM",'Industrial Summary'!$A:$A,"NGA"))/SUMIFS('Industrial Summary'!$G:$G,'Industrial Summary'!$F:$F,H$17,'Industrial Summary'!$D:$D,$E208)),0))*0.98</f>
        <v>-2.2031652349199689E-2</v>
      </c>
      <c r="I208" s="6">
        <f>(IF(SUMIFS('Industrial Summary'!$G:$G,'Industrial Summary'!$F:$F,I$17,'Industrial Summary'!$D:$D,$E208)&gt;0,((-SUMIFS('Industrial Summary'!$G:$G,'Industrial Summary'!$F:$F,I$17,'Industrial Summary'!$D:$D,$E208,'Industrial Summary'!$A:$A,"NGA")+-SUMIFS('Industrial Summary'!$G:$G,'Industrial Summary'!$F:$F,I$17,'Industrial Summary'!$D:$D,"INGRSTM",'Industrial Summary'!$A:$A,"NGA"))/SUMIFS('Industrial Summary'!$G:$G,'Industrial Summary'!$F:$F,I$17,'Industrial Summary'!$D:$D,$E208)),0))*0.98</f>
        <v>-2.2031652349199547E-2</v>
      </c>
      <c r="J208" s="6">
        <f>(IF(SUMIFS('Industrial Summary'!$G:$G,'Industrial Summary'!$F:$F,J$17,'Industrial Summary'!$D:$D,$E208)&gt;0,((-SUMIFS('Industrial Summary'!$G:$G,'Industrial Summary'!$F:$F,J$17,'Industrial Summary'!$D:$D,$E208,'Industrial Summary'!$A:$A,"NGA")+-SUMIFS('Industrial Summary'!$G:$G,'Industrial Summary'!$F:$F,J$17,'Industrial Summary'!$D:$D,"INGRSTM",'Industrial Summary'!$A:$A,"NGA"))/SUMIFS('Industrial Summary'!$G:$G,'Industrial Summary'!$F:$F,J$17,'Industrial Summary'!$D:$D,$E208)),0))*0.98</f>
        <v>-2.0879041061310246E-2</v>
      </c>
      <c r="K208" s="6">
        <f>(IF(SUMIFS('Industrial Summary'!$G:$G,'Industrial Summary'!$F:$F,K$17,'Industrial Summary'!$D:$D,$E208)&gt;0,((-SUMIFS('Industrial Summary'!$G:$G,'Industrial Summary'!$F:$F,K$17,'Industrial Summary'!$D:$D,$E208,'Industrial Summary'!$A:$A,"NGA")+-SUMIFS('Industrial Summary'!$G:$G,'Industrial Summary'!$F:$F,K$17,'Industrial Summary'!$D:$D,"INGRSTM",'Industrial Summary'!$A:$A,"NGA"))/SUMIFS('Industrial Summary'!$G:$G,'Industrial Summary'!$F:$F,K$17,'Industrial Summary'!$D:$D,$E208)),0))*0.98</f>
        <v>-2.0879041061310243E-2</v>
      </c>
      <c r="L208" s="6">
        <f>(IF(SUMIFS('Industrial Summary'!$G:$G,'Industrial Summary'!$F:$F,L$17,'Industrial Summary'!$D:$D,$E208)&gt;0,((-SUMIFS('Industrial Summary'!$G:$G,'Industrial Summary'!$F:$F,L$17,'Industrial Summary'!$D:$D,$E208,'Industrial Summary'!$A:$A,"NGA")+-SUMIFS('Industrial Summary'!$G:$G,'Industrial Summary'!$F:$F,L$17,'Industrial Summary'!$D:$D,"INGRSTM",'Industrial Summary'!$A:$A,"NGA"))/SUMIFS('Industrial Summary'!$G:$G,'Industrial Summary'!$F:$F,L$17,'Industrial Summary'!$D:$D,$E208)),0))*0.98</f>
        <v>-2.1088935632393734E-2</v>
      </c>
      <c r="M208" s="6">
        <f>(IF(SUMIFS('Industrial Summary'!$G:$G,'Industrial Summary'!$F:$F,M$17,'Industrial Summary'!$D:$D,$E208)&gt;0,((-SUMIFS('Industrial Summary'!$G:$G,'Industrial Summary'!$F:$F,M$17,'Industrial Summary'!$D:$D,$E208,'Industrial Summary'!$A:$A,"NGA")+-SUMIFS('Industrial Summary'!$G:$G,'Industrial Summary'!$F:$F,M$17,'Industrial Summary'!$D:$D,"INGRSTM",'Industrial Summary'!$A:$A,"NGA"))/SUMIFS('Industrial Summary'!$G:$G,'Industrial Summary'!$F:$F,M$17,'Industrial Summary'!$D:$D,$E208)),0))*0.98</f>
        <v>-2.1088935632393741E-2</v>
      </c>
      <c r="N208" s="6">
        <f>(IF(SUMIFS('Industrial Summary'!$G:$G,'Industrial Summary'!$F:$F,N$17,'Industrial Summary'!$D:$D,$E208)&gt;0,((-SUMIFS('Industrial Summary'!$G:$G,'Industrial Summary'!$F:$F,N$17,'Industrial Summary'!$D:$D,$E208,'Industrial Summary'!$A:$A,"NGA")+-SUMIFS('Industrial Summary'!$G:$G,'Industrial Summary'!$F:$F,N$17,'Industrial Summary'!$D:$D,"INGRSTM",'Industrial Summary'!$A:$A,"NGA"))/SUMIFS('Industrial Summary'!$G:$G,'Industrial Summary'!$F:$F,N$17,'Industrial Summary'!$D:$D,$E208)),0))*0.98</f>
        <v>-2.1088935632393627E-2</v>
      </c>
      <c r="O208" s="6">
        <f>(IF(SUMIFS('Industrial Summary'!$G:$G,'Industrial Summary'!$F:$F,O$17,'Industrial Summary'!$D:$D,$E208)&gt;0,((-SUMIFS('Industrial Summary'!$G:$G,'Industrial Summary'!$F:$F,O$17,'Industrial Summary'!$D:$D,$E208,'Industrial Summary'!$A:$A,"NGA")+-SUMIFS('Industrial Summary'!$G:$G,'Industrial Summary'!$F:$F,O$17,'Industrial Summary'!$D:$D,"INGRSTM",'Industrial Summary'!$A:$A,"NGA"))/SUMIFS('Industrial Summary'!$G:$G,'Industrial Summary'!$F:$F,O$17,'Industrial Summary'!$D:$D,$E208)),0))*0.98</f>
        <v>-2.0741417208231683E-2</v>
      </c>
      <c r="P208" s="6">
        <f>(IF(SUMIFS('Industrial Summary'!$G:$G,'Industrial Summary'!$F:$F,P$17,'Industrial Summary'!$D:$D,$E208)&gt;0,((-SUMIFS('Industrial Summary'!$G:$G,'Industrial Summary'!$F:$F,P$17,'Industrial Summary'!$D:$D,$E208,'Industrial Summary'!$A:$A,"NGA")+-SUMIFS('Industrial Summary'!$G:$G,'Industrial Summary'!$F:$F,P$17,'Industrial Summary'!$D:$D,"INGRSTM",'Industrial Summary'!$A:$A,"NGA"))/SUMIFS('Industrial Summary'!$G:$G,'Industrial Summary'!$F:$F,P$17,'Industrial Summary'!$D:$D,$E208)),0))*0.98</f>
        <v>-2.0741417208231611E-2</v>
      </c>
      <c r="Q208" s="5">
        <v>0</v>
      </c>
      <c r="R208" s="5">
        <v>15</v>
      </c>
      <c r="S208" s="5" t="str">
        <f t="shared" si="33"/>
        <v>UC_INGOH_NGA</v>
      </c>
      <c r="V208" s="4" t="str">
        <f t="shared" si="34"/>
        <v>S_INGOHNGA</v>
      </c>
      <c r="W208" s="4" t="str">
        <f t="shared" si="35"/>
        <v>INGOH_NGA</v>
      </c>
      <c r="X208" s="4" t="str">
        <f t="shared" si="36"/>
        <v>INGOHT</v>
      </c>
      <c r="Y208" s="5" t="str">
        <f t="shared" si="37"/>
        <v>LO</v>
      </c>
      <c r="Z208" s="5">
        <v>1</v>
      </c>
      <c r="AA208" s="6">
        <f t="shared" si="38"/>
        <v>-1.5642473167931777E-2</v>
      </c>
      <c r="AB208" s="6">
        <f t="shared" si="39"/>
        <v>-1.5642473167931676E-2</v>
      </c>
      <c r="AC208" s="6">
        <f t="shared" si="40"/>
        <v>-1.4824119153530274E-2</v>
      </c>
      <c r="AD208" s="6">
        <f t="shared" si="41"/>
        <v>-1.4824119153530272E-2</v>
      </c>
      <c r="AE208" s="6">
        <f t="shared" si="42"/>
        <v>-1.497314429899955E-2</v>
      </c>
      <c r="AF208" s="6">
        <f t="shared" si="43"/>
        <v>-1.4973144298999555E-2</v>
      </c>
      <c r="AG208" s="6">
        <f t="shared" si="44"/>
        <v>-1.4973144298999473E-2</v>
      </c>
      <c r="AH208" s="6">
        <f t="shared" si="45"/>
        <v>-1.4726406217844495E-2</v>
      </c>
      <c r="AI208" s="6">
        <f t="shared" si="46"/>
        <v>-1.4726406217844443E-2</v>
      </c>
      <c r="AL208" s="5" t="str">
        <f t="shared" si="47"/>
        <v>NGA</v>
      </c>
      <c r="AM208" s="5">
        <f>Y8</f>
        <v>0.71</v>
      </c>
    </row>
    <row r="209" spans="1:39" s="5" customFormat="1" x14ac:dyDescent="0.3">
      <c r="C209" s="4" t="s">
        <v>428</v>
      </c>
      <c r="D209" s="5" t="s">
        <v>429</v>
      </c>
      <c r="E209" s="5" t="s">
        <v>762</v>
      </c>
      <c r="F209" s="5" t="s">
        <v>1588</v>
      </c>
      <c r="G209" s="5">
        <v>1</v>
      </c>
      <c r="H209" s="6">
        <f>(IF(SUMIFS('Industrial Summary'!$G:$G,'Industrial Summary'!$F:$F,H$17,'Industrial Summary'!$D:$D,$E209)&gt;0,((-SUMIFS('Industrial Summary'!$G:$G,'Industrial Summary'!$F:$F,H$17,'Industrial Summary'!$D:$D,$E209,'Industrial Summary'!$A:$A,"LPG")+-SUMIFS('Industrial Summary'!$G:$G,'Industrial Summary'!$F:$F,H$17,'Industrial Summary'!$D:$D,"INGRSTM",'Industrial Summary'!$A:$A,"LPG"))/SUMIFS('Industrial Summary'!$G:$G,'Industrial Summary'!$F:$F,H$17,'Industrial Summary'!$D:$D,$E209)),0))*0.98</f>
        <v>-0.51399718735590572</v>
      </c>
      <c r="I209" s="6">
        <f>(IF(SUMIFS('Industrial Summary'!$G:$G,'Industrial Summary'!$F:$F,I$17,'Industrial Summary'!$D:$D,$E209)&gt;0,((-SUMIFS('Industrial Summary'!$G:$G,'Industrial Summary'!$F:$F,I$17,'Industrial Summary'!$D:$D,$E209,'Industrial Summary'!$A:$A,"LPG")+-SUMIFS('Industrial Summary'!$G:$G,'Industrial Summary'!$F:$F,I$17,'Industrial Summary'!$D:$D,"INGRSTM",'Industrial Summary'!$A:$A,"LPG"))/SUMIFS('Industrial Summary'!$G:$G,'Industrial Summary'!$F:$F,I$17,'Industrial Summary'!$D:$D,$E209)),0))*0.98</f>
        <v>-0.51399718735590727</v>
      </c>
      <c r="J209" s="6">
        <f>(IF(SUMIFS('Industrial Summary'!$G:$G,'Industrial Summary'!$F:$F,J$17,'Industrial Summary'!$D:$D,$E209)&gt;0,((-SUMIFS('Industrial Summary'!$G:$G,'Industrial Summary'!$F:$F,J$17,'Industrial Summary'!$D:$D,$E209,'Industrial Summary'!$A:$A,"LPG")+-SUMIFS('Industrial Summary'!$G:$G,'Industrial Summary'!$F:$F,J$17,'Industrial Summary'!$D:$D,"INGRSTM",'Industrial Summary'!$A:$A,"LPG"))/SUMIFS('Industrial Summary'!$G:$G,'Industrial Summary'!$F:$F,J$17,'Industrial Summary'!$D:$D,$E209)),0))*0.98</f>
        <v>-0.51461562006461081</v>
      </c>
      <c r="K209" s="6">
        <f>(IF(SUMIFS('Industrial Summary'!$G:$G,'Industrial Summary'!$F:$F,K$17,'Industrial Summary'!$D:$D,$E209)&gt;0,((-SUMIFS('Industrial Summary'!$G:$G,'Industrial Summary'!$F:$F,K$17,'Industrial Summary'!$D:$D,$E209,'Industrial Summary'!$A:$A,"LPG")+-SUMIFS('Industrial Summary'!$G:$G,'Industrial Summary'!$F:$F,K$17,'Industrial Summary'!$D:$D,"INGRSTM",'Industrial Summary'!$A:$A,"LPG"))/SUMIFS('Industrial Summary'!$G:$G,'Industrial Summary'!$F:$F,K$17,'Industrial Summary'!$D:$D,$E209)),0))*0.98</f>
        <v>-0.51461562006461148</v>
      </c>
      <c r="L209" s="6">
        <f>(IF(SUMIFS('Industrial Summary'!$G:$G,'Industrial Summary'!$F:$F,L$17,'Industrial Summary'!$D:$D,$E209)&gt;0,((-SUMIFS('Industrial Summary'!$G:$G,'Industrial Summary'!$F:$F,L$17,'Industrial Summary'!$D:$D,$E209,'Industrial Summary'!$A:$A,"LPG")+-SUMIFS('Industrial Summary'!$G:$G,'Industrial Summary'!$F:$F,L$17,'Industrial Summary'!$D:$D,"INGRSTM",'Industrial Summary'!$A:$A,"LPG"))/SUMIFS('Industrial Summary'!$G:$G,'Industrial Summary'!$F:$F,L$17,'Industrial Summary'!$D:$D,$E209)),0))*0.98</f>
        <v>-0.51450300129234927</v>
      </c>
      <c r="M209" s="6">
        <f>(IF(SUMIFS('Industrial Summary'!$G:$G,'Industrial Summary'!$F:$F,M$17,'Industrial Summary'!$D:$D,$E209)&gt;0,((-SUMIFS('Industrial Summary'!$G:$G,'Industrial Summary'!$F:$F,M$17,'Industrial Summary'!$D:$D,$E209,'Industrial Summary'!$A:$A,"LPG")+-SUMIFS('Industrial Summary'!$G:$G,'Industrial Summary'!$F:$F,M$17,'Industrial Summary'!$D:$D,"INGRSTM",'Industrial Summary'!$A:$A,"LPG"))/SUMIFS('Industrial Summary'!$G:$G,'Industrial Summary'!$F:$F,M$17,'Industrial Summary'!$D:$D,$E209)),0))*0.98</f>
        <v>-0.51450300129234983</v>
      </c>
      <c r="N209" s="6">
        <f>(IF(SUMIFS('Industrial Summary'!$G:$G,'Industrial Summary'!$F:$F,N$17,'Industrial Summary'!$D:$D,$E209)&gt;0,((-SUMIFS('Industrial Summary'!$G:$G,'Industrial Summary'!$F:$F,N$17,'Industrial Summary'!$D:$D,$E209,'Industrial Summary'!$A:$A,"LPG")+-SUMIFS('Industrial Summary'!$G:$G,'Industrial Summary'!$F:$F,N$17,'Industrial Summary'!$D:$D,"INGRSTM",'Industrial Summary'!$A:$A,"LPG"))/SUMIFS('Industrial Summary'!$G:$G,'Industrial Summary'!$F:$F,N$17,'Industrial Summary'!$D:$D,$E209)),0))*0.98</f>
        <v>-0.51450300129235027</v>
      </c>
      <c r="O209" s="6">
        <f>(IF(SUMIFS('Industrial Summary'!$G:$G,'Industrial Summary'!$F:$F,O$17,'Industrial Summary'!$D:$D,$E209)&gt;0,((-SUMIFS('Industrial Summary'!$G:$G,'Industrial Summary'!$F:$F,O$17,'Industrial Summary'!$D:$D,$E209,'Industrial Summary'!$A:$A,"LPG")+-SUMIFS('Industrial Summary'!$G:$G,'Industrial Summary'!$F:$F,O$17,'Industrial Summary'!$D:$D,"INGRSTM",'Industrial Summary'!$A:$A,"LPG"))/SUMIFS('Industrial Summary'!$G:$G,'Industrial Summary'!$F:$F,O$17,'Industrial Summary'!$D:$D,$E209)),0))*0.98</f>
        <v>-0.51468946203816857</v>
      </c>
      <c r="P209" s="6">
        <f>(IF(SUMIFS('Industrial Summary'!$G:$G,'Industrial Summary'!$F:$F,P$17,'Industrial Summary'!$D:$D,$E209)&gt;0,((-SUMIFS('Industrial Summary'!$G:$G,'Industrial Summary'!$F:$F,P$17,'Industrial Summary'!$D:$D,$E209,'Industrial Summary'!$A:$A,"LPG")+-SUMIFS('Industrial Summary'!$G:$G,'Industrial Summary'!$F:$F,P$17,'Industrial Summary'!$D:$D,"INGRSTM",'Industrial Summary'!$A:$A,"LPG"))/SUMIFS('Industrial Summary'!$G:$G,'Industrial Summary'!$F:$F,P$17,'Industrial Summary'!$D:$D,$E209)),0))*0.98</f>
        <v>-0.51468946203816712</v>
      </c>
      <c r="Q209" s="5">
        <v>0</v>
      </c>
      <c r="R209" s="5">
        <v>15</v>
      </c>
      <c r="S209" s="5" t="str">
        <f t="shared" si="33"/>
        <v>UC_INGOH_LPG</v>
      </c>
      <c r="V209" s="4" t="str">
        <f t="shared" si="34"/>
        <v>S_INGOHLPG</v>
      </c>
      <c r="W209" s="4" t="str">
        <f t="shared" si="35"/>
        <v>INGOH_LPG</v>
      </c>
      <c r="X209" s="4" t="str">
        <f t="shared" si="36"/>
        <v>INGOHT</v>
      </c>
      <c r="Y209" s="5" t="str">
        <f t="shared" si="37"/>
        <v>LO</v>
      </c>
      <c r="Z209" s="5">
        <v>1</v>
      </c>
      <c r="AA209" s="6">
        <f t="shared" si="38"/>
        <v>-0.51399718735590572</v>
      </c>
      <c r="AB209" s="6">
        <f t="shared" si="39"/>
        <v>-0.51399718735590727</v>
      </c>
      <c r="AC209" s="6">
        <f t="shared" si="40"/>
        <v>-0.51461562006461081</v>
      </c>
      <c r="AD209" s="6">
        <f t="shared" si="41"/>
        <v>-0.51461562006461148</v>
      </c>
      <c r="AE209" s="6">
        <f t="shared" si="42"/>
        <v>-0.51450300129234927</v>
      </c>
      <c r="AF209" s="6">
        <f t="shared" si="43"/>
        <v>-0.51450300129234983</v>
      </c>
      <c r="AG209" s="6">
        <f t="shared" si="44"/>
        <v>-0.51450300129235027</v>
      </c>
      <c r="AH209" s="6">
        <f t="shared" si="45"/>
        <v>-0.51468946203816857</v>
      </c>
      <c r="AI209" s="6">
        <f t="shared" si="46"/>
        <v>-0.51468946203816712</v>
      </c>
      <c r="AL209" s="5" t="str">
        <f t="shared" si="47"/>
        <v>LPG</v>
      </c>
      <c r="AM209" s="5">
        <f>1</f>
        <v>1</v>
      </c>
    </row>
    <row r="210" spans="1:39" s="5" customFormat="1" x14ac:dyDescent="0.3">
      <c r="A210" s="8"/>
      <c r="C210" s="4" t="s">
        <v>430</v>
      </c>
      <c r="D210" s="5" t="s">
        <v>431</v>
      </c>
      <c r="E210" s="5" t="s">
        <v>762</v>
      </c>
      <c r="F210" s="5" t="s">
        <v>1591</v>
      </c>
      <c r="G210" s="5">
        <v>1</v>
      </c>
      <c r="H210" s="6">
        <f>(IF(SUMIFS('Industrial Summary'!$G:$G,'Industrial Summary'!$F:$F,H$17,'Industrial Summary'!$D:$D,$E210)&gt;0,((-SUMIFS('Industrial Summary'!$G:$G,'Industrial Summary'!$F:$F,H$17,'Industrial Summary'!$D:$D,$E210,'Industrial Summary'!$A:$A,"COA")+-SUMIFS('Industrial Summary'!$G:$G,'Industrial Summary'!$F:$F,H$17,'Industrial Summary'!$D:$D,"INGRSTM",'Industrial Summary'!$A:$A,"COA"))/SUMIFS('Industrial Summary'!$G:$G,'Industrial Summary'!$F:$F,H$17,'Industrial Summary'!$D:$D,$E210)),0))*0.98</f>
        <v>-3.7097537534449177E-3</v>
      </c>
      <c r="I210" s="6">
        <f>(IF(SUMIFS('Industrial Summary'!$G:$G,'Industrial Summary'!$F:$F,I$17,'Industrial Summary'!$D:$D,$E210)&gt;0,((-SUMIFS('Industrial Summary'!$G:$G,'Industrial Summary'!$F:$F,I$17,'Industrial Summary'!$D:$D,$E210,'Industrial Summary'!$A:$A,"COA")+-SUMIFS('Industrial Summary'!$G:$G,'Industrial Summary'!$F:$F,I$17,'Industrial Summary'!$D:$D,"INGRSTM",'Industrial Summary'!$A:$A,"COA"))/SUMIFS('Industrial Summary'!$G:$G,'Industrial Summary'!$F:$F,I$17,'Industrial Summary'!$D:$D,$E210)),0))*0.98</f>
        <v>-3.7097537534449038E-3</v>
      </c>
      <c r="J210" s="6">
        <f>(IF(SUMIFS('Industrial Summary'!$G:$G,'Industrial Summary'!$F:$F,J$17,'Industrial Summary'!$D:$D,$E210)&gt;0,((-SUMIFS('Industrial Summary'!$G:$G,'Industrial Summary'!$F:$F,J$17,'Industrial Summary'!$D:$D,$E210,'Industrial Summary'!$A:$A,"COA")+-SUMIFS('Industrial Summary'!$G:$G,'Industrial Summary'!$F:$F,J$17,'Industrial Summary'!$D:$D,"INGRSTM",'Industrial Summary'!$A:$A,"COA"))/SUMIFS('Industrial Summary'!$G:$G,'Industrial Summary'!$F:$F,J$17,'Industrial Summary'!$D:$D,$E210)),0))*0.98</f>
        <v>-3.7142172663177475E-3</v>
      </c>
      <c r="K210" s="6">
        <f>(IF(SUMIFS('Industrial Summary'!$G:$G,'Industrial Summary'!$F:$F,K$17,'Industrial Summary'!$D:$D,$E210)&gt;0,((-SUMIFS('Industrial Summary'!$G:$G,'Industrial Summary'!$F:$F,K$17,'Industrial Summary'!$D:$D,$E210,'Industrial Summary'!$A:$A,"COA")+-SUMIFS('Industrial Summary'!$G:$G,'Industrial Summary'!$F:$F,K$17,'Industrial Summary'!$D:$D,"INGRSTM",'Industrial Summary'!$A:$A,"COA"))/SUMIFS('Industrial Summary'!$G:$G,'Industrial Summary'!$F:$F,K$17,'Industrial Summary'!$D:$D,$E210)),0))*0.98</f>
        <v>-3.7142172663177423E-3</v>
      </c>
      <c r="L210" s="6">
        <f>(IF(SUMIFS('Industrial Summary'!$G:$G,'Industrial Summary'!$F:$F,L$17,'Industrial Summary'!$D:$D,$E210)&gt;0,((-SUMIFS('Industrial Summary'!$G:$G,'Industrial Summary'!$F:$F,L$17,'Industrial Summary'!$D:$D,$E210,'Industrial Summary'!$A:$A,"COA")+-SUMIFS('Industrial Summary'!$G:$G,'Industrial Summary'!$F:$F,L$17,'Industrial Summary'!$D:$D,"INGRSTM",'Industrial Summary'!$A:$A,"COA"))/SUMIFS('Industrial Summary'!$G:$G,'Industrial Summary'!$F:$F,L$17,'Industrial Summary'!$D:$D,$E210)),0))*0.98</f>
        <v>-3.7134044449183591E-3</v>
      </c>
      <c r="M210" s="6">
        <f>(IF(SUMIFS('Industrial Summary'!$G:$G,'Industrial Summary'!$F:$F,M$17,'Industrial Summary'!$D:$D,$E210)&gt;0,((-SUMIFS('Industrial Summary'!$G:$G,'Industrial Summary'!$F:$F,M$17,'Industrial Summary'!$D:$D,$E210,'Industrial Summary'!$A:$A,"COA")+-SUMIFS('Industrial Summary'!$G:$G,'Industrial Summary'!$F:$F,M$17,'Industrial Summary'!$D:$D,"INGRSTM",'Industrial Summary'!$A:$A,"COA"))/SUMIFS('Industrial Summary'!$G:$G,'Industrial Summary'!$F:$F,M$17,'Industrial Summary'!$D:$D,$E210)),0))*0.98</f>
        <v>-3.7134044449183652E-3</v>
      </c>
      <c r="N210" s="6">
        <f>(IF(SUMIFS('Industrial Summary'!$G:$G,'Industrial Summary'!$F:$F,N$17,'Industrial Summary'!$D:$D,$E210)&gt;0,((-SUMIFS('Industrial Summary'!$G:$G,'Industrial Summary'!$F:$F,N$17,'Industrial Summary'!$D:$D,$E210,'Industrial Summary'!$A:$A,"COA")+-SUMIFS('Industrial Summary'!$G:$G,'Industrial Summary'!$F:$F,N$17,'Industrial Summary'!$D:$D,"INGRSTM",'Industrial Summary'!$A:$A,"COA"))/SUMIFS('Industrial Summary'!$G:$G,'Industrial Summary'!$F:$F,N$17,'Industrial Summary'!$D:$D,$E210)),0))*0.98</f>
        <v>-3.7134044449183496E-3</v>
      </c>
      <c r="O210" s="6">
        <f>(IF(SUMIFS('Industrial Summary'!$G:$G,'Industrial Summary'!$F:$F,O$17,'Industrial Summary'!$D:$D,$E210)&gt;0,((-SUMIFS('Industrial Summary'!$G:$G,'Industrial Summary'!$F:$F,O$17,'Industrial Summary'!$D:$D,$E210,'Industrial Summary'!$A:$A,"COA")+-SUMIFS('Industrial Summary'!$G:$G,'Industrial Summary'!$F:$F,O$17,'Industrial Summary'!$D:$D,"INGRSTM",'Industrial Summary'!$A:$A,"COA"))/SUMIFS('Industrial Summary'!$G:$G,'Industrial Summary'!$F:$F,O$17,'Industrial Summary'!$D:$D,$E210)),0))*0.98</f>
        <v>-3.7147502177526971E-3</v>
      </c>
      <c r="P210" s="6">
        <f>(IF(SUMIFS('Industrial Summary'!$G:$G,'Industrial Summary'!$F:$F,P$17,'Industrial Summary'!$D:$D,$E210)&gt;0,((-SUMIFS('Industrial Summary'!$G:$G,'Industrial Summary'!$F:$F,P$17,'Industrial Summary'!$D:$D,$E210,'Industrial Summary'!$A:$A,"COA")+-SUMIFS('Industrial Summary'!$G:$G,'Industrial Summary'!$F:$F,P$17,'Industrial Summary'!$D:$D,"INGRSTM",'Industrial Summary'!$A:$A,"COA"))/SUMIFS('Industrial Summary'!$G:$G,'Industrial Summary'!$F:$F,P$17,'Industrial Summary'!$D:$D,$E210)),0))*0.98</f>
        <v>-3.7147502177526858E-3</v>
      </c>
      <c r="Q210" s="5">
        <v>0</v>
      </c>
      <c r="R210" s="5">
        <v>15</v>
      </c>
      <c r="S210" s="5" t="str">
        <f t="shared" ref="S210:S273" si="48">_xlfn.CONCAT("UC_",D210)</f>
        <v>UC_INGOH_COA</v>
      </c>
      <c r="V210" s="4" t="str">
        <f t="shared" si="34"/>
        <v>S_INGOHCOA</v>
      </c>
      <c r="W210" s="4" t="str">
        <f t="shared" si="35"/>
        <v>INGOH_COA</v>
      </c>
      <c r="X210" s="4" t="str">
        <f t="shared" si="36"/>
        <v>INGOHT</v>
      </c>
      <c r="Y210" s="5" t="str">
        <f t="shared" si="37"/>
        <v>UP</v>
      </c>
      <c r="Z210" s="5">
        <v>1</v>
      </c>
      <c r="AA210" s="6">
        <f t="shared" si="38"/>
        <v>-1.8177793391880095E-3</v>
      </c>
      <c r="AB210" s="6">
        <f t="shared" si="39"/>
        <v>-1.8177793391880028E-3</v>
      </c>
      <c r="AC210" s="6">
        <f t="shared" si="40"/>
        <v>-1.8199664604956962E-3</v>
      </c>
      <c r="AD210" s="6">
        <f t="shared" si="41"/>
        <v>-1.8199664604956938E-3</v>
      </c>
      <c r="AE210" s="6">
        <f t="shared" si="42"/>
        <v>-1.819568178009996E-3</v>
      </c>
      <c r="AF210" s="6">
        <f t="shared" si="43"/>
        <v>-1.8195681780099988E-3</v>
      </c>
      <c r="AG210" s="6">
        <f t="shared" si="44"/>
        <v>-1.8195681780099912E-3</v>
      </c>
      <c r="AH210" s="6">
        <f t="shared" si="45"/>
        <v>-1.8202276066988216E-3</v>
      </c>
      <c r="AI210" s="6">
        <f t="shared" si="46"/>
        <v>-1.820227606698816E-3</v>
      </c>
      <c r="AL210" s="5" t="str">
        <f t="shared" si="47"/>
        <v>COA</v>
      </c>
      <c r="AM210" s="5">
        <f>Z8</f>
        <v>0.49</v>
      </c>
    </row>
    <row r="211" spans="1:39" s="5" customFormat="1" x14ac:dyDescent="0.3">
      <c r="C211" s="4" t="s">
        <v>432</v>
      </c>
      <c r="D211" s="5" t="s">
        <v>433</v>
      </c>
      <c r="E211" s="5" t="s">
        <v>779</v>
      </c>
      <c r="F211" s="5" t="s">
        <v>1588</v>
      </c>
      <c r="G211" s="5">
        <v>1</v>
      </c>
      <c r="H211" s="6">
        <f>(IF(SUMIFS('Industrial Summary'!$G:$G,'Industrial Summary'!$F:$F,H$17,'Industrial Summary'!$D:$D,$E211)&gt;0,((-SUMIFS('Industrial Summary'!$G:$G,'Industrial Summary'!$F:$F,H$17,'Industrial Summary'!$D:$D,$E211,'Industrial Summary'!$A:$A,"NGA")+-SUMIFS('Industrial Summary'!$G:$G,'Industrial Summary'!$F:$F,H$17,'Industrial Summary'!$D:$D,"INOFSTM",'Industrial Summary'!$A:$A,"NGA"))/SUMIFS('Industrial Summary'!$G:$G,'Industrial Summary'!$F:$F,H$17,'Industrial Summary'!$D:$D,$E211)),0))*0.98</f>
        <v>0</v>
      </c>
      <c r="I211" s="6">
        <f>(IF(SUMIFS('Industrial Summary'!$G:$G,'Industrial Summary'!$F:$F,I$17,'Industrial Summary'!$D:$D,$E211)&gt;0,((-SUMIFS('Industrial Summary'!$G:$G,'Industrial Summary'!$F:$F,I$17,'Industrial Summary'!$D:$D,$E211,'Industrial Summary'!$A:$A,"NGA")+-SUMIFS('Industrial Summary'!$G:$G,'Industrial Summary'!$F:$F,I$17,'Industrial Summary'!$D:$D,"INOFSTM",'Industrial Summary'!$A:$A,"NGA"))/SUMIFS('Industrial Summary'!$G:$G,'Industrial Summary'!$F:$F,I$17,'Industrial Summary'!$D:$D,$E211)),0))*0.98</f>
        <v>-0.98000000000000109</v>
      </c>
      <c r="J211" s="6">
        <f>(IF(SUMIFS('Industrial Summary'!$G:$G,'Industrial Summary'!$F:$F,J$17,'Industrial Summary'!$D:$D,$E211)&gt;0,((-SUMIFS('Industrial Summary'!$G:$G,'Industrial Summary'!$F:$F,J$17,'Industrial Summary'!$D:$D,$E211,'Industrial Summary'!$A:$A,"NGA")+-SUMIFS('Industrial Summary'!$G:$G,'Industrial Summary'!$F:$F,J$17,'Industrial Summary'!$D:$D,"INOFSTM",'Industrial Summary'!$A:$A,"NGA"))/SUMIFS('Industrial Summary'!$G:$G,'Industrial Summary'!$F:$F,J$17,'Industrial Summary'!$D:$D,$E211)),0))*0.98</f>
        <v>-0.98</v>
      </c>
      <c r="K211" s="6">
        <f>(IF(SUMIFS('Industrial Summary'!$G:$G,'Industrial Summary'!$F:$F,K$17,'Industrial Summary'!$D:$D,$E211)&gt;0,((-SUMIFS('Industrial Summary'!$G:$G,'Industrial Summary'!$F:$F,K$17,'Industrial Summary'!$D:$D,$E211,'Industrial Summary'!$A:$A,"NGA")+-SUMIFS('Industrial Summary'!$G:$G,'Industrial Summary'!$F:$F,K$17,'Industrial Summary'!$D:$D,"INOFSTM",'Industrial Summary'!$A:$A,"NGA"))/SUMIFS('Industrial Summary'!$G:$G,'Industrial Summary'!$F:$F,K$17,'Industrial Summary'!$D:$D,$E211)),0))*0.98</f>
        <v>-0.98</v>
      </c>
      <c r="L211" s="6">
        <f>(IF(SUMIFS('Industrial Summary'!$G:$G,'Industrial Summary'!$F:$F,L$17,'Industrial Summary'!$D:$D,$E211)&gt;0,((-SUMIFS('Industrial Summary'!$G:$G,'Industrial Summary'!$F:$F,L$17,'Industrial Summary'!$D:$D,$E211,'Industrial Summary'!$A:$A,"NGA")+-SUMIFS('Industrial Summary'!$G:$G,'Industrial Summary'!$F:$F,L$17,'Industrial Summary'!$D:$D,"INOFSTM",'Industrial Summary'!$A:$A,"NGA"))/SUMIFS('Industrial Summary'!$G:$G,'Industrial Summary'!$F:$F,L$17,'Industrial Summary'!$D:$D,$E211)),0))*0.98</f>
        <v>-0.98</v>
      </c>
      <c r="M211" s="6">
        <f>(IF(SUMIFS('Industrial Summary'!$G:$G,'Industrial Summary'!$F:$F,M$17,'Industrial Summary'!$D:$D,$E211)&gt;0,((-SUMIFS('Industrial Summary'!$G:$G,'Industrial Summary'!$F:$F,M$17,'Industrial Summary'!$D:$D,$E211,'Industrial Summary'!$A:$A,"NGA")+-SUMIFS('Industrial Summary'!$G:$G,'Industrial Summary'!$F:$F,M$17,'Industrial Summary'!$D:$D,"INOFSTM",'Industrial Summary'!$A:$A,"NGA"))/SUMIFS('Industrial Summary'!$G:$G,'Industrial Summary'!$F:$F,M$17,'Industrial Summary'!$D:$D,$E211)),0))*0.98</f>
        <v>-0.98</v>
      </c>
      <c r="N211" s="6">
        <f>(IF(SUMIFS('Industrial Summary'!$G:$G,'Industrial Summary'!$F:$F,N$17,'Industrial Summary'!$D:$D,$E211)&gt;0,((-SUMIFS('Industrial Summary'!$G:$G,'Industrial Summary'!$F:$F,N$17,'Industrial Summary'!$D:$D,$E211,'Industrial Summary'!$A:$A,"NGA")+-SUMIFS('Industrial Summary'!$G:$G,'Industrial Summary'!$F:$F,N$17,'Industrial Summary'!$D:$D,"INOFSTM",'Industrial Summary'!$A:$A,"NGA"))/SUMIFS('Industrial Summary'!$G:$G,'Industrial Summary'!$F:$F,N$17,'Industrial Summary'!$D:$D,$E211)),0))*0.98</f>
        <v>0</v>
      </c>
      <c r="O211" s="6">
        <f>(IF(SUMIFS('Industrial Summary'!$G:$G,'Industrial Summary'!$F:$F,O$17,'Industrial Summary'!$D:$D,$E211)&gt;0,((-SUMIFS('Industrial Summary'!$G:$G,'Industrial Summary'!$F:$F,O$17,'Industrial Summary'!$D:$D,$E211,'Industrial Summary'!$A:$A,"NGA")+-SUMIFS('Industrial Summary'!$G:$G,'Industrial Summary'!$F:$F,O$17,'Industrial Summary'!$D:$D,"INOFSTM",'Industrial Summary'!$A:$A,"NGA"))/SUMIFS('Industrial Summary'!$G:$G,'Industrial Summary'!$F:$F,O$17,'Industrial Summary'!$D:$D,$E211)),0))*0.98</f>
        <v>-0.97999999999999643</v>
      </c>
      <c r="P211" s="6">
        <f>(IF(SUMIFS('Industrial Summary'!$G:$G,'Industrial Summary'!$F:$F,P$17,'Industrial Summary'!$D:$D,$E211)&gt;0,((-SUMIFS('Industrial Summary'!$G:$G,'Industrial Summary'!$F:$F,P$17,'Industrial Summary'!$D:$D,$E211,'Industrial Summary'!$A:$A,"NGA")+-SUMIFS('Industrial Summary'!$G:$G,'Industrial Summary'!$F:$F,P$17,'Industrial Summary'!$D:$D,"INOFSTM",'Industrial Summary'!$A:$A,"NGA"))/SUMIFS('Industrial Summary'!$G:$G,'Industrial Summary'!$F:$F,P$17,'Industrial Summary'!$D:$D,$E211)),0))*0.98</f>
        <v>-0.98</v>
      </c>
      <c r="Q211" s="5">
        <v>0</v>
      </c>
      <c r="R211" s="5">
        <v>15</v>
      </c>
      <c r="S211" s="5" t="str">
        <f t="shared" si="48"/>
        <v>UC_INOST_NGA</v>
      </c>
      <c r="V211" s="4" t="str">
        <f t="shared" ref="V211:V274" si="49">C211</f>
        <v>S_INOSTNGA</v>
      </c>
      <c r="W211" s="4" t="str">
        <f t="shared" ref="W211:W274" si="50">D211</f>
        <v>INOST_NGA</v>
      </c>
      <c r="X211" s="4" t="str">
        <f t="shared" ref="X211:X274" si="51">E211</f>
        <v>INOSTM</v>
      </c>
      <c r="Y211" s="5" t="str">
        <f t="shared" ref="Y211:Y274" si="52">F211</f>
        <v>LO</v>
      </c>
      <c r="Z211" s="5">
        <v>1</v>
      </c>
      <c r="AA211" s="6">
        <f t="shared" ref="AA211:AA274" si="53">H211*$AM211</f>
        <v>0</v>
      </c>
      <c r="AB211" s="6">
        <f t="shared" ref="AB211:AB274" si="54">I211*$AM211</f>
        <v>-0.69580000000000075</v>
      </c>
      <c r="AC211" s="6">
        <f t="shared" ref="AC211:AC274" si="55">J211*$AM211</f>
        <v>-0.69579999999999997</v>
      </c>
      <c r="AD211" s="6">
        <f t="shared" ref="AD211:AD274" si="56">K211*$AM211</f>
        <v>-0.69579999999999997</v>
      </c>
      <c r="AE211" s="6">
        <f t="shared" ref="AE211:AE274" si="57">L211*$AM211</f>
        <v>-0.69579999999999997</v>
      </c>
      <c r="AF211" s="6">
        <f t="shared" ref="AF211:AF274" si="58">M211*$AM211</f>
        <v>-0.69579999999999997</v>
      </c>
      <c r="AG211" s="6">
        <f t="shared" ref="AG211:AG274" si="59">N211*$AM211</f>
        <v>0</v>
      </c>
      <c r="AH211" s="6">
        <f t="shared" ref="AH211:AH274" si="60">O211*$AM211</f>
        <v>-0.69579999999999742</v>
      </c>
      <c r="AI211" s="6">
        <f t="shared" ref="AI211:AI274" si="61">P211*$AM211</f>
        <v>-0.69579999999999997</v>
      </c>
      <c r="AL211" s="5" t="str">
        <f t="shared" ref="AL211:AL274" si="62">RIGHT(W211,3)</f>
        <v>NGA</v>
      </c>
      <c r="AM211" s="5">
        <f>Y8</f>
        <v>0.71</v>
      </c>
    </row>
    <row r="212" spans="1:39" s="5" customFormat="1" x14ac:dyDescent="0.3">
      <c r="C212" s="4" t="s">
        <v>435</v>
      </c>
      <c r="D212" s="5" t="s">
        <v>436</v>
      </c>
      <c r="E212" s="5" t="s">
        <v>796</v>
      </c>
      <c r="F212" s="5" t="s">
        <v>1588</v>
      </c>
      <c r="G212" s="5">
        <v>1</v>
      </c>
      <c r="H212" s="6">
        <f>IF(SUMIFS('Industrial Summary'!$G:$G,'Industrial Summary'!$F:$F,H$17,'Industrial Summary'!$D:$D,$E212)&gt;0,(-SUMIFS('Industrial Summary'!$G:$G,'Industrial Summary'!$F:$F,H$17,'Industrial Summary'!$D:$D,$E212,'Industrial Summary'!$A:$A,"ELC")/SUMIFS('Industrial Summary'!$G:$G,'Industrial Summary'!$F:$F,H$17,'Industrial Summary'!$D:$D,$E212)),0)*0.98</f>
        <v>-4.0429937921440576E-2</v>
      </c>
      <c r="I212" s="6">
        <f>IF(SUMIFS('Industrial Summary'!$G:$G,'Industrial Summary'!$F:$F,I$17,'Industrial Summary'!$D:$D,$E212)&gt;0,(-SUMIFS('Industrial Summary'!$G:$G,'Industrial Summary'!$F:$F,I$17,'Industrial Summary'!$D:$D,$E212,'Industrial Summary'!$A:$A,"ELC")/SUMIFS('Industrial Summary'!$G:$G,'Industrial Summary'!$F:$F,I$17,'Industrial Summary'!$D:$D,$E212)),0)*0.98</f>
        <v>-4.0429937921439833E-2</v>
      </c>
      <c r="J212" s="6">
        <f>IF(SUMIFS('Industrial Summary'!$G:$G,'Industrial Summary'!$F:$F,J$17,'Industrial Summary'!$D:$D,$E212)&gt;0,(-SUMIFS('Industrial Summary'!$G:$G,'Industrial Summary'!$F:$F,J$17,'Industrial Summary'!$D:$D,$E212,'Industrial Summary'!$A:$A,"ELC")/SUMIFS('Industrial Summary'!$G:$G,'Industrial Summary'!$F:$F,J$17,'Industrial Summary'!$D:$D,$E212)),0)*0.98</f>
        <v>-2.1867674875216462E-2</v>
      </c>
      <c r="K212" s="6">
        <f>IF(SUMIFS('Industrial Summary'!$G:$G,'Industrial Summary'!$F:$F,K$17,'Industrial Summary'!$D:$D,$E212)&gt;0,(-SUMIFS('Industrial Summary'!$G:$G,'Industrial Summary'!$F:$F,K$17,'Industrial Summary'!$D:$D,$E212,'Industrial Summary'!$A:$A,"ELC")/SUMIFS('Industrial Summary'!$G:$G,'Industrial Summary'!$F:$F,K$17,'Industrial Summary'!$D:$D,$E212)),0)*0.98</f>
        <v>-2.1867674875216448E-2</v>
      </c>
      <c r="L212" s="6">
        <f>IF(SUMIFS('Industrial Summary'!$G:$G,'Industrial Summary'!$F:$F,L$17,'Industrial Summary'!$D:$D,$E212)&gt;0,(-SUMIFS('Industrial Summary'!$G:$G,'Industrial Summary'!$F:$F,L$17,'Industrial Summary'!$D:$D,$E212,'Industrial Summary'!$A:$A,"ELC")/SUMIFS('Industrial Summary'!$G:$G,'Industrial Summary'!$F:$F,L$17,'Industrial Summary'!$D:$D,$E212)),0)*0.98</f>
        <v>-3.7866098719819857E-2</v>
      </c>
      <c r="M212" s="6">
        <f>IF(SUMIFS('Industrial Summary'!$G:$G,'Industrial Summary'!$F:$F,M$17,'Industrial Summary'!$D:$D,$E212)&gt;0,(-SUMIFS('Industrial Summary'!$G:$G,'Industrial Summary'!$F:$F,M$17,'Industrial Summary'!$D:$D,$E212,'Industrial Summary'!$A:$A,"ELC")/SUMIFS('Industrial Summary'!$G:$G,'Industrial Summary'!$F:$F,M$17,'Industrial Summary'!$D:$D,$E212)),0)*0.98</f>
        <v>-3.7866098719819781E-2</v>
      </c>
      <c r="N212" s="6">
        <f>IF(SUMIFS('Industrial Summary'!$G:$G,'Industrial Summary'!$F:$F,N$17,'Industrial Summary'!$D:$D,$E212)&gt;0,(-SUMIFS('Industrial Summary'!$G:$G,'Industrial Summary'!$F:$F,N$17,'Industrial Summary'!$D:$D,$E212,'Industrial Summary'!$A:$A,"ELC")/SUMIFS('Industrial Summary'!$G:$G,'Industrial Summary'!$F:$F,N$17,'Industrial Summary'!$D:$D,$E212)),0)*0.98</f>
        <v>-3.7866098719819892E-2</v>
      </c>
      <c r="O212" s="6">
        <f>IF(SUMIFS('Industrial Summary'!$G:$G,'Industrial Summary'!$F:$F,O$17,'Industrial Summary'!$D:$D,$E212)&gt;0,(-SUMIFS('Industrial Summary'!$G:$G,'Industrial Summary'!$F:$F,O$17,'Industrial Summary'!$D:$D,$E212,'Industrial Summary'!$A:$A,"ELC")/SUMIFS('Industrial Summary'!$G:$G,'Industrial Summary'!$F:$F,O$17,'Industrial Summary'!$D:$D,$E212)),0)*0.98</f>
        <v>-3.2696082284544424E-2</v>
      </c>
      <c r="P212" s="6">
        <f>IF(SUMIFS('Industrial Summary'!$G:$G,'Industrial Summary'!$F:$F,P$17,'Industrial Summary'!$D:$D,$E212)&gt;0,(-SUMIFS('Industrial Summary'!$G:$G,'Industrial Summary'!$F:$F,P$17,'Industrial Summary'!$D:$D,$E212,'Industrial Summary'!$A:$A,"ELC")/SUMIFS('Industrial Summary'!$G:$G,'Industrial Summary'!$F:$F,P$17,'Industrial Summary'!$D:$D,$E212)),0)*0.98</f>
        <v>-3.2696082284544431E-2</v>
      </c>
      <c r="Q212" s="6">
        <f>IF(SUMIFS('Industrial Summary'!$G:$G,'Industrial Summary'!$F:$F,Q$17,'Industrial Summary'!$D:$D,$E212)&gt;0,(-SUMIFS('Industrial Summary'!$G:$G,'Industrial Summary'!$F:$F,Q$17,'Industrial Summary'!$D:$D,$E212,'Industrial Summary'!$A:$A,"ELC")/SUMIFS('Industrial Summary'!$G:$G,'Industrial Summary'!$F:$F,Q$17,'Industrial Summary'!$D:$D,$E212)),0)*0.98</f>
        <v>0</v>
      </c>
      <c r="R212" s="5">
        <v>15</v>
      </c>
      <c r="S212" s="5" t="str">
        <f t="shared" si="48"/>
        <v>UC_INOPH_ELC</v>
      </c>
      <c r="V212" s="4" t="str">
        <f t="shared" si="49"/>
        <v>S_INOPHELC</v>
      </c>
      <c r="W212" s="4" t="str">
        <f t="shared" si="50"/>
        <v>INOPH_ELC</v>
      </c>
      <c r="X212" s="4" t="str">
        <f t="shared" si="51"/>
        <v>INOPRH</v>
      </c>
      <c r="Y212" s="5" t="str">
        <f t="shared" si="52"/>
        <v>LO</v>
      </c>
      <c r="Z212" s="5">
        <v>1</v>
      </c>
      <c r="AA212" s="6">
        <f t="shared" si="53"/>
        <v>-4.0429937921440576E-2</v>
      </c>
      <c r="AB212" s="6">
        <f t="shared" si="54"/>
        <v>-4.0429937921439833E-2</v>
      </c>
      <c r="AC212" s="6">
        <f t="shared" si="55"/>
        <v>-2.1867674875216462E-2</v>
      </c>
      <c r="AD212" s="6">
        <f t="shared" si="56"/>
        <v>-2.1867674875216448E-2</v>
      </c>
      <c r="AE212" s="6">
        <f t="shared" si="57"/>
        <v>-3.7866098719819857E-2</v>
      </c>
      <c r="AF212" s="6">
        <f t="shared" si="58"/>
        <v>-3.7866098719819781E-2</v>
      </c>
      <c r="AG212" s="6">
        <f t="shared" si="59"/>
        <v>-3.7866098719819892E-2</v>
      </c>
      <c r="AH212" s="6">
        <f t="shared" si="60"/>
        <v>-3.2696082284544424E-2</v>
      </c>
      <c r="AI212" s="6">
        <f t="shared" si="61"/>
        <v>-3.2696082284544431E-2</v>
      </c>
      <c r="AL212" s="5" t="str">
        <f t="shared" si="62"/>
        <v>ELC</v>
      </c>
      <c r="AM212" s="5">
        <f>1</f>
        <v>1</v>
      </c>
    </row>
    <row r="213" spans="1:39" s="5" customFormat="1" x14ac:dyDescent="0.3">
      <c r="C213" s="4" t="s">
        <v>437</v>
      </c>
      <c r="D213" s="5" t="s">
        <v>438</v>
      </c>
      <c r="E213" s="5" t="s">
        <v>796</v>
      </c>
      <c r="F213" s="5" t="s">
        <v>1588</v>
      </c>
      <c r="G213" s="5">
        <v>1</v>
      </c>
      <c r="H213" s="6">
        <f>IF(SUMIFS('Industrial Summary'!$G:$G,'Industrial Summary'!$F:$F,H$17,'Industrial Summary'!$D:$D,$E213)&gt;0,(-SUMIFS('Industrial Summary'!$G:$G,'Industrial Summary'!$F:$F,H$17,'Industrial Summary'!$D:$D,$E213,'Industrial Summary'!$A:$A,"DST")/SUMIFS('Industrial Summary'!$G:$G,'Industrial Summary'!$F:$F,H$17,'Industrial Summary'!$D:$D,$E213)),0)*0.98</f>
        <v>-5.6667372250786994E-3</v>
      </c>
      <c r="I213" s="6">
        <f>IF(SUMIFS('Industrial Summary'!$G:$G,'Industrial Summary'!$F:$F,I$17,'Industrial Summary'!$D:$D,$E213)&gt;0,(-SUMIFS('Industrial Summary'!$G:$G,'Industrial Summary'!$F:$F,I$17,'Industrial Summary'!$D:$D,$E213,'Industrial Summary'!$A:$A,"DST")/SUMIFS('Industrial Summary'!$G:$G,'Industrial Summary'!$F:$F,I$17,'Industrial Summary'!$D:$D,$E213)),0)*0.98</f>
        <v>-5.6667372250805608E-3</v>
      </c>
      <c r="J213" s="6">
        <f>IF(SUMIFS('Industrial Summary'!$G:$G,'Industrial Summary'!$F:$F,J$17,'Industrial Summary'!$D:$D,$E213)&gt;0,(-SUMIFS('Industrial Summary'!$G:$G,'Industrial Summary'!$F:$F,J$17,'Industrial Summary'!$D:$D,$E213,'Industrial Summary'!$A:$A,"DST")/SUMIFS('Industrial Summary'!$G:$G,'Industrial Summary'!$F:$F,J$17,'Industrial Summary'!$D:$D,$E213)),0)*0.98</f>
        <v>-3.0650150262934678E-3</v>
      </c>
      <c r="K213" s="6">
        <f>IF(SUMIFS('Industrial Summary'!$G:$G,'Industrial Summary'!$F:$F,K$17,'Industrial Summary'!$D:$D,$E213)&gt;0,(-SUMIFS('Industrial Summary'!$G:$G,'Industrial Summary'!$F:$F,K$17,'Industrial Summary'!$D:$D,$E213,'Industrial Summary'!$A:$A,"DST")/SUMIFS('Industrial Summary'!$G:$G,'Industrial Summary'!$F:$F,K$17,'Industrial Summary'!$D:$D,$E213)),0)*0.98</f>
        <v>-3.0650150262903847E-3</v>
      </c>
      <c r="L213" s="6">
        <f>IF(SUMIFS('Industrial Summary'!$G:$G,'Industrial Summary'!$F:$F,L$17,'Industrial Summary'!$D:$D,$E213)&gt;0,(-SUMIFS('Industrial Summary'!$G:$G,'Industrial Summary'!$F:$F,L$17,'Industrial Summary'!$D:$D,$E213,'Industrial Summary'!$A:$A,"DST")/SUMIFS('Industrial Summary'!$G:$G,'Industrial Summary'!$F:$F,L$17,'Industrial Summary'!$D:$D,$E213)),0)*0.98</f>
        <v>-6.243981919625931E-3</v>
      </c>
      <c r="M213" s="6">
        <f>IF(SUMIFS('Industrial Summary'!$G:$G,'Industrial Summary'!$F:$F,M$17,'Industrial Summary'!$D:$D,$E213)&gt;0,(-SUMIFS('Industrial Summary'!$G:$G,'Industrial Summary'!$F:$F,M$17,'Industrial Summary'!$D:$D,$E213,'Industrial Summary'!$A:$A,"DST")/SUMIFS('Industrial Summary'!$G:$G,'Industrial Summary'!$F:$F,M$17,'Industrial Summary'!$D:$D,$E213)),0)*0.98</f>
        <v>-6.2439819196258807E-3</v>
      </c>
      <c r="N213" s="6">
        <f>IF(SUMIFS('Industrial Summary'!$G:$G,'Industrial Summary'!$F:$F,N$17,'Industrial Summary'!$D:$D,$E213)&gt;0,(-SUMIFS('Industrial Summary'!$G:$G,'Industrial Summary'!$F:$F,N$17,'Industrial Summary'!$D:$D,$E213,'Industrial Summary'!$A:$A,"DST")/SUMIFS('Industrial Summary'!$G:$G,'Industrial Summary'!$F:$F,N$17,'Industrial Summary'!$D:$D,$E213)),0)*0.98</f>
        <v>-6.2439819196259084E-3</v>
      </c>
      <c r="O213" s="6">
        <f>IF(SUMIFS('Industrial Summary'!$G:$G,'Industrial Summary'!$F:$F,O$17,'Industrial Summary'!$D:$D,$E213)&gt;0,(-SUMIFS('Industrial Summary'!$G:$G,'Industrial Summary'!$F:$F,O$17,'Industrial Summary'!$D:$D,$E213,'Industrial Summary'!$A:$A,"DST")/SUMIFS('Industrial Summary'!$G:$G,'Industrial Summary'!$F:$F,O$17,'Industrial Summary'!$D:$D,$E213)),0)*0.98</f>
        <v>-1.0998588637324469E-2</v>
      </c>
      <c r="P213" s="6">
        <f>IF(SUMIFS('Industrial Summary'!$G:$G,'Industrial Summary'!$F:$F,P$17,'Industrial Summary'!$D:$D,$E213)&gt;0,(-SUMIFS('Industrial Summary'!$G:$G,'Industrial Summary'!$F:$F,P$17,'Industrial Summary'!$D:$D,$E213,'Industrial Summary'!$A:$A,"DST")/SUMIFS('Industrial Summary'!$G:$G,'Industrial Summary'!$F:$F,P$17,'Industrial Summary'!$D:$D,$E213)),0)*0.98</f>
        <v>-1.0998588637324723E-2</v>
      </c>
      <c r="Q213" s="6">
        <f>IF(SUMIFS('Industrial Summary'!$G:$G,'Industrial Summary'!$F:$F,Q$17,'Industrial Summary'!$D:$D,$E213)&gt;0,(-SUMIFS('Industrial Summary'!$G:$G,'Industrial Summary'!$F:$F,Q$17,'Industrial Summary'!$D:$D,$E213,'Industrial Summary'!$A:$A,"DST")/SUMIFS('Industrial Summary'!$G:$G,'Industrial Summary'!$F:$F,Q$17,'Industrial Summary'!$D:$D,$E213)),0)*0.98</f>
        <v>0</v>
      </c>
      <c r="R213" s="5">
        <v>15</v>
      </c>
      <c r="S213" s="5" t="str">
        <f t="shared" si="48"/>
        <v>UC_INOPH_DST</v>
      </c>
      <c r="V213" s="4" t="str">
        <f t="shared" si="49"/>
        <v>S_INOPHDST</v>
      </c>
      <c r="W213" s="4" t="str">
        <f t="shared" si="50"/>
        <v>INOPH_DST</v>
      </c>
      <c r="X213" s="4" t="str">
        <f t="shared" si="51"/>
        <v>INOPRH</v>
      </c>
      <c r="Y213" s="5" t="str">
        <f t="shared" si="52"/>
        <v>LO</v>
      </c>
      <c r="Z213" s="5">
        <v>1</v>
      </c>
      <c r="AA213" s="6">
        <f t="shared" si="53"/>
        <v>-5.6667372250786994E-3</v>
      </c>
      <c r="AB213" s="6">
        <f t="shared" si="54"/>
        <v>-5.6667372250805608E-3</v>
      </c>
      <c r="AC213" s="6">
        <f t="shared" si="55"/>
        <v>-3.0650150262934678E-3</v>
      </c>
      <c r="AD213" s="6">
        <f t="shared" si="56"/>
        <v>-3.0650150262903847E-3</v>
      </c>
      <c r="AE213" s="6">
        <f t="shared" si="57"/>
        <v>-6.243981919625931E-3</v>
      </c>
      <c r="AF213" s="6">
        <f t="shared" si="58"/>
        <v>-6.2439819196258807E-3</v>
      </c>
      <c r="AG213" s="6">
        <f t="shared" si="59"/>
        <v>-6.2439819196259084E-3</v>
      </c>
      <c r="AH213" s="6">
        <f t="shared" si="60"/>
        <v>-1.0998588637324469E-2</v>
      </c>
      <c r="AI213" s="6">
        <f t="shared" si="61"/>
        <v>-1.0998588637324723E-2</v>
      </c>
      <c r="AL213" s="5" t="str">
        <f t="shared" si="62"/>
        <v>DST</v>
      </c>
      <c r="AM213" s="5">
        <f>1</f>
        <v>1</v>
      </c>
    </row>
    <row r="214" spans="1:39" s="5" customFormat="1" x14ac:dyDescent="0.3">
      <c r="C214" s="4" t="s">
        <v>439</v>
      </c>
      <c r="D214" s="5" t="s">
        <v>440</v>
      </c>
      <c r="E214" s="5" t="s">
        <v>796</v>
      </c>
      <c r="F214" s="5" t="s">
        <v>1588</v>
      </c>
      <c r="G214" s="5">
        <v>1</v>
      </c>
      <c r="H214" s="6">
        <f>IF(SUMIFS('Industrial Summary'!$G:$G,'Industrial Summary'!$F:$F,H$17,'Industrial Summary'!$D:$D,$E214)&gt;0,(-SUMIFS('Industrial Summary'!$G:$G,'Industrial Summary'!$F:$F,H$17,'Industrial Summary'!$D:$D,$E214,'Industrial Summary'!$A:$A,"NGA")/SUMIFS('Industrial Summary'!$G:$G,'Industrial Summary'!$F:$F,H$17,'Industrial Summary'!$D:$D,$E214)),0)*0.98</f>
        <v>-0.58956455928034535</v>
      </c>
      <c r="I214" s="6">
        <f>IF(SUMIFS('Industrial Summary'!$G:$G,'Industrial Summary'!$F:$F,I$17,'Industrial Summary'!$D:$D,$E214)&gt;0,(-SUMIFS('Industrial Summary'!$G:$G,'Industrial Summary'!$F:$F,I$17,'Industrial Summary'!$D:$D,$E214,'Industrial Summary'!$A:$A,"NGA")/SUMIFS('Industrial Summary'!$G:$G,'Industrial Summary'!$F:$F,I$17,'Industrial Summary'!$D:$D,$E214)),0)*0.98</f>
        <v>-0.58956455928034468</v>
      </c>
      <c r="J214" s="6">
        <f>IF(SUMIFS('Industrial Summary'!$G:$G,'Industrial Summary'!$F:$F,J$17,'Industrial Summary'!$D:$D,$E214)&gt;0,(-SUMIFS('Industrial Summary'!$G:$G,'Industrial Summary'!$F:$F,J$17,'Industrial Summary'!$D:$D,$E214,'Industrial Summary'!$A:$A,"NGA")/SUMIFS('Industrial Summary'!$G:$G,'Industrial Summary'!$F:$F,J$17,'Industrial Summary'!$D:$D,$E214)),0)*0.98</f>
        <v>-0.44289258169363932</v>
      </c>
      <c r="K214" s="6">
        <f>IF(SUMIFS('Industrial Summary'!$G:$G,'Industrial Summary'!$F:$F,K$17,'Industrial Summary'!$D:$D,$E214)&gt;0,(-SUMIFS('Industrial Summary'!$G:$G,'Industrial Summary'!$F:$F,K$17,'Industrial Summary'!$D:$D,$E214,'Industrial Summary'!$A:$A,"NGA")/SUMIFS('Industrial Summary'!$G:$G,'Industrial Summary'!$F:$F,K$17,'Industrial Summary'!$D:$D,$E214)),0)*0.98</f>
        <v>-0.44289258169364171</v>
      </c>
      <c r="L214" s="6">
        <f>IF(SUMIFS('Industrial Summary'!$G:$G,'Industrial Summary'!$F:$F,L$17,'Industrial Summary'!$D:$D,$E214)&gt;0,(-SUMIFS('Industrial Summary'!$G:$G,'Industrial Summary'!$F:$F,L$17,'Industrial Summary'!$D:$D,$E214,'Industrial Summary'!$A:$A,"NGA")/SUMIFS('Industrial Summary'!$G:$G,'Industrial Summary'!$F:$F,L$17,'Industrial Summary'!$D:$D,$E214)),0)*0.98</f>
        <v>-0.66044782751624775</v>
      </c>
      <c r="M214" s="6">
        <f>IF(SUMIFS('Industrial Summary'!$G:$G,'Industrial Summary'!$F:$F,M$17,'Industrial Summary'!$D:$D,$E214)&gt;0,(-SUMIFS('Industrial Summary'!$G:$G,'Industrial Summary'!$F:$F,M$17,'Industrial Summary'!$D:$D,$E214,'Industrial Summary'!$A:$A,"NGA")/SUMIFS('Industrial Summary'!$G:$G,'Industrial Summary'!$F:$F,M$17,'Industrial Summary'!$D:$D,$E214)),0)*0.98</f>
        <v>-0.66044782751624631</v>
      </c>
      <c r="N214" s="6">
        <f>IF(SUMIFS('Industrial Summary'!$G:$G,'Industrial Summary'!$F:$F,N$17,'Industrial Summary'!$D:$D,$E214)&gt;0,(-SUMIFS('Industrial Summary'!$G:$G,'Industrial Summary'!$F:$F,N$17,'Industrial Summary'!$D:$D,$E214,'Industrial Summary'!$A:$A,"NGA")/SUMIFS('Industrial Summary'!$G:$G,'Industrial Summary'!$F:$F,N$17,'Industrial Summary'!$D:$D,$E214)),0)*0.98</f>
        <v>-0.66044782751624642</v>
      </c>
      <c r="O214" s="6">
        <f>IF(SUMIFS('Industrial Summary'!$G:$G,'Industrial Summary'!$F:$F,O$17,'Industrial Summary'!$D:$D,$E214)&gt;0,(-SUMIFS('Industrial Summary'!$G:$G,'Industrial Summary'!$F:$F,O$17,'Industrial Summary'!$D:$D,$E214,'Industrial Summary'!$A:$A,"NGA")/SUMIFS('Industrial Summary'!$G:$G,'Industrial Summary'!$F:$F,O$17,'Industrial Summary'!$D:$D,$E214)),0)*0.98</f>
        <v>-0.57214388148913997</v>
      </c>
      <c r="P214" s="6">
        <f>IF(SUMIFS('Industrial Summary'!$G:$G,'Industrial Summary'!$F:$F,P$17,'Industrial Summary'!$D:$D,$E214)&gt;0,(-SUMIFS('Industrial Summary'!$G:$G,'Industrial Summary'!$F:$F,P$17,'Industrial Summary'!$D:$D,$E214,'Industrial Summary'!$A:$A,"NGA")/SUMIFS('Industrial Summary'!$G:$G,'Industrial Summary'!$F:$F,P$17,'Industrial Summary'!$D:$D,$E214)),0)*0.98</f>
        <v>-0.57214388148914008</v>
      </c>
      <c r="Q214" s="6">
        <f>IF(SUMIFS('Industrial Summary'!$G:$G,'Industrial Summary'!$F:$F,Q$17,'Industrial Summary'!$D:$D,$E214)&gt;0,(-SUMIFS('Industrial Summary'!$G:$G,'Industrial Summary'!$F:$F,Q$17,'Industrial Summary'!$D:$D,$E214,'Industrial Summary'!$A:$A,"NGA")/SUMIFS('Industrial Summary'!$G:$G,'Industrial Summary'!$F:$F,Q$17,'Industrial Summary'!$D:$D,$E214)),0)*0.98</f>
        <v>0</v>
      </c>
      <c r="R214" s="5">
        <v>15</v>
      </c>
      <c r="S214" s="5" t="str">
        <f t="shared" si="48"/>
        <v>UC_INOPH_NGA</v>
      </c>
      <c r="V214" s="4" t="str">
        <f t="shared" si="49"/>
        <v>S_INOPHNGA</v>
      </c>
      <c r="W214" s="4" t="str">
        <f t="shared" si="50"/>
        <v>INOPH_NGA</v>
      </c>
      <c r="X214" s="4" t="str">
        <f t="shared" si="51"/>
        <v>INOPRH</v>
      </c>
      <c r="Y214" s="5" t="str">
        <f t="shared" si="52"/>
        <v>LO</v>
      </c>
      <c r="Z214" s="5">
        <v>1</v>
      </c>
      <c r="AA214" s="6">
        <f t="shared" si="53"/>
        <v>-0.41859083708904515</v>
      </c>
      <c r="AB214" s="6">
        <f t="shared" si="54"/>
        <v>-0.41859083708904471</v>
      </c>
      <c r="AC214" s="6">
        <f t="shared" si="55"/>
        <v>-0.31445373300248392</v>
      </c>
      <c r="AD214" s="6">
        <f t="shared" si="56"/>
        <v>-0.31445373300248558</v>
      </c>
      <c r="AE214" s="6">
        <f t="shared" si="57"/>
        <v>-0.46891795753653587</v>
      </c>
      <c r="AF214" s="6">
        <f t="shared" si="58"/>
        <v>-0.46891795753653487</v>
      </c>
      <c r="AG214" s="6">
        <f t="shared" si="59"/>
        <v>-0.46891795753653492</v>
      </c>
      <c r="AH214" s="6">
        <f t="shared" si="60"/>
        <v>-0.40622215585728938</v>
      </c>
      <c r="AI214" s="6">
        <f t="shared" si="61"/>
        <v>-0.40622215585728944</v>
      </c>
      <c r="AL214" s="5" t="str">
        <f t="shared" si="62"/>
        <v>NGA</v>
      </c>
      <c r="AM214" s="5">
        <f>Y8</f>
        <v>0.71</v>
      </c>
    </row>
    <row r="215" spans="1:39" s="5" customFormat="1" x14ac:dyDescent="0.3">
      <c r="C215" s="4" t="s">
        <v>441</v>
      </c>
      <c r="D215" s="5" t="s">
        <v>442</v>
      </c>
      <c r="E215" s="5" t="s">
        <v>796</v>
      </c>
      <c r="F215" s="5" t="s">
        <v>1588</v>
      </c>
      <c r="G215" s="5">
        <v>1</v>
      </c>
      <c r="H215" s="6">
        <f>IF(SUMIFS('Industrial Summary'!$G:$G,'Industrial Summary'!$F:$F,H$17,'Industrial Summary'!$D:$D,$E215)&gt;0,(-SUMIFS('Industrial Summary'!$G:$G,'Industrial Summary'!$F:$F,H$17,'Industrial Summary'!$D:$D,$E215,'Industrial Summary'!$A:$A,"LPG")/SUMIFS('Industrial Summary'!$G:$G,'Industrial Summary'!$F:$F,H$17,'Industrial Summary'!$D:$D,$E215)),0)*0.98</f>
        <v>0</v>
      </c>
      <c r="I215" s="6">
        <f>IF(SUMIFS('Industrial Summary'!$G:$G,'Industrial Summary'!$F:$F,I$17,'Industrial Summary'!$D:$D,$E215)&gt;0,(-SUMIFS('Industrial Summary'!$G:$G,'Industrial Summary'!$F:$F,I$17,'Industrial Summary'!$D:$D,$E215,'Industrial Summary'!$A:$A,"LPG")/SUMIFS('Industrial Summary'!$G:$G,'Industrial Summary'!$F:$F,I$17,'Industrial Summary'!$D:$D,$E215)),0)*0.98</f>
        <v>0</v>
      </c>
      <c r="J215" s="6">
        <f>IF(SUMIFS('Industrial Summary'!$G:$G,'Industrial Summary'!$F:$F,J$17,'Industrial Summary'!$D:$D,$E215)&gt;0,(-SUMIFS('Industrial Summary'!$G:$G,'Industrial Summary'!$F:$F,J$17,'Industrial Summary'!$D:$D,$E215,'Industrial Summary'!$A:$A,"LPG")/SUMIFS('Industrial Summary'!$G:$G,'Industrial Summary'!$F:$F,J$17,'Industrial Summary'!$D:$D,$E215)),0)*0.98</f>
        <v>0</v>
      </c>
      <c r="K215" s="6">
        <f>IF(SUMIFS('Industrial Summary'!$G:$G,'Industrial Summary'!$F:$F,K$17,'Industrial Summary'!$D:$D,$E215)&gt;0,(-SUMIFS('Industrial Summary'!$G:$G,'Industrial Summary'!$F:$F,K$17,'Industrial Summary'!$D:$D,$E215,'Industrial Summary'!$A:$A,"LPG")/SUMIFS('Industrial Summary'!$G:$G,'Industrial Summary'!$F:$F,K$17,'Industrial Summary'!$D:$D,$E215)),0)*0.98</f>
        <v>0</v>
      </c>
      <c r="L215" s="6">
        <f>IF(SUMIFS('Industrial Summary'!$G:$G,'Industrial Summary'!$F:$F,L$17,'Industrial Summary'!$D:$D,$E215)&gt;0,(-SUMIFS('Industrial Summary'!$G:$G,'Industrial Summary'!$F:$F,L$17,'Industrial Summary'!$D:$D,$E215,'Industrial Summary'!$A:$A,"LPG")/SUMIFS('Industrial Summary'!$G:$G,'Industrial Summary'!$F:$F,L$17,'Industrial Summary'!$D:$D,$E215)),0)*0.98</f>
        <v>-3.66226796505728E-4</v>
      </c>
      <c r="M215" s="6">
        <f>IF(SUMIFS('Industrial Summary'!$G:$G,'Industrial Summary'!$F:$F,M$17,'Industrial Summary'!$D:$D,$E215)&gt;0,(-SUMIFS('Industrial Summary'!$G:$G,'Industrial Summary'!$F:$F,M$17,'Industrial Summary'!$D:$D,$E215,'Industrial Summary'!$A:$A,"LPG")/SUMIFS('Industrial Summary'!$G:$G,'Industrial Summary'!$F:$F,M$17,'Industrial Summary'!$D:$D,$E215)),0)*0.98</f>
        <v>-3.6622679650804728E-4</v>
      </c>
      <c r="N215" s="6">
        <f>IF(SUMIFS('Industrial Summary'!$G:$G,'Industrial Summary'!$F:$F,N$17,'Industrial Summary'!$D:$D,$E215)&gt;0,(-SUMIFS('Industrial Summary'!$G:$G,'Industrial Summary'!$F:$F,N$17,'Industrial Summary'!$D:$D,$E215,'Industrial Summary'!$A:$A,"LPG")/SUMIFS('Industrial Summary'!$G:$G,'Industrial Summary'!$F:$F,N$17,'Industrial Summary'!$D:$D,$E215)),0)*0.98</f>
        <v>-3.6622679650710668E-4</v>
      </c>
      <c r="O215" s="6">
        <f>IF(SUMIFS('Industrial Summary'!$G:$G,'Industrial Summary'!$F:$F,O$17,'Industrial Summary'!$D:$D,$E215)&gt;0,(-SUMIFS('Industrial Summary'!$G:$G,'Industrial Summary'!$F:$F,O$17,'Industrial Summary'!$D:$D,$E215,'Industrial Summary'!$A:$A,"LPG")/SUMIFS('Industrial Summary'!$G:$G,'Industrial Summary'!$F:$F,O$17,'Industrial Summary'!$D:$D,$E215)),0)*0.98</f>
        <v>-2.1503254037769995E-3</v>
      </c>
      <c r="P215" s="6">
        <f>IF(SUMIFS('Industrial Summary'!$G:$G,'Industrial Summary'!$F:$F,P$17,'Industrial Summary'!$D:$D,$E215)&gt;0,(-SUMIFS('Industrial Summary'!$G:$G,'Industrial Summary'!$F:$F,P$17,'Industrial Summary'!$D:$D,$E215,'Industrial Summary'!$A:$A,"LPG")/SUMIFS('Industrial Summary'!$G:$G,'Industrial Summary'!$F:$F,P$17,'Industrial Summary'!$D:$D,$E215)),0)*0.98</f>
        <v>-2.1503254037769986E-3</v>
      </c>
      <c r="Q215" s="6">
        <f>IF(SUMIFS('Industrial Summary'!$G:$G,'Industrial Summary'!$F:$F,Q$17,'Industrial Summary'!$D:$D,$E215)&gt;0,(-SUMIFS('Industrial Summary'!$G:$G,'Industrial Summary'!$F:$F,Q$17,'Industrial Summary'!$D:$D,$E215,'Industrial Summary'!$A:$A,"LPG")/SUMIFS('Industrial Summary'!$G:$G,'Industrial Summary'!$F:$F,Q$17,'Industrial Summary'!$D:$D,$E215)),0)*0.98</f>
        <v>0</v>
      </c>
      <c r="R215" s="5">
        <v>15</v>
      </c>
      <c r="S215" s="5" t="str">
        <f t="shared" si="48"/>
        <v>UC_INOPH_LPG</v>
      </c>
      <c r="V215" s="4" t="str">
        <f t="shared" si="49"/>
        <v>S_INOPHLPG</v>
      </c>
      <c r="W215" s="4" t="str">
        <f t="shared" si="50"/>
        <v>INOPH_LPG</v>
      </c>
      <c r="X215" s="4" t="str">
        <f t="shared" si="51"/>
        <v>INOPRH</v>
      </c>
      <c r="Y215" s="5" t="str">
        <f t="shared" si="52"/>
        <v>LO</v>
      </c>
      <c r="Z215" s="5">
        <v>1</v>
      </c>
      <c r="AA215" s="6">
        <f t="shared" si="53"/>
        <v>0</v>
      </c>
      <c r="AB215" s="6">
        <f t="shared" si="54"/>
        <v>0</v>
      </c>
      <c r="AC215" s="6">
        <f t="shared" si="55"/>
        <v>0</v>
      </c>
      <c r="AD215" s="6">
        <f t="shared" si="56"/>
        <v>0</v>
      </c>
      <c r="AE215" s="6">
        <f t="shared" si="57"/>
        <v>-3.66226796505728E-4</v>
      </c>
      <c r="AF215" s="6">
        <f t="shared" si="58"/>
        <v>-3.6622679650804728E-4</v>
      </c>
      <c r="AG215" s="6">
        <f t="shared" si="59"/>
        <v>-3.6622679650710668E-4</v>
      </c>
      <c r="AH215" s="6">
        <f t="shared" si="60"/>
        <v>-2.1503254037769995E-3</v>
      </c>
      <c r="AI215" s="6">
        <f t="shared" si="61"/>
        <v>-2.1503254037769986E-3</v>
      </c>
      <c r="AL215" s="5" t="str">
        <f t="shared" si="62"/>
        <v>LPG</v>
      </c>
      <c r="AM215" s="5">
        <f>1</f>
        <v>1</v>
      </c>
    </row>
    <row r="216" spans="1:39" s="5" customFormat="1" x14ac:dyDescent="0.3">
      <c r="A216" s="8"/>
      <c r="C216" s="4" t="s">
        <v>443</v>
      </c>
      <c r="D216" s="5" t="s">
        <v>444</v>
      </c>
      <c r="E216" s="5" t="s">
        <v>796</v>
      </c>
      <c r="F216" s="5" t="s">
        <v>1591</v>
      </c>
      <c r="G216" s="5">
        <v>1</v>
      </c>
      <c r="H216" s="6">
        <f>IF(SUMIFS('Industrial Summary'!$G:$G,'Industrial Summary'!$F:$F,H$17,'Industrial Summary'!$D:$D,$E216)&gt;0,(-SUMIFS('Industrial Summary'!$G:$G,'Industrial Summary'!$F:$F,H$17,'Industrial Summary'!$D:$D,$E216,'Industrial Summary'!$A:$A,"COA")/SUMIFS('Industrial Summary'!$G:$G,'Industrial Summary'!$F:$F,H$17,'Industrial Summary'!$D:$D,$E216)),0)*0.98</f>
        <v>-0.34433876557313542</v>
      </c>
      <c r="I216" s="6">
        <f>IF(SUMIFS('Industrial Summary'!$G:$G,'Industrial Summary'!$F:$F,I$17,'Industrial Summary'!$D:$D,$E216)&gt;0,(-SUMIFS('Industrial Summary'!$G:$G,'Industrial Summary'!$F:$F,I$17,'Industrial Summary'!$D:$D,$E216,'Industrial Summary'!$A:$A,"COA")/SUMIFS('Industrial Summary'!$G:$G,'Industrial Summary'!$F:$F,I$17,'Industrial Summary'!$D:$D,$E216)),0)*0.98</f>
        <v>-0.34433876557313486</v>
      </c>
      <c r="J216" s="6">
        <f>IF(SUMIFS('Industrial Summary'!$G:$G,'Industrial Summary'!$F:$F,J$17,'Industrial Summary'!$D:$D,$E216)&gt;0,(-SUMIFS('Industrial Summary'!$G:$G,'Industrial Summary'!$F:$F,J$17,'Industrial Summary'!$D:$D,$E216,'Industrial Summary'!$A:$A,"COA")/SUMIFS('Industrial Summary'!$G:$G,'Industrial Summary'!$F:$F,J$17,'Industrial Summary'!$D:$D,$E216)),0)*0.98</f>
        <v>-0.51217472840485068</v>
      </c>
      <c r="K216" s="6">
        <f>IF(SUMIFS('Industrial Summary'!$G:$G,'Industrial Summary'!$F:$F,K$17,'Industrial Summary'!$D:$D,$E216)&gt;0,(-SUMIFS('Industrial Summary'!$G:$G,'Industrial Summary'!$F:$F,K$17,'Industrial Summary'!$D:$D,$E216,'Industrial Summary'!$A:$A,"COA")/SUMIFS('Industrial Summary'!$G:$G,'Industrial Summary'!$F:$F,K$17,'Industrial Summary'!$D:$D,$E216)),0)*0.98</f>
        <v>-0.51217472840485145</v>
      </c>
      <c r="L216" s="6">
        <f>IF(SUMIFS('Industrial Summary'!$G:$G,'Industrial Summary'!$F:$F,L$17,'Industrial Summary'!$D:$D,$E216)&gt;0,(-SUMIFS('Industrial Summary'!$G:$G,'Industrial Summary'!$F:$F,L$17,'Industrial Summary'!$D:$D,$E216,'Industrial Summary'!$A:$A,"COA")/SUMIFS('Industrial Summary'!$G:$G,'Industrial Summary'!$F:$F,L$17,'Industrial Summary'!$D:$D,$E216)),0)*0.98</f>
        <v>-0.27507586504780085</v>
      </c>
      <c r="M216" s="6">
        <f>IF(SUMIFS('Industrial Summary'!$G:$G,'Industrial Summary'!$F:$F,M$17,'Industrial Summary'!$D:$D,$E216)&gt;0,(-SUMIFS('Industrial Summary'!$G:$G,'Industrial Summary'!$F:$F,M$17,'Industrial Summary'!$D:$D,$E216,'Industrial Summary'!$A:$A,"COA")/SUMIFS('Industrial Summary'!$G:$G,'Industrial Summary'!$F:$F,M$17,'Industrial Summary'!$D:$D,$E216)),0)*0.98</f>
        <v>-0.27507586504779991</v>
      </c>
      <c r="N216" s="6">
        <f>IF(SUMIFS('Industrial Summary'!$G:$G,'Industrial Summary'!$F:$F,N$17,'Industrial Summary'!$D:$D,$E216)&gt;0,(-SUMIFS('Industrial Summary'!$G:$G,'Industrial Summary'!$F:$F,N$17,'Industrial Summary'!$D:$D,$E216,'Industrial Summary'!$A:$A,"COA")/SUMIFS('Industrial Summary'!$G:$G,'Industrial Summary'!$F:$F,N$17,'Industrial Summary'!$D:$D,$E216)),0)*0.98</f>
        <v>-0.27507586504780063</v>
      </c>
      <c r="O216" s="6">
        <f>IF(SUMIFS('Industrial Summary'!$G:$G,'Industrial Summary'!$F:$F,O$17,'Industrial Summary'!$D:$D,$E216)&gt;0,(-SUMIFS('Industrial Summary'!$G:$G,'Industrial Summary'!$F:$F,O$17,'Industrial Summary'!$D:$D,$E216,'Industrial Summary'!$A:$A,"COA")/SUMIFS('Industrial Summary'!$G:$G,'Industrial Summary'!$F:$F,O$17,'Industrial Summary'!$D:$D,$E216)),0)*0.98</f>
        <v>-0.36201112218521408</v>
      </c>
      <c r="P216" s="6">
        <f>IF(SUMIFS('Industrial Summary'!$G:$G,'Industrial Summary'!$F:$F,P$17,'Industrial Summary'!$D:$D,$E216)&gt;0,(-SUMIFS('Industrial Summary'!$G:$G,'Industrial Summary'!$F:$F,P$17,'Industrial Summary'!$D:$D,$E216,'Industrial Summary'!$A:$A,"COA")/SUMIFS('Industrial Summary'!$G:$G,'Industrial Summary'!$F:$F,P$17,'Industrial Summary'!$D:$D,$E216)),0)*0.98</f>
        <v>-0.36201112218521381</v>
      </c>
      <c r="Q216" s="6">
        <f>IF(SUMIFS('Industrial Summary'!$G:$G,'Industrial Summary'!$F:$F,Q$17,'Industrial Summary'!$D:$D,$E216)&gt;0,(-SUMIFS('Industrial Summary'!$G:$G,'Industrial Summary'!$F:$F,Q$17,'Industrial Summary'!$D:$D,$E216,'Industrial Summary'!$A:$A,"COA")/SUMIFS('Industrial Summary'!$G:$G,'Industrial Summary'!$F:$F,Q$17,'Industrial Summary'!$D:$D,$E216)),0)*0.98</f>
        <v>0</v>
      </c>
      <c r="R216" s="5">
        <v>15</v>
      </c>
      <c r="S216" s="5" t="str">
        <f t="shared" si="48"/>
        <v>UC_INOPH_COA</v>
      </c>
      <c r="V216" s="4" t="str">
        <f t="shared" si="49"/>
        <v>S_INOPHCOA</v>
      </c>
      <c r="W216" s="4" t="str">
        <f t="shared" si="50"/>
        <v>INOPH_COA</v>
      </c>
      <c r="X216" s="4" t="str">
        <f t="shared" si="51"/>
        <v>INOPRH</v>
      </c>
      <c r="Y216" s="5" t="str">
        <f t="shared" si="52"/>
        <v>UP</v>
      </c>
      <c r="Z216" s="5">
        <v>1</v>
      </c>
      <c r="AA216" s="6">
        <f t="shared" si="53"/>
        <v>-0.16872599513083636</v>
      </c>
      <c r="AB216" s="6">
        <f t="shared" si="54"/>
        <v>-0.16872599513083608</v>
      </c>
      <c r="AC216" s="6">
        <f t="shared" si="55"/>
        <v>-0.25096561691837682</v>
      </c>
      <c r="AD216" s="6">
        <f t="shared" si="56"/>
        <v>-0.25096561691837721</v>
      </c>
      <c r="AE216" s="6">
        <f t="shared" si="57"/>
        <v>-0.1347871738734224</v>
      </c>
      <c r="AF216" s="6">
        <f t="shared" si="58"/>
        <v>-0.13478717387342196</v>
      </c>
      <c r="AG216" s="6">
        <f t="shared" si="59"/>
        <v>-0.13478717387342232</v>
      </c>
      <c r="AH216" s="6">
        <f t="shared" si="60"/>
        <v>-0.17738544987075489</v>
      </c>
      <c r="AI216" s="6">
        <f t="shared" si="61"/>
        <v>-0.17738544987075477</v>
      </c>
      <c r="AL216" s="5" t="str">
        <f t="shared" si="62"/>
        <v>COA</v>
      </c>
      <c r="AM216" s="5">
        <f>Z8</f>
        <v>0.49</v>
      </c>
    </row>
    <row r="217" spans="1:39" s="5" customFormat="1" x14ac:dyDescent="0.3">
      <c r="C217" s="4" t="s">
        <v>445</v>
      </c>
      <c r="D217" s="5" t="s">
        <v>446</v>
      </c>
      <c r="E217" s="5" t="s">
        <v>747</v>
      </c>
      <c r="F217" s="5" t="s">
        <v>1588</v>
      </c>
      <c r="G217" s="5">
        <v>1</v>
      </c>
      <c r="H217" s="6">
        <f>IF(SUMIFS('Industrial Summary'!$G:$G,'Industrial Summary'!$F:$F,H$17,'Industrial Summary'!$D:$D,$E217)&gt;0,(-SUMIFS('Industrial Summary'!$G:$G,'Industrial Summary'!$F:$F,H$17,'Industrial Summary'!$D:$D,$E217,'Industrial Summary'!$A:$A,"ELC")/SUMIFS('Industrial Summary'!$G:$G,'Industrial Summary'!$F:$F,H$17,'Industrial Summary'!$D:$D,$E217)),0)*0.98</f>
        <v>-0.74910391853635916</v>
      </c>
      <c r="I217" s="6">
        <f>IF(SUMIFS('Industrial Summary'!$G:$G,'Industrial Summary'!$F:$F,I$17,'Industrial Summary'!$D:$D,$E217)&gt;0,(-SUMIFS('Industrial Summary'!$G:$G,'Industrial Summary'!$F:$F,I$17,'Industrial Summary'!$D:$D,$E217,'Industrial Summary'!$A:$A,"ELC")/SUMIFS('Industrial Summary'!$G:$G,'Industrial Summary'!$F:$F,I$17,'Industrial Summary'!$D:$D,$E217)),0)*0.98</f>
        <v>-0.74910391853635949</v>
      </c>
      <c r="J217" s="6">
        <f>IF(SUMIFS('Industrial Summary'!$G:$G,'Industrial Summary'!$F:$F,J$17,'Industrial Summary'!$D:$D,$E217)&gt;0,(-SUMIFS('Industrial Summary'!$G:$G,'Industrial Summary'!$F:$F,J$17,'Industrial Summary'!$D:$D,$E217,'Industrial Summary'!$A:$A,"ELC")/SUMIFS('Industrial Summary'!$G:$G,'Industrial Summary'!$F:$F,J$17,'Industrial Summary'!$D:$D,$E217)),0)*0.98</f>
        <v>-0.72218117808113025</v>
      </c>
      <c r="K217" s="6">
        <f>IF(SUMIFS('Industrial Summary'!$G:$G,'Industrial Summary'!$F:$F,K$17,'Industrial Summary'!$D:$D,$E217)&gt;0,(-SUMIFS('Industrial Summary'!$G:$G,'Industrial Summary'!$F:$F,K$17,'Industrial Summary'!$D:$D,$E217,'Industrial Summary'!$A:$A,"ELC")/SUMIFS('Industrial Summary'!$G:$G,'Industrial Summary'!$F:$F,K$17,'Industrial Summary'!$D:$D,$E217)),0)*0.98</f>
        <v>-0.72218117808113058</v>
      </c>
      <c r="L217" s="6">
        <f>IF(SUMIFS('Industrial Summary'!$G:$G,'Industrial Summary'!$F:$F,L$17,'Industrial Summary'!$D:$D,$E217)&gt;0,(-SUMIFS('Industrial Summary'!$G:$G,'Industrial Summary'!$F:$F,L$17,'Industrial Summary'!$D:$D,$E217,'Industrial Summary'!$A:$A,"ELC")/SUMIFS('Industrial Summary'!$G:$G,'Industrial Summary'!$F:$F,L$17,'Industrial Summary'!$D:$D,$E217)),0)*0.98</f>
        <v>-0.71790548523063724</v>
      </c>
      <c r="M217" s="6">
        <f>IF(SUMIFS('Industrial Summary'!$G:$G,'Industrial Summary'!$F:$F,M$17,'Industrial Summary'!$D:$D,$E217)&gt;0,(-SUMIFS('Industrial Summary'!$G:$G,'Industrial Summary'!$F:$F,M$17,'Industrial Summary'!$D:$D,$E217,'Industrial Summary'!$A:$A,"ELC")/SUMIFS('Industrial Summary'!$G:$G,'Industrial Summary'!$F:$F,M$17,'Industrial Summary'!$D:$D,$E217)),0)*0.98</f>
        <v>-0.71790548523063735</v>
      </c>
      <c r="N217" s="6">
        <f>IF(SUMIFS('Industrial Summary'!$G:$G,'Industrial Summary'!$F:$F,N$17,'Industrial Summary'!$D:$D,$E217)&gt;0,(-SUMIFS('Industrial Summary'!$G:$G,'Industrial Summary'!$F:$F,N$17,'Industrial Summary'!$D:$D,$E217,'Industrial Summary'!$A:$A,"ELC")/SUMIFS('Industrial Summary'!$G:$G,'Industrial Summary'!$F:$F,N$17,'Industrial Summary'!$D:$D,$E217)),0)*0.98</f>
        <v>-0.71790548523063524</v>
      </c>
      <c r="O217" s="6">
        <f>IF(SUMIFS('Industrial Summary'!$G:$G,'Industrial Summary'!$F:$F,O$17,'Industrial Summary'!$D:$D,$E217)&gt;0,(-SUMIFS('Industrial Summary'!$G:$G,'Industrial Summary'!$F:$F,O$17,'Industrial Summary'!$D:$D,$E217,'Industrial Summary'!$A:$A,"ELC")/SUMIFS('Industrial Summary'!$G:$G,'Industrial Summary'!$F:$F,O$17,'Industrial Summary'!$D:$D,$E217)),0)*0.98</f>
        <v>-0.6166393829890825</v>
      </c>
      <c r="P217" s="6">
        <f>IF(SUMIFS('Industrial Summary'!$G:$G,'Industrial Summary'!$F:$F,P$17,'Industrial Summary'!$D:$D,$E217)&gt;0,(-SUMIFS('Industrial Summary'!$G:$G,'Industrial Summary'!$F:$F,P$17,'Industrial Summary'!$D:$D,$E217,'Industrial Summary'!$A:$A,"ELC")/SUMIFS('Industrial Summary'!$G:$G,'Industrial Summary'!$F:$F,P$17,'Industrial Summary'!$D:$D,$E217)),0)*0.98</f>
        <v>-0.61663938298908361</v>
      </c>
      <c r="Q217" s="6">
        <f>IF(SUMIFS('Industrial Summary'!$G:$G,'Industrial Summary'!$F:$F,Q$17,'Industrial Summary'!$D:$D,$E217)&gt;0,(-SUMIFS('Industrial Summary'!$G:$G,'Industrial Summary'!$F:$F,Q$17,'Industrial Summary'!$D:$D,$E217,'Industrial Summary'!$A:$A,"ELC")/SUMIFS('Industrial Summary'!$G:$G,'Industrial Summary'!$F:$F,Q$17,'Industrial Summary'!$D:$D,$E217)),0)*0.98</f>
        <v>0</v>
      </c>
      <c r="R217" s="5">
        <v>15</v>
      </c>
      <c r="S217" s="5" t="str">
        <f t="shared" si="48"/>
        <v>UC_INOMD_ELC</v>
      </c>
      <c r="V217" s="4" t="str">
        <f t="shared" si="49"/>
        <v>S_INOMDELC</v>
      </c>
      <c r="W217" s="4" t="str">
        <f t="shared" si="50"/>
        <v>INOMD_ELC</v>
      </c>
      <c r="X217" s="4" t="str">
        <f t="shared" si="51"/>
        <v>INOMDR</v>
      </c>
      <c r="Y217" s="5" t="str">
        <f t="shared" si="52"/>
        <v>LO</v>
      </c>
      <c r="Z217" s="5">
        <v>1</v>
      </c>
      <c r="AA217" s="6">
        <f t="shared" si="53"/>
        <v>-0.74910391853635916</v>
      </c>
      <c r="AB217" s="6">
        <f t="shared" si="54"/>
        <v>-0.74910391853635949</v>
      </c>
      <c r="AC217" s="6">
        <f t="shared" si="55"/>
        <v>-0.72218117808113025</v>
      </c>
      <c r="AD217" s="6">
        <f t="shared" si="56"/>
        <v>-0.72218117808113058</v>
      </c>
      <c r="AE217" s="6">
        <f t="shared" si="57"/>
        <v>-0.71790548523063724</v>
      </c>
      <c r="AF217" s="6">
        <f t="shared" si="58"/>
        <v>-0.71790548523063735</v>
      </c>
      <c r="AG217" s="6">
        <f t="shared" si="59"/>
        <v>-0.71790548523063524</v>
      </c>
      <c r="AH217" s="6">
        <f t="shared" si="60"/>
        <v>-0.6166393829890825</v>
      </c>
      <c r="AI217" s="6">
        <f t="shared" si="61"/>
        <v>-0.61663938298908361</v>
      </c>
      <c r="AL217" s="5" t="str">
        <f t="shared" si="62"/>
        <v>ELC</v>
      </c>
      <c r="AM217" s="5">
        <f>1</f>
        <v>1</v>
      </c>
    </row>
    <row r="218" spans="1:39" s="5" customFormat="1" x14ac:dyDescent="0.3">
      <c r="C218" s="4" t="s">
        <v>447</v>
      </c>
      <c r="D218" s="5" t="s">
        <v>448</v>
      </c>
      <c r="E218" s="5" t="s">
        <v>747</v>
      </c>
      <c r="F218" s="5" t="s">
        <v>1588</v>
      </c>
      <c r="G218" s="5">
        <v>1</v>
      </c>
      <c r="H218" s="6">
        <f>IF(SUMIFS('Industrial Summary'!$G:$G,'Industrial Summary'!$F:$F,H$17,'Industrial Summary'!$D:$D,$E218)&gt;0,(-SUMIFS('Industrial Summary'!$G:$G,'Industrial Summary'!$F:$F,H$17,'Industrial Summary'!$D:$D,$E218,'Industrial Summary'!$A:$A,"DST")/SUMIFS('Industrial Summary'!$G:$G,'Industrial Summary'!$F:$F,H$17,'Industrial Summary'!$D:$D,$E218)),0)*0.98</f>
        <v>-0.13695108814846435</v>
      </c>
      <c r="I218" s="6">
        <f>IF(SUMIFS('Industrial Summary'!$G:$G,'Industrial Summary'!$F:$F,I$17,'Industrial Summary'!$D:$D,$E218)&gt;0,(-SUMIFS('Industrial Summary'!$G:$G,'Industrial Summary'!$F:$F,I$17,'Industrial Summary'!$D:$D,$E218,'Industrial Summary'!$A:$A,"DST")/SUMIFS('Industrial Summary'!$G:$G,'Industrial Summary'!$F:$F,I$17,'Industrial Summary'!$D:$D,$E218)),0)*0.98</f>
        <v>-0.13695108814846449</v>
      </c>
      <c r="J218" s="6">
        <f>IF(SUMIFS('Industrial Summary'!$G:$G,'Industrial Summary'!$F:$F,J$17,'Industrial Summary'!$D:$D,$E218)&gt;0,(-SUMIFS('Industrial Summary'!$G:$G,'Industrial Summary'!$F:$F,J$17,'Industrial Summary'!$D:$D,$E218,'Industrial Summary'!$A:$A,"DST")/SUMIFS('Industrial Summary'!$G:$G,'Industrial Summary'!$F:$F,J$17,'Industrial Summary'!$D:$D,$E218)),0)*0.98</f>
        <v>-0.13202907598159927</v>
      </c>
      <c r="K218" s="6">
        <f>IF(SUMIFS('Industrial Summary'!$G:$G,'Industrial Summary'!$F:$F,K$17,'Industrial Summary'!$D:$D,$E218)&gt;0,(-SUMIFS('Industrial Summary'!$G:$G,'Industrial Summary'!$F:$F,K$17,'Industrial Summary'!$D:$D,$E218,'Industrial Summary'!$A:$A,"DST")/SUMIFS('Industrial Summary'!$G:$G,'Industrial Summary'!$F:$F,K$17,'Industrial Summary'!$D:$D,$E218)),0)*0.98</f>
        <v>-0.13202907598159908</v>
      </c>
      <c r="L218" s="6">
        <f>IF(SUMIFS('Industrial Summary'!$G:$G,'Industrial Summary'!$F:$F,L$17,'Industrial Summary'!$D:$D,$E218)&gt;0,(-SUMIFS('Industrial Summary'!$G:$G,'Industrial Summary'!$F:$F,L$17,'Industrial Summary'!$D:$D,$E218,'Industrial Summary'!$A:$A,"DST")/SUMIFS('Industrial Summary'!$G:$G,'Industrial Summary'!$F:$F,L$17,'Industrial Summary'!$D:$D,$E218)),0)*0.98</f>
        <v>-0.15440869921144665</v>
      </c>
      <c r="M218" s="6">
        <f>IF(SUMIFS('Industrial Summary'!$G:$G,'Industrial Summary'!$F:$F,M$17,'Industrial Summary'!$D:$D,$E218)&gt;0,(-SUMIFS('Industrial Summary'!$G:$G,'Industrial Summary'!$F:$F,M$17,'Industrial Summary'!$D:$D,$E218,'Industrial Summary'!$A:$A,"DST")/SUMIFS('Industrial Summary'!$G:$G,'Industrial Summary'!$F:$F,M$17,'Industrial Summary'!$D:$D,$E218)),0)*0.98</f>
        <v>-0.15440869921144665</v>
      </c>
      <c r="N218" s="6">
        <f>IF(SUMIFS('Industrial Summary'!$G:$G,'Industrial Summary'!$F:$F,N$17,'Industrial Summary'!$D:$D,$E218)&gt;0,(-SUMIFS('Industrial Summary'!$G:$G,'Industrial Summary'!$F:$F,N$17,'Industrial Summary'!$D:$D,$E218,'Industrial Summary'!$A:$A,"DST")/SUMIFS('Industrial Summary'!$G:$G,'Industrial Summary'!$F:$F,N$17,'Industrial Summary'!$D:$D,$E218)),0)*0.98</f>
        <v>-0.15440869921144898</v>
      </c>
      <c r="O218" s="6">
        <f>IF(SUMIFS('Industrial Summary'!$G:$G,'Industrial Summary'!$F:$F,O$17,'Industrial Summary'!$D:$D,$E218)&gt;0,(-SUMIFS('Industrial Summary'!$G:$G,'Industrial Summary'!$F:$F,O$17,'Industrial Summary'!$D:$D,$E218,'Industrial Summary'!$A:$A,"DST")/SUMIFS('Industrial Summary'!$G:$G,'Industrial Summary'!$F:$F,O$17,'Industrial Summary'!$D:$D,$E218)),0)*0.98</f>
        <v>-0.27056145051988495</v>
      </c>
      <c r="P218" s="6">
        <f>IF(SUMIFS('Industrial Summary'!$G:$G,'Industrial Summary'!$F:$F,P$17,'Industrial Summary'!$D:$D,$E218)&gt;0,(-SUMIFS('Industrial Summary'!$G:$G,'Industrial Summary'!$F:$F,P$17,'Industrial Summary'!$D:$D,$E218,'Industrial Summary'!$A:$A,"DST")/SUMIFS('Industrial Summary'!$G:$G,'Industrial Summary'!$F:$F,P$17,'Industrial Summary'!$D:$D,$E218)),0)*0.98</f>
        <v>-0.27056145051988373</v>
      </c>
      <c r="Q218" s="6">
        <f>IF(SUMIFS('Industrial Summary'!$G:$G,'Industrial Summary'!$F:$F,Q$17,'Industrial Summary'!$D:$D,$E218)&gt;0,(-SUMIFS('Industrial Summary'!$G:$G,'Industrial Summary'!$F:$F,Q$17,'Industrial Summary'!$D:$D,$E218,'Industrial Summary'!$A:$A,"DST")/SUMIFS('Industrial Summary'!$G:$G,'Industrial Summary'!$F:$F,Q$17,'Industrial Summary'!$D:$D,$E218)),0)*0.98</f>
        <v>0</v>
      </c>
      <c r="R218" s="5">
        <v>15</v>
      </c>
      <c r="S218" s="5" t="str">
        <f t="shared" si="48"/>
        <v>UC_INOMD_DST</v>
      </c>
      <c r="V218" s="4" t="str">
        <f t="shared" si="49"/>
        <v>S_INOMDDST</v>
      </c>
      <c r="W218" s="4" t="str">
        <f t="shared" si="50"/>
        <v>INOMD_DST</v>
      </c>
      <c r="X218" s="4" t="str">
        <f t="shared" si="51"/>
        <v>INOMDR</v>
      </c>
      <c r="Y218" s="5" t="str">
        <f t="shared" si="52"/>
        <v>LO</v>
      </c>
      <c r="Z218" s="5">
        <v>1</v>
      </c>
      <c r="AA218" s="6">
        <f t="shared" si="53"/>
        <v>-0.13695108814846435</v>
      </c>
      <c r="AB218" s="6">
        <f t="shared" si="54"/>
        <v>-0.13695108814846449</v>
      </c>
      <c r="AC218" s="6">
        <f t="shared" si="55"/>
        <v>-0.13202907598159927</v>
      </c>
      <c r="AD218" s="6">
        <f t="shared" si="56"/>
        <v>-0.13202907598159908</v>
      </c>
      <c r="AE218" s="6">
        <f t="shared" si="57"/>
        <v>-0.15440869921144665</v>
      </c>
      <c r="AF218" s="6">
        <f t="shared" si="58"/>
        <v>-0.15440869921144665</v>
      </c>
      <c r="AG218" s="6">
        <f t="shared" si="59"/>
        <v>-0.15440869921144898</v>
      </c>
      <c r="AH218" s="6">
        <f t="shared" si="60"/>
        <v>-0.27056145051988495</v>
      </c>
      <c r="AI218" s="6">
        <f t="shared" si="61"/>
        <v>-0.27056145051988373</v>
      </c>
      <c r="AL218" s="5" t="str">
        <f t="shared" si="62"/>
        <v>DST</v>
      </c>
      <c r="AM218" s="5">
        <f>1</f>
        <v>1</v>
      </c>
    </row>
    <row r="219" spans="1:39" s="5" customFormat="1" x14ac:dyDescent="0.3">
      <c r="A219" s="8"/>
      <c r="C219" s="4" t="s">
        <v>449</v>
      </c>
      <c r="D219" s="5" t="s">
        <v>450</v>
      </c>
      <c r="E219" s="5" t="s">
        <v>747</v>
      </c>
      <c r="F219" s="5" t="s">
        <v>1588</v>
      </c>
      <c r="G219" s="5">
        <v>1</v>
      </c>
      <c r="H219" s="6">
        <f>IF(SUMIFS('Industrial Summary'!$G:$G,'Industrial Summary'!$F:$F,H$17,'Industrial Summary'!$D:$D,$E219)&gt;0,(-SUMIFS('Industrial Summary'!$G:$G,'Industrial Summary'!$F:$F,H$17,'Industrial Summary'!$D:$D,$E219,'Industrial Summary'!$A:$A,"NGA")/SUMIFS('Industrial Summary'!$G:$G,'Industrial Summary'!$F:$F,H$17,'Industrial Summary'!$D:$D,$E219)),0)*0.98</f>
        <v>-9.39449933151765E-2</v>
      </c>
      <c r="I219" s="6">
        <f>IF(SUMIFS('Industrial Summary'!$G:$G,'Industrial Summary'!$F:$F,I$17,'Industrial Summary'!$D:$D,$E219)&gt;0,(-SUMIFS('Industrial Summary'!$G:$G,'Industrial Summary'!$F:$F,I$17,'Industrial Summary'!$D:$D,$E219,'Industrial Summary'!$A:$A,"NGA")/SUMIFS('Industrial Summary'!$G:$G,'Industrial Summary'!$F:$F,I$17,'Industrial Summary'!$D:$D,$E219)),0)*0.98</f>
        <v>-9.3944993315176042E-2</v>
      </c>
      <c r="J219" s="6">
        <f>IF(SUMIFS('Industrial Summary'!$G:$G,'Industrial Summary'!$F:$F,J$17,'Industrial Summary'!$D:$D,$E219)&gt;0,(-SUMIFS('Industrial Summary'!$G:$G,'Industrial Summary'!$F:$F,J$17,'Industrial Summary'!$D:$D,$E219,'Industrial Summary'!$A:$A,"NGA")/SUMIFS('Industrial Summary'!$G:$G,'Industrial Summary'!$F:$F,J$17,'Industrial Summary'!$D:$D,$E219)),0)*0.98</f>
        <v>-0.12578974593727044</v>
      </c>
      <c r="K219" s="6">
        <f>IF(SUMIFS('Industrial Summary'!$G:$G,'Industrial Summary'!$F:$F,K$17,'Industrial Summary'!$D:$D,$E219)&gt;0,(-SUMIFS('Industrial Summary'!$G:$G,'Industrial Summary'!$F:$F,K$17,'Industrial Summary'!$D:$D,$E219,'Industrial Summary'!$A:$A,"NGA")/SUMIFS('Industrial Summary'!$G:$G,'Industrial Summary'!$F:$F,K$17,'Industrial Summary'!$D:$D,$E219)),0)*0.98</f>
        <v>-0.12578974593727033</v>
      </c>
      <c r="L219" s="6">
        <f>IF(SUMIFS('Industrial Summary'!$G:$G,'Industrial Summary'!$F:$F,L$17,'Industrial Summary'!$D:$D,$E219)&gt;0,(-SUMIFS('Industrial Summary'!$G:$G,'Industrial Summary'!$F:$F,L$17,'Industrial Summary'!$D:$D,$E219,'Industrial Summary'!$A:$A,"NGA")/SUMIFS('Industrial Summary'!$G:$G,'Industrial Summary'!$F:$F,L$17,'Industrial Summary'!$D:$D,$E219)),0)*0.98</f>
        <v>-0.10768581555791606</v>
      </c>
      <c r="M219" s="6">
        <f>IF(SUMIFS('Industrial Summary'!$G:$G,'Industrial Summary'!$F:$F,M$17,'Industrial Summary'!$D:$D,$E219)&gt;0,(-SUMIFS('Industrial Summary'!$G:$G,'Industrial Summary'!$F:$F,M$17,'Industrial Summary'!$D:$D,$E219,'Industrial Summary'!$A:$A,"NGA")/SUMIFS('Industrial Summary'!$G:$G,'Industrial Summary'!$F:$F,M$17,'Industrial Summary'!$D:$D,$E219)),0)*0.98</f>
        <v>-0.10768581555791597</v>
      </c>
      <c r="N219" s="6">
        <f>IF(SUMIFS('Industrial Summary'!$G:$G,'Industrial Summary'!$F:$F,N$17,'Industrial Summary'!$D:$D,$E219)&gt;0,(-SUMIFS('Industrial Summary'!$G:$G,'Industrial Summary'!$F:$F,N$17,'Industrial Summary'!$D:$D,$E219,'Industrial Summary'!$A:$A,"NGA")/SUMIFS('Industrial Summary'!$G:$G,'Industrial Summary'!$F:$F,N$17,'Industrial Summary'!$D:$D,$E219)),0)*0.98</f>
        <v>-0.10768581555791576</v>
      </c>
      <c r="O219" s="6">
        <f>IF(SUMIFS('Industrial Summary'!$G:$G,'Industrial Summary'!$F:$F,O$17,'Industrial Summary'!$D:$D,$E219)&gt;0,(-SUMIFS('Industrial Summary'!$G:$G,'Industrial Summary'!$F:$F,O$17,'Industrial Summary'!$D:$D,$E219,'Industrial Summary'!$A:$A,"NGA")/SUMIFS('Industrial Summary'!$G:$G,'Industrial Summary'!$F:$F,O$17,'Industrial Summary'!$D:$D,$E219)),0)*0.98</f>
        <v>-9.2799166491032578E-2</v>
      </c>
      <c r="P219" s="6">
        <f>IF(SUMIFS('Industrial Summary'!$G:$G,'Industrial Summary'!$F:$F,P$17,'Industrial Summary'!$D:$D,$E219)&gt;0,(-SUMIFS('Industrial Summary'!$G:$G,'Industrial Summary'!$F:$F,P$17,'Industrial Summary'!$D:$D,$E219,'Industrial Summary'!$A:$A,"NGA")/SUMIFS('Industrial Summary'!$G:$G,'Industrial Summary'!$F:$F,P$17,'Industrial Summary'!$D:$D,$E219)),0)*0.98</f>
        <v>-9.2799166491032495E-2</v>
      </c>
      <c r="Q219" s="6">
        <f>IF(SUMIFS('Industrial Summary'!$G:$G,'Industrial Summary'!$F:$F,Q$17,'Industrial Summary'!$D:$D,$E219)&gt;0,(-SUMIFS('Industrial Summary'!$G:$G,'Industrial Summary'!$F:$F,Q$17,'Industrial Summary'!$D:$D,$E219,'Industrial Summary'!$A:$A,"NGA")/SUMIFS('Industrial Summary'!$G:$G,'Industrial Summary'!$F:$F,Q$17,'Industrial Summary'!$D:$D,$E219)),0)*0.98</f>
        <v>0</v>
      </c>
      <c r="R219" s="5">
        <v>15</v>
      </c>
      <c r="S219" s="5" t="str">
        <f t="shared" si="48"/>
        <v>UC_INOMD_NGA</v>
      </c>
      <c r="V219" s="4" t="str">
        <f t="shared" si="49"/>
        <v>S_INOMDNGA</v>
      </c>
      <c r="W219" s="4" t="str">
        <f t="shared" si="50"/>
        <v>INOMD_NGA</v>
      </c>
      <c r="X219" s="4" t="str">
        <f t="shared" si="51"/>
        <v>INOMDR</v>
      </c>
      <c r="Y219" s="5" t="str">
        <f t="shared" si="52"/>
        <v>LO</v>
      </c>
      <c r="Z219" s="5">
        <v>1</v>
      </c>
      <c r="AA219" s="6">
        <f t="shared" si="53"/>
        <v>-6.6700945253775318E-2</v>
      </c>
      <c r="AB219" s="6">
        <f t="shared" si="54"/>
        <v>-6.6700945253774985E-2</v>
      </c>
      <c r="AC219" s="6">
        <f t="shared" si="55"/>
        <v>-8.9310719615462011E-2</v>
      </c>
      <c r="AD219" s="6">
        <f t="shared" si="56"/>
        <v>-8.9310719615461928E-2</v>
      </c>
      <c r="AE219" s="6">
        <f t="shared" si="57"/>
        <v>-7.6456929046120406E-2</v>
      </c>
      <c r="AF219" s="6">
        <f t="shared" si="58"/>
        <v>-7.6456929046120337E-2</v>
      </c>
      <c r="AG219" s="6">
        <f t="shared" si="59"/>
        <v>-7.6456929046120184E-2</v>
      </c>
      <c r="AH219" s="6">
        <f t="shared" si="60"/>
        <v>-6.5887408208633133E-2</v>
      </c>
      <c r="AI219" s="6">
        <f t="shared" si="61"/>
        <v>-6.5887408208633064E-2</v>
      </c>
      <c r="AL219" s="5" t="str">
        <f t="shared" si="62"/>
        <v>NGA</v>
      </c>
      <c r="AM219" s="5">
        <f>Y8</f>
        <v>0.71</v>
      </c>
    </row>
    <row r="220" spans="1:39" s="5" customFormat="1" x14ac:dyDescent="0.3">
      <c r="C220" s="4" t="s">
        <v>451</v>
      </c>
      <c r="D220" s="5" t="s">
        <v>452</v>
      </c>
      <c r="E220" s="5" t="s">
        <v>733</v>
      </c>
      <c r="F220" s="5" t="s">
        <v>1588</v>
      </c>
      <c r="G220" s="5">
        <v>1</v>
      </c>
      <c r="H220" s="6">
        <f>IF(SUMIFS('Industrial Summary'!$G:$G,'Industrial Summary'!$F:$F,H$17,'Industrial Summary'!$D:$D,$E220)&gt;0,(-SUMIFS('Industrial Summary'!$G:$G,'Industrial Summary'!$F:$F,H$17,'Industrial Summary'!$D:$D,$E220,'Industrial Summary'!$A:$A,"ELC")/SUMIFS('Industrial Summary'!$G:$G,'Industrial Summary'!$F:$F,H$17,'Industrial Summary'!$D:$D,$E220)),0)*0.98</f>
        <v>-0.27254565462423352</v>
      </c>
      <c r="I220" s="6">
        <f>IF(SUMIFS('Industrial Summary'!$G:$G,'Industrial Summary'!$F:$F,I$17,'Industrial Summary'!$D:$D,$E220)&gt;0,(-SUMIFS('Industrial Summary'!$G:$G,'Industrial Summary'!$F:$F,I$17,'Industrial Summary'!$D:$D,$E220,'Industrial Summary'!$A:$A,"ELC")/SUMIFS('Industrial Summary'!$G:$G,'Industrial Summary'!$F:$F,I$17,'Industrial Summary'!$D:$D,$E220)),0)*0.98</f>
        <v>-0.27254565462423314</v>
      </c>
      <c r="J220" s="6">
        <f>IF(SUMIFS('Industrial Summary'!$G:$G,'Industrial Summary'!$F:$F,J$17,'Industrial Summary'!$D:$D,$E220)&gt;0,(-SUMIFS('Industrial Summary'!$G:$G,'Industrial Summary'!$F:$F,J$17,'Industrial Summary'!$D:$D,$E220,'Industrial Summary'!$A:$A,"ELC")/SUMIFS('Industrial Summary'!$G:$G,'Industrial Summary'!$F:$F,J$17,'Industrial Summary'!$D:$D,$E220)),0)*0.98</f>
        <v>-0.22562231444268896</v>
      </c>
      <c r="K220" s="6">
        <f>IF(SUMIFS('Industrial Summary'!$G:$G,'Industrial Summary'!$F:$F,K$17,'Industrial Summary'!$D:$D,$E220)&gt;0,(-SUMIFS('Industrial Summary'!$G:$G,'Industrial Summary'!$F:$F,K$17,'Industrial Summary'!$D:$D,$E220,'Industrial Summary'!$A:$A,"ELC")/SUMIFS('Industrial Summary'!$G:$G,'Industrial Summary'!$F:$F,K$17,'Industrial Summary'!$D:$D,$E220)),0)*0.98</f>
        <v>-0.22562231444268913</v>
      </c>
      <c r="L220" s="6">
        <f>IF(SUMIFS('Industrial Summary'!$G:$G,'Industrial Summary'!$F:$F,L$17,'Industrial Summary'!$D:$D,$E220)&gt;0,(-SUMIFS('Industrial Summary'!$G:$G,'Industrial Summary'!$F:$F,L$17,'Industrial Summary'!$D:$D,$E220,'Industrial Summary'!$A:$A,"ELC")/SUMIFS('Industrial Summary'!$G:$G,'Industrial Summary'!$F:$F,L$17,'Industrial Summary'!$D:$D,$E220)),0)*0.98</f>
        <v>-0.23884331579894041</v>
      </c>
      <c r="M220" s="6">
        <f>IF(SUMIFS('Industrial Summary'!$G:$G,'Industrial Summary'!$F:$F,M$17,'Industrial Summary'!$D:$D,$E220)&gt;0,(-SUMIFS('Industrial Summary'!$G:$G,'Industrial Summary'!$F:$F,M$17,'Industrial Summary'!$D:$D,$E220,'Industrial Summary'!$A:$A,"ELC")/SUMIFS('Industrial Summary'!$G:$G,'Industrial Summary'!$F:$F,M$17,'Industrial Summary'!$D:$D,$E220)),0)*0.98</f>
        <v>-0.23884331579893975</v>
      </c>
      <c r="N220" s="6">
        <f>IF(SUMIFS('Industrial Summary'!$G:$G,'Industrial Summary'!$F:$F,N$17,'Industrial Summary'!$D:$D,$E220)&gt;0,(-SUMIFS('Industrial Summary'!$G:$G,'Industrial Summary'!$F:$F,N$17,'Industrial Summary'!$D:$D,$E220,'Industrial Summary'!$A:$A,"ELC")/SUMIFS('Industrial Summary'!$G:$G,'Industrial Summary'!$F:$F,N$17,'Industrial Summary'!$D:$D,$E220)),0)*0.98</f>
        <v>-0.23884331579893991</v>
      </c>
      <c r="O220" s="6">
        <f>IF(SUMIFS('Industrial Summary'!$G:$G,'Industrial Summary'!$F:$F,O$17,'Industrial Summary'!$D:$D,$E220)&gt;0,(-SUMIFS('Industrial Summary'!$G:$G,'Industrial Summary'!$F:$F,O$17,'Industrial Summary'!$D:$D,$E220,'Industrial Summary'!$A:$A,"ELC")/SUMIFS('Industrial Summary'!$G:$G,'Industrial Summary'!$F:$F,O$17,'Industrial Summary'!$D:$D,$E220)),0)*0.98</f>
        <v>-0.19595585176919719</v>
      </c>
      <c r="P220" s="6">
        <f>IF(SUMIFS('Industrial Summary'!$G:$G,'Industrial Summary'!$F:$F,P$17,'Industrial Summary'!$D:$D,$E220)&gt;0,(-SUMIFS('Industrial Summary'!$G:$G,'Industrial Summary'!$F:$F,P$17,'Industrial Summary'!$D:$D,$E220,'Industrial Summary'!$A:$A,"ELC")/SUMIFS('Industrial Summary'!$G:$G,'Industrial Summary'!$F:$F,P$17,'Industrial Summary'!$D:$D,$E220)),0)*0.98</f>
        <v>-0.19595585176919877</v>
      </c>
      <c r="Q220" s="6">
        <f>IF(SUMIFS('Industrial Summary'!$G:$G,'Industrial Summary'!$F:$F,Q$17,'Industrial Summary'!$D:$D,$E220)&gt;0,(-SUMIFS('Industrial Summary'!$G:$G,'Industrial Summary'!$F:$F,Q$17,'Industrial Summary'!$D:$D,$E220,'Industrial Summary'!$A:$A,"ELC")/SUMIFS('Industrial Summary'!$G:$G,'Industrial Summary'!$F:$F,Q$17,'Industrial Summary'!$D:$D,$E220)),0)*0.98</f>
        <v>0</v>
      </c>
      <c r="R220" s="5">
        <v>15</v>
      </c>
      <c r="S220" s="5" t="str">
        <f t="shared" si="48"/>
        <v>UC_INOFA_ELC</v>
      </c>
      <c r="V220" s="4" t="str">
        <f t="shared" si="49"/>
        <v>S_INOFAELC</v>
      </c>
      <c r="W220" s="4" t="str">
        <f t="shared" si="50"/>
        <v>INOFA_ELC</v>
      </c>
      <c r="X220" s="4" t="str">
        <f t="shared" si="51"/>
        <v>INOFAC</v>
      </c>
      <c r="Y220" s="5" t="str">
        <f t="shared" si="52"/>
        <v>LO</v>
      </c>
      <c r="Z220" s="5">
        <v>1</v>
      </c>
      <c r="AA220" s="6">
        <f t="shared" si="53"/>
        <v>-0.27254565462423352</v>
      </c>
      <c r="AB220" s="6">
        <f t="shared" si="54"/>
        <v>-0.27254565462423314</v>
      </c>
      <c r="AC220" s="6">
        <f t="shared" si="55"/>
        <v>-0.22562231444268896</v>
      </c>
      <c r="AD220" s="6">
        <f t="shared" si="56"/>
        <v>-0.22562231444268913</v>
      </c>
      <c r="AE220" s="6">
        <f t="shared" si="57"/>
        <v>-0.23884331579894041</v>
      </c>
      <c r="AF220" s="6">
        <f t="shared" si="58"/>
        <v>-0.23884331579893975</v>
      </c>
      <c r="AG220" s="6">
        <f t="shared" si="59"/>
        <v>-0.23884331579893991</v>
      </c>
      <c r="AH220" s="6">
        <f t="shared" si="60"/>
        <v>-0.19595585176919719</v>
      </c>
      <c r="AI220" s="6">
        <f t="shared" si="61"/>
        <v>-0.19595585176919877</v>
      </c>
      <c r="AL220" s="5" t="str">
        <f t="shared" si="62"/>
        <v>ELC</v>
      </c>
      <c r="AM220" s="5">
        <f>1</f>
        <v>1</v>
      </c>
    </row>
    <row r="221" spans="1:39" s="5" customFormat="1" x14ac:dyDescent="0.3">
      <c r="C221" s="4" t="s">
        <v>453</v>
      </c>
      <c r="D221" s="5" t="s">
        <v>454</v>
      </c>
      <c r="E221" s="5" t="s">
        <v>733</v>
      </c>
      <c r="F221" s="5" t="s">
        <v>1588</v>
      </c>
      <c r="G221" s="5">
        <v>1</v>
      </c>
      <c r="H221" s="6">
        <f>IF(SUMIFS('Industrial Summary'!$G:$G,'Industrial Summary'!$F:$F,H$17,'Industrial Summary'!$D:$D,$E221)&gt;0,(-SUMIFS('Industrial Summary'!$G:$G,'Industrial Summary'!$F:$F,H$17,'Industrial Summary'!$D:$D,$E221,'Industrial Summary'!$A:$A,"DST")/SUMIFS('Industrial Summary'!$G:$G,'Industrial Summary'!$F:$F,H$17,'Industrial Summary'!$D:$D,$E221)),0)*0.98</f>
        <v>-0.18336249058926121</v>
      </c>
      <c r="I221" s="6">
        <f>IF(SUMIFS('Industrial Summary'!$G:$G,'Industrial Summary'!$F:$F,I$17,'Industrial Summary'!$D:$D,$E221)&gt;0,(-SUMIFS('Industrial Summary'!$G:$G,'Industrial Summary'!$F:$F,I$17,'Industrial Summary'!$D:$D,$E221,'Industrial Summary'!$A:$A,"DST")/SUMIFS('Industrial Summary'!$G:$G,'Industrial Summary'!$F:$F,I$17,'Industrial Summary'!$D:$D,$E221)),0)*0.98</f>
        <v>-0.18336249058926035</v>
      </c>
      <c r="J221" s="6">
        <f>IF(SUMIFS('Industrial Summary'!$G:$G,'Industrial Summary'!$F:$F,J$17,'Industrial Summary'!$D:$D,$E221)&gt;0,(-SUMIFS('Industrial Summary'!$G:$G,'Industrial Summary'!$F:$F,J$17,'Industrial Summary'!$D:$D,$E221,'Industrial Summary'!$A:$A,"DST")/SUMIFS('Industrial Summary'!$G:$G,'Industrial Summary'!$F:$F,J$17,'Industrial Summary'!$D:$D,$E221)),0)*0.98</f>
        <v>-0.15179353919901484</v>
      </c>
      <c r="K221" s="6">
        <f>IF(SUMIFS('Industrial Summary'!$G:$G,'Industrial Summary'!$F:$F,K$17,'Industrial Summary'!$D:$D,$E221)&gt;0,(-SUMIFS('Industrial Summary'!$G:$G,'Industrial Summary'!$F:$F,K$17,'Industrial Summary'!$D:$D,$E221,'Industrial Summary'!$A:$A,"DST")/SUMIFS('Industrial Summary'!$G:$G,'Industrial Summary'!$F:$F,K$17,'Industrial Summary'!$D:$D,$E221)),0)*0.98</f>
        <v>-0.15179353919901539</v>
      </c>
      <c r="L221" s="6">
        <f>IF(SUMIFS('Industrial Summary'!$G:$G,'Industrial Summary'!$F:$F,L$17,'Industrial Summary'!$D:$D,$E221)&gt;0,(-SUMIFS('Industrial Summary'!$G:$G,'Industrial Summary'!$F:$F,L$17,'Industrial Summary'!$D:$D,$E221,'Industrial Summary'!$A:$A,"DST")/SUMIFS('Industrial Summary'!$G:$G,'Industrial Summary'!$F:$F,L$17,'Industrial Summary'!$D:$D,$E221)),0)*0.98</f>
        <v>-0.18904509047083734</v>
      </c>
      <c r="M221" s="6">
        <f>IF(SUMIFS('Industrial Summary'!$G:$G,'Industrial Summary'!$F:$F,M$17,'Industrial Summary'!$D:$D,$E221)&gt;0,(-SUMIFS('Industrial Summary'!$G:$G,'Industrial Summary'!$F:$F,M$17,'Industrial Summary'!$D:$D,$E221,'Industrial Summary'!$A:$A,"DST")/SUMIFS('Industrial Summary'!$G:$G,'Industrial Summary'!$F:$F,M$17,'Industrial Summary'!$D:$D,$E221)),0)*0.98</f>
        <v>-0.1890450904708367</v>
      </c>
      <c r="N221" s="6">
        <f>IF(SUMIFS('Industrial Summary'!$G:$G,'Industrial Summary'!$F:$F,N$17,'Industrial Summary'!$D:$D,$E221)&gt;0,(-SUMIFS('Industrial Summary'!$G:$G,'Industrial Summary'!$F:$F,N$17,'Industrial Summary'!$D:$D,$E221,'Industrial Summary'!$A:$A,"DST")/SUMIFS('Industrial Summary'!$G:$G,'Industrial Summary'!$F:$F,N$17,'Industrial Summary'!$D:$D,$E221)),0)*0.98</f>
        <v>-0.1890450904708369</v>
      </c>
      <c r="O221" s="6">
        <f>IF(SUMIFS('Industrial Summary'!$G:$G,'Industrial Summary'!$F:$F,O$17,'Industrial Summary'!$D:$D,$E221)&gt;0,(-SUMIFS('Industrial Summary'!$G:$G,'Industrial Summary'!$F:$F,O$17,'Industrial Summary'!$D:$D,$E221,'Industrial Summary'!$A:$A,"DST")/SUMIFS('Industrial Summary'!$G:$G,'Industrial Summary'!$F:$F,O$17,'Industrial Summary'!$D:$D,$E221)),0)*0.98</f>
        <v>-0.31640308990121158</v>
      </c>
      <c r="P221" s="6">
        <f>IF(SUMIFS('Industrial Summary'!$G:$G,'Industrial Summary'!$F:$F,P$17,'Industrial Summary'!$D:$D,$E221)&gt;0,(-SUMIFS('Industrial Summary'!$G:$G,'Industrial Summary'!$F:$F,P$17,'Industrial Summary'!$D:$D,$E221,'Industrial Summary'!$A:$A,"DST")/SUMIFS('Industrial Summary'!$G:$G,'Industrial Summary'!$F:$F,P$17,'Industrial Summary'!$D:$D,$E221)),0)*0.98</f>
        <v>-0.31640308990120553</v>
      </c>
      <c r="Q221" s="6">
        <f>IF(SUMIFS('Industrial Summary'!$G:$G,'Industrial Summary'!$F:$F,Q$17,'Industrial Summary'!$D:$D,$E221)&gt;0,(-SUMIFS('Industrial Summary'!$G:$G,'Industrial Summary'!$F:$F,Q$17,'Industrial Summary'!$D:$D,$E221,'Industrial Summary'!$A:$A,"DST")/SUMIFS('Industrial Summary'!$G:$G,'Industrial Summary'!$F:$F,Q$17,'Industrial Summary'!$D:$D,$E221)),0)*0.98</f>
        <v>0</v>
      </c>
      <c r="R221" s="5">
        <v>15</v>
      </c>
      <c r="S221" s="5" t="str">
        <f t="shared" si="48"/>
        <v>UC_INOFA_DST</v>
      </c>
      <c r="V221" s="4" t="str">
        <f t="shared" si="49"/>
        <v>S_INOFADST</v>
      </c>
      <c r="W221" s="4" t="str">
        <f t="shared" si="50"/>
        <v>INOFA_DST</v>
      </c>
      <c r="X221" s="4" t="str">
        <f t="shared" si="51"/>
        <v>INOFAC</v>
      </c>
      <c r="Y221" s="5" t="str">
        <f t="shared" si="52"/>
        <v>LO</v>
      </c>
      <c r="Z221" s="5">
        <v>1</v>
      </c>
      <c r="AA221" s="6">
        <f t="shared" si="53"/>
        <v>-0.18336249058926121</v>
      </c>
      <c r="AB221" s="6">
        <f t="shared" si="54"/>
        <v>-0.18336249058926035</v>
      </c>
      <c r="AC221" s="6">
        <f t="shared" si="55"/>
        <v>-0.15179353919901484</v>
      </c>
      <c r="AD221" s="6">
        <f t="shared" si="56"/>
        <v>-0.15179353919901539</v>
      </c>
      <c r="AE221" s="6">
        <f t="shared" si="57"/>
        <v>-0.18904509047083734</v>
      </c>
      <c r="AF221" s="6">
        <f t="shared" si="58"/>
        <v>-0.1890450904708367</v>
      </c>
      <c r="AG221" s="6">
        <f t="shared" si="59"/>
        <v>-0.1890450904708369</v>
      </c>
      <c r="AH221" s="6">
        <f t="shared" si="60"/>
        <v>-0.31640308990121158</v>
      </c>
      <c r="AI221" s="6">
        <f t="shared" si="61"/>
        <v>-0.31640308990120553</v>
      </c>
      <c r="AL221" s="5" t="str">
        <f t="shared" si="62"/>
        <v>DST</v>
      </c>
      <c r="AM221" s="5">
        <f>1</f>
        <v>1</v>
      </c>
    </row>
    <row r="222" spans="1:39" s="5" customFormat="1" x14ac:dyDescent="0.3">
      <c r="C222" s="4" t="s">
        <v>455</v>
      </c>
      <c r="D222" s="5" t="s">
        <v>456</v>
      </c>
      <c r="E222" s="5" t="s">
        <v>733</v>
      </c>
      <c r="F222" s="5" t="s">
        <v>1588</v>
      </c>
      <c r="G222" s="5">
        <v>1</v>
      </c>
      <c r="H222" s="6">
        <f>IF(SUMIFS('Industrial Summary'!$G:$G,'Industrial Summary'!$F:$F,H$17,'Industrial Summary'!$D:$D,$E222)&gt;0,(-SUMIFS('Industrial Summary'!$G:$G,'Industrial Summary'!$F:$F,H$17,'Industrial Summary'!$D:$D,$E222,'Industrial Summary'!$A:$A,"NGA")/SUMIFS('Industrial Summary'!$G:$G,'Industrial Summary'!$F:$F,H$17,'Industrial Summary'!$D:$D,$E222)),0)*0.98</f>
        <v>-0.52409185478650511</v>
      </c>
      <c r="I222" s="6">
        <f>IF(SUMIFS('Industrial Summary'!$G:$G,'Industrial Summary'!$F:$F,I$17,'Industrial Summary'!$D:$D,$E222)&gt;0,(-SUMIFS('Industrial Summary'!$G:$G,'Industrial Summary'!$F:$F,I$17,'Industrial Summary'!$D:$D,$E222,'Industrial Summary'!$A:$A,"NGA")/SUMIFS('Industrial Summary'!$G:$G,'Industrial Summary'!$F:$F,I$17,'Industrial Summary'!$D:$D,$E222)),0)*0.98</f>
        <v>-0.52409185478650644</v>
      </c>
      <c r="J222" s="6">
        <f>IF(SUMIFS('Industrial Summary'!$G:$G,'Industrial Summary'!$F:$F,J$17,'Industrial Summary'!$D:$D,$E222)&gt;0,(-SUMIFS('Industrial Summary'!$G:$G,'Industrial Summary'!$F:$F,J$17,'Industrial Summary'!$D:$D,$E222,'Industrial Summary'!$A:$A,"NGA")/SUMIFS('Industrial Summary'!$G:$G,'Industrial Summary'!$F:$F,J$17,'Industrial Summary'!$D:$D,$E222)),0)*0.98</f>
        <v>-0.60258414635829627</v>
      </c>
      <c r="K222" s="6">
        <f>IF(SUMIFS('Industrial Summary'!$G:$G,'Industrial Summary'!$F:$F,K$17,'Industrial Summary'!$D:$D,$E222)&gt;0,(-SUMIFS('Industrial Summary'!$G:$G,'Industrial Summary'!$F:$F,K$17,'Industrial Summary'!$D:$D,$E222,'Industrial Summary'!$A:$A,"NGA")/SUMIFS('Industrial Summary'!$G:$G,'Industrial Summary'!$F:$F,K$17,'Industrial Summary'!$D:$D,$E222)),0)*0.98</f>
        <v>-0.60258414635829538</v>
      </c>
      <c r="L222" s="6">
        <f>IF(SUMIFS('Industrial Summary'!$G:$G,'Industrial Summary'!$F:$F,L$17,'Industrial Summary'!$D:$D,$E222)&gt;0,(-SUMIFS('Industrial Summary'!$G:$G,'Industrial Summary'!$F:$F,L$17,'Industrial Summary'!$D:$D,$E222,'Industrial Summary'!$A:$A,"NGA")/SUMIFS('Industrial Summary'!$G:$G,'Industrial Summary'!$F:$F,L$17,'Industrial Summary'!$D:$D,$E222)),0)*0.98</f>
        <v>-0.54933958947197237</v>
      </c>
      <c r="M222" s="6">
        <f>IF(SUMIFS('Industrial Summary'!$G:$G,'Industrial Summary'!$F:$F,M$17,'Industrial Summary'!$D:$D,$E222)&gt;0,(-SUMIFS('Industrial Summary'!$G:$G,'Industrial Summary'!$F:$F,M$17,'Industrial Summary'!$D:$D,$E222,'Industrial Summary'!$A:$A,"NGA")/SUMIFS('Industrial Summary'!$G:$G,'Industrial Summary'!$F:$F,M$17,'Industrial Summary'!$D:$D,$E222)),0)*0.98</f>
        <v>-0.54933958947197026</v>
      </c>
      <c r="N222" s="6">
        <f>IF(SUMIFS('Industrial Summary'!$G:$G,'Industrial Summary'!$F:$F,N$17,'Industrial Summary'!$D:$D,$E222)&gt;0,(-SUMIFS('Industrial Summary'!$G:$G,'Industrial Summary'!$F:$F,N$17,'Industrial Summary'!$D:$D,$E222,'Industrial Summary'!$A:$A,"NGA")/SUMIFS('Industrial Summary'!$G:$G,'Industrial Summary'!$F:$F,N$17,'Industrial Summary'!$D:$D,$E222)),0)*0.98</f>
        <v>-0.5493395894719717</v>
      </c>
      <c r="O222" s="6">
        <f>IF(SUMIFS('Industrial Summary'!$G:$G,'Industrial Summary'!$F:$F,O$17,'Industrial Summary'!$D:$D,$E222)&gt;0,(-SUMIFS('Industrial Summary'!$G:$G,'Industrial Summary'!$F:$F,O$17,'Industrial Summary'!$D:$D,$E222,'Industrial Summary'!$A:$A,"NGA")/SUMIFS('Industrial Summary'!$G:$G,'Industrial Summary'!$F:$F,O$17,'Industrial Summary'!$D:$D,$E222)),0)*0.98</f>
        <v>-0.45217612858989897</v>
      </c>
      <c r="P222" s="6">
        <f>IF(SUMIFS('Industrial Summary'!$G:$G,'Industrial Summary'!$F:$F,P$17,'Industrial Summary'!$D:$D,$E222)&gt;0,(-SUMIFS('Industrial Summary'!$G:$G,'Industrial Summary'!$F:$F,P$17,'Industrial Summary'!$D:$D,$E222,'Industrial Summary'!$A:$A,"NGA")/SUMIFS('Industrial Summary'!$G:$G,'Industrial Summary'!$F:$F,P$17,'Industrial Summary'!$D:$D,$E222)),0)*0.98</f>
        <v>-0.45217612858990325</v>
      </c>
      <c r="Q222" s="6">
        <f>IF(SUMIFS('Industrial Summary'!$G:$G,'Industrial Summary'!$F:$F,Q$17,'Industrial Summary'!$D:$D,$E222)&gt;0,(-SUMIFS('Industrial Summary'!$G:$G,'Industrial Summary'!$F:$F,Q$17,'Industrial Summary'!$D:$D,$E222,'Industrial Summary'!$A:$A,"NGA")/SUMIFS('Industrial Summary'!$G:$G,'Industrial Summary'!$F:$F,Q$17,'Industrial Summary'!$D:$D,$E222)),0)*0.98</f>
        <v>0</v>
      </c>
      <c r="R222" s="5">
        <v>15</v>
      </c>
      <c r="S222" s="5" t="str">
        <f t="shared" si="48"/>
        <v>UC_INOFA_NGA</v>
      </c>
      <c r="V222" s="4" t="str">
        <f t="shared" si="49"/>
        <v>S_INOFANGA</v>
      </c>
      <c r="W222" s="4" t="str">
        <f t="shared" si="50"/>
        <v>INOFA_NGA</v>
      </c>
      <c r="X222" s="4" t="str">
        <f t="shared" si="51"/>
        <v>INOFAC</v>
      </c>
      <c r="Y222" s="5" t="str">
        <f t="shared" si="52"/>
        <v>LO</v>
      </c>
      <c r="Z222" s="5">
        <v>1</v>
      </c>
      <c r="AA222" s="6">
        <f t="shared" si="53"/>
        <v>-0.37210521689841863</v>
      </c>
      <c r="AB222" s="6">
        <f t="shared" si="54"/>
        <v>-0.37210521689841958</v>
      </c>
      <c r="AC222" s="6">
        <f t="shared" si="55"/>
        <v>-0.4278347439143903</v>
      </c>
      <c r="AD222" s="6">
        <f t="shared" si="56"/>
        <v>-0.42783474391438969</v>
      </c>
      <c r="AE222" s="6">
        <f t="shared" si="57"/>
        <v>-0.39003110852510037</v>
      </c>
      <c r="AF222" s="6">
        <f t="shared" si="58"/>
        <v>-0.39003110852509887</v>
      </c>
      <c r="AG222" s="6">
        <f t="shared" si="59"/>
        <v>-0.39003110852509987</v>
      </c>
      <c r="AH222" s="6">
        <f t="shared" si="60"/>
        <v>-0.32104505129882827</v>
      </c>
      <c r="AI222" s="6">
        <f t="shared" si="61"/>
        <v>-0.32104505129883126</v>
      </c>
      <c r="AL222" s="5" t="str">
        <f t="shared" si="62"/>
        <v>NGA</v>
      </c>
      <c r="AM222" s="5">
        <f>Y8</f>
        <v>0.71</v>
      </c>
    </row>
    <row r="223" spans="1:39" s="5" customFormat="1" x14ac:dyDescent="0.3">
      <c r="A223" s="8"/>
      <c r="C223" s="4" t="s">
        <v>457</v>
      </c>
      <c r="D223" s="5" t="s">
        <v>458</v>
      </c>
      <c r="E223" s="5" t="s">
        <v>733</v>
      </c>
      <c r="F223" s="5" t="s">
        <v>1588</v>
      </c>
      <c r="G223" s="5">
        <v>1</v>
      </c>
      <c r="H223" s="6">
        <f>IF(SUMIFS('Industrial Summary'!$G:$G,'Industrial Summary'!$F:$F,H$17,'Industrial Summary'!$D:$D,$E223)&gt;0,(-SUMIFS('Industrial Summary'!$G:$G,'Industrial Summary'!$F:$F,H$17,'Industrial Summary'!$D:$D,$E223,'Industrial Summary'!$A:$A,"LPG")/SUMIFS('Industrial Summary'!$G:$G,'Industrial Summary'!$F:$F,H$17,'Industrial Summary'!$D:$D,$E223)),0)*0.98</f>
        <v>0</v>
      </c>
      <c r="I223" s="6">
        <f>IF(SUMIFS('Industrial Summary'!$G:$G,'Industrial Summary'!$F:$F,I$17,'Industrial Summary'!$D:$D,$E223)&gt;0,(-SUMIFS('Industrial Summary'!$G:$G,'Industrial Summary'!$F:$F,I$17,'Industrial Summary'!$D:$D,$E223,'Industrial Summary'!$A:$A,"LPG")/SUMIFS('Industrial Summary'!$G:$G,'Industrial Summary'!$F:$F,I$17,'Industrial Summary'!$D:$D,$E223)),0)*0.98</f>
        <v>0</v>
      </c>
      <c r="J223" s="6">
        <f>IF(SUMIFS('Industrial Summary'!$G:$G,'Industrial Summary'!$F:$F,J$17,'Industrial Summary'!$D:$D,$E223)&gt;0,(-SUMIFS('Industrial Summary'!$G:$G,'Industrial Summary'!$F:$F,J$17,'Industrial Summary'!$D:$D,$E223,'Industrial Summary'!$A:$A,"LPG")/SUMIFS('Industrial Summary'!$G:$G,'Industrial Summary'!$F:$F,J$17,'Industrial Summary'!$D:$D,$E223)),0)*0.98</f>
        <v>0</v>
      </c>
      <c r="K223" s="6">
        <f>IF(SUMIFS('Industrial Summary'!$G:$G,'Industrial Summary'!$F:$F,K$17,'Industrial Summary'!$D:$D,$E223)&gt;0,(-SUMIFS('Industrial Summary'!$G:$G,'Industrial Summary'!$F:$F,K$17,'Industrial Summary'!$D:$D,$E223,'Industrial Summary'!$A:$A,"LPG")/SUMIFS('Industrial Summary'!$G:$G,'Industrial Summary'!$F:$F,K$17,'Industrial Summary'!$D:$D,$E223)),0)*0.98</f>
        <v>0</v>
      </c>
      <c r="L223" s="6">
        <f>IF(SUMIFS('Industrial Summary'!$G:$G,'Industrial Summary'!$F:$F,L$17,'Industrial Summary'!$D:$D,$E223)&gt;0,(-SUMIFS('Industrial Summary'!$G:$G,'Industrial Summary'!$F:$F,L$17,'Industrial Summary'!$D:$D,$E223,'Industrial Summary'!$A:$A,"LPG")/SUMIFS('Industrial Summary'!$G:$G,'Industrial Summary'!$F:$F,L$17,'Industrial Summary'!$D:$D,$E223)),0)*0.98</f>
        <v>-2.7720042582498926E-3</v>
      </c>
      <c r="M223" s="6">
        <f>IF(SUMIFS('Industrial Summary'!$G:$G,'Industrial Summary'!$F:$F,M$17,'Industrial Summary'!$D:$D,$E223)&gt;0,(-SUMIFS('Industrial Summary'!$G:$G,'Industrial Summary'!$F:$F,M$17,'Industrial Summary'!$D:$D,$E223,'Industrial Summary'!$A:$A,"LPG")/SUMIFS('Industrial Summary'!$G:$G,'Industrial Summary'!$F:$F,M$17,'Industrial Summary'!$D:$D,$E223)),0)*0.98</f>
        <v>-2.7720042582531404E-3</v>
      </c>
      <c r="N223" s="6">
        <f>IF(SUMIFS('Industrial Summary'!$G:$G,'Industrial Summary'!$F:$F,N$17,'Industrial Summary'!$D:$D,$E223)&gt;0,(-SUMIFS('Industrial Summary'!$G:$G,'Industrial Summary'!$F:$F,N$17,'Industrial Summary'!$D:$D,$E223,'Industrial Summary'!$A:$A,"LPG")/SUMIFS('Industrial Summary'!$G:$G,'Industrial Summary'!$F:$F,N$17,'Industrial Summary'!$D:$D,$E223)),0)*0.98</f>
        <v>-2.7720042582514929E-3</v>
      </c>
      <c r="O223" s="6">
        <f>IF(SUMIFS('Industrial Summary'!$G:$G,'Industrial Summary'!$F:$F,O$17,'Industrial Summary'!$D:$D,$E223)&gt;0,(-SUMIFS('Industrial Summary'!$G:$G,'Industrial Summary'!$F:$F,O$17,'Industrial Summary'!$D:$D,$E223,'Industrial Summary'!$A:$A,"LPG")/SUMIFS('Industrial Summary'!$G:$G,'Industrial Summary'!$F:$F,O$17,'Industrial Summary'!$D:$D,$E223)),0)*0.98</f>
        <v>-1.5464929739692299E-2</v>
      </c>
      <c r="P223" s="6">
        <f>IF(SUMIFS('Industrial Summary'!$G:$G,'Industrial Summary'!$F:$F,P$17,'Industrial Summary'!$D:$D,$E223)&gt;0,(-SUMIFS('Industrial Summary'!$G:$G,'Industrial Summary'!$F:$F,P$17,'Industrial Summary'!$D:$D,$E223,'Industrial Summary'!$A:$A,"LPG")/SUMIFS('Industrial Summary'!$G:$G,'Industrial Summary'!$F:$F,P$17,'Industrial Summary'!$D:$D,$E223)),0)*0.98</f>
        <v>-1.5464929739692438E-2</v>
      </c>
      <c r="Q223" s="6">
        <f>IF(SUMIFS('Industrial Summary'!$G:$G,'Industrial Summary'!$F:$F,Q$17,'Industrial Summary'!$D:$D,$E223)&gt;0,(-SUMIFS('Industrial Summary'!$G:$G,'Industrial Summary'!$F:$F,Q$17,'Industrial Summary'!$D:$D,$E223,'Industrial Summary'!$A:$A,"LPG")/SUMIFS('Industrial Summary'!$G:$G,'Industrial Summary'!$F:$F,Q$17,'Industrial Summary'!$D:$D,$E223)),0)*0.98</f>
        <v>0</v>
      </c>
      <c r="R223" s="5">
        <v>15</v>
      </c>
      <c r="S223" s="5" t="str">
        <f t="shared" si="48"/>
        <v>UC_INOFA_LPG</v>
      </c>
      <c r="V223" s="4" t="str">
        <f t="shared" si="49"/>
        <v>S_INOFALPG</v>
      </c>
      <c r="W223" s="4" t="str">
        <f t="shared" si="50"/>
        <v>INOFA_LPG</v>
      </c>
      <c r="X223" s="4" t="str">
        <f t="shared" si="51"/>
        <v>INOFAC</v>
      </c>
      <c r="Y223" s="5" t="str">
        <f t="shared" si="52"/>
        <v>LO</v>
      </c>
      <c r="Z223" s="5">
        <v>1</v>
      </c>
      <c r="AA223" s="6">
        <f t="shared" si="53"/>
        <v>0</v>
      </c>
      <c r="AB223" s="6">
        <f t="shared" si="54"/>
        <v>0</v>
      </c>
      <c r="AC223" s="6">
        <f t="shared" si="55"/>
        <v>0</v>
      </c>
      <c r="AD223" s="6">
        <f t="shared" si="56"/>
        <v>0</v>
      </c>
      <c r="AE223" s="6">
        <f t="shared" si="57"/>
        <v>-2.7720042582498926E-3</v>
      </c>
      <c r="AF223" s="6">
        <f t="shared" si="58"/>
        <v>-2.7720042582531404E-3</v>
      </c>
      <c r="AG223" s="6">
        <f t="shared" si="59"/>
        <v>-2.7720042582514929E-3</v>
      </c>
      <c r="AH223" s="6">
        <f t="shared" si="60"/>
        <v>-1.5464929739692299E-2</v>
      </c>
      <c r="AI223" s="6">
        <f t="shared" si="61"/>
        <v>-1.5464929739692438E-2</v>
      </c>
      <c r="AL223" s="5" t="str">
        <f t="shared" si="62"/>
        <v>LPG</v>
      </c>
      <c r="AM223" s="5">
        <f>1</f>
        <v>1</v>
      </c>
    </row>
    <row r="224" spans="1:39" s="5" customFormat="1" x14ac:dyDescent="0.3">
      <c r="C224" s="4" t="s">
        <v>459</v>
      </c>
      <c r="D224" s="5" t="s">
        <v>460</v>
      </c>
      <c r="E224" s="5" t="s">
        <v>763</v>
      </c>
      <c r="F224" s="5" t="s">
        <v>1588</v>
      </c>
      <c r="G224" s="5">
        <v>1</v>
      </c>
      <c r="H224" s="6">
        <f>(IF(SUMIFS('Industrial Summary'!$G:$G,'Industrial Summary'!$F:$F,H$17,'Industrial Summary'!$D:$D,$E224)&gt;0,((-SUMIFS('Industrial Summary'!$G:$G,'Industrial Summary'!$F:$F,H$17,'Industrial Summary'!$D:$D,$E224,'Industrial Summary'!$A:$A,"ELC")+-SUMIFS('Industrial Summary'!$G:$G,'Industrial Summary'!$F:$F,H$17,'Industrial Summary'!$D:$D,"INGRSTM",'Industrial Summary'!$A:$A,"ELC"))/SUMIFS('Industrial Summary'!$G:$G,'Industrial Summary'!$F:$F,H$17,'Industrial Summary'!$D:$D,$E224)),0))*0.98</f>
        <v>-0.14839741204730289</v>
      </c>
      <c r="I224" s="6">
        <f>(IF(SUMIFS('Industrial Summary'!$G:$G,'Industrial Summary'!$F:$F,I$17,'Industrial Summary'!$D:$D,$E224)&gt;0,((-SUMIFS('Industrial Summary'!$G:$G,'Industrial Summary'!$F:$F,I$17,'Industrial Summary'!$D:$D,$E224,'Industrial Summary'!$A:$A,"ELC")+-SUMIFS('Industrial Summary'!$G:$G,'Industrial Summary'!$F:$F,I$17,'Industrial Summary'!$D:$D,"INGRSTM",'Industrial Summary'!$A:$A,"ELC"))/SUMIFS('Industrial Summary'!$G:$G,'Industrial Summary'!$F:$F,I$17,'Industrial Summary'!$D:$D,$E224)),0))*0.98</f>
        <v>-6.8259958311077937E-2</v>
      </c>
      <c r="J224" s="6">
        <f>(IF(SUMIFS('Industrial Summary'!$G:$G,'Industrial Summary'!$F:$F,J$17,'Industrial Summary'!$D:$D,$E224)&gt;0,((-SUMIFS('Industrial Summary'!$G:$G,'Industrial Summary'!$F:$F,J$17,'Industrial Summary'!$D:$D,$E224,'Industrial Summary'!$A:$A,"ELC")+-SUMIFS('Industrial Summary'!$G:$G,'Industrial Summary'!$F:$F,J$17,'Industrial Summary'!$D:$D,"INGRSTM",'Industrial Summary'!$A:$A,"ELC"))/SUMIFS('Industrial Summary'!$G:$G,'Industrial Summary'!$F:$F,J$17,'Industrial Summary'!$D:$D,$E224)),0))*0.98</f>
        <v>-2.1695741610650628E-2</v>
      </c>
      <c r="K224" s="6">
        <f>(IF(SUMIFS('Industrial Summary'!$G:$G,'Industrial Summary'!$F:$F,K$17,'Industrial Summary'!$D:$D,$E224)&gt;0,((-SUMIFS('Industrial Summary'!$G:$G,'Industrial Summary'!$F:$F,K$17,'Industrial Summary'!$D:$D,$E224,'Industrial Summary'!$A:$A,"ELC")+-SUMIFS('Industrial Summary'!$G:$G,'Industrial Summary'!$F:$F,K$17,'Industrial Summary'!$D:$D,"INGRSTM",'Industrial Summary'!$A:$A,"ELC"))/SUMIFS('Industrial Summary'!$G:$G,'Industrial Summary'!$F:$F,K$17,'Industrial Summary'!$D:$D,$E224)),0))*0.98</f>
        <v>-2.169574161065058E-2</v>
      </c>
      <c r="L224" s="6">
        <f>(IF(SUMIFS('Industrial Summary'!$G:$G,'Industrial Summary'!$F:$F,L$17,'Industrial Summary'!$D:$D,$E224)&gt;0,((-SUMIFS('Industrial Summary'!$G:$G,'Industrial Summary'!$F:$F,L$17,'Industrial Summary'!$D:$D,$E224,'Industrial Summary'!$A:$A,"ELC")+-SUMIFS('Industrial Summary'!$G:$G,'Industrial Summary'!$F:$F,L$17,'Industrial Summary'!$D:$D,"INGRSTM",'Industrial Summary'!$A:$A,"ELC"))/SUMIFS('Industrial Summary'!$G:$G,'Industrial Summary'!$F:$F,L$17,'Industrial Summary'!$D:$D,$E224)),0))*0.98</f>
        <v>-7.8333138457374357E-2</v>
      </c>
      <c r="M224" s="6">
        <f>(IF(SUMIFS('Industrial Summary'!$G:$G,'Industrial Summary'!$F:$F,M$17,'Industrial Summary'!$D:$D,$E224)&gt;0,((-SUMIFS('Industrial Summary'!$G:$G,'Industrial Summary'!$F:$F,M$17,'Industrial Summary'!$D:$D,$E224,'Industrial Summary'!$A:$A,"ELC")+-SUMIFS('Industrial Summary'!$G:$G,'Industrial Summary'!$F:$F,M$17,'Industrial Summary'!$D:$D,"INGRSTM",'Industrial Summary'!$A:$A,"ELC"))/SUMIFS('Industrial Summary'!$G:$G,'Industrial Summary'!$F:$F,M$17,'Industrial Summary'!$D:$D,$E224)),0))*0.98</f>
        <v>-7.8333138457374746E-2</v>
      </c>
      <c r="N224" s="6">
        <f>(IF(SUMIFS('Industrial Summary'!$G:$G,'Industrial Summary'!$F:$F,N$17,'Industrial Summary'!$D:$D,$E224)&gt;0,((-SUMIFS('Industrial Summary'!$G:$G,'Industrial Summary'!$F:$F,N$17,'Industrial Summary'!$D:$D,$E224,'Industrial Summary'!$A:$A,"ELC")+-SUMIFS('Industrial Summary'!$G:$G,'Industrial Summary'!$F:$F,N$17,'Industrial Summary'!$D:$D,"INGRSTM",'Industrial Summary'!$A:$A,"ELC"))/SUMIFS('Industrial Summary'!$G:$G,'Industrial Summary'!$F:$F,N$17,'Industrial Summary'!$D:$D,$E224)),0))*0.98</f>
        <v>-7.8333138457374621E-2</v>
      </c>
      <c r="O224" s="6">
        <f>(IF(SUMIFS('Industrial Summary'!$G:$G,'Industrial Summary'!$F:$F,O$17,'Industrial Summary'!$D:$D,$E224)&gt;0,((-SUMIFS('Industrial Summary'!$G:$G,'Industrial Summary'!$F:$F,O$17,'Industrial Summary'!$D:$D,$E224,'Industrial Summary'!$A:$A,"ELC")+-SUMIFS('Industrial Summary'!$G:$G,'Industrial Summary'!$F:$F,O$17,'Industrial Summary'!$D:$D,"INGRSTM",'Industrial Summary'!$A:$A,"ELC"))/SUMIFS('Industrial Summary'!$G:$G,'Industrial Summary'!$F:$F,O$17,'Industrial Summary'!$D:$D,$E224)),0))*0.98</f>
        <v>-0.14241967584097656</v>
      </c>
      <c r="P224" s="6">
        <f>(IF(SUMIFS('Industrial Summary'!$G:$G,'Industrial Summary'!$F:$F,P$17,'Industrial Summary'!$D:$D,$E224)&gt;0,((-SUMIFS('Industrial Summary'!$G:$G,'Industrial Summary'!$F:$F,P$17,'Industrial Summary'!$D:$D,$E224,'Industrial Summary'!$A:$A,"ELC")+-SUMIFS('Industrial Summary'!$G:$G,'Industrial Summary'!$F:$F,P$17,'Industrial Summary'!$D:$D,"INGRSTM",'Industrial Summary'!$A:$A,"ELC"))/SUMIFS('Industrial Summary'!$G:$G,'Industrial Summary'!$F:$F,P$17,'Industrial Summary'!$D:$D,$E224)),0))*0.98</f>
        <v>-0.14241967584097681</v>
      </c>
      <c r="Q224" s="5">
        <v>0</v>
      </c>
      <c r="R224" s="5">
        <v>15</v>
      </c>
      <c r="S224" s="5" t="str">
        <f t="shared" si="48"/>
        <v>UC_INOOH_ELC</v>
      </c>
      <c r="V224" s="4" t="str">
        <f t="shared" si="49"/>
        <v>S_INOOHELC</v>
      </c>
      <c r="W224" s="4" t="str">
        <f t="shared" si="50"/>
        <v>INOOH_ELC</v>
      </c>
      <c r="X224" s="4" t="str">
        <f t="shared" si="51"/>
        <v>INOOHT</v>
      </c>
      <c r="Y224" s="5" t="str">
        <f t="shared" si="52"/>
        <v>LO</v>
      </c>
      <c r="Z224" s="5">
        <v>1</v>
      </c>
      <c r="AA224" s="6">
        <f t="shared" si="53"/>
        <v>-0.14839741204730289</v>
      </c>
      <c r="AB224" s="6">
        <f t="shared" si="54"/>
        <v>-6.8259958311077937E-2</v>
      </c>
      <c r="AC224" s="6">
        <f t="shared" si="55"/>
        <v>-2.1695741610650628E-2</v>
      </c>
      <c r="AD224" s="6">
        <f t="shared" si="56"/>
        <v>-2.169574161065058E-2</v>
      </c>
      <c r="AE224" s="6">
        <f t="shared" si="57"/>
        <v>-7.8333138457374357E-2</v>
      </c>
      <c r="AF224" s="6">
        <f t="shared" si="58"/>
        <v>-7.8333138457374746E-2</v>
      </c>
      <c r="AG224" s="6">
        <f t="shared" si="59"/>
        <v>-7.8333138457374621E-2</v>
      </c>
      <c r="AH224" s="6">
        <f t="shared" si="60"/>
        <v>-0.14241967584097656</v>
      </c>
      <c r="AI224" s="6">
        <f t="shared" si="61"/>
        <v>-0.14241967584097681</v>
      </c>
      <c r="AL224" s="5" t="str">
        <f t="shared" si="62"/>
        <v>ELC</v>
      </c>
      <c r="AM224" s="5">
        <f>1</f>
        <v>1</v>
      </c>
    </row>
    <row r="225" spans="1:39" s="5" customFormat="1" x14ac:dyDescent="0.3">
      <c r="C225" s="4" t="s">
        <v>461</v>
      </c>
      <c r="D225" s="5" t="s">
        <v>462</v>
      </c>
      <c r="E225" s="5" t="s">
        <v>763</v>
      </c>
      <c r="F225" s="5" t="s">
        <v>1588</v>
      </c>
      <c r="G225" s="5">
        <v>1</v>
      </c>
      <c r="H225" s="6">
        <f>(IF(SUMIFS('Industrial Summary'!$G:$G,'Industrial Summary'!$F:$F,H$17,'Industrial Summary'!$D:$D,$E225)&gt;0,((-SUMIFS('Industrial Summary'!$G:$G,'Industrial Summary'!$F:$F,H$17,'Industrial Summary'!$D:$D,$E225,'Industrial Summary'!$A:$A,"RFL")+-SUMIFS('Industrial Summary'!$G:$G,'Industrial Summary'!$F:$F,H$17,'Industrial Summary'!$D:$D,"INGRSTM",'Industrial Summary'!$A:$A,"RFL"))/SUMIFS('Industrial Summary'!$G:$G,'Industrial Summary'!$F:$F,H$17,'Industrial Summary'!$D:$D,$E225)),0))*0.98</f>
        <v>-1.2773685734623312E-2</v>
      </c>
      <c r="I225" s="6">
        <f>(IF(SUMIFS('Industrial Summary'!$G:$G,'Industrial Summary'!$F:$F,I$17,'Industrial Summary'!$D:$D,$E225)&gt;0,((-SUMIFS('Industrial Summary'!$G:$G,'Industrial Summary'!$F:$F,I$17,'Industrial Summary'!$D:$D,$E225,'Industrial Summary'!$A:$A,"RFL")+-SUMIFS('Industrial Summary'!$G:$G,'Industrial Summary'!$F:$F,I$17,'Industrial Summary'!$D:$D,"INGRSTM",'Industrial Summary'!$A:$A,"RFL"))/SUMIFS('Industrial Summary'!$G:$G,'Industrial Summary'!$F:$F,I$17,'Industrial Summary'!$D:$D,$E225)),0))*0.98</f>
        <v>-5.8756500109736123E-3</v>
      </c>
      <c r="J225" s="6">
        <f>(IF(SUMIFS('Industrial Summary'!$G:$G,'Industrial Summary'!$F:$F,J$17,'Industrial Summary'!$D:$D,$E225)&gt;0,((-SUMIFS('Industrial Summary'!$G:$G,'Industrial Summary'!$F:$F,J$17,'Industrial Summary'!$D:$D,$E225,'Industrial Summary'!$A:$A,"RFL")+-SUMIFS('Industrial Summary'!$G:$G,'Industrial Summary'!$F:$F,J$17,'Industrial Summary'!$D:$D,"INGRSTM",'Industrial Summary'!$A:$A,"RFL"))/SUMIFS('Industrial Summary'!$G:$G,'Industrial Summary'!$F:$F,J$17,'Industrial Summary'!$D:$D,$E225)),0))*0.98</f>
        <v>-3.5044750224614862E-3</v>
      </c>
      <c r="K225" s="6">
        <f>(IF(SUMIFS('Industrial Summary'!$G:$G,'Industrial Summary'!$F:$F,K$17,'Industrial Summary'!$D:$D,$E225)&gt;0,((-SUMIFS('Industrial Summary'!$G:$G,'Industrial Summary'!$F:$F,K$17,'Industrial Summary'!$D:$D,$E225,'Industrial Summary'!$A:$A,"RFL")+-SUMIFS('Industrial Summary'!$G:$G,'Industrial Summary'!$F:$F,K$17,'Industrial Summary'!$D:$D,"INGRSTM",'Industrial Summary'!$A:$A,"RFL"))/SUMIFS('Industrial Summary'!$G:$G,'Industrial Summary'!$F:$F,K$17,'Industrial Summary'!$D:$D,$E225)),0))*0.98</f>
        <v>-3.5044750224615057E-3</v>
      </c>
      <c r="L225" s="6">
        <f>(IF(SUMIFS('Industrial Summary'!$G:$G,'Industrial Summary'!$F:$F,L$17,'Industrial Summary'!$D:$D,$E225)&gt;0,((-SUMIFS('Industrial Summary'!$G:$G,'Industrial Summary'!$F:$F,L$17,'Industrial Summary'!$D:$D,$E225,'Industrial Summary'!$A:$A,"RFL")+-SUMIFS('Industrial Summary'!$G:$G,'Industrial Summary'!$F:$F,L$17,'Industrial Summary'!$D:$D,"INGRSTM",'Industrial Summary'!$A:$A,"RFL"))/SUMIFS('Industrial Summary'!$G:$G,'Industrial Summary'!$F:$F,L$17,'Industrial Summary'!$D:$D,$E225)),0))*0.98</f>
        <v>-7.2274957397713479E-3</v>
      </c>
      <c r="M225" s="6">
        <f>(IF(SUMIFS('Industrial Summary'!$G:$G,'Industrial Summary'!$F:$F,M$17,'Industrial Summary'!$D:$D,$E225)&gt;0,((-SUMIFS('Industrial Summary'!$G:$G,'Industrial Summary'!$F:$F,M$17,'Industrial Summary'!$D:$D,$E225,'Industrial Summary'!$A:$A,"RFL")+-SUMIFS('Industrial Summary'!$G:$G,'Industrial Summary'!$F:$F,M$17,'Industrial Summary'!$D:$D,"INGRSTM",'Industrial Summary'!$A:$A,"RFL"))/SUMIFS('Industrial Summary'!$G:$G,'Industrial Summary'!$F:$F,M$17,'Industrial Summary'!$D:$D,$E225)),0))*0.98</f>
        <v>-7.2274957397713288E-3</v>
      </c>
      <c r="N225" s="6">
        <f>(IF(SUMIFS('Industrial Summary'!$G:$G,'Industrial Summary'!$F:$F,N$17,'Industrial Summary'!$D:$D,$E225)&gt;0,((-SUMIFS('Industrial Summary'!$G:$G,'Industrial Summary'!$F:$F,N$17,'Industrial Summary'!$D:$D,$E225,'Industrial Summary'!$A:$A,"RFL")+-SUMIFS('Industrial Summary'!$G:$G,'Industrial Summary'!$F:$F,N$17,'Industrial Summary'!$D:$D,"INGRSTM",'Industrial Summary'!$A:$A,"RFL"))/SUMIFS('Industrial Summary'!$G:$G,'Industrial Summary'!$F:$F,N$17,'Industrial Summary'!$D:$D,$E225)),0))*0.98</f>
        <v>-7.2274957397713514E-3</v>
      </c>
      <c r="O225" s="6">
        <f>(IF(SUMIFS('Industrial Summary'!$G:$G,'Industrial Summary'!$F:$F,O$17,'Industrial Summary'!$D:$D,$E225)&gt;0,((-SUMIFS('Industrial Summary'!$G:$G,'Industrial Summary'!$F:$F,O$17,'Industrial Summary'!$D:$D,$E225,'Industrial Summary'!$A:$A,"RFL")+-SUMIFS('Industrial Summary'!$G:$G,'Industrial Summary'!$F:$F,O$17,'Industrial Summary'!$D:$D,"INGRSTM",'Industrial Summary'!$A:$A,"RFL"))/SUMIFS('Industrial Summary'!$G:$G,'Industrial Summary'!$F:$F,O$17,'Industrial Summary'!$D:$D,$E225)),0))*0.98</f>
        <v>-1.5982282108051346E-2</v>
      </c>
      <c r="P225" s="6">
        <f>(IF(SUMIFS('Industrial Summary'!$G:$G,'Industrial Summary'!$F:$F,P$17,'Industrial Summary'!$D:$D,$E225)&gt;0,((-SUMIFS('Industrial Summary'!$G:$G,'Industrial Summary'!$F:$F,P$17,'Industrial Summary'!$D:$D,$E225,'Industrial Summary'!$A:$A,"RFL")+-SUMIFS('Industrial Summary'!$G:$G,'Industrial Summary'!$F:$F,P$17,'Industrial Summary'!$D:$D,"INGRSTM",'Industrial Summary'!$A:$A,"RFL"))/SUMIFS('Industrial Summary'!$G:$G,'Industrial Summary'!$F:$F,P$17,'Industrial Summary'!$D:$D,$E225)),0))*0.98</f>
        <v>-1.5982282108051332E-2</v>
      </c>
      <c r="Q225" s="5">
        <v>0</v>
      </c>
      <c r="R225" s="5">
        <v>15</v>
      </c>
      <c r="S225" s="5" t="str">
        <f t="shared" si="48"/>
        <v>UC_INOOH_RFL</v>
      </c>
      <c r="V225" s="4" t="str">
        <f t="shared" si="49"/>
        <v>S_INOOHRFL</v>
      </c>
      <c r="W225" s="4" t="str">
        <f t="shared" si="50"/>
        <v>INOOH_RFL</v>
      </c>
      <c r="X225" s="4" t="str">
        <f t="shared" si="51"/>
        <v>INOOHT</v>
      </c>
      <c r="Y225" s="5" t="str">
        <f t="shared" si="52"/>
        <v>LO</v>
      </c>
      <c r="Z225" s="5">
        <v>1</v>
      </c>
      <c r="AA225" s="6">
        <f t="shared" si="53"/>
        <v>-1.2773685734623312E-2</v>
      </c>
      <c r="AB225" s="6">
        <f t="shared" si="54"/>
        <v>-5.8756500109736123E-3</v>
      </c>
      <c r="AC225" s="6">
        <f t="shared" si="55"/>
        <v>-3.5044750224614862E-3</v>
      </c>
      <c r="AD225" s="6">
        <f t="shared" si="56"/>
        <v>-3.5044750224615057E-3</v>
      </c>
      <c r="AE225" s="6">
        <f t="shared" si="57"/>
        <v>-7.2274957397713479E-3</v>
      </c>
      <c r="AF225" s="6">
        <f t="shared" si="58"/>
        <v>-7.2274957397713288E-3</v>
      </c>
      <c r="AG225" s="6">
        <f t="shared" si="59"/>
        <v>-7.2274957397713514E-3</v>
      </c>
      <c r="AH225" s="6">
        <f t="shared" si="60"/>
        <v>-1.5982282108051346E-2</v>
      </c>
      <c r="AI225" s="6">
        <f t="shared" si="61"/>
        <v>-1.5982282108051332E-2</v>
      </c>
      <c r="AL225" s="5" t="str">
        <f t="shared" si="62"/>
        <v>RFL</v>
      </c>
      <c r="AM225" s="5">
        <f>1</f>
        <v>1</v>
      </c>
    </row>
    <row r="226" spans="1:39" s="5" customFormat="1" x14ac:dyDescent="0.3">
      <c r="C226" s="4" t="s">
        <v>463</v>
      </c>
      <c r="D226" s="5" t="s">
        <v>464</v>
      </c>
      <c r="E226" s="5" t="s">
        <v>763</v>
      </c>
      <c r="F226" s="5" t="s">
        <v>1588</v>
      </c>
      <c r="G226" s="5">
        <v>1</v>
      </c>
      <c r="H226" s="6">
        <f>(IF(SUMIFS('Industrial Summary'!$G:$G,'Industrial Summary'!$F:$F,H$17,'Industrial Summary'!$D:$D,$E226)&gt;0,((-SUMIFS('Industrial Summary'!$G:$G,'Industrial Summary'!$F:$F,H$17,'Industrial Summary'!$D:$D,$E226,'Industrial Summary'!$A:$A,"NGA")+-SUMIFS('Industrial Summary'!$G:$G,'Industrial Summary'!$F:$F,H$17,'Industrial Summary'!$D:$D,"INGRSTM",'Industrial Summary'!$A:$A,"NGA"))/SUMIFS('Industrial Summary'!$G:$G,'Industrial Summary'!$F:$F,H$17,'Industrial Summary'!$D:$D,$E226)),0))*0.98</f>
        <v>-0.71340226495830894</v>
      </c>
      <c r="I226" s="6">
        <f>(IF(SUMIFS('Industrial Summary'!$G:$G,'Industrial Summary'!$F:$F,I$17,'Industrial Summary'!$D:$D,$E226)&gt;0,((-SUMIFS('Industrial Summary'!$G:$G,'Industrial Summary'!$F:$F,I$17,'Industrial Summary'!$D:$D,$E226,'Industrial Summary'!$A:$A,"NGA")+-SUMIFS('Industrial Summary'!$G:$G,'Industrial Summary'!$F:$F,I$17,'Industrial Summary'!$D:$D,"INGRSTM",'Industrial Summary'!$A:$A,"NGA"))/SUMIFS('Industrial Summary'!$G:$G,'Industrial Summary'!$F:$F,I$17,'Industrial Summary'!$D:$D,$E226)),0))*0.98</f>
        <v>-0.32815133494079918</v>
      </c>
      <c r="J226" s="6">
        <f>(IF(SUMIFS('Industrial Summary'!$G:$G,'Industrial Summary'!$F:$F,J$17,'Industrial Summary'!$D:$D,$E226)&gt;0,((-SUMIFS('Industrial Summary'!$G:$G,'Industrial Summary'!$F:$F,J$17,'Industrial Summary'!$D:$D,$E226,'Industrial Summary'!$A:$A,"NGA")+-SUMIFS('Industrial Summary'!$G:$G,'Industrial Summary'!$F:$F,J$17,'Industrial Summary'!$D:$D,"INGRSTM",'Industrial Summary'!$A:$A,"NGA"))/SUMIFS('Industrial Summary'!$G:$G,'Industrial Summary'!$F:$F,J$17,'Industrial Summary'!$D:$D,$E226)),0))*0.98</f>
        <v>-0.14486056011743534</v>
      </c>
      <c r="K226" s="6">
        <f>(IF(SUMIFS('Industrial Summary'!$G:$G,'Industrial Summary'!$F:$F,K$17,'Industrial Summary'!$D:$D,$E226)&gt;0,((-SUMIFS('Industrial Summary'!$G:$G,'Industrial Summary'!$F:$F,K$17,'Industrial Summary'!$D:$D,$E226,'Industrial Summary'!$A:$A,"NGA")+-SUMIFS('Industrial Summary'!$G:$G,'Industrial Summary'!$F:$F,K$17,'Industrial Summary'!$D:$D,"INGRSTM",'Industrial Summary'!$A:$A,"NGA"))/SUMIFS('Industrial Summary'!$G:$G,'Industrial Summary'!$F:$F,K$17,'Industrial Summary'!$D:$D,$E226)),0))*0.98</f>
        <v>-0.14486056011743562</v>
      </c>
      <c r="L226" s="6">
        <f>(IF(SUMIFS('Industrial Summary'!$G:$G,'Industrial Summary'!$F:$F,L$17,'Industrial Summary'!$D:$D,$E226)&gt;0,((-SUMIFS('Industrial Summary'!$G:$G,'Industrial Summary'!$F:$F,L$17,'Industrial Summary'!$D:$D,$E226,'Industrial Summary'!$A:$A,"NGA")+-SUMIFS('Industrial Summary'!$G:$G,'Industrial Summary'!$F:$F,L$17,'Industrial Summary'!$D:$D,"INGRSTM",'Industrial Summary'!$A:$A,"NGA"))/SUMIFS('Industrial Summary'!$G:$G,'Industrial Summary'!$F:$F,L$17,'Industrial Summary'!$D:$D,$E226)),0))*0.98</f>
        <v>-0.45041551590300111</v>
      </c>
      <c r="M226" s="6">
        <f>(IF(SUMIFS('Industrial Summary'!$G:$G,'Industrial Summary'!$F:$F,M$17,'Industrial Summary'!$D:$D,$E226)&gt;0,((-SUMIFS('Industrial Summary'!$G:$G,'Industrial Summary'!$F:$F,M$17,'Industrial Summary'!$D:$D,$E226,'Industrial Summary'!$A:$A,"NGA")+-SUMIFS('Industrial Summary'!$G:$G,'Industrial Summary'!$F:$F,M$17,'Industrial Summary'!$D:$D,"INGRSTM",'Industrial Summary'!$A:$A,"NGA"))/SUMIFS('Industrial Summary'!$G:$G,'Industrial Summary'!$F:$F,M$17,'Industrial Summary'!$D:$D,$E226)),0))*0.98</f>
        <v>-0.45041551590300061</v>
      </c>
      <c r="N226" s="6">
        <f>(IF(SUMIFS('Industrial Summary'!$G:$G,'Industrial Summary'!$F:$F,N$17,'Industrial Summary'!$D:$D,$E226)&gt;0,((-SUMIFS('Industrial Summary'!$G:$G,'Industrial Summary'!$F:$F,N$17,'Industrial Summary'!$D:$D,$E226,'Industrial Summary'!$A:$A,"NGA")+-SUMIFS('Industrial Summary'!$G:$G,'Industrial Summary'!$F:$F,N$17,'Industrial Summary'!$D:$D,"INGRSTM",'Industrial Summary'!$A:$A,"NGA"))/SUMIFS('Industrial Summary'!$G:$G,'Industrial Summary'!$F:$F,N$17,'Industrial Summary'!$D:$D,$E226)),0))*0.98</f>
        <v>-0.45041551590300116</v>
      </c>
      <c r="O226" s="6">
        <f>(IF(SUMIFS('Industrial Summary'!$G:$G,'Industrial Summary'!$F:$F,O$17,'Industrial Summary'!$D:$D,$E226)&gt;0,((-SUMIFS('Industrial Summary'!$G:$G,'Industrial Summary'!$F:$F,O$17,'Industrial Summary'!$D:$D,$E226,'Industrial Summary'!$A:$A,"NGA")+-SUMIFS('Industrial Summary'!$G:$G,'Industrial Summary'!$F:$F,O$17,'Industrial Summary'!$D:$D,"INGRSTM",'Industrial Summary'!$A:$A,"NGA"))/SUMIFS('Industrial Summary'!$G:$G,'Industrial Summary'!$F:$F,O$17,'Industrial Summary'!$D:$D,$E226)),0))*0.98</f>
        <v>-0.82159804205097198</v>
      </c>
      <c r="P226" s="6">
        <f>(IF(SUMIFS('Industrial Summary'!$G:$G,'Industrial Summary'!$F:$F,P$17,'Industrial Summary'!$D:$D,$E226)&gt;0,((-SUMIFS('Industrial Summary'!$G:$G,'Industrial Summary'!$F:$F,P$17,'Industrial Summary'!$D:$D,$E226,'Industrial Summary'!$A:$A,"NGA")+-SUMIFS('Industrial Summary'!$G:$G,'Industrial Summary'!$F:$F,P$17,'Industrial Summary'!$D:$D,"INGRSTM",'Industrial Summary'!$A:$A,"NGA"))/SUMIFS('Industrial Summary'!$G:$G,'Industrial Summary'!$F:$F,P$17,'Industrial Summary'!$D:$D,$E226)),0))*0.98</f>
        <v>-0.82159804205097187</v>
      </c>
      <c r="Q226" s="5">
        <v>0</v>
      </c>
      <c r="R226" s="5">
        <v>15</v>
      </c>
      <c r="S226" s="5" t="str">
        <f t="shared" si="48"/>
        <v>UC_INOOH_NGA</v>
      </c>
      <c r="V226" s="4" t="str">
        <f t="shared" si="49"/>
        <v>S_INOOHNGA</v>
      </c>
      <c r="W226" s="4" t="str">
        <f t="shared" si="50"/>
        <v>INOOH_NGA</v>
      </c>
      <c r="X226" s="4" t="str">
        <f t="shared" si="51"/>
        <v>INOOHT</v>
      </c>
      <c r="Y226" s="5" t="str">
        <f t="shared" si="52"/>
        <v>LO</v>
      </c>
      <c r="Z226" s="5">
        <v>1</v>
      </c>
      <c r="AA226" s="6">
        <f t="shared" si="53"/>
        <v>-0.50651560812039931</v>
      </c>
      <c r="AB226" s="6">
        <f t="shared" si="54"/>
        <v>-0.2329874478079674</v>
      </c>
      <c r="AC226" s="6">
        <f t="shared" si="55"/>
        <v>-0.10285099768337909</v>
      </c>
      <c r="AD226" s="6">
        <f t="shared" si="56"/>
        <v>-0.10285099768337928</v>
      </c>
      <c r="AE226" s="6">
        <f t="shared" si="57"/>
        <v>-0.31979501629113077</v>
      </c>
      <c r="AF226" s="6">
        <f t="shared" si="58"/>
        <v>-0.31979501629113044</v>
      </c>
      <c r="AG226" s="6">
        <f t="shared" si="59"/>
        <v>-0.31979501629113083</v>
      </c>
      <c r="AH226" s="6">
        <f t="shared" si="60"/>
        <v>-0.58333460985619012</v>
      </c>
      <c r="AI226" s="6">
        <f t="shared" si="61"/>
        <v>-0.58333460985619001</v>
      </c>
      <c r="AL226" s="5" t="str">
        <f t="shared" si="62"/>
        <v>NGA</v>
      </c>
      <c r="AM226" s="5">
        <f>Y8</f>
        <v>0.71</v>
      </c>
    </row>
    <row r="227" spans="1:39" s="5" customFormat="1" x14ac:dyDescent="0.3">
      <c r="C227" s="4" t="s">
        <v>465</v>
      </c>
      <c r="D227" s="5" t="s">
        <v>466</v>
      </c>
      <c r="E227" s="5" t="s">
        <v>763</v>
      </c>
      <c r="F227" s="5" t="s">
        <v>1588</v>
      </c>
      <c r="G227" s="5">
        <v>1</v>
      </c>
      <c r="H227" s="6">
        <f>(IF(SUMIFS('Industrial Summary'!$G:$G,'Industrial Summary'!$F:$F,H$17,'Industrial Summary'!$D:$D,$E227)&gt;0,((-SUMIFS('Industrial Summary'!$G:$G,'Industrial Summary'!$F:$F,H$17,'Industrial Summary'!$D:$D,$E227,'Industrial Summary'!$A:$A,"BIO")+-SUMIFS('Industrial Summary'!$G:$G,'Industrial Summary'!$F:$F,H$17,'Industrial Summary'!$D:$D,"INGRSTM",'Industrial Summary'!$A:$A,"BIO"))/SUMIFS('Industrial Summary'!$G:$G,'Industrial Summary'!$F:$F,H$17,'Industrial Summary'!$D:$D,$E227)),0))*0.98</f>
        <v>0</v>
      </c>
      <c r="I227" s="6">
        <f>(IF(SUMIFS('Industrial Summary'!$G:$G,'Industrial Summary'!$F:$F,I$17,'Industrial Summary'!$D:$D,$E227)&gt;0,((-SUMIFS('Industrial Summary'!$G:$G,'Industrial Summary'!$F:$F,I$17,'Industrial Summary'!$D:$D,$E227,'Industrial Summary'!$A:$A,"BIO")+-SUMIFS('Industrial Summary'!$G:$G,'Industrial Summary'!$F:$F,I$17,'Industrial Summary'!$D:$D,"INGRSTM",'Industrial Summary'!$A:$A,"BIO"))/SUMIFS('Industrial Summary'!$G:$G,'Industrial Summary'!$F:$F,I$17,'Industrial Summary'!$D:$D,$E227)),0))*0.98</f>
        <v>0</v>
      </c>
      <c r="J227" s="6">
        <f>(IF(SUMIFS('Industrial Summary'!$G:$G,'Industrial Summary'!$F:$F,J$17,'Industrial Summary'!$D:$D,$E227)&gt;0,((-SUMIFS('Industrial Summary'!$G:$G,'Industrial Summary'!$F:$F,J$17,'Industrial Summary'!$D:$D,$E227,'Industrial Summary'!$A:$A,"BIO")+-SUMIFS('Industrial Summary'!$G:$G,'Industrial Summary'!$F:$F,J$17,'Industrial Summary'!$D:$D,"INGRSTM",'Industrial Summary'!$A:$A,"BIO"))/SUMIFS('Industrial Summary'!$G:$G,'Industrial Summary'!$F:$F,J$17,'Industrial Summary'!$D:$D,$E227)),0))*0.98</f>
        <v>-1.8821343459448765E-2</v>
      </c>
      <c r="K227" s="6">
        <f>(IF(SUMIFS('Industrial Summary'!$G:$G,'Industrial Summary'!$F:$F,K$17,'Industrial Summary'!$D:$D,$E227)&gt;0,((-SUMIFS('Industrial Summary'!$G:$G,'Industrial Summary'!$F:$F,K$17,'Industrial Summary'!$D:$D,$E227,'Industrial Summary'!$A:$A,"BIO")+-SUMIFS('Industrial Summary'!$G:$G,'Industrial Summary'!$F:$F,K$17,'Industrial Summary'!$D:$D,"INGRSTM",'Industrial Summary'!$A:$A,"BIO"))/SUMIFS('Industrial Summary'!$G:$G,'Industrial Summary'!$F:$F,K$17,'Industrial Summary'!$D:$D,$E227)),0))*0.98</f>
        <v>-1.882134345944883E-2</v>
      </c>
      <c r="L227" s="6">
        <f>(IF(SUMIFS('Industrial Summary'!$G:$G,'Industrial Summary'!$F:$F,L$17,'Industrial Summary'!$D:$D,$E227)&gt;0,((-SUMIFS('Industrial Summary'!$G:$G,'Industrial Summary'!$F:$F,L$17,'Industrial Summary'!$D:$D,$E227,'Industrial Summary'!$A:$A,"BIO")+-SUMIFS('Industrial Summary'!$G:$G,'Industrial Summary'!$F:$F,L$17,'Industrial Summary'!$D:$D,"INGRSTM",'Industrial Summary'!$A:$A,"BIO"))/SUMIFS('Industrial Summary'!$G:$G,'Industrial Summary'!$F:$F,L$17,'Industrial Summary'!$D:$D,$E227)),0))*0.98</f>
        <v>-0.11992065184314477</v>
      </c>
      <c r="M227" s="6">
        <f>(IF(SUMIFS('Industrial Summary'!$G:$G,'Industrial Summary'!$F:$F,M$17,'Industrial Summary'!$D:$D,$E227)&gt;0,((-SUMIFS('Industrial Summary'!$G:$G,'Industrial Summary'!$F:$F,M$17,'Industrial Summary'!$D:$D,$E227,'Industrial Summary'!$A:$A,"BIO")+-SUMIFS('Industrial Summary'!$G:$G,'Industrial Summary'!$F:$F,M$17,'Industrial Summary'!$D:$D,"INGRSTM",'Industrial Summary'!$A:$A,"BIO"))/SUMIFS('Industrial Summary'!$G:$G,'Industrial Summary'!$F:$F,M$17,'Industrial Summary'!$D:$D,$E227)),0))*0.98</f>
        <v>-0.11992065184314486</v>
      </c>
      <c r="N227" s="6">
        <f>(IF(SUMIFS('Industrial Summary'!$G:$G,'Industrial Summary'!$F:$F,N$17,'Industrial Summary'!$D:$D,$E227)&gt;0,((-SUMIFS('Industrial Summary'!$G:$G,'Industrial Summary'!$F:$F,N$17,'Industrial Summary'!$D:$D,$E227,'Industrial Summary'!$A:$A,"BIO")+-SUMIFS('Industrial Summary'!$G:$G,'Industrial Summary'!$F:$F,N$17,'Industrial Summary'!$D:$D,"INGRSTM",'Industrial Summary'!$A:$A,"BIO"))/SUMIFS('Industrial Summary'!$G:$G,'Industrial Summary'!$F:$F,N$17,'Industrial Summary'!$D:$D,$E227)),0))*0.98</f>
        <v>-0.11992065184314489</v>
      </c>
      <c r="O227" s="6">
        <f>(IF(SUMIFS('Industrial Summary'!$G:$G,'Industrial Summary'!$F:$F,O$17,'Industrial Summary'!$D:$D,$E227)&gt;0,((-SUMIFS('Industrial Summary'!$G:$G,'Industrial Summary'!$F:$F,O$17,'Industrial Summary'!$D:$D,$E227,'Industrial Summary'!$A:$A,"BIO")+-SUMIFS('Industrial Summary'!$G:$G,'Industrial Summary'!$F:$F,O$17,'Industrial Summary'!$D:$D,"INGRSTM",'Industrial Summary'!$A:$A,"BIO"))/SUMIFS('Industrial Summary'!$G:$G,'Industrial Summary'!$F:$F,O$17,'Industrial Summary'!$D:$D,$E227)),0))*0.98</f>
        <v>0</v>
      </c>
      <c r="P227" s="6">
        <f>(IF(SUMIFS('Industrial Summary'!$G:$G,'Industrial Summary'!$F:$F,P$17,'Industrial Summary'!$D:$D,$E227)&gt;0,((-SUMIFS('Industrial Summary'!$G:$G,'Industrial Summary'!$F:$F,P$17,'Industrial Summary'!$D:$D,$E227,'Industrial Summary'!$A:$A,"BIO")+-SUMIFS('Industrial Summary'!$G:$G,'Industrial Summary'!$F:$F,P$17,'Industrial Summary'!$D:$D,"INGRSTM",'Industrial Summary'!$A:$A,"BIO"))/SUMIFS('Industrial Summary'!$G:$G,'Industrial Summary'!$F:$F,P$17,'Industrial Summary'!$D:$D,$E227)),0))*0.98</f>
        <v>0</v>
      </c>
      <c r="Q227" s="5">
        <v>0</v>
      </c>
      <c r="R227" s="5">
        <v>15</v>
      </c>
      <c r="S227" s="5" t="str">
        <f t="shared" si="48"/>
        <v>UC_INOOH_BIO</v>
      </c>
      <c r="V227" s="4" t="str">
        <f t="shared" si="49"/>
        <v>S_INOOHBIO</v>
      </c>
      <c r="W227" s="4" t="str">
        <f t="shared" si="50"/>
        <v>INOOH_BIO</v>
      </c>
      <c r="X227" s="4" t="str">
        <f t="shared" si="51"/>
        <v>INOOHT</v>
      </c>
      <c r="Y227" s="5" t="str">
        <f t="shared" si="52"/>
        <v>LO</v>
      </c>
      <c r="Z227" s="5">
        <v>1</v>
      </c>
      <c r="AA227" s="6">
        <f t="shared" si="53"/>
        <v>0</v>
      </c>
      <c r="AB227" s="6">
        <f t="shared" si="54"/>
        <v>0</v>
      </c>
      <c r="AC227" s="6">
        <f t="shared" si="55"/>
        <v>-1.8821343459448765E-2</v>
      </c>
      <c r="AD227" s="6">
        <f t="shared" si="56"/>
        <v>-1.882134345944883E-2</v>
      </c>
      <c r="AE227" s="6">
        <f t="shared" si="57"/>
        <v>-0.11992065184314477</v>
      </c>
      <c r="AF227" s="6">
        <f t="shared" si="58"/>
        <v>-0.11992065184314486</v>
      </c>
      <c r="AG227" s="6">
        <f t="shared" si="59"/>
        <v>-0.11992065184314489</v>
      </c>
      <c r="AH227" s="6">
        <f t="shared" si="60"/>
        <v>0</v>
      </c>
      <c r="AI227" s="6">
        <f t="shared" si="61"/>
        <v>0</v>
      </c>
      <c r="AL227" s="5" t="str">
        <f t="shared" si="62"/>
        <v>BIO</v>
      </c>
      <c r="AM227" s="5">
        <f>1</f>
        <v>1</v>
      </c>
    </row>
    <row r="228" spans="1:39" s="5" customFormat="1" x14ac:dyDescent="0.3">
      <c r="C228" s="4" t="s">
        <v>467</v>
      </c>
      <c r="D228" s="5" t="s">
        <v>468</v>
      </c>
      <c r="E228" s="5" t="s">
        <v>763</v>
      </c>
      <c r="F228" s="5" t="s">
        <v>1588</v>
      </c>
      <c r="G228" s="5">
        <v>1</v>
      </c>
      <c r="H228" s="6">
        <f>(IF(SUMIFS('Industrial Summary'!$G:$G,'Industrial Summary'!$F:$F,H$17,'Industrial Summary'!$D:$D,$E228)&gt;0,((-SUMIFS('Industrial Summary'!$G:$G,'Industrial Summary'!$F:$F,H$17,'Industrial Summary'!$D:$D,$E228,'Industrial Summary'!$A:$A,"PTC")+-SUMIFS('Industrial Summary'!$G:$G,'Industrial Summary'!$F:$F,H$17,'Industrial Summary'!$D:$D,"INGRSTM",'Industrial Summary'!$A:$A,"PTC"))/SUMIFS('Industrial Summary'!$G:$G,'Industrial Summary'!$F:$F,H$17,'Industrial Summary'!$D:$D,$E228)),0))*0.98</f>
        <v>0</v>
      </c>
      <c r="I228" s="6">
        <f>(IF(SUMIFS('Industrial Summary'!$G:$G,'Industrial Summary'!$F:$F,I$17,'Industrial Summary'!$D:$D,$E228)&gt;0,((-SUMIFS('Industrial Summary'!$G:$G,'Industrial Summary'!$F:$F,I$17,'Industrial Summary'!$D:$D,$E228,'Industrial Summary'!$A:$A,"PTC")+-SUMIFS('Industrial Summary'!$G:$G,'Industrial Summary'!$F:$F,I$17,'Industrial Summary'!$D:$D,"INGRSTM",'Industrial Summary'!$A:$A,"PTC"))/SUMIFS('Industrial Summary'!$G:$G,'Industrial Summary'!$F:$F,I$17,'Industrial Summary'!$D:$D,$E228)),0))*0.98</f>
        <v>-0.52921882921022489</v>
      </c>
      <c r="J228" s="6">
        <f>(IF(SUMIFS('Industrial Summary'!$G:$G,'Industrial Summary'!$F:$F,J$17,'Industrial Summary'!$D:$D,$E228)&gt;0,((-SUMIFS('Industrial Summary'!$G:$G,'Industrial Summary'!$F:$F,J$17,'Industrial Summary'!$D:$D,$E228,'Industrial Summary'!$A:$A,"PTC")+-SUMIFS('Industrial Summary'!$G:$G,'Industrial Summary'!$F:$F,J$17,'Industrial Summary'!$D:$D,"INGRSTM",'Industrial Summary'!$A:$A,"PTC"))/SUMIFS('Industrial Summary'!$G:$G,'Industrial Summary'!$F:$F,J$17,'Industrial Summary'!$D:$D,$E228)),0))*0.98</f>
        <v>-0.70516945568519107</v>
      </c>
      <c r="K228" s="6">
        <f>(IF(SUMIFS('Industrial Summary'!$G:$G,'Industrial Summary'!$F:$F,K$17,'Industrial Summary'!$D:$D,$E228)&gt;0,((-SUMIFS('Industrial Summary'!$G:$G,'Industrial Summary'!$F:$F,K$17,'Industrial Summary'!$D:$D,$E228,'Industrial Summary'!$A:$A,"PTC")+-SUMIFS('Industrial Summary'!$G:$G,'Industrial Summary'!$F:$F,K$17,'Industrial Summary'!$D:$D,"INGRSTM",'Industrial Summary'!$A:$A,"PTC"))/SUMIFS('Industrial Summary'!$G:$G,'Industrial Summary'!$F:$F,K$17,'Industrial Summary'!$D:$D,$E228)),0))*0.98</f>
        <v>-0.70516945568519096</v>
      </c>
      <c r="L228" s="6">
        <f>(IF(SUMIFS('Industrial Summary'!$G:$G,'Industrial Summary'!$F:$F,L$17,'Industrial Summary'!$D:$D,$E228)&gt;0,((-SUMIFS('Industrial Summary'!$G:$G,'Industrial Summary'!$F:$F,L$17,'Industrial Summary'!$D:$D,$E228,'Industrial Summary'!$A:$A,"PTC")+-SUMIFS('Industrial Summary'!$G:$G,'Industrial Summary'!$F:$F,L$17,'Industrial Summary'!$D:$D,"INGRSTM",'Industrial Summary'!$A:$A,"PTC"))/SUMIFS('Industrial Summary'!$G:$G,'Industrial Summary'!$F:$F,L$17,'Industrial Summary'!$D:$D,$E228)),0))*0.98</f>
        <v>-0.30025069907118201</v>
      </c>
      <c r="M228" s="6">
        <f>(IF(SUMIFS('Industrial Summary'!$G:$G,'Industrial Summary'!$F:$F,M$17,'Industrial Summary'!$D:$D,$E228)&gt;0,((-SUMIFS('Industrial Summary'!$G:$G,'Industrial Summary'!$F:$F,M$17,'Industrial Summary'!$D:$D,$E228,'Industrial Summary'!$A:$A,"PTC")+-SUMIFS('Industrial Summary'!$G:$G,'Industrial Summary'!$F:$F,M$17,'Industrial Summary'!$D:$D,"INGRSTM",'Industrial Summary'!$A:$A,"PTC"))/SUMIFS('Industrial Summary'!$G:$G,'Industrial Summary'!$F:$F,M$17,'Industrial Summary'!$D:$D,$E228)),0))*0.98</f>
        <v>-0.30025069907118207</v>
      </c>
      <c r="N228" s="6">
        <f>(IF(SUMIFS('Industrial Summary'!$G:$G,'Industrial Summary'!$F:$F,N$17,'Industrial Summary'!$D:$D,$E228)&gt;0,((-SUMIFS('Industrial Summary'!$G:$G,'Industrial Summary'!$F:$F,N$17,'Industrial Summary'!$D:$D,$E228,'Industrial Summary'!$A:$A,"PTC")+-SUMIFS('Industrial Summary'!$G:$G,'Industrial Summary'!$F:$F,N$17,'Industrial Summary'!$D:$D,"INGRSTM",'Industrial Summary'!$A:$A,"PTC"))/SUMIFS('Industrial Summary'!$G:$G,'Industrial Summary'!$F:$F,N$17,'Industrial Summary'!$D:$D,$E228)),0))*0.98</f>
        <v>-0.30025069907118157</v>
      </c>
      <c r="O228" s="6">
        <f>(IF(SUMIFS('Industrial Summary'!$G:$G,'Industrial Summary'!$F:$F,O$17,'Industrial Summary'!$D:$D,$E228)&gt;0,((-SUMIFS('Industrial Summary'!$G:$G,'Industrial Summary'!$F:$F,O$17,'Industrial Summary'!$D:$D,$E228,'Industrial Summary'!$A:$A,"PTC")+-SUMIFS('Industrial Summary'!$G:$G,'Industrial Summary'!$F:$F,O$17,'Industrial Summary'!$D:$D,"INGRSTM",'Industrial Summary'!$A:$A,"PTC"))/SUMIFS('Industrial Summary'!$G:$G,'Industrial Summary'!$F:$F,O$17,'Industrial Summary'!$D:$D,$E228)),0))*0.98</f>
        <v>0</v>
      </c>
      <c r="P228" s="6">
        <f>(IF(SUMIFS('Industrial Summary'!$G:$G,'Industrial Summary'!$F:$F,P$17,'Industrial Summary'!$D:$D,$E228)&gt;0,((-SUMIFS('Industrial Summary'!$G:$G,'Industrial Summary'!$F:$F,P$17,'Industrial Summary'!$D:$D,$E228,'Industrial Summary'!$A:$A,"PTC")+-SUMIFS('Industrial Summary'!$G:$G,'Industrial Summary'!$F:$F,P$17,'Industrial Summary'!$D:$D,"INGRSTM",'Industrial Summary'!$A:$A,"PTC"))/SUMIFS('Industrial Summary'!$G:$G,'Industrial Summary'!$F:$F,P$17,'Industrial Summary'!$D:$D,$E228)),0))*0.98</f>
        <v>0</v>
      </c>
      <c r="Q228" s="5">
        <v>0</v>
      </c>
      <c r="R228" s="5">
        <v>15</v>
      </c>
      <c r="S228" s="5" t="str">
        <f t="shared" si="48"/>
        <v>UC_INOOH_PTC</v>
      </c>
      <c r="V228" s="4" t="str">
        <f t="shared" si="49"/>
        <v>S_INOOHPTC</v>
      </c>
      <c r="W228" s="4" t="str">
        <f t="shared" si="50"/>
        <v>INOOH_PTC</v>
      </c>
      <c r="X228" s="4" t="str">
        <f t="shared" si="51"/>
        <v>INOOHT</v>
      </c>
      <c r="Y228" s="5" t="str">
        <f t="shared" si="52"/>
        <v>LO</v>
      </c>
      <c r="Z228" s="5">
        <v>1</v>
      </c>
      <c r="AA228" s="6">
        <f t="shared" si="53"/>
        <v>0</v>
      </c>
      <c r="AB228" s="6">
        <f t="shared" si="54"/>
        <v>-0.52921882921022489</v>
      </c>
      <c r="AC228" s="6">
        <f t="shared" si="55"/>
        <v>-0.70516945568519107</v>
      </c>
      <c r="AD228" s="6">
        <f t="shared" si="56"/>
        <v>-0.70516945568519096</v>
      </c>
      <c r="AE228" s="6">
        <f t="shared" si="57"/>
        <v>-0.30025069907118201</v>
      </c>
      <c r="AF228" s="6">
        <f t="shared" si="58"/>
        <v>-0.30025069907118207</v>
      </c>
      <c r="AG228" s="6">
        <f t="shared" si="59"/>
        <v>-0.30025069907118157</v>
      </c>
      <c r="AH228" s="6">
        <f t="shared" si="60"/>
        <v>0</v>
      </c>
      <c r="AI228" s="6">
        <f t="shared" si="61"/>
        <v>0</v>
      </c>
      <c r="AL228" s="5" t="str">
        <f t="shared" si="62"/>
        <v>PTC</v>
      </c>
      <c r="AM228" s="5">
        <f>1</f>
        <v>1</v>
      </c>
    </row>
    <row r="229" spans="1:39" s="5" customFormat="1" x14ac:dyDescent="0.3">
      <c r="A229" s="8"/>
      <c r="C229" s="4" t="s">
        <v>469</v>
      </c>
      <c r="D229" s="5" t="s">
        <v>470</v>
      </c>
      <c r="E229" s="5" t="s">
        <v>763</v>
      </c>
      <c r="F229" s="5" t="s">
        <v>1588</v>
      </c>
      <c r="G229" s="5">
        <v>1</v>
      </c>
      <c r="H229" s="6">
        <f>(IF(SUMIFS('Industrial Summary'!$G:$G,'Industrial Summary'!$F:$F,H$17,'Industrial Summary'!$D:$D,$E229)&gt;0,((-SUMIFS('Industrial Summary'!$G:$G,'Industrial Summary'!$F:$F,H$17,'Industrial Summary'!$D:$D,$E229,'Industrial Summary'!$A:$A,"OTP")+-SUMIFS('Industrial Summary'!$G:$G,'Industrial Summary'!$F:$F,H$17,'Industrial Summary'!$D:$D,"INGRSTM",'Industrial Summary'!$A:$A,"OTP"))/SUMIFS('Industrial Summary'!$G:$G,'Industrial Summary'!$F:$F,H$17,'Industrial Summary'!$D:$D,$E229)),0))*0.98</f>
        <v>-0.10542663725976496</v>
      </c>
      <c r="I229" s="6">
        <f>(IF(SUMIFS('Industrial Summary'!$G:$G,'Industrial Summary'!$F:$F,I$17,'Industrial Summary'!$D:$D,$E229)&gt;0,((-SUMIFS('Industrial Summary'!$G:$G,'Industrial Summary'!$F:$F,I$17,'Industrial Summary'!$D:$D,$E229,'Industrial Summary'!$A:$A,"OTP")+-SUMIFS('Industrial Summary'!$G:$G,'Industrial Summary'!$F:$F,I$17,'Industrial Summary'!$D:$D,"INGRSTM",'Industrial Summary'!$A:$A,"OTP"))/SUMIFS('Industrial Summary'!$G:$G,'Industrial Summary'!$F:$F,I$17,'Industrial Summary'!$D:$D,$E229)),0))*0.98</f>
        <v>-4.8494227526924338E-2</v>
      </c>
      <c r="J229" s="6">
        <f>(IF(SUMIFS('Industrial Summary'!$G:$G,'Industrial Summary'!$F:$F,J$17,'Industrial Summary'!$D:$D,$E229)&gt;0,((-SUMIFS('Industrial Summary'!$G:$G,'Industrial Summary'!$F:$F,J$17,'Industrial Summary'!$D:$D,$E229,'Industrial Summary'!$A:$A,"OTP")+-SUMIFS('Industrial Summary'!$G:$G,'Industrial Summary'!$F:$F,J$17,'Industrial Summary'!$D:$D,"INGRSTM",'Industrial Summary'!$A:$A,"OTP"))/SUMIFS('Industrial Summary'!$G:$G,'Industrial Summary'!$F:$F,J$17,'Industrial Summary'!$D:$D,$E229)),0))*0.98</f>
        <v>-8.5948424104812557E-2</v>
      </c>
      <c r="K229" s="6">
        <f>(IF(SUMIFS('Industrial Summary'!$G:$G,'Industrial Summary'!$F:$F,K$17,'Industrial Summary'!$D:$D,$E229)&gt;0,((-SUMIFS('Industrial Summary'!$G:$G,'Industrial Summary'!$F:$F,K$17,'Industrial Summary'!$D:$D,$E229,'Industrial Summary'!$A:$A,"OTP")+-SUMIFS('Industrial Summary'!$G:$G,'Industrial Summary'!$F:$F,K$17,'Industrial Summary'!$D:$D,"INGRSTM",'Industrial Summary'!$A:$A,"OTP"))/SUMIFS('Industrial Summary'!$G:$G,'Industrial Summary'!$F:$F,K$17,'Industrial Summary'!$D:$D,$E229)),0))*0.98</f>
        <v>-8.5948424104812571E-2</v>
      </c>
      <c r="L229" s="6">
        <f>(IF(SUMIFS('Industrial Summary'!$G:$G,'Industrial Summary'!$F:$F,L$17,'Industrial Summary'!$D:$D,$E229)&gt;0,((-SUMIFS('Industrial Summary'!$G:$G,'Industrial Summary'!$F:$F,L$17,'Industrial Summary'!$D:$D,$E229,'Industrial Summary'!$A:$A,"OTP")+-SUMIFS('Industrial Summary'!$G:$G,'Industrial Summary'!$F:$F,L$17,'Industrial Summary'!$D:$D,"INGRSTM",'Industrial Summary'!$A:$A,"OTP"))/SUMIFS('Industrial Summary'!$G:$G,'Industrial Summary'!$F:$F,L$17,'Industrial Summary'!$D:$D,$E229)),0))*0.98</f>
        <v>-2.3852498985526473E-2</v>
      </c>
      <c r="M229" s="6">
        <f>(IF(SUMIFS('Industrial Summary'!$G:$G,'Industrial Summary'!$F:$F,M$17,'Industrial Summary'!$D:$D,$E229)&gt;0,((-SUMIFS('Industrial Summary'!$G:$G,'Industrial Summary'!$F:$F,M$17,'Industrial Summary'!$D:$D,$E229,'Industrial Summary'!$A:$A,"OTP")+-SUMIFS('Industrial Summary'!$G:$G,'Industrial Summary'!$F:$F,M$17,'Industrial Summary'!$D:$D,"INGRSTM",'Industrial Summary'!$A:$A,"OTP"))/SUMIFS('Industrial Summary'!$G:$G,'Industrial Summary'!$F:$F,M$17,'Industrial Summary'!$D:$D,$E229)),0))*0.98</f>
        <v>-2.3852498985526452E-2</v>
      </c>
      <c r="N229" s="6">
        <f>(IF(SUMIFS('Industrial Summary'!$G:$G,'Industrial Summary'!$F:$F,N$17,'Industrial Summary'!$D:$D,$E229)&gt;0,((-SUMIFS('Industrial Summary'!$G:$G,'Industrial Summary'!$F:$F,N$17,'Industrial Summary'!$D:$D,$E229,'Industrial Summary'!$A:$A,"OTP")+-SUMIFS('Industrial Summary'!$G:$G,'Industrial Summary'!$F:$F,N$17,'Industrial Summary'!$D:$D,"INGRSTM",'Industrial Summary'!$A:$A,"OTP"))/SUMIFS('Industrial Summary'!$G:$G,'Industrial Summary'!$F:$F,N$17,'Industrial Summary'!$D:$D,$E229)),0))*0.98</f>
        <v>-2.3852498985526431E-2</v>
      </c>
      <c r="O229" s="6">
        <f>(IF(SUMIFS('Industrial Summary'!$G:$G,'Industrial Summary'!$F:$F,O$17,'Industrial Summary'!$D:$D,$E229)&gt;0,((-SUMIFS('Industrial Summary'!$G:$G,'Industrial Summary'!$F:$F,O$17,'Industrial Summary'!$D:$D,$E229,'Industrial Summary'!$A:$A,"OTP")+-SUMIFS('Industrial Summary'!$G:$G,'Industrial Summary'!$F:$F,O$17,'Industrial Summary'!$D:$D,"INGRSTM",'Industrial Summary'!$A:$A,"OTP"))/SUMIFS('Industrial Summary'!$G:$G,'Industrial Summary'!$F:$F,O$17,'Industrial Summary'!$D:$D,$E229)),0))*0.98</f>
        <v>0</v>
      </c>
      <c r="P229" s="6">
        <f>(IF(SUMIFS('Industrial Summary'!$G:$G,'Industrial Summary'!$F:$F,P$17,'Industrial Summary'!$D:$D,$E229)&gt;0,((-SUMIFS('Industrial Summary'!$G:$G,'Industrial Summary'!$F:$F,P$17,'Industrial Summary'!$D:$D,$E229,'Industrial Summary'!$A:$A,"OTP")+-SUMIFS('Industrial Summary'!$G:$G,'Industrial Summary'!$F:$F,P$17,'Industrial Summary'!$D:$D,"INGRSTM",'Industrial Summary'!$A:$A,"OTP"))/SUMIFS('Industrial Summary'!$G:$G,'Industrial Summary'!$F:$F,P$17,'Industrial Summary'!$D:$D,$E229)),0))*0.98</f>
        <v>0</v>
      </c>
      <c r="Q229" s="5">
        <v>0</v>
      </c>
      <c r="R229" s="5">
        <v>15</v>
      </c>
      <c r="S229" s="5" t="str">
        <f t="shared" si="48"/>
        <v>UC_INOOH_OTP</v>
      </c>
      <c r="V229" s="4" t="str">
        <f t="shared" si="49"/>
        <v>S_INOOHOTP</v>
      </c>
      <c r="W229" s="4" t="str">
        <f t="shared" si="50"/>
        <v>INOOH_OTP</v>
      </c>
      <c r="X229" s="4" t="str">
        <f t="shared" si="51"/>
        <v>INOOHT</v>
      </c>
      <c r="Y229" s="5" t="str">
        <f t="shared" si="52"/>
        <v>LO</v>
      </c>
      <c r="Z229" s="5">
        <v>1</v>
      </c>
      <c r="AA229" s="6">
        <f t="shared" si="53"/>
        <v>-0.10542663725976496</v>
      </c>
      <c r="AB229" s="6">
        <f t="shared" si="54"/>
        <v>-4.8494227526924338E-2</v>
      </c>
      <c r="AC229" s="6">
        <f t="shared" si="55"/>
        <v>-8.5948424104812557E-2</v>
      </c>
      <c r="AD229" s="6">
        <f t="shared" si="56"/>
        <v>-8.5948424104812571E-2</v>
      </c>
      <c r="AE229" s="6">
        <f t="shared" si="57"/>
        <v>-2.3852498985526473E-2</v>
      </c>
      <c r="AF229" s="6">
        <f t="shared" si="58"/>
        <v>-2.3852498985526452E-2</v>
      </c>
      <c r="AG229" s="6">
        <f t="shared" si="59"/>
        <v>-2.3852498985526431E-2</v>
      </c>
      <c r="AH229" s="6">
        <f t="shared" si="60"/>
        <v>0</v>
      </c>
      <c r="AI229" s="6">
        <f t="shared" si="61"/>
        <v>0</v>
      </c>
      <c r="AL229" s="5" t="str">
        <f t="shared" si="62"/>
        <v>OTP</v>
      </c>
      <c r="AM229" s="5">
        <f>1</f>
        <v>1</v>
      </c>
    </row>
    <row r="230" spans="1:39" s="5" customFormat="1" x14ac:dyDescent="0.3">
      <c r="C230" s="4" t="s">
        <v>471</v>
      </c>
      <c r="D230" s="5" t="s">
        <v>472</v>
      </c>
      <c r="E230" s="5" t="s">
        <v>718</v>
      </c>
      <c r="F230" s="5" t="s">
        <v>1588</v>
      </c>
      <c r="G230" s="5">
        <v>1</v>
      </c>
      <c r="H230" s="6">
        <f>IF(SUMIFS('Industrial Summary'!$G:$G,'Industrial Summary'!$F:$F,H$17,'Industrial Summary'!$D:$D,$E230)&gt;0,(-SUMIFS('Industrial Summary'!$G:$G,'Industrial Summary'!$F:$F,H$17,'Industrial Summary'!$D:$D,$E230,'Industrial Summary'!$A:$A,"NGA")/SUMIFS('Industrial Summary'!$G:$G,'Industrial Summary'!$F:$F,H$17,'Industrial Summary'!$D:$D,$E230)),0)*0.98</f>
        <v>-1.3573727230738573E-2</v>
      </c>
      <c r="I230" s="6">
        <f>IF(SUMIFS('Industrial Summary'!$G:$G,'Industrial Summary'!$F:$F,I$17,'Industrial Summary'!$D:$D,$E230)&gt;0,(-SUMIFS('Industrial Summary'!$G:$G,'Industrial Summary'!$F:$F,I$17,'Industrial Summary'!$D:$D,$E230,'Industrial Summary'!$A:$A,"NGA")/SUMIFS('Industrial Summary'!$G:$G,'Industrial Summary'!$F:$F,I$17,'Industrial Summary'!$D:$D,$E230)),0)*0.98</f>
        <v>-1.2974868737881102E-2</v>
      </c>
      <c r="J230" s="6">
        <f>IF(SUMIFS('Industrial Summary'!$G:$G,'Industrial Summary'!$F:$F,J$17,'Industrial Summary'!$D:$D,$E230)&gt;0,(-SUMIFS('Industrial Summary'!$G:$G,'Industrial Summary'!$F:$F,J$17,'Industrial Summary'!$D:$D,$E230,'Industrial Summary'!$A:$A,"NGA")/SUMIFS('Industrial Summary'!$G:$G,'Industrial Summary'!$F:$F,J$17,'Industrial Summary'!$D:$D,$E230)),0)*0.98</f>
        <v>-4.5252450476394764E-2</v>
      </c>
      <c r="K230" s="6">
        <f>IF(SUMIFS('Industrial Summary'!$G:$G,'Industrial Summary'!$F:$F,K$17,'Industrial Summary'!$D:$D,$E230)&gt;0,(-SUMIFS('Industrial Summary'!$G:$G,'Industrial Summary'!$F:$F,K$17,'Industrial Summary'!$D:$D,$E230,'Industrial Summary'!$A:$A,"NGA")/SUMIFS('Industrial Summary'!$G:$G,'Industrial Summary'!$F:$F,K$17,'Industrial Summary'!$D:$D,$E230)),0)*0.98</f>
        <v>-4.5298284277158388E-2</v>
      </c>
      <c r="L230" s="6">
        <f>IF(SUMIFS('Industrial Summary'!$G:$G,'Industrial Summary'!$F:$F,L$17,'Industrial Summary'!$D:$D,$E230)&gt;0,(-SUMIFS('Industrial Summary'!$G:$G,'Industrial Summary'!$F:$F,L$17,'Industrial Summary'!$D:$D,$E230,'Industrial Summary'!$A:$A,"NGA")/SUMIFS('Industrial Summary'!$G:$G,'Industrial Summary'!$F:$F,L$17,'Industrial Summary'!$D:$D,$E230)),0)*0.98</f>
        <v>-9.2725686979784824E-2</v>
      </c>
      <c r="M230" s="6">
        <f>IF(SUMIFS('Industrial Summary'!$G:$G,'Industrial Summary'!$F:$F,M$17,'Industrial Summary'!$D:$D,$E230)&gt;0,(-SUMIFS('Industrial Summary'!$G:$G,'Industrial Summary'!$F:$F,M$17,'Industrial Summary'!$D:$D,$E230,'Industrial Summary'!$A:$A,"NGA")/SUMIFS('Industrial Summary'!$G:$G,'Industrial Summary'!$F:$F,M$17,'Industrial Summary'!$D:$D,$E230)),0)*0.98</f>
        <v>-9.2725686979784547E-2</v>
      </c>
      <c r="N230" s="6">
        <f>IF(SUMIFS('Industrial Summary'!$G:$G,'Industrial Summary'!$F:$F,N$17,'Industrial Summary'!$D:$D,$E230)&gt;0,(-SUMIFS('Industrial Summary'!$G:$G,'Industrial Summary'!$F:$F,N$17,'Industrial Summary'!$D:$D,$E230,'Industrial Summary'!$A:$A,"NGA")/SUMIFS('Industrial Summary'!$G:$G,'Industrial Summary'!$F:$F,N$17,'Industrial Summary'!$D:$D,$E230)),0)*0.98</f>
        <v>-8.7004644284818203E-2</v>
      </c>
      <c r="O230" s="6">
        <f>IF(SUMIFS('Industrial Summary'!$G:$G,'Industrial Summary'!$F:$F,O$17,'Industrial Summary'!$D:$D,$E230)&gt;0,(-SUMIFS('Industrial Summary'!$G:$G,'Industrial Summary'!$F:$F,O$17,'Industrial Summary'!$D:$D,$E230,'Industrial Summary'!$A:$A,"NGA")/SUMIFS('Industrial Summary'!$G:$G,'Industrial Summary'!$F:$F,O$17,'Industrial Summary'!$D:$D,$E230)),0)*0.98</f>
        <v>0</v>
      </c>
      <c r="P230" s="6">
        <f>IF(SUMIFS('Industrial Summary'!$G:$G,'Industrial Summary'!$F:$F,P$17,'Industrial Summary'!$D:$D,$E230)&gt;0,(-SUMIFS('Industrial Summary'!$G:$G,'Industrial Summary'!$F:$F,P$17,'Industrial Summary'!$D:$D,$E230,'Industrial Summary'!$A:$A,"NGA")/SUMIFS('Industrial Summary'!$G:$G,'Industrial Summary'!$F:$F,P$17,'Industrial Summary'!$D:$D,$E230)),0)*0.98</f>
        <v>0</v>
      </c>
      <c r="Q230" s="5">
        <v>0</v>
      </c>
      <c r="R230" s="5">
        <v>15</v>
      </c>
      <c r="S230" s="5" t="str">
        <f t="shared" si="48"/>
        <v>UC_IMSFS_NGA</v>
      </c>
      <c r="V230" s="4" t="str">
        <f t="shared" si="49"/>
        <v>S_IMSFSNGA</v>
      </c>
      <c r="W230" s="4" t="str">
        <f t="shared" si="50"/>
        <v>IMSFS_NGA</v>
      </c>
      <c r="X230" s="4" t="str">
        <f t="shared" si="51"/>
        <v>IMSFEED</v>
      </c>
      <c r="Y230" s="5" t="str">
        <f t="shared" si="52"/>
        <v>LO</v>
      </c>
      <c r="Z230" s="5">
        <v>1</v>
      </c>
      <c r="AA230" s="6">
        <f t="shared" si="53"/>
        <v>-1.1944879963049944E-2</v>
      </c>
      <c r="AB230" s="6">
        <f t="shared" si="54"/>
        <v>-1.1417884489335371E-2</v>
      </c>
      <c r="AC230" s="6">
        <f t="shared" si="55"/>
        <v>-3.9822156419227393E-2</v>
      </c>
      <c r="AD230" s="6">
        <f t="shared" si="56"/>
        <v>-3.9862490163899381E-2</v>
      </c>
      <c r="AE230" s="6">
        <f t="shared" si="57"/>
        <v>-8.1598604542210643E-2</v>
      </c>
      <c r="AF230" s="6">
        <f t="shared" si="58"/>
        <v>-8.1598604542210407E-2</v>
      </c>
      <c r="AG230" s="6">
        <f t="shared" si="59"/>
        <v>-7.6564086970640016E-2</v>
      </c>
      <c r="AH230" s="6">
        <f t="shared" si="60"/>
        <v>0</v>
      </c>
      <c r="AI230" s="6">
        <f t="shared" si="61"/>
        <v>0</v>
      </c>
      <c r="AL230" s="5" t="str">
        <f t="shared" si="62"/>
        <v>NGA</v>
      </c>
      <c r="AM230" s="5">
        <f>Y9</f>
        <v>0.88</v>
      </c>
    </row>
    <row r="231" spans="1:39" s="5" customFormat="1" x14ac:dyDescent="0.3">
      <c r="C231" s="4" t="s">
        <v>473</v>
      </c>
      <c r="D231" s="5" t="s">
        <v>474</v>
      </c>
      <c r="E231" s="5" t="s">
        <v>718</v>
      </c>
      <c r="F231" s="5" t="s">
        <v>1588</v>
      </c>
      <c r="G231" s="5">
        <v>1</v>
      </c>
      <c r="H231" s="6">
        <f>IF(SUMIFS('Industrial Summary'!$G:$G,'Industrial Summary'!$F:$F,H$17,'Industrial Summary'!$D:$D,$E231)&gt;0,(-SUMIFS('Industrial Summary'!$G:$G,'Industrial Summary'!$F:$F,H$17,'Industrial Summary'!$D:$D,$E231,'Industrial Summary'!$A:$A,"COK")/SUMIFS('Industrial Summary'!$G:$G,'Industrial Summary'!$F:$F,H$17,'Industrial Summary'!$D:$D,$E231)),0)*0.98</f>
        <v>-0.96267255467877033</v>
      </c>
      <c r="I231" s="6">
        <f>IF(SUMIFS('Industrial Summary'!$G:$G,'Industrial Summary'!$F:$F,I$17,'Industrial Summary'!$D:$D,$E231)&gt;0,(-SUMIFS('Industrial Summary'!$G:$G,'Industrial Summary'!$F:$F,I$17,'Industrial Summary'!$D:$D,$E231,'Industrial Summary'!$A:$A,"COK")/SUMIFS('Industrial Summary'!$G:$G,'Industrial Summary'!$F:$F,I$17,'Industrial Summary'!$D:$D,$E231)),0)*0.98</f>
        <v>-0.9202004594752754</v>
      </c>
      <c r="J231" s="6">
        <f>IF(SUMIFS('Industrial Summary'!$G:$G,'Industrial Summary'!$F:$F,J$17,'Industrial Summary'!$D:$D,$E231)&gt;0,(-SUMIFS('Industrial Summary'!$G:$G,'Industrial Summary'!$F:$F,J$17,'Industrial Summary'!$D:$D,$E231,'Industrial Summary'!$A:$A,"COK")/SUMIFS('Industrial Summary'!$G:$G,'Industrial Summary'!$F:$F,J$17,'Industrial Summary'!$D:$D,$E231)),0)*0.98</f>
        <v>-0.91059880413211092</v>
      </c>
      <c r="K231" s="6">
        <f>IF(SUMIFS('Industrial Summary'!$G:$G,'Industrial Summary'!$F:$F,K$17,'Industrial Summary'!$D:$D,$E231)&gt;0,(-SUMIFS('Industrial Summary'!$G:$G,'Industrial Summary'!$F:$F,K$17,'Industrial Summary'!$D:$D,$E231,'Industrial Summary'!$A:$A,"COK")/SUMIFS('Industrial Summary'!$G:$G,'Industrial Summary'!$F:$F,K$17,'Industrial Summary'!$D:$D,$E231)),0)*0.98</f>
        <v>-0.9115211012392247</v>
      </c>
      <c r="L231" s="6">
        <f>IF(SUMIFS('Industrial Summary'!$G:$G,'Industrial Summary'!$F:$F,L$17,'Industrial Summary'!$D:$D,$E231)&gt;0,(-SUMIFS('Industrial Summary'!$G:$G,'Industrial Summary'!$F:$F,L$17,'Industrial Summary'!$D:$D,$E231,'Industrial Summary'!$A:$A,"COK")/SUMIFS('Industrial Summary'!$G:$G,'Industrial Summary'!$F:$F,L$17,'Industrial Summary'!$D:$D,$E231)),0)*0.98</f>
        <v>-0.88727431302021509</v>
      </c>
      <c r="M231" s="6">
        <f>IF(SUMIFS('Industrial Summary'!$G:$G,'Industrial Summary'!$F:$F,M$17,'Industrial Summary'!$D:$D,$E231)&gt;0,(-SUMIFS('Industrial Summary'!$G:$G,'Industrial Summary'!$F:$F,M$17,'Industrial Summary'!$D:$D,$E231,'Industrial Summary'!$A:$A,"COK")/SUMIFS('Industrial Summary'!$G:$G,'Industrial Summary'!$F:$F,M$17,'Industrial Summary'!$D:$D,$E231)),0)*0.98</f>
        <v>-0.88727431302021542</v>
      </c>
      <c r="N231" s="6">
        <f>IF(SUMIFS('Industrial Summary'!$G:$G,'Industrial Summary'!$F:$F,N$17,'Industrial Summary'!$D:$D,$E231)&gt;0,(-SUMIFS('Industrial Summary'!$G:$G,'Industrial Summary'!$F:$F,N$17,'Industrial Summary'!$D:$D,$E231,'Industrial Summary'!$A:$A,"COK")/SUMIFS('Industrial Summary'!$G:$G,'Industrial Summary'!$F:$F,N$17,'Industrial Summary'!$D:$D,$E231)),0)*0.98</f>
        <v>-0.89299535571518174</v>
      </c>
      <c r="O231" s="6">
        <f>IF(SUMIFS('Industrial Summary'!$G:$G,'Industrial Summary'!$F:$F,O$17,'Industrial Summary'!$D:$D,$E231)&gt;0,(-SUMIFS('Industrial Summary'!$G:$G,'Industrial Summary'!$F:$F,O$17,'Industrial Summary'!$D:$D,$E231,'Industrial Summary'!$A:$A,"COK")/SUMIFS('Industrial Summary'!$G:$G,'Industrial Summary'!$F:$F,O$17,'Industrial Summary'!$D:$D,$E231)),0)*0.98</f>
        <v>0</v>
      </c>
      <c r="P231" s="6">
        <f>IF(SUMIFS('Industrial Summary'!$G:$G,'Industrial Summary'!$F:$F,P$17,'Industrial Summary'!$D:$D,$E231)&gt;0,(-SUMIFS('Industrial Summary'!$G:$G,'Industrial Summary'!$F:$F,P$17,'Industrial Summary'!$D:$D,$E231,'Industrial Summary'!$A:$A,"COK")/SUMIFS('Industrial Summary'!$G:$G,'Industrial Summary'!$F:$F,P$17,'Industrial Summary'!$D:$D,$E231)),0)*0.98</f>
        <v>0</v>
      </c>
      <c r="Q231" s="5">
        <v>0</v>
      </c>
      <c r="R231" s="5">
        <v>15</v>
      </c>
      <c r="S231" s="5" t="str">
        <f t="shared" si="48"/>
        <v>UC_IMSFS_COK</v>
      </c>
      <c r="V231" s="4" t="str">
        <f t="shared" si="49"/>
        <v>S_IMSFSCOK</v>
      </c>
      <c r="W231" s="4" t="str">
        <f t="shared" si="50"/>
        <v>IMSFS_COK</v>
      </c>
      <c r="X231" s="4" t="str">
        <f t="shared" si="51"/>
        <v>IMSFEED</v>
      </c>
      <c r="Y231" s="5" t="str">
        <f t="shared" si="52"/>
        <v>LO</v>
      </c>
      <c r="Z231" s="5">
        <v>1</v>
      </c>
      <c r="AA231" s="6">
        <f t="shared" si="53"/>
        <v>-0.96267255467877033</v>
      </c>
      <c r="AB231" s="6">
        <f t="shared" si="54"/>
        <v>-0.9202004594752754</v>
      </c>
      <c r="AC231" s="6">
        <f t="shared" si="55"/>
        <v>-0.91059880413211092</v>
      </c>
      <c r="AD231" s="6">
        <f t="shared" si="56"/>
        <v>-0.9115211012392247</v>
      </c>
      <c r="AE231" s="6">
        <f t="shared" si="57"/>
        <v>-0.88727431302021509</v>
      </c>
      <c r="AF231" s="6">
        <f t="shared" si="58"/>
        <v>-0.88727431302021542</v>
      </c>
      <c r="AG231" s="6">
        <f t="shared" si="59"/>
        <v>-0.89299535571518174</v>
      </c>
      <c r="AH231" s="6">
        <f t="shared" si="60"/>
        <v>0</v>
      </c>
      <c r="AI231" s="6">
        <f t="shared" si="61"/>
        <v>0</v>
      </c>
      <c r="AL231" s="5" t="str">
        <f t="shared" si="62"/>
        <v>COK</v>
      </c>
      <c r="AM231" s="5">
        <f>1</f>
        <v>1</v>
      </c>
    </row>
    <row r="232" spans="1:39" s="5" customFormat="1" x14ac:dyDescent="0.3">
      <c r="C232" s="4" t="s">
        <v>475</v>
      </c>
      <c r="D232" s="5" t="s">
        <v>476</v>
      </c>
      <c r="E232" s="5" t="s">
        <v>718</v>
      </c>
      <c r="F232" s="5" t="s">
        <v>1588</v>
      </c>
      <c r="G232" s="5">
        <v>1</v>
      </c>
      <c r="H232" s="6">
        <f>IF(SUMIFS('Industrial Summary'!$G:$G,'Industrial Summary'!$F:$F,H$17,'Industrial Summary'!$D:$D,$E232)&gt;0,(-SUMIFS('Industrial Summary'!$G:$G,'Industrial Summary'!$F:$F,H$17,'Industrial Summary'!$D:$D,$E232,'Industrial Summary'!$A:$A,"BIO")/SUMIFS('Industrial Summary'!$G:$G,'Industrial Summary'!$F:$F,H$17,'Industrial Summary'!$D:$D,$E232)),0)*0.98</f>
        <v>-3.753718090491073E-3</v>
      </c>
      <c r="I232" s="6">
        <f>IF(SUMIFS('Industrial Summary'!$G:$G,'Industrial Summary'!$F:$F,I$17,'Industrial Summary'!$D:$D,$E232)&gt;0,(-SUMIFS('Industrial Summary'!$G:$G,'Industrial Summary'!$F:$F,I$17,'Industrial Summary'!$D:$D,$E232,'Industrial Summary'!$A:$A,"BIO")/SUMIFS('Industrial Summary'!$G:$G,'Industrial Summary'!$F:$F,I$17,'Industrial Summary'!$D:$D,$E232)),0)*0.98</f>
        <v>-3.5881080174381308E-3</v>
      </c>
      <c r="J232" s="6">
        <f>IF(SUMIFS('Industrial Summary'!$G:$G,'Industrial Summary'!$F:$F,J$17,'Industrial Summary'!$D:$D,$E232)&gt;0,(-SUMIFS('Industrial Summary'!$G:$G,'Industrial Summary'!$F:$F,J$17,'Industrial Summary'!$D:$D,$E232,'Industrial Summary'!$A:$A,"BIO")/SUMIFS('Industrial Summary'!$G:$G,'Industrial Summary'!$F:$F,J$17,'Industrial Summary'!$D:$D,$E232)),0)*0.98</f>
        <v>-2.2247545862978109E-3</v>
      </c>
      <c r="K232" s="6">
        <f>IF(SUMIFS('Industrial Summary'!$G:$G,'Industrial Summary'!$F:$F,K$17,'Industrial Summary'!$D:$D,$E232)&gt;0,(-SUMIFS('Industrial Summary'!$G:$G,'Industrial Summary'!$F:$F,K$17,'Industrial Summary'!$D:$D,$E232,'Industrial Summary'!$A:$A,"BIO")/SUMIFS('Industrial Summary'!$G:$G,'Industrial Summary'!$F:$F,K$17,'Industrial Summary'!$D:$D,$E232)),0)*0.98</f>
        <v>-2.2270079219157222E-3</v>
      </c>
      <c r="L232" s="6">
        <f>IF(SUMIFS('Industrial Summary'!$G:$G,'Industrial Summary'!$F:$F,L$17,'Industrial Summary'!$D:$D,$E232)&gt;0,(-SUMIFS('Industrial Summary'!$G:$G,'Industrial Summary'!$F:$F,L$17,'Industrial Summary'!$D:$D,$E232,'Industrial Summary'!$A:$A,"BIO")/SUMIFS('Industrial Summary'!$G:$G,'Industrial Summary'!$F:$F,L$17,'Industrial Summary'!$D:$D,$E232)),0)*0.98</f>
        <v>0</v>
      </c>
      <c r="M232" s="6">
        <f>IF(SUMIFS('Industrial Summary'!$G:$G,'Industrial Summary'!$F:$F,M$17,'Industrial Summary'!$D:$D,$E232)&gt;0,(-SUMIFS('Industrial Summary'!$G:$G,'Industrial Summary'!$F:$F,M$17,'Industrial Summary'!$D:$D,$E232,'Industrial Summary'!$A:$A,"BIO")/SUMIFS('Industrial Summary'!$G:$G,'Industrial Summary'!$F:$F,M$17,'Industrial Summary'!$D:$D,$E232)),0)*0.98</f>
        <v>0</v>
      </c>
      <c r="N232" s="6">
        <f>IF(SUMIFS('Industrial Summary'!$G:$G,'Industrial Summary'!$F:$F,N$17,'Industrial Summary'!$D:$D,$E232)&gt;0,(-SUMIFS('Industrial Summary'!$G:$G,'Industrial Summary'!$F:$F,N$17,'Industrial Summary'!$D:$D,$E232,'Industrial Summary'!$A:$A,"BIO")/SUMIFS('Industrial Summary'!$G:$G,'Industrial Summary'!$F:$F,N$17,'Industrial Summary'!$D:$D,$E232)),0)*0.98</f>
        <v>0</v>
      </c>
      <c r="O232" s="6">
        <f>IF(SUMIFS('Industrial Summary'!$G:$G,'Industrial Summary'!$F:$F,O$17,'Industrial Summary'!$D:$D,$E232)&gt;0,(-SUMIFS('Industrial Summary'!$G:$G,'Industrial Summary'!$F:$F,O$17,'Industrial Summary'!$D:$D,$E232,'Industrial Summary'!$A:$A,"BIO")/SUMIFS('Industrial Summary'!$G:$G,'Industrial Summary'!$F:$F,O$17,'Industrial Summary'!$D:$D,$E232)),0)*0.98</f>
        <v>-8.31203131848222E-2</v>
      </c>
      <c r="P232" s="6">
        <f>IF(SUMIFS('Industrial Summary'!$G:$G,'Industrial Summary'!$F:$F,P$17,'Industrial Summary'!$D:$D,$E232)&gt;0,(-SUMIFS('Industrial Summary'!$G:$G,'Industrial Summary'!$F:$F,P$17,'Industrial Summary'!$D:$D,$E232,'Industrial Summary'!$A:$A,"BIO")/SUMIFS('Industrial Summary'!$G:$G,'Industrial Summary'!$F:$F,P$17,'Industrial Summary'!$D:$D,$E232)),0)*0.98</f>
        <v>-8.3120313184822561E-2</v>
      </c>
      <c r="Q232" s="5">
        <v>0</v>
      </c>
      <c r="R232" s="5">
        <v>15</v>
      </c>
      <c r="S232" s="5" t="str">
        <f t="shared" si="48"/>
        <v>UC_IMSFS_BIO</v>
      </c>
      <c r="V232" s="4" t="str">
        <f t="shared" si="49"/>
        <v>S_IMSFSBIO</v>
      </c>
      <c r="W232" s="4" t="str">
        <f t="shared" si="50"/>
        <v>IMSFS_BIO</v>
      </c>
      <c r="X232" s="4" t="str">
        <f t="shared" si="51"/>
        <v>IMSFEED</v>
      </c>
      <c r="Y232" s="5" t="str">
        <f t="shared" si="52"/>
        <v>LO</v>
      </c>
      <c r="Z232" s="5">
        <v>1</v>
      </c>
      <c r="AA232" s="6">
        <f t="shared" si="53"/>
        <v>-3.753718090491073E-3</v>
      </c>
      <c r="AB232" s="6">
        <f t="shared" si="54"/>
        <v>-3.5881080174381308E-3</v>
      </c>
      <c r="AC232" s="6">
        <f t="shared" si="55"/>
        <v>-2.2247545862978109E-3</v>
      </c>
      <c r="AD232" s="6">
        <f t="shared" si="56"/>
        <v>-2.2270079219157222E-3</v>
      </c>
      <c r="AE232" s="6">
        <f t="shared" si="57"/>
        <v>0</v>
      </c>
      <c r="AF232" s="6">
        <f t="shared" si="58"/>
        <v>0</v>
      </c>
      <c r="AG232" s="6">
        <f t="shared" si="59"/>
        <v>0</v>
      </c>
      <c r="AH232" s="6">
        <f t="shared" si="60"/>
        <v>-8.31203131848222E-2</v>
      </c>
      <c r="AI232" s="6">
        <f t="shared" si="61"/>
        <v>-8.3120313184822561E-2</v>
      </c>
      <c r="AL232" s="5" t="str">
        <f t="shared" si="62"/>
        <v>BIO</v>
      </c>
      <c r="AM232" s="5">
        <f>1</f>
        <v>1</v>
      </c>
    </row>
    <row r="233" spans="1:39" s="5" customFormat="1" x14ac:dyDescent="0.3">
      <c r="A233" s="8"/>
      <c r="C233" s="4" t="s">
        <v>477</v>
      </c>
      <c r="D233" s="5" t="s">
        <v>478</v>
      </c>
      <c r="E233" s="5" t="s">
        <v>718</v>
      </c>
      <c r="F233" s="5" t="s">
        <v>1588</v>
      </c>
      <c r="G233" s="5">
        <v>1</v>
      </c>
      <c r="H233" s="6">
        <f>IF(SUMIFS('Industrial Summary'!$G:$G,'Industrial Summary'!$F:$F,H$17,'Industrial Summary'!$D:$D,$E233)&gt;0,(-SUMIFS('Industrial Summary'!$G:$G,'Industrial Summary'!$F:$F,H$17,'Industrial Summary'!$D:$D,$E233,'Industrial Summary'!$A:$A,"PTC")/SUMIFS('Industrial Summary'!$G:$G,'Industrial Summary'!$F:$F,H$17,'Industrial Summary'!$D:$D,$E233)),0)*0.98</f>
        <v>0</v>
      </c>
      <c r="I233" s="6">
        <f>IF(SUMIFS('Industrial Summary'!$G:$G,'Industrial Summary'!$F:$F,I$17,'Industrial Summary'!$D:$D,$E233)&gt;0,(-SUMIFS('Industrial Summary'!$G:$G,'Industrial Summary'!$F:$F,I$17,'Industrial Summary'!$D:$D,$E233,'Industrial Summary'!$A:$A,"PTC")/SUMIFS('Industrial Summary'!$G:$G,'Industrial Summary'!$F:$F,I$17,'Industrial Summary'!$D:$D,$E233)),0)*0.98</f>
        <v>-4.3236563769405233E-2</v>
      </c>
      <c r="J233" s="6">
        <f>IF(SUMIFS('Industrial Summary'!$G:$G,'Industrial Summary'!$F:$F,J$17,'Industrial Summary'!$D:$D,$E233)&gt;0,(-SUMIFS('Industrial Summary'!$G:$G,'Industrial Summary'!$F:$F,J$17,'Industrial Summary'!$D:$D,$E233,'Industrial Summary'!$A:$A,"PTC")/SUMIFS('Industrial Summary'!$G:$G,'Industrial Summary'!$F:$F,J$17,'Industrial Summary'!$D:$D,$E233)),0)*0.98</f>
        <v>-2.1923990805196334E-2</v>
      </c>
      <c r="K233" s="6">
        <f>IF(SUMIFS('Industrial Summary'!$G:$G,'Industrial Summary'!$F:$F,K$17,'Industrial Summary'!$D:$D,$E233)&gt;0,(-SUMIFS('Industrial Summary'!$G:$G,'Industrial Summary'!$F:$F,K$17,'Industrial Summary'!$D:$D,$E233,'Industrial Summary'!$A:$A,"PTC")/SUMIFS('Industrial Summary'!$G:$G,'Industrial Summary'!$F:$F,K$17,'Industrial Summary'!$D:$D,$E233)),0)*0.98</f>
        <v>-2.0953606561701199E-2</v>
      </c>
      <c r="L233" s="6">
        <f>IF(SUMIFS('Industrial Summary'!$G:$G,'Industrial Summary'!$F:$F,L$17,'Industrial Summary'!$D:$D,$E233)&gt;0,(-SUMIFS('Industrial Summary'!$G:$G,'Industrial Summary'!$F:$F,L$17,'Industrial Summary'!$D:$D,$E233,'Industrial Summary'!$A:$A,"PTC")/SUMIFS('Industrial Summary'!$G:$G,'Industrial Summary'!$F:$F,L$17,'Industrial Summary'!$D:$D,$E233)),0)*0.98</f>
        <v>0</v>
      </c>
      <c r="M233" s="6">
        <f>IF(SUMIFS('Industrial Summary'!$G:$G,'Industrial Summary'!$F:$F,M$17,'Industrial Summary'!$D:$D,$E233)&gt;0,(-SUMIFS('Industrial Summary'!$G:$G,'Industrial Summary'!$F:$F,M$17,'Industrial Summary'!$D:$D,$E233,'Industrial Summary'!$A:$A,"PTC")/SUMIFS('Industrial Summary'!$G:$G,'Industrial Summary'!$F:$F,M$17,'Industrial Summary'!$D:$D,$E233)),0)*0.98</f>
        <v>0</v>
      </c>
      <c r="N233" s="6">
        <f>IF(SUMIFS('Industrial Summary'!$G:$G,'Industrial Summary'!$F:$F,N$17,'Industrial Summary'!$D:$D,$E233)&gt;0,(-SUMIFS('Industrial Summary'!$G:$G,'Industrial Summary'!$F:$F,N$17,'Industrial Summary'!$D:$D,$E233,'Industrial Summary'!$A:$A,"PTC")/SUMIFS('Industrial Summary'!$G:$G,'Industrial Summary'!$F:$F,N$17,'Industrial Summary'!$D:$D,$E233)),0)*0.98</f>
        <v>0</v>
      </c>
      <c r="O233" s="6">
        <f>IF(SUMIFS('Industrial Summary'!$G:$G,'Industrial Summary'!$F:$F,O$17,'Industrial Summary'!$D:$D,$E233)&gt;0,(-SUMIFS('Industrial Summary'!$G:$G,'Industrial Summary'!$F:$F,O$17,'Industrial Summary'!$D:$D,$E233,'Industrial Summary'!$A:$A,"PTC")/SUMIFS('Industrial Summary'!$G:$G,'Industrial Summary'!$F:$F,O$17,'Industrial Summary'!$D:$D,$E233)),0)*0.98</f>
        <v>-0.89687968681517782</v>
      </c>
      <c r="P233" s="6">
        <f>IF(SUMIFS('Industrial Summary'!$G:$G,'Industrial Summary'!$F:$F,P$17,'Industrial Summary'!$D:$D,$E233)&gt;0,(-SUMIFS('Industrial Summary'!$G:$G,'Industrial Summary'!$F:$F,P$17,'Industrial Summary'!$D:$D,$E233,'Industrial Summary'!$A:$A,"PTC")/SUMIFS('Industrial Summary'!$G:$G,'Industrial Summary'!$F:$F,P$17,'Industrial Summary'!$D:$D,$E233)),0)*0.98</f>
        <v>-0.89687968681517749</v>
      </c>
      <c r="Q233" s="5">
        <v>0</v>
      </c>
      <c r="R233" s="5">
        <v>15</v>
      </c>
      <c r="S233" s="5" t="str">
        <f t="shared" si="48"/>
        <v>UC_IMSFS_PTC</v>
      </c>
      <c r="V233" s="4" t="str">
        <f t="shared" si="49"/>
        <v>S_IMSFSPTC</v>
      </c>
      <c r="W233" s="4" t="str">
        <f t="shared" si="50"/>
        <v>IMSFS_PTC</v>
      </c>
      <c r="X233" s="4" t="str">
        <f t="shared" si="51"/>
        <v>IMSFEED</v>
      </c>
      <c r="Y233" s="5" t="str">
        <f t="shared" si="52"/>
        <v>LO</v>
      </c>
      <c r="Z233" s="5">
        <v>1</v>
      </c>
      <c r="AA233" s="6">
        <f t="shared" si="53"/>
        <v>0</v>
      </c>
      <c r="AB233" s="6">
        <f t="shared" si="54"/>
        <v>-4.3236563769405233E-2</v>
      </c>
      <c r="AC233" s="6">
        <f t="shared" si="55"/>
        <v>-2.1923990805196334E-2</v>
      </c>
      <c r="AD233" s="6">
        <f t="shared" si="56"/>
        <v>-2.0953606561701199E-2</v>
      </c>
      <c r="AE233" s="6">
        <f t="shared" si="57"/>
        <v>0</v>
      </c>
      <c r="AF233" s="6">
        <f t="shared" si="58"/>
        <v>0</v>
      </c>
      <c r="AG233" s="6">
        <f t="shared" si="59"/>
        <v>0</v>
      </c>
      <c r="AH233" s="6">
        <f t="shared" si="60"/>
        <v>-0.89687968681517782</v>
      </c>
      <c r="AI233" s="6">
        <f t="shared" si="61"/>
        <v>-0.89687968681517749</v>
      </c>
      <c r="AL233" s="5" t="str">
        <f t="shared" si="62"/>
        <v>PTC</v>
      </c>
      <c r="AM233" s="5">
        <f>1</f>
        <v>1</v>
      </c>
    </row>
    <row r="234" spans="1:39" s="5" customFormat="1" x14ac:dyDescent="0.3">
      <c r="C234" s="4" t="s">
        <v>479</v>
      </c>
      <c r="D234" s="5" t="s">
        <v>480</v>
      </c>
      <c r="E234" s="5" t="s">
        <v>780</v>
      </c>
      <c r="F234" s="5" t="s">
        <v>1588</v>
      </c>
      <c r="G234" s="5">
        <v>1</v>
      </c>
      <c r="H234" s="6">
        <f>(IF(SUMIFS('Industrial Summary'!$G:$G,'Industrial Summary'!$F:$F,H$17,'Industrial Summary'!$D:$D,$E234)&gt;0,((-SUMIFS('Industrial Summary'!$G:$G,'Industrial Summary'!$F:$F,H$17,'Industrial Summary'!$D:$D,$E234,'Industrial Summary'!$A:$A,"NGA")+-SUMIFS('Industrial Summary'!$G:$G,'Industrial Summary'!$F:$F,H$17,'Industrial Summary'!$D:$D,"IMSFSTM",'Industrial Summary'!$A:$A,"NGA"))/SUMIFS('Industrial Summary'!$G:$G,'Industrial Summary'!$F:$F,H$17,'Industrial Summary'!$D:$D,$E234)),0))*0.98</f>
        <v>-0.9800000000000002</v>
      </c>
      <c r="I234" s="6">
        <f>(IF(SUMIFS('Industrial Summary'!$G:$G,'Industrial Summary'!$F:$F,I$17,'Industrial Summary'!$D:$D,$E234)&gt;0,((-SUMIFS('Industrial Summary'!$G:$G,'Industrial Summary'!$F:$F,I$17,'Industrial Summary'!$D:$D,$E234,'Industrial Summary'!$A:$A,"NGA")+-SUMIFS('Industrial Summary'!$G:$G,'Industrial Summary'!$F:$F,I$17,'Industrial Summary'!$D:$D,"IMSFSTM",'Industrial Summary'!$A:$A,"NGA"))/SUMIFS('Industrial Summary'!$G:$G,'Industrial Summary'!$F:$F,I$17,'Industrial Summary'!$D:$D,$E234)),0))*0.98</f>
        <v>-0.97999999999999921</v>
      </c>
      <c r="J234" s="6">
        <f>(IF(SUMIFS('Industrial Summary'!$G:$G,'Industrial Summary'!$F:$F,J$17,'Industrial Summary'!$D:$D,$E234)&gt;0,((-SUMIFS('Industrial Summary'!$G:$G,'Industrial Summary'!$F:$F,J$17,'Industrial Summary'!$D:$D,$E234,'Industrial Summary'!$A:$A,"NGA")+-SUMIFS('Industrial Summary'!$G:$G,'Industrial Summary'!$F:$F,J$17,'Industrial Summary'!$D:$D,"IMSFSTM",'Industrial Summary'!$A:$A,"NGA"))/SUMIFS('Industrial Summary'!$G:$G,'Industrial Summary'!$F:$F,J$17,'Industrial Summary'!$D:$D,$E234)),0))*0.98</f>
        <v>-0.9800000000000002</v>
      </c>
      <c r="K234" s="6">
        <f>(IF(SUMIFS('Industrial Summary'!$G:$G,'Industrial Summary'!$F:$F,K$17,'Industrial Summary'!$D:$D,$E234)&gt;0,((-SUMIFS('Industrial Summary'!$G:$G,'Industrial Summary'!$F:$F,K$17,'Industrial Summary'!$D:$D,$E234,'Industrial Summary'!$A:$A,"NGA")+-SUMIFS('Industrial Summary'!$G:$G,'Industrial Summary'!$F:$F,K$17,'Industrial Summary'!$D:$D,"IMSFSTM",'Industrial Summary'!$A:$A,"NGA"))/SUMIFS('Industrial Summary'!$G:$G,'Industrial Summary'!$F:$F,K$17,'Industrial Summary'!$D:$D,$E234)),0))*0.98</f>
        <v>0</v>
      </c>
      <c r="L234" s="6">
        <f>(IF(SUMIFS('Industrial Summary'!$G:$G,'Industrial Summary'!$F:$F,L$17,'Industrial Summary'!$D:$D,$E234)&gt;0,((-SUMIFS('Industrial Summary'!$G:$G,'Industrial Summary'!$F:$F,L$17,'Industrial Summary'!$D:$D,$E234,'Industrial Summary'!$A:$A,"NGA")+-SUMIFS('Industrial Summary'!$G:$G,'Industrial Summary'!$F:$F,L$17,'Industrial Summary'!$D:$D,"IMSFSTM",'Industrial Summary'!$A:$A,"NGA"))/SUMIFS('Industrial Summary'!$G:$G,'Industrial Summary'!$F:$F,L$17,'Industrial Summary'!$D:$D,$E234)),0))*0.98</f>
        <v>-0.98</v>
      </c>
      <c r="M234" s="6">
        <f>(IF(SUMIFS('Industrial Summary'!$G:$G,'Industrial Summary'!$F:$F,M$17,'Industrial Summary'!$D:$D,$E234)&gt;0,((-SUMIFS('Industrial Summary'!$G:$G,'Industrial Summary'!$F:$F,M$17,'Industrial Summary'!$D:$D,$E234,'Industrial Summary'!$A:$A,"NGA")+-SUMIFS('Industrial Summary'!$G:$G,'Industrial Summary'!$F:$F,M$17,'Industrial Summary'!$D:$D,"IMSFSTM",'Industrial Summary'!$A:$A,"NGA"))/SUMIFS('Industrial Summary'!$G:$G,'Industrial Summary'!$F:$F,M$17,'Industrial Summary'!$D:$D,$E234)),0))*0.98</f>
        <v>-0.98</v>
      </c>
      <c r="N234" s="6">
        <f>(IF(SUMIFS('Industrial Summary'!$G:$G,'Industrial Summary'!$F:$F,N$17,'Industrial Summary'!$D:$D,$E234)&gt;0,((-SUMIFS('Industrial Summary'!$G:$G,'Industrial Summary'!$F:$F,N$17,'Industrial Summary'!$D:$D,$E234,'Industrial Summary'!$A:$A,"NGA")+-SUMIFS('Industrial Summary'!$G:$G,'Industrial Summary'!$F:$F,N$17,'Industrial Summary'!$D:$D,"IMSFSTM",'Industrial Summary'!$A:$A,"NGA"))/SUMIFS('Industrial Summary'!$G:$G,'Industrial Summary'!$F:$F,N$17,'Industrial Summary'!$D:$D,$E234)),0))*0.98</f>
        <v>0</v>
      </c>
      <c r="O234" s="6">
        <f>(IF(SUMIFS('Industrial Summary'!$G:$G,'Industrial Summary'!$F:$F,O$17,'Industrial Summary'!$D:$D,$E234)&gt;0,((-SUMIFS('Industrial Summary'!$G:$G,'Industrial Summary'!$F:$F,O$17,'Industrial Summary'!$D:$D,$E234,'Industrial Summary'!$A:$A,"NGA")+-SUMIFS('Industrial Summary'!$G:$G,'Industrial Summary'!$F:$F,O$17,'Industrial Summary'!$D:$D,"IMSFSTM",'Industrial Summary'!$A:$A,"NGA"))/SUMIFS('Industrial Summary'!$G:$G,'Industrial Summary'!$F:$F,O$17,'Industrial Summary'!$D:$D,$E234)),0))*0.98</f>
        <v>-0.98</v>
      </c>
      <c r="P234" s="6">
        <f>(IF(SUMIFS('Industrial Summary'!$G:$G,'Industrial Summary'!$F:$F,P$17,'Industrial Summary'!$D:$D,$E234)&gt;0,((-SUMIFS('Industrial Summary'!$G:$G,'Industrial Summary'!$F:$F,P$17,'Industrial Summary'!$D:$D,$E234,'Industrial Summary'!$A:$A,"NGA")+-SUMIFS('Industrial Summary'!$G:$G,'Industrial Summary'!$F:$F,P$17,'Industrial Summary'!$D:$D,"IMSFSTM",'Industrial Summary'!$A:$A,"NGA"))/SUMIFS('Industrial Summary'!$G:$G,'Industrial Summary'!$F:$F,P$17,'Industrial Summary'!$D:$D,$E234)),0))*0.98</f>
        <v>-0.98000000000000131</v>
      </c>
      <c r="Q234" s="5">
        <v>0</v>
      </c>
      <c r="R234" s="5">
        <v>15</v>
      </c>
      <c r="S234" s="5" t="str">
        <f t="shared" si="48"/>
        <v>UC_IMSST_NGA</v>
      </c>
      <c r="V234" s="4" t="str">
        <f t="shared" si="49"/>
        <v>S_IMSSTNGA</v>
      </c>
      <c r="W234" s="4" t="str">
        <f t="shared" si="50"/>
        <v>IMSST_NGA</v>
      </c>
      <c r="X234" s="4" t="str">
        <f t="shared" si="51"/>
        <v>IMSSTM</v>
      </c>
      <c r="Y234" s="5" t="str">
        <f t="shared" si="52"/>
        <v>LO</v>
      </c>
      <c r="Z234" s="5">
        <v>1</v>
      </c>
      <c r="AA234" s="6">
        <f t="shared" si="53"/>
        <v>-0.86240000000000017</v>
      </c>
      <c r="AB234" s="6">
        <f t="shared" si="54"/>
        <v>-0.86239999999999928</v>
      </c>
      <c r="AC234" s="6">
        <f t="shared" si="55"/>
        <v>-0.86240000000000017</v>
      </c>
      <c r="AD234" s="6">
        <f t="shared" si="56"/>
        <v>0</v>
      </c>
      <c r="AE234" s="6">
        <f t="shared" si="57"/>
        <v>-0.86239999999999994</v>
      </c>
      <c r="AF234" s="6">
        <f t="shared" si="58"/>
        <v>-0.86239999999999994</v>
      </c>
      <c r="AG234" s="6">
        <f t="shared" si="59"/>
        <v>0</v>
      </c>
      <c r="AH234" s="6">
        <f t="shared" si="60"/>
        <v>-0.86239999999999994</v>
      </c>
      <c r="AI234" s="6">
        <f t="shared" si="61"/>
        <v>-0.86240000000000117</v>
      </c>
      <c r="AL234" s="5" t="str">
        <f t="shared" si="62"/>
        <v>NGA</v>
      </c>
      <c r="AM234" s="5">
        <f>Y9</f>
        <v>0.88</v>
      </c>
    </row>
    <row r="235" spans="1:39" s="5" customFormat="1" x14ac:dyDescent="0.3">
      <c r="C235" s="4" t="s">
        <v>482</v>
      </c>
      <c r="D235" s="5" t="s">
        <v>483</v>
      </c>
      <c r="E235" s="5" t="s">
        <v>797</v>
      </c>
      <c r="F235" s="5" t="s">
        <v>1588</v>
      </c>
      <c r="G235" s="5">
        <v>1</v>
      </c>
      <c r="H235" s="6">
        <f>IF(SUMIFS('Industrial Summary'!$G:$G,'Industrial Summary'!$F:$F,H$17,'Industrial Summary'!$D:$D,$E235)&gt;0,(-SUMIFS('Industrial Summary'!$G:$G,'Industrial Summary'!$F:$F,H$17,'Industrial Summary'!$D:$D,$E235,'Industrial Summary'!$A:$A,"ELC")/SUMIFS('Industrial Summary'!$G:$G,'Industrial Summary'!$F:$F,H$17,'Industrial Summary'!$D:$D,$E235)),0)*0.98</f>
        <v>-0.18642608771640853</v>
      </c>
      <c r="I235" s="6">
        <f>IF(SUMIFS('Industrial Summary'!$G:$G,'Industrial Summary'!$F:$F,I$17,'Industrial Summary'!$D:$D,$E235)&gt;0,(-SUMIFS('Industrial Summary'!$G:$G,'Industrial Summary'!$F:$F,I$17,'Industrial Summary'!$D:$D,$E235,'Industrial Summary'!$A:$A,"ELC")/SUMIFS('Industrial Summary'!$G:$G,'Industrial Summary'!$F:$F,I$17,'Industrial Summary'!$D:$D,$E235)),0)*0.98</f>
        <v>-0.18824176506902024</v>
      </c>
      <c r="J235" s="6">
        <f>IF(SUMIFS('Industrial Summary'!$G:$G,'Industrial Summary'!$F:$F,J$17,'Industrial Summary'!$D:$D,$E235)&gt;0,(-SUMIFS('Industrial Summary'!$G:$G,'Industrial Summary'!$F:$F,J$17,'Industrial Summary'!$D:$D,$E235,'Industrial Summary'!$A:$A,"ELC")/SUMIFS('Industrial Summary'!$G:$G,'Industrial Summary'!$F:$F,J$17,'Industrial Summary'!$D:$D,$E235)),0)*0.98</f>
        <v>-0.10445952270638674</v>
      </c>
      <c r="K235" s="6">
        <f>IF(SUMIFS('Industrial Summary'!$G:$G,'Industrial Summary'!$F:$F,K$17,'Industrial Summary'!$D:$D,$E235)&gt;0,(-SUMIFS('Industrial Summary'!$G:$G,'Industrial Summary'!$F:$F,K$17,'Industrial Summary'!$D:$D,$E235,'Industrial Summary'!$A:$A,"ELC")/SUMIFS('Industrial Summary'!$G:$G,'Industrial Summary'!$F:$F,K$17,'Industrial Summary'!$D:$D,$E235)),0)*0.98</f>
        <v>-0.10456532420224279</v>
      </c>
      <c r="L235" s="6">
        <f>IF(SUMIFS('Industrial Summary'!$G:$G,'Industrial Summary'!$F:$F,L$17,'Industrial Summary'!$D:$D,$E235)&gt;0,(-SUMIFS('Industrial Summary'!$G:$G,'Industrial Summary'!$F:$F,L$17,'Industrial Summary'!$D:$D,$E235,'Industrial Summary'!$A:$A,"ELC")/SUMIFS('Industrial Summary'!$G:$G,'Industrial Summary'!$F:$F,L$17,'Industrial Summary'!$D:$D,$E235)),0)*0.98</f>
        <v>-0.27542716932354017</v>
      </c>
      <c r="M235" s="6">
        <f>IF(SUMIFS('Industrial Summary'!$G:$G,'Industrial Summary'!$F:$F,M$17,'Industrial Summary'!$D:$D,$E235)&gt;0,(-SUMIFS('Industrial Summary'!$G:$G,'Industrial Summary'!$F:$F,M$17,'Industrial Summary'!$D:$D,$E235,'Industrial Summary'!$A:$A,"ELC")/SUMIFS('Industrial Summary'!$G:$G,'Industrial Summary'!$F:$F,M$17,'Industrial Summary'!$D:$D,$E235)),0)*0.98</f>
        <v>-0.27542716932353989</v>
      </c>
      <c r="N235" s="6">
        <f>IF(SUMIFS('Industrial Summary'!$G:$G,'Industrial Summary'!$F:$F,N$17,'Industrial Summary'!$D:$D,$E235)&gt;0,(-SUMIFS('Industrial Summary'!$G:$G,'Industrial Summary'!$F:$F,N$17,'Industrial Summary'!$D:$D,$E235,'Industrial Summary'!$A:$A,"ELC")/SUMIFS('Industrial Summary'!$G:$G,'Industrial Summary'!$F:$F,N$17,'Industrial Summary'!$D:$D,$E235)),0)*0.98</f>
        <v>-0.27720309202515758</v>
      </c>
      <c r="O235" s="6">
        <f>IF(SUMIFS('Industrial Summary'!$G:$G,'Industrial Summary'!$F:$F,O$17,'Industrial Summary'!$D:$D,$E235)&gt;0,(-SUMIFS('Industrial Summary'!$G:$G,'Industrial Summary'!$F:$F,O$17,'Industrial Summary'!$D:$D,$E235,'Industrial Summary'!$A:$A,"ELC")/SUMIFS('Industrial Summary'!$G:$G,'Industrial Summary'!$F:$F,O$17,'Industrial Summary'!$D:$D,$E235)),0)*0.98</f>
        <v>-0.24857098311477552</v>
      </c>
      <c r="P235" s="6">
        <f>IF(SUMIFS('Industrial Summary'!$G:$G,'Industrial Summary'!$F:$F,P$17,'Industrial Summary'!$D:$D,$E235)&gt;0,(-SUMIFS('Industrial Summary'!$G:$G,'Industrial Summary'!$F:$F,P$17,'Industrial Summary'!$D:$D,$E235,'Industrial Summary'!$A:$A,"ELC")/SUMIFS('Industrial Summary'!$G:$G,'Industrial Summary'!$F:$F,P$17,'Industrial Summary'!$D:$D,$E235)),0)*0.98</f>
        <v>-0.2485709831147753</v>
      </c>
      <c r="Q235" s="5">
        <v>0</v>
      </c>
      <c r="R235" s="5">
        <v>15</v>
      </c>
      <c r="S235" s="5" t="str">
        <f t="shared" si="48"/>
        <v>UC_IMSPH_ELC</v>
      </c>
      <c r="V235" s="4" t="str">
        <f t="shared" si="49"/>
        <v>S_IMSPHELC</v>
      </c>
      <c r="W235" s="4" t="str">
        <f t="shared" si="50"/>
        <v>IMSPH_ELC</v>
      </c>
      <c r="X235" s="4" t="str">
        <f t="shared" si="51"/>
        <v>IMSPRH</v>
      </c>
      <c r="Y235" s="5" t="str">
        <f t="shared" si="52"/>
        <v>LO</v>
      </c>
      <c r="Z235" s="5">
        <v>1</v>
      </c>
      <c r="AA235" s="6">
        <f t="shared" si="53"/>
        <v>-0.18642608771640853</v>
      </c>
      <c r="AB235" s="6">
        <f t="shared" si="54"/>
        <v>-0.18824176506902024</v>
      </c>
      <c r="AC235" s="6">
        <f t="shared" si="55"/>
        <v>-0.10445952270638674</v>
      </c>
      <c r="AD235" s="6">
        <f t="shared" si="56"/>
        <v>-0.10456532420224279</v>
      </c>
      <c r="AE235" s="6">
        <f t="shared" si="57"/>
        <v>-0.27542716932354017</v>
      </c>
      <c r="AF235" s="6">
        <f t="shared" si="58"/>
        <v>-0.27542716932353989</v>
      </c>
      <c r="AG235" s="6">
        <f t="shared" si="59"/>
        <v>-0.27720309202515758</v>
      </c>
      <c r="AH235" s="6">
        <f t="shared" si="60"/>
        <v>-0.24857098311477552</v>
      </c>
      <c r="AI235" s="6">
        <f t="shared" si="61"/>
        <v>-0.2485709831147753</v>
      </c>
      <c r="AL235" s="5" t="str">
        <f t="shared" si="62"/>
        <v>ELC</v>
      </c>
      <c r="AM235" s="5">
        <f>1</f>
        <v>1</v>
      </c>
    </row>
    <row r="236" spans="1:39" s="5" customFormat="1" x14ac:dyDescent="0.3">
      <c r="C236" s="4" t="s">
        <v>484</v>
      </c>
      <c r="D236" s="5" t="s">
        <v>485</v>
      </c>
      <c r="E236" s="5" t="s">
        <v>797</v>
      </c>
      <c r="F236" s="5" t="s">
        <v>1588</v>
      </c>
      <c r="G236" s="5">
        <v>1</v>
      </c>
      <c r="H236" s="6">
        <f>IF(SUMIFS('Industrial Summary'!$G:$G,'Industrial Summary'!$F:$F,H$17,'Industrial Summary'!$D:$D,$E236)&gt;0,(-SUMIFS('Industrial Summary'!$G:$G,'Industrial Summary'!$F:$F,H$17,'Industrial Summary'!$D:$D,$E236,'Industrial Summary'!$A:$A,"DST")/SUMIFS('Industrial Summary'!$G:$G,'Industrial Summary'!$F:$F,H$17,'Industrial Summary'!$D:$D,$E236)),0)*0.98</f>
        <v>0</v>
      </c>
      <c r="I236" s="6">
        <f>IF(SUMIFS('Industrial Summary'!$G:$G,'Industrial Summary'!$F:$F,I$17,'Industrial Summary'!$D:$D,$E236)&gt;0,(-SUMIFS('Industrial Summary'!$G:$G,'Industrial Summary'!$F:$F,I$17,'Industrial Summary'!$D:$D,$E236,'Industrial Summary'!$A:$A,"DST")/SUMIFS('Industrial Summary'!$G:$G,'Industrial Summary'!$F:$F,I$17,'Industrial Summary'!$D:$D,$E236)),0)*0.98</f>
        <v>0</v>
      </c>
      <c r="J236" s="6">
        <f>IF(SUMIFS('Industrial Summary'!$G:$G,'Industrial Summary'!$F:$F,J$17,'Industrial Summary'!$D:$D,$E236)&gt;0,(-SUMIFS('Industrial Summary'!$G:$G,'Industrial Summary'!$F:$F,J$17,'Industrial Summary'!$D:$D,$E236,'Industrial Summary'!$A:$A,"DST")/SUMIFS('Industrial Summary'!$G:$G,'Industrial Summary'!$F:$F,J$17,'Industrial Summary'!$D:$D,$E236)),0)*0.98</f>
        <v>-2.5980687896648424E-4</v>
      </c>
      <c r="K236" s="6">
        <f>IF(SUMIFS('Industrial Summary'!$G:$G,'Industrial Summary'!$F:$F,K$17,'Industrial Summary'!$D:$D,$E236)&gt;0,(-SUMIFS('Industrial Summary'!$G:$G,'Industrial Summary'!$F:$F,K$17,'Industrial Summary'!$D:$D,$E236,'Industrial Summary'!$A:$A,"DST")/SUMIFS('Industrial Summary'!$G:$G,'Industrial Summary'!$F:$F,K$17,'Industrial Summary'!$D:$D,$E236)),0)*0.98</f>
        <v>0</v>
      </c>
      <c r="L236" s="6">
        <f>IF(SUMIFS('Industrial Summary'!$G:$G,'Industrial Summary'!$F:$F,L$17,'Industrial Summary'!$D:$D,$E236)&gt;0,(-SUMIFS('Industrial Summary'!$G:$G,'Industrial Summary'!$F:$F,L$17,'Industrial Summary'!$D:$D,$E236,'Industrial Summary'!$A:$A,"DST")/SUMIFS('Industrial Summary'!$G:$G,'Industrial Summary'!$F:$F,L$17,'Industrial Summary'!$D:$D,$E236)),0)*0.98</f>
        <v>-3.6280398063217884E-3</v>
      </c>
      <c r="M236" s="6">
        <f>IF(SUMIFS('Industrial Summary'!$G:$G,'Industrial Summary'!$F:$F,M$17,'Industrial Summary'!$D:$D,$E236)&gt;0,(-SUMIFS('Industrial Summary'!$G:$G,'Industrial Summary'!$F:$F,M$17,'Industrial Summary'!$D:$D,$E236,'Industrial Summary'!$A:$A,"DST")/SUMIFS('Industrial Summary'!$G:$G,'Industrial Summary'!$F:$F,M$17,'Industrial Summary'!$D:$D,$E236)),0)*0.98</f>
        <v>-3.6280398063224316E-3</v>
      </c>
      <c r="N236" s="6">
        <f>IF(SUMIFS('Industrial Summary'!$G:$G,'Industrial Summary'!$F:$F,N$17,'Industrial Summary'!$D:$D,$E236)&gt;0,(-SUMIFS('Industrial Summary'!$G:$G,'Industrial Summary'!$F:$F,N$17,'Industrial Summary'!$D:$D,$E236,'Industrial Summary'!$A:$A,"DST")/SUMIFS('Industrial Summary'!$G:$G,'Industrial Summary'!$F:$F,N$17,'Industrial Summary'!$D:$D,$E236)),0)*0.98</f>
        <v>0</v>
      </c>
      <c r="O236" s="6">
        <f>IF(SUMIFS('Industrial Summary'!$G:$G,'Industrial Summary'!$F:$F,O$17,'Industrial Summary'!$D:$D,$E236)&gt;0,(-SUMIFS('Industrial Summary'!$G:$G,'Industrial Summary'!$F:$F,O$17,'Industrial Summary'!$D:$D,$E236,'Industrial Summary'!$A:$A,"DST")/SUMIFS('Industrial Summary'!$G:$G,'Industrial Summary'!$F:$F,O$17,'Industrial Summary'!$D:$D,$E236)),0)*0.98</f>
        <v>0</v>
      </c>
      <c r="P236" s="6">
        <f>IF(SUMIFS('Industrial Summary'!$G:$G,'Industrial Summary'!$F:$F,P$17,'Industrial Summary'!$D:$D,$E236)&gt;0,(-SUMIFS('Industrial Summary'!$G:$G,'Industrial Summary'!$F:$F,P$17,'Industrial Summary'!$D:$D,$E236,'Industrial Summary'!$A:$A,"DST")/SUMIFS('Industrial Summary'!$G:$G,'Industrial Summary'!$F:$F,P$17,'Industrial Summary'!$D:$D,$E236)),0)*0.98</f>
        <v>0</v>
      </c>
      <c r="Q236" s="5">
        <v>0</v>
      </c>
      <c r="R236" s="5">
        <v>15</v>
      </c>
      <c r="S236" s="5" t="str">
        <f t="shared" si="48"/>
        <v>UC_IMSPH_DST</v>
      </c>
      <c r="V236" s="4" t="str">
        <f t="shared" si="49"/>
        <v>S_IMSPHDST</v>
      </c>
      <c r="W236" s="4" t="str">
        <f t="shared" si="50"/>
        <v>IMSPH_DST</v>
      </c>
      <c r="X236" s="4" t="str">
        <f t="shared" si="51"/>
        <v>IMSPRH</v>
      </c>
      <c r="Y236" s="5" t="str">
        <f t="shared" si="52"/>
        <v>LO</v>
      </c>
      <c r="Z236" s="5">
        <v>1</v>
      </c>
      <c r="AA236" s="6">
        <f t="shared" si="53"/>
        <v>0</v>
      </c>
      <c r="AB236" s="6">
        <f t="shared" si="54"/>
        <v>0</v>
      </c>
      <c r="AC236" s="6">
        <f t="shared" si="55"/>
        <v>-2.5980687896648424E-4</v>
      </c>
      <c r="AD236" s="6">
        <f t="shared" si="56"/>
        <v>0</v>
      </c>
      <c r="AE236" s="6">
        <f t="shared" si="57"/>
        <v>-3.6280398063217884E-3</v>
      </c>
      <c r="AF236" s="6">
        <f t="shared" si="58"/>
        <v>-3.6280398063224316E-3</v>
      </c>
      <c r="AG236" s="6">
        <f t="shared" si="59"/>
        <v>0</v>
      </c>
      <c r="AH236" s="6">
        <f t="shared" si="60"/>
        <v>0</v>
      </c>
      <c r="AI236" s="6">
        <f t="shared" si="61"/>
        <v>0</v>
      </c>
      <c r="AL236" s="5" t="str">
        <f t="shared" si="62"/>
        <v>DST</v>
      </c>
      <c r="AM236" s="5">
        <f>1</f>
        <v>1</v>
      </c>
    </row>
    <row r="237" spans="1:39" s="5" customFormat="1" x14ac:dyDescent="0.3">
      <c r="C237" s="4" t="s">
        <v>486</v>
      </c>
      <c r="D237" s="5" t="s">
        <v>487</v>
      </c>
      <c r="E237" s="5" t="s">
        <v>797</v>
      </c>
      <c r="F237" s="5" t="s">
        <v>1588</v>
      </c>
      <c r="G237" s="5">
        <v>1</v>
      </c>
      <c r="H237" s="6">
        <f>IF(SUMIFS('Industrial Summary'!$G:$G,'Industrial Summary'!$F:$F,H$17,'Industrial Summary'!$D:$D,$E237)&gt;0,(-SUMIFS('Industrial Summary'!$G:$G,'Industrial Summary'!$F:$F,H$17,'Industrial Summary'!$D:$D,$E237,'Industrial Summary'!$A:$A,"NGA")/SUMIFS('Industrial Summary'!$G:$G,'Industrial Summary'!$F:$F,H$17,'Industrial Summary'!$D:$D,$E237)),0)*0.98</f>
        <v>-0.7384534733302881</v>
      </c>
      <c r="I237" s="6">
        <f>IF(SUMIFS('Industrial Summary'!$G:$G,'Industrial Summary'!$F:$F,I$17,'Industrial Summary'!$D:$D,$E237)&gt;0,(-SUMIFS('Industrial Summary'!$G:$G,'Industrial Summary'!$F:$F,I$17,'Industrial Summary'!$D:$D,$E237,'Industrial Summary'!$A:$A,"NGA")/SUMIFS('Industrial Summary'!$G:$G,'Industrial Summary'!$F:$F,I$17,'Industrial Summary'!$D:$D,$E237)),0)*0.98</f>
        <v>-0.73610095623652505</v>
      </c>
      <c r="J237" s="6">
        <f>IF(SUMIFS('Industrial Summary'!$G:$G,'Industrial Summary'!$F:$F,J$17,'Industrial Summary'!$D:$D,$E237)&gt;0,(-SUMIFS('Industrial Summary'!$G:$G,'Industrial Summary'!$F:$F,J$17,'Industrial Summary'!$D:$D,$E237,'Industrial Summary'!$A:$A,"NGA")/SUMIFS('Industrial Summary'!$G:$G,'Industrial Summary'!$F:$F,J$17,'Industrial Summary'!$D:$D,$E237)),0)*0.98</f>
        <v>-0.70932896610139806</v>
      </c>
      <c r="K237" s="6">
        <f>IF(SUMIFS('Industrial Summary'!$G:$G,'Industrial Summary'!$F:$F,K$17,'Industrial Summary'!$D:$D,$E237)&gt;0,(-SUMIFS('Industrial Summary'!$G:$G,'Industrial Summary'!$F:$F,K$17,'Industrial Summary'!$D:$D,$E237,'Industrial Summary'!$A:$A,"NGA")/SUMIFS('Industrial Summary'!$G:$G,'Industrial Summary'!$F:$F,K$17,'Industrial Summary'!$D:$D,$E237)),0)*0.98</f>
        <v>-0.70931488782778296</v>
      </c>
      <c r="L237" s="6">
        <f>IF(SUMIFS('Industrial Summary'!$G:$G,'Industrial Summary'!$F:$F,L$17,'Industrial Summary'!$D:$D,$E237)&gt;0,(-SUMIFS('Industrial Summary'!$G:$G,'Industrial Summary'!$F:$F,L$17,'Industrial Summary'!$D:$D,$E237,'Industrial Summary'!$A:$A,"NGA")/SUMIFS('Industrial Summary'!$G:$G,'Industrial Summary'!$F:$F,L$17,'Industrial Summary'!$D:$D,$E237)),0)*0.98</f>
        <v>-0.61522341063818353</v>
      </c>
      <c r="M237" s="6">
        <f>IF(SUMIFS('Industrial Summary'!$G:$G,'Industrial Summary'!$F:$F,M$17,'Industrial Summary'!$D:$D,$E237)&gt;0,(-SUMIFS('Industrial Summary'!$G:$G,'Industrial Summary'!$F:$F,M$17,'Industrial Summary'!$D:$D,$E237,'Industrial Summary'!$A:$A,"NGA")/SUMIFS('Industrial Summary'!$G:$G,'Industrial Summary'!$F:$F,M$17,'Industrial Summary'!$D:$D,$E237)),0)*0.98</f>
        <v>-0.61522341063818298</v>
      </c>
      <c r="N237" s="6">
        <f>IF(SUMIFS('Industrial Summary'!$G:$G,'Industrial Summary'!$F:$F,N$17,'Industrial Summary'!$D:$D,$E237)&gt;0,(-SUMIFS('Industrial Summary'!$G:$G,'Industrial Summary'!$F:$F,N$17,'Industrial Summary'!$D:$D,$E237,'Industrial Summary'!$A:$A,"NGA")/SUMIFS('Industrial Summary'!$G:$G,'Industrial Summary'!$F:$F,N$17,'Industrial Summary'!$D:$D,$E237)),0)*0.98</f>
        <v>-0.61652280614486343</v>
      </c>
      <c r="O237" s="6">
        <f>IF(SUMIFS('Industrial Summary'!$G:$G,'Industrial Summary'!$F:$F,O$17,'Industrial Summary'!$D:$D,$E237)&gt;0,(-SUMIFS('Industrial Summary'!$G:$G,'Industrial Summary'!$F:$F,O$17,'Industrial Summary'!$D:$D,$E237,'Industrial Summary'!$A:$A,"NGA")/SUMIFS('Industrial Summary'!$G:$G,'Industrial Summary'!$F:$F,O$17,'Industrial Summary'!$D:$D,$E237)),0)*0.98</f>
        <v>-0.73142901688522455</v>
      </c>
      <c r="P237" s="6">
        <f>IF(SUMIFS('Industrial Summary'!$G:$G,'Industrial Summary'!$F:$F,P$17,'Industrial Summary'!$D:$D,$E237)&gt;0,(-SUMIFS('Industrial Summary'!$G:$G,'Industrial Summary'!$F:$F,P$17,'Industrial Summary'!$D:$D,$E237,'Industrial Summary'!$A:$A,"NGA")/SUMIFS('Industrial Summary'!$G:$G,'Industrial Summary'!$F:$F,P$17,'Industrial Summary'!$D:$D,$E237)),0)*0.98</f>
        <v>-0.73142901688522477</v>
      </c>
      <c r="Q237" s="5">
        <v>0</v>
      </c>
      <c r="R237" s="5">
        <v>15</v>
      </c>
      <c r="S237" s="5" t="str">
        <f t="shared" si="48"/>
        <v>UC_IMSPH_NGA</v>
      </c>
      <c r="V237" s="4" t="str">
        <f t="shared" si="49"/>
        <v>S_IMSPHNGA</v>
      </c>
      <c r="W237" s="4" t="str">
        <f t="shared" si="50"/>
        <v>IMSPH_NGA</v>
      </c>
      <c r="X237" s="4" t="str">
        <f t="shared" si="51"/>
        <v>IMSPRH</v>
      </c>
      <c r="Y237" s="5" t="str">
        <f t="shared" si="52"/>
        <v>LO</v>
      </c>
      <c r="Z237" s="5">
        <v>1</v>
      </c>
      <c r="AA237" s="6">
        <f t="shared" si="53"/>
        <v>-0.64983905653065355</v>
      </c>
      <c r="AB237" s="6">
        <f t="shared" si="54"/>
        <v>-0.64776884148814207</v>
      </c>
      <c r="AC237" s="6">
        <f t="shared" si="55"/>
        <v>-0.62420949016923033</v>
      </c>
      <c r="AD237" s="6">
        <f t="shared" si="56"/>
        <v>-0.62419710128844896</v>
      </c>
      <c r="AE237" s="6">
        <f t="shared" si="57"/>
        <v>-0.5413966013616015</v>
      </c>
      <c r="AF237" s="6">
        <f t="shared" si="58"/>
        <v>-0.54139660136160106</v>
      </c>
      <c r="AG237" s="6">
        <f t="shared" si="59"/>
        <v>-0.54254006940747979</v>
      </c>
      <c r="AH237" s="6">
        <f t="shared" si="60"/>
        <v>-0.64365753485899757</v>
      </c>
      <c r="AI237" s="6">
        <f t="shared" si="61"/>
        <v>-0.64365753485899779</v>
      </c>
      <c r="AL237" s="5" t="str">
        <f t="shared" si="62"/>
        <v>NGA</v>
      </c>
      <c r="AM237" s="5">
        <f>Y9</f>
        <v>0.88</v>
      </c>
    </row>
    <row r="238" spans="1:39" s="5" customFormat="1" x14ac:dyDescent="0.3">
      <c r="A238" s="8"/>
      <c r="C238" s="4" t="s">
        <v>488</v>
      </c>
      <c r="D238" s="5" t="s">
        <v>489</v>
      </c>
      <c r="E238" s="5" t="s">
        <v>797</v>
      </c>
      <c r="F238" s="5" t="s">
        <v>1591</v>
      </c>
      <c r="G238" s="5">
        <v>1</v>
      </c>
      <c r="H238" s="6">
        <f>IF(SUMIFS('Industrial Summary'!$G:$G,'Industrial Summary'!$F:$F,H$17,'Industrial Summary'!$D:$D,$E238)&gt;0,(-SUMIFS('Industrial Summary'!$G:$G,'Industrial Summary'!$F:$F,H$17,'Industrial Summary'!$D:$D,$E238,'Industrial Summary'!$A:$A,"COA")/SUMIFS('Industrial Summary'!$G:$G,'Industrial Summary'!$F:$F,H$17,'Industrial Summary'!$D:$D,$E238)),0)*0.98</f>
        <v>-5.5120438953303527E-2</v>
      </c>
      <c r="I238" s="6">
        <f>IF(SUMIFS('Industrial Summary'!$G:$G,'Industrial Summary'!$F:$F,I$17,'Industrial Summary'!$D:$D,$E238)&gt;0,(-SUMIFS('Industrial Summary'!$G:$G,'Industrial Summary'!$F:$F,I$17,'Industrial Summary'!$D:$D,$E238,'Industrial Summary'!$A:$A,"COA")/SUMIFS('Industrial Summary'!$G:$G,'Industrial Summary'!$F:$F,I$17,'Industrial Summary'!$D:$D,$E238)),0)*0.98</f>
        <v>-5.5657278694454637E-2</v>
      </c>
      <c r="J238" s="6">
        <f>IF(SUMIFS('Industrial Summary'!$G:$G,'Industrial Summary'!$F:$F,J$17,'Industrial Summary'!$D:$D,$E238)&gt;0,(-SUMIFS('Industrial Summary'!$G:$G,'Industrial Summary'!$F:$F,J$17,'Industrial Summary'!$D:$D,$E238,'Industrial Summary'!$A:$A,"COA")/SUMIFS('Industrial Summary'!$G:$G,'Industrial Summary'!$F:$F,J$17,'Industrial Summary'!$D:$D,$E238)),0)*0.98</f>
        <v>-0.16595170431324882</v>
      </c>
      <c r="K238" s="6">
        <f>IF(SUMIFS('Industrial Summary'!$G:$G,'Industrial Summary'!$F:$F,K$17,'Industrial Summary'!$D:$D,$E238)&gt;0,(-SUMIFS('Industrial Summary'!$G:$G,'Industrial Summary'!$F:$F,K$17,'Industrial Summary'!$D:$D,$E238,'Industrial Summary'!$A:$A,"COA")/SUMIFS('Industrial Summary'!$G:$G,'Industrial Summary'!$F:$F,K$17,'Industrial Summary'!$D:$D,$E238)),0)*0.98</f>
        <v>-0.16611978796997412</v>
      </c>
      <c r="L238" s="6">
        <f>IF(SUMIFS('Industrial Summary'!$G:$G,'Industrial Summary'!$F:$F,L$17,'Industrial Summary'!$D:$D,$E238)&gt;0,(-SUMIFS('Industrial Summary'!$G:$G,'Industrial Summary'!$F:$F,L$17,'Industrial Summary'!$D:$D,$E238,'Industrial Summary'!$A:$A,"COA")/SUMIFS('Industrial Summary'!$G:$G,'Industrial Summary'!$F:$F,L$17,'Industrial Summary'!$D:$D,$E238)),0)*0.98</f>
        <v>-8.5721380231954539E-2</v>
      </c>
      <c r="M238" s="6">
        <f>IF(SUMIFS('Industrial Summary'!$G:$G,'Industrial Summary'!$F:$F,M$17,'Industrial Summary'!$D:$D,$E238)&gt;0,(-SUMIFS('Industrial Summary'!$G:$G,'Industrial Summary'!$F:$F,M$17,'Industrial Summary'!$D:$D,$E238,'Industrial Summary'!$A:$A,"COA")/SUMIFS('Industrial Summary'!$G:$G,'Industrial Summary'!$F:$F,M$17,'Industrial Summary'!$D:$D,$E238)),0)*0.98</f>
        <v>-8.5721380231954719E-2</v>
      </c>
      <c r="N238" s="6">
        <f>IF(SUMIFS('Industrial Summary'!$G:$G,'Industrial Summary'!$F:$F,N$17,'Industrial Summary'!$D:$D,$E238)&gt;0,(-SUMIFS('Industrial Summary'!$G:$G,'Industrial Summary'!$F:$F,N$17,'Industrial Summary'!$D:$D,$E238,'Industrial Summary'!$A:$A,"COA")/SUMIFS('Industrial Summary'!$G:$G,'Industrial Summary'!$F:$F,N$17,'Industrial Summary'!$D:$D,$E238)),0)*0.98</f>
        <v>-8.6274101829978911E-2</v>
      </c>
      <c r="O238" s="6">
        <f>IF(SUMIFS('Industrial Summary'!$G:$G,'Industrial Summary'!$F:$F,O$17,'Industrial Summary'!$D:$D,$E238)&gt;0,(-SUMIFS('Industrial Summary'!$G:$G,'Industrial Summary'!$F:$F,O$17,'Industrial Summary'!$D:$D,$E238,'Industrial Summary'!$A:$A,"COA")/SUMIFS('Industrial Summary'!$G:$G,'Industrial Summary'!$F:$F,O$17,'Industrial Summary'!$D:$D,$E238)),0)*0.98</f>
        <v>0</v>
      </c>
      <c r="P238" s="6">
        <f>IF(SUMIFS('Industrial Summary'!$G:$G,'Industrial Summary'!$F:$F,P$17,'Industrial Summary'!$D:$D,$E238)&gt;0,(-SUMIFS('Industrial Summary'!$G:$G,'Industrial Summary'!$F:$F,P$17,'Industrial Summary'!$D:$D,$E238,'Industrial Summary'!$A:$A,"COA")/SUMIFS('Industrial Summary'!$G:$G,'Industrial Summary'!$F:$F,P$17,'Industrial Summary'!$D:$D,$E238)),0)*0.98</f>
        <v>0</v>
      </c>
      <c r="Q238" s="5">
        <v>0</v>
      </c>
      <c r="R238" s="5">
        <v>15</v>
      </c>
      <c r="S238" s="5" t="str">
        <f t="shared" si="48"/>
        <v>UC_IMSPH_COA</v>
      </c>
      <c r="V238" s="4" t="str">
        <f t="shared" si="49"/>
        <v>S_IMSPHCOA</v>
      </c>
      <c r="W238" s="4" t="str">
        <f t="shared" si="50"/>
        <v>IMSPH_COA</v>
      </c>
      <c r="X238" s="4" t="str">
        <f t="shared" si="51"/>
        <v>IMSPRH</v>
      </c>
      <c r="Y238" s="5" t="str">
        <f t="shared" si="52"/>
        <v>UP</v>
      </c>
      <c r="Z238" s="5">
        <v>1</v>
      </c>
      <c r="AA238" s="6">
        <f t="shared" si="53"/>
        <v>-5.3466825784704422E-2</v>
      </c>
      <c r="AB238" s="6">
        <f t="shared" si="54"/>
        <v>-5.3987560333620996E-2</v>
      </c>
      <c r="AC238" s="6">
        <f t="shared" si="55"/>
        <v>-0.16097315318385136</v>
      </c>
      <c r="AD238" s="6">
        <f t="shared" si="56"/>
        <v>-0.16113619433087489</v>
      </c>
      <c r="AE238" s="6">
        <f t="shared" si="57"/>
        <v>-8.3149738824995906E-2</v>
      </c>
      <c r="AF238" s="6">
        <f t="shared" si="58"/>
        <v>-8.3149738824996072E-2</v>
      </c>
      <c r="AG238" s="6">
        <f t="shared" si="59"/>
        <v>-8.3685878775079547E-2</v>
      </c>
      <c r="AH238" s="6">
        <f t="shared" si="60"/>
        <v>0</v>
      </c>
      <c r="AI238" s="6">
        <f t="shared" si="61"/>
        <v>0</v>
      </c>
      <c r="AL238" s="5" t="str">
        <f t="shared" si="62"/>
        <v>COA</v>
      </c>
      <c r="AM238" s="5">
        <f>Z9</f>
        <v>0.97</v>
      </c>
    </row>
    <row r="239" spans="1:39" s="5" customFormat="1" x14ac:dyDescent="0.3">
      <c r="C239" s="4" t="s">
        <v>490</v>
      </c>
      <c r="D239" s="5" t="s">
        <v>491</v>
      </c>
      <c r="E239" s="5" t="s">
        <v>748</v>
      </c>
      <c r="F239" s="5" t="s">
        <v>1588</v>
      </c>
      <c r="G239" s="5">
        <v>1</v>
      </c>
      <c r="H239" s="6">
        <f>IF(SUMIFS('Industrial Summary'!$G:$G,'Industrial Summary'!$F:$F,H$17,'Industrial Summary'!$D:$D,$E239)&gt;0,(-SUMIFS('Industrial Summary'!$G:$G,'Industrial Summary'!$F:$F,H$17,'Industrial Summary'!$D:$D,$E239,'Industrial Summary'!$A:$A,"ELC")/SUMIFS('Industrial Summary'!$G:$G,'Industrial Summary'!$F:$F,H$17,'Industrial Summary'!$D:$D,$E239)),0)*0.98</f>
        <v>-0.85267651847762516</v>
      </c>
      <c r="I239" s="6">
        <f>IF(SUMIFS('Industrial Summary'!$G:$G,'Industrial Summary'!$F:$F,I$17,'Industrial Summary'!$D:$D,$E239)&gt;0,(-SUMIFS('Industrial Summary'!$G:$G,'Industrial Summary'!$F:$F,I$17,'Industrial Summary'!$D:$D,$E239,'Industrial Summary'!$A:$A,"ELC")/SUMIFS('Industrial Summary'!$G:$G,'Industrial Summary'!$F:$F,I$17,'Industrial Summary'!$D:$D,$E239)),0)*0.98</f>
        <v>-0.86098107210886465</v>
      </c>
      <c r="J239" s="6">
        <f>IF(SUMIFS('Industrial Summary'!$G:$G,'Industrial Summary'!$F:$F,J$17,'Industrial Summary'!$D:$D,$E239)&gt;0,(-SUMIFS('Industrial Summary'!$G:$G,'Industrial Summary'!$F:$F,J$17,'Industrial Summary'!$D:$D,$E239,'Industrial Summary'!$A:$A,"ELC")/SUMIFS('Industrial Summary'!$G:$G,'Industrial Summary'!$F:$F,J$17,'Industrial Summary'!$D:$D,$E239)),0)*0.98</f>
        <v>-0.78192390499477338</v>
      </c>
      <c r="K239" s="6">
        <f>IF(SUMIFS('Industrial Summary'!$G:$G,'Industrial Summary'!$F:$F,K$17,'Industrial Summary'!$D:$D,$E239)&gt;0,(-SUMIFS('Industrial Summary'!$G:$G,'Industrial Summary'!$F:$F,K$17,'Industrial Summary'!$D:$D,$E239,'Industrial Summary'!$A:$A,"ELC")/SUMIFS('Industrial Summary'!$G:$G,'Industrial Summary'!$F:$F,K$17,'Industrial Summary'!$D:$D,$E239)),0)*0.98</f>
        <v>-0.78271587413890742</v>
      </c>
      <c r="L239" s="6">
        <f>IF(SUMIFS('Industrial Summary'!$G:$G,'Industrial Summary'!$F:$F,L$17,'Industrial Summary'!$D:$D,$E239)&gt;0,(-SUMIFS('Industrial Summary'!$G:$G,'Industrial Summary'!$F:$F,L$17,'Industrial Summary'!$D:$D,$E239,'Industrial Summary'!$A:$A,"ELC")/SUMIFS('Industrial Summary'!$G:$G,'Industrial Summary'!$F:$F,L$17,'Industrial Summary'!$D:$D,$E239)),0)*0.98</f>
        <v>-0.90388875790361045</v>
      </c>
      <c r="M239" s="6">
        <f>IF(SUMIFS('Industrial Summary'!$G:$G,'Industrial Summary'!$F:$F,M$17,'Industrial Summary'!$D:$D,$E239)&gt;0,(-SUMIFS('Industrial Summary'!$G:$G,'Industrial Summary'!$F:$F,M$17,'Industrial Summary'!$D:$D,$E239,'Industrial Summary'!$A:$A,"ELC")/SUMIFS('Industrial Summary'!$G:$G,'Industrial Summary'!$F:$F,M$17,'Industrial Summary'!$D:$D,$E239)),0)*0.98</f>
        <v>-0.90388875790361045</v>
      </c>
      <c r="N239" s="6">
        <f>IF(SUMIFS('Industrial Summary'!$G:$G,'Industrial Summary'!$F:$F,N$17,'Industrial Summary'!$D:$D,$E239)&gt;0,(-SUMIFS('Industrial Summary'!$G:$G,'Industrial Summary'!$F:$F,N$17,'Industrial Summary'!$D:$D,$E239,'Industrial Summary'!$A:$A,"ELC")/SUMIFS('Industrial Summary'!$G:$G,'Industrial Summary'!$F:$F,N$17,'Industrial Summary'!$D:$D,$E239)),0)*0.98</f>
        <v>-0.9097169286278014</v>
      </c>
      <c r="O239" s="6">
        <f>IF(SUMIFS('Industrial Summary'!$G:$G,'Industrial Summary'!$F:$F,O$17,'Industrial Summary'!$D:$D,$E239)&gt;0,(-SUMIFS('Industrial Summary'!$G:$G,'Industrial Summary'!$F:$F,O$17,'Industrial Summary'!$D:$D,$E239,'Industrial Summary'!$A:$A,"ELC")/SUMIFS('Industrial Summary'!$G:$G,'Industrial Summary'!$F:$F,O$17,'Industrial Summary'!$D:$D,$E239)),0)*0.98</f>
        <v>-0.88214774588306322</v>
      </c>
      <c r="P239" s="6">
        <f>IF(SUMIFS('Industrial Summary'!$G:$G,'Industrial Summary'!$F:$F,P$17,'Industrial Summary'!$D:$D,$E239)&gt;0,(-SUMIFS('Industrial Summary'!$G:$G,'Industrial Summary'!$F:$F,P$17,'Industrial Summary'!$D:$D,$E239,'Industrial Summary'!$A:$A,"ELC")/SUMIFS('Industrial Summary'!$G:$G,'Industrial Summary'!$F:$F,P$17,'Industrial Summary'!$D:$D,$E239)),0)*0.98</f>
        <v>-0.88214774588306322</v>
      </c>
      <c r="Q239" s="5">
        <v>0</v>
      </c>
      <c r="R239" s="5">
        <v>15</v>
      </c>
      <c r="S239" s="5" t="str">
        <f t="shared" si="48"/>
        <v>UC_IMSMD_ELC</v>
      </c>
      <c r="V239" s="4" t="str">
        <f t="shared" si="49"/>
        <v>S_IMSMDELC</v>
      </c>
      <c r="W239" s="4" t="str">
        <f t="shared" si="50"/>
        <v>IMSMD_ELC</v>
      </c>
      <c r="X239" s="4" t="str">
        <f t="shared" si="51"/>
        <v>IMSMDR</v>
      </c>
      <c r="Y239" s="5" t="str">
        <f t="shared" si="52"/>
        <v>LO</v>
      </c>
      <c r="Z239" s="5">
        <v>1</v>
      </c>
      <c r="AA239" s="6">
        <f t="shared" si="53"/>
        <v>-0.85267651847762516</v>
      </c>
      <c r="AB239" s="6">
        <f t="shared" si="54"/>
        <v>-0.86098107210886465</v>
      </c>
      <c r="AC239" s="6">
        <f t="shared" si="55"/>
        <v>-0.78192390499477338</v>
      </c>
      <c r="AD239" s="6">
        <f t="shared" si="56"/>
        <v>-0.78271587413890742</v>
      </c>
      <c r="AE239" s="6">
        <f t="shared" si="57"/>
        <v>-0.90388875790361045</v>
      </c>
      <c r="AF239" s="6">
        <f t="shared" si="58"/>
        <v>-0.90388875790361045</v>
      </c>
      <c r="AG239" s="6">
        <f t="shared" si="59"/>
        <v>-0.9097169286278014</v>
      </c>
      <c r="AH239" s="6">
        <f t="shared" si="60"/>
        <v>-0.88214774588306322</v>
      </c>
      <c r="AI239" s="6">
        <f t="shared" si="61"/>
        <v>-0.88214774588306322</v>
      </c>
      <c r="AL239" s="5" t="str">
        <f t="shared" si="62"/>
        <v>ELC</v>
      </c>
      <c r="AM239" s="5">
        <f>1</f>
        <v>1</v>
      </c>
    </row>
    <row r="240" spans="1:39" s="5" customFormat="1" x14ac:dyDescent="0.3">
      <c r="A240" s="8"/>
      <c r="C240" s="4" t="s">
        <v>492</v>
      </c>
      <c r="D240" s="5" t="s">
        <v>493</v>
      </c>
      <c r="E240" s="5" t="s">
        <v>748</v>
      </c>
      <c r="F240" s="5" t="s">
        <v>1588</v>
      </c>
      <c r="G240" s="5">
        <v>1</v>
      </c>
      <c r="H240" s="6">
        <f>IF(SUMIFS('Industrial Summary'!$G:$G,'Industrial Summary'!$F:$F,H$17,'Industrial Summary'!$D:$D,$E240)&gt;0,(-SUMIFS('Industrial Summary'!$G:$G,'Industrial Summary'!$F:$F,H$17,'Industrial Summary'!$D:$D,$E240,'Industrial Summary'!$A:$A,"NGA")/SUMIFS('Industrial Summary'!$G:$G,'Industrial Summary'!$F:$F,H$17,'Industrial Summary'!$D:$D,$E240)),0)*0.98</f>
        <v>-0.12732348152237485</v>
      </c>
      <c r="I240" s="6">
        <f>IF(SUMIFS('Industrial Summary'!$G:$G,'Industrial Summary'!$F:$F,I$17,'Industrial Summary'!$D:$D,$E240)&gt;0,(-SUMIFS('Industrial Summary'!$G:$G,'Industrial Summary'!$F:$F,I$17,'Industrial Summary'!$D:$D,$E240,'Industrial Summary'!$A:$A,"NGA")/SUMIFS('Industrial Summary'!$G:$G,'Industrial Summary'!$F:$F,I$17,'Industrial Summary'!$D:$D,$E240)),0)*0.98</f>
        <v>-0.11901892789113525</v>
      </c>
      <c r="J240" s="6">
        <f>IF(SUMIFS('Industrial Summary'!$G:$G,'Industrial Summary'!$F:$F,J$17,'Industrial Summary'!$D:$D,$E240)&gt;0,(-SUMIFS('Industrial Summary'!$G:$G,'Industrial Summary'!$F:$F,J$17,'Industrial Summary'!$D:$D,$E240,'Industrial Summary'!$A:$A,"NGA")/SUMIFS('Industrial Summary'!$G:$G,'Industrial Summary'!$F:$F,J$17,'Industrial Summary'!$D:$D,$E240)),0)*0.98</f>
        <v>-0.19807609500522655</v>
      </c>
      <c r="K240" s="6">
        <f>IF(SUMIFS('Industrial Summary'!$G:$G,'Industrial Summary'!$F:$F,K$17,'Industrial Summary'!$D:$D,$E240)&gt;0,(-SUMIFS('Industrial Summary'!$G:$G,'Industrial Summary'!$F:$F,K$17,'Industrial Summary'!$D:$D,$E240,'Industrial Summary'!$A:$A,"NGA")/SUMIFS('Industrial Summary'!$G:$G,'Industrial Summary'!$F:$F,K$17,'Industrial Summary'!$D:$D,$E240)),0)*0.98</f>
        <v>-0.19728412586109248</v>
      </c>
      <c r="L240" s="6">
        <f>IF(SUMIFS('Industrial Summary'!$G:$G,'Industrial Summary'!$F:$F,L$17,'Industrial Summary'!$D:$D,$E240)&gt;0,(-SUMIFS('Industrial Summary'!$G:$G,'Industrial Summary'!$F:$F,L$17,'Industrial Summary'!$D:$D,$E240,'Industrial Summary'!$A:$A,"NGA")/SUMIFS('Industrial Summary'!$G:$G,'Industrial Summary'!$F:$F,L$17,'Industrial Summary'!$D:$D,$E240)),0)*0.98</f>
        <v>-7.6111242096389628E-2</v>
      </c>
      <c r="M240" s="6">
        <f>IF(SUMIFS('Industrial Summary'!$G:$G,'Industrial Summary'!$F:$F,M$17,'Industrial Summary'!$D:$D,$E240)&gt;0,(-SUMIFS('Industrial Summary'!$G:$G,'Industrial Summary'!$F:$F,M$17,'Industrial Summary'!$D:$D,$E240,'Industrial Summary'!$A:$A,"NGA")/SUMIFS('Industrial Summary'!$G:$G,'Industrial Summary'!$F:$F,M$17,'Industrial Summary'!$D:$D,$E240)),0)*0.98</f>
        <v>-7.6111242096389572E-2</v>
      </c>
      <c r="N240" s="6">
        <f>IF(SUMIFS('Industrial Summary'!$G:$G,'Industrial Summary'!$F:$F,N$17,'Industrial Summary'!$D:$D,$E240)&gt;0,(-SUMIFS('Industrial Summary'!$G:$G,'Industrial Summary'!$F:$F,N$17,'Industrial Summary'!$D:$D,$E240,'Industrial Summary'!$A:$A,"NGA")/SUMIFS('Industrial Summary'!$G:$G,'Industrial Summary'!$F:$F,N$17,'Industrial Summary'!$D:$D,$E240)),0)*0.98</f>
        <v>-7.0283071372198525E-2</v>
      </c>
      <c r="O240" s="6">
        <f>IF(SUMIFS('Industrial Summary'!$G:$G,'Industrial Summary'!$F:$F,O$17,'Industrial Summary'!$D:$D,$E240)&gt;0,(-SUMIFS('Industrial Summary'!$G:$G,'Industrial Summary'!$F:$F,O$17,'Industrial Summary'!$D:$D,$E240,'Industrial Summary'!$A:$A,"NGA")/SUMIFS('Industrial Summary'!$G:$G,'Industrial Summary'!$F:$F,O$17,'Industrial Summary'!$D:$D,$E240)),0)*0.98</f>
        <v>-9.7852254116936738E-2</v>
      </c>
      <c r="P240" s="6">
        <f>IF(SUMIFS('Industrial Summary'!$G:$G,'Industrial Summary'!$F:$F,P$17,'Industrial Summary'!$D:$D,$E240)&gt;0,(-SUMIFS('Industrial Summary'!$G:$G,'Industrial Summary'!$F:$F,P$17,'Industrial Summary'!$D:$D,$E240,'Industrial Summary'!$A:$A,"NGA")/SUMIFS('Industrial Summary'!$G:$G,'Industrial Summary'!$F:$F,P$17,'Industrial Summary'!$D:$D,$E240)),0)*0.98</f>
        <v>-9.7852254116936779E-2</v>
      </c>
      <c r="Q240" s="5">
        <v>0</v>
      </c>
      <c r="R240" s="5">
        <v>15</v>
      </c>
      <c r="S240" s="5" t="str">
        <f t="shared" si="48"/>
        <v>UC_IMSMD_NGA</v>
      </c>
      <c r="V240" s="4" t="str">
        <f t="shared" si="49"/>
        <v>S_IMSMDNGA</v>
      </c>
      <c r="W240" s="4" t="str">
        <f t="shared" si="50"/>
        <v>IMSMD_NGA</v>
      </c>
      <c r="X240" s="4" t="str">
        <f t="shared" si="51"/>
        <v>IMSMDR</v>
      </c>
      <c r="Y240" s="5" t="str">
        <f t="shared" si="52"/>
        <v>LO</v>
      </c>
      <c r="Z240" s="5">
        <v>1</v>
      </c>
      <c r="AA240" s="6">
        <f t="shared" si="53"/>
        <v>-0.11204466373968987</v>
      </c>
      <c r="AB240" s="6">
        <f t="shared" si="54"/>
        <v>-0.10473665654419902</v>
      </c>
      <c r="AC240" s="6">
        <f t="shared" si="55"/>
        <v>-0.17430696360459935</v>
      </c>
      <c r="AD240" s="6">
        <f t="shared" si="56"/>
        <v>-0.17361003075776138</v>
      </c>
      <c r="AE240" s="6">
        <f t="shared" si="57"/>
        <v>-6.6977893044822878E-2</v>
      </c>
      <c r="AF240" s="6">
        <f t="shared" si="58"/>
        <v>-6.6977893044822823E-2</v>
      </c>
      <c r="AG240" s="6">
        <f t="shared" si="59"/>
        <v>-6.1849102807534702E-2</v>
      </c>
      <c r="AH240" s="6">
        <f t="shared" si="60"/>
        <v>-8.6109983622904326E-2</v>
      </c>
      <c r="AI240" s="6">
        <f t="shared" si="61"/>
        <v>-8.6109983622904368E-2</v>
      </c>
      <c r="AL240" s="5" t="str">
        <f t="shared" si="62"/>
        <v>NGA</v>
      </c>
      <c r="AM240" s="5">
        <f>Y9</f>
        <v>0.88</v>
      </c>
    </row>
    <row r="241" spans="1:39" s="5" customFormat="1" x14ac:dyDescent="0.3">
      <c r="C241" s="4" t="s">
        <v>494</v>
      </c>
      <c r="D241" s="5" t="s">
        <v>495</v>
      </c>
      <c r="E241" s="5" t="s">
        <v>734</v>
      </c>
      <c r="F241" s="5" t="s">
        <v>1588</v>
      </c>
      <c r="G241" s="5">
        <v>1</v>
      </c>
      <c r="H241" s="6">
        <f>IF(SUMIFS('Industrial Summary'!$G:$G,'Industrial Summary'!$F:$F,H$17,'Industrial Summary'!$D:$D,$E241)&gt;0,(-SUMIFS('Industrial Summary'!$G:$G,'Industrial Summary'!$F:$F,H$17,'Industrial Summary'!$D:$D,$E241,'Industrial Summary'!$A:$A,"ELC")/SUMIFS('Industrial Summary'!$G:$G,'Industrial Summary'!$F:$F,H$17,'Industrial Summary'!$D:$D,$E241)),0)*0.98</f>
        <v>-0.41877987156575314</v>
      </c>
      <c r="I241" s="6">
        <f>IF(SUMIFS('Industrial Summary'!$G:$G,'Industrial Summary'!$F:$F,I$17,'Industrial Summary'!$D:$D,$E241)&gt;0,(-SUMIFS('Industrial Summary'!$G:$G,'Industrial Summary'!$F:$F,I$17,'Industrial Summary'!$D:$D,$E241,'Industrial Summary'!$A:$A,"ELC")/SUMIFS('Industrial Summary'!$G:$G,'Industrial Summary'!$F:$F,I$17,'Industrial Summary'!$D:$D,$E241)),0)*0.98</f>
        <v>-0.42285853425639625</v>
      </c>
      <c r="J241" s="6">
        <f>IF(SUMIFS('Industrial Summary'!$G:$G,'Industrial Summary'!$F:$F,J$17,'Industrial Summary'!$D:$D,$E241)&gt;0,(-SUMIFS('Industrial Summary'!$G:$G,'Industrial Summary'!$F:$F,J$17,'Industrial Summary'!$D:$D,$E241,'Industrial Summary'!$A:$A,"ELC")/SUMIFS('Industrial Summary'!$G:$G,'Industrial Summary'!$F:$F,J$17,'Industrial Summary'!$D:$D,$E241)),0)*0.98</f>
        <v>-0.2510793449301788</v>
      </c>
      <c r="K241" s="6">
        <f>IF(SUMIFS('Industrial Summary'!$G:$G,'Industrial Summary'!$F:$F,K$17,'Industrial Summary'!$D:$D,$E241)&gt;0,(-SUMIFS('Industrial Summary'!$G:$G,'Industrial Summary'!$F:$F,K$17,'Industrial Summary'!$D:$D,$E241,'Industrial Summary'!$A:$A,"ELC")/SUMIFS('Industrial Summary'!$G:$G,'Industrial Summary'!$F:$F,K$17,'Industrial Summary'!$D:$D,$E241)),0)*0.98</f>
        <v>-0.25133364984737572</v>
      </c>
      <c r="L241" s="6">
        <f>IF(SUMIFS('Industrial Summary'!$G:$G,'Industrial Summary'!$F:$F,L$17,'Industrial Summary'!$D:$D,$E241)&gt;0,(-SUMIFS('Industrial Summary'!$G:$G,'Industrial Summary'!$F:$F,L$17,'Industrial Summary'!$D:$D,$E241,'Industrial Summary'!$A:$A,"ELC")/SUMIFS('Industrial Summary'!$G:$G,'Industrial Summary'!$F:$F,L$17,'Industrial Summary'!$D:$D,$E241)),0)*0.98</f>
        <v>-0.49029078143973454</v>
      </c>
      <c r="M241" s="6">
        <f>IF(SUMIFS('Industrial Summary'!$G:$G,'Industrial Summary'!$F:$F,M$17,'Industrial Summary'!$D:$D,$E241)&gt;0,(-SUMIFS('Industrial Summary'!$G:$G,'Industrial Summary'!$F:$F,M$17,'Industrial Summary'!$D:$D,$E241,'Industrial Summary'!$A:$A,"ELC")/SUMIFS('Industrial Summary'!$G:$G,'Industrial Summary'!$F:$F,M$17,'Industrial Summary'!$D:$D,$E241)),0)*0.98</f>
        <v>-0.49029078143975313</v>
      </c>
      <c r="N241" s="6">
        <f>IF(SUMIFS('Industrial Summary'!$G:$G,'Industrial Summary'!$F:$F,N$17,'Industrial Summary'!$D:$D,$E241)&gt;0,(-SUMIFS('Industrial Summary'!$G:$G,'Industrial Summary'!$F:$F,N$17,'Industrial Summary'!$D:$D,$E241,'Industrial Summary'!$A:$A,"ELC")/SUMIFS('Industrial Summary'!$G:$G,'Industrial Summary'!$F:$F,N$17,'Industrial Summary'!$D:$D,$E241)),0)*0.98</f>
        <v>-0.49345211999355504</v>
      </c>
      <c r="O241" s="6">
        <f>IF(SUMIFS('Industrial Summary'!$G:$G,'Industrial Summary'!$F:$F,O$17,'Industrial Summary'!$D:$D,$E241)&gt;0,(-SUMIFS('Industrial Summary'!$G:$G,'Industrial Summary'!$F:$F,O$17,'Industrial Summary'!$D:$D,$E241,'Industrial Summary'!$A:$A,"ELC")/SUMIFS('Industrial Summary'!$G:$G,'Industrial Summary'!$F:$F,O$17,'Industrial Summary'!$D:$D,$E241)),0)*0.98</f>
        <v>-0.50441033533151614</v>
      </c>
      <c r="P241" s="6">
        <f>IF(SUMIFS('Industrial Summary'!$G:$G,'Industrial Summary'!$F:$F,P$17,'Industrial Summary'!$D:$D,$E241)&gt;0,(-SUMIFS('Industrial Summary'!$G:$G,'Industrial Summary'!$F:$F,P$17,'Industrial Summary'!$D:$D,$E241,'Industrial Summary'!$A:$A,"ELC")/SUMIFS('Industrial Summary'!$G:$G,'Industrial Summary'!$F:$F,P$17,'Industrial Summary'!$D:$D,$E241)),0)*0.98</f>
        <v>-0.50441033533151536</v>
      </c>
      <c r="Q241" s="5">
        <v>0</v>
      </c>
      <c r="R241" s="5">
        <v>15</v>
      </c>
      <c r="S241" s="5" t="str">
        <f t="shared" si="48"/>
        <v>UC_IMSFA_ELC</v>
      </c>
      <c r="V241" s="4" t="str">
        <f t="shared" si="49"/>
        <v>S_IMSFAELC</v>
      </c>
      <c r="W241" s="4" t="str">
        <f t="shared" si="50"/>
        <v>IMSFA_ELC</v>
      </c>
      <c r="X241" s="4" t="str">
        <f t="shared" si="51"/>
        <v>IMSFAC</v>
      </c>
      <c r="Y241" s="5" t="str">
        <f t="shared" si="52"/>
        <v>LO</v>
      </c>
      <c r="Z241" s="5">
        <v>1</v>
      </c>
      <c r="AA241" s="6">
        <f t="shared" si="53"/>
        <v>-0.41877987156575314</v>
      </c>
      <c r="AB241" s="6">
        <f t="shared" si="54"/>
        <v>-0.42285853425639625</v>
      </c>
      <c r="AC241" s="6">
        <f t="shared" si="55"/>
        <v>-0.2510793449301788</v>
      </c>
      <c r="AD241" s="6">
        <f t="shared" si="56"/>
        <v>-0.25133364984737572</v>
      </c>
      <c r="AE241" s="6">
        <f t="shared" si="57"/>
        <v>-0.49029078143973454</v>
      </c>
      <c r="AF241" s="6">
        <f t="shared" si="58"/>
        <v>-0.49029078143975313</v>
      </c>
      <c r="AG241" s="6">
        <f t="shared" si="59"/>
        <v>-0.49345211999355504</v>
      </c>
      <c r="AH241" s="6">
        <f t="shared" si="60"/>
        <v>-0.50441033533151614</v>
      </c>
      <c r="AI241" s="6">
        <f t="shared" si="61"/>
        <v>-0.50441033533151536</v>
      </c>
      <c r="AL241" s="5" t="str">
        <f t="shared" si="62"/>
        <v>ELC</v>
      </c>
      <c r="AM241" s="5">
        <f>1</f>
        <v>1</v>
      </c>
    </row>
    <row r="242" spans="1:39" s="5" customFormat="1" x14ac:dyDescent="0.3">
      <c r="C242" s="4" t="s">
        <v>496</v>
      </c>
      <c r="D242" s="5" t="s">
        <v>497</v>
      </c>
      <c r="E242" s="5" t="s">
        <v>734</v>
      </c>
      <c r="F242" s="5" t="s">
        <v>1588</v>
      </c>
      <c r="G242" s="5">
        <v>1</v>
      </c>
      <c r="H242" s="6">
        <f>IF(SUMIFS('Industrial Summary'!$G:$G,'Industrial Summary'!$F:$F,H$17,'Industrial Summary'!$D:$D,$E242)&gt;0,(-SUMIFS('Industrial Summary'!$G:$G,'Industrial Summary'!$F:$F,H$17,'Industrial Summary'!$D:$D,$E242,'Industrial Summary'!$A:$A,"DST")/SUMIFS('Industrial Summary'!$G:$G,'Industrial Summary'!$F:$F,H$17,'Industrial Summary'!$D:$D,$E242)),0)*0.98</f>
        <v>0</v>
      </c>
      <c r="I242" s="6">
        <f>IF(SUMIFS('Industrial Summary'!$G:$G,'Industrial Summary'!$F:$F,I$17,'Industrial Summary'!$D:$D,$E242)&gt;0,(-SUMIFS('Industrial Summary'!$G:$G,'Industrial Summary'!$F:$F,I$17,'Industrial Summary'!$D:$D,$E242,'Industrial Summary'!$A:$A,"DST")/SUMIFS('Industrial Summary'!$G:$G,'Industrial Summary'!$F:$F,I$17,'Industrial Summary'!$D:$D,$E242)),0)*0.98</f>
        <v>0</v>
      </c>
      <c r="J242" s="6">
        <f>IF(SUMIFS('Industrial Summary'!$G:$G,'Industrial Summary'!$F:$F,J$17,'Industrial Summary'!$D:$D,$E242)&gt;0,(-SUMIFS('Industrial Summary'!$G:$G,'Industrial Summary'!$F:$F,J$17,'Industrial Summary'!$D:$D,$E242,'Industrial Summary'!$A:$A,"DST")/SUMIFS('Industrial Summary'!$G:$G,'Industrial Summary'!$F:$F,J$17,'Industrial Summary'!$D:$D,$E242)),0)*0.98</f>
        <v>-8.6971881106483781E-2</v>
      </c>
      <c r="K242" s="6">
        <f>IF(SUMIFS('Industrial Summary'!$G:$G,'Industrial Summary'!$F:$F,K$17,'Industrial Summary'!$D:$D,$E242)&gt;0,(-SUMIFS('Industrial Summary'!$G:$G,'Industrial Summary'!$F:$F,K$17,'Industrial Summary'!$D:$D,$E242,'Industrial Summary'!$A:$A,"DST")/SUMIFS('Industrial Summary'!$G:$G,'Industrial Summary'!$F:$F,K$17,'Industrial Summary'!$D:$D,$E242)),0)*0.98</f>
        <v>-8.6067380412120309E-2</v>
      </c>
      <c r="L242" s="6">
        <f>IF(SUMIFS('Industrial Summary'!$G:$G,'Industrial Summary'!$F:$F,L$17,'Industrial Summary'!$D:$D,$E242)&gt;0,(-SUMIFS('Industrial Summary'!$G:$G,'Industrial Summary'!$F:$F,L$17,'Industrial Summary'!$D:$D,$E242,'Industrial Summary'!$A:$A,"DST")/SUMIFS('Industrial Summary'!$G:$G,'Industrial Summary'!$F:$F,L$17,'Industrial Summary'!$D:$D,$E242)),0)*0.98</f>
        <v>-0.10220278044595478</v>
      </c>
      <c r="M242" s="6">
        <f>IF(SUMIFS('Industrial Summary'!$G:$G,'Industrial Summary'!$F:$F,M$17,'Industrial Summary'!$D:$D,$E242)&gt;0,(-SUMIFS('Industrial Summary'!$G:$G,'Industrial Summary'!$F:$F,M$17,'Industrial Summary'!$D:$D,$E242,'Industrial Summary'!$A:$A,"DST")/SUMIFS('Industrial Summary'!$G:$G,'Industrial Summary'!$F:$F,M$17,'Industrial Summary'!$D:$D,$E242)),0)*0.98</f>
        <v>-0.10220278044592149</v>
      </c>
      <c r="N242" s="6">
        <f>IF(SUMIFS('Industrial Summary'!$G:$G,'Industrial Summary'!$F:$F,N$17,'Industrial Summary'!$D:$D,$E242)&gt;0,(-SUMIFS('Industrial Summary'!$G:$G,'Industrial Summary'!$F:$F,N$17,'Industrial Summary'!$D:$D,$E242,'Industrial Summary'!$A:$A,"DST")/SUMIFS('Industrial Summary'!$G:$G,'Industrial Summary'!$F:$F,N$17,'Industrial Summary'!$D:$D,$E242)),0)*0.98</f>
        <v>-9.6542844959377483E-2</v>
      </c>
      <c r="O242" s="6">
        <f>IF(SUMIFS('Industrial Summary'!$G:$G,'Industrial Summary'!$F:$F,O$17,'Industrial Summary'!$D:$D,$E242)&gt;0,(-SUMIFS('Industrial Summary'!$G:$G,'Industrial Summary'!$F:$F,O$17,'Industrial Summary'!$D:$D,$E242,'Industrial Summary'!$A:$A,"DST")/SUMIFS('Industrial Summary'!$G:$G,'Industrial Summary'!$F:$F,O$17,'Industrial Summary'!$D:$D,$E242)),0)*0.98</f>
        <v>0</v>
      </c>
      <c r="P242" s="6">
        <f>IF(SUMIFS('Industrial Summary'!$G:$G,'Industrial Summary'!$F:$F,P$17,'Industrial Summary'!$D:$D,$E242)&gt;0,(-SUMIFS('Industrial Summary'!$G:$G,'Industrial Summary'!$F:$F,P$17,'Industrial Summary'!$D:$D,$E242,'Industrial Summary'!$A:$A,"DST")/SUMIFS('Industrial Summary'!$G:$G,'Industrial Summary'!$F:$F,P$17,'Industrial Summary'!$D:$D,$E242)),0)*0.98</f>
        <v>0</v>
      </c>
      <c r="Q242" s="5">
        <v>0</v>
      </c>
      <c r="R242" s="5">
        <v>15</v>
      </c>
      <c r="S242" s="5" t="str">
        <f t="shared" si="48"/>
        <v>UC_IMSFA_DST</v>
      </c>
      <c r="V242" s="4" t="str">
        <f t="shared" si="49"/>
        <v>S_IMSFADST</v>
      </c>
      <c r="W242" s="4" t="str">
        <f t="shared" si="50"/>
        <v>IMSFA_DST</v>
      </c>
      <c r="X242" s="4" t="str">
        <f t="shared" si="51"/>
        <v>IMSFAC</v>
      </c>
      <c r="Y242" s="5" t="str">
        <f t="shared" si="52"/>
        <v>LO</v>
      </c>
      <c r="Z242" s="5">
        <v>1</v>
      </c>
      <c r="AA242" s="6">
        <f t="shared" si="53"/>
        <v>0</v>
      </c>
      <c r="AB242" s="6">
        <f t="shared" si="54"/>
        <v>0</v>
      </c>
      <c r="AC242" s="6">
        <f t="shared" si="55"/>
        <v>-8.6971881106483781E-2</v>
      </c>
      <c r="AD242" s="6">
        <f t="shared" si="56"/>
        <v>-8.6067380412120309E-2</v>
      </c>
      <c r="AE242" s="6">
        <f t="shared" si="57"/>
        <v>-0.10220278044595478</v>
      </c>
      <c r="AF242" s="6">
        <f t="shared" si="58"/>
        <v>-0.10220278044592149</v>
      </c>
      <c r="AG242" s="6">
        <f t="shared" si="59"/>
        <v>-9.6542844959377483E-2</v>
      </c>
      <c r="AH242" s="6">
        <f t="shared" si="60"/>
        <v>0</v>
      </c>
      <c r="AI242" s="6">
        <f t="shared" si="61"/>
        <v>0</v>
      </c>
      <c r="AL242" s="5" t="str">
        <f t="shared" si="62"/>
        <v>DST</v>
      </c>
      <c r="AM242" s="5">
        <f>1</f>
        <v>1</v>
      </c>
    </row>
    <row r="243" spans="1:39" s="5" customFormat="1" x14ac:dyDescent="0.3">
      <c r="C243" s="4" t="s">
        <v>498</v>
      </c>
      <c r="D243" s="5" t="s">
        <v>499</v>
      </c>
      <c r="E243" s="5" t="s">
        <v>734</v>
      </c>
      <c r="F243" s="5" t="s">
        <v>1588</v>
      </c>
      <c r="G243" s="5">
        <v>1</v>
      </c>
      <c r="H243" s="6">
        <f>IF(SUMIFS('Industrial Summary'!$G:$G,'Industrial Summary'!$F:$F,H$17,'Industrial Summary'!$D:$D,$E243)&gt;0,(-SUMIFS('Industrial Summary'!$G:$G,'Industrial Summary'!$F:$F,H$17,'Industrial Summary'!$D:$D,$E243,'Industrial Summary'!$A:$A,"NGA")/SUMIFS('Industrial Summary'!$G:$G,'Industrial Summary'!$F:$F,H$17,'Industrial Summary'!$D:$D,$E243)),0)*0.98</f>
        <v>-0.53153140225178108</v>
      </c>
      <c r="I243" s="6">
        <f>IF(SUMIFS('Industrial Summary'!$G:$G,'Industrial Summary'!$F:$F,I$17,'Industrial Summary'!$D:$D,$E243)&gt;0,(-SUMIFS('Industrial Summary'!$G:$G,'Industrial Summary'!$F:$F,I$17,'Industrial Summary'!$D:$D,$E243,'Industrial Summary'!$A:$A,"NGA")/SUMIFS('Industrial Summary'!$G:$G,'Industrial Summary'!$F:$F,I$17,'Industrial Summary'!$D:$D,$E243)),0)*0.98</f>
        <v>-0.52716358932246865</v>
      </c>
      <c r="J243" s="6">
        <f>IF(SUMIFS('Industrial Summary'!$G:$G,'Industrial Summary'!$F:$F,J$17,'Industrial Summary'!$D:$D,$E243)&gt;0,(-SUMIFS('Industrial Summary'!$G:$G,'Industrial Summary'!$F:$F,J$17,'Industrial Summary'!$D:$D,$E243,'Industrial Summary'!$A:$A,"NGA")/SUMIFS('Industrial Summary'!$G:$G,'Industrial Summary'!$F:$F,J$17,'Industrial Summary'!$D:$D,$E243)),0)*0.98</f>
        <v>-0.54630769875716767</v>
      </c>
      <c r="K243" s="6">
        <f>IF(SUMIFS('Industrial Summary'!$G:$G,'Industrial Summary'!$F:$F,K$17,'Industrial Summary'!$D:$D,$E243)&gt;0,(-SUMIFS('Industrial Summary'!$G:$G,'Industrial Summary'!$F:$F,K$17,'Industrial Summary'!$D:$D,$E243,'Industrial Summary'!$A:$A,"NGA")/SUMIFS('Industrial Summary'!$G:$G,'Industrial Summary'!$F:$F,K$17,'Industrial Summary'!$D:$D,$E243)),0)*0.98</f>
        <v>-0.54686102477502474</v>
      </c>
      <c r="L243" s="6">
        <f>IF(SUMIFS('Industrial Summary'!$G:$G,'Industrial Summary'!$F:$F,L$17,'Industrial Summary'!$D:$D,$E243)&gt;0,(-SUMIFS('Industrial Summary'!$G:$G,'Industrial Summary'!$F:$F,L$17,'Industrial Summary'!$D:$D,$E243,'Industrial Summary'!$A:$A,"NGA")/SUMIFS('Industrial Summary'!$G:$G,'Industrial Summary'!$F:$F,L$17,'Industrial Summary'!$D:$D,$E243)),0)*0.98</f>
        <v>-0.35091867258959752</v>
      </c>
      <c r="M243" s="6">
        <f>IF(SUMIFS('Industrial Summary'!$G:$G,'Industrial Summary'!$F:$F,M$17,'Industrial Summary'!$D:$D,$E243)&gt;0,(-SUMIFS('Industrial Summary'!$G:$G,'Industrial Summary'!$F:$F,M$17,'Industrial Summary'!$D:$D,$E243,'Industrial Summary'!$A:$A,"NGA")/SUMIFS('Industrial Summary'!$G:$G,'Industrial Summary'!$F:$F,M$17,'Industrial Summary'!$D:$D,$E243)),0)*0.98</f>
        <v>-0.3509186725896109</v>
      </c>
      <c r="N243" s="6">
        <f>IF(SUMIFS('Industrial Summary'!$G:$G,'Industrial Summary'!$F:$F,N$17,'Industrial Summary'!$D:$D,$E243)&gt;0,(-SUMIFS('Industrial Summary'!$G:$G,'Industrial Summary'!$F:$F,N$17,'Industrial Summary'!$D:$D,$E243,'Industrial Summary'!$A:$A,"NGA")/SUMIFS('Industrial Summary'!$G:$G,'Industrial Summary'!$F:$F,N$17,'Industrial Summary'!$D:$D,$E243)),0)*0.98</f>
        <v>-0.35318135581944554</v>
      </c>
      <c r="O243" s="6">
        <f>IF(SUMIFS('Industrial Summary'!$G:$G,'Industrial Summary'!$F:$F,O$17,'Industrial Summary'!$D:$D,$E243)&gt;0,(-SUMIFS('Industrial Summary'!$G:$G,'Industrial Summary'!$F:$F,O$17,'Industrial Summary'!$D:$D,$E243,'Industrial Summary'!$A:$A,"NGA")/SUMIFS('Industrial Summary'!$G:$G,'Industrial Summary'!$F:$F,O$17,'Industrial Summary'!$D:$D,$E243)),0)*0.98</f>
        <v>-0.47558966466848379</v>
      </c>
      <c r="P243" s="6">
        <f>IF(SUMIFS('Industrial Summary'!$G:$G,'Industrial Summary'!$F:$F,P$17,'Industrial Summary'!$D:$D,$E243)&gt;0,(-SUMIFS('Industrial Summary'!$G:$G,'Industrial Summary'!$F:$F,P$17,'Industrial Summary'!$D:$D,$E243,'Industrial Summary'!$A:$A,"NGA")/SUMIFS('Industrial Summary'!$G:$G,'Industrial Summary'!$F:$F,P$17,'Industrial Summary'!$D:$D,$E243)),0)*0.98</f>
        <v>-0.47558966466848468</v>
      </c>
      <c r="Q243" s="5">
        <v>0</v>
      </c>
      <c r="R243" s="5">
        <v>15</v>
      </c>
      <c r="S243" s="5" t="str">
        <f t="shared" si="48"/>
        <v>UC_IMSFA_NGA</v>
      </c>
      <c r="V243" s="4" t="str">
        <f t="shared" si="49"/>
        <v>S_IMSFANGA</v>
      </c>
      <c r="W243" s="4" t="str">
        <f t="shared" si="50"/>
        <v>IMSFA_NGA</v>
      </c>
      <c r="X243" s="4" t="str">
        <f t="shared" si="51"/>
        <v>IMSFAC</v>
      </c>
      <c r="Y243" s="5" t="str">
        <f t="shared" si="52"/>
        <v>LO</v>
      </c>
      <c r="Z243" s="5">
        <v>1</v>
      </c>
      <c r="AA243" s="6">
        <f t="shared" si="53"/>
        <v>-0.46774763398156738</v>
      </c>
      <c r="AB243" s="6">
        <f t="shared" si="54"/>
        <v>-0.46390395860377243</v>
      </c>
      <c r="AC243" s="6">
        <f t="shared" si="55"/>
        <v>-0.48075077490630758</v>
      </c>
      <c r="AD243" s="6">
        <f t="shared" si="56"/>
        <v>-0.4812377018020218</v>
      </c>
      <c r="AE243" s="6">
        <f t="shared" si="57"/>
        <v>-0.30880843187884582</v>
      </c>
      <c r="AF243" s="6">
        <f t="shared" si="58"/>
        <v>-0.30880843187885759</v>
      </c>
      <c r="AG243" s="6">
        <f t="shared" si="59"/>
        <v>-0.31079959312111211</v>
      </c>
      <c r="AH243" s="6">
        <f t="shared" si="60"/>
        <v>-0.41851890490826577</v>
      </c>
      <c r="AI243" s="6">
        <f t="shared" si="61"/>
        <v>-0.41851890490826654</v>
      </c>
      <c r="AL243" s="5" t="str">
        <f t="shared" si="62"/>
        <v>NGA</v>
      </c>
      <c r="AM243" s="5">
        <f>Y9</f>
        <v>0.88</v>
      </c>
    </row>
    <row r="244" spans="1:39" s="5" customFormat="1" x14ac:dyDescent="0.3">
      <c r="A244" s="8"/>
      <c r="C244" s="4" t="s">
        <v>500</v>
      </c>
      <c r="D244" s="5" t="s">
        <v>501</v>
      </c>
      <c r="E244" s="5" t="s">
        <v>734</v>
      </c>
      <c r="F244" s="5" t="s">
        <v>1591</v>
      </c>
      <c r="G244" s="5">
        <v>1</v>
      </c>
      <c r="H244" s="6">
        <f>IF(SUMIFS('Industrial Summary'!$G:$G,'Industrial Summary'!$F:$F,H$17,'Industrial Summary'!$D:$D,$E244)&gt;0,(-SUMIFS('Industrial Summary'!$G:$G,'Industrial Summary'!$F:$F,H$17,'Industrial Summary'!$D:$D,$E244,'Industrial Summary'!$A:$A,"COA")/SUMIFS('Industrial Summary'!$G:$G,'Industrial Summary'!$F:$F,H$17,'Industrial Summary'!$D:$D,$E244)),0)*0.98</f>
        <v>-2.9688726182465798E-2</v>
      </c>
      <c r="I244" s="6">
        <f>IF(SUMIFS('Industrial Summary'!$G:$G,'Industrial Summary'!$F:$F,I$17,'Industrial Summary'!$D:$D,$E244)&gt;0,(-SUMIFS('Industrial Summary'!$G:$G,'Industrial Summary'!$F:$F,I$17,'Industrial Summary'!$D:$D,$E244,'Industrial Summary'!$A:$A,"COA")/SUMIFS('Industrial Summary'!$G:$G,'Industrial Summary'!$F:$F,I$17,'Industrial Summary'!$D:$D,$E244)),0)*0.98</f>
        <v>-2.9977876421135127E-2</v>
      </c>
      <c r="J244" s="6">
        <f>IF(SUMIFS('Industrial Summary'!$G:$G,'Industrial Summary'!$F:$F,J$17,'Industrial Summary'!$D:$D,$E244)&gt;0,(-SUMIFS('Industrial Summary'!$G:$G,'Industrial Summary'!$F:$F,J$17,'Industrial Summary'!$D:$D,$E244,'Industrial Summary'!$A:$A,"COA")/SUMIFS('Industrial Summary'!$G:$G,'Industrial Summary'!$F:$F,J$17,'Industrial Summary'!$D:$D,$E244)),0)*0.98</f>
        <v>-9.5641075206169809E-2</v>
      </c>
      <c r="K244" s="6">
        <f>IF(SUMIFS('Industrial Summary'!$G:$G,'Industrial Summary'!$F:$F,K$17,'Industrial Summary'!$D:$D,$E244)&gt;0,(-SUMIFS('Industrial Summary'!$G:$G,'Industrial Summary'!$F:$F,K$17,'Industrial Summary'!$D:$D,$E244,'Industrial Summary'!$A:$A,"COA")/SUMIFS('Industrial Summary'!$G:$G,'Industrial Summary'!$F:$F,K$17,'Industrial Summary'!$D:$D,$E244)),0)*0.98</f>
        <v>-9.5737944965479119E-2</v>
      </c>
      <c r="L244" s="6">
        <f>IF(SUMIFS('Industrial Summary'!$G:$G,'Industrial Summary'!$F:$F,L$17,'Industrial Summary'!$D:$D,$E244)&gt;0,(-SUMIFS('Industrial Summary'!$G:$G,'Industrial Summary'!$F:$F,L$17,'Industrial Summary'!$D:$D,$E244,'Industrial Summary'!$A:$A,"COA")/SUMIFS('Industrial Summary'!$G:$G,'Industrial Summary'!$F:$F,L$17,'Industrial Summary'!$D:$D,$E244)),0)*0.98</f>
        <v>-3.6587765524713073E-2</v>
      </c>
      <c r="M244" s="6">
        <f>IF(SUMIFS('Industrial Summary'!$G:$G,'Industrial Summary'!$F:$F,M$17,'Industrial Summary'!$D:$D,$E244)&gt;0,(-SUMIFS('Industrial Summary'!$G:$G,'Industrial Summary'!$F:$F,M$17,'Industrial Summary'!$D:$D,$E244,'Industrial Summary'!$A:$A,"COA")/SUMIFS('Industrial Summary'!$G:$G,'Industrial Summary'!$F:$F,M$17,'Industrial Summary'!$D:$D,$E244)),0)*0.98</f>
        <v>-3.6587765524714454E-2</v>
      </c>
      <c r="N244" s="6">
        <f>IF(SUMIFS('Industrial Summary'!$G:$G,'Industrial Summary'!$F:$F,N$17,'Industrial Summary'!$D:$D,$E244)&gt;0,(-SUMIFS('Industrial Summary'!$G:$G,'Industrial Summary'!$F:$F,N$17,'Industrial Summary'!$D:$D,$E244,'Industrial Summary'!$A:$A,"COA")/SUMIFS('Industrial Summary'!$G:$G,'Industrial Summary'!$F:$F,N$17,'Industrial Summary'!$D:$D,$E244)),0)*0.98</f>
        <v>-3.6823679227621829E-2</v>
      </c>
      <c r="O244" s="6">
        <f>IF(SUMIFS('Industrial Summary'!$G:$G,'Industrial Summary'!$F:$F,O$17,'Industrial Summary'!$D:$D,$E244)&gt;0,(-SUMIFS('Industrial Summary'!$G:$G,'Industrial Summary'!$F:$F,O$17,'Industrial Summary'!$D:$D,$E244,'Industrial Summary'!$A:$A,"COA")/SUMIFS('Industrial Summary'!$G:$G,'Industrial Summary'!$F:$F,O$17,'Industrial Summary'!$D:$D,$E244)),0)*0.98</f>
        <v>0</v>
      </c>
      <c r="P244" s="6">
        <f>IF(SUMIFS('Industrial Summary'!$G:$G,'Industrial Summary'!$F:$F,P$17,'Industrial Summary'!$D:$D,$E244)&gt;0,(-SUMIFS('Industrial Summary'!$G:$G,'Industrial Summary'!$F:$F,P$17,'Industrial Summary'!$D:$D,$E244,'Industrial Summary'!$A:$A,"COA")/SUMIFS('Industrial Summary'!$G:$G,'Industrial Summary'!$F:$F,P$17,'Industrial Summary'!$D:$D,$E244)),0)*0.98</f>
        <v>0</v>
      </c>
      <c r="Q244" s="5">
        <v>0</v>
      </c>
      <c r="R244" s="5">
        <v>15</v>
      </c>
      <c r="S244" s="5" t="str">
        <f t="shared" si="48"/>
        <v>UC_IMSFA_COA</v>
      </c>
      <c r="V244" s="4" t="str">
        <f t="shared" si="49"/>
        <v>S_IMSFACOA</v>
      </c>
      <c r="W244" s="4" t="str">
        <f t="shared" si="50"/>
        <v>IMSFA_COA</v>
      </c>
      <c r="X244" s="4" t="str">
        <f t="shared" si="51"/>
        <v>IMSFAC</v>
      </c>
      <c r="Y244" s="5" t="str">
        <f t="shared" si="52"/>
        <v>UP</v>
      </c>
      <c r="Z244" s="5">
        <v>1</v>
      </c>
      <c r="AA244" s="6">
        <f t="shared" si="53"/>
        <v>-2.8798064396991823E-2</v>
      </c>
      <c r="AB244" s="6">
        <f t="shared" si="54"/>
        <v>-2.9078540128501074E-2</v>
      </c>
      <c r="AC244" s="6">
        <f t="shared" si="55"/>
        <v>-9.2771842949984709E-2</v>
      </c>
      <c r="AD244" s="6">
        <f t="shared" si="56"/>
        <v>-9.2865806616514737E-2</v>
      </c>
      <c r="AE244" s="6">
        <f t="shared" si="57"/>
        <v>-3.5490132558971682E-2</v>
      </c>
      <c r="AF244" s="6">
        <f t="shared" si="58"/>
        <v>-3.5490132558973021E-2</v>
      </c>
      <c r="AG244" s="6">
        <f t="shared" si="59"/>
        <v>-3.5718968850793176E-2</v>
      </c>
      <c r="AH244" s="6">
        <f t="shared" si="60"/>
        <v>0</v>
      </c>
      <c r="AI244" s="6">
        <f t="shared" si="61"/>
        <v>0</v>
      </c>
      <c r="AL244" s="5" t="str">
        <f t="shared" si="62"/>
        <v>COA</v>
      </c>
      <c r="AM244" s="5">
        <f>Z9</f>
        <v>0.97</v>
      </c>
    </row>
    <row r="245" spans="1:39" s="5" customFormat="1" x14ac:dyDescent="0.3">
      <c r="C245" s="4" t="s">
        <v>502</v>
      </c>
      <c r="D245" s="5" t="s">
        <v>503</v>
      </c>
      <c r="E245" s="5" t="s">
        <v>764</v>
      </c>
      <c r="F245" s="5" t="s">
        <v>1588</v>
      </c>
      <c r="G245" s="5">
        <v>1</v>
      </c>
      <c r="H245" s="6">
        <f>(IF(SUMIFS('Industrial Summary'!$G:$G,'Industrial Summary'!$F:$F,H$17,'Industrial Summary'!$D:$D,$E245)&gt;0,((-SUMIFS('Industrial Summary'!$G:$G,'Industrial Summary'!$F:$F,H$17,'Industrial Summary'!$D:$D,$E245,'Industrial Summary'!$A:$A,"ELC")+-SUMIFS('Industrial Summary'!$G:$G,'Industrial Summary'!$F:$F,H$17,'Industrial Summary'!$D:$D,"IMSRSTM",'Industrial Summary'!$A:$A,"ELC"))/SUMIFS('Industrial Summary'!$G:$G,'Industrial Summary'!$F:$F,H$17,'Industrial Summary'!$D:$D,$E245)),0))*0.98</f>
        <v>-8.1824846816669558E-2</v>
      </c>
      <c r="I245" s="6">
        <f>(IF(SUMIFS('Industrial Summary'!$G:$G,'Industrial Summary'!$F:$F,I$17,'Industrial Summary'!$D:$D,$E245)&gt;0,((-SUMIFS('Industrial Summary'!$G:$G,'Industrial Summary'!$F:$F,I$17,'Industrial Summary'!$D:$D,$E245,'Industrial Summary'!$A:$A,"ELC")+-SUMIFS('Industrial Summary'!$G:$G,'Industrial Summary'!$F:$F,I$17,'Industrial Summary'!$D:$D,"IMSRSTM",'Industrial Summary'!$A:$A,"ELC"))/SUMIFS('Industrial Summary'!$G:$G,'Industrial Summary'!$F:$F,I$17,'Industrial Summary'!$D:$D,$E245)),0))*0.98</f>
        <v>-8.2621771340838479E-2</v>
      </c>
      <c r="J245" s="6">
        <f>(IF(SUMIFS('Industrial Summary'!$G:$G,'Industrial Summary'!$F:$F,J$17,'Industrial Summary'!$D:$D,$E245)&gt;0,((-SUMIFS('Industrial Summary'!$G:$G,'Industrial Summary'!$F:$F,J$17,'Industrial Summary'!$D:$D,$E245,'Industrial Summary'!$A:$A,"ELC")+-SUMIFS('Industrial Summary'!$G:$G,'Industrial Summary'!$F:$F,J$17,'Industrial Summary'!$D:$D,"IMSRSTM",'Industrial Summary'!$A:$A,"ELC"))/SUMIFS('Industrial Summary'!$G:$G,'Industrial Summary'!$F:$F,J$17,'Industrial Summary'!$D:$D,$E245)),0))*0.98</f>
        <v>-1.7452350099485855E-2</v>
      </c>
      <c r="K245" s="6">
        <f>(IF(SUMIFS('Industrial Summary'!$G:$G,'Industrial Summary'!$F:$F,K$17,'Industrial Summary'!$D:$D,$E245)&gt;0,((-SUMIFS('Industrial Summary'!$G:$G,'Industrial Summary'!$F:$F,K$17,'Industrial Summary'!$D:$D,$E245,'Industrial Summary'!$A:$A,"ELC")+-SUMIFS('Industrial Summary'!$G:$G,'Industrial Summary'!$F:$F,K$17,'Industrial Summary'!$D:$D,"IMSRSTM",'Industrial Summary'!$A:$A,"ELC"))/SUMIFS('Industrial Summary'!$G:$G,'Industrial Summary'!$F:$F,K$17,'Industrial Summary'!$D:$D,$E245)),0))*0.98</f>
        <v>-1.7470026656863303E-2</v>
      </c>
      <c r="L245" s="6">
        <f>(IF(SUMIFS('Industrial Summary'!$G:$G,'Industrial Summary'!$F:$F,L$17,'Industrial Summary'!$D:$D,$E245)&gt;0,((-SUMIFS('Industrial Summary'!$G:$G,'Industrial Summary'!$F:$F,L$17,'Industrial Summary'!$D:$D,$E245,'Industrial Summary'!$A:$A,"ELC")+-SUMIFS('Industrial Summary'!$G:$G,'Industrial Summary'!$F:$F,L$17,'Industrial Summary'!$D:$D,"IMSRSTM",'Industrial Summary'!$A:$A,"ELC"))/SUMIFS('Industrial Summary'!$G:$G,'Industrial Summary'!$F:$F,L$17,'Industrial Summary'!$D:$D,$E245)),0))*0.98</f>
        <v>-0.11131811146604471</v>
      </c>
      <c r="M245" s="6">
        <f>(IF(SUMIFS('Industrial Summary'!$G:$G,'Industrial Summary'!$F:$F,M$17,'Industrial Summary'!$D:$D,$E245)&gt;0,((-SUMIFS('Industrial Summary'!$G:$G,'Industrial Summary'!$F:$F,M$17,'Industrial Summary'!$D:$D,$E245,'Industrial Summary'!$A:$A,"ELC")+-SUMIFS('Industrial Summary'!$G:$G,'Industrial Summary'!$F:$F,M$17,'Industrial Summary'!$D:$D,"IMSRSTM",'Industrial Summary'!$A:$A,"ELC"))/SUMIFS('Industrial Summary'!$G:$G,'Industrial Summary'!$F:$F,M$17,'Industrial Summary'!$D:$D,$E245)),0))*0.98</f>
        <v>-0.11131811146604778</v>
      </c>
      <c r="N245" s="6">
        <f>(IF(SUMIFS('Industrial Summary'!$G:$G,'Industrial Summary'!$F:$F,N$17,'Industrial Summary'!$D:$D,$E245)&gt;0,((-SUMIFS('Industrial Summary'!$G:$G,'Industrial Summary'!$F:$F,N$17,'Industrial Summary'!$D:$D,$E245,'Industrial Summary'!$A:$A,"ELC")+-SUMIFS('Industrial Summary'!$G:$G,'Industrial Summary'!$F:$F,N$17,'Industrial Summary'!$D:$D,"IMSRSTM",'Industrial Summary'!$A:$A,"ELC"))/SUMIFS('Industrial Summary'!$G:$G,'Industrial Summary'!$F:$F,N$17,'Industrial Summary'!$D:$D,$E245)),0))*0.98</f>
        <v>-0.11203587784232533</v>
      </c>
      <c r="O245" s="6">
        <f>(IF(SUMIFS('Industrial Summary'!$G:$G,'Industrial Summary'!$F:$F,O$17,'Industrial Summary'!$D:$D,$E245)&gt;0,((-SUMIFS('Industrial Summary'!$G:$G,'Industrial Summary'!$F:$F,O$17,'Industrial Summary'!$D:$D,$E245,'Industrial Summary'!$A:$A,"ELC")+-SUMIFS('Industrial Summary'!$G:$G,'Industrial Summary'!$F:$F,O$17,'Industrial Summary'!$D:$D,"IMSRSTM",'Industrial Summary'!$A:$A,"ELC"))/SUMIFS('Industrial Summary'!$G:$G,'Industrial Summary'!$F:$F,O$17,'Industrial Summary'!$D:$D,$E245)),0))*0.98</f>
        <v>-0.23693077850749564</v>
      </c>
      <c r="P245" s="6">
        <f>(IF(SUMIFS('Industrial Summary'!$G:$G,'Industrial Summary'!$F:$F,P$17,'Industrial Summary'!$D:$D,$E245)&gt;0,((-SUMIFS('Industrial Summary'!$G:$G,'Industrial Summary'!$F:$F,P$17,'Industrial Summary'!$D:$D,$E245,'Industrial Summary'!$A:$A,"ELC")+-SUMIFS('Industrial Summary'!$G:$G,'Industrial Summary'!$F:$F,P$17,'Industrial Summary'!$D:$D,"IMSRSTM",'Industrial Summary'!$A:$A,"ELC"))/SUMIFS('Industrial Summary'!$G:$G,'Industrial Summary'!$F:$F,P$17,'Industrial Summary'!$D:$D,$E245)),0))*0.98</f>
        <v>-0.23693077850754291</v>
      </c>
      <c r="Q245" s="5">
        <v>0</v>
      </c>
      <c r="R245" s="5">
        <v>15</v>
      </c>
      <c r="S245" s="5" t="str">
        <f t="shared" si="48"/>
        <v>UC_IMSOH_ELC</v>
      </c>
      <c r="V245" s="4" t="str">
        <f t="shared" si="49"/>
        <v>S_IMSOHELC</v>
      </c>
      <c r="W245" s="4" t="str">
        <f t="shared" si="50"/>
        <v>IMSOH_ELC</v>
      </c>
      <c r="X245" s="4" t="str">
        <f t="shared" si="51"/>
        <v>IMSOHT</v>
      </c>
      <c r="Y245" s="5" t="str">
        <f t="shared" si="52"/>
        <v>LO</v>
      </c>
      <c r="Z245" s="5">
        <v>1</v>
      </c>
      <c r="AA245" s="6">
        <f t="shared" si="53"/>
        <v>-8.1824846816669558E-2</v>
      </c>
      <c r="AB245" s="6">
        <f t="shared" si="54"/>
        <v>-8.2621771340838479E-2</v>
      </c>
      <c r="AC245" s="6">
        <f t="shared" si="55"/>
        <v>-1.7452350099485855E-2</v>
      </c>
      <c r="AD245" s="6">
        <f t="shared" si="56"/>
        <v>-1.7470026656863303E-2</v>
      </c>
      <c r="AE245" s="6">
        <f t="shared" si="57"/>
        <v>-0.11131811146604471</v>
      </c>
      <c r="AF245" s="6">
        <f t="shared" si="58"/>
        <v>-0.11131811146604778</v>
      </c>
      <c r="AG245" s="6">
        <f t="shared" si="59"/>
        <v>-0.11203587784232533</v>
      </c>
      <c r="AH245" s="6">
        <f t="shared" si="60"/>
        <v>-0.23693077850749564</v>
      </c>
      <c r="AI245" s="6">
        <f t="shared" si="61"/>
        <v>-0.23693077850754291</v>
      </c>
      <c r="AL245" s="5" t="str">
        <f t="shared" si="62"/>
        <v>ELC</v>
      </c>
      <c r="AM245" s="5">
        <f>1</f>
        <v>1</v>
      </c>
    </row>
    <row r="246" spans="1:39" s="5" customFormat="1" x14ac:dyDescent="0.3">
      <c r="C246" s="4" t="s">
        <v>504</v>
      </c>
      <c r="D246" s="5" t="s">
        <v>505</v>
      </c>
      <c r="E246" s="5" t="s">
        <v>764</v>
      </c>
      <c r="F246" s="5" t="s">
        <v>1588</v>
      </c>
      <c r="G246" s="5">
        <v>1</v>
      </c>
      <c r="H246" s="6">
        <f>(IF(SUMIFS('Industrial Summary'!$G:$G,'Industrial Summary'!$F:$F,H$17,'Industrial Summary'!$D:$D,$E246)&gt;0,((-SUMIFS('Industrial Summary'!$G:$G,'Industrial Summary'!$F:$F,H$17,'Industrial Summary'!$D:$D,$E246,'Industrial Summary'!$A:$A,"RFL")+-SUMIFS('Industrial Summary'!$G:$G,'Industrial Summary'!$F:$F,H$17,'Industrial Summary'!$D:$D,"IMSRSTM",'Industrial Summary'!$A:$A,"RFL"))/SUMIFS('Industrial Summary'!$G:$G,'Industrial Summary'!$F:$F,H$17,'Industrial Summary'!$D:$D,$E246)),0))*0.98</f>
        <v>-0.89817515318333041</v>
      </c>
      <c r="I246" s="6">
        <f>(IF(SUMIFS('Industrial Summary'!$G:$G,'Industrial Summary'!$F:$F,I$17,'Industrial Summary'!$D:$D,$E246)&gt;0,((-SUMIFS('Industrial Summary'!$G:$G,'Industrial Summary'!$F:$F,I$17,'Industrial Summary'!$D:$D,$E246,'Industrial Summary'!$A:$A,"RFL")+-SUMIFS('Industrial Summary'!$G:$G,'Industrial Summary'!$F:$F,I$17,'Industrial Summary'!$D:$D,"IMSRSTM",'Industrial Summary'!$A:$A,"RFL"))/SUMIFS('Industrial Summary'!$G:$G,'Industrial Summary'!$F:$F,I$17,'Industrial Summary'!$D:$D,$E246)),0))*0.98</f>
        <v>-0.89737822865916139</v>
      </c>
      <c r="J246" s="6">
        <f>(IF(SUMIFS('Industrial Summary'!$G:$G,'Industrial Summary'!$F:$F,J$17,'Industrial Summary'!$D:$D,$E246)&gt;0,((-SUMIFS('Industrial Summary'!$G:$G,'Industrial Summary'!$F:$F,J$17,'Industrial Summary'!$D:$D,$E246,'Industrial Summary'!$A:$A,"RFL")+-SUMIFS('Industrial Summary'!$G:$G,'Industrial Summary'!$F:$F,J$17,'Industrial Summary'!$D:$D,"IMSRSTM",'Industrial Summary'!$A:$A,"RFL"))/SUMIFS('Industrial Summary'!$G:$G,'Industrial Summary'!$F:$F,J$17,'Industrial Summary'!$D:$D,$E246)),0))*0.98</f>
        <v>-0.15019505522102233</v>
      </c>
      <c r="K246" s="6">
        <f>(IF(SUMIFS('Industrial Summary'!$G:$G,'Industrial Summary'!$F:$F,K$17,'Industrial Summary'!$D:$D,$E246)&gt;0,((-SUMIFS('Industrial Summary'!$G:$G,'Industrial Summary'!$F:$F,K$17,'Industrial Summary'!$D:$D,$E246,'Industrial Summary'!$A:$A,"RFL")+-SUMIFS('Industrial Summary'!$G:$G,'Industrial Summary'!$F:$F,K$17,'Industrial Summary'!$D:$D,"IMSRSTM",'Industrial Summary'!$A:$A,"RFL"))/SUMIFS('Industrial Summary'!$G:$G,'Industrial Summary'!$F:$F,K$17,'Industrial Summary'!$D:$D,$E246)),0))*0.98</f>
        <v>-0.15243070715057522</v>
      </c>
      <c r="L246" s="6">
        <f>(IF(SUMIFS('Industrial Summary'!$G:$G,'Industrial Summary'!$F:$F,L$17,'Industrial Summary'!$D:$D,$E246)&gt;0,((-SUMIFS('Industrial Summary'!$G:$G,'Industrial Summary'!$F:$F,L$17,'Industrial Summary'!$D:$D,$E246,'Industrial Summary'!$A:$A,"RFL")+-SUMIFS('Industrial Summary'!$G:$G,'Industrial Summary'!$F:$F,L$17,'Industrial Summary'!$D:$D,"IMSRSTM",'Industrial Summary'!$A:$A,"RFL"))/SUMIFS('Industrial Summary'!$G:$G,'Industrial Summary'!$F:$F,L$17,'Industrial Summary'!$D:$D,$E246)),0))*0.98</f>
        <v>-0.43364268348069768</v>
      </c>
      <c r="M246" s="6">
        <f>(IF(SUMIFS('Industrial Summary'!$G:$G,'Industrial Summary'!$F:$F,M$17,'Industrial Summary'!$D:$D,$E246)&gt;0,((-SUMIFS('Industrial Summary'!$G:$G,'Industrial Summary'!$F:$F,M$17,'Industrial Summary'!$D:$D,$E246,'Industrial Summary'!$A:$A,"RFL")+-SUMIFS('Industrial Summary'!$G:$G,'Industrial Summary'!$F:$F,M$17,'Industrial Summary'!$D:$D,"IMSRSTM",'Industrial Summary'!$A:$A,"RFL"))/SUMIFS('Industrial Summary'!$G:$G,'Industrial Summary'!$F:$F,M$17,'Industrial Summary'!$D:$D,$E246)),0))*0.98</f>
        <v>-0.43364268348071089</v>
      </c>
      <c r="N246" s="6">
        <f>(IF(SUMIFS('Industrial Summary'!$G:$G,'Industrial Summary'!$F:$F,N$17,'Industrial Summary'!$D:$D,$E246)&gt;0,((-SUMIFS('Industrial Summary'!$G:$G,'Industrial Summary'!$F:$F,N$17,'Industrial Summary'!$D:$D,$E246,'Industrial Summary'!$A:$A,"RFL")+-SUMIFS('Industrial Summary'!$G:$G,'Industrial Summary'!$F:$F,N$17,'Industrial Summary'!$D:$D,"IMSRSTM",'Industrial Summary'!$A:$A,"RFL"))/SUMIFS('Industrial Summary'!$G:$G,'Industrial Summary'!$F:$F,N$17,'Industrial Summary'!$D:$D,$E246)),0))*0.98</f>
        <v>-0.43643876161590223</v>
      </c>
      <c r="O246" s="6">
        <f>(IF(SUMIFS('Industrial Summary'!$G:$G,'Industrial Summary'!$F:$F,O$17,'Industrial Summary'!$D:$D,$E246)&gt;0,((-SUMIFS('Industrial Summary'!$G:$G,'Industrial Summary'!$F:$F,O$17,'Industrial Summary'!$D:$D,$E246,'Industrial Summary'!$A:$A,"RFL")+-SUMIFS('Industrial Summary'!$G:$G,'Industrial Summary'!$F:$F,O$17,'Industrial Summary'!$D:$D,"IMSRSTM",'Industrial Summary'!$A:$A,"RFL"))/SUMIFS('Industrial Summary'!$G:$G,'Industrial Summary'!$F:$F,O$17,'Industrial Summary'!$D:$D,$E246)),0))*0.98</f>
        <v>-0.74306922149250432</v>
      </c>
      <c r="P246" s="6">
        <f>(IF(SUMIFS('Industrial Summary'!$G:$G,'Industrial Summary'!$F:$F,P$17,'Industrial Summary'!$D:$D,$E246)&gt;0,((-SUMIFS('Industrial Summary'!$G:$G,'Industrial Summary'!$F:$F,P$17,'Industrial Summary'!$D:$D,$E246,'Industrial Summary'!$A:$A,"RFL")+-SUMIFS('Industrial Summary'!$G:$G,'Industrial Summary'!$F:$F,P$17,'Industrial Summary'!$D:$D,"IMSRSTM",'Industrial Summary'!$A:$A,"RFL"))/SUMIFS('Industrial Summary'!$G:$G,'Industrial Summary'!$F:$F,P$17,'Industrial Summary'!$D:$D,$E246)),0))*0.98</f>
        <v>-0.74306922149245702</v>
      </c>
      <c r="Q246" s="5">
        <v>0</v>
      </c>
      <c r="R246" s="5">
        <v>15</v>
      </c>
      <c r="S246" s="5" t="str">
        <f t="shared" si="48"/>
        <v>UC_IMSOH_RFL</v>
      </c>
      <c r="V246" s="4" t="str">
        <f t="shared" si="49"/>
        <v>S_IMSOHRFL</v>
      </c>
      <c r="W246" s="4" t="str">
        <f t="shared" si="50"/>
        <v>IMSOH_RFL</v>
      </c>
      <c r="X246" s="4" t="str">
        <f t="shared" si="51"/>
        <v>IMSOHT</v>
      </c>
      <c r="Y246" s="5" t="str">
        <f t="shared" si="52"/>
        <v>LO</v>
      </c>
      <c r="Z246" s="5">
        <v>1</v>
      </c>
      <c r="AA246" s="6">
        <f t="shared" si="53"/>
        <v>-0.89817515318333041</v>
      </c>
      <c r="AB246" s="6">
        <f t="shared" si="54"/>
        <v>-0.89737822865916139</v>
      </c>
      <c r="AC246" s="6">
        <f t="shared" si="55"/>
        <v>-0.15019505522102233</v>
      </c>
      <c r="AD246" s="6">
        <f t="shared" si="56"/>
        <v>-0.15243070715057522</v>
      </c>
      <c r="AE246" s="6">
        <f t="shared" si="57"/>
        <v>-0.43364268348069768</v>
      </c>
      <c r="AF246" s="6">
        <f t="shared" si="58"/>
        <v>-0.43364268348071089</v>
      </c>
      <c r="AG246" s="6">
        <f t="shared" si="59"/>
        <v>-0.43643876161590223</v>
      </c>
      <c r="AH246" s="6">
        <f t="shared" si="60"/>
        <v>-0.74306922149250432</v>
      </c>
      <c r="AI246" s="6">
        <f t="shared" si="61"/>
        <v>-0.74306922149245702</v>
      </c>
      <c r="AL246" s="5" t="str">
        <f t="shared" si="62"/>
        <v>RFL</v>
      </c>
      <c r="AM246" s="5">
        <f>1</f>
        <v>1</v>
      </c>
    </row>
    <row r="247" spans="1:39" s="5" customFormat="1" x14ac:dyDescent="0.3">
      <c r="C247" s="4" t="s">
        <v>506</v>
      </c>
      <c r="D247" s="5" t="s">
        <v>507</v>
      </c>
      <c r="E247" s="5" t="s">
        <v>764</v>
      </c>
      <c r="F247" s="5" t="s">
        <v>1588</v>
      </c>
      <c r="G247" s="5">
        <v>1</v>
      </c>
      <c r="H247" s="6">
        <f>(IF(SUMIFS('Industrial Summary'!$G:$G,'Industrial Summary'!$F:$F,H$17,'Industrial Summary'!$D:$D,$E247)&gt;0,((-SUMIFS('Industrial Summary'!$G:$G,'Industrial Summary'!$F:$F,H$17,'Industrial Summary'!$D:$D,$E247,'Industrial Summary'!$A:$A,"BIO")+-SUMIFS('Industrial Summary'!$G:$G,'Industrial Summary'!$F:$F,H$17,'Industrial Summary'!$D:$D,"IMSRSTM",'Industrial Summary'!$A:$A,"BIO"))/SUMIFS('Industrial Summary'!$G:$G,'Industrial Summary'!$F:$F,H$17,'Industrial Summary'!$D:$D,$E247)),0))*0.98</f>
        <v>0</v>
      </c>
      <c r="I247" s="6">
        <f>(IF(SUMIFS('Industrial Summary'!$G:$G,'Industrial Summary'!$F:$F,I$17,'Industrial Summary'!$D:$D,$E247)&gt;0,((-SUMIFS('Industrial Summary'!$G:$G,'Industrial Summary'!$F:$F,I$17,'Industrial Summary'!$D:$D,$E247,'Industrial Summary'!$A:$A,"BIO")+-SUMIFS('Industrial Summary'!$G:$G,'Industrial Summary'!$F:$F,I$17,'Industrial Summary'!$D:$D,"IMSRSTM",'Industrial Summary'!$A:$A,"BIO"))/SUMIFS('Industrial Summary'!$G:$G,'Industrial Summary'!$F:$F,I$17,'Industrial Summary'!$D:$D,$E247)),0))*0.98</f>
        <v>0</v>
      </c>
      <c r="J247" s="6">
        <f>(IF(SUMIFS('Industrial Summary'!$G:$G,'Industrial Summary'!$F:$F,J$17,'Industrial Summary'!$D:$D,$E247)&gt;0,((-SUMIFS('Industrial Summary'!$G:$G,'Industrial Summary'!$F:$F,J$17,'Industrial Summary'!$D:$D,$E247,'Industrial Summary'!$A:$A,"BIO")+-SUMIFS('Industrial Summary'!$G:$G,'Industrial Summary'!$F:$F,J$17,'Industrial Summary'!$D:$D,"IMSRSTM",'Industrial Summary'!$A:$A,"BIO"))/SUMIFS('Industrial Summary'!$G:$G,'Industrial Summary'!$F:$F,J$17,'Industrial Summary'!$D:$D,$E247)),0))*0.98</f>
        <v>-6.8901022537002782E-2</v>
      </c>
      <c r="K247" s="6">
        <f>(IF(SUMIFS('Industrial Summary'!$G:$G,'Industrial Summary'!$F:$F,K$17,'Industrial Summary'!$D:$D,$E247)&gt;0,((-SUMIFS('Industrial Summary'!$G:$G,'Industrial Summary'!$F:$F,K$17,'Industrial Summary'!$D:$D,$E247,'Industrial Summary'!$A:$A,"BIO")+-SUMIFS('Industrial Summary'!$G:$G,'Industrial Summary'!$F:$F,K$17,'Industrial Summary'!$D:$D,"IMSRSTM",'Industrial Summary'!$A:$A,"BIO"))/SUMIFS('Industrial Summary'!$G:$G,'Industrial Summary'!$F:$F,K$17,'Industrial Summary'!$D:$D,$E247)),0))*0.98</f>
        <v>-6.8970808718880769E-2</v>
      </c>
      <c r="L247" s="6">
        <f>(IF(SUMIFS('Industrial Summary'!$G:$G,'Industrial Summary'!$F:$F,L$17,'Industrial Summary'!$D:$D,$E247)&gt;0,((-SUMIFS('Industrial Summary'!$G:$G,'Industrial Summary'!$F:$F,L$17,'Industrial Summary'!$D:$D,$E247,'Industrial Summary'!$A:$A,"BIO")+-SUMIFS('Industrial Summary'!$G:$G,'Industrial Summary'!$F:$F,L$17,'Industrial Summary'!$D:$D,"IMSRSTM",'Industrial Summary'!$A:$A,"BIO"))/SUMIFS('Industrial Summary'!$G:$G,'Industrial Summary'!$F:$F,L$17,'Industrial Summary'!$D:$D,$E247)),0))*0.98</f>
        <v>-3.689856629765368E-2</v>
      </c>
      <c r="M247" s="6">
        <f>(IF(SUMIFS('Industrial Summary'!$G:$G,'Industrial Summary'!$F:$F,M$17,'Industrial Summary'!$D:$D,$E247)&gt;0,((-SUMIFS('Industrial Summary'!$G:$G,'Industrial Summary'!$F:$F,M$17,'Industrial Summary'!$D:$D,$E247,'Industrial Summary'!$A:$A,"BIO")+-SUMIFS('Industrial Summary'!$G:$G,'Industrial Summary'!$F:$F,M$17,'Industrial Summary'!$D:$D,"IMSRSTM",'Industrial Summary'!$A:$A,"BIO"))/SUMIFS('Industrial Summary'!$G:$G,'Industrial Summary'!$F:$F,M$17,'Industrial Summary'!$D:$D,$E247)),0))*0.98</f>
        <v>-3.6898566297654763E-2</v>
      </c>
      <c r="N247" s="6">
        <f>(IF(SUMIFS('Industrial Summary'!$G:$G,'Industrial Summary'!$F:$F,N$17,'Industrial Summary'!$D:$D,$E247)&gt;0,((-SUMIFS('Industrial Summary'!$G:$G,'Industrial Summary'!$F:$F,N$17,'Industrial Summary'!$D:$D,$E247,'Industrial Summary'!$A:$A,"BIO")+-SUMIFS('Industrial Summary'!$G:$G,'Industrial Summary'!$F:$F,N$17,'Industrial Summary'!$D:$D,"IMSRSTM",'Industrial Summary'!$A:$A,"BIO"))/SUMIFS('Industrial Summary'!$G:$G,'Industrial Summary'!$F:$F,N$17,'Industrial Summary'!$D:$D,$E247)),0))*0.98</f>
        <v>-3.7136484008191646E-2</v>
      </c>
      <c r="O247" s="6">
        <f>(IF(SUMIFS('Industrial Summary'!$G:$G,'Industrial Summary'!$F:$F,O$17,'Industrial Summary'!$D:$D,$E247)&gt;0,((-SUMIFS('Industrial Summary'!$G:$G,'Industrial Summary'!$F:$F,O$17,'Industrial Summary'!$D:$D,$E247,'Industrial Summary'!$A:$A,"BIO")+-SUMIFS('Industrial Summary'!$G:$G,'Industrial Summary'!$F:$F,O$17,'Industrial Summary'!$D:$D,"IMSRSTM",'Industrial Summary'!$A:$A,"BIO"))/SUMIFS('Industrial Summary'!$G:$G,'Industrial Summary'!$F:$F,O$17,'Industrial Summary'!$D:$D,$E247)),0))*0.98</f>
        <v>0</v>
      </c>
      <c r="P247" s="6">
        <f>(IF(SUMIFS('Industrial Summary'!$G:$G,'Industrial Summary'!$F:$F,P$17,'Industrial Summary'!$D:$D,$E247)&gt;0,((-SUMIFS('Industrial Summary'!$G:$G,'Industrial Summary'!$F:$F,P$17,'Industrial Summary'!$D:$D,$E247,'Industrial Summary'!$A:$A,"BIO")+-SUMIFS('Industrial Summary'!$G:$G,'Industrial Summary'!$F:$F,P$17,'Industrial Summary'!$D:$D,"IMSRSTM",'Industrial Summary'!$A:$A,"BIO"))/SUMIFS('Industrial Summary'!$G:$G,'Industrial Summary'!$F:$F,P$17,'Industrial Summary'!$D:$D,$E247)),0))*0.98</f>
        <v>0</v>
      </c>
      <c r="Q247" s="5">
        <v>0</v>
      </c>
      <c r="R247" s="5">
        <v>15</v>
      </c>
      <c r="S247" s="5" t="str">
        <f t="shared" si="48"/>
        <v>UC_IMSOH_BIO</v>
      </c>
      <c r="V247" s="4" t="str">
        <f t="shared" si="49"/>
        <v>S_IMSOHBIO</v>
      </c>
      <c r="W247" s="4" t="str">
        <f t="shared" si="50"/>
        <v>IMSOH_BIO</v>
      </c>
      <c r="X247" s="4" t="str">
        <f t="shared" si="51"/>
        <v>IMSOHT</v>
      </c>
      <c r="Y247" s="5" t="str">
        <f t="shared" si="52"/>
        <v>LO</v>
      </c>
      <c r="Z247" s="5">
        <v>1</v>
      </c>
      <c r="AA247" s="6">
        <f t="shared" si="53"/>
        <v>0</v>
      </c>
      <c r="AB247" s="6">
        <f t="shared" si="54"/>
        <v>0</v>
      </c>
      <c r="AC247" s="6">
        <f t="shared" si="55"/>
        <v>-6.8901022537002782E-2</v>
      </c>
      <c r="AD247" s="6">
        <f t="shared" si="56"/>
        <v>-6.8970808718880769E-2</v>
      </c>
      <c r="AE247" s="6">
        <f t="shared" si="57"/>
        <v>-3.689856629765368E-2</v>
      </c>
      <c r="AF247" s="6">
        <f t="shared" si="58"/>
        <v>-3.6898566297654763E-2</v>
      </c>
      <c r="AG247" s="6">
        <f t="shared" si="59"/>
        <v>-3.7136484008191646E-2</v>
      </c>
      <c r="AH247" s="6">
        <f t="shared" si="60"/>
        <v>0</v>
      </c>
      <c r="AI247" s="6">
        <f t="shared" si="61"/>
        <v>0</v>
      </c>
      <c r="AL247" s="5" t="str">
        <f t="shared" si="62"/>
        <v>BIO</v>
      </c>
      <c r="AM247" s="5">
        <f>1</f>
        <v>1</v>
      </c>
    </row>
    <row r="248" spans="1:39" s="5" customFormat="1" x14ac:dyDescent="0.3">
      <c r="A248" s="8"/>
      <c r="C248" s="4" t="s">
        <v>508</v>
      </c>
      <c r="D248" s="5" t="s">
        <v>509</v>
      </c>
      <c r="E248" s="5" t="s">
        <v>764</v>
      </c>
      <c r="F248" s="5" t="s">
        <v>1588</v>
      </c>
      <c r="G248" s="5">
        <v>1</v>
      </c>
      <c r="H248" s="6">
        <f>(IF(SUMIFS('Industrial Summary'!$G:$G,'Industrial Summary'!$F:$F,H$17,'Industrial Summary'!$D:$D,$E248)&gt;0,((-SUMIFS('Industrial Summary'!$G:$G,'Industrial Summary'!$F:$F,H$17,'Industrial Summary'!$D:$D,$E248,'Industrial Summary'!$A:$A,"PTC")+-SUMIFS('Industrial Summary'!$G:$G,'Industrial Summary'!$F:$F,H$17,'Industrial Summary'!$D:$D,"IMSRSTM",'Industrial Summary'!$A:$A,"PTC"))/SUMIFS('Industrial Summary'!$G:$G,'Industrial Summary'!$F:$F,H$17,'Industrial Summary'!$D:$D,$E248)),0))*0.98</f>
        <v>0</v>
      </c>
      <c r="I248" s="6">
        <f>(IF(SUMIFS('Industrial Summary'!$G:$G,'Industrial Summary'!$F:$F,I$17,'Industrial Summary'!$D:$D,$E248)&gt;0,((-SUMIFS('Industrial Summary'!$G:$G,'Industrial Summary'!$F:$F,I$17,'Industrial Summary'!$D:$D,$E248,'Industrial Summary'!$A:$A,"PTC")+-SUMIFS('Industrial Summary'!$G:$G,'Industrial Summary'!$F:$F,I$17,'Industrial Summary'!$D:$D,"IMSRSTM",'Industrial Summary'!$A:$A,"PTC"))/SUMIFS('Industrial Summary'!$G:$G,'Industrial Summary'!$F:$F,I$17,'Industrial Summary'!$D:$D,$E248)),0))*0.98</f>
        <v>0</v>
      </c>
      <c r="J248" s="6">
        <f>(IF(SUMIFS('Industrial Summary'!$G:$G,'Industrial Summary'!$F:$F,J$17,'Industrial Summary'!$D:$D,$E248)&gt;0,((-SUMIFS('Industrial Summary'!$G:$G,'Industrial Summary'!$F:$F,J$17,'Industrial Summary'!$D:$D,$E248,'Industrial Summary'!$A:$A,"PTC")+-SUMIFS('Industrial Summary'!$G:$G,'Industrial Summary'!$F:$F,J$17,'Industrial Summary'!$D:$D,"IMSRSTM",'Industrial Summary'!$A:$A,"PTC"))/SUMIFS('Industrial Summary'!$G:$G,'Industrial Summary'!$F:$F,J$17,'Industrial Summary'!$D:$D,$E248)),0))*0.98</f>
        <v>-0.74345157214248903</v>
      </c>
      <c r="K248" s="6">
        <f>(IF(SUMIFS('Industrial Summary'!$G:$G,'Industrial Summary'!$F:$F,K$17,'Industrial Summary'!$D:$D,$E248)&gt;0,((-SUMIFS('Industrial Summary'!$G:$G,'Industrial Summary'!$F:$F,K$17,'Industrial Summary'!$D:$D,$E248,'Industrial Summary'!$A:$A,"PTC")+-SUMIFS('Industrial Summary'!$G:$G,'Industrial Summary'!$F:$F,K$17,'Industrial Summary'!$D:$D,"IMSRSTM",'Industrial Summary'!$A:$A,"PTC"))/SUMIFS('Industrial Summary'!$G:$G,'Industrial Summary'!$F:$F,K$17,'Industrial Summary'!$D:$D,$E248)),0))*0.98</f>
        <v>-0.74112845747368061</v>
      </c>
      <c r="L248" s="6">
        <f>(IF(SUMIFS('Industrial Summary'!$G:$G,'Industrial Summary'!$F:$F,L$17,'Industrial Summary'!$D:$D,$E248)&gt;0,((-SUMIFS('Industrial Summary'!$G:$G,'Industrial Summary'!$F:$F,L$17,'Industrial Summary'!$D:$D,$E248,'Industrial Summary'!$A:$A,"PTC")+-SUMIFS('Industrial Summary'!$G:$G,'Industrial Summary'!$F:$F,L$17,'Industrial Summary'!$D:$D,"IMSRSTM",'Industrial Summary'!$A:$A,"PTC"))/SUMIFS('Industrial Summary'!$G:$G,'Industrial Summary'!$F:$F,L$17,'Industrial Summary'!$D:$D,$E248)),0))*0.98</f>
        <v>-0.39814063875560379</v>
      </c>
      <c r="M248" s="6">
        <f>(IF(SUMIFS('Industrial Summary'!$G:$G,'Industrial Summary'!$F:$F,M$17,'Industrial Summary'!$D:$D,$E248)&gt;0,((-SUMIFS('Industrial Summary'!$G:$G,'Industrial Summary'!$F:$F,M$17,'Industrial Summary'!$D:$D,$E248,'Industrial Summary'!$A:$A,"PTC")+-SUMIFS('Industrial Summary'!$G:$G,'Industrial Summary'!$F:$F,M$17,'Industrial Summary'!$D:$D,"IMSRSTM",'Industrial Summary'!$A:$A,"PTC"))/SUMIFS('Industrial Summary'!$G:$G,'Industrial Summary'!$F:$F,M$17,'Industrial Summary'!$D:$D,$E248)),0))*0.98</f>
        <v>-0.39814063875558647</v>
      </c>
      <c r="N248" s="6">
        <f>(IF(SUMIFS('Industrial Summary'!$G:$G,'Industrial Summary'!$F:$F,N$17,'Industrial Summary'!$D:$D,$E248)&gt;0,((-SUMIFS('Industrial Summary'!$G:$G,'Industrial Summary'!$F:$F,N$17,'Industrial Summary'!$D:$D,$E248,'Industrial Summary'!$A:$A,"PTC")+-SUMIFS('Industrial Summary'!$G:$G,'Industrial Summary'!$F:$F,N$17,'Industrial Summary'!$D:$D,"IMSRSTM",'Industrial Summary'!$A:$A,"PTC"))/SUMIFS('Industrial Summary'!$G:$G,'Industrial Summary'!$F:$F,N$17,'Industrial Summary'!$D:$D,$E248)),0))*0.98</f>
        <v>-0.39438887653358085</v>
      </c>
      <c r="O248" s="6">
        <f>(IF(SUMIFS('Industrial Summary'!$G:$G,'Industrial Summary'!$F:$F,O$17,'Industrial Summary'!$D:$D,$E248)&gt;0,((-SUMIFS('Industrial Summary'!$G:$G,'Industrial Summary'!$F:$F,O$17,'Industrial Summary'!$D:$D,$E248,'Industrial Summary'!$A:$A,"PTC")+-SUMIFS('Industrial Summary'!$G:$G,'Industrial Summary'!$F:$F,O$17,'Industrial Summary'!$D:$D,"IMSRSTM",'Industrial Summary'!$A:$A,"PTC"))/SUMIFS('Industrial Summary'!$G:$G,'Industrial Summary'!$F:$F,O$17,'Industrial Summary'!$D:$D,$E248)),0))*0.98</f>
        <v>0</v>
      </c>
      <c r="P248" s="6">
        <f>(IF(SUMIFS('Industrial Summary'!$G:$G,'Industrial Summary'!$F:$F,P$17,'Industrial Summary'!$D:$D,$E248)&gt;0,((-SUMIFS('Industrial Summary'!$G:$G,'Industrial Summary'!$F:$F,P$17,'Industrial Summary'!$D:$D,$E248,'Industrial Summary'!$A:$A,"PTC")+-SUMIFS('Industrial Summary'!$G:$G,'Industrial Summary'!$F:$F,P$17,'Industrial Summary'!$D:$D,"IMSRSTM",'Industrial Summary'!$A:$A,"PTC"))/SUMIFS('Industrial Summary'!$G:$G,'Industrial Summary'!$F:$F,P$17,'Industrial Summary'!$D:$D,$E248)),0))*0.98</f>
        <v>0</v>
      </c>
      <c r="Q248" s="5">
        <v>0</v>
      </c>
      <c r="R248" s="5">
        <v>15</v>
      </c>
      <c r="S248" s="5" t="str">
        <f t="shared" si="48"/>
        <v>UC_IMSOH_PTC</v>
      </c>
      <c r="V248" s="4" t="str">
        <f t="shared" si="49"/>
        <v>S_IMSOHPTC</v>
      </c>
      <c r="W248" s="4" t="str">
        <f t="shared" si="50"/>
        <v>IMSOH_PTC</v>
      </c>
      <c r="X248" s="4" t="str">
        <f t="shared" si="51"/>
        <v>IMSOHT</v>
      </c>
      <c r="Y248" s="5" t="str">
        <f t="shared" si="52"/>
        <v>LO</v>
      </c>
      <c r="Z248" s="5">
        <v>1</v>
      </c>
      <c r="AA248" s="6">
        <f t="shared" si="53"/>
        <v>0</v>
      </c>
      <c r="AB248" s="6">
        <f t="shared" si="54"/>
        <v>0</v>
      </c>
      <c r="AC248" s="6">
        <f t="shared" si="55"/>
        <v>-0.74345157214248903</v>
      </c>
      <c r="AD248" s="6">
        <f t="shared" si="56"/>
        <v>-0.74112845747368061</v>
      </c>
      <c r="AE248" s="6">
        <f t="shared" si="57"/>
        <v>-0.39814063875560379</v>
      </c>
      <c r="AF248" s="6">
        <f t="shared" si="58"/>
        <v>-0.39814063875558647</v>
      </c>
      <c r="AG248" s="6">
        <f t="shared" si="59"/>
        <v>-0.39438887653358085</v>
      </c>
      <c r="AH248" s="6">
        <f t="shared" si="60"/>
        <v>0</v>
      </c>
      <c r="AI248" s="6">
        <f t="shared" si="61"/>
        <v>0</v>
      </c>
      <c r="AL248" s="5" t="str">
        <f t="shared" si="62"/>
        <v>PTC</v>
      </c>
      <c r="AM248" s="5">
        <f>1</f>
        <v>1</v>
      </c>
    </row>
    <row r="249" spans="1:39" s="5" customFormat="1" x14ac:dyDescent="0.3">
      <c r="C249" s="4" t="s">
        <v>510</v>
      </c>
      <c r="D249" s="5" t="s">
        <v>511</v>
      </c>
      <c r="E249" s="5" t="s">
        <v>719</v>
      </c>
      <c r="F249" s="5" t="s">
        <v>1588</v>
      </c>
      <c r="G249" s="5">
        <v>1</v>
      </c>
      <c r="H249" s="6">
        <f>IF(SUMIFS('Industrial Summary'!$G:$G,'Industrial Summary'!$F:$F,H$17,'Industrial Summary'!$D:$D,$E249)&gt;0,(-SUMIFS('Industrial Summary'!$G:$G,'Industrial Summary'!$F:$F,H$17,'Industrial Summary'!$D:$D,$E249,'Industrial Summary'!$A:$A,"NGA")/SUMIFS('Industrial Summary'!$G:$G,'Industrial Summary'!$F:$F,H$17,'Industrial Summary'!$D:$D,$E249)),0)*0.98</f>
        <v>-1.357372723073859E-2</v>
      </c>
      <c r="I249" s="6">
        <f>IF(SUMIFS('Industrial Summary'!$G:$G,'Industrial Summary'!$F:$F,I$17,'Industrial Summary'!$D:$D,$E249)&gt;0,(-SUMIFS('Industrial Summary'!$G:$G,'Industrial Summary'!$F:$F,I$17,'Industrial Summary'!$D:$D,$E249,'Industrial Summary'!$A:$A,"NGA")/SUMIFS('Industrial Summary'!$G:$G,'Industrial Summary'!$F:$F,I$17,'Industrial Summary'!$D:$D,$E249)),0)*0.98</f>
        <v>-1.2849720233712321E-2</v>
      </c>
      <c r="J249" s="6">
        <f>IF(SUMIFS('Industrial Summary'!$G:$G,'Industrial Summary'!$F:$F,J$17,'Industrial Summary'!$D:$D,$E249)&gt;0,(-SUMIFS('Industrial Summary'!$G:$G,'Industrial Summary'!$F:$F,J$17,'Industrial Summary'!$D:$D,$E249,'Industrial Summary'!$A:$A,"NGA")/SUMIFS('Industrial Summary'!$G:$G,'Industrial Summary'!$F:$F,J$17,'Industrial Summary'!$D:$D,$E249)),0)*0.98</f>
        <v>0</v>
      </c>
      <c r="K249" s="6">
        <f>IF(SUMIFS('Industrial Summary'!$G:$G,'Industrial Summary'!$F:$F,K$17,'Industrial Summary'!$D:$D,$E249)&gt;0,(-SUMIFS('Industrial Summary'!$G:$G,'Industrial Summary'!$F:$F,K$17,'Industrial Summary'!$D:$D,$E249,'Industrial Summary'!$A:$A,"NGA")/SUMIFS('Industrial Summary'!$G:$G,'Industrial Summary'!$F:$F,K$17,'Industrial Summary'!$D:$D,$E249)),0)*0.98</f>
        <v>-4.5156542625176252E-2</v>
      </c>
      <c r="L249" s="6">
        <f>IF(SUMIFS('Industrial Summary'!$G:$G,'Industrial Summary'!$F:$F,L$17,'Industrial Summary'!$D:$D,$E249)&gt;0,(-SUMIFS('Industrial Summary'!$G:$G,'Industrial Summary'!$F:$F,L$17,'Industrial Summary'!$D:$D,$E249,'Industrial Summary'!$A:$A,"NGA")/SUMIFS('Industrial Summary'!$G:$G,'Industrial Summary'!$F:$F,L$17,'Industrial Summary'!$D:$D,$E249)),0)*0.98</f>
        <v>-9.2725686979784977E-2</v>
      </c>
      <c r="M249" s="6">
        <f>IF(SUMIFS('Industrial Summary'!$G:$G,'Industrial Summary'!$F:$F,M$17,'Industrial Summary'!$D:$D,$E249)&gt;0,(-SUMIFS('Industrial Summary'!$G:$G,'Industrial Summary'!$F:$F,M$17,'Industrial Summary'!$D:$D,$E249,'Industrial Summary'!$A:$A,"NGA")/SUMIFS('Industrial Summary'!$G:$G,'Industrial Summary'!$F:$F,M$17,'Industrial Summary'!$D:$D,$E249)),0)*0.98</f>
        <v>-9.2725686979784921E-2</v>
      </c>
      <c r="N249" s="6">
        <f>IF(SUMIFS('Industrial Summary'!$G:$G,'Industrial Summary'!$F:$F,N$17,'Industrial Summary'!$D:$D,$E249)&gt;0,(-SUMIFS('Industrial Summary'!$G:$G,'Industrial Summary'!$F:$F,N$17,'Industrial Summary'!$D:$D,$E249,'Industrial Summary'!$A:$A,"NGA")/SUMIFS('Industrial Summary'!$G:$G,'Industrial Summary'!$F:$F,N$17,'Industrial Summary'!$D:$D,$E249)),0)*0.98</f>
        <v>-9.2725686979784769E-2</v>
      </c>
      <c r="O249" s="6">
        <f>IF(SUMIFS('Industrial Summary'!$G:$G,'Industrial Summary'!$F:$F,O$17,'Industrial Summary'!$D:$D,$E249)&gt;0,(-SUMIFS('Industrial Summary'!$G:$G,'Industrial Summary'!$F:$F,O$17,'Industrial Summary'!$D:$D,$E249,'Industrial Summary'!$A:$A,"NGA")/SUMIFS('Industrial Summary'!$G:$G,'Industrial Summary'!$F:$F,O$17,'Industrial Summary'!$D:$D,$E249)),0)*0.98</f>
        <v>0</v>
      </c>
      <c r="P249" s="6">
        <f>IF(SUMIFS('Industrial Summary'!$G:$G,'Industrial Summary'!$F:$F,P$17,'Industrial Summary'!$D:$D,$E249)&gt;0,(-SUMIFS('Industrial Summary'!$G:$G,'Industrial Summary'!$F:$F,P$17,'Industrial Summary'!$D:$D,$E249,'Industrial Summary'!$A:$A,"NGA")/SUMIFS('Industrial Summary'!$G:$G,'Industrial Summary'!$F:$F,P$17,'Industrial Summary'!$D:$D,$E249)),0)*0.98</f>
        <v>0</v>
      </c>
      <c r="Q249" s="5">
        <v>0</v>
      </c>
      <c r="R249" s="5">
        <v>15</v>
      </c>
      <c r="S249" s="5" t="str">
        <f t="shared" si="48"/>
        <v>UC_IMTFS_NGA</v>
      </c>
      <c r="V249" s="4" t="str">
        <f t="shared" si="49"/>
        <v>S_IMTFSNGA</v>
      </c>
      <c r="W249" s="4" t="str">
        <f t="shared" si="50"/>
        <v>IMTFS_NGA</v>
      </c>
      <c r="X249" s="4" t="str">
        <f t="shared" si="51"/>
        <v>IMTFEED</v>
      </c>
      <c r="Y249" s="5" t="str">
        <f t="shared" si="52"/>
        <v>LO</v>
      </c>
      <c r="Z249" s="5">
        <v>1</v>
      </c>
      <c r="AA249" s="6">
        <f t="shared" si="53"/>
        <v>-1.1944879963049959E-2</v>
      </c>
      <c r="AB249" s="6">
        <f t="shared" si="54"/>
        <v>-1.1307753805666843E-2</v>
      </c>
      <c r="AC249" s="6">
        <f t="shared" si="55"/>
        <v>0</v>
      </c>
      <c r="AD249" s="6">
        <f t="shared" si="56"/>
        <v>-3.9737757510155104E-2</v>
      </c>
      <c r="AE249" s="6">
        <f t="shared" si="57"/>
        <v>-8.1598604542210781E-2</v>
      </c>
      <c r="AF249" s="6">
        <f t="shared" si="58"/>
        <v>-8.1598604542210726E-2</v>
      </c>
      <c r="AG249" s="6">
        <f t="shared" si="59"/>
        <v>-8.1598604542210601E-2</v>
      </c>
      <c r="AH249" s="6">
        <f t="shared" si="60"/>
        <v>0</v>
      </c>
      <c r="AI249" s="6">
        <f t="shared" si="61"/>
        <v>0</v>
      </c>
      <c r="AL249" s="5" t="str">
        <f t="shared" si="62"/>
        <v>NGA</v>
      </c>
      <c r="AM249" s="5">
        <f>Y9</f>
        <v>0.88</v>
      </c>
    </row>
    <row r="250" spans="1:39" s="5" customFormat="1" x14ac:dyDescent="0.3">
      <c r="C250" s="4" t="s">
        <v>512</v>
      </c>
      <c r="D250" s="5" t="s">
        <v>513</v>
      </c>
      <c r="E250" s="5" t="s">
        <v>719</v>
      </c>
      <c r="F250" s="5" t="s">
        <v>1588</v>
      </c>
      <c r="G250" s="5">
        <v>1</v>
      </c>
      <c r="H250" s="6">
        <f>IF(SUMIFS('Industrial Summary'!$G:$G,'Industrial Summary'!$F:$F,H$17,'Industrial Summary'!$D:$D,$E250)&gt;0,(-SUMIFS('Industrial Summary'!$G:$G,'Industrial Summary'!$F:$F,H$17,'Industrial Summary'!$D:$D,$E250,'Industrial Summary'!$A:$A,"COK")/SUMIFS('Industrial Summary'!$G:$G,'Industrial Summary'!$F:$F,H$17,'Industrial Summary'!$D:$D,$E250)),0)*0.98</f>
        <v>-0.96267255467877033</v>
      </c>
      <c r="I250" s="6">
        <f>IF(SUMIFS('Industrial Summary'!$G:$G,'Industrial Summary'!$F:$F,I$17,'Industrial Summary'!$D:$D,$E250)&gt;0,(-SUMIFS('Industrial Summary'!$G:$G,'Industrial Summary'!$F:$F,I$17,'Industrial Summary'!$D:$D,$E250,'Industrial Summary'!$A:$A,"COK")/SUMIFS('Industrial Summary'!$G:$G,'Industrial Summary'!$F:$F,I$17,'Industrial Summary'!$D:$D,$E250)),0)*0.98</f>
        <v>-0.91132470794628229</v>
      </c>
      <c r="J250" s="6">
        <f>IF(SUMIFS('Industrial Summary'!$G:$G,'Industrial Summary'!$F:$F,J$17,'Industrial Summary'!$D:$D,$E250)&gt;0,(-SUMIFS('Industrial Summary'!$G:$G,'Industrial Summary'!$F:$F,J$17,'Industrial Summary'!$D:$D,$E250,'Industrial Summary'!$A:$A,"COK")/SUMIFS('Industrial Summary'!$G:$G,'Industrial Summary'!$F:$F,J$17,'Industrial Summary'!$D:$D,$E250)),0)*0.98</f>
        <v>-0.98</v>
      </c>
      <c r="K250" s="6">
        <f>IF(SUMIFS('Industrial Summary'!$G:$G,'Industrial Summary'!$F:$F,K$17,'Industrial Summary'!$D:$D,$E250)&gt;0,(-SUMIFS('Industrial Summary'!$G:$G,'Industrial Summary'!$F:$F,K$17,'Industrial Summary'!$D:$D,$E250,'Industrial Summary'!$A:$A,"COK")/SUMIFS('Industrial Summary'!$G:$G,'Industrial Summary'!$F:$F,K$17,'Industrial Summary'!$D:$D,$E250)),0)*0.98</f>
        <v>-0.90866888489664466</v>
      </c>
      <c r="L250" s="6">
        <f>IF(SUMIFS('Industrial Summary'!$G:$G,'Industrial Summary'!$F:$F,L$17,'Industrial Summary'!$D:$D,$E250)&gt;0,(-SUMIFS('Industrial Summary'!$G:$G,'Industrial Summary'!$F:$F,L$17,'Industrial Summary'!$D:$D,$E250,'Industrial Summary'!$A:$A,"COK")/SUMIFS('Industrial Summary'!$G:$G,'Industrial Summary'!$F:$F,L$17,'Industrial Summary'!$D:$D,$E250)),0)*0.98</f>
        <v>-0.88727431302021498</v>
      </c>
      <c r="M250" s="6">
        <f>IF(SUMIFS('Industrial Summary'!$G:$G,'Industrial Summary'!$F:$F,M$17,'Industrial Summary'!$D:$D,$E250)&gt;0,(-SUMIFS('Industrial Summary'!$G:$G,'Industrial Summary'!$F:$F,M$17,'Industrial Summary'!$D:$D,$E250,'Industrial Summary'!$A:$A,"COK")/SUMIFS('Industrial Summary'!$G:$G,'Industrial Summary'!$F:$F,M$17,'Industrial Summary'!$D:$D,$E250)),0)*0.98</f>
        <v>-0.88727431302021509</v>
      </c>
      <c r="N250" s="6">
        <f>IF(SUMIFS('Industrial Summary'!$G:$G,'Industrial Summary'!$F:$F,N$17,'Industrial Summary'!$D:$D,$E250)&gt;0,(-SUMIFS('Industrial Summary'!$G:$G,'Industrial Summary'!$F:$F,N$17,'Industrial Summary'!$D:$D,$E250,'Industrial Summary'!$A:$A,"COK")/SUMIFS('Industrial Summary'!$G:$G,'Industrial Summary'!$F:$F,N$17,'Industrial Summary'!$D:$D,$E250)),0)*0.98</f>
        <v>-0.8872743130202152</v>
      </c>
      <c r="O250" s="6">
        <f>IF(SUMIFS('Industrial Summary'!$G:$G,'Industrial Summary'!$F:$F,O$17,'Industrial Summary'!$D:$D,$E250)&gt;0,(-SUMIFS('Industrial Summary'!$G:$G,'Industrial Summary'!$F:$F,O$17,'Industrial Summary'!$D:$D,$E250,'Industrial Summary'!$A:$A,"COK")/SUMIFS('Industrial Summary'!$G:$G,'Industrial Summary'!$F:$F,O$17,'Industrial Summary'!$D:$D,$E250)),0)*0.98</f>
        <v>0</v>
      </c>
      <c r="P250" s="6">
        <f>IF(SUMIFS('Industrial Summary'!$G:$G,'Industrial Summary'!$F:$F,P$17,'Industrial Summary'!$D:$D,$E250)&gt;0,(-SUMIFS('Industrial Summary'!$G:$G,'Industrial Summary'!$F:$F,P$17,'Industrial Summary'!$D:$D,$E250,'Industrial Summary'!$A:$A,"COK")/SUMIFS('Industrial Summary'!$G:$G,'Industrial Summary'!$F:$F,P$17,'Industrial Summary'!$D:$D,$E250)),0)*0.98</f>
        <v>0</v>
      </c>
      <c r="Q250" s="5">
        <v>0</v>
      </c>
      <c r="R250" s="5">
        <v>15</v>
      </c>
      <c r="S250" s="5" t="str">
        <f t="shared" si="48"/>
        <v>UC_IMTFS_COK</v>
      </c>
      <c r="V250" s="4" t="str">
        <f t="shared" si="49"/>
        <v>S_IMTFSCOK</v>
      </c>
      <c r="W250" s="4" t="str">
        <f t="shared" si="50"/>
        <v>IMTFS_COK</v>
      </c>
      <c r="X250" s="4" t="str">
        <f t="shared" si="51"/>
        <v>IMTFEED</v>
      </c>
      <c r="Y250" s="5" t="str">
        <f t="shared" si="52"/>
        <v>LO</v>
      </c>
      <c r="Z250" s="5">
        <v>1</v>
      </c>
      <c r="AA250" s="6">
        <f t="shared" si="53"/>
        <v>-0.96267255467877033</v>
      </c>
      <c r="AB250" s="6">
        <f t="shared" si="54"/>
        <v>-0.91132470794628229</v>
      </c>
      <c r="AC250" s="6">
        <f t="shared" si="55"/>
        <v>-0.98</v>
      </c>
      <c r="AD250" s="6">
        <f t="shared" si="56"/>
        <v>-0.90866888489664466</v>
      </c>
      <c r="AE250" s="6">
        <f t="shared" si="57"/>
        <v>-0.88727431302021498</v>
      </c>
      <c r="AF250" s="6">
        <f t="shared" si="58"/>
        <v>-0.88727431302021509</v>
      </c>
      <c r="AG250" s="6">
        <f t="shared" si="59"/>
        <v>-0.8872743130202152</v>
      </c>
      <c r="AH250" s="6">
        <f t="shared" si="60"/>
        <v>0</v>
      </c>
      <c r="AI250" s="6">
        <f t="shared" si="61"/>
        <v>0</v>
      </c>
      <c r="AL250" s="5" t="str">
        <f t="shared" si="62"/>
        <v>COK</v>
      </c>
      <c r="AM250" s="5">
        <f>1</f>
        <v>1</v>
      </c>
    </row>
    <row r="251" spans="1:39" s="5" customFormat="1" x14ac:dyDescent="0.3">
      <c r="C251" s="4" t="s">
        <v>514</v>
      </c>
      <c r="D251" s="5" t="s">
        <v>515</v>
      </c>
      <c r="E251" s="5" t="s">
        <v>719</v>
      </c>
      <c r="F251" s="5" t="s">
        <v>1588</v>
      </c>
      <c r="G251" s="5">
        <v>1</v>
      </c>
      <c r="H251" s="6">
        <f>IF(SUMIFS('Industrial Summary'!$G:$G,'Industrial Summary'!$F:$F,H$17,'Industrial Summary'!$D:$D,$E251)&gt;0,(-SUMIFS('Industrial Summary'!$G:$G,'Industrial Summary'!$F:$F,H$17,'Industrial Summary'!$D:$D,$E251,'Industrial Summary'!$A:$A,"BIO")/SUMIFS('Industrial Summary'!$G:$G,'Industrial Summary'!$F:$F,H$17,'Industrial Summary'!$D:$D,$E251)),0)*0.98</f>
        <v>-3.7537180904910735E-3</v>
      </c>
      <c r="I251" s="6">
        <f>IF(SUMIFS('Industrial Summary'!$G:$G,'Industrial Summary'!$F:$F,I$17,'Industrial Summary'!$D:$D,$E251)&gt;0,(-SUMIFS('Industrial Summary'!$G:$G,'Industrial Summary'!$F:$F,I$17,'Industrial Summary'!$D:$D,$E251,'Industrial Summary'!$A:$A,"BIO")/SUMIFS('Industrial Summary'!$G:$G,'Industrial Summary'!$F:$F,I$17,'Industrial Summary'!$D:$D,$E251)),0)*0.98</f>
        <v>-3.5534990853363854E-3</v>
      </c>
      <c r="J251" s="6">
        <f>IF(SUMIFS('Industrial Summary'!$G:$G,'Industrial Summary'!$F:$F,J$17,'Industrial Summary'!$D:$D,$E251)&gt;0,(-SUMIFS('Industrial Summary'!$G:$G,'Industrial Summary'!$F:$F,J$17,'Industrial Summary'!$D:$D,$E251,'Industrial Summary'!$A:$A,"BIO")/SUMIFS('Industrial Summary'!$G:$G,'Industrial Summary'!$F:$F,J$17,'Industrial Summary'!$D:$D,$E251)),0)*0.98</f>
        <v>0</v>
      </c>
      <c r="K251" s="6">
        <f>IF(SUMIFS('Industrial Summary'!$G:$G,'Industrial Summary'!$F:$F,K$17,'Industrial Summary'!$D:$D,$E251)&gt;0,(-SUMIFS('Industrial Summary'!$G:$G,'Industrial Summary'!$F:$F,K$17,'Industrial Summary'!$D:$D,$E251,'Industrial Summary'!$A:$A,"BIO")/SUMIFS('Industrial Summary'!$G:$G,'Industrial Summary'!$F:$F,K$17,'Industrial Summary'!$D:$D,$E251)),0)*0.98</f>
        <v>-2.2200394508827379E-3</v>
      </c>
      <c r="L251" s="6">
        <f>IF(SUMIFS('Industrial Summary'!$G:$G,'Industrial Summary'!$F:$F,L$17,'Industrial Summary'!$D:$D,$E251)&gt;0,(-SUMIFS('Industrial Summary'!$G:$G,'Industrial Summary'!$F:$F,L$17,'Industrial Summary'!$D:$D,$E251,'Industrial Summary'!$A:$A,"BIO")/SUMIFS('Industrial Summary'!$G:$G,'Industrial Summary'!$F:$F,L$17,'Industrial Summary'!$D:$D,$E251)),0)*0.98</f>
        <v>0</v>
      </c>
      <c r="M251" s="6">
        <f>IF(SUMIFS('Industrial Summary'!$G:$G,'Industrial Summary'!$F:$F,M$17,'Industrial Summary'!$D:$D,$E251)&gt;0,(-SUMIFS('Industrial Summary'!$G:$G,'Industrial Summary'!$F:$F,M$17,'Industrial Summary'!$D:$D,$E251,'Industrial Summary'!$A:$A,"BIO")/SUMIFS('Industrial Summary'!$G:$G,'Industrial Summary'!$F:$F,M$17,'Industrial Summary'!$D:$D,$E251)),0)*0.98</f>
        <v>0</v>
      </c>
      <c r="N251" s="6">
        <f>IF(SUMIFS('Industrial Summary'!$G:$G,'Industrial Summary'!$F:$F,N$17,'Industrial Summary'!$D:$D,$E251)&gt;0,(-SUMIFS('Industrial Summary'!$G:$G,'Industrial Summary'!$F:$F,N$17,'Industrial Summary'!$D:$D,$E251,'Industrial Summary'!$A:$A,"BIO")/SUMIFS('Industrial Summary'!$G:$G,'Industrial Summary'!$F:$F,N$17,'Industrial Summary'!$D:$D,$E251)),0)*0.98</f>
        <v>0</v>
      </c>
      <c r="O251" s="6">
        <f>IF(SUMIFS('Industrial Summary'!$G:$G,'Industrial Summary'!$F:$F,O$17,'Industrial Summary'!$D:$D,$E251)&gt;0,(-SUMIFS('Industrial Summary'!$G:$G,'Industrial Summary'!$F:$F,O$17,'Industrial Summary'!$D:$D,$E251,'Industrial Summary'!$A:$A,"BIO")/SUMIFS('Industrial Summary'!$G:$G,'Industrial Summary'!$F:$F,O$17,'Industrial Summary'!$D:$D,$E251)),0)*0.98</f>
        <v>-8.3120313184822589E-2</v>
      </c>
      <c r="P251" s="6">
        <f>IF(SUMIFS('Industrial Summary'!$G:$G,'Industrial Summary'!$F:$F,P$17,'Industrial Summary'!$D:$D,$E251)&gt;0,(-SUMIFS('Industrial Summary'!$G:$G,'Industrial Summary'!$F:$F,P$17,'Industrial Summary'!$D:$D,$E251,'Industrial Summary'!$A:$A,"BIO")/SUMIFS('Industrial Summary'!$G:$G,'Industrial Summary'!$F:$F,P$17,'Industrial Summary'!$D:$D,$E251)),0)*0.98</f>
        <v>-8.3120313184822658E-2</v>
      </c>
      <c r="Q251" s="5">
        <v>0</v>
      </c>
      <c r="R251" s="5">
        <v>15</v>
      </c>
      <c r="S251" s="5" t="str">
        <f t="shared" si="48"/>
        <v>UC_IMTFS_BIO</v>
      </c>
      <c r="V251" s="4" t="str">
        <f t="shared" si="49"/>
        <v>S_IMTFSBIO</v>
      </c>
      <c r="W251" s="4" t="str">
        <f t="shared" si="50"/>
        <v>IMTFS_BIO</v>
      </c>
      <c r="X251" s="4" t="str">
        <f t="shared" si="51"/>
        <v>IMTFEED</v>
      </c>
      <c r="Y251" s="5" t="str">
        <f t="shared" si="52"/>
        <v>LO</v>
      </c>
      <c r="Z251" s="5">
        <v>1</v>
      </c>
      <c r="AA251" s="6">
        <f t="shared" si="53"/>
        <v>-3.7537180904910735E-3</v>
      </c>
      <c r="AB251" s="6">
        <f t="shared" si="54"/>
        <v>-3.5534990853363854E-3</v>
      </c>
      <c r="AC251" s="6">
        <f t="shared" si="55"/>
        <v>0</v>
      </c>
      <c r="AD251" s="6">
        <f t="shared" si="56"/>
        <v>-2.2200394508827379E-3</v>
      </c>
      <c r="AE251" s="6">
        <f t="shared" si="57"/>
        <v>0</v>
      </c>
      <c r="AF251" s="6">
        <f t="shared" si="58"/>
        <v>0</v>
      </c>
      <c r="AG251" s="6">
        <f t="shared" si="59"/>
        <v>0</v>
      </c>
      <c r="AH251" s="6">
        <f t="shared" si="60"/>
        <v>-8.3120313184822589E-2</v>
      </c>
      <c r="AI251" s="6">
        <f t="shared" si="61"/>
        <v>-8.3120313184822658E-2</v>
      </c>
      <c r="AL251" s="5" t="str">
        <f t="shared" si="62"/>
        <v>BIO</v>
      </c>
      <c r="AM251" s="5">
        <f>1</f>
        <v>1</v>
      </c>
    </row>
    <row r="252" spans="1:39" s="5" customFormat="1" x14ac:dyDescent="0.3">
      <c r="A252" s="8"/>
      <c r="C252" s="4" t="s">
        <v>516</v>
      </c>
      <c r="D252" s="5" t="s">
        <v>517</v>
      </c>
      <c r="E252" s="5" t="s">
        <v>719</v>
      </c>
      <c r="F252" s="5" t="s">
        <v>1588</v>
      </c>
      <c r="G252" s="5">
        <v>1</v>
      </c>
      <c r="H252" s="6">
        <f>IF(SUMIFS('Industrial Summary'!$G:$G,'Industrial Summary'!$F:$F,H$17,'Industrial Summary'!$D:$D,$E252)&gt;0,(-SUMIFS('Industrial Summary'!$G:$G,'Industrial Summary'!$F:$F,H$17,'Industrial Summary'!$D:$D,$E252,'Industrial Summary'!$A:$A,"PTC")/SUMIFS('Industrial Summary'!$G:$G,'Industrial Summary'!$F:$F,H$17,'Industrial Summary'!$D:$D,$E252)),0)*0.98</f>
        <v>0</v>
      </c>
      <c r="I252" s="6">
        <f>IF(SUMIFS('Industrial Summary'!$G:$G,'Industrial Summary'!$F:$F,I$17,'Industrial Summary'!$D:$D,$E252)&gt;0,(-SUMIFS('Industrial Summary'!$G:$G,'Industrial Summary'!$F:$F,I$17,'Industrial Summary'!$D:$D,$E252,'Industrial Summary'!$A:$A,"PTC")/SUMIFS('Industrial Summary'!$G:$G,'Industrial Summary'!$F:$F,I$17,'Industrial Summary'!$D:$D,$E252)),0)*0.98</f>
        <v>-5.2272072734669127E-2</v>
      </c>
      <c r="J252" s="6">
        <f>IF(SUMIFS('Industrial Summary'!$G:$G,'Industrial Summary'!$F:$F,J$17,'Industrial Summary'!$D:$D,$E252)&gt;0,(-SUMIFS('Industrial Summary'!$G:$G,'Industrial Summary'!$F:$F,J$17,'Industrial Summary'!$D:$D,$E252,'Industrial Summary'!$A:$A,"PTC")/SUMIFS('Industrial Summary'!$G:$G,'Industrial Summary'!$F:$F,J$17,'Industrial Summary'!$D:$D,$E252)),0)*0.98</f>
        <v>0</v>
      </c>
      <c r="K252" s="6">
        <f>IF(SUMIFS('Industrial Summary'!$G:$G,'Industrial Summary'!$F:$F,K$17,'Industrial Summary'!$D:$D,$E252)&gt;0,(-SUMIFS('Industrial Summary'!$G:$G,'Industrial Summary'!$F:$F,K$17,'Industrial Summary'!$D:$D,$E252,'Industrial Summary'!$A:$A,"PTC")/SUMIFS('Industrial Summary'!$G:$G,'Industrial Summary'!$F:$F,K$17,'Industrial Summary'!$D:$D,$E252)),0)*0.98</f>
        <v>-2.3954533027296353E-2</v>
      </c>
      <c r="L252" s="6">
        <f>IF(SUMIFS('Industrial Summary'!$G:$G,'Industrial Summary'!$F:$F,L$17,'Industrial Summary'!$D:$D,$E252)&gt;0,(-SUMIFS('Industrial Summary'!$G:$G,'Industrial Summary'!$F:$F,L$17,'Industrial Summary'!$D:$D,$E252,'Industrial Summary'!$A:$A,"PTC")/SUMIFS('Industrial Summary'!$G:$G,'Industrial Summary'!$F:$F,L$17,'Industrial Summary'!$D:$D,$E252)),0)*0.98</f>
        <v>0</v>
      </c>
      <c r="M252" s="6">
        <f>IF(SUMIFS('Industrial Summary'!$G:$G,'Industrial Summary'!$F:$F,M$17,'Industrial Summary'!$D:$D,$E252)&gt;0,(-SUMIFS('Industrial Summary'!$G:$G,'Industrial Summary'!$F:$F,M$17,'Industrial Summary'!$D:$D,$E252,'Industrial Summary'!$A:$A,"PTC")/SUMIFS('Industrial Summary'!$G:$G,'Industrial Summary'!$F:$F,M$17,'Industrial Summary'!$D:$D,$E252)),0)*0.98</f>
        <v>0</v>
      </c>
      <c r="N252" s="6">
        <f>IF(SUMIFS('Industrial Summary'!$G:$G,'Industrial Summary'!$F:$F,N$17,'Industrial Summary'!$D:$D,$E252)&gt;0,(-SUMIFS('Industrial Summary'!$G:$G,'Industrial Summary'!$F:$F,N$17,'Industrial Summary'!$D:$D,$E252,'Industrial Summary'!$A:$A,"PTC")/SUMIFS('Industrial Summary'!$G:$G,'Industrial Summary'!$F:$F,N$17,'Industrial Summary'!$D:$D,$E252)),0)*0.98</f>
        <v>0</v>
      </c>
      <c r="O252" s="6">
        <f>IF(SUMIFS('Industrial Summary'!$G:$G,'Industrial Summary'!$F:$F,O$17,'Industrial Summary'!$D:$D,$E252)&gt;0,(-SUMIFS('Industrial Summary'!$G:$G,'Industrial Summary'!$F:$F,O$17,'Industrial Summary'!$D:$D,$E252,'Industrial Summary'!$A:$A,"PTC")/SUMIFS('Industrial Summary'!$G:$G,'Industrial Summary'!$F:$F,O$17,'Industrial Summary'!$D:$D,$E252)),0)*0.98</f>
        <v>-0.89687968681517749</v>
      </c>
      <c r="P252" s="6">
        <f>IF(SUMIFS('Industrial Summary'!$G:$G,'Industrial Summary'!$F:$F,P$17,'Industrial Summary'!$D:$D,$E252)&gt;0,(-SUMIFS('Industrial Summary'!$G:$G,'Industrial Summary'!$F:$F,P$17,'Industrial Summary'!$D:$D,$E252,'Industrial Summary'!$A:$A,"PTC")/SUMIFS('Industrial Summary'!$G:$G,'Industrial Summary'!$F:$F,P$17,'Industrial Summary'!$D:$D,$E252)),0)*0.98</f>
        <v>-0.89687968681517727</v>
      </c>
      <c r="Q252" s="5">
        <v>0</v>
      </c>
      <c r="R252" s="5">
        <v>15</v>
      </c>
      <c r="S252" s="5" t="str">
        <f t="shared" si="48"/>
        <v>UC_IMTFS_PTC</v>
      </c>
      <c r="V252" s="4" t="str">
        <f t="shared" si="49"/>
        <v>S_IMTFSPTC</v>
      </c>
      <c r="W252" s="4" t="str">
        <f t="shared" si="50"/>
        <v>IMTFS_PTC</v>
      </c>
      <c r="X252" s="4" t="str">
        <f t="shared" si="51"/>
        <v>IMTFEED</v>
      </c>
      <c r="Y252" s="5" t="str">
        <f t="shared" si="52"/>
        <v>LO</v>
      </c>
      <c r="Z252" s="5">
        <v>1</v>
      </c>
      <c r="AA252" s="6">
        <f t="shared" si="53"/>
        <v>0</v>
      </c>
      <c r="AB252" s="6">
        <f t="shared" si="54"/>
        <v>-5.2272072734669127E-2</v>
      </c>
      <c r="AC252" s="6">
        <f t="shared" si="55"/>
        <v>0</v>
      </c>
      <c r="AD252" s="6">
        <f t="shared" si="56"/>
        <v>-2.3954533027296353E-2</v>
      </c>
      <c r="AE252" s="6">
        <f t="shared" si="57"/>
        <v>0</v>
      </c>
      <c r="AF252" s="6">
        <f t="shared" si="58"/>
        <v>0</v>
      </c>
      <c r="AG252" s="6">
        <f t="shared" si="59"/>
        <v>0</v>
      </c>
      <c r="AH252" s="6">
        <f t="shared" si="60"/>
        <v>-0.89687968681517749</v>
      </c>
      <c r="AI252" s="6">
        <f t="shared" si="61"/>
        <v>-0.89687968681517727</v>
      </c>
      <c r="AL252" s="5" t="str">
        <f t="shared" si="62"/>
        <v>PTC</v>
      </c>
      <c r="AM252" s="5">
        <f>1</f>
        <v>1</v>
      </c>
    </row>
    <row r="253" spans="1:39" s="5" customFormat="1" x14ac:dyDescent="0.3">
      <c r="C253" s="4" t="s">
        <v>518</v>
      </c>
      <c r="D253" s="5" t="s">
        <v>519</v>
      </c>
      <c r="E253" s="5" t="s">
        <v>781</v>
      </c>
      <c r="F253" s="5" t="s">
        <v>1588</v>
      </c>
      <c r="G253" s="5">
        <v>1</v>
      </c>
      <c r="H253" s="6">
        <f>(IF(SUMIFS('Industrial Summary'!$G:$G,'Industrial Summary'!$F:$F,H$17,'Industrial Summary'!$D:$D,$E253)&gt;0,((-SUMIFS('Industrial Summary'!$G:$G,'Industrial Summary'!$F:$F,H$17,'Industrial Summary'!$D:$D,$E253,'Industrial Summary'!$A:$A,"NGA")+-SUMIFS('Industrial Summary'!$G:$G,'Industrial Summary'!$F:$F,H$17,'Industrial Summary'!$D:$D,"IMTFSTM",'Industrial Summary'!$A:$A,"NGA"))/SUMIFS('Industrial Summary'!$G:$G,'Industrial Summary'!$F:$F,H$17,'Industrial Summary'!$D:$D,$E253)),0))*0.98</f>
        <v>-0.98000000000000109</v>
      </c>
      <c r="I253" s="6">
        <f>(IF(SUMIFS('Industrial Summary'!$G:$G,'Industrial Summary'!$F:$F,I$17,'Industrial Summary'!$D:$D,$E253)&gt;0,((-SUMIFS('Industrial Summary'!$G:$G,'Industrial Summary'!$F:$F,I$17,'Industrial Summary'!$D:$D,$E253,'Industrial Summary'!$A:$A,"NGA")+-SUMIFS('Industrial Summary'!$G:$G,'Industrial Summary'!$F:$F,I$17,'Industrial Summary'!$D:$D,"IMTFSTM",'Industrial Summary'!$A:$A,"NGA"))/SUMIFS('Industrial Summary'!$G:$G,'Industrial Summary'!$F:$F,I$17,'Industrial Summary'!$D:$D,$E253)),0))*0.98</f>
        <v>-0.9800000000000002</v>
      </c>
      <c r="J253" s="6">
        <f>(IF(SUMIFS('Industrial Summary'!$G:$G,'Industrial Summary'!$F:$F,J$17,'Industrial Summary'!$D:$D,$E253)&gt;0,((-SUMIFS('Industrial Summary'!$G:$G,'Industrial Summary'!$F:$F,J$17,'Industrial Summary'!$D:$D,$E253,'Industrial Summary'!$A:$A,"NGA")+-SUMIFS('Industrial Summary'!$G:$G,'Industrial Summary'!$F:$F,J$17,'Industrial Summary'!$D:$D,"IMTFSTM",'Industrial Summary'!$A:$A,"NGA"))/SUMIFS('Industrial Summary'!$G:$G,'Industrial Summary'!$F:$F,J$17,'Industrial Summary'!$D:$D,$E253)),0))*0.98</f>
        <v>-0.97999999999999976</v>
      </c>
      <c r="K253" s="6">
        <f>(IF(SUMIFS('Industrial Summary'!$G:$G,'Industrial Summary'!$F:$F,K$17,'Industrial Summary'!$D:$D,$E253)&gt;0,((-SUMIFS('Industrial Summary'!$G:$G,'Industrial Summary'!$F:$F,K$17,'Industrial Summary'!$D:$D,$E253,'Industrial Summary'!$A:$A,"NGA")+-SUMIFS('Industrial Summary'!$G:$G,'Industrial Summary'!$F:$F,K$17,'Industrial Summary'!$D:$D,"IMTFSTM",'Industrial Summary'!$A:$A,"NGA"))/SUMIFS('Industrial Summary'!$G:$G,'Industrial Summary'!$F:$F,K$17,'Industrial Summary'!$D:$D,$E253)),0))*0.98</f>
        <v>0</v>
      </c>
      <c r="L253" s="6">
        <f>(IF(SUMIFS('Industrial Summary'!$G:$G,'Industrial Summary'!$F:$F,L$17,'Industrial Summary'!$D:$D,$E253)&gt;0,((-SUMIFS('Industrial Summary'!$G:$G,'Industrial Summary'!$F:$F,L$17,'Industrial Summary'!$D:$D,$E253,'Industrial Summary'!$A:$A,"NGA")+-SUMIFS('Industrial Summary'!$G:$G,'Industrial Summary'!$F:$F,L$17,'Industrial Summary'!$D:$D,"IMTFSTM",'Industrial Summary'!$A:$A,"NGA"))/SUMIFS('Industrial Summary'!$G:$G,'Industrial Summary'!$F:$F,L$17,'Industrial Summary'!$D:$D,$E253)),0))*0.98</f>
        <v>-0.98</v>
      </c>
      <c r="M253" s="6">
        <f>(IF(SUMIFS('Industrial Summary'!$G:$G,'Industrial Summary'!$F:$F,M$17,'Industrial Summary'!$D:$D,$E253)&gt;0,((-SUMIFS('Industrial Summary'!$G:$G,'Industrial Summary'!$F:$F,M$17,'Industrial Summary'!$D:$D,$E253,'Industrial Summary'!$A:$A,"NGA")+-SUMIFS('Industrial Summary'!$G:$G,'Industrial Summary'!$F:$F,M$17,'Industrial Summary'!$D:$D,"IMTFSTM",'Industrial Summary'!$A:$A,"NGA"))/SUMIFS('Industrial Summary'!$G:$G,'Industrial Summary'!$F:$F,M$17,'Industrial Summary'!$D:$D,$E253)),0))*0.98</f>
        <v>-0.98</v>
      </c>
      <c r="N253" s="6">
        <f>(IF(SUMIFS('Industrial Summary'!$G:$G,'Industrial Summary'!$F:$F,N$17,'Industrial Summary'!$D:$D,$E253)&gt;0,((-SUMIFS('Industrial Summary'!$G:$G,'Industrial Summary'!$F:$F,N$17,'Industrial Summary'!$D:$D,$E253,'Industrial Summary'!$A:$A,"NGA")+-SUMIFS('Industrial Summary'!$G:$G,'Industrial Summary'!$F:$F,N$17,'Industrial Summary'!$D:$D,"IMTFSTM",'Industrial Summary'!$A:$A,"NGA"))/SUMIFS('Industrial Summary'!$G:$G,'Industrial Summary'!$F:$F,N$17,'Industrial Summary'!$D:$D,$E253)),0))*0.98</f>
        <v>0</v>
      </c>
      <c r="O253" s="6">
        <f>(IF(SUMIFS('Industrial Summary'!$G:$G,'Industrial Summary'!$F:$F,O$17,'Industrial Summary'!$D:$D,$E253)&gt;0,((-SUMIFS('Industrial Summary'!$G:$G,'Industrial Summary'!$F:$F,O$17,'Industrial Summary'!$D:$D,$E253,'Industrial Summary'!$A:$A,"NGA")+-SUMIFS('Industrial Summary'!$G:$G,'Industrial Summary'!$F:$F,O$17,'Industrial Summary'!$D:$D,"IMTFSTM",'Industrial Summary'!$A:$A,"NGA"))/SUMIFS('Industrial Summary'!$G:$G,'Industrial Summary'!$F:$F,O$17,'Industrial Summary'!$D:$D,$E253)),0))*0.98</f>
        <v>-0.98</v>
      </c>
      <c r="P253" s="6">
        <f>(IF(SUMIFS('Industrial Summary'!$G:$G,'Industrial Summary'!$F:$F,P$17,'Industrial Summary'!$D:$D,$E253)&gt;0,((-SUMIFS('Industrial Summary'!$G:$G,'Industrial Summary'!$F:$F,P$17,'Industrial Summary'!$D:$D,$E253,'Industrial Summary'!$A:$A,"NGA")+-SUMIFS('Industrial Summary'!$G:$G,'Industrial Summary'!$F:$F,P$17,'Industrial Summary'!$D:$D,"IMTFSTM",'Industrial Summary'!$A:$A,"NGA"))/SUMIFS('Industrial Summary'!$G:$G,'Industrial Summary'!$F:$F,P$17,'Industrial Summary'!$D:$D,$E253)),0))*0.98</f>
        <v>-0.9800000000000002</v>
      </c>
      <c r="Q253" s="5">
        <v>0</v>
      </c>
      <c r="R253" s="5">
        <v>15</v>
      </c>
      <c r="S253" s="5" t="str">
        <f t="shared" si="48"/>
        <v>UC_IMTST_NGA</v>
      </c>
      <c r="V253" s="4" t="str">
        <f t="shared" si="49"/>
        <v>S_IMTSTNGA</v>
      </c>
      <c r="W253" s="4" t="str">
        <f t="shared" si="50"/>
        <v>IMTST_NGA</v>
      </c>
      <c r="X253" s="4" t="str">
        <f t="shared" si="51"/>
        <v>IMTSTM</v>
      </c>
      <c r="Y253" s="5" t="str">
        <f t="shared" si="52"/>
        <v>LO</v>
      </c>
      <c r="Z253" s="5">
        <v>1</v>
      </c>
      <c r="AA253" s="6">
        <f t="shared" si="53"/>
        <v>-0.86240000000000094</v>
      </c>
      <c r="AB253" s="6">
        <f t="shared" si="54"/>
        <v>-0.86240000000000017</v>
      </c>
      <c r="AC253" s="6">
        <f t="shared" si="55"/>
        <v>-0.86239999999999983</v>
      </c>
      <c r="AD253" s="6">
        <f t="shared" si="56"/>
        <v>0</v>
      </c>
      <c r="AE253" s="6">
        <f t="shared" si="57"/>
        <v>-0.86239999999999994</v>
      </c>
      <c r="AF253" s="6">
        <f t="shared" si="58"/>
        <v>-0.86239999999999994</v>
      </c>
      <c r="AG253" s="6">
        <f t="shared" si="59"/>
        <v>0</v>
      </c>
      <c r="AH253" s="6">
        <f t="shared" si="60"/>
        <v>-0.86239999999999994</v>
      </c>
      <c r="AI253" s="6">
        <f t="shared" si="61"/>
        <v>-0.86240000000000017</v>
      </c>
      <c r="AL253" s="5" t="str">
        <f t="shared" si="62"/>
        <v>NGA</v>
      </c>
      <c r="AM253" s="5">
        <f>Y9</f>
        <v>0.88</v>
      </c>
    </row>
    <row r="254" spans="1:39" s="5" customFormat="1" x14ac:dyDescent="0.3">
      <c r="C254" s="4" t="s">
        <v>521</v>
      </c>
      <c r="D254" s="5" t="s">
        <v>522</v>
      </c>
      <c r="E254" s="5" t="s">
        <v>798</v>
      </c>
      <c r="F254" s="5" t="s">
        <v>1588</v>
      </c>
      <c r="G254" s="5">
        <v>1</v>
      </c>
      <c r="H254" s="6">
        <f>IF(SUMIFS('Industrial Summary'!$G:$G,'Industrial Summary'!$F:$F,H$17,'Industrial Summary'!$D:$D,$E254)&gt;0,(-SUMIFS('Industrial Summary'!$G:$G,'Industrial Summary'!$F:$F,H$17,'Industrial Summary'!$D:$D,$E254,'Industrial Summary'!$A:$A,"ELC")/SUMIFS('Industrial Summary'!$G:$G,'Industrial Summary'!$F:$F,H$17,'Industrial Summary'!$D:$D,$E254)),0)*0.98</f>
        <v>-0.18642608771640892</v>
      </c>
      <c r="I254" s="6">
        <f>IF(SUMIFS('Industrial Summary'!$G:$G,'Industrial Summary'!$F:$F,I$17,'Industrial Summary'!$D:$D,$E254)&gt;0,(-SUMIFS('Industrial Summary'!$G:$G,'Industrial Summary'!$F:$F,I$17,'Industrial Summary'!$D:$D,$E254,'Industrial Summary'!$A:$A,"ELC")/SUMIFS('Industrial Summary'!$G:$G,'Industrial Summary'!$F:$F,I$17,'Industrial Summary'!$D:$D,$E254)),0)*0.98</f>
        <v>-0.18642608771640923</v>
      </c>
      <c r="J254" s="6">
        <f>IF(SUMIFS('Industrial Summary'!$G:$G,'Industrial Summary'!$F:$F,J$17,'Industrial Summary'!$D:$D,$E254)&gt;0,(-SUMIFS('Industrial Summary'!$G:$G,'Industrial Summary'!$F:$F,J$17,'Industrial Summary'!$D:$D,$E254,'Industrial Summary'!$A:$A,"ELC")/SUMIFS('Industrial Summary'!$G:$G,'Industrial Summary'!$F:$F,J$17,'Industrial Summary'!$D:$D,$E254)),0)*0.98</f>
        <v>-0.11582014626434622</v>
      </c>
      <c r="K254" s="6">
        <f>IF(SUMIFS('Industrial Summary'!$G:$G,'Industrial Summary'!$F:$F,K$17,'Industrial Summary'!$D:$D,$E254)&gt;0,(-SUMIFS('Industrial Summary'!$G:$G,'Industrial Summary'!$F:$F,K$17,'Industrial Summary'!$D:$D,$E254,'Industrial Summary'!$A:$A,"ELC")/SUMIFS('Industrial Summary'!$G:$G,'Industrial Summary'!$F:$F,K$17,'Industrial Summary'!$D:$D,$E254)),0)*0.98</f>
        <v>-0.1042381316379116</v>
      </c>
      <c r="L254" s="6">
        <f>IF(SUMIFS('Industrial Summary'!$G:$G,'Industrial Summary'!$F:$F,L$17,'Industrial Summary'!$D:$D,$E254)&gt;0,(-SUMIFS('Industrial Summary'!$G:$G,'Industrial Summary'!$F:$F,L$17,'Industrial Summary'!$D:$D,$E254,'Industrial Summary'!$A:$A,"ELC")/SUMIFS('Industrial Summary'!$G:$G,'Industrial Summary'!$F:$F,L$17,'Industrial Summary'!$D:$D,$E254)),0)*0.98</f>
        <v>-0.27542716932353956</v>
      </c>
      <c r="M254" s="6">
        <f>IF(SUMIFS('Industrial Summary'!$G:$G,'Industrial Summary'!$F:$F,M$17,'Industrial Summary'!$D:$D,$E254)&gt;0,(-SUMIFS('Industrial Summary'!$G:$G,'Industrial Summary'!$F:$F,M$17,'Industrial Summary'!$D:$D,$E254,'Industrial Summary'!$A:$A,"ELC")/SUMIFS('Industrial Summary'!$G:$G,'Industrial Summary'!$F:$F,M$17,'Industrial Summary'!$D:$D,$E254)),0)*0.98</f>
        <v>-0.27542716932353922</v>
      </c>
      <c r="N254" s="6">
        <f>IF(SUMIFS('Industrial Summary'!$G:$G,'Industrial Summary'!$F:$F,N$17,'Industrial Summary'!$D:$D,$E254)&gt;0,(-SUMIFS('Industrial Summary'!$G:$G,'Industrial Summary'!$F:$F,N$17,'Industrial Summary'!$D:$D,$E254,'Industrial Summary'!$A:$A,"ELC")/SUMIFS('Industrial Summary'!$G:$G,'Industrial Summary'!$F:$F,N$17,'Industrial Summary'!$D:$D,$E254)),0)*0.98</f>
        <v>-0.27542716932354006</v>
      </c>
      <c r="O254" s="6">
        <f>IF(SUMIFS('Industrial Summary'!$G:$G,'Industrial Summary'!$F:$F,O$17,'Industrial Summary'!$D:$D,$E254)&gt;0,(-SUMIFS('Industrial Summary'!$G:$G,'Industrial Summary'!$F:$F,O$17,'Industrial Summary'!$D:$D,$E254,'Industrial Summary'!$A:$A,"ELC")/SUMIFS('Industrial Summary'!$G:$G,'Industrial Summary'!$F:$F,O$17,'Industrial Summary'!$D:$D,$E254)),0)*0.98</f>
        <v>-0.24857098311477574</v>
      </c>
      <c r="P254" s="6">
        <f>IF(SUMIFS('Industrial Summary'!$G:$G,'Industrial Summary'!$F:$F,P$17,'Industrial Summary'!$D:$D,$E254)&gt;0,(-SUMIFS('Industrial Summary'!$G:$G,'Industrial Summary'!$F:$F,P$17,'Industrial Summary'!$D:$D,$E254,'Industrial Summary'!$A:$A,"ELC")/SUMIFS('Industrial Summary'!$G:$G,'Industrial Summary'!$F:$F,P$17,'Industrial Summary'!$D:$D,$E254)),0)*0.98</f>
        <v>-0.24857098311477591</v>
      </c>
      <c r="Q254" s="5">
        <v>0</v>
      </c>
      <c r="R254" s="5">
        <v>15</v>
      </c>
      <c r="S254" s="5" t="str">
        <f t="shared" si="48"/>
        <v>UC_IMTPH_ELC</v>
      </c>
      <c r="V254" s="4" t="str">
        <f t="shared" si="49"/>
        <v>S_IMTPHELC</v>
      </c>
      <c r="W254" s="4" t="str">
        <f t="shared" si="50"/>
        <v>IMTPH_ELC</v>
      </c>
      <c r="X254" s="4" t="str">
        <f t="shared" si="51"/>
        <v>IMTPRH</v>
      </c>
      <c r="Y254" s="5" t="str">
        <f t="shared" si="52"/>
        <v>LO</v>
      </c>
      <c r="Z254" s="5">
        <v>1</v>
      </c>
      <c r="AA254" s="6">
        <f t="shared" si="53"/>
        <v>-0.18642608771640892</v>
      </c>
      <c r="AB254" s="6">
        <f t="shared" si="54"/>
        <v>-0.18642608771640923</v>
      </c>
      <c r="AC254" s="6">
        <f t="shared" si="55"/>
        <v>-0.11582014626434622</v>
      </c>
      <c r="AD254" s="6">
        <f t="shared" si="56"/>
        <v>-0.1042381316379116</v>
      </c>
      <c r="AE254" s="6">
        <f t="shared" si="57"/>
        <v>-0.27542716932353956</v>
      </c>
      <c r="AF254" s="6">
        <f t="shared" si="58"/>
        <v>-0.27542716932353922</v>
      </c>
      <c r="AG254" s="6">
        <f t="shared" si="59"/>
        <v>-0.27542716932354006</v>
      </c>
      <c r="AH254" s="6">
        <f t="shared" si="60"/>
        <v>-0.24857098311477574</v>
      </c>
      <c r="AI254" s="6">
        <f t="shared" si="61"/>
        <v>-0.24857098311477591</v>
      </c>
      <c r="AL254" s="5" t="str">
        <f t="shared" si="62"/>
        <v>ELC</v>
      </c>
      <c r="AM254" s="5">
        <f>1</f>
        <v>1</v>
      </c>
    </row>
    <row r="255" spans="1:39" s="5" customFormat="1" x14ac:dyDescent="0.3">
      <c r="C255" s="4" t="s">
        <v>523</v>
      </c>
      <c r="D255" s="5" t="s">
        <v>524</v>
      </c>
      <c r="E255" s="5" t="s">
        <v>798</v>
      </c>
      <c r="F255" s="5" t="s">
        <v>1588</v>
      </c>
      <c r="G255" s="5">
        <v>1</v>
      </c>
      <c r="H255" s="6">
        <f>IF(SUMIFS('Industrial Summary'!$G:$G,'Industrial Summary'!$F:$F,H$17,'Industrial Summary'!$D:$D,$E255)&gt;0,(-SUMIFS('Industrial Summary'!$G:$G,'Industrial Summary'!$F:$F,H$17,'Industrial Summary'!$D:$D,$E255,'Industrial Summary'!$A:$A,"DST")/SUMIFS('Industrial Summary'!$G:$G,'Industrial Summary'!$F:$F,H$17,'Industrial Summary'!$D:$D,$E255)),0)*0.98</f>
        <v>0</v>
      </c>
      <c r="I255" s="6">
        <f>IF(SUMIFS('Industrial Summary'!$G:$G,'Industrial Summary'!$F:$F,I$17,'Industrial Summary'!$D:$D,$E255)&gt;0,(-SUMIFS('Industrial Summary'!$G:$G,'Industrial Summary'!$F:$F,I$17,'Industrial Summary'!$D:$D,$E255,'Industrial Summary'!$A:$A,"DST")/SUMIFS('Industrial Summary'!$G:$G,'Industrial Summary'!$F:$F,I$17,'Industrial Summary'!$D:$D,$E255)),0)*0.98</f>
        <v>0</v>
      </c>
      <c r="J255" s="6">
        <f>IF(SUMIFS('Industrial Summary'!$G:$G,'Industrial Summary'!$F:$F,J$17,'Industrial Summary'!$D:$D,$E255)&gt;0,(-SUMIFS('Industrial Summary'!$G:$G,'Industrial Summary'!$F:$F,J$17,'Industrial Summary'!$D:$D,$E255,'Industrial Summary'!$A:$A,"DST")/SUMIFS('Industrial Summary'!$G:$G,'Industrial Summary'!$F:$F,J$17,'Industrial Summary'!$D:$D,$E255)),0)*0.98</f>
        <v>0</v>
      </c>
      <c r="K255" s="6">
        <f>IF(SUMIFS('Industrial Summary'!$G:$G,'Industrial Summary'!$F:$F,K$17,'Industrial Summary'!$D:$D,$E255)&gt;0,(-SUMIFS('Industrial Summary'!$G:$G,'Industrial Summary'!$F:$F,K$17,'Industrial Summary'!$D:$D,$E255,'Industrial Summary'!$A:$A,"DST")/SUMIFS('Industrial Summary'!$G:$G,'Industrial Summary'!$F:$F,K$17,'Industrial Summary'!$D:$D,$E255)),0)*0.98</f>
        <v>-2.3362640804078325E-3</v>
      </c>
      <c r="L255" s="6">
        <f>IF(SUMIFS('Industrial Summary'!$G:$G,'Industrial Summary'!$F:$F,L$17,'Industrial Summary'!$D:$D,$E255)&gt;0,(-SUMIFS('Industrial Summary'!$G:$G,'Industrial Summary'!$F:$F,L$17,'Industrial Summary'!$D:$D,$E255,'Industrial Summary'!$A:$A,"DST")/SUMIFS('Industrial Summary'!$G:$G,'Industrial Summary'!$F:$F,L$17,'Industrial Summary'!$D:$D,$E255)),0)*0.98</f>
        <v>-3.6280398063228891E-3</v>
      </c>
      <c r="M255" s="6">
        <f>IF(SUMIFS('Industrial Summary'!$G:$G,'Industrial Summary'!$F:$F,M$17,'Industrial Summary'!$D:$D,$E255)&gt;0,(-SUMIFS('Industrial Summary'!$G:$G,'Industrial Summary'!$F:$F,M$17,'Industrial Summary'!$D:$D,$E255,'Industrial Summary'!$A:$A,"DST")/SUMIFS('Industrial Summary'!$G:$G,'Industrial Summary'!$F:$F,M$17,'Industrial Summary'!$D:$D,$E255)),0)*0.98</f>
        <v>-3.628039806323531E-3</v>
      </c>
      <c r="N255" s="6">
        <f>IF(SUMIFS('Industrial Summary'!$G:$G,'Industrial Summary'!$F:$F,N$17,'Industrial Summary'!$D:$D,$E255)&gt;0,(-SUMIFS('Industrial Summary'!$G:$G,'Industrial Summary'!$F:$F,N$17,'Industrial Summary'!$D:$D,$E255,'Industrial Summary'!$A:$A,"DST")/SUMIFS('Industrial Summary'!$G:$G,'Industrial Summary'!$F:$F,N$17,'Industrial Summary'!$D:$D,$E255)),0)*0.98</f>
        <v>-3.6280398063227733E-3</v>
      </c>
      <c r="O255" s="6">
        <f>IF(SUMIFS('Industrial Summary'!$G:$G,'Industrial Summary'!$F:$F,O$17,'Industrial Summary'!$D:$D,$E255)&gt;0,(-SUMIFS('Industrial Summary'!$G:$G,'Industrial Summary'!$F:$F,O$17,'Industrial Summary'!$D:$D,$E255,'Industrial Summary'!$A:$A,"DST")/SUMIFS('Industrial Summary'!$G:$G,'Industrial Summary'!$F:$F,O$17,'Industrial Summary'!$D:$D,$E255)),0)*0.98</f>
        <v>0</v>
      </c>
      <c r="P255" s="6">
        <f>IF(SUMIFS('Industrial Summary'!$G:$G,'Industrial Summary'!$F:$F,P$17,'Industrial Summary'!$D:$D,$E255)&gt;0,(-SUMIFS('Industrial Summary'!$G:$G,'Industrial Summary'!$F:$F,P$17,'Industrial Summary'!$D:$D,$E255,'Industrial Summary'!$A:$A,"DST")/SUMIFS('Industrial Summary'!$G:$G,'Industrial Summary'!$F:$F,P$17,'Industrial Summary'!$D:$D,$E255)),0)*0.98</f>
        <v>0</v>
      </c>
      <c r="Q255" s="5">
        <v>0</v>
      </c>
      <c r="R255" s="5">
        <v>15</v>
      </c>
      <c r="S255" s="5" t="str">
        <f t="shared" si="48"/>
        <v>UC_IMTPH_DST</v>
      </c>
      <c r="V255" s="4" t="str">
        <f t="shared" si="49"/>
        <v>S_IMTPHDST</v>
      </c>
      <c r="W255" s="4" t="str">
        <f t="shared" si="50"/>
        <v>IMTPH_DST</v>
      </c>
      <c r="X255" s="4" t="str">
        <f t="shared" si="51"/>
        <v>IMTPRH</v>
      </c>
      <c r="Y255" s="5" t="str">
        <f t="shared" si="52"/>
        <v>LO</v>
      </c>
      <c r="Z255" s="5">
        <v>1</v>
      </c>
      <c r="AA255" s="6">
        <f t="shared" si="53"/>
        <v>0</v>
      </c>
      <c r="AB255" s="6">
        <f t="shared" si="54"/>
        <v>0</v>
      </c>
      <c r="AC255" s="6">
        <f t="shared" si="55"/>
        <v>0</v>
      </c>
      <c r="AD255" s="6">
        <f t="shared" si="56"/>
        <v>-2.3362640804078325E-3</v>
      </c>
      <c r="AE255" s="6">
        <f t="shared" si="57"/>
        <v>-3.6280398063228891E-3</v>
      </c>
      <c r="AF255" s="6">
        <f t="shared" si="58"/>
        <v>-3.628039806323531E-3</v>
      </c>
      <c r="AG255" s="6">
        <f t="shared" si="59"/>
        <v>-3.6280398063227733E-3</v>
      </c>
      <c r="AH255" s="6">
        <f t="shared" si="60"/>
        <v>0</v>
      </c>
      <c r="AI255" s="6">
        <f t="shared" si="61"/>
        <v>0</v>
      </c>
      <c r="AL255" s="5" t="str">
        <f t="shared" si="62"/>
        <v>DST</v>
      </c>
      <c r="AM255" s="5">
        <f>1</f>
        <v>1</v>
      </c>
    </row>
    <row r="256" spans="1:39" s="5" customFormat="1" x14ac:dyDescent="0.3">
      <c r="C256" s="4" t="s">
        <v>525</v>
      </c>
      <c r="D256" s="5" t="s">
        <v>526</v>
      </c>
      <c r="E256" s="5" t="s">
        <v>798</v>
      </c>
      <c r="F256" s="5" t="s">
        <v>1588</v>
      </c>
      <c r="G256" s="5">
        <v>1</v>
      </c>
      <c r="H256" s="6">
        <f>IF(SUMIFS('Industrial Summary'!$G:$G,'Industrial Summary'!$F:$F,H$17,'Industrial Summary'!$D:$D,$E256)&gt;0,(-SUMIFS('Industrial Summary'!$G:$G,'Industrial Summary'!$F:$F,H$17,'Industrial Summary'!$D:$D,$E256,'Industrial Summary'!$A:$A,"NGA")/SUMIFS('Industrial Summary'!$G:$G,'Industrial Summary'!$F:$F,H$17,'Industrial Summary'!$D:$D,$E256)),0)*0.98</f>
        <v>-0.73845347333028766</v>
      </c>
      <c r="I256" s="6">
        <f>IF(SUMIFS('Industrial Summary'!$G:$G,'Industrial Summary'!$F:$F,I$17,'Industrial Summary'!$D:$D,$E256)&gt;0,(-SUMIFS('Industrial Summary'!$G:$G,'Industrial Summary'!$F:$F,I$17,'Industrial Summary'!$D:$D,$E256,'Industrial Summary'!$A:$A,"NGA")/SUMIFS('Industrial Summary'!$G:$G,'Industrial Summary'!$F:$F,I$17,'Industrial Summary'!$D:$D,$E256)),0)*0.98</f>
        <v>-0.73845347333028766</v>
      </c>
      <c r="J256" s="6">
        <f>IF(SUMIFS('Industrial Summary'!$G:$G,'Industrial Summary'!$F:$F,J$17,'Industrial Summary'!$D:$D,$E256)&gt;0,(-SUMIFS('Industrial Summary'!$G:$G,'Industrial Summary'!$F:$F,J$17,'Industrial Summary'!$D:$D,$E256,'Industrial Summary'!$A:$A,"NGA")/SUMIFS('Industrial Summary'!$G:$G,'Industrial Summary'!$F:$F,J$17,'Industrial Summary'!$D:$D,$E256)),0)*0.98</f>
        <v>-0.68017986820630283</v>
      </c>
      <c r="K256" s="6">
        <f>IF(SUMIFS('Industrial Summary'!$G:$G,'Industrial Summary'!$F:$F,K$17,'Industrial Summary'!$D:$D,$E256)&gt;0,(-SUMIFS('Industrial Summary'!$G:$G,'Industrial Summary'!$F:$F,K$17,'Industrial Summary'!$D:$D,$E256,'Industrial Summary'!$A:$A,"NGA")/SUMIFS('Industrial Summary'!$G:$G,'Industrial Summary'!$F:$F,K$17,'Industrial Summary'!$D:$D,$E256)),0)*0.98</f>
        <v>-0.70782561730526494</v>
      </c>
      <c r="L256" s="6">
        <f>IF(SUMIFS('Industrial Summary'!$G:$G,'Industrial Summary'!$F:$F,L$17,'Industrial Summary'!$D:$D,$E256)&gt;0,(-SUMIFS('Industrial Summary'!$G:$G,'Industrial Summary'!$F:$F,L$17,'Industrial Summary'!$D:$D,$E256,'Industrial Summary'!$A:$A,"NGA")/SUMIFS('Industrial Summary'!$G:$G,'Industrial Summary'!$F:$F,L$17,'Industrial Summary'!$D:$D,$E256)),0)*0.98</f>
        <v>-0.61522341063818298</v>
      </c>
      <c r="M256" s="6">
        <f>IF(SUMIFS('Industrial Summary'!$G:$G,'Industrial Summary'!$F:$F,M$17,'Industrial Summary'!$D:$D,$E256)&gt;0,(-SUMIFS('Industrial Summary'!$G:$G,'Industrial Summary'!$F:$F,M$17,'Industrial Summary'!$D:$D,$E256,'Industrial Summary'!$A:$A,"NGA")/SUMIFS('Industrial Summary'!$G:$G,'Industrial Summary'!$F:$F,M$17,'Industrial Summary'!$D:$D,$E256)),0)*0.98</f>
        <v>-0.61522341063818264</v>
      </c>
      <c r="N256" s="6">
        <f>IF(SUMIFS('Industrial Summary'!$G:$G,'Industrial Summary'!$F:$F,N$17,'Industrial Summary'!$D:$D,$E256)&gt;0,(-SUMIFS('Industrial Summary'!$G:$G,'Industrial Summary'!$F:$F,N$17,'Industrial Summary'!$D:$D,$E256,'Industrial Summary'!$A:$A,"NGA")/SUMIFS('Industrial Summary'!$G:$G,'Industrial Summary'!$F:$F,N$17,'Industrial Summary'!$D:$D,$E256)),0)*0.98</f>
        <v>-0.61522341063818264</v>
      </c>
      <c r="O256" s="6">
        <f>IF(SUMIFS('Industrial Summary'!$G:$G,'Industrial Summary'!$F:$F,O$17,'Industrial Summary'!$D:$D,$E256)&gt;0,(-SUMIFS('Industrial Summary'!$G:$G,'Industrial Summary'!$F:$F,O$17,'Industrial Summary'!$D:$D,$E256,'Industrial Summary'!$A:$A,"NGA")/SUMIFS('Industrial Summary'!$G:$G,'Industrial Summary'!$F:$F,O$17,'Industrial Summary'!$D:$D,$E256)),0)*0.98</f>
        <v>-0.73142901688522421</v>
      </c>
      <c r="P256" s="6">
        <f>IF(SUMIFS('Industrial Summary'!$G:$G,'Industrial Summary'!$F:$F,P$17,'Industrial Summary'!$D:$D,$E256)&gt;0,(-SUMIFS('Industrial Summary'!$G:$G,'Industrial Summary'!$F:$F,P$17,'Industrial Summary'!$D:$D,$E256,'Industrial Summary'!$A:$A,"NGA")/SUMIFS('Industrial Summary'!$G:$G,'Industrial Summary'!$F:$F,P$17,'Industrial Summary'!$D:$D,$E256)),0)*0.98</f>
        <v>-0.73142901688522399</v>
      </c>
      <c r="Q256" s="5">
        <v>0</v>
      </c>
      <c r="R256" s="5">
        <v>15</v>
      </c>
      <c r="S256" s="5" t="str">
        <f t="shared" si="48"/>
        <v>UC_IMTPH_NGA</v>
      </c>
      <c r="V256" s="4" t="str">
        <f t="shared" si="49"/>
        <v>S_IMTPHNGA</v>
      </c>
      <c r="W256" s="4" t="str">
        <f t="shared" si="50"/>
        <v>IMTPH_NGA</v>
      </c>
      <c r="X256" s="4" t="str">
        <f t="shared" si="51"/>
        <v>IMTPRH</v>
      </c>
      <c r="Y256" s="5" t="str">
        <f t="shared" si="52"/>
        <v>LO</v>
      </c>
      <c r="Z256" s="5">
        <v>1</v>
      </c>
      <c r="AA256" s="6">
        <f t="shared" si="53"/>
        <v>-0.6498390565306531</v>
      </c>
      <c r="AB256" s="6">
        <f t="shared" si="54"/>
        <v>-0.6498390565306531</v>
      </c>
      <c r="AC256" s="6">
        <f t="shared" si="55"/>
        <v>-0.59855828402154654</v>
      </c>
      <c r="AD256" s="6">
        <f t="shared" si="56"/>
        <v>-0.62288654322863313</v>
      </c>
      <c r="AE256" s="6">
        <f t="shared" si="57"/>
        <v>-0.54139660136160106</v>
      </c>
      <c r="AF256" s="6">
        <f t="shared" si="58"/>
        <v>-0.54139660136160073</v>
      </c>
      <c r="AG256" s="6">
        <f t="shared" si="59"/>
        <v>-0.54139660136160073</v>
      </c>
      <c r="AH256" s="6">
        <f t="shared" si="60"/>
        <v>-0.64365753485899735</v>
      </c>
      <c r="AI256" s="6">
        <f t="shared" si="61"/>
        <v>-0.64365753485899713</v>
      </c>
      <c r="AL256" s="5" t="str">
        <f t="shared" si="62"/>
        <v>NGA</v>
      </c>
      <c r="AM256" s="5">
        <f>Y9</f>
        <v>0.88</v>
      </c>
    </row>
    <row r="257" spans="1:39" s="5" customFormat="1" x14ac:dyDescent="0.3">
      <c r="A257" s="8"/>
      <c r="C257" s="4" t="s">
        <v>527</v>
      </c>
      <c r="D257" s="5" t="s">
        <v>528</v>
      </c>
      <c r="E257" s="5" t="s">
        <v>798</v>
      </c>
      <c r="F257" s="5" t="s">
        <v>1591</v>
      </c>
      <c r="G257" s="5">
        <v>1</v>
      </c>
      <c r="H257" s="6">
        <f>IF(SUMIFS('Industrial Summary'!$G:$G,'Industrial Summary'!$F:$F,H$17,'Industrial Summary'!$D:$D,$E257)&gt;0,(-SUMIFS('Industrial Summary'!$G:$G,'Industrial Summary'!$F:$F,H$17,'Industrial Summary'!$D:$D,$E257,'Industrial Summary'!$A:$A,"COA")/SUMIFS('Industrial Summary'!$G:$G,'Industrial Summary'!$F:$F,H$17,'Industrial Summary'!$D:$D,$E257)),0)*0.98</f>
        <v>-5.512043895330334E-2</v>
      </c>
      <c r="I257" s="6">
        <f>IF(SUMIFS('Industrial Summary'!$G:$G,'Industrial Summary'!$F:$F,I$17,'Industrial Summary'!$D:$D,$E257)&gt;0,(-SUMIFS('Industrial Summary'!$G:$G,'Industrial Summary'!$F:$F,I$17,'Industrial Summary'!$D:$D,$E257,'Industrial Summary'!$A:$A,"COA")/SUMIFS('Industrial Summary'!$G:$G,'Industrial Summary'!$F:$F,I$17,'Industrial Summary'!$D:$D,$E257)),0)*0.98</f>
        <v>-5.5120438953303257E-2</v>
      </c>
      <c r="J257" s="6">
        <f>IF(SUMIFS('Industrial Summary'!$G:$G,'Industrial Summary'!$F:$F,J$17,'Industrial Summary'!$D:$D,$E257)&gt;0,(-SUMIFS('Industrial Summary'!$G:$G,'Industrial Summary'!$F:$F,J$17,'Industrial Summary'!$D:$D,$E257,'Industrial Summary'!$A:$A,"COA")/SUMIFS('Industrial Summary'!$G:$G,'Industrial Summary'!$F:$F,J$17,'Industrial Summary'!$D:$D,$E257)),0)*0.98</f>
        <v>-0.1839999855293511</v>
      </c>
      <c r="K257" s="6">
        <f>IF(SUMIFS('Industrial Summary'!$G:$G,'Industrial Summary'!$F:$F,K$17,'Industrial Summary'!$D:$D,$E257)&gt;0,(-SUMIFS('Industrial Summary'!$G:$G,'Industrial Summary'!$F:$F,K$17,'Industrial Summary'!$D:$D,$E257,'Industrial Summary'!$A:$A,"COA")/SUMIFS('Industrial Summary'!$G:$G,'Industrial Summary'!$F:$F,K$17,'Industrial Summary'!$D:$D,$E257)),0)*0.98</f>
        <v>-0.1655999869764157</v>
      </c>
      <c r="L257" s="6">
        <f>IF(SUMIFS('Industrial Summary'!$G:$G,'Industrial Summary'!$F:$F,L$17,'Industrial Summary'!$D:$D,$E257)&gt;0,(-SUMIFS('Industrial Summary'!$G:$G,'Industrial Summary'!$F:$F,L$17,'Industrial Summary'!$D:$D,$E257,'Industrial Summary'!$A:$A,"COA")/SUMIFS('Industrial Summary'!$G:$G,'Industrial Summary'!$F:$F,L$17,'Industrial Summary'!$D:$D,$E257)),0)*0.98</f>
        <v>-8.5721380231954525E-2</v>
      </c>
      <c r="M257" s="6">
        <f>IF(SUMIFS('Industrial Summary'!$G:$G,'Industrial Summary'!$F:$F,M$17,'Industrial Summary'!$D:$D,$E257)&gt;0,(-SUMIFS('Industrial Summary'!$G:$G,'Industrial Summary'!$F:$F,M$17,'Industrial Summary'!$D:$D,$E257,'Industrial Summary'!$A:$A,"COA")/SUMIFS('Industrial Summary'!$G:$G,'Industrial Summary'!$F:$F,M$17,'Industrial Summary'!$D:$D,$E257)),0)*0.98</f>
        <v>-8.5721380231954511E-2</v>
      </c>
      <c r="N257" s="6">
        <f>IF(SUMIFS('Industrial Summary'!$G:$G,'Industrial Summary'!$F:$F,N$17,'Industrial Summary'!$D:$D,$E257)&gt;0,(-SUMIFS('Industrial Summary'!$G:$G,'Industrial Summary'!$F:$F,N$17,'Industrial Summary'!$D:$D,$E257,'Industrial Summary'!$A:$A,"COA")/SUMIFS('Industrial Summary'!$G:$G,'Industrial Summary'!$F:$F,N$17,'Industrial Summary'!$D:$D,$E257)),0)*0.98</f>
        <v>-8.5721380231954469E-2</v>
      </c>
      <c r="O257" s="6">
        <f>IF(SUMIFS('Industrial Summary'!$G:$G,'Industrial Summary'!$F:$F,O$17,'Industrial Summary'!$D:$D,$E257)&gt;0,(-SUMIFS('Industrial Summary'!$G:$G,'Industrial Summary'!$F:$F,O$17,'Industrial Summary'!$D:$D,$E257,'Industrial Summary'!$A:$A,"COA")/SUMIFS('Industrial Summary'!$G:$G,'Industrial Summary'!$F:$F,O$17,'Industrial Summary'!$D:$D,$E257)),0)*0.98</f>
        <v>0</v>
      </c>
      <c r="P257" s="6">
        <f>IF(SUMIFS('Industrial Summary'!$G:$G,'Industrial Summary'!$F:$F,P$17,'Industrial Summary'!$D:$D,$E257)&gt;0,(-SUMIFS('Industrial Summary'!$G:$G,'Industrial Summary'!$F:$F,P$17,'Industrial Summary'!$D:$D,$E257,'Industrial Summary'!$A:$A,"COA")/SUMIFS('Industrial Summary'!$G:$G,'Industrial Summary'!$F:$F,P$17,'Industrial Summary'!$D:$D,$E257)),0)*0.98</f>
        <v>0</v>
      </c>
      <c r="Q257" s="5">
        <v>0</v>
      </c>
      <c r="R257" s="5">
        <v>15</v>
      </c>
      <c r="S257" s="5" t="str">
        <f t="shared" si="48"/>
        <v>UC_IMTPH_COA</v>
      </c>
      <c r="V257" s="4" t="str">
        <f t="shared" si="49"/>
        <v>S_IMTPHCOA</v>
      </c>
      <c r="W257" s="4" t="str">
        <f t="shared" si="50"/>
        <v>IMTPH_COA</v>
      </c>
      <c r="X257" s="4" t="str">
        <f t="shared" si="51"/>
        <v>IMTPRH</v>
      </c>
      <c r="Y257" s="5" t="str">
        <f t="shared" si="52"/>
        <v>UP</v>
      </c>
      <c r="Z257" s="5">
        <v>1</v>
      </c>
      <c r="AA257" s="6">
        <f t="shared" si="53"/>
        <v>-5.3466825784704235E-2</v>
      </c>
      <c r="AB257" s="6">
        <f t="shared" si="54"/>
        <v>-5.3466825784704158E-2</v>
      </c>
      <c r="AC257" s="6">
        <f t="shared" si="55"/>
        <v>-0.17847998596347056</v>
      </c>
      <c r="AD257" s="6">
        <f t="shared" si="56"/>
        <v>-0.16063198736712322</v>
      </c>
      <c r="AE257" s="6">
        <f t="shared" si="57"/>
        <v>-8.3149738824995892E-2</v>
      </c>
      <c r="AF257" s="6">
        <f t="shared" si="58"/>
        <v>-8.3149738824995878E-2</v>
      </c>
      <c r="AG257" s="6">
        <f t="shared" si="59"/>
        <v>-8.3149738824995836E-2</v>
      </c>
      <c r="AH257" s="6">
        <f t="shared" si="60"/>
        <v>0</v>
      </c>
      <c r="AI257" s="6">
        <f t="shared" si="61"/>
        <v>0</v>
      </c>
      <c r="AL257" s="5" t="str">
        <f t="shared" si="62"/>
        <v>COA</v>
      </c>
      <c r="AM257" s="5">
        <f>Z9</f>
        <v>0.97</v>
      </c>
    </row>
    <row r="258" spans="1:39" s="5" customFormat="1" x14ac:dyDescent="0.3">
      <c r="C258" s="4" t="s">
        <v>529</v>
      </c>
      <c r="D258" s="5" t="s">
        <v>530</v>
      </c>
      <c r="E258" s="5" t="s">
        <v>749</v>
      </c>
      <c r="F258" s="5" t="s">
        <v>1588</v>
      </c>
      <c r="G258" s="5">
        <v>1</v>
      </c>
      <c r="H258" s="6">
        <f>IF(SUMIFS('Industrial Summary'!$G:$G,'Industrial Summary'!$F:$F,H$17,'Industrial Summary'!$D:$D,$E258)&gt;0,(-SUMIFS('Industrial Summary'!$G:$G,'Industrial Summary'!$F:$F,H$17,'Industrial Summary'!$D:$D,$E258,'Industrial Summary'!$A:$A,"ELC")/SUMIFS('Industrial Summary'!$G:$G,'Industrial Summary'!$F:$F,H$17,'Industrial Summary'!$D:$D,$E258)),0)*0.98</f>
        <v>-0.85267651847762527</v>
      </c>
      <c r="I258" s="6">
        <f>IF(SUMIFS('Industrial Summary'!$G:$G,'Industrial Summary'!$F:$F,I$17,'Industrial Summary'!$D:$D,$E258)&gt;0,(-SUMIFS('Industrial Summary'!$G:$G,'Industrial Summary'!$F:$F,I$17,'Industrial Summary'!$D:$D,$E258,'Industrial Summary'!$A:$A,"ELC")/SUMIFS('Industrial Summary'!$G:$G,'Industrial Summary'!$F:$F,I$17,'Industrial Summary'!$D:$D,$E258)),0)*0.98</f>
        <v>-0.85267651847762516</v>
      </c>
      <c r="J258" s="6">
        <f>IF(SUMIFS('Industrial Summary'!$G:$G,'Industrial Summary'!$F:$F,J$17,'Industrial Summary'!$D:$D,$E258)&gt;0,(-SUMIFS('Industrial Summary'!$G:$G,'Industrial Summary'!$F:$F,J$17,'Industrial Summary'!$D:$D,$E258,'Industrial Summary'!$A:$A,"ELC")/SUMIFS('Industrial Summary'!$G:$G,'Industrial Summary'!$F:$F,J$17,'Industrial Summary'!$D:$D,$E258)),0)*0.98</f>
        <v>-0.866962998659638</v>
      </c>
      <c r="K258" s="6">
        <f>IF(SUMIFS('Industrial Summary'!$G:$G,'Industrial Summary'!$F:$F,K$17,'Industrial Summary'!$D:$D,$E258)&gt;0,(-SUMIFS('Industrial Summary'!$G:$G,'Industrial Summary'!$F:$F,K$17,'Industrial Summary'!$D:$D,$E258,'Industrial Summary'!$A:$A,"ELC")/SUMIFS('Industrial Summary'!$G:$G,'Industrial Summary'!$F:$F,K$17,'Industrial Summary'!$D:$D,$E258)),0)*0.98</f>
        <v>-0.78026669879367416</v>
      </c>
      <c r="L258" s="6">
        <f>IF(SUMIFS('Industrial Summary'!$G:$G,'Industrial Summary'!$F:$F,L$17,'Industrial Summary'!$D:$D,$E258)&gt;0,(-SUMIFS('Industrial Summary'!$G:$G,'Industrial Summary'!$F:$F,L$17,'Industrial Summary'!$D:$D,$E258,'Industrial Summary'!$A:$A,"ELC")/SUMIFS('Industrial Summary'!$G:$G,'Industrial Summary'!$F:$F,L$17,'Industrial Summary'!$D:$D,$E258)),0)*0.98</f>
        <v>-0.90388875790360335</v>
      </c>
      <c r="M258" s="6">
        <f>IF(SUMIFS('Industrial Summary'!$G:$G,'Industrial Summary'!$F:$F,M$17,'Industrial Summary'!$D:$D,$E258)&gt;0,(-SUMIFS('Industrial Summary'!$G:$G,'Industrial Summary'!$F:$F,M$17,'Industrial Summary'!$D:$D,$E258,'Industrial Summary'!$A:$A,"ELC")/SUMIFS('Industrial Summary'!$G:$G,'Industrial Summary'!$F:$F,M$17,'Industrial Summary'!$D:$D,$E258)),0)*0.98</f>
        <v>-0.90388875790361045</v>
      </c>
      <c r="N258" s="6">
        <f>IF(SUMIFS('Industrial Summary'!$G:$G,'Industrial Summary'!$F:$F,N$17,'Industrial Summary'!$D:$D,$E258)&gt;0,(-SUMIFS('Industrial Summary'!$G:$G,'Industrial Summary'!$F:$F,N$17,'Industrial Summary'!$D:$D,$E258,'Industrial Summary'!$A:$A,"ELC")/SUMIFS('Industrial Summary'!$G:$G,'Industrial Summary'!$F:$F,N$17,'Industrial Summary'!$D:$D,$E258)),0)*0.98</f>
        <v>-0.90388875790361067</v>
      </c>
      <c r="O258" s="6">
        <f>IF(SUMIFS('Industrial Summary'!$G:$G,'Industrial Summary'!$F:$F,O$17,'Industrial Summary'!$D:$D,$E258)&gt;0,(-SUMIFS('Industrial Summary'!$G:$G,'Industrial Summary'!$F:$F,O$17,'Industrial Summary'!$D:$D,$E258,'Industrial Summary'!$A:$A,"ELC")/SUMIFS('Industrial Summary'!$G:$G,'Industrial Summary'!$F:$F,O$17,'Industrial Summary'!$D:$D,$E258)),0)*0.98</f>
        <v>-0.88214774588306333</v>
      </c>
      <c r="P258" s="6">
        <f>IF(SUMIFS('Industrial Summary'!$G:$G,'Industrial Summary'!$F:$F,P$17,'Industrial Summary'!$D:$D,$E258)&gt;0,(-SUMIFS('Industrial Summary'!$G:$G,'Industrial Summary'!$F:$F,P$17,'Industrial Summary'!$D:$D,$E258,'Industrial Summary'!$A:$A,"ELC")/SUMIFS('Industrial Summary'!$G:$G,'Industrial Summary'!$F:$F,P$17,'Industrial Summary'!$D:$D,$E258)),0)*0.98</f>
        <v>-0.88214774588306333</v>
      </c>
      <c r="Q258" s="5">
        <v>0</v>
      </c>
      <c r="R258" s="5">
        <v>15</v>
      </c>
      <c r="S258" s="5" t="str">
        <f t="shared" si="48"/>
        <v>UC_IMTMD_ELC</v>
      </c>
      <c r="V258" s="4" t="str">
        <f t="shared" si="49"/>
        <v>S_IMTMDELC</v>
      </c>
      <c r="W258" s="4" t="str">
        <f t="shared" si="50"/>
        <v>IMTMD_ELC</v>
      </c>
      <c r="X258" s="4" t="str">
        <f t="shared" si="51"/>
        <v>IMTMDR</v>
      </c>
      <c r="Y258" s="5" t="str">
        <f t="shared" si="52"/>
        <v>LO</v>
      </c>
      <c r="Z258" s="5">
        <v>1</v>
      </c>
      <c r="AA258" s="6">
        <f t="shared" si="53"/>
        <v>-0.85267651847762527</v>
      </c>
      <c r="AB258" s="6">
        <f t="shared" si="54"/>
        <v>-0.85267651847762516</v>
      </c>
      <c r="AC258" s="6">
        <f t="shared" si="55"/>
        <v>-0.866962998659638</v>
      </c>
      <c r="AD258" s="6">
        <f t="shared" si="56"/>
        <v>-0.78026669879367416</v>
      </c>
      <c r="AE258" s="6">
        <f t="shared" si="57"/>
        <v>-0.90388875790360335</v>
      </c>
      <c r="AF258" s="6">
        <f t="shared" si="58"/>
        <v>-0.90388875790361045</v>
      </c>
      <c r="AG258" s="6">
        <f t="shared" si="59"/>
        <v>-0.90388875790361067</v>
      </c>
      <c r="AH258" s="6">
        <f t="shared" si="60"/>
        <v>-0.88214774588306333</v>
      </c>
      <c r="AI258" s="6">
        <f t="shared" si="61"/>
        <v>-0.88214774588306333</v>
      </c>
      <c r="AL258" s="5" t="str">
        <f t="shared" si="62"/>
        <v>ELC</v>
      </c>
      <c r="AM258" s="5">
        <f>1</f>
        <v>1</v>
      </c>
    </row>
    <row r="259" spans="1:39" s="5" customFormat="1" x14ac:dyDescent="0.3">
      <c r="A259" s="8"/>
      <c r="C259" s="4" t="s">
        <v>531</v>
      </c>
      <c r="D259" s="5" t="s">
        <v>532</v>
      </c>
      <c r="E259" s="5" t="s">
        <v>749</v>
      </c>
      <c r="F259" s="5" t="s">
        <v>1588</v>
      </c>
      <c r="G259" s="5">
        <v>1</v>
      </c>
      <c r="H259" s="6">
        <f>IF(SUMIFS('Industrial Summary'!$G:$G,'Industrial Summary'!$F:$F,H$17,'Industrial Summary'!$D:$D,$E259)&gt;0,(-SUMIFS('Industrial Summary'!$G:$G,'Industrial Summary'!$F:$F,H$17,'Industrial Summary'!$D:$D,$E259,'Industrial Summary'!$A:$A,"NGA")/SUMIFS('Industrial Summary'!$G:$G,'Industrial Summary'!$F:$F,H$17,'Industrial Summary'!$D:$D,$E259)),0)*0.98</f>
        <v>-0.12732348152237469</v>
      </c>
      <c r="I259" s="6">
        <f>IF(SUMIFS('Industrial Summary'!$G:$G,'Industrial Summary'!$F:$F,I$17,'Industrial Summary'!$D:$D,$E259)&gt;0,(-SUMIFS('Industrial Summary'!$G:$G,'Industrial Summary'!$F:$F,I$17,'Industrial Summary'!$D:$D,$E259,'Industrial Summary'!$A:$A,"NGA")/SUMIFS('Industrial Summary'!$G:$G,'Industrial Summary'!$F:$F,I$17,'Industrial Summary'!$D:$D,$E259)),0)*0.98</f>
        <v>-0.12732348152237483</v>
      </c>
      <c r="J259" s="6">
        <f>IF(SUMIFS('Industrial Summary'!$G:$G,'Industrial Summary'!$F:$F,J$17,'Industrial Summary'!$D:$D,$E259)&gt;0,(-SUMIFS('Industrial Summary'!$G:$G,'Industrial Summary'!$F:$F,J$17,'Industrial Summary'!$D:$D,$E259,'Industrial Summary'!$A:$A,"NGA")/SUMIFS('Industrial Summary'!$G:$G,'Industrial Summary'!$F:$F,J$17,'Industrial Summary'!$D:$D,$E259)),0)*0.98</f>
        <v>-0.11303700134036207</v>
      </c>
      <c r="K259" s="6">
        <f>IF(SUMIFS('Industrial Summary'!$G:$G,'Industrial Summary'!$F:$F,K$17,'Industrial Summary'!$D:$D,$E259)&gt;0,(-SUMIFS('Industrial Summary'!$G:$G,'Industrial Summary'!$F:$F,K$17,'Industrial Summary'!$D:$D,$E259,'Industrial Summary'!$A:$A,"NGA")/SUMIFS('Industrial Summary'!$G:$G,'Industrial Summary'!$F:$F,K$17,'Industrial Summary'!$D:$D,$E259)),0)*0.98</f>
        <v>-0.19973330120632579</v>
      </c>
      <c r="L259" s="6">
        <f>IF(SUMIFS('Industrial Summary'!$G:$G,'Industrial Summary'!$F:$F,L$17,'Industrial Summary'!$D:$D,$E259)&gt;0,(-SUMIFS('Industrial Summary'!$G:$G,'Industrial Summary'!$F:$F,L$17,'Industrial Summary'!$D:$D,$E259,'Industrial Summary'!$A:$A,"NGA")/SUMIFS('Industrial Summary'!$G:$G,'Industrial Summary'!$F:$F,L$17,'Industrial Summary'!$D:$D,$E259)),0)*0.98</f>
        <v>-7.6111242096396609E-2</v>
      </c>
      <c r="M259" s="6">
        <f>IF(SUMIFS('Industrial Summary'!$G:$G,'Industrial Summary'!$F:$F,M$17,'Industrial Summary'!$D:$D,$E259)&gt;0,(-SUMIFS('Industrial Summary'!$G:$G,'Industrial Summary'!$F:$F,M$17,'Industrial Summary'!$D:$D,$E259,'Industrial Summary'!$A:$A,"NGA")/SUMIFS('Industrial Summary'!$G:$G,'Industrial Summary'!$F:$F,M$17,'Industrial Summary'!$D:$D,$E259)),0)*0.98</f>
        <v>-7.6111242096389572E-2</v>
      </c>
      <c r="N259" s="6">
        <f>IF(SUMIFS('Industrial Summary'!$G:$G,'Industrial Summary'!$F:$F,N$17,'Industrial Summary'!$D:$D,$E259)&gt;0,(-SUMIFS('Industrial Summary'!$G:$G,'Industrial Summary'!$F:$F,N$17,'Industrial Summary'!$D:$D,$E259,'Industrial Summary'!$A:$A,"NGA")/SUMIFS('Industrial Summary'!$G:$G,'Industrial Summary'!$F:$F,N$17,'Industrial Summary'!$D:$D,$E259)),0)*0.98</f>
        <v>-7.6111242096389448E-2</v>
      </c>
      <c r="O259" s="6">
        <f>IF(SUMIFS('Industrial Summary'!$G:$G,'Industrial Summary'!$F:$F,O$17,'Industrial Summary'!$D:$D,$E259)&gt;0,(-SUMIFS('Industrial Summary'!$G:$G,'Industrial Summary'!$F:$F,O$17,'Industrial Summary'!$D:$D,$E259,'Industrial Summary'!$A:$A,"NGA")/SUMIFS('Industrial Summary'!$G:$G,'Industrial Summary'!$F:$F,O$17,'Industrial Summary'!$D:$D,$E259)),0)*0.98</f>
        <v>-9.7852254116936724E-2</v>
      </c>
      <c r="P259" s="6">
        <f>IF(SUMIFS('Industrial Summary'!$G:$G,'Industrial Summary'!$F:$F,P$17,'Industrial Summary'!$D:$D,$E259)&gt;0,(-SUMIFS('Industrial Summary'!$G:$G,'Industrial Summary'!$F:$F,P$17,'Industrial Summary'!$D:$D,$E259,'Industrial Summary'!$A:$A,"NGA")/SUMIFS('Industrial Summary'!$G:$G,'Industrial Summary'!$F:$F,P$17,'Industrial Summary'!$D:$D,$E259)),0)*0.98</f>
        <v>-9.7852254116936724E-2</v>
      </c>
      <c r="Q259" s="5">
        <v>0</v>
      </c>
      <c r="R259" s="5">
        <v>15</v>
      </c>
      <c r="S259" s="5" t="str">
        <f t="shared" si="48"/>
        <v>UC_IMTMD_NGA</v>
      </c>
      <c r="V259" s="4" t="str">
        <f t="shared" si="49"/>
        <v>S_IMTMDNGA</v>
      </c>
      <c r="W259" s="4" t="str">
        <f t="shared" si="50"/>
        <v>IMTMD_NGA</v>
      </c>
      <c r="X259" s="4" t="str">
        <f t="shared" si="51"/>
        <v>IMTMDR</v>
      </c>
      <c r="Y259" s="5" t="str">
        <f t="shared" si="52"/>
        <v>LO</v>
      </c>
      <c r="Z259" s="5">
        <v>1</v>
      </c>
      <c r="AA259" s="6">
        <f t="shared" si="53"/>
        <v>-0.11204466373968973</v>
      </c>
      <c r="AB259" s="6">
        <f t="shared" si="54"/>
        <v>-0.11204466373968985</v>
      </c>
      <c r="AC259" s="6">
        <f t="shared" si="55"/>
        <v>-9.9472561179518623E-2</v>
      </c>
      <c r="AD259" s="6">
        <f t="shared" si="56"/>
        <v>-0.17576530506156671</v>
      </c>
      <c r="AE259" s="6">
        <f t="shared" si="57"/>
        <v>-6.6977893044829012E-2</v>
      </c>
      <c r="AF259" s="6">
        <f t="shared" si="58"/>
        <v>-6.6977893044822823E-2</v>
      </c>
      <c r="AG259" s="6">
        <f t="shared" si="59"/>
        <v>-6.6977893044822712E-2</v>
      </c>
      <c r="AH259" s="6">
        <f t="shared" si="60"/>
        <v>-8.6109983622904313E-2</v>
      </c>
      <c r="AI259" s="6">
        <f t="shared" si="61"/>
        <v>-8.6109983622904313E-2</v>
      </c>
      <c r="AL259" s="5" t="str">
        <f t="shared" si="62"/>
        <v>NGA</v>
      </c>
      <c r="AM259" s="5">
        <f>Y9</f>
        <v>0.88</v>
      </c>
    </row>
    <row r="260" spans="1:39" s="5" customFormat="1" x14ac:dyDescent="0.3">
      <c r="C260" s="4" t="s">
        <v>533</v>
      </c>
      <c r="D260" s="5" t="s">
        <v>534</v>
      </c>
      <c r="E260" s="5" t="s">
        <v>735</v>
      </c>
      <c r="F260" s="5" t="s">
        <v>1588</v>
      </c>
      <c r="G260" s="5">
        <v>1</v>
      </c>
      <c r="H260" s="6">
        <f>IF(SUMIFS('Industrial Summary'!$G:$G,'Industrial Summary'!$F:$F,H$17,'Industrial Summary'!$D:$D,$E260)&gt;0,(-SUMIFS('Industrial Summary'!$G:$G,'Industrial Summary'!$F:$F,H$17,'Industrial Summary'!$D:$D,$E260,'Industrial Summary'!$A:$A,"ELC")/SUMIFS('Industrial Summary'!$G:$G,'Industrial Summary'!$F:$F,H$17,'Industrial Summary'!$D:$D,$E260)),0)*0.98</f>
        <v>-0.41877987156575297</v>
      </c>
      <c r="I260" s="6">
        <f>IF(SUMIFS('Industrial Summary'!$G:$G,'Industrial Summary'!$F:$F,I$17,'Industrial Summary'!$D:$D,$E260)&gt;0,(-SUMIFS('Industrial Summary'!$G:$G,'Industrial Summary'!$F:$F,I$17,'Industrial Summary'!$D:$D,$E260,'Industrial Summary'!$A:$A,"ELC")/SUMIFS('Industrial Summary'!$G:$G,'Industrial Summary'!$F:$F,I$17,'Industrial Summary'!$D:$D,$E260)),0)*0.98</f>
        <v>-0.41877987156575319</v>
      </c>
      <c r="J260" s="6">
        <f>IF(SUMIFS('Industrial Summary'!$G:$G,'Industrial Summary'!$F:$F,J$17,'Industrial Summary'!$D:$D,$E260)&gt;0,(-SUMIFS('Industrial Summary'!$G:$G,'Industrial Summary'!$F:$F,J$17,'Industrial Summary'!$D:$D,$E260,'Industrial Summary'!$A:$A,"ELC")/SUMIFS('Industrial Summary'!$G:$G,'Industrial Summary'!$F:$F,J$17,'Industrial Summary'!$D:$D,$E260)),0)*0.98</f>
        <v>-0.27838578714845802</v>
      </c>
      <c r="K260" s="6">
        <f>IF(SUMIFS('Industrial Summary'!$G:$G,'Industrial Summary'!$F:$F,K$17,'Industrial Summary'!$D:$D,$E260)&gt;0,(-SUMIFS('Industrial Summary'!$G:$G,'Industrial Summary'!$F:$F,K$17,'Industrial Summary'!$D:$D,$E260,'Industrial Summary'!$A:$A,"ELC")/SUMIFS('Industrial Summary'!$G:$G,'Industrial Summary'!$F:$F,K$17,'Industrial Summary'!$D:$D,$E260)),0)*0.98</f>
        <v>-0.25054720843362061</v>
      </c>
      <c r="L260" s="6">
        <f>IF(SUMIFS('Industrial Summary'!$G:$G,'Industrial Summary'!$F:$F,L$17,'Industrial Summary'!$D:$D,$E260)&gt;0,(-SUMIFS('Industrial Summary'!$G:$G,'Industrial Summary'!$F:$F,L$17,'Industrial Summary'!$D:$D,$E260,'Industrial Summary'!$A:$A,"ELC")/SUMIFS('Industrial Summary'!$G:$G,'Industrial Summary'!$F:$F,L$17,'Industrial Summary'!$D:$D,$E260)),0)*0.98</f>
        <v>-0.49029078143973481</v>
      </c>
      <c r="M260" s="6">
        <f>IF(SUMIFS('Industrial Summary'!$G:$G,'Industrial Summary'!$F:$F,M$17,'Industrial Summary'!$D:$D,$E260)&gt;0,(-SUMIFS('Industrial Summary'!$G:$G,'Industrial Summary'!$F:$F,M$17,'Industrial Summary'!$D:$D,$E260,'Industrial Summary'!$A:$A,"ELC")/SUMIFS('Industrial Summary'!$G:$G,'Industrial Summary'!$F:$F,M$17,'Industrial Summary'!$D:$D,$E260)),0)*0.98</f>
        <v>-0.49029078143973431</v>
      </c>
      <c r="N260" s="6">
        <f>IF(SUMIFS('Industrial Summary'!$G:$G,'Industrial Summary'!$F:$F,N$17,'Industrial Summary'!$D:$D,$E260)&gt;0,(-SUMIFS('Industrial Summary'!$G:$G,'Industrial Summary'!$F:$F,N$17,'Industrial Summary'!$D:$D,$E260,'Industrial Summary'!$A:$A,"ELC")/SUMIFS('Industrial Summary'!$G:$G,'Industrial Summary'!$F:$F,N$17,'Industrial Summary'!$D:$D,$E260)),0)*0.98</f>
        <v>-0.4902907814397271</v>
      </c>
      <c r="O260" s="6">
        <f>IF(SUMIFS('Industrial Summary'!$G:$G,'Industrial Summary'!$F:$F,O$17,'Industrial Summary'!$D:$D,$E260)&gt;0,(-SUMIFS('Industrial Summary'!$G:$G,'Industrial Summary'!$F:$F,O$17,'Industrial Summary'!$D:$D,$E260,'Industrial Summary'!$A:$A,"ELC")/SUMIFS('Industrial Summary'!$G:$G,'Industrial Summary'!$F:$F,O$17,'Industrial Summary'!$D:$D,$E260)),0)*0.98</f>
        <v>-0.50441033533151625</v>
      </c>
      <c r="P260" s="6">
        <f>IF(SUMIFS('Industrial Summary'!$G:$G,'Industrial Summary'!$F:$F,P$17,'Industrial Summary'!$D:$D,$E260)&gt;0,(-SUMIFS('Industrial Summary'!$G:$G,'Industrial Summary'!$F:$F,P$17,'Industrial Summary'!$D:$D,$E260,'Industrial Summary'!$A:$A,"ELC")/SUMIFS('Industrial Summary'!$G:$G,'Industrial Summary'!$F:$F,P$17,'Industrial Summary'!$D:$D,$E260)),0)*0.98</f>
        <v>-0.50441033533151636</v>
      </c>
      <c r="Q260" s="5">
        <v>0</v>
      </c>
      <c r="R260" s="5">
        <v>15</v>
      </c>
      <c r="S260" s="5" t="str">
        <f t="shared" si="48"/>
        <v>UC_IMTFA_ELC</v>
      </c>
      <c r="V260" s="4" t="str">
        <f t="shared" si="49"/>
        <v>S_IMTFAELC</v>
      </c>
      <c r="W260" s="4" t="str">
        <f t="shared" si="50"/>
        <v>IMTFA_ELC</v>
      </c>
      <c r="X260" s="4" t="str">
        <f t="shared" si="51"/>
        <v>IMTFAC</v>
      </c>
      <c r="Y260" s="5" t="str">
        <f t="shared" si="52"/>
        <v>LO</v>
      </c>
      <c r="Z260" s="5">
        <v>1</v>
      </c>
      <c r="AA260" s="6">
        <f t="shared" si="53"/>
        <v>-0.41877987156575297</v>
      </c>
      <c r="AB260" s="6">
        <f t="shared" si="54"/>
        <v>-0.41877987156575319</v>
      </c>
      <c r="AC260" s="6">
        <f t="shared" si="55"/>
        <v>-0.27838578714845802</v>
      </c>
      <c r="AD260" s="6">
        <f t="shared" si="56"/>
        <v>-0.25054720843362061</v>
      </c>
      <c r="AE260" s="6">
        <f t="shared" si="57"/>
        <v>-0.49029078143973481</v>
      </c>
      <c r="AF260" s="6">
        <f t="shared" si="58"/>
        <v>-0.49029078143973431</v>
      </c>
      <c r="AG260" s="6">
        <f t="shared" si="59"/>
        <v>-0.4902907814397271</v>
      </c>
      <c r="AH260" s="6">
        <f t="shared" si="60"/>
        <v>-0.50441033533151625</v>
      </c>
      <c r="AI260" s="6">
        <f t="shared" si="61"/>
        <v>-0.50441033533151636</v>
      </c>
      <c r="AL260" s="5" t="str">
        <f t="shared" si="62"/>
        <v>ELC</v>
      </c>
      <c r="AM260" s="5">
        <f>1</f>
        <v>1</v>
      </c>
    </row>
    <row r="261" spans="1:39" s="5" customFormat="1" x14ac:dyDescent="0.3">
      <c r="C261" s="4" t="s">
        <v>535</v>
      </c>
      <c r="D261" s="5" t="s">
        <v>536</v>
      </c>
      <c r="E261" s="5" t="s">
        <v>735</v>
      </c>
      <c r="F261" s="5" t="s">
        <v>1588</v>
      </c>
      <c r="G261" s="5">
        <v>1</v>
      </c>
      <c r="H261" s="6">
        <f>IF(SUMIFS('Industrial Summary'!$G:$G,'Industrial Summary'!$F:$F,H$17,'Industrial Summary'!$D:$D,$E261)&gt;0,(-SUMIFS('Industrial Summary'!$G:$G,'Industrial Summary'!$F:$F,H$17,'Industrial Summary'!$D:$D,$E261,'Industrial Summary'!$A:$A,"DST")/SUMIFS('Industrial Summary'!$G:$G,'Industrial Summary'!$F:$F,H$17,'Industrial Summary'!$D:$D,$E261)),0)*0.98</f>
        <v>0</v>
      </c>
      <c r="I261" s="6">
        <f>IF(SUMIFS('Industrial Summary'!$G:$G,'Industrial Summary'!$F:$F,I$17,'Industrial Summary'!$D:$D,$E261)&gt;0,(-SUMIFS('Industrial Summary'!$G:$G,'Industrial Summary'!$F:$F,I$17,'Industrial Summary'!$D:$D,$E261,'Industrial Summary'!$A:$A,"DST")/SUMIFS('Industrial Summary'!$G:$G,'Industrial Summary'!$F:$F,I$17,'Industrial Summary'!$D:$D,$E261)),0)*0.98</f>
        <v>0</v>
      </c>
      <c r="J261" s="6">
        <f>IF(SUMIFS('Industrial Summary'!$G:$G,'Industrial Summary'!$F:$F,J$17,'Industrial Summary'!$D:$D,$E261)&gt;0,(-SUMIFS('Industrial Summary'!$G:$G,'Industrial Summary'!$F:$F,J$17,'Industrial Summary'!$D:$D,$E261,'Industrial Summary'!$A:$A,"DST")/SUMIFS('Industrial Summary'!$G:$G,'Industrial Summary'!$F:$F,J$17,'Industrial Summary'!$D:$D,$E261)),0)*0.98</f>
        <v>0</v>
      </c>
      <c r="K261" s="6">
        <f>IF(SUMIFS('Industrial Summary'!$G:$G,'Industrial Summary'!$F:$F,K$17,'Industrial Summary'!$D:$D,$E261)&gt;0,(-SUMIFS('Industrial Summary'!$G:$G,'Industrial Summary'!$F:$F,K$17,'Industrial Summary'!$D:$D,$E261,'Industrial Summary'!$A:$A,"DST")/SUMIFS('Industrial Summary'!$G:$G,'Industrial Summary'!$F:$F,K$17,'Industrial Summary'!$D:$D,$E261)),0)*0.98</f>
        <v>-8.8864561106298617E-2</v>
      </c>
      <c r="L261" s="6">
        <f>IF(SUMIFS('Industrial Summary'!$G:$G,'Industrial Summary'!$F:$F,L$17,'Industrial Summary'!$D:$D,$E261)&gt;0,(-SUMIFS('Industrial Summary'!$G:$G,'Industrial Summary'!$F:$F,L$17,'Industrial Summary'!$D:$D,$E261,'Industrial Summary'!$A:$A,"DST")/SUMIFS('Industrial Summary'!$G:$G,'Industrial Summary'!$F:$F,L$17,'Industrial Summary'!$D:$D,$E261)),0)*0.98</f>
        <v>-0.10220278044595449</v>
      </c>
      <c r="M261" s="6">
        <f>IF(SUMIFS('Industrial Summary'!$G:$G,'Industrial Summary'!$F:$F,M$17,'Industrial Summary'!$D:$D,$E261)&gt;0,(-SUMIFS('Industrial Summary'!$G:$G,'Industrial Summary'!$F:$F,M$17,'Industrial Summary'!$D:$D,$E261,'Industrial Summary'!$A:$A,"DST")/SUMIFS('Industrial Summary'!$G:$G,'Industrial Summary'!$F:$F,M$17,'Industrial Summary'!$D:$D,$E261)),0)*0.98</f>
        <v>-0.10220278044595492</v>
      </c>
      <c r="N261" s="6">
        <f>IF(SUMIFS('Industrial Summary'!$G:$G,'Industrial Summary'!$F:$F,N$17,'Industrial Summary'!$D:$D,$E261)&gt;0,(-SUMIFS('Industrial Summary'!$G:$G,'Industrial Summary'!$F:$F,N$17,'Industrial Summary'!$D:$D,$E261,'Industrial Summary'!$A:$A,"DST")/SUMIFS('Industrial Summary'!$G:$G,'Industrial Summary'!$F:$F,N$17,'Industrial Summary'!$D:$D,$E261)),0)*0.98</f>
        <v>-0.10220278044596814</v>
      </c>
      <c r="O261" s="6">
        <f>IF(SUMIFS('Industrial Summary'!$G:$G,'Industrial Summary'!$F:$F,O$17,'Industrial Summary'!$D:$D,$E261)&gt;0,(-SUMIFS('Industrial Summary'!$G:$G,'Industrial Summary'!$F:$F,O$17,'Industrial Summary'!$D:$D,$E261,'Industrial Summary'!$A:$A,"DST")/SUMIFS('Industrial Summary'!$G:$G,'Industrial Summary'!$F:$F,O$17,'Industrial Summary'!$D:$D,$E261)),0)*0.98</f>
        <v>0</v>
      </c>
      <c r="P261" s="6">
        <f>IF(SUMIFS('Industrial Summary'!$G:$G,'Industrial Summary'!$F:$F,P$17,'Industrial Summary'!$D:$D,$E261)&gt;0,(-SUMIFS('Industrial Summary'!$G:$G,'Industrial Summary'!$F:$F,P$17,'Industrial Summary'!$D:$D,$E261,'Industrial Summary'!$A:$A,"DST")/SUMIFS('Industrial Summary'!$G:$G,'Industrial Summary'!$F:$F,P$17,'Industrial Summary'!$D:$D,$E261)),0)*0.98</f>
        <v>0</v>
      </c>
      <c r="Q261" s="5">
        <v>0</v>
      </c>
      <c r="R261" s="5">
        <v>15</v>
      </c>
      <c r="S261" s="5" t="str">
        <f t="shared" si="48"/>
        <v>UC_IMTFA_DST</v>
      </c>
      <c r="V261" s="4" t="str">
        <f t="shared" si="49"/>
        <v>S_IMTFADST</v>
      </c>
      <c r="W261" s="4" t="str">
        <f t="shared" si="50"/>
        <v>IMTFA_DST</v>
      </c>
      <c r="X261" s="4" t="str">
        <f t="shared" si="51"/>
        <v>IMTFAC</v>
      </c>
      <c r="Y261" s="5" t="str">
        <f t="shared" si="52"/>
        <v>LO</v>
      </c>
      <c r="Z261" s="5">
        <v>1</v>
      </c>
      <c r="AA261" s="6">
        <f t="shared" si="53"/>
        <v>0</v>
      </c>
      <c r="AB261" s="6">
        <f t="shared" si="54"/>
        <v>0</v>
      </c>
      <c r="AC261" s="6">
        <f t="shared" si="55"/>
        <v>0</v>
      </c>
      <c r="AD261" s="6">
        <f t="shared" si="56"/>
        <v>-8.8864561106298617E-2</v>
      </c>
      <c r="AE261" s="6">
        <f t="shared" si="57"/>
        <v>-0.10220278044595449</v>
      </c>
      <c r="AF261" s="6">
        <f t="shared" si="58"/>
        <v>-0.10220278044595492</v>
      </c>
      <c r="AG261" s="6">
        <f t="shared" si="59"/>
        <v>-0.10220278044596814</v>
      </c>
      <c r="AH261" s="6">
        <f t="shared" si="60"/>
        <v>0</v>
      </c>
      <c r="AI261" s="6">
        <f t="shared" si="61"/>
        <v>0</v>
      </c>
      <c r="AL261" s="5" t="str">
        <f t="shared" si="62"/>
        <v>DST</v>
      </c>
      <c r="AM261" s="5">
        <f>1</f>
        <v>1</v>
      </c>
    </row>
    <row r="262" spans="1:39" s="5" customFormat="1" x14ac:dyDescent="0.3">
      <c r="A262" s="8"/>
      <c r="C262" s="4" t="s">
        <v>537</v>
      </c>
      <c r="D262" s="5" t="s">
        <v>538</v>
      </c>
      <c r="E262" s="5" t="s">
        <v>735</v>
      </c>
      <c r="F262" s="5" t="s">
        <v>1588</v>
      </c>
      <c r="G262" s="5">
        <v>1</v>
      </c>
      <c r="H262" s="6">
        <f>IF(SUMIFS('Industrial Summary'!$G:$G,'Industrial Summary'!$F:$F,H$17,'Industrial Summary'!$D:$D,$E262)&gt;0,(-SUMIFS('Industrial Summary'!$G:$G,'Industrial Summary'!$F:$F,H$17,'Industrial Summary'!$D:$D,$E262,'Industrial Summary'!$A:$A,"NGA")/SUMIFS('Industrial Summary'!$G:$G,'Industrial Summary'!$F:$F,H$17,'Industrial Summary'!$D:$D,$E262)),0)*0.98</f>
        <v>-0.5315314022517813</v>
      </c>
      <c r="I262" s="6">
        <f>IF(SUMIFS('Industrial Summary'!$G:$G,'Industrial Summary'!$F:$F,I$17,'Industrial Summary'!$D:$D,$E262)&gt;0,(-SUMIFS('Industrial Summary'!$G:$G,'Industrial Summary'!$F:$F,I$17,'Industrial Summary'!$D:$D,$E262,'Industrial Summary'!$A:$A,"NGA")/SUMIFS('Industrial Summary'!$G:$G,'Industrial Summary'!$F:$F,I$17,'Industrial Summary'!$D:$D,$E262)),0)*0.98</f>
        <v>-0.53153140225178119</v>
      </c>
      <c r="J262" s="6">
        <f>IF(SUMIFS('Industrial Summary'!$G:$G,'Industrial Summary'!$F:$F,J$17,'Industrial Summary'!$D:$D,$E262)&gt;0,(-SUMIFS('Industrial Summary'!$G:$G,'Industrial Summary'!$F:$F,J$17,'Industrial Summary'!$D:$D,$E262,'Industrial Summary'!$A:$A,"NGA")/SUMIFS('Industrial Summary'!$G:$G,'Industrial Summary'!$F:$F,J$17,'Industrial Summary'!$D:$D,$E262)),0)*0.98</f>
        <v>-0.59557157516504311</v>
      </c>
      <c r="K262" s="6">
        <f>IF(SUMIFS('Industrial Summary'!$G:$G,'Industrial Summary'!$F:$F,K$17,'Industrial Summary'!$D:$D,$E262)&gt;0,(-SUMIFS('Industrial Summary'!$G:$G,'Industrial Summary'!$F:$F,K$17,'Industrial Summary'!$D:$D,$E262,'Industrial Summary'!$A:$A,"NGA")/SUMIFS('Industrial Summary'!$G:$G,'Industrial Summary'!$F:$F,K$17,'Industrial Summary'!$D:$D,$E262)),0)*0.98</f>
        <v>-0.54514985654222825</v>
      </c>
      <c r="L262" s="6">
        <f>IF(SUMIFS('Industrial Summary'!$G:$G,'Industrial Summary'!$F:$F,L$17,'Industrial Summary'!$D:$D,$E262)&gt;0,(-SUMIFS('Industrial Summary'!$G:$G,'Industrial Summary'!$F:$F,L$17,'Industrial Summary'!$D:$D,$E262,'Industrial Summary'!$A:$A,"NGA")/SUMIFS('Industrial Summary'!$G:$G,'Industrial Summary'!$F:$F,L$17,'Industrial Summary'!$D:$D,$E262)),0)*0.98</f>
        <v>-0.35091867258959775</v>
      </c>
      <c r="M262" s="6">
        <f>IF(SUMIFS('Industrial Summary'!$G:$G,'Industrial Summary'!$F:$F,M$17,'Industrial Summary'!$D:$D,$E262)&gt;0,(-SUMIFS('Industrial Summary'!$G:$G,'Industrial Summary'!$F:$F,M$17,'Industrial Summary'!$D:$D,$E262,'Industrial Summary'!$A:$A,"NGA")/SUMIFS('Industrial Summary'!$G:$G,'Industrial Summary'!$F:$F,M$17,'Industrial Summary'!$D:$D,$E262)),0)*0.98</f>
        <v>-0.35091867258959764</v>
      </c>
      <c r="N262" s="6">
        <f>IF(SUMIFS('Industrial Summary'!$G:$G,'Industrial Summary'!$F:$F,N$17,'Industrial Summary'!$D:$D,$E262)&gt;0,(-SUMIFS('Industrial Summary'!$G:$G,'Industrial Summary'!$F:$F,N$17,'Industrial Summary'!$D:$D,$E262,'Industrial Summary'!$A:$A,"NGA")/SUMIFS('Industrial Summary'!$G:$G,'Industrial Summary'!$F:$F,N$17,'Industrial Summary'!$D:$D,$E262)),0)*0.98</f>
        <v>-0.3509186725895922</v>
      </c>
      <c r="O262" s="6">
        <f>IF(SUMIFS('Industrial Summary'!$G:$G,'Industrial Summary'!$F:$F,O$17,'Industrial Summary'!$D:$D,$E262)&gt;0,(-SUMIFS('Industrial Summary'!$G:$G,'Industrial Summary'!$F:$F,O$17,'Industrial Summary'!$D:$D,$E262,'Industrial Summary'!$A:$A,"NGA")/SUMIFS('Industrial Summary'!$G:$G,'Industrial Summary'!$F:$F,O$17,'Industrial Summary'!$D:$D,$E262)),0)*0.98</f>
        <v>-0.47558966466848379</v>
      </c>
      <c r="P262" s="6">
        <f>IF(SUMIFS('Industrial Summary'!$G:$G,'Industrial Summary'!$F:$F,P$17,'Industrial Summary'!$D:$D,$E262)&gt;0,(-SUMIFS('Industrial Summary'!$G:$G,'Industrial Summary'!$F:$F,P$17,'Industrial Summary'!$D:$D,$E262,'Industrial Summary'!$A:$A,"NGA")/SUMIFS('Industrial Summary'!$G:$G,'Industrial Summary'!$F:$F,P$17,'Industrial Summary'!$D:$D,$E262)),0)*0.98</f>
        <v>-0.47558966466848368</v>
      </c>
      <c r="Q262" s="5">
        <v>0</v>
      </c>
      <c r="R262" s="5">
        <v>15</v>
      </c>
      <c r="S262" s="5" t="str">
        <f t="shared" si="48"/>
        <v>UC_IMTFA_NGA</v>
      </c>
      <c r="V262" s="4" t="str">
        <f t="shared" si="49"/>
        <v>S_IMTFANGA</v>
      </c>
      <c r="W262" s="4" t="str">
        <f t="shared" si="50"/>
        <v>IMTFA_NGA</v>
      </c>
      <c r="X262" s="4" t="str">
        <f t="shared" si="51"/>
        <v>IMTFAC</v>
      </c>
      <c r="Y262" s="5" t="str">
        <f t="shared" si="52"/>
        <v>LO</v>
      </c>
      <c r="Z262" s="5">
        <v>1</v>
      </c>
      <c r="AA262" s="6">
        <f t="shared" si="53"/>
        <v>-0.46774763398156755</v>
      </c>
      <c r="AB262" s="6">
        <f t="shared" si="54"/>
        <v>-0.46774763398156743</v>
      </c>
      <c r="AC262" s="6">
        <f t="shared" si="55"/>
        <v>-0.52410298614523798</v>
      </c>
      <c r="AD262" s="6">
        <f t="shared" si="56"/>
        <v>-0.47973187375716086</v>
      </c>
      <c r="AE262" s="6">
        <f t="shared" si="57"/>
        <v>-0.30880843187884605</v>
      </c>
      <c r="AF262" s="6">
        <f t="shared" si="58"/>
        <v>-0.30880843187884593</v>
      </c>
      <c r="AG262" s="6">
        <f t="shared" si="59"/>
        <v>-0.30880843187884116</v>
      </c>
      <c r="AH262" s="6">
        <f t="shared" si="60"/>
        <v>-0.41851890490826577</v>
      </c>
      <c r="AI262" s="6">
        <f t="shared" si="61"/>
        <v>-0.41851890490826565</v>
      </c>
      <c r="AL262" s="5" t="str">
        <f t="shared" si="62"/>
        <v>NGA</v>
      </c>
      <c r="AM262" s="5">
        <f>Y9</f>
        <v>0.88</v>
      </c>
    </row>
    <row r="263" spans="1:39" s="5" customFormat="1" x14ac:dyDescent="0.3">
      <c r="C263" s="4" t="s">
        <v>539</v>
      </c>
      <c r="D263" s="5" t="s">
        <v>540</v>
      </c>
      <c r="E263" s="5" t="s">
        <v>735</v>
      </c>
      <c r="F263" s="5" t="s">
        <v>1591</v>
      </c>
      <c r="G263" s="5">
        <v>1</v>
      </c>
      <c r="H263" s="6">
        <f>IF(SUMIFS('Industrial Summary'!$G:$G,'Industrial Summary'!$F:$F,H$17,'Industrial Summary'!$D:$D,$E263)&gt;0,(-SUMIFS('Industrial Summary'!$G:$G,'Industrial Summary'!$F:$F,H$17,'Industrial Summary'!$D:$D,$E263,'Industrial Summary'!$A:$A,"COA")/SUMIFS('Industrial Summary'!$G:$G,'Industrial Summary'!$F:$F,H$17,'Industrial Summary'!$D:$D,$E263)),0)*0.98</f>
        <v>-2.9688726182465645E-2</v>
      </c>
      <c r="I263" s="6">
        <f>IF(SUMIFS('Industrial Summary'!$G:$G,'Industrial Summary'!$F:$F,I$17,'Industrial Summary'!$D:$D,$E263)&gt;0,(-SUMIFS('Industrial Summary'!$G:$G,'Industrial Summary'!$F:$F,I$17,'Industrial Summary'!$D:$D,$E263,'Industrial Summary'!$A:$A,"COA")/SUMIFS('Industrial Summary'!$G:$G,'Industrial Summary'!$F:$F,I$17,'Industrial Summary'!$D:$D,$E263)),0)*0.98</f>
        <v>-2.9688726182465621E-2</v>
      </c>
      <c r="J263" s="6">
        <f>IF(SUMIFS('Industrial Summary'!$G:$G,'Industrial Summary'!$F:$F,J$17,'Industrial Summary'!$D:$D,$E263)&gt;0,(-SUMIFS('Industrial Summary'!$G:$G,'Industrial Summary'!$F:$F,J$17,'Industrial Summary'!$D:$D,$E263,'Industrial Summary'!$A:$A,"COA")/SUMIFS('Industrial Summary'!$G:$G,'Industrial Summary'!$F:$F,J$17,'Industrial Summary'!$D:$D,$E263)),0)*0.98</f>
        <v>-0.10604263768649881</v>
      </c>
      <c r="K263" s="6">
        <f>IF(SUMIFS('Industrial Summary'!$G:$G,'Industrial Summary'!$F:$F,K$17,'Industrial Summary'!$D:$D,$E263)&gt;0,(-SUMIFS('Industrial Summary'!$G:$G,'Industrial Summary'!$F:$F,K$17,'Industrial Summary'!$D:$D,$E263,'Industrial Summary'!$A:$A,"COA")/SUMIFS('Industrial Summary'!$G:$G,'Industrial Summary'!$F:$F,K$17,'Industrial Summary'!$D:$D,$E263)),0)*0.98</f>
        <v>-9.5438373917852384E-2</v>
      </c>
      <c r="L263" s="6">
        <f>IF(SUMIFS('Industrial Summary'!$G:$G,'Industrial Summary'!$F:$F,L$17,'Industrial Summary'!$D:$D,$E263)&gt;0,(-SUMIFS('Industrial Summary'!$G:$G,'Industrial Summary'!$F:$F,L$17,'Industrial Summary'!$D:$D,$E263,'Industrial Summary'!$A:$A,"COA")/SUMIFS('Industrial Summary'!$G:$G,'Industrial Summary'!$F:$F,L$17,'Industrial Summary'!$D:$D,$E263)),0)*0.98</f>
        <v>-3.658776552471301E-2</v>
      </c>
      <c r="M263" s="6">
        <f>IF(SUMIFS('Industrial Summary'!$G:$G,'Industrial Summary'!$F:$F,M$17,'Industrial Summary'!$D:$D,$E263)&gt;0,(-SUMIFS('Industrial Summary'!$G:$G,'Industrial Summary'!$F:$F,M$17,'Industrial Summary'!$D:$D,$E263,'Industrial Summary'!$A:$A,"COA")/SUMIFS('Industrial Summary'!$G:$G,'Industrial Summary'!$F:$F,M$17,'Industrial Summary'!$D:$D,$E263)),0)*0.98</f>
        <v>-3.6587765524713108E-2</v>
      </c>
      <c r="N263" s="6">
        <f>IF(SUMIFS('Industrial Summary'!$G:$G,'Industrial Summary'!$F:$F,N$17,'Industrial Summary'!$D:$D,$E263)&gt;0,(-SUMIFS('Industrial Summary'!$G:$G,'Industrial Summary'!$F:$F,N$17,'Industrial Summary'!$D:$D,$E263,'Industrial Summary'!$A:$A,"COA")/SUMIFS('Industrial Summary'!$G:$G,'Industrial Summary'!$F:$F,N$17,'Industrial Summary'!$D:$D,$E263)),0)*0.98</f>
        <v>-3.6587765524712497E-2</v>
      </c>
      <c r="O263" s="6">
        <f>IF(SUMIFS('Industrial Summary'!$G:$G,'Industrial Summary'!$F:$F,O$17,'Industrial Summary'!$D:$D,$E263)&gt;0,(-SUMIFS('Industrial Summary'!$G:$G,'Industrial Summary'!$F:$F,O$17,'Industrial Summary'!$D:$D,$E263,'Industrial Summary'!$A:$A,"COA")/SUMIFS('Industrial Summary'!$G:$G,'Industrial Summary'!$F:$F,O$17,'Industrial Summary'!$D:$D,$E263)),0)*0.98</f>
        <v>0</v>
      </c>
      <c r="P263" s="6">
        <f>IF(SUMIFS('Industrial Summary'!$G:$G,'Industrial Summary'!$F:$F,P$17,'Industrial Summary'!$D:$D,$E263)&gt;0,(-SUMIFS('Industrial Summary'!$G:$G,'Industrial Summary'!$F:$F,P$17,'Industrial Summary'!$D:$D,$E263,'Industrial Summary'!$A:$A,"COA")/SUMIFS('Industrial Summary'!$G:$G,'Industrial Summary'!$F:$F,P$17,'Industrial Summary'!$D:$D,$E263)),0)*0.98</f>
        <v>0</v>
      </c>
      <c r="Q263" s="5">
        <v>0</v>
      </c>
      <c r="R263" s="5">
        <v>15</v>
      </c>
      <c r="S263" s="5" t="str">
        <f t="shared" si="48"/>
        <v>UC_IMTFA_COA</v>
      </c>
      <c r="V263" s="4" t="str">
        <f t="shared" si="49"/>
        <v>S_IMTFACOA</v>
      </c>
      <c r="W263" s="4" t="str">
        <f t="shared" si="50"/>
        <v>IMTFA_COA</v>
      </c>
      <c r="X263" s="4" t="str">
        <f t="shared" si="51"/>
        <v>IMTFAC</v>
      </c>
      <c r="Y263" s="5" t="str">
        <f t="shared" si="52"/>
        <v>UP</v>
      </c>
      <c r="Z263" s="5">
        <v>1</v>
      </c>
      <c r="AA263" s="6">
        <f t="shared" si="53"/>
        <v>-2.8798064396991674E-2</v>
      </c>
      <c r="AB263" s="6">
        <f t="shared" si="54"/>
        <v>-2.8798064396991653E-2</v>
      </c>
      <c r="AC263" s="6">
        <f t="shared" si="55"/>
        <v>-0.10286135855590385</v>
      </c>
      <c r="AD263" s="6">
        <f t="shared" si="56"/>
        <v>-9.2575222700316817E-2</v>
      </c>
      <c r="AE263" s="6">
        <f t="shared" si="57"/>
        <v>-3.549013255897162E-2</v>
      </c>
      <c r="AF263" s="6">
        <f t="shared" si="58"/>
        <v>-3.5490132558971717E-2</v>
      </c>
      <c r="AG263" s="6">
        <f t="shared" si="59"/>
        <v>-3.549013255897112E-2</v>
      </c>
      <c r="AH263" s="6">
        <f t="shared" si="60"/>
        <v>0</v>
      </c>
      <c r="AI263" s="6">
        <f t="shared" si="61"/>
        <v>0</v>
      </c>
      <c r="AL263" s="5" t="str">
        <f t="shared" si="62"/>
        <v>COA</v>
      </c>
      <c r="AM263" s="5">
        <f>Z9</f>
        <v>0.97</v>
      </c>
    </row>
    <row r="264" spans="1:39" s="5" customFormat="1" x14ac:dyDescent="0.3">
      <c r="C264" s="4" t="s">
        <v>541</v>
      </c>
      <c r="D264" s="5" t="s">
        <v>542</v>
      </c>
      <c r="E264" s="5" t="s">
        <v>765</v>
      </c>
      <c r="F264" s="5" t="s">
        <v>1588</v>
      </c>
      <c r="G264" s="5">
        <v>1</v>
      </c>
      <c r="H264" s="6">
        <f>(IF(SUMIFS('Industrial Summary'!$G:$G,'Industrial Summary'!$F:$F,H$17,'Industrial Summary'!$D:$D,$E264)&gt;0,((-SUMIFS('Industrial Summary'!$G:$G,'Industrial Summary'!$F:$F,H$17,'Industrial Summary'!$D:$D,$E264,'Industrial Summary'!$A:$A,"ELC")+-SUMIFS('Industrial Summary'!$G:$G,'Industrial Summary'!$F:$F,H$17,'Industrial Summary'!$D:$D,"IMTRSTM",'Industrial Summary'!$A:$A,"ELC"))/SUMIFS('Industrial Summary'!$G:$G,'Industrial Summary'!$F:$F,H$17,'Industrial Summary'!$D:$D,$E264)),0))*0.98</f>
        <v>-8.1824846816669447E-2</v>
      </c>
      <c r="I264" s="6">
        <f>(IF(SUMIFS('Industrial Summary'!$G:$G,'Industrial Summary'!$F:$F,I$17,'Industrial Summary'!$D:$D,$E264)&gt;0,((-SUMIFS('Industrial Summary'!$G:$G,'Industrial Summary'!$F:$F,I$17,'Industrial Summary'!$D:$D,$E264,'Industrial Summary'!$A:$A,"ELC")+-SUMIFS('Industrial Summary'!$G:$G,'Industrial Summary'!$F:$F,I$17,'Industrial Summary'!$D:$D,"IMTRSTM",'Industrial Summary'!$A:$A,"ELC"))/SUMIFS('Industrial Summary'!$G:$G,'Industrial Summary'!$F:$F,I$17,'Industrial Summary'!$D:$D,$E264)),0))*0.98</f>
        <v>-8.1824846816669641E-2</v>
      </c>
      <c r="J264" s="6">
        <f>(IF(SUMIFS('Industrial Summary'!$G:$G,'Industrial Summary'!$F:$F,J$17,'Industrial Summary'!$D:$D,$E264)&gt;0,((-SUMIFS('Industrial Summary'!$G:$G,'Industrial Summary'!$F:$F,J$17,'Industrial Summary'!$D:$D,$E264,'Industrial Summary'!$A:$A,"ELC")+-SUMIFS('Industrial Summary'!$G:$G,'Industrial Summary'!$F:$F,J$17,'Industrial Summary'!$D:$D,"IMTRSTM",'Industrial Summary'!$A:$A,"ELC"))/SUMIFS('Industrial Summary'!$G:$G,'Industrial Summary'!$F:$F,J$17,'Industrial Summary'!$D:$D,$E264)),0))*0.98</f>
        <v>-1.9350401847618732E-2</v>
      </c>
      <c r="K264" s="6">
        <f>(IF(SUMIFS('Industrial Summary'!$G:$G,'Industrial Summary'!$F:$F,K$17,'Industrial Summary'!$D:$D,$E264)&gt;0,((-SUMIFS('Industrial Summary'!$G:$G,'Industrial Summary'!$F:$F,K$17,'Industrial Summary'!$D:$D,$E264,'Industrial Summary'!$A:$A,"ELC")+-SUMIFS('Industrial Summary'!$G:$G,'Industrial Summary'!$F:$F,K$17,'Industrial Summary'!$D:$D,"IMTRSTM",'Industrial Summary'!$A:$A,"ELC"))/SUMIFS('Industrial Summary'!$G:$G,'Industrial Summary'!$F:$F,K$17,'Industrial Summary'!$D:$D,$E264)),0))*0.98</f>
        <v>-1.7415361662856874E-2</v>
      </c>
      <c r="L264" s="6">
        <f>(IF(SUMIFS('Industrial Summary'!$G:$G,'Industrial Summary'!$F:$F,L$17,'Industrial Summary'!$D:$D,$E264)&gt;0,((-SUMIFS('Industrial Summary'!$G:$G,'Industrial Summary'!$F:$F,L$17,'Industrial Summary'!$D:$D,$E264,'Industrial Summary'!$A:$A,"ELC")+-SUMIFS('Industrial Summary'!$G:$G,'Industrial Summary'!$F:$F,L$17,'Industrial Summary'!$D:$D,"IMTRSTM",'Industrial Summary'!$A:$A,"ELC"))/SUMIFS('Industrial Summary'!$G:$G,'Industrial Summary'!$F:$F,L$17,'Industrial Summary'!$D:$D,$E264)),0))*0.98</f>
        <v>-0.11131811146604795</v>
      </c>
      <c r="M264" s="6">
        <f>(IF(SUMIFS('Industrial Summary'!$G:$G,'Industrial Summary'!$F:$F,M$17,'Industrial Summary'!$D:$D,$E264)&gt;0,((-SUMIFS('Industrial Summary'!$G:$G,'Industrial Summary'!$F:$F,M$17,'Industrial Summary'!$D:$D,$E264,'Industrial Summary'!$A:$A,"ELC")+-SUMIFS('Industrial Summary'!$G:$G,'Industrial Summary'!$F:$F,M$17,'Industrial Summary'!$D:$D,"IMTRSTM",'Industrial Summary'!$A:$A,"ELC"))/SUMIFS('Industrial Summary'!$G:$G,'Industrial Summary'!$F:$F,M$17,'Industrial Summary'!$D:$D,$E264)),0))*0.98</f>
        <v>-0.11131811146604775</v>
      </c>
      <c r="N264" s="6">
        <f>(IF(SUMIFS('Industrial Summary'!$G:$G,'Industrial Summary'!$F:$F,N$17,'Industrial Summary'!$D:$D,$E264)&gt;0,((-SUMIFS('Industrial Summary'!$G:$G,'Industrial Summary'!$F:$F,N$17,'Industrial Summary'!$D:$D,$E264,'Industrial Summary'!$A:$A,"ELC")+-SUMIFS('Industrial Summary'!$G:$G,'Industrial Summary'!$F:$F,N$17,'Industrial Summary'!$D:$D,"IMTRSTM",'Industrial Summary'!$A:$A,"ELC"))/SUMIFS('Industrial Summary'!$G:$G,'Industrial Summary'!$F:$F,N$17,'Industrial Summary'!$D:$D,$E264)),0))*0.98</f>
        <v>-0.11131811146604804</v>
      </c>
      <c r="O264" s="6">
        <f>(IF(SUMIFS('Industrial Summary'!$G:$G,'Industrial Summary'!$F:$F,O$17,'Industrial Summary'!$D:$D,$E264)&gt;0,((-SUMIFS('Industrial Summary'!$G:$G,'Industrial Summary'!$F:$F,O$17,'Industrial Summary'!$D:$D,$E264,'Industrial Summary'!$A:$A,"ELC")+-SUMIFS('Industrial Summary'!$G:$G,'Industrial Summary'!$F:$F,O$17,'Industrial Summary'!$D:$D,"IMTRSTM",'Industrial Summary'!$A:$A,"ELC"))/SUMIFS('Industrial Summary'!$G:$G,'Industrial Summary'!$F:$F,O$17,'Industrial Summary'!$D:$D,$E264)),0))*0.98</f>
        <v>-0.23693077850749231</v>
      </c>
      <c r="P264" s="6">
        <f>(IF(SUMIFS('Industrial Summary'!$G:$G,'Industrial Summary'!$F:$F,P$17,'Industrial Summary'!$D:$D,$E264)&gt;0,((-SUMIFS('Industrial Summary'!$G:$G,'Industrial Summary'!$F:$F,P$17,'Industrial Summary'!$D:$D,$E264,'Industrial Summary'!$A:$A,"ELC")+-SUMIFS('Industrial Summary'!$G:$G,'Industrial Summary'!$F:$F,P$17,'Industrial Summary'!$D:$D,"IMTRSTM",'Industrial Summary'!$A:$A,"ELC"))/SUMIFS('Industrial Summary'!$G:$G,'Industrial Summary'!$F:$F,P$17,'Industrial Summary'!$D:$D,$E264)),0))*0.98</f>
        <v>-0.23693077850752142</v>
      </c>
      <c r="Q264" s="5">
        <v>0</v>
      </c>
      <c r="R264" s="5">
        <v>15</v>
      </c>
      <c r="S264" s="5" t="str">
        <f t="shared" si="48"/>
        <v>UC_IMTOH_ELC</v>
      </c>
      <c r="V264" s="4" t="str">
        <f t="shared" si="49"/>
        <v>S_IMTOHELC</v>
      </c>
      <c r="W264" s="4" t="str">
        <f t="shared" si="50"/>
        <v>IMTOH_ELC</v>
      </c>
      <c r="X264" s="4" t="str">
        <f t="shared" si="51"/>
        <v>IMTOHT</v>
      </c>
      <c r="Y264" s="5" t="str">
        <f t="shared" si="52"/>
        <v>LO</v>
      </c>
      <c r="Z264" s="5">
        <v>1</v>
      </c>
      <c r="AA264" s="6">
        <f t="shared" si="53"/>
        <v>-8.1824846816669447E-2</v>
      </c>
      <c r="AB264" s="6">
        <f t="shared" si="54"/>
        <v>-8.1824846816669641E-2</v>
      </c>
      <c r="AC264" s="6">
        <f t="shared" si="55"/>
        <v>-1.9350401847618732E-2</v>
      </c>
      <c r="AD264" s="6">
        <f t="shared" si="56"/>
        <v>-1.7415361662856874E-2</v>
      </c>
      <c r="AE264" s="6">
        <f t="shared" si="57"/>
        <v>-0.11131811146604795</v>
      </c>
      <c r="AF264" s="6">
        <f t="shared" si="58"/>
        <v>-0.11131811146604775</v>
      </c>
      <c r="AG264" s="6">
        <f t="shared" si="59"/>
        <v>-0.11131811146604804</v>
      </c>
      <c r="AH264" s="6">
        <f t="shared" si="60"/>
        <v>-0.23693077850749231</v>
      </c>
      <c r="AI264" s="6">
        <f t="shared" si="61"/>
        <v>-0.23693077850752142</v>
      </c>
      <c r="AL264" s="5" t="str">
        <f t="shared" si="62"/>
        <v>ELC</v>
      </c>
      <c r="AM264" s="5">
        <f>1</f>
        <v>1</v>
      </c>
    </row>
    <row r="265" spans="1:39" s="5" customFormat="1" x14ac:dyDescent="0.3">
      <c r="C265" s="4" t="s">
        <v>543</v>
      </c>
      <c r="D265" s="5" t="s">
        <v>544</v>
      </c>
      <c r="E265" s="5" t="s">
        <v>765</v>
      </c>
      <c r="F265" s="5" t="s">
        <v>1588</v>
      </c>
      <c r="G265" s="5">
        <v>1</v>
      </c>
      <c r="H265" s="6">
        <f>(IF(SUMIFS('Industrial Summary'!$G:$G,'Industrial Summary'!$F:$F,H$17,'Industrial Summary'!$D:$D,$E265)&gt;0,((-SUMIFS('Industrial Summary'!$G:$G,'Industrial Summary'!$F:$F,H$17,'Industrial Summary'!$D:$D,$E265,'Industrial Summary'!$A:$A,"RFL")+-SUMIFS('Industrial Summary'!$G:$G,'Industrial Summary'!$F:$F,H$17,'Industrial Summary'!$D:$D,"IMTRSTM",'Industrial Summary'!$A:$A,"RFL"))/SUMIFS('Industrial Summary'!$G:$G,'Industrial Summary'!$F:$F,H$17,'Industrial Summary'!$D:$D,$E265)),0))*0.98</f>
        <v>-0.89817515318333052</v>
      </c>
      <c r="I265" s="6">
        <f>(IF(SUMIFS('Industrial Summary'!$G:$G,'Industrial Summary'!$F:$F,I$17,'Industrial Summary'!$D:$D,$E265)&gt;0,((-SUMIFS('Industrial Summary'!$G:$G,'Industrial Summary'!$F:$F,I$17,'Industrial Summary'!$D:$D,$E265,'Industrial Summary'!$A:$A,"RFL")+-SUMIFS('Industrial Summary'!$G:$G,'Industrial Summary'!$F:$F,I$17,'Industrial Summary'!$D:$D,"IMTRSTM",'Industrial Summary'!$A:$A,"RFL"))/SUMIFS('Industrial Summary'!$G:$G,'Industrial Summary'!$F:$F,I$17,'Industrial Summary'!$D:$D,$E265)),0))*0.98</f>
        <v>-0.89817515318333041</v>
      </c>
      <c r="J265" s="6">
        <f>(IF(SUMIFS('Industrial Summary'!$G:$G,'Industrial Summary'!$F:$F,J$17,'Industrial Summary'!$D:$D,$E265)&gt;0,((-SUMIFS('Industrial Summary'!$G:$G,'Industrial Summary'!$F:$F,J$17,'Industrial Summary'!$D:$D,$E265,'Industrial Summary'!$A:$A,"RFL")+-SUMIFS('Industrial Summary'!$G:$G,'Industrial Summary'!$F:$F,J$17,'Industrial Summary'!$D:$D,"IMTRSTM",'Industrial Summary'!$A:$A,"RFL"))/SUMIFS('Industrial Summary'!$G:$G,'Industrial Summary'!$F:$F,J$17,'Industrial Summary'!$D:$D,$E265)),0))*0.98</f>
        <v>-5.9948600327048608E-2</v>
      </c>
      <c r="K265" s="6">
        <f>(IF(SUMIFS('Industrial Summary'!$G:$G,'Industrial Summary'!$F:$F,K$17,'Industrial Summary'!$D:$D,$E265)&gt;0,((-SUMIFS('Industrial Summary'!$G:$G,'Industrial Summary'!$F:$F,K$17,'Industrial Summary'!$D:$D,$E265,'Industrial Summary'!$A:$A,"RFL")+-SUMIFS('Industrial Summary'!$G:$G,'Industrial Summary'!$F:$F,K$17,'Industrial Summary'!$D:$D,"IMTRSTM",'Industrial Summary'!$A:$A,"RFL"))/SUMIFS('Industrial Summary'!$G:$G,'Industrial Summary'!$F:$F,K$17,'Industrial Summary'!$D:$D,$E265)),0))*0.98</f>
        <v>-0.15195374029434477</v>
      </c>
      <c r="L265" s="6">
        <f>(IF(SUMIFS('Industrial Summary'!$G:$G,'Industrial Summary'!$F:$F,L$17,'Industrial Summary'!$D:$D,$E265)&gt;0,((-SUMIFS('Industrial Summary'!$G:$G,'Industrial Summary'!$F:$F,L$17,'Industrial Summary'!$D:$D,$E265,'Industrial Summary'!$A:$A,"RFL")+-SUMIFS('Industrial Summary'!$G:$G,'Industrial Summary'!$F:$F,L$17,'Industrial Summary'!$D:$D,"IMTRSTM",'Industrial Summary'!$A:$A,"RFL"))/SUMIFS('Industrial Summary'!$G:$G,'Industrial Summary'!$F:$F,L$17,'Industrial Summary'!$D:$D,$E265)),0))*0.98</f>
        <v>-0.43364268348071222</v>
      </c>
      <c r="M265" s="6">
        <f>(IF(SUMIFS('Industrial Summary'!$G:$G,'Industrial Summary'!$F:$F,M$17,'Industrial Summary'!$D:$D,$E265)&gt;0,((-SUMIFS('Industrial Summary'!$G:$G,'Industrial Summary'!$F:$F,M$17,'Industrial Summary'!$D:$D,$E265,'Industrial Summary'!$A:$A,"RFL")+-SUMIFS('Industrial Summary'!$G:$G,'Industrial Summary'!$F:$F,M$17,'Industrial Summary'!$D:$D,"IMTRSTM",'Industrial Summary'!$A:$A,"RFL"))/SUMIFS('Industrial Summary'!$G:$G,'Industrial Summary'!$F:$F,M$17,'Industrial Summary'!$D:$D,$E265)),0))*0.98</f>
        <v>-0.43364268348071117</v>
      </c>
      <c r="N265" s="6">
        <f>(IF(SUMIFS('Industrial Summary'!$G:$G,'Industrial Summary'!$F:$F,N$17,'Industrial Summary'!$D:$D,$E265)&gt;0,((-SUMIFS('Industrial Summary'!$G:$G,'Industrial Summary'!$F:$F,N$17,'Industrial Summary'!$D:$D,$E265,'Industrial Summary'!$A:$A,"RFL")+-SUMIFS('Industrial Summary'!$G:$G,'Industrial Summary'!$F:$F,N$17,'Industrial Summary'!$D:$D,"IMTRSTM",'Industrial Summary'!$A:$A,"RFL"))/SUMIFS('Industrial Summary'!$G:$G,'Industrial Summary'!$F:$F,N$17,'Industrial Summary'!$D:$D,$E265)),0))*0.98</f>
        <v>-0.43364268348071078</v>
      </c>
      <c r="O265" s="6">
        <f>(IF(SUMIFS('Industrial Summary'!$G:$G,'Industrial Summary'!$F:$F,O$17,'Industrial Summary'!$D:$D,$E265)&gt;0,((-SUMIFS('Industrial Summary'!$G:$G,'Industrial Summary'!$F:$F,O$17,'Industrial Summary'!$D:$D,$E265,'Industrial Summary'!$A:$A,"RFL")+-SUMIFS('Industrial Summary'!$G:$G,'Industrial Summary'!$F:$F,O$17,'Industrial Summary'!$D:$D,"IMTRSTM",'Industrial Summary'!$A:$A,"RFL"))/SUMIFS('Industrial Summary'!$G:$G,'Industrial Summary'!$F:$F,O$17,'Industrial Summary'!$D:$D,$E265)),0))*0.98</f>
        <v>-0.74306922149250765</v>
      </c>
      <c r="P265" s="6">
        <f>(IF(SUMIFS('Industrial Summary'!$G:$G,'Industrial Summary'!$F:$F,P$17,'Industrial Summary'!$D:$D,$E265)&gt;0,((-SUMIFS('Industrial Summary'!$G:$G,'Industrial Summary'!$F:$F,P$17,'Industrial Summary'!$D:$D,$E265,'Industrial Summary'!$A:$A,"RFL")+-SUMIFS('Industrial Summary'!$G:$G,'Industrial Summary'!$F:$F,P$17,'Industrial Summary'!$D:$D,"IMTRSTM",'Industrial Summary'!$A:$A,"RFL"))/SUMIFS('Industrial Summary'!$G:$G,'Industrial Summary'!$F:$F,P$17,'Industrial Summary'!$D:$D,$E265)),0))*0.98</f>
        <v>-0.74306922149247856</v>
      </c>
      <c r="Q265" s="5">
        <v>0</v>
      </c>
      <c r="R265" s="5">
        <v>15</v>
      </c>
      <c r="S265" s="5" t="str">
        <f t="shared" si="48"/>
        <v>UC_IMTOH_RFL</v>
      </c>
      <c r="V265" s="4" t="str">
        <f t="shared" si="49"/>
        <v>S_IMTOHRFL</v>
      </c>
      <c r="W265" s="4" t="str">
        <f t="shared" si="50"/>
        <v>IMTOH_RFL</v>
      </c>
      <c r="X265" s="4" t="str">
        <f t="shared" si="51"/>
        <v>IMTOHT</v>
      </c>
      <c r="Y265" s="5" t="str">
        <f t="shared" si="52"/>
        <v>LO</v>
      </c>
      <c r="Z265" s="5">
        <v>1</v>
      </c>
      <c r="AA265" s="6">
        <f t="shared" si="53"/>
        <v>-0.89817515318333052</v>
      </c>
      <c r="AB265" s="6">
        <f t="shared" si="54"/>
        <v>-0.89817515318333041</v>
      </c>
      <c r="AC265" s="6">
        <f t="shared" si="55"/>
        <v>-5.9948600327048608E-2</v>
      </c>
      <c r="AD265" s="6">
        <f t="shared" si="56"/>
        <v>-0.15195374029434477</v>
      </c>
      <c r="AE265" s="6">
        <f t="shared" si="57"/>
        <v>-0.43364268348071222</v>
      </c>
      <c r="AF265" s="6">
        <f t="shared" si="58"/>
        <v>-0.43364268348071117</v>
      </c>
      <c r="AG265" s="6">
        <f t="shared" si="59"/>
        <v>-0.43364268348071078</v>
      </c>
      <c r="AH265" s="6">
        <f t="shared" si="60"/>
        <v>-0.74306922149250765</v>
      </c>
      <c r="AI265" s="6">
        <f t="shared" si="61"/>
        <v>-0.74306922149247856</v>
      </c>
      <c r="AL265" s="5" t="str">
        <f t="shared" si="62"/>
        <v>RFL</v>
      </c>
      <c r="AM265" s="5">
        <f>1</f>
        <v>1</v>
      </c>
    </row>
    <row r="266" spans="1:39" s="5" customFormat="1" x14ac:dyDescent="0.3">
      <c r="C266" s="4" t="s">
        <v>545</v>
      </c>
      <c r="D266" s="5" t="s">
        <v>546</v>
      </c>
      <c r="E266" s="5" t="s">
        <v>765</v>
      </c>
      <c r="F266" s="5" t="s">
        <v>1588</v>
      </c>
      <c r="G266" s="5">
        <v>1</v>
      </c>
      <c r="H266" s="6">
        <f>(IF(SUMIFS('Industrial Summary'!$G:$G,'Industrial Summary'!$F:$F,H$17,'Industrial Summary'!$D:$D,$E266)&gt;0,((-SUMIFS('Industrial Summary'!$G:$G,'Industrial Summary'!$F:$F,H$17,'Industrial Summary'!$D:$D,$E266,'Industrial Summary'!$A:$A,"BIO")+-SUMIFS('Industrial Summary'!$G:$G,'Industrial Summary'!$F:$F,H$17,'Industrial Summary'!$D:$D,"IMTRSTM",'Industrial Summary'!$A:$A,"BIO"))/SUMIFS('Industrial Summary'!$G:$G,'Industrial Summary'!$F:$F,H$17,'Industrial Summary'!$D:$D,$E266)),0))*0.98</f>
        <v>0</v>
      </c>
      <c r="I266" s="6">
        <f>(IF(SUMIFS('Industrial Summary'!$G:$G,'Industrial Summary'!$F:$F,I$17,'Industrial Summary'!$D:$D,$E266)&gt;0,((-SUMIFS('Industrial Summary'!$G:$G,'Industrial Summary'!$F:$F,I$17,'Industrial Summary'!$D:$D,$E266,'Industrial Summary'!$A:$A,"BIO")+-SUMIFS('Industrial Summary'!$G:$G,'Industrial Summary'!$F:$F,I$17,'Industrial Summary'!$D:$D,"IMTRSTM",'Industrial Summary'!$A:$A,"BIO"))/SUMIFS('Industrial Summary'!$G:$G,'Industrial Summary'!$F:$F,I$17,'Industrial Summary'!$D:$D,$E266)),0))*0.98</f>
        <v>0</v>
      </c>
      <c r="J266" s="6">
        <f>(IF(SUMIFS('Industrial Summary'!$G:$G,'Industrial Summary'!$F:$F,J$17,'Industrial Summary'!$D:$D,$E266)&gt;0,((-SUMIFS('Industrial Summary'!$G:$G,'Industrial Summary'!$F:$F,J$17,'Industrial Summary'!$D:$D,$E266,'Industrial Summary'!$A:$A,"BIO")+-SUMIFS('Industrial Summary'!$G:$G,'Industrial Summary'!$F:$F,J$17,'Industrial Summary'!$D:$D,"IMTRSTM",'Industrial Summary'!$A:$A,"BIO"))/SUMIFS('Industrial Summary'!$G:$G,'Industrial Summary'!$F:$F,J$17,'Industrial Summary'!$D:$D,$E266)),0))*0.98</f>
        <v>-7.6394437780738622E-2</v>
      </c>
      <c r="K266" s="6">
        <f>(IF(SUMIFS('Industrial Summary'!$G:$G,'Industrial Summary'!$F:$F,K$17,'Industrial Summary'!$D:$D,$E266)&gt;0,((-SUMIFS('Industrial Summary'!$G:$G,'Industrial Summary'!$F:$F,K$17,'Industrial Summary'!$D:$D,$E266,'Industrial Summary'!$A:$A,"BIO")+-SUMIFS('Industrial Summary'!$G:$G,'Industrial Summary'!$F:$F,K$17,'Industrial Summary'!$D:$D,"IMTRSTM",'Industrial Summary'!$A:$A,"BIO"))/SUMIFS('Industrial Summary'!$G:$G,'Industrial Summary'!$F:$F,K$17,'Industrial Summary'!$D:$D,$E266)),0))*0.98</f>
        <v>-6.8754994002664882E-2</v>
      </c>
      <c r="L266" s="6">
        <f>(IF(SUMIFS('Industrial Summary'!$G:$G,'Industrial Summary'!$F:$F,L$17,'Industrial Summary'!$D:$D,$E266)&gt;0,((-SUMIFS('Industrial Summary'!$G:$G,'Industrial Summary'!$F:$F,L$17,'Industrial Summary'!$D:$D,$E266,'Industrial Summary'!$A:$A,"BIO")+-SUMIFS('Industrial Summary'!$G:$G,'Industrial Summary'!$F:$F,L$17,'Industrial Summary'!$D:$D,"IMTRSTM",'Industrial Summary'!$A:$A,"BIO"))/SUMIFS('Industrial Summary'!$G:$G,'Industrial Summary'!$F:$F,L$17,'Industrial Summary'!$D:$D,$E266)),0))*0.98</f>
        <v>-3.6898566297654707E-2</v>
      </c>
      <c r="M266" s="6">
        <f>(IF(SUMIFS('Industrial Summary'!$G:$G,'Industrial Summary'!$F:$F,M$17,'Industrial Summary'!$D:$D,$E266)&gt;0,((-SUMIFS('Industrial Summary'!$G:$G,'Industrial Summary'!$F:$F,M$17,'Industrial Summary'!$D:$D,$E266,'Industrial Summary'!$A:$A,"BIO")+-SUMIFS('Industrial Summary'!$G:$G,'Industrial Summary'!$F:$F,M$17,'Industrial Summary'!$D:$D,"IMTRSTM",'Industrial Summary'!$A:$A,"BIO"))/SUMIFS('Industrial Summary'!$G:$G,'Industrial Summary'!$F:$F,M$17,'Industrial Summary'!$D:$D,$E266)),0))*0.98</f>
        <v>-3.689856629765477E-2</v>
      </c>
      <c r="N266" s="6">
        <f>(IF(SUMIFS('Industrial Summary'!$G:$G,'Industrial Summary'!$F:$F,N$17,'Industrial Summary'!$D:$D,$E266)&gt;0,((-SUMIFS('Industrial Summary'!$G:$G,'Industrial Summary'!$F:$F,N$17,'Industrial Summary'!$D:$D,$E266,'Industrial Summary'!$A:$A,"BIO")+-SUMIFS('Industrial Summary'!$G:$G,'Industrial Summary'!$F:$F,N$17,'Industrial Summary'!$D:$D,"IMTRSTM",'Industrial Summary'!$A:$A,"BIO"))/SUMIFS('Industrial Summary'!$G:$G,'Industrial Summary'!$F:$F,N$17,'Industrial Summary'!$D:$D,$E266)),0))*0.98</f>
        <v>-3.6898566297654783E-2</v>
      </c>
      <c r="O266" s="6">
        <f>(IF(SUMIFS('Industrial Summary'!$G:$G,'Industrial Summary'!$F:$F,O$17,'Industrial Summary'!$D:$D,$E266)&gt;0,((-SUMIFS('Industrial Summary'!$G:$G,'Industrial Summary'!$F:$F,O$17,'Industrial Summary'!$D:$D,$E266,'Industrial Summary'!$A:$A,"BIO")+-SUMIFS('Industrial Summary'!$G:$G,'Industrial Summary'!$F:$F,O$17,'Industrial Summary'!$D:$D,"IMTRSTM",'Industrial Summary'!$A:$A,"BIO"))/SUMIFS('Industrial Summary'!$G:$G,'Industrial Summary'!$F:$F,O$17,'Industrial Summary'!$D:$D,$E266)),0))*0.98</f>
        <v>0</v>
      </c>
      <c r="P266" s="6">
        <f>(IF(SUMIFS('Industrial Summary'!$G:$G,'Industrial Summary'!$F:$F,P$17,'Industrial Summary'!$D:$D,$E266)&gt;0,((-SUMIFS('Industrial Summary'!$G:$G,'Industrial Summary'!$F:$F,P$17,'Industrial Summary'!$D:$D,$E266,'Industrial Summary'!$A:$A,"BIO")+-SUMIFS('Industrial Summary'!$G:$G,'Industrial Summary'!$F:$F,P$17,'Industrial Summary'!$D:$D,"IMTRSTM",'Industrial Summary'!$A:$A,"BIO"))/SUMIFS('Industrial Summary'!$G:$G,'Industrial Summary'!$F:$F,P$17,'Industrial Summary'!$D:$D,$E266)),0))*0.98</f>
        <v>0</v>
      </c>
      <c r="Q266" s="5">
        <v>0</v>
      </c>
      <c r="R266" s="5">
        <v>15</v>
      </c>
      <c r="S266" s="5" t="str">
        <f t="shared" si="48"/>
        <v>UC_IMTOH_BIO</v>
      </c>
      <c r="V266" s="4" t="str">
        <f t="shared" si="49"/>
        <v>S_IMTOHBIO</v>
      </c>
      <c r="W266" s="4" t="str">
        <f t="shared" si="50"/>
        <v>IMTOH_BIO</v>
      </c>
      <c r="X266" s="4" t="str">
        <f t="shared" si="51"/>
        <v>IMTOHT</v>
      </c>
      <c r="Y266" s="5" t="str">
        <f t="shared" si="52"/>
        <v>LO</v>
      </c>
      <c r="Z266" s="5">
        <v>1</v>
      </c>
      <c r="AA266" s="6">
        <f t="shared" si="53"/>
        <v>0</v>
      </c>
      <c r="AB266" s="6">
        <f t="shared" si="54"/>
        <v>0</v>
      </c>
      <c r="AC266" s="6">
        <f t="shared" si="55"/>
        <v>-7.6394437780738622E-2</v>
      </c>
      <c r="AD266" s="6">
        <f t="shared" si="56"/>
        <v>-6.8754994002664882E-2</v>
      </c>
      <c r="AE266" s="6">
        <f t="shared" si="57"/>
        <v>-3.6898566297654707E-2</v>
      </c>
      <c r="AF266" s="6">
        <f t="shared" si="58"/>
        <v>-3.689856629765477E-2</v>
      </c>
      <c r="AG266" s="6">
        <f t="shared" si="59"/>
        <v>-3.6898566297654783E-2</v>
      </c>
      <c r="AH266" s="6">
        <f t="shared" si="60"/>
        <v>0</v>
      </c>
      <c r="AI266" s="6">
        <f t="shared" si="61"/>
        <v>0</v>
      </c>
      <c r="AL266" s="5" t="str">
        <f t="shared" si="62"/>
        <v>BIO</v>
      </c>
      <c r="AM266" s="5">
        <f>1</f>
        <v>1</v>
      </c>
    </row>
    <row r="267" spans="1:39" s="5" customFormat="1" x14ac:dyDescent="0.3">
      <c r="A267" s="8"/>
      <c r="C267" s="4" t="s">
        <v>547</v>
      </c>
      <c r="D267" s="5" t="s">
        <v>548</v>
      </c>
      <c r="E267" s="5" t="s">
        <v>765</v>
      </c>
      <c r="F267" s="5" t="s">
        <v>1588</v>
      </c>
      <c r="G267" s="5">
        <v>1</v>
      </c>
      <c r="H267" s="6">
        <f>(IF(SUMIFS('Industrial Summary'!$G:$G,'Industrial Summary'!$F:$F,H$17,'Industrial Summary'!$D:$D,$E267)&gt;0,((-SUMIFS('Industrial Summary'!$G:$G,'Industrial Summary'!$F:$F,H$17,'Industrial Summary'!$D:$D,$E267,'Industrial Summary'!$A:$A,"PTC")+-SUMIFS('Industrial Summary'!$G:$G,'Industrial Summary'!$F:$F,H$17,'Industrial Summary'!$D:$D,"IMTRSTM",'Industrial Summary'!$A:$A,"PTC"))/SUMIFS('Industrial Summary'!$G:$G,'Industrial Summary'!$F:$F,H$17,'Industrial Summary'!$D:$D,$E267)),0))*0.98</f>
        <v>0</v>
      </c>
      <c r="I267" s="6">
        <f>(IF(SUMIFS('Industrial Summary'!$G:$G,'Industrial Summary'!$F:$F,I$17,'Industrial Summary'!$D:$D,$E267)&gt;0,((-SUMIFS('Industrial Summary'!$G:$G,'Industrial Summary'!$F:$F,I$17,'Industrial Summary'!$D:$D,$E267,'Industrial Summary'!$A:$A,"PTC")+-SUMIFS('Industrial Summary'!$G:$G,'Industrial Summary'!$F:$F,I$17,'Industrial Summary'!$D:$D,"IMTRSTM",'Industrial Summary'!$A:$A,"PTC"))/SUMIFS('Industrial Summary'!$G:$G,'Industrial Summary'!$F:$F,I$17,'Industrial Summary'!$D:$D,$E267)),0))*0.98</f>
        <v>0</v>
      </c>
      <c r="J267" s="6">
        <f>(IF(SUMIFS('Industrial Summary'!$G:$G,'Industrial Summary'!$F:$F,J$17,'Industrial Summary'!$D:$D,$E267)&gt;0,((-SUMIFS('Industrial Summary'!$G:$G,'Industrial Summary'!$F:$F,J$17,'Industrial Summary'!$D:$D,$E267,'Industrial Summary'!$A:$A,"PTC")+-SUMIFS('Industrial Summary'!$G:$G,'Industrial Summary'!$F:$F,J$17,'Industrial Summary'!$D:$D,"IMTRSTM",'Industrial Summary'!$A:$A,"PTC"))/SUMIFS('Industrial Summary'!$G:$G,'Industrial Summary'!$F:$F,J$17,'Industrial Summary'!$D:$D,$E267)),0))*0.98</f>
        <v>-0.82430656004459402</v>
      </c>
      <c r="K267" s="6">
        <f>(IF(SUMIFS('Industrial Summary'!$G:$G,'Industrial Summary'!$F:$F,K$17,'Industrial Summary'!$D:$D,$E267)&gt;0,((-SUMIFS('Industrial Summary'!$G:$G,'Industrial Summary'!$F:$F,K$17,'Industrial Summary'!$D:$D,$E267,'Industrial Summary'!$A:$A,"PTC")+-SUMIFS('Industrial Summary'!$G:$G,'Industrial Summary'!$F:$F,K$17,'Industrial Summary'!$D:$D,"IMTRSTM",'Industrial Summary'!$A:$A,"PTC"))/SUMIFS('Industrial Summary'!$G:$G,'Industrial Summary'!$F:$F,K$17,'Industrial Summary'!$D:$D,$E267)),0))*0.98</f>
        <v>-0.74187590404013337</v>
      </c>
      <c r="L267" s="6">
        <f>(IF(SUMIFS('Industrial Summary'!$G:$G,'Industrial Summary'!$F:$F,L$17,'Industrial Summary'!$D:$D,$E267)&gt;0,((-SUMIFS('Industrial Summary'!$G:$G,'Industrial Summary'!$F:$F,L$17,'Industrial Summary'!$D:$D,$E267,'Industrial Summary'!$A:$A,"PTC")+-SUMIFS('Industrial Summary'!$G:$G,'Industrial Summary'!$F:$F,L$17,'Industrial Summary'!$D:$D,"IMTRSTM",'Industrial Summary'!$A:$A,"PTC"))/SUMIFS('Industrial Summary'!$G:$G,'Industrial Summary'!$F:$F,L$17,'Industrial Summary'!$D:$D,$E267)),0))*0.98</f>
        <v>-0.39814063875558514</v>
      </c>
      <c r="M267" s="6">
        <f>(IF(SUMIFS('Industrial Summary'!$G:$G,'Industrial Summary'!$F:$F,M$17,'Industrial Summary'!$D:$D,$E267)&gt;0,((-SUMIFS('Industrial Summary'!$G:$G,'Industrial Summary'!$F:$F,M$17,'Industrial Summary'!$D:$D,$E267,'Industrial Summary'!$A:$A,"PTC")+-SUMIFS('Industrial Summary'!$G:$G,'Industrial Summary'!$F:$F,M$17,'Industrial Summary'!$D:$D,"IMTRSTM",'Industrial Summary'!$A:$A,"PTC"))/SUMIFS('Industrial Summary'!$G:$G,'Industrial Summary'!$F:$F,M$17,'Industrial Summary'!$D:$D,$E267)),0))*0.98</f>
        <v>-0.39814063875558636</v>
      </c>
      <c r="N267" s="6">
        <f>(IF(SUMIFS('Industrial Summary'!$G:$G,'Industrial Summary'!$F:$F,N$17,'Industrial Summary'!$D:$D,$E267)&gt;0,((-SUMIFS('Industrial Summary'!$G:$G,'Industrial Summary'!$F:$F,N$17,'Industrial Summary'!$D:$D,$E267,'Industrial Summary'!$A:$A,"PTC")+-SUMIFS('Industrial Summary'!$G:$G,'Industrial Summary'!$F:$F,N$17,'Industrial Summary'!$D:$D,"IMTRSTM",'Industrial Summary'!$A:$A,"PTC"))/SUMIFS('Industrial Summary'!$G:$G,'Industrial Summary'!$F:$F,N$17,'Industrial Summary'!$D:$D,$E267)),0))*0.98</f>
        <v>-0.39814063875558636</v>
      </c>
      <c r="O267" s="6">
        <f>(IF(SUMIFS('Industrial Summary'!$G:$G,'Industrial Summary'!$F:$F,O$17,'Industrial Summary'!$D:$D,$E267)&gt;0,((-SUMIFS('Industrial Summary'!$G:$G,'Industrial Summary'!$F:$F,O$17,'Industrial Summary'!$D:$D,$E267,'Industrial Summary'!$A:$A,"PTC")+-SUMIFS('Industrial Summary'!$G:$G,'Industrial Summary'!$F:$F,O$17,'Industrial Summary'!$D:$D,"IMTRSTM",'Industrial Summary'!$A:$A,"PTC"))/SUMIFS('Industrial Summary'!$G:$G,'Industrial Summary'!$F:$F,O$17,'Industrial Summary'!$D:$D,$E267)),0))*0.98</f>
        <v>0</v>
      </c>
      <c r="P267" s="6">
        <f>(IF(SUMIFS('Industrial Summary'!$G:$G,'Industrial Summary'!$F:$F,P$17,'Industrial Summary'!$D:$D,$E267)&gt;0,((-SUMIFS('Industrial Summary'!$G:$G,'Industrial Summary'!$F:$F,P$17,'Industrial Summary'!$D:$D,$E267,'Industrial Summary'!$A:$A,"PTC")+-SUMIFS('Industrial Summary'!$G:$G,'Industrial Summary'!$F:$F,P$17,'Industrial Summary'!$D:$D,"IMTRSTM",'Industrial Summary'!$A:$A,"PTC"))/SUMIFS('Industrial Summary'!$G:$G,'Industrial Summary'!$F:$F,P$17,'Industrial Summary'!$D:$D,$E267)),0))*0.98</f>
        <v>0</v>
      </c>
      <c r="Q267" s="5">
        <v>0</v>
      </c>
      <c r="R267" s="5">
        <v>15</v>
      </c>
      <c r="S267" s="5" t="str">
        <f t="shared" si="48"/>
        <v>UC_IMTOH_PTC</v>
      </c>
      <c r="V267" s="4" t="str">
        <f t="shared" si="49"/>
        <v>S_IMTOHPTC</v>
      </c>
      <c r="W267" s="4" t="str">
        <f t="shared" si="50"/>
        <v>IMTOH_PTC</v>
      </c>
      <c r="X267" s="4" t="str">
        <f t="shared" si="51"/>
        <v>IMTOHT</v>
      </c>
      <c r="Y267" s="5" t="str">
        <f t="shared" si="52"/>
        <v>LO</v>
      </c>
      <c r="Z267" s="5">
        <v>1</v>
      </c>
      <c r="AA267" s="6">
        <f t="shared" si="53"/>
        <v>0</v>
      </c>
      <c r="AB267" s="6">
        <f t="shared" si="54"/>
        <v>0</v>
      </c>
      <c r="AC267" s="6">
        <f t="shared" si="55"/>
        <v>-0.82430656004459402</v>
      </c>
      <c r="AD267" s="6">
        <f t="shared" si="56"/>
        <v>-0.74187590404013337</v>
      </c>
      <c r="AE267" s="6">
        <f t="shared" si="57"/>
        <v>-0.39814063875558514</v>
      </c>
      <c r="AF267" s="6">
        <f t="shared" si="58"/>
        <v>-0.39814063875558636</v>
      </c>
      <c r="AG267" s="6">
        <f t="shared" si="59"/>
        <v>-0.39814063875558636</v>
      </c>
      <c r="AH267" s="6">
        <f t="shared" si="60"/>
        <v>0</v>
      </c>
      <c r="AI267" s="6">
        <f t="shared" si="61"/>
        <v>0</v>
      </c>
      <c r="AL267" s="5" t="str">
        <f t="shared" si="62"/>
        <v>PTC</v>
      </c>
      <c r="AM267" s="5">
        <f>1</f>
        <v>1</v>
      </c>
    </row>
    <row r="268" spans="1:39" s="5" customFormat="1" x14ac:dyDescent="0.3">
      <c r="C268" s="4" t="s">
        <v>549</v>
      </c>
      <c r="D268" s="5" t="s">
        <v>550</v>
      </c>
      <c r="E268" s="5" t="s">
        <v>720</v>
      </c>
      <c r="F268" s="5" t="s">
        <v>1588</v>
      </c>
      <c r="G268" s="5">
        <v>1</v>
      </c>
      <c r="H268" s="6">
        <f>IF(SUMIFS('Industrial Summary'!$G:$G,'Industrial Summary'!$F:$F,H$17,'Industrial Summary'!$D:$D,$E268)&gt;0,(-SUMIFS('Industrial Summary'!$G:$G,'Industrial Summary'!$F:$F,H$17,'Industrial Summary'!$D:$D,$E268,'Industrial Summary'!$A:$A,"NGA")/SUMIFS('Industrial Summary'!$G:$G,'Industrial Summary'!$F:$F,H$17,'Industrial Summary'!$D:$D,$E268)),0)*0.98</f>
        <v>0</v>
      </c>
      <c r="I268" s="6">
        <f>IF(SUMIFS('Industrial Summary'!$G:$G,'Industrial Summary'!$F:$F,I$17,'Industrial Summary'!$D:$D,$E268)&gt;0,(-SUMIFS('Industrial Summary'!$G:$G,'Industrial Summary'!$F:$F,I$17,'Industrial Summary'!$D:$D,$E268,'Industrial Summary'!$A:$A,"NGA")/SUMIFS('Industrial Summary'!$G:$G,'Industrial Summary'!$F:$F,I$17,'Industrial Summary'!$D:$D,$E268)),0)*0.98</f>
        <v>0</v>
      </c>
      <c r="J268" s="6">
        <f>IF(SUMIFS('Industrial Summary'!$G:$G,'Industrial Summary'!$F:$F,J$17,'Industrial Summary'!$D:$D,$E268)&gt;0,(-SUMIFS('Industrial Summary'!$G:$G,'Industrial Summary'!$F:$F,J$17,'Industrial Summary'!$D:$D,$E268,'Industrial Summary'!$A:$A,"NGA")/SUMIFS('Industrial Summary'!$G:$G,'Industrial Summary'!$F:$F,J$17,'Industrial Summary'!$D:$D,$E268)),0)*0.98</f>
        <v>-0.23110935236930108</v>
      </c>
      <c r="K268" s="6">
        <f>IF(SUMIFS('Industrial Summary'!$G:$G,'Industrial Summary'!$F:$F,K$17,'Industrial Summary'!$D:$D,$E268)&gt;0,(-SUMIFS('Industrial Summary'!$G:$G,'Industrial Summary'!$F:$F,K$17,'Industrial Summary'!$D:$D,$E268,'Industrial Summary'!$A:$A,"NGA")/SUMIFS('Industrial Summary'!$G:$G,'Industrial Summary'!$F:$F,K$17,'Industrial Summary'!$D:$D,$E268)),0)*0.98</f>
        <v>-0.17333201427697598</v>
      </c>
      <c r="L268" s="6">
        <f>IF(SUMIFS('Industrial Summary'!$G:$G,'Industrial Summary'!$F:$F,L$17,'Industrial Summary'!$D:$D,$E268)&gt;0,(-SUMIFS('Industrial Summary'!$G:$G,'Industrial Summary'!$F:$F,L$17,'Industrial Summary'!$D:$D,$E268,'Industrial Summary'!$A:$A,"NGA")/SUMIFS('Industrial Summary'!$G:$G,'Industrial Summary'!$F:$F,L$17,'Industrial Summary'!$D:$D,$E268)),0)*0.98</f>
        <v>-0.38411844371009574</v>
      </c>
      <c r="M268" s="6">
        <f>IF(SUMIFS('Industrial Summary'!$G:$G,'Industrial Summary'!$F:$F,M$17,'Industrial Summary'!$D:$D,$E268)&gt;0,(-SUMIFS('Industrial Summary'!$G:$G,'Industrial Summary'!$F:$F,M$17,'Industrial Summary'!$D:$D,$E268,'Industrial Summary'!$A:$A,"NGA")/SUMIFS('Industrial Summary'!$G:$G,'Industrial Summary'!$F:$F,M$17,'Industrial Summary'!$D:$D,$E268)),0)*0.98</f>
        <v>-0.38411844371009596</v>
      </c>
      <c r="N268" s="6">
        <f>IF(SUMIFS('Industrial Summary'!$G:$G,'Industrial Summary'!$F:$F,N$17,'Industrial Summary'!$D:$D,$E268)&gt;0,(-SUMIFS('Industrial Summary'!$G:$G,'Industrial Summary'!$F:$F,N$17,'Industrial Summary'!$D:$D,$E268,'Industrial Summary'!$A:$A,"NGA")/SUMIFS('Industrial Summary'!$G:$G,'Industrial Summary'!$F:$F,N$17,'Industrial Summary'!$D:$D,$E268)),0)*0.98</f>
        <v>-0.4825952389013104</v>
      </c>
      <c r="O268" s="6">
        <f>IF(SUMIFS('Industrial Summary'!$G:$G,'Industrial Summary'!$F:$F,O$17,'Industrial Summary'!$D:$D,$E268)&gt;0,(-SUMIFS('Industrial Summary'!$G:$G,'Industrial Summary'!$F:$F,O$17,'Industrial Summary'!$D:$D,$E268,'Industrial Summary'!$A:$A,"NGA")/SUMIFS('Industrial Summary'!$G:$G,'Industrial Summary'!$F:$F,O$17,'Industrial Summary'!$D:$D,$E268)),0)*0.98</f>
        <v>0</v>
      </c>
      <c r="P268" s="6">
        <f>IF(SUMIFS('Industrial Summary'!$G:$G,'Industrial Summary'!$F:$F,P$17,'Industrial Summary'!$D:$D,$E268)&gt;0,(-SUMIFS('Industrial Summary'!$G:$G,'Industrial Summary'!$F:$F,P$17,'Industrial Summary'!$D:$D,$E268,'Industrial Summary'!$A:$A,"NGA")/SUMIFS('Industrial Summary'!$G:$G,'Industrial Summary'!$F:$F,P$17,'Industrial Summary'!$D:$D,$E268)),0)*0.98</f>
        <v>0</v>
      </c>
      <c r="Q268" s="5">
        <v>0</v>
      </c>
      <c r="R268" s="5">
        <v>15</v>
      </c>
      <c r="S268" s="5" t="str">
        <f t="shared" si="48"/>
        <v>UC_IMAFS_NGA</v>
      </c>
      <c r="V268" s="4" t="str">
        <f t="shared" si="49"/>
        <v>S_IMAFSNGA</v>
      </c>
      <c r="W268" s="4" t="str">
        <f t="shared" si="50"/>
        <v>IMAFS_NGA</v>
      </c>
      <c r="X268" s="4" t="str">
        <f t="shared" si="51"/>
        <v>IMAFEED</v>
      </c>
      <c r="Y268" s="5" t="str">
        <f t="shared" si="52"/>
        <v>LO</v>
      </c>
      <c r="Z268" s="5">
        <v>1</v>
      </c>
      <c r="AA268" s="6">
        <f t="shared" si="53"/>
        <v>0</v>
      </c>
      <c r="AB268" s="6">
        <f t="shared" si="54"/>
        <v>0</v>
      </c>
      <c r="AC268" s="6">
        <f t="shared" si="55"/>
        <v>-0.20337623008498495</v>
      </c>
      <c r="AD268" s="6">
        <f t="shared" si="56"/>
        <v>-0.15253217256373885</v>
      </c>
      <c r="AE268" s="6">
        <f t="shared" si="57"/>
        <v>-0.33802423046488422</v>
      </c>
      <c r="AF268" s="6">
        <f t="shared" si="58"/>
        <v>-0.33802423046488445</v>
      </c>
      <c r="AG268" s="6">
        <f t="shared" si="59"/>
        <v>-0.42468381023315316</v>
      </c>
      <c r="AH268" s="6">
        <f t="shared" si="60"/>
        <v>0</v>
      </c>
      <c r="AI268" s="6">
        <f t="shared" si="61"/>
        <v>0</v>
      </c>
      <c r="AL268" s="5" t="str">
        <f t="shared" si="62"/>
        <v>NGA</v>
      </c>
      <c r="AM268" s="5">
        <f>Y9</f>
        <v>0.88</v>
      </c>
    </row>
    <row r="269" spans="1:39" s="5" customFormat="1" x14ac:dyDescent="0.3">
      <c r="C269" s="4" t="s">
        <v>551</v>
      </c>
      <c r="D269" s="5" t="s">
        <v>552</v>
      </c>
      <c r="E269" s="5" t="s">
        <v>720</v>
      </c>
      <c r="F269" s="5" t="s">
        <v>1588</v>
      </c>
      <c r="G269" s="5">
        <v>1</v>
      </c>
      <c r="H269" s="6">
        <f>IF(SUMIFS('Industrial Summary'!$G:$G,'Industrial Summary'!$F:$F,H$17,'Industrial Summary'!$D:$D,$E269)&gt;0,(-SUMIFS('Industrial Summary'!$G:$G,'Industrial Summary'!$F:$F,H$17,'Industrial Summary'!$D:$D,$E269,'Industrial Summary'!$A:$A,"PTC")/SUMIFS('Industrial Summary'!$G:$G,'Industrial Summary'!$F:$F,H$17,'Industrial Summary'!$D:$D,$E269)),0)*0.98</f>
        <v>0</v>
      </c>
      <c r="I269" s="6">
        <f>IF(SUMIFS('Industrial Summary'!$G:$G,'Industrial Summary'!$F:$F,I$17,'Industrial Summary'!$D:$D,$E269)&gt;0,(-SUMIFS('Industrial Summary'!$G:$G,'Industrial Summary'!$F:$F,I$17,'Industrial Summary'!$D:$D,$E269,'Industrial Summary'!$A:$A,"PTC")/SUMIFS('Industrial Summary'!$G:$G,'Industrial Summary'!$F:$F,I$17,'Industrial Summary'!$D:$D,$E269)),0)*0.98</f>
        <v>0</v>
      </c>
      <c r="J269" s="6">
        <f>IF(SUMIFS('Industrial Summary'!$G:$G,'Industrial Summary'!$F:$F,J$17,'Industrial Summary'!$D:$D,$E269)&gt;0,(-SUMIFS('Industrial Summary'!$G:$G,'Industrial Summary'!$F:$F,J$17,'Industrial Summary'!$D:$D,$E269,'Industrial Summary'!$A:$A,"PTC")/SUMIFS('Industrial Summary'!$G:$G,'Industrial Summary'!$F:$F,J$17,'Industrial Summary'!$D:$D,$E269)),0)*0.98</f>
        <v>-0.7488906476306989</v>
      </c>
      <c r="K269" s="6">
        <f>IF(SUMIFS('Industrial Summary'!$G:$G,'Industrial Summary'!$F:$F,K$17,'Industrial Summary'!$D:$D,$E269)&gt;0,(-SUMIFS('Industrial Summary'!$G:$G,'Industrial Summary'!$F:$F,K$17,'Industrial Summary'!$D:$D,$E269,'Industrial Summary'!$A:$A,"PTC")/SUMIFS('Industrial Summary'!$G:$G,'Industrial Summary'!$F:$F,K$17,'Industrial Summary'!$D:$D,$E269)),0)*0.98</f>
        <v>-0.80666798572302389</v>
      </c>
      <c r="L269" s="6">
        <f>IF(SUMIFS('Industrial Summary'!$G:$G,'Industrial Summary'!$F:$F,L$17,'Industrial Summary'!$D:$D,$E269)&gt;0,(-SUMIFS('Industrial Summary'!$G:$G,'Industrial Summary'!$F:$F,L$17,'Industrial Summary'!$D:$D,$E269,'Industrial Summary'!$A:$A,"PTC")/SUMIFS('Industrial Summary'!$G:$G,'Industrial Summary'!$F:$F,L$17,'Industrial Summary'!$D:$D,$E269)),0)*0.98</f>
        <v>-0.59588155628990425</v>
      </c>
      <c r="M269" s="6">
        <f>IF(SUMIFS('Industrial Summary'!$G:$G,'Industrial Summary'!$F:$F,M$17,'Industrial Summary'!$D:$D,$E269)&gt;0,(-SUMIFS('Industrial Summary'!$G:$G,'Industrial Summary'!$F:$F,M$17,'Industrial Summary'!$D:$D,$E269,'Industrial Summary'!$A:$A,"PTC")/SUMIFS('Industrial Summary'!$G:$G,'Industrial Summary'!$F:$F,M$17,'Industrial Summary'!$D:$D,$E269)),0)*0.98</f>
        <v>-0.59588155628990414</v>
      </c>
      <c r="N269" s="6">
        <f>IF(SUMIFS('Industrial Summary'!$G:$G,'Industrial Summary'!$F:$F,N$17,'Industrial Summary'!$D:$D,$E269)&gt;0,(-SUMIFS('Industrial Summary'!$G:$G,'Industrial Summary'!$F:$F,N$17,'Industrial Summary'!$D:$D,$E269,'Industrial Summary'!$A:$A,"PTC")/SUMIFS('Industrial Summary'!$G:$G,'Industrial Summary'!$F:$F,N$17,'Industrial Summary'!$D:$D,$E269)),0)*0.98</f>
        <v>-0.49740476109868959</v>
      </c>
      <c r="O269" s="6">
        <f>IF(SUMIFS('Industrial Summary'!$G:$G,'Industrial Summary'!$F:$F,O$17,'Industrial Summary'!$D:$D,$E269)&gt;0,(-SUMIFS('Industrial Summary'!$G:$G,'Industrial Summary'!$F:$F,O$17,'Industrial Summary'!$D:$D,$E269,'Industrial Summary'!$A:$A,"PTC")/SUMIFS('Industrial Summary'!$G:$G,'Industrial Summary'!$F:$F,O$17,'Industrial Summary'!$D:$D,$E269)),0)*0.98</f>
        <v>-0.98</v>
      </c>
      <c r="P269" s="6">
        <f>IF(SUMIFS('Industrial Summary'!$G:$G,'Industrial Summary'!$F:$F,P$17,'Industrial Summary'!$D:$D,$E269)&gt;0,(-SUMIFS('Industrial Summary'!$G:$G,'Industrial Summary'!$F:$F,P$17,'Industrial Summary'!$D:$D,$E269,'Industrial Summary'!$A:$A,"PTC")/SUMIFS('Industrial Summary'!$G:$G,'Industrial Summary'!$F:$F,P$17,'Industrial Summary'!$D:$D,$E269)),0)*0.98</f>
        <v>-0.98</v>
      </c>
      <c r="Q269" s="5">
        <v>0</v>
      </c>
      <c r="R269" s="5">
        <v>15</v>
      </c>
      <c r="S269" s="5" t="str">
        <f t="shared" si="48"/>
        <v>UC_IMAFS_PTC</v>
      </c>
      <c r="V269" s="4" t="str">
        <f t="shared" si="49"/>
        <v>S_IMAFSPTC</v>
      </c>
      <c r="W269" s="4" t="str">
        <f t="shared" si="50"/>
        <v>IMAFS_PTC</v>
      </c>
      <c r="X269" s="4" t="str">
        <f t="shared" si="51"/>
        <v>IMAFEED</v>
      </c>
      <c r="Y269" s="5" t="str">
        <f t="shared" si="52"/>
        <v>LO</v>
      </c>
      <c r="Z269" s="5">
        <v>1</v>
      </c>
      <c r="AA269" s="6">
        <f t="shared" si="53"/>
        <v>0</v>
      </c>
      <c r="AB269" s="6">
        <f t="shared" si="54"/>
        <v>0</v>
      </c>
      <c r="AC269" s="6">
        <f t="shared" si="55"/>
        <v>-0.7488906476306989</v>
      </c>
      <c r="AD269" s="6">
        <f t="shared" si="56"/>
        <v>-0.80666798572302389</v>
      </c>
      <c r="AE269" s="6">
        <f t="shared" si="57"/>
        <v>-0.59588155628990425</v>
      </c>
      <c r="AF269" s="6">
        <f t="shared" si="58"/>
        <v>-0.59588155628990414</v>
      </c>
      <c r="AG269" s="6">
        <f t="shared" si="59"/>
        <v>-0.49740476109868959</v>
      </c>
      <c r="AH269" s="6">
        <f t="shared" si="60"/>
        <v>-0.98</v>
      </c>
      <c r="AI269" s="6">
        <f t="shared" si="61"/>
        <v>-0.98</v>
      </c>
      <c r="AL269" s="5" t="str">
        <f t="shared" si="62"/>
        <v>PTC</v>
      </c>
      <c r="AM269" s="5">
        <f>1</f>
        <v>1</v>
      </c>
    </row>
    <row r="270" spans="1:39" s="5" customFormat="1" x14ac:dyDescent="0.3">
      <c r="C270" s="4" t="s">
        <v>553</v>
      </c>
      <c r="D270" s="5" t="s">
        <v>554</v>
      </c>
      <c r="E270" s="5" t="s">
        <v>782</v>
      </c>
      <c r="F270" s="5" t="s">
        <v>1588</v>
      </c>
      <c r="G270" s="5">
        <v>1</v>
      </c>
      <c r="H270" s="6">
        <f>(IF(SUMIFS('Industrial Summary'!$G:$G,'Industrial Summary'!$F:$F,H$17,'Industrial Summary'!$D:$D,$E270)&gt;0,((-SUMIFS('Industrial Summary'!$G:$G,'Industrial Summary'!$F:$F,H$17,'Industrial Summary'!$D:$D,$E270,'Industrial Summary'!$A:$A,"NGA")+-SUMIFS('Industrial Summary'!$G:$G,'Industrial Summary'!$F:$F,H$17,'Industrial Summary'!$D:$D,"IMAFSTM",'Industrial Summary'!$A:$A,"NGA"))/SUMIFS('Industrial Summary'!$G:$G,'Industrial Summary'!$F:$F,H$17,'Industrial Summary'!$D:$D,$E270)),0))*0.98</f>
        <v>0</v>
      </c>
      <c r="I270" s="6">
        <f>(IF(SUMIFS('Industrial Summary'!$G:$G,'Industrial Summary'!$F:$F,I$17,'Industrial Summary'!$D:$D,$E270)&gt;0,((-SUMIFS('Industrial Summary'!$G:$G,'Industrial Summary'!$F:$F,I$17,'Industrial Summary'!$D:$D,$E270,'Industrial Summary'!$A:$A,"NGA")+-SUMIFS('Industrial Summary'!$G:$G,'Industrial Summary'!$F:$F,I$17,'Industrial Summary'!$D:$D,"IMAFSTM",'Industrial Summary'!$A:$A,"NGA"))/SUMIFS('Industrial Summary'!$G:$G,'Industrial Summary'!$F:$F,I$17,'Industrial Summary'!$D:$D,$E270)),0))*0.98</f>
        <v>-0.97999999999999909</v>
      </c>
      <c r="J270" s="6">
        <f>(IF(SUMIFS('Industrial Summary'!$G:$G,'Industrial Summary'!$F:$F,J$17,'Industrial Summary'!$D:$D,$E270)&gt;0,((-SUMIFS('Industrial Summary'!$G:$G,'Industrial Summary'!$F:$F,J$17,'Industrial Summary'!$D:$D,$E270,'Industrial Summary'!$A:$A,"NGA")+-SUMIFS('Industrial Summary'!$G:$G,'Industrial Summary'!$F:$F,J$17,'Industrial Summary'!$D:$D,"IMAFSTM",'Industrial Summary'!$A:$A,"NGA"))/SUMIFS('Industrial Summary'!$G:$G,'Industrial Summary'!$F:$F,J$17,'Industrial Summary'!$D:$D,$E270)),0))*0.98</f>
        <v>-0.3442509663925904</v>
      </c>
      <c r="K270" s="6">
        <f>(IF(SUMIFS('Industrial Summary'!$G:$G,'Industrial Summary'!$F:$F,K$17,'Industrial Summary'!$D:$D,$E270)&gt;0,((-SUMIFS('Industrial Summary'!$G:$G,'Industrial Summary'!$F:$F,K$17,'Industrial Summary'!$D:$D,$E270,'Industrial Summary'!$A:$A,"NGA")+-SUMIFS('Industrial Summary'!$G:$G,'Industrial Summary'!$F:$F,K$17,'Industrial Summary'!$D:$D,"IMAFSTM",'Industrial Summary'!$A:$A,"NGA"))/SUMIFS('Industrial Summary'!$G:$G,'Industrial Summary'!$F:$F,K$17,'Industrial Summary'!$D:$D,$E270)),0))*0.98</f>
        <v>0</v>
      </c>
      <c r="L270" s="6">
        <f>(IF(SUMIFS('Industrial Summary'!$G:$G,'Industrial Summary'!$F:$F,L$17,'Industrial Summary'!$D:$D,$E270)&gt;0,((-SUMIFS('Industrial Summary'!$G:$G,'Industrial Summary'!$F:$F,L$17,'Industrial Summary'!$D:$D,$E270,'Industrial Summary'!$A:$A,"NGA")+-SUMIFS('Industrial Summary'!$G:$G,'Industrial Summary'!$F:$F,L$17,'Industrial Summary'!$D:$D,"IMAFSTM",'Industrial Summary'!$A:$A,"NGA"))/SUMIFS('Industrial Summary'!$G:$G,'Industrial Summary'!$F:$F,L$17,'Industrial Summary'!$D:$D,$E270)),0))*0.98</f>
        <v>0</v>
      </c>
      <c r="M270" s="6">
        <f>(IF(SUMIFS('Industrial Summary'!$G:$G,'Industrial Summary'!$F:$F,M$17,'Industrial Summary'!$D:$D,$E270)&gt;0,((-SUMIFS('Industrial Summary'!$G:$G,'Industrial Summary'!$F:$F,M$17,'Industrial Summary'!$D:$D,$E270,'Industrial Summary'!$A:$A,"NGA")+-SUMIFS('Industrial Summary'!$G:$G,'Industrial Summary'!$F:$F,M$17,'Industrial Summary'!$D:$D,"IMAFSTM",'Industrial Summary'!$A:$A,"NGA"))/SUMIFS('Industrial Summary'!$G:$G,'Industrial Summary'!$F:$F,M$17,'Industrial Summary'!$D:$D,$E270)),0))*0.98</f>
        <v>-0.98</v>
      </c>
      <c r="N270" s="6">
        <f>(IF(SUMIFS('Industrial Summary'!$G:$G,'Industrial Summary'!$F:$F,N$17,'Industrial Summary'!$D:$D,$E270)&gt;0,((-SUMIFS('Industrial Summary'!$G:$G,'Industrial Summary'!$F:$F,N$17,'Industrial Summary'!$D:$D,$E270,'Industrial Summary'!$A:$A,"NGA")+-SUMIFS('Industrial Summary'!$G:$G,'Industrial Summary'!$F:$F,N$17,'Industrial Summary'!$D:$D,"IMAFSTM",'Industrial Summary'!$A:$A,"NGA"))/SUMIFS('Industrial Summary'!$G:$G,'Industrial Summary'!$F:$F,N$17,'Industrial Summary'!$D:$D,$E270)),0))*0.98</f>
        <v>-0.97999999999999909</v>
      </c>
      <c r="O270" s="6">
        <f>(IF(SUMIFS('Industrial Summary'!$G:$G,'Industrial Summary'!$F:$F,O$17,'Industrial Summary'!$D:$D,$E270)&gt;0,((-SUMIFS('Industrial Summary'!$G:$G,'Industrial Summary'!$F:$F,O$17,'Industrial Summary'!$D:$D,$E270,'Industrial Summary'!$A:$A,"NGA")+-SUMIFS('Industrial Summary'!$G:$G,'Industrial Summary'!$F:$F,O$17,'Industrial Summary'!$D:$D,"IMAFSTM",'Industrial Summary'!$A:$A,"NGA"))/SUMIFS('Industrial Summary'!$G:$G,'Industrial Summary'!$F:$F,O$17,'Industrial Summary'!$D:$D,$E270)),0))*0.98</f>
        <v>0</v>
      </c>
      <c r="P270" s="6">
        <f>(IF(SUMIFS('Industrial Summary'!$G:$G,'Industrial Summary'!$F:$F,P$17,'Industrial Summary'!$D:$D,$E270)&gt;0,((-SUMIFS('Industrial Summary'!$G:$G,'Industrial Summary'!$F:$F,P$17,'Industrial Summary'!$D:$D,$E270,'Industrial Summary'!$A:$A,"NGA")+-SUMIFS('Industrial Summary'!$G:$G,'Industrial Summary'!$F:$F,P$17,'Industrial Summary'!$D:$D,"IMAFSTM",'Industrial Summary'!$A:$A,"NGA"))/SUMIFS('Industrial Summary'!$G:$G,'Industrial Summary'!$F:$F,P$17,'Industrial Summary'!$D:$D,$E270)),0))*0.98</f>
        <v>0</v>
      </c>
      <c r="Q270" s="5">
        <v>0</v>
      </c>
      <c r="R270" s="5">
        <v>15</v>
      </c>
      <c r="S270" s="5" t="str">
        <f t="shared" si="48"/>
        <v>UC_IMAST_NGA</v>
      </c>
      <c r="V270" s="4" t="str">
        <f t="shared" si="49"/>
        <v>S_IMASTNGA</v>
      </c>
      <c r="W270" s="4" t="str">
        <f t="shared" si="50"/>
        <v>IMAST_NGA</v>
      </c>
      <c r="X270" s="4" t="str">
        <f t="shared" si="51"/>
        <v>IMASTM</v>
      </c>
      <c r="Y270" s="5" t="str">
        <f t="shared" si="52"/>
        <v>LO</v>
      </c>
      <c r="Z270" s="5">
        <v>1</v>
      </c>
      <c r="AA270" s="6">
        <f t="shared" si="53"/>
        <v>0</v>
      </c>
      <c r="AB270" s="6">
        <f t="shared" si="54"/>
        <v>-0.86239999999999917</v>
      </c>
      <c r="AC270" s="6">
        <f t="shared" si="55"/>
        <v>-0.30294085042547952</v>
      </c>
      <c r="AD270" s="6">
        <f t="shared" si="56"/>
        <v>0</v>
      </c>
      <c r="AE270" s="6">
        <f t="shared" si="57"/>
        <v>0</v>
      </c>
      <c r="AF270" s="6">
        <f t="shared" si="58"/>
        <v>-0.86239999999999994</v>
      </c>
      <c r="AG270" s="6">
        <f t="shared" si="59"/>
        <v>-0.86239999999999917</v>
      </c>
      <c r="AH270" s="6">
        <f t="shared" si="60"/>
        <v>0</v>
      </c>
      <c r="AI270" s="6">
        <f t="shared" si="61"/>
        <v>0</v>
      </c>
      <c r="AL270" s="5" t="str">
        <f t="shared" si="62"/>
        <v>NGA</v>
      </c>
      <c r="AM270" s="5">
        <f>Y9</f>
        <v>0.88</v>
      </c>
    </row>
    <row r="271" spans="1:39" s="5" customFormat="1" x14ac:dyDescent="0.3">
      <c r="A271" s="8"/>
      <c r="C271" s="4" t="s">
        <v>1586</v>
      </c>
      <c r="D271" s="5" t="s">
        <v>1587</v>
      </c>
      <c r="E271" s="5" t="s">
        <v>782</v>
      </c>
      <c r="F271" s="5" t="s">
        <v>1591</v>
      </c>
      <c r="G271" s="5">
        <v>1</v>
      </c>
      <c r="H271" s="6">
        <f>(IF(SUMIFS('Industrial Summary'!$G:$G,'Industrial Summary'!$F:$F,H$17,'Industrial Summary'!$D:$D,$E271)&gt;0,((-SUMIFS('Industrial Summary'!$G:$G,'Industrial Summary'!$F:$F,H$17,'Industrial Summary'!$D:$D,$E271,'Industrial Summary'!$A:$A,"COA")+-SUMIFS('Industrial Summary'!$G:$G,'Industrial Summary'!$F:$F,H$17,'Industrial Summary'!$D:$D,"IMAFSTM",'Industrial Summary'!$A:$A,"COA"))/SUMIFS('Industrial Summary'!$G:$G,'Industrial Summary'!$F:$F,H$17,'Industrial Summary'!$D:$D,$E271)),0))*0.98</f>
        <v>0</v>
      </c>
      <c r="I271" s="6">
        <f>(IF(SUMIFS('Industrial Summary'!$G:$G,'Industrial Summary'!$F:$F,I$17,'Industrial Summary'!$D:$D,$E271)&gt;0,((-SUMIFS('Industrial Summary'!$G:$G,'Industrial Summary'!$F:$F,I$17,'Industrial Summary'!$D:$D,$E271,'Industrial Summary'!$A:$A,"COA")+-SUMIFS('Industrial Summary'!$G:$G,'Industrial Summary'!$F:$F,I$17,'Industrial Summary'!$D:$D,"IMAFSTM",'Industrial Summary'!$A:$A,"COA"))/SUMIFS('Industrial Summary'!$G:$G,'Industrial Summary'!$F:$F,I$17,'Industrial Summary'!$D:$D,$E271)),0))*0.98</f>
        <v>0</v>
      </c>
      <c r="J271" s="6">
        <f>(IF(SUMIFS('Industrial Summary'!$G:$G,'Industrial Summary'!$F:$F,J$17,'Industrial Summary'!$D:$D,$E271)&gt;0,((-SUMIFS('Industrial Summary'!$G:$G,'Industrial Summary'!$F:$F,J$17,'Industrial Summary'!$D:$D,$E271,'Industrial Summary'!$A:$A,"COA")+-SUMIFS('Industrial Summary'!$G:$G,'Industrial Summary'!$F:$F,J$17,'Industrial Summary'!$D:$D,"IMAFSTM",'Industrial Summary'!$A:$A,"COA"))/SUMIFS('Industrial Summary'!$G:$G,'Industrial Summary'!$F:$F,J$17,'Industrial Summary'!$D:$D,$E271)),0))*0.98</f>
        <v>0</v>
      </c>
      <c r="K271" s="6">
        <f>(IF(SUMIFS('Industrial Summary'!$G:$G,'Industrial Summary'!$F:$F,K$17,'Industrial Summary'!$D:$D,$E271)&gt;0,((-SUMIFS('Industrial Summary'!$G:$G,'Industrial Summary'!$F:$F,K$17,'Industrial Summary'!$D:$D,$E271,'Industrial Summary'!$A:$A,"COA")+-SUMIFS('Industrial Summary'!$G:$G,'Industrial Summary'!$F:$F,K$17,'Industrial Summary'!$D:$D,"IMAFSTM",'Industrial Summary'!$A:$A,"COA"))/SUMIFS('Industrial Summary'!$G:$G,'Industrial Summary'!$F:$F,K$17,'Industrial Summary'!$D:$D,$E271)),0))*0.98</f>
        <v>0</v>
      </c>
      <c r="L271" s="6">
        <f>(IF(SUMIFS('Industrial Summary'!$G:$G,'Industrial Summary'!$F:$F,L$17,'Industrial Summary'!$D:$D,$E271)&gt;0,((-SUMIFS('Industrial Summary'!$G:$G,'Industrial Summary'!$F:$F,L$17,'Industrial Summary'!$D:$D,$E271,'Industrial Summary'!$A:$A,"COA")+-SUMIFS('Industrial Summary'!$G:$G,'Industrial Summary'!$F:$F,L$17,'Industrial Summary'!$D:$D,"IMAFSTM",'Industrial Summary'!$A:$A,"COA"))/SUMIFS('Industrial Summary'!$G:$G,'Industrial Summary'!$F:$F,L$17,'Industrial Summary'!$D:$D,$E271)),0))*0.98</f>
        <v>0</v>
      </c>
      <c r="M271" s="6">
        <f>(IF(SUMIFS('Industrial Summary'!$G:$G,'Industrial Summary'!$F:$F,M$17,'Industrial Summary'!$D:$D,$E271)&gt;0,((-SUMIFS('Industrial Summary'!$G:$G,'Industrial Summary'!$F:$F,M$17,'Industrial Summary'!$D:$D,$E271,'Industrial Summary'!$A:$A,"COA")+-SUMIFS('Industrial Summary'!$G:$G,'Industrial Summary'!$F:$F,M$17,'Industrial Summary'!$D:$D,"IMAFSTM",'Industrial Summary'!$A:$A,"COA"))/SUMIFS('Industrial Summary'!$G:$G,'Industrial Summary'!$F:$F,M$17,'Industrial Summary'!$D:$D,$E271)),0))*0.98</f>
        <v>0</v>
      </c>
      <c r="N271" s="6">
        <f>(IF(SUMIFS('Industrial Summary'!$G:$G,'Industrial Summary'!$F:$F,N$17,'Industrial Summary'!$D:$D,$E271)&gt;0,((-SUMIFS('Industrial Summary'!$G:$G,'Industrial Summary'!$F:$F,N$17,'Industrial Summary'!$D:$D,$E271,'Industrial Summary'!$A:$A,"COA")+-SUMIFS('Industrial Summary'!$G:$G,'Industrial Summary'!$F:$F,N$17,'Industrial Summary'!$D:$D,"IMAFSTM",'Industrial Summary'!$A:$A,"COA"))/SUMIFS('Industrial Summary'!$G:$G,'Industrial Summary'!$F:$F,N$17,'Industrial Summary'!$D:$D,$E271)),0))*0.98</f>
        <v>0</v>
      </c>
      <c r="O271" s="6">
        <f>(IF(SUMIFS('Industrial Summary'!$G:$G,'Industrial Summary'!$F:$F,O$17,'Industrial Summary'!$D:$D,$E271)&gt;0,((-SUMIFS('Industrial Summary'!$G:$G,'Industrial Summary'!$F:$F,O$17,'Industrial Summary'!$D:$D,$E271,'Industrial Summary'!$A:$A,"COA")+-SUMIFS('Industrial Summary'!$G:$G,'Industrial Summary'!$F:$F,O$17,'Industrial Summary'!$D:$D,"IMAFSTM",'Industrial Summary'!$A:$A,"COA"))/SUMIFS('Industrial Summary'!$G:$G,'Industrial Summary'!$F:$F,O$17,'Industrial Summary'!$D:$D,$E271)),0))*0.98</f>
        <v>0</v>
      </c>
      <c r="P271" s="6">
        <f>(IF(SUMIFS('Industrial Summary'!$G:$G,'Industrial Summary'!$F:$F,P$17,'Industrial Summary'!$D:$D,$E271)&gt;0,((-SUMIFS('Industrial Summary'!$G:$G,'Industrial Summary'!$F:$F,P$17,'Industrial Summary'!$D:$D,$E271,'Industrial Summary'!$A:$A,"COA")+-SUMIFS('Industrial Summary'!$G:$G,'Industrial Summary'!$F:$F,P$17,'Industrial Summary'!$D:$D,"IMAFSTM",'Industrial Summary'!$A:$A,"COA"))/SUMIFS('Industrial Summary'!$G:$G,'Industrial Summary'!$F:$F,P$17,'Industrial Summary'!$D:$D,$E271)),0))*0.98</f>
        <v>0</v>
      </c>
      <c r="Q271" s="5">
        <v>0</v>
      </c>
      <c r="R271" s="5">
        <v>15</v>
      </c>
      <c r="S271" s="5" t="str">
        <f t="shared" si="48"/>
        <v>UC_IMAST_COA</v>
      </c>
      <c r="V271" s="4" t="str">
        <f t="shared" si="49"/>
        <v>S_IMASTCOA</v>
      </c>
      <c r="W271" s="4" t="str">
        <f t="shared" si="50"/>
        <v>IMAST_COA</v>
      </c>
      <c r="X271" s="4" t="str">
        <f t="shared" si="51"/>
        <v>IMASTM</v>
      </c>
      <c r="Y271" s="5" t="str">
        <f t="shared" si="52"/>
        <v>UP</v>
      </c>
      <c r="Z271" s="5">
        <v>1</v>
      </c>
      <c r="AA271" s="6">
        <f t="shared" si="53"/>
        <v>0</v>
      </c>
      <c r="AB271" s="6">
        <f t="shared" si="54"/>
        <v>0</v>
      </c>
      <c r="AC271" s="6">
        <f t="shared" si="55"/>
        <v>0</v>
      </c>
      <c r="AD271" s="6">
        <f t="shared" si="56"/>
        <v>0</v>
      </c>
      <c r="AE271" s="6">
        <f t="shared" si="57"/>
        <v>0</v>
      </c>
      <c r="AF271" s="6">
        <f t="shared" si="58"/>
        <v>0</v>
      </c>
      <c r="AG271" s="6">
        <f t="shared" si="59"/>
        <v>0</v>
      </c>
      <c r="AH271" s="6">
        <f t="shared" si="60"/>
        <v>0</v>
      </c>
      <c r="AI271" s="6">
        <f t="shared" si="61"/>
        <v>0</v>
      </c>
      <c r="AL271" s="5" t="str">
        <f t="shared" si="62"/>
        <v>COA</v>
      </c>
      <c r="AM271" s="5">
        <f>Z9</f>
        <v>0.97</v>
      </c>
    </row>
    <row r="272" spans="1:39" s="5" customFormat="1" x14ac:dyDescent="0.3">
      <c r="C272" s="4" t="s">
        <v>556</v>
      </c>
      <c r="D272" s="5" t="s">
        <v>557</v>
      </c>
      <c r="E272" s="5" t="s">
        <v>799</v>
      </c>
      <c r="F272" s="5" t="s">
        <v>1588</v>
      </c>
      <c r="G272" s="5">
        <v>1</v>
      </c>
      <c r="H272" s="6">
        <f>IF(SUMIFS('Industrial Summary'!$G:$G,'Industrial Summary'!$F:$F,H$17,'Industrial Summary'!$D:$D,$E272)&gt;0,(-SUMIFS('Industrial Summary'!$G:$G,'Industrial Summary'!$F:$F,H$17,'Industrial Summary'!$D:$D,$E272,'Industrial Summary'!$A:$A,"ELC")/SUMIFS('Industrial Summary'!$G:$G,'Industrial Summary'!$F:$F,H$17,'Industrial Summary'!$D:$D,$E272)),0)*0.98</f>
        <v>-2.4540271508267063E-2</v>
      </c>
      <c r="I272" s="6">
        <f>IF(SUMIFS('Industrial Summary'!$G:$G,'Industrial Summary'!$F:$F,I$17,'Industrial Summary'!$D:$D,$E272)&gt;0,(-SUMIFS('Industrial Summary'!$G:$G,'Industrial Summary'!$F:$F,I$17,'Industrial Summary'!$D:$D,$E272,'Industrial Summary'!$A:$A,"ELC")/SUMIFS('Industrial Summary'!$G:$G,'Industrial Summary'!$F:$F,I$17,'Industrial Summary'!$D:$D,$E272)),0)*0.98</f>
        <v>-2.7266968342521299E-2</v>
      </c>
      <c r="J272" s="6">
        <f>IF(SUMIFS('Industrial Summary'!$G:$G,'Industrial Summary'!$F:$F,J$17,'Industrial Summary'!$D:$D,$E272)&gt;0,(-SUMIFS('Industrial Summary'!$G:$G,'Industrial Summary'!$F:$F,J$17,'Industrial Summary'!$D:$D,$E272,'Industrial Summary'!$A:$A,"ELC")/SUMIFS('Industrial Summary'!$G:$G,'Industrial Summary'!$F:$F,J$17,'Industrial Summary'!$D:$D,$E272)),0)*0.98</f>
        <v>-0.23144962821007431</v>
      </c>
      <c r="K272" s="6">
        <f>IF(SUMIFS('Industrial Summary'!$G:$G,'Industrial Summary'!$F:$F,K$17,'Industrial Summary'!$D:$D,$E272)&gt;0,(-SUMIFS('Industrial Summary'!$G:$G,'Industrial Summary'!$F:$F,K$17,'Industrial Summary'!$D:$D,$E272,'Industrial Summary'!$A:$A,"ELC")/SUMIFS('Industrial Summary'!$G:$G,'Industrial Summary'!$F:$F,K$17,'Industrial Summary'!$D:$D,$E272)),0)*0.98</f>
        <v>-0.17358722115755665</v>
      </c>
      <c r="L272" s="6">
        <f>IF(SUMIFS('Industrial Summary'!$G:$G,'Industrial Summary'!$F:$F,L$17,'Industrial Summary'!$D:$D,$E272)&gt;0,(-SUMIFS('Industrial Summary'!$G:$G,'Industrial Summary'!$F:$F,L$17,'Industrial Summary'!$D:$D,$E272,'Industrial Summary'!$A:$A,"ELC")/SUMIFS('Industrial Summary'!$G:$G,'Industrial Summary'!$F:$F,L$17,'Industrial Summary'!$D:$D,$E272)),0)*0.98</f>
        <v>-5.2529231993728463E-2</v>
      </c>
      <c r="M272" s="6">
        <f>IF(SUMIFS('Industrial Summary'!$G:$G,'Industrial Summary'!$F:$F,M$17,'Industrial Summary'!$D:$D,$E272)&gt;0,(-SUMIFS('Industrial Summary'!$G:$G,'Industrial Summary'!$F:$F,M$17,'Industrial Summary'!$D:$D,$E272,'Industrial Summary'!$A:$A,"ELC")/SUMIFS('Industrial Summary'!$G:$G,'Industrial Summary'!$F:$F,M$17,'Industrial Summary'!$D:$D,$E272)),0)*0.98</f>
        <v>-5.2529231993728484E-2</v>
      </c>
      <c r="N272" s="6">
        <f>IF(SUMIFS('Industrial Summary'!$G:$G,'Industrial Summary'!$F:$F,N$17,'Industrial Summary'!$D:$D,$E272)&gt;0,(-SUMIFS('Industrial Summary'!$G:$G,'Industrial Summary'!$F:$F,N$17,'Industrial Summary'!$D:$D,$E272,'Industrial Summary'!$A:$A,"ELC")/SUMIFS('Industrial Summary'!$G:$G,'Industrial Summary'!$F:$F,N$17,'Industrial Summary'!$D:$D,$E272)),0)*0.98</f>
        <v>-6.5996199032943029E-2</v>
      </c>
      <c r="O272" s="6">
        <f>IF(SUMIFS('Industrial Summary'!$G:$G,'Industrial Summary'!$F:$F,O$17,'Industrial Summary'!$D:$D,$E272)&gt;0,(-SUMIFS('Industrial Summary'!$G:$G,'Industrial Summary'!$F:$F,O$17,'Industrial Summary'!$D:$D,$E272,'Industrial Summary'!$A:$A,"ELC")/SUMIFS('Industrial Summary'!$G:$G,'Industrial Summary'!$F:$F,O$17,'Industrial Summary'!$D:$D,$E272)),0)*0.98</f>
        <v>-0.15926991037745666</v>
      </c>
      <c r="P272" s="6">
        <f>IF(SUMIFS('Industrial Summary'!$G:$G,'Industrial Summary'!$F:$F,P$17,'Industrial Summary'!$D:$D,$E272)&gt;0,(-SUMIFS('Industrial Summary'!$G:$G,'Industrial Summary'!$F:$F,P$17,'Industrial Summary'!$D:$D,$E272,'Industrial Summary'!$A:$A,"ELC")/SUMIFS('Industrial Summary'!$G:$G,'Industrial Summary'!$F:$F,P$17,'Industrial Summary'!$D:$D,$E272)),0)*0.98</f>
        <v>-0.15926991037746505</v>
      </c>
      <c r="Q272" s="5">
        <v>0</v>
      </c>
      <c r="R272" s="5">
        <v>15</v>
      </c>
      <c r="S272" s="5" t="str">
        <f t="shared" si="48"/>
        <v>UC_IMAPH_ELC</v>
      </c>
      <c r="V272" s="4" t="str">
        <f t="shared" si="49"/>
        <v>S_IMAPHELC</v>
      </c>
      <c r="W272" s="4" t="str">
        <f t="shared" si="50"/>
        <v>IMAPH_ELC</v>
      </c>
      <c r="X272" s="4" t="str">
        <f t="shared" si="51"/>
        <v>IMAPRH</v>
      </c>
      <c r="Y272" s="5" t="str">
        <f t="shared" si="52"/>
        <v>LO</v>
      </c>
      <c r="Z272" s="5">
        <v>1</v>
      </c>
      <c r="AA272" s="6">
        <f t="shared" si="53"/>
        <v>-2.4540271508267063E-2</v>
      </c>
      <c r="AB272" s="6">
        <f t="shared" si="54"/>
        <v>-2.7266968342521299E-2</v>
      </c>
      <c r="AC272" s="6">
        <f t="shared" si="55"/>
        <v>-0.23144962821007431</v>
      </c>
      <c r="AD272" s="6">
        <f t="shared" si="56"/>
        <v>-0.17358722115755665</v>
      </c>
      <c r="AE272" s="6">
        <f t="shared" si="57"/>
        <v>-5.2529231993728463E-2</v>
      </c>
      <c r="AF272" s="6">
        <f t="shared" si="58"/>
        <v>-5.2529231993728484E-2</v>
      </c>
      <c r="AG272" s="6">
        <f t="shared" si="59"/>
        <v>-6.5996199032943029E-2</v>
      </c>
      <c r="AH272" s="6">
        <f t="shared" si="60"/>
        <v>-0.15926991037745666</v>
      </c>
      <c r="AI272" s="6">
        <f t="shared" si="61"/>
        <v>-0.15926991037746505</v>
      </c>
      <c r="AL272" s="5" t="str">
        <f t="shared" si="62"/>
        <v>ELC</v>
      </c>
      <c r="AM272" s="5">
        <f>1</f>
        <v>1</v>
      </c>
    </row>
    <row r="273" spans="1:39" s="5" customFormat="1" x14ac:dyDescent="0.3">
      <c r="C273" s="4" t="s">
        <v>558</v>
      </c>
      <c r="D273" s="5" t="s">
        <v>559</v>
      </c>
      <c r="E273" s="5" t="s">
        <v>799</v>
      </c>
      <c r="F273" s="5" t="s">
        <v>1588</v>
      </c>
      <c r="G273" s="5">
        <v>1</v>
      </c>
      <c r="H273" s="6">
        <f>IF(SUMIFS('Industrial Summary'!$G:$G,'Industrial Summary'!$F:$F,H$17,'Industrial Summary'!$D:$D,$E273)&gt;0,(-SUMIFS('Industrial Summary'!$G:$G,'Industrial Summary'!$F:$F,H$17,'Industrial Summary'!$D:$D,$E273,'Industrial Summary'!$A:$A,"NGA")/SUMIFS('Industrial Summary'!$G:$G,'Industrial Summary'!$F:$F,H$17,'Industrial Summary'!$D:$D,$E273)),0)*0.98</f>
        <v>-0.95545972849173288</v>
      </c>
      <c r="I273" s="6">
        <f>IF(SUMIFS('Industrial Summary'!$G:$G,'Industrial Summary'!$F:$F,I$17,'Industrial Summary'!$D:$D,$E273)&gt;0,(-SUMIFS('Industrial Summary'!$G:$G,'Industrial Summary'!$F:$F,I$17,'Industrial Summary'!$D:$D,$E273,'Industrial Summary'!$A:$A,"NGA")/SUMIFS('Industrial Summary'!$G:$G,'Industrial Summary'!$F:$F,I$17,'Industrial Summary'!$D:$D,$E273)),0)*0.98</f>
        <v>-0.95273303165747869</v>
      </c>
      <c r="J273" s="6">
        <f>IF(SUMIFS('Industrial Summary'!$G:$G,'Industrial Summary'!$F:$F,J$17,'Industrial Summary'!$D:$D,$E273)&gt;0,(-SUMIFS('Industrial Summary'!$G:$G,'Industrial Summary'!$F:$F,J$17,'Industrial Summary'!$D:$D,$E273,'Industrial Summary'!$A:$A,"NGA")/SUMIFS('Industrial Summary'!$G:$G,'Industrial Summary'!$F:$F,J$17,'Industrial Summary'!$D:$D,$E273)),0)*0.98</f>
        <v>-0.74855037178992567</v>
      </c>
      <c r="K273" s="6">
        <f>IF(SUMIFS('Industrial Summary'!$G:$G,'Industrial Summary'!$F:$F,K$17,'Industrial Summary'!$D:$D,$E273)&gt;0,(-SUMIFS('Industrial Summary'!$G:$G,'Industrial Summary'!$F:$F,K$17,'Industrial Summary'!$D:$D,$E273,'Industrial Summary'!$A:$A,"NGA")/SUMIFS('Industrial Summary'!$G:$G,'Industrial Summary'!$F:$F,K$17,'Industrial Summary'!$D:$D,$E273)),0)*0.98</f>
        <v>-0.80641277884244322</v>
      </c>
      <c r="L273" s="6">
        <f>IF(SUMIFS('Industrial Summary'!$G:$G,'Industrial Summary'!$F:$F,L$17,'Industrial Summary'!$D:$D,$E273)&gt;0,(-SUMIFS('Industrial Summary'!$G:$G,'Industrial Summary'!$F:$F,L$17,'Industrial Summary'!$D:$D,$E273,'Industrial Summary'!$A:$A,"NGA")/SUMIFS('Industrial Summary'!$G:$G,'Industrial Summary'!$F:$F,L$17,'Industrial Summary'!$D:$D,$E273)),0)*0.98</f>
        <v>-0.9274707680062716</v>
      </c>
      <c r="M273" s="6">
        <f>IF(SUMIFS('Industrial Summary'!$G:$G,'Industrial Summary'!$F:$F,M$17,'Industrial Summary'!$D:$D,$E273)&gt;0,(-SUMIFS('Industrial Summary'!$G:$G,'Industrial Summary'!$F:$F,M$17,'Industrial Summary'!$D:$D,$E273,'Industrial Summary'!$A:$A,"NGA")/SUMIFS('Industrial Summary'!$G:$G,'Industrial Summary'!$F:$F,M$17,'Industrial Summary'!$D:$D,$E273)),0)*0.98</f>
        <v>-0.9274707680062716</v>
      </c>
      <c r="N273" s="6">
        <f>IF(SUMIFS('Industrial Summary'!$G:$G,'Industrial Summary'!$F:$F,N$17,'Industrial Summary'!$D:$D,$E273)&gt;0,(-SUMIFS('Industrial Summary'!$G:$G,'Industrial Summary'!$F:$F,N$17,'Industrial Summary'!$D:$D,$E273,'Industrial Summary'!$A:$A,"NGA")/SUMIFS('Industrial Summary'!$G:$G,'Industrial Summary'!$F:$F,N$17,'Industrial Summary'!$D:$D,$E273)),0)*0.98</f>
        <v>-0.91400380096705691</v>
      </c>
      <c r="O273" s="6">
        <f>IF(SUMIFS('Industrial Summary'!$G:$G,'Industrial Summary'!$F:$F,O$17,'Industrial Summary'!$D:$D,$E273)&gt;0,(-SUMIFS('Industrial Summary'!$G:$G,'Industrial Summary'!$F:$F,O$17,'Industrial Summary'!$D:$D,$E273,'Industrial Summary'!$A:$A,"NGA")/SUMIFS('Industrial Summary'!$G:$G,'Industrial Summary'!$F:$F,O$17,'Industrial Summary'!$D:$D,$E273)),0)*0.98</f>
        <v>-0.82073008962254335</v>
      </c>
      <c r="P273" s="6">
        <f>IF(SUMIFS('Industrial Summary'!$G:$G,'Industrial Summary'!$F:$F,P$17,'Industrial Summary'!$D:$D,$E273)&gt;0,(-SUMIFS('Industrial Summary'!$G:$G,'Industrial Summary'!$F:$F,P$17,'Industrial Summary'!$D:$D,$E273,'Industrial Summary'!$A:$A,"NGA")/SUMIFS('Industrial Summary'!$G:$G,'Industrial Summary'!$F:$F,P$17,'Industrial Summary'!$D:$D,$E273)),0)*0.98</f>
        <v>-0.82073008962253502</v>
      </c>
      <c r="Q273" s="5">
        <v>0</v>
      </c>
      <c r="R273" s="5">
        <v>15</v>
      </c>
      <c r="S273" s="5" t="str">
        <f t="shared" si="48"/>
        <v>UC_IMAPH_NGA</v>
      </c>
      <c r="V273" s="4" t="str">
        <f t="shared" si="49"/>
        <v>S_IMAPHNGA</v>
      </c>
      <c r="W273" s="4" t="str">
        <f t="shared" si="50"/>
        <v>IMAPH_NGA</v>
      </c>
      <c r="X273" s="4" t="str">
        <f t="shared" si="51"/>
        <v>IMAPRH</v>
      </c>
      <c r="Y273" s="5" t="str">
        <f t="shared" si="52"/>
        <v>LO</v>
      </c>
      <c r="Z273" s="5">
        <v>1</v>
      </c>
      <c r="AA273" s="6">
        <f t="shared" si="53"/>
        <v>-0.84080456107272494</v>
      </c>
      <c r="AB273" s="6">
        <f t="shared" si="54"/>
        <v>-0.83840506785858127</v>
      </c>
      <c r="AC273" s="6">
        <f t="shared" si="55"/>
        <v>-0.65872432717513463</v>
      </c>
      <c r="AD273" s="6">
        <f t="shared" si="56"/>
        <v>-0.70964324538135004</v>
      </c>
      <c r="AE273" s="6">
        <f t="shared" si="57"/>
        <v>-0.81617427584551905</v>
      </c>
      <c r="AF273" s="6">
        <f t="shared" si="58"/>
        <v>-0.81617427584551905</v>
      </c>
      <c r="AG273" s="6">
        <f t="shared" si="59"/>
        <v>-0.80432334485101009</v>
      </c>
      <c r="AH273" s="6">
        <f t="shared" si="60"/>
        <v>-0.7222424788678381</v>
      </c>
      <c r="AI273" s="6">
        <f t="shared" si="61"/>
        <v>-0.72224247886783077</v>
      </c>
      <c r="AL273" s="5" t="str">
        <f t="shared" si="62"/>
        <v>NGA</v>
      </c>
      <c r="AM273" s="5">
        <f>Y9</f>
        <v>0.88</v>
      </c>
    </row>
    <row r="274" spans="1:39" s="5" customFormat="1" x14ac:dyDescent="0.3">
      <c r="C274" s="4" t="s">
        <v>560</v>
      </c>
      <c r="D274" s="5" t="s">
        <v>561</v>
      </c>
      <c r="E274" s="5" t="s">
        <v>750</v>
      </c>
      <c r="F274" s="5" t="s">
        <v>1588</v>
      </c>
      <c r="G274" s="5">
        <v>1</v>
      </c>
      <c r="H274" s="6">
        <f>IF(SUMIFS('Industrial Summary'!$G:$G,'Industrial Summary'!$F:$F,H$17,'Industrial Summary'!$D:$D,$E274)&gt;0,(-SUMIFS('Industrial Summary'!$G:$G,'Industrial Summary'!$F:$F,H$17,'Industrial Summary'!$D:$D,$E274,'Industrial Summary'!$A:$A,"ELC")/SUMIFS('Industrial Summary'!$G:$G,'Industrial Summary'!$F:$F,H$17,'Industrial Summary'!$D:$D,$E274)),0)*0.98</f>
        <v>-0.60568390198317945</v>
      </c>
      <c r="I274" s="6">
        <f>IF(SUMIFS('Industrial Summary'!$G:$G,'Industrial Summary'!$F:$F,I$17,'Industrial Summary'!$D:$D,$E274)&gt;0,(-SUMIFS('Industrial Summary'!$G:$G,'Industrial Summary'!$F:$F,I$17,'Industrial Summary'!$D:$D,$E274,'Industrial Summary'!$A:$A,"ELC")/SUMIFS('Industrial Summary'!$G:$G,'Industrial Summary'!$F:$F,I$17,'Industrial Summary'!$D:$D,$E274)),0)*0.98</f>
        <v>-0.67298211331464486</v>
      </c>
      <c r="J274" s="6">
        <f>IF(SUMIFS('Industrial Summary'!$G:$G,'Industrial Summary'!$F:$F,J$17,'Industrial Summary'!$D:$D,$E274)&gt;0,(-SUMIFS('Industrial Summary'!$G:$G,'Industrial Summary'!$F:$F,J$17,'Industrial Summary'!$D:$D,$E274,'Industrial Summary'!$A:$A,"ELC")/SUMIFS('Industrial Summary'!$G:$G,'Industrial Summary'!$F:$F,J$17,'Industrial Summary'!$D:$D,$E274)),0)*0.98</f>
        <v>-0.98</v>
      </c>
      <c r="K274" s="6">
        <f>IF(SUMIFS('Industrial Summary'!$G:$G,'Industrial Summary'!$F:$F,K$17,'Industrial Summary'!$D:$D,$E274)&gt;0,(-SUMIFS('Industrial Summary'!$G:$G,'Industrial Summary'!$F:$F,K$17,'Industrial Summary'!$D:$D,$E274,'Industrial Summary'!$A:$A,"ELC")/SUMIFS('Industrial Summary'!$G:$G,'Industrial Summary'!$F:$F,K$17,'Industrial Summary'!$D:$D,$E274)),0)*0.98</f>
        <v>-0.91269825553122697</v>
      </c>
      <c r="L274" s="6">
        <f>IF(SUMIFS('Industrial Summary'!$G:$G,'Industrial Summary'!$F:$F,L$17,'Industrial Summary'!$D:$D,$E274)&gt;0,(-SUMIFS('Industrial Summary'!$G:$G,'Industrial Summary'!$F:$F,L$17,'Industrial Summary'!$D:$D,$E274,'Industrial Summary'!$A:$A,"ELC")/SUMIFS('Industrial Summary'!$G:$G,'Industrial Summary'!$F:$F,L$17,'Industrial Summary'!$D:$D,$E274)),0)*0.98</f>
        <v>-0.76547047394356316</v>
      </c>
      <c r="M274" s="6">
        <f>IF(SUMIFS('Industrial Summary'!$G:$G,'Industrial Summary'!$F:$F,M$17,'Industrial Summary'!$D:$D,$E274)&gt;0,(-SUMIFS('Industrial Summary'!$G:$G,'Industrial Summary'!$F:$F,M$17,'Industrial Summary'!$D:$D,$E274,'Industrial Summary'!$A:$A,"ELC")/SUMIFS('Industrial Summary'!$G:$G,'Industrial Summary'!$F:$F,M$17,'Industrial Summary'!$D:$D,$E274)),0)*0.98</f>
        <v>-0.76547047394356338</v>
      </c>
      <c r="N274" s="6">
        <f>IF(SUMIFS('Industrial Summary'!$G:$G,'Industrial Summary'!$F:$F,N$17,'Industrial Summary'!$D:$D,$E274)&gt;0,(-SUMIFS('Industrial Summary'!$G:$G,'Industrial Summary'!$F:$F,N$17,'Industrial Summary'!$D:$D,$E274,'Industrial Summary'!$A:$A,"ELC")/SUMIFS('Industrial Summary'!$G:$G,'Industrial Summary'!$F:$F,N$17,'Industrial Summary'!$D:$D,$E274)),0)*0.98</f>
        <v>-0.96171483638390609</v>
      </c>
      <c r="O274" s="6">
        <f>IF(SUMIFS('Industrial Summary'!$G:$G,'Industrial Summary'!$F:$F,O$17,'Industrial Summary'!$D:$D,$E274)&gt;0,(-SUMIFS('Industrial Summary'!$G:$G,'Industrial Summary'!$F:$F,O$17,'Industrial Summary'!$D:$D,$E274,'Industrial Summary'!$A:$A,"ELC")/SUMIFS('Industrial Summary'!$G:$G,'Industrial Summary'!$F:$F,O$17,'Industrial Summary'!$D:$D,$E274)),0)*0.98</f>
        <v>-0.90590187332321237</v>
      </c>
      <c r="P274" s="6">
        <f>IF(SUMIFS('Industrial Summary'!$G:$G,'Industrial Summary'!$F:$F,P$17,'Industrial Summary'!$D:$D,$E274)&gt;0,(-SUMIFS('Industrial Summary'!$G:$G,'Industrial Summary'!$F:$F,P$17,'Industrial Summary'!$D:$D,$E274,'Industrial Summary'!$A:$A,"ELC")/SUMIFS('Industrial Summary'!$G:$G,'Industrial Summary'!$F:$F,P$17,'Industrial Summary'!$D:$D,$E274)),0)*0.98</f>
        <v>-0.90590187332321526</v>
      </c>
      <c r="Q274" s="5">
        <v>0</v>
      </c>
      <c r="R274" s="5">
        <v>15</v>
      </c>
      <c r="S274" s="5" t="str">
        <f t="shared" ref="S274:S337" si="63">_xlfn.CONCAT("UC_",D274)</f>
        <v>UC_IMAMD_ELC</v>
      </c>
      <c r="V274" s="4" t="str">
        <f t="shared" si="49"/>
        <v>S_IMAMDELC</v>
      </c>
      <c r="W274" s="4" t="str">
        <f t="shared" si="50"/>
        <v>IMAMD_ELC</v>
      </c>
      <c r="X274" s="4" t="str">
        <f t="shared" si="51"/>
        <v>IMAMDR</v>
      </c>
      <c r="Y274" s="5" t="str">
        <f t="shared" si="52"/>
        <v>LO</v>
      </c>
      <c r="Z274" s="5">
        <v>1</v>
      </c>
      <c r="AA274" s="6">
        <f t="shared" si="53"/>
        <v>-0.60568390198317945</v>
      </c>
      <c r="AB274" s="6">
        <f t="shared" si="54"/>
        <v>-0.67298211331464486</v>
      </c>
      <c r="AC274" s="6">
        <f t="shared" si="55"/>
        <v>-0.98</v>
      </c>
      <c r="AD274" s="6">
        <f t="shared" si="56"/>
        <v>-0.91269825553122697</v>
      </c>
      <c r="AE274" s="6">
        <f t="shared" si="57"/>
        <v>-0.76547047394356316</v>
      </c>
      <c r="AF274" s="6">
        <f t="shared" si="58"/>
        <v>-0.76547047394356338</v>
      </c>
      <c r="AG274" s="6">
        <f t="shared" si="59"/>
        <v>-0.96171483638390609</v>
      </c>
      <c r="AH274" s="6">
        <f t="shared" si="60"/>
        <v>-0.90590187332321237</v>
      </c>
      <c r="AI274" s="6">
        <f t="shared" si="61"/>
        <v>-0.90590187332321526</v>
      </c>
      <c r="AL274" s="5" t="str">
        <f t="shared" si="62"/>
        <v>ELC</v>
      </c>
      <c r="AM274" s="5">
        <f>1</f>
        <v>1</v>
      </c>
    </row>
    <row r="275" spans="1:39" s="5" customFormat="1" x14ac:dyDescent="0.3">
      <c r="A275" s="8"/>
      <c r="C275" s="4" t="s">
        <v>562</v>
      </c>
      <c r="D275" s="5" t="s">
        <v>563</v>
      </c>
      <c r="E275" s="5" t="s">
        <v>750</v>
      </c>
      <c r="F275" s="5" t="s">
        <v>1588</v>
      </c>
      <c r="G275" s="5">
        <v>1</v>
      </c>
      <c r="H275" s="6">
        <f>IF(SUMIFS('Industrial Summary'!$G:$G,'Industrial Summary'!$F:$F,H$17,'Industrial Summary'!$D:$D,$E275)&gt;0,(-SUMIFS('Industrial Summary'!$G:$G,'Industrial Summary'!$F:$F,H$17,'Industrial Summary'!$D:$D,$E275,'Industrial Summary'!$A:$A,"NGA")/SUMIFS('Industrial Summary'!$G:$G,'Industrial Summary'!$F:$F,H$17,'Industrial Summary'!$D:$D,$E275)),0)*0.98</f>
        <v>-0.37431609801682053</v>
      </c>
      <c r="I275" s="6">
        <f>IF(SUMIFS('Industrial Summary'!$G:$G,'Industrial Summary'!$F:$F,I$17,'Industrial Summary'!$D:$D,$E275)&gt;0,(-SUMIFS('Industrial Summary'!$G:$G,'Industrial Summary'!$F:$F,I$17,'Industrial Summary'!$D:$D,$E275,'Industrial Summary'!$A:$A,"NGA")/SUMIFS('Industrial Summary'!$G:$G,'Industrial Summary'!$F:$F,I$17,'Industrial Summary'!$D:$D,$E275)),0)*0.98</f>
        <v>-0.30701788668535518</v>
      </c>
      <c r="J275" s="6">
        <f>IF(SUMIFS('Industrial Summary'!$G:$G,'Industrial Summary'!$F:$F,J$17,'Industrial Summary'!$D:$D,$E275)&gt;0,(-SUMIFS('Industrial Summary'!$G:$G,'Industrial Summary'!$F:$F,J$17,'Industrial Summary'!$D:$D,$E275,'Industrial Summary'!$A:$A,"NGA")/SUMIFS('Industrial Summary'!$G:$G,'Industrial Summary'!$F:$F,J$17,'Industrial Summary'!$D:$D,$E275)),0)*0.98</f>
        <v>0</v>
      </c>
      <c r="K275" s="6">
        <f>IF(SUMIFS('Industrial Summary'!$G:$G,'Industrial Summary'!$F:$F,K$17,'Industrial Summary'!$D:$D,$E275)&gt;0,(-SUMIFS('Industrial Summary'!$G:$G,'Industrial Summary'!$F:$F,K$17,'Industrial Summary'!$D:$D,$E275,'Industrial Summary'!$A:$A,"NGA")/SUMIFS('Industrial Summary'!$G:$G,'Industrial Summary'!$F:$F,K$17,'Industrial Summary'!$D:$D,$E275)),0)*0.98</f>
        <v>-6.7301744468773003E-2</v>
      </c>
      <c r="L275" s="6">
        <f>IF(SUMIFS('Industrial Summary'!$G:$G,'Industrial Summary'!$F:$F,L$17,'Industrial Summary'!$D:$D,$E275)&gt;0,(-SUMIFS('Industrial Summary'!$G:$G,'Industrial Summary'!$F:$F,L$17,'Industrial Summary'!$D:$D,$E275,'Industrial Summary'!$A:$A,"NGA")/SUMIFS('Industrial Summary'!$G:$G,'Industrial Summary'!$F:$F,L$17,'Industrial Summary'!$D:$D,$E275)),0)*0.98</f>
        <v>-0.21452952605643685</v>
      </c>
      <c r="M275" s="6">
        <f>IF(SUMIFS('Industrial Summary'!$G:$G,'Industrial Summary'!$F:$F,M$17,'Industrial Summary'!$D:$D,$E275)&gt;0,(-SUMIFS('Industrial Summary'!$G:$G,'Industrial Summary'!$F:$F,M$17,'Industrial Summary'!$D:$D,$E275,'Industrial Summary'!$A:$A,"NGA")/SUMIFS('Industrial Summary'!$G:$G,'Industrial Summary'!$F:$F,M$17,'Industrial Summary'!$D:$D,$E275)),0)*0.98</f>
        <v>-0.2145295260564366</v>
      </c>
      <c r="N275" s="6">
        <f>IF(SUMIFS('Industrial Summary'!$G:$G,'Industrial Summary'!$F:$F,N$17,'Industrial Summary'!$D:$D,$E275)&gt;0,(-SUMIFS('Industrial Summary'!$G:$G,'Industrial Summary'!$F:$F,N$17,'Industrial Summary'!$D:$D,$E275,'Industrial Summary'!$A:$A,"NGA")/SUMIFS('Industrial Summary'!$G:$G,'Industrial Summary'!$F:$F,N$17,'Industrial Summary'!$D:$D,$E275)),0)*0.98</f>
        <v>-1.8285163616093926E-2</v>
      </c>
      <c r="O275" s="6">
        <f>IF(SUMIFS('Industrial Summary'!$G:$G,'Industrial Summary'!$F:$F,O$17,'Industrial Summary'!$D:$D,$E275)&gt;0,(-SUMIFS('Industrial Summary'!$G:$G,'Industrial Summary'!$F:$F,O$17,'Industrial Summary'!$D:$D,$E275,'Industrial Summary'!$A:$A,"NGA")/SUMIFS('Industrial Summary'!$G:$G,'Industrial Summary'!$F:$F,O$17,'Industrial Summary'!$D:$D,$E275)),0)*0.98</f>
        <v>-7.4098126676787598E-2</v>
      </c>
      <c r="P275" s="6">
        <f>IF(SUMIFS('Industrial Summary'!$G:$G,'Industrial Summary'!$F:$F,P$17,'Industrial Summary'!$D:$D,$E275)&gt;0,(-SUMIFS('Industrial Summary'!$G:$G,'Industrial Summary'!$F:$F,P$17,'Industrial Summary'!$D:$D,$E275,'Industrial Summary'!$A:$A,"NGA")/SUMIFS('Industrial Summary'!$G:$G,'Industrial Summary'!$F:$F,P$17,'Industrial Summary'!$D:$D,$E275)),0)*0.98</f>
        <v>-7.4098126676784726E-2</v>
      </c>
      <c r="Q275" s="5">
        <v>0</v>
      </c>
      <c r="R275" s="5">
        <v>15</v>
      </c>
      <c r="S275" s="5" t="str">
        <f t="shared" si="63"/>
        <v>UC_IMAMD_NGA</v>
      </c>
      <c r="V275" s="4" t="str">
        <f t="shared" ref="V275:V342" si="64">C275</f>
        <v>S_IMAMDNGA</v>
      </c>
      <c r="W275" s="4" t="str">
        <f t="shared" ref="W275:W342" si="65">D275</f>
        <v>IMAMD_NGA</v>
      </c>
      <c r="X275" s="4" t="str">
        <f t="shared" ref="X275:X342" si="66">E275</f>
        <v>IMAMDR</v>
      </c>
      <c r="Y275" s="5" t="str">
        <f t="shared" ref="Y275:Y338" si="67">F275</f>
        <v>LO</v>
      </c>
      <c r="Z275" s="5">
        <v>1</v>
      </c>
      <c r="AA275" s="6">
        <f t="shared" ref="AA275:AA338" si="68">H275*$AM275</f>
        <v>-0.32939816625480206</v>
      </c>
      <c r="AB275" s="6">
        <f t="shared" ref="AB275:AB338" si="69">I275*$AM275</f>
        <v>-0.27017574028311259</v>
      </c>
      <c r="AC275" s="6">
        <f t="shared" ref="AC275:AC338" si="70">J275*$AM275</f>
        <v>0</v>
      </c>
      <c r="AD275" s="6">
        <f t="shared" ref="AD275:AD338" si="71">K275*$AM275</f>
        <v>-5.9225535132520241E-2</v>
      </c>
      <c r="AE275" s="6">
        <f t="shared" ref="AE275:AE338" si="72">L275*$AM275</f>
        <v>-0.18878598292966442</v>
      </c>
      <c r="AF275" s="6">
        <f t="shared" ref="AF275:AF338" si="73">M275*$AM275</f>
        <v>-0.18878598292966423</v>
      </c>
      <c r="AG275" s="6">
        <f t="shared" ref="AG275:AG338" si="74">N275*$AM275</f>
        <v>-1.6090943982162657E-2</v>
      </c>
      <c r="AH275" s="6">
        <f t="shared" ref="AH275:AH338" si="75">O275*$AM275</f>
        <v>-6.5206351475573091E-2</v>
      </c>
      <c r="AI275" s="6">
        <f t="shared" ref="AI275:AI338" si="76">P275*$AM275</f>
        <v>-6.5206351475570565E-2</v>
      </c>
      <c r="AL275" s="5" t="str">
        <f t="shared" ref="AL275:AL338" si="77">RIGHT(W275,3)</f>
        <v>NGA</v>
      </c>
      <c r="AM275" s="5">
        <f>Y9</f>
        <v>0.88</v>
      </c>
    </row>
    <row r="276" spans="1:39" s="5" customFormat="1" x14ac:dyDescent="0.3">
      <c r="C276" s="4" t="s">
        <v>564</v>
      </c>
      <c r="D276" s="5" t="s">
        <v>565</v>
      </c>
      <c r="E276" s="5" t="s">
        <v>736</v>
      </c>
      <c r="F276" s="5" t="s">
        <v>1588</v>
      </c>
      <c r="G276" s="5">
        <v>1</v>
      </c>
      <c r="H276" s="6">
        <f>IF(SUMIFS('Industrial Summary'!$G:$G,'Industrial Summary'!$F:$F,H$17,'Industrial Summary'!$D:$D,$E276)&gt;0,(-SUMIFS('Industrial Summary'!$G:$G,'Industrial Summary'!$F:$F,H$17,'Industrial Summary'!$D:$D,$E276,'Industrial Summary'!$A:$A,"ELC")/SUMIFS('Industrial Summary'!$G:$G,'Industrial Summary'!$F:$F,H$17,'Industrial Summary'!$D:$D,$E276)),0)*0.98</f>
        <v>-0.27255353377559161</v>
      </c>
      <c r="I276" s="6">
        <f>IF(SUMIFS('Industrial Summary'!$G:$G,'Industrial Summary'!$F:$F,I$17,'Industrial Summary'!$D:$D,$E276)&gt;0,(-SUMIFS('Industrial Summary'!$G:$G,'Industrial Summary'!$F:$F,I$17,'Industrial Summary'!$D:$D,$E276,'Industrial Summary'!$A:$A,"ELC")/SUMIFS('Industrial Summary'!$G:$G,'Industrial Summary'!$F:$F,I$17,'Industrial Summary'!$D:$D,$E276)),0)*0.98</f>
        <v>-0.30283725975065717</v>
      </c>
      <c r="J276" s="6">
        <f>IF(SUMIFS('Industrial Summary'!$G:$G,'Industrial Summary'!$F:$F,J$17,'Industrial Summary'!$D:$D,$E276)&gt;0,(-SUMIFS('Industrial Summary'!$G:$G,'Industrial Summary'!$F:$F,J$17,'Industrial Summary'!$D:$D,$E276,'Industrial Summary'!$A:$A,"ELC")/SUMIFS('Industrial Summary'!$G:$G,'Industrial Summary'!$F:$F,J$17,'Industrial Summary'!$D:$D,$E276)),0)*0.98</f>
        <v>-0.98</v>
      </c>
      <c r="K276" s="6">
        <f>IF(SUMIFS('Industrial Summary'!$G:$G,'Industrial Summary'!$F:$F,K$17,'Industrial Summary'!$D:$D,$E276)&gt;0,(-SUMIFS('Industrial Summary'!$G:$G,'Industrial Summary'!$F:$F,K$17,'Industrial Summary'!$D:$D,$E276,'Industrial Summary'!$A:$A,"ELC")/SUMIFS('Industrial Summary'!$G:$G,'Industrial Summary'!$F:$F,K$17,'Industrial Summary'!$D:$D,$E276)),0)*0.98</f>
        <v>-0.7482600333025734</v>
      </c>
      <c r="L276" s="6">
        <f>IF(SUMIFS('Industrial Summary'!$G:$G,'Industrial Summary'!$F:$F,L$17,'Industrial Summary'!$D:$D,$E276)&gt;0,(-SUMIFS('Industrial Summary'!$G:$G,'Industrial Summary'!$F:$F,L$17,'Industrial Summary'!$D:$D,$E276,'Industrial Summary'!$A:$A,"ELC")/SUMIFS('Industrial Summary'!$G:$G,'Industrial Summary'!$F:$F,L$17,'Industrial Summary'!$D:$D,$E276)),0)*0.98</f>
        <v>-0.39836625094872014</v>
      </c>
      <c r="M276" s="6">
        <f>IF(SUMIFS('Industrial Summary'!$G:$G,'Industrial Summary'!$F:$F,M$17,'Industrial Summary'!$D:$D,$E276)&gt;0,(-SUMIFS('Industrial Summary'!$G:$G,'Industrial Summary'!$F:$F,M$17,'Industrial Summary'!$D:$D,$E276,'Industrial Summary'!$A:$A,"ELC")/SUMIFS('Industrial Summary'!$G:$G,'Industrial Summary'!$F:$F,M$17,'Industrial Summary'!$D:$D,$E276)),0)*0.98</f>
        <v>-0.3983662509487283</v>
      </c>
      <c r="N276" s="6">
        <f>IF(SUMIFS('Industrial Summary'!$G:$G,'Industrial Summary'!$F:$F,N$17,'Industrial Summary'!$D:$D,$E276)&gt;0,(-SUMIFS('Industrial Summary'!$G:$G,'Industrial Summary'!$F:$F,N$17,'Industrial Summary'!$D:$D,$E276,'Industrial Summary'!$A:$A,"ELC")/SUMIFS('Industrial Summary'!$G:$G,'Industrial Summary'!$F:$F,N$17,'Industrial Summary'!$D:$D,$E276)),0)*0.98</f>
        <v>-0.50049576945571839</v>
      </c>
      <c r="O276" s="6">
        <f>IF(SUMIFS('Industrial Summary'!$G:$G,'Industrial Summary'!$F:$F,O$17,'Industrial Summary'!$D:$D,$E276)&gt;0,(-SUMIFS('Industrial Summary'!$G:$G,'Industrial Summary'!$F:$F,O$17,'Industrial Summary'!$D:$D,$E276,'Industrial Summary'!$A:$A,"ELC")/SUMIFS('Industrial Summary'!$G:$G,'Industrial Summary'!$F:$F,O$17,'Industrial Summary'!$D:$D,$E276)),0)*0.98</f>
        <v>-0.7294171556180491</v>
      </c>
      <c r="P276" s="6">
        <f>IF(SUMIFS('Industrial Summary'!$G:$G,'Industrial Summary'!$F:$F,P$17,'Industrial Summary'!$D:$D,$E276)&gt;0,(-SUMIFS('Industrial Summary'!$G:$G,'Industrial Summary'!$F:$F,P$17,'Industrial Summary'!$D:$D,$E276,'Industrial Summary'!$A:$A,"ELC")/SUMIFS('Industrial Summary'!$G:$G,'Industrial Summary'!$F:$F,P$17,'Industrial Summary'!$D:$D,$E276)),0)*0.98</f>
        <v>-0.72941715561805165</v>
      </c>
      <c r="Q276" s="5">
        <v>0</v>
      </c>
      <c r="R276" s="5">
        <v>15</v>
      </c>
      <c r="S276" s="5" t="str">
        <f t="shared" si="63"/>
        <v>UC_IMAFA_ELC</v>
      </c>
      <c r="V276" s="4" t="str">
        <f t="shared" si="64"/>
        <v>S_IMAFAELC</v>
      </c>
      <c r="W276" s="4" t="str">
        <f t="shared" si="65"/>
        <v>IMAFA_ELC</v>
      </c>
      <c r="X276" s="4" t="str">
        <f t="shared" si="66"/>
        <v>IMAFAC</v>
      </c>
      <c r="Y276" s="5" t="str">
        <f t="shared" si="67"/>
        <v>LO</v>
      </c>
      <c r="Z276" s="5">
        <v>1</v>
      </c>
      <c r="AA276" s="6">
        <f t="shared" si="68"/>
        <v>-0.27255353377559161</v>
      </c>
      <c r="AB276" s="6">
        <f t="shared" si="69"/>
        <v>-0.30283725975065717</v>
      </c>
      <c r="AC276" s="6">
        <f t="shared" si="70"/>
        <v>-0.98</v>
      </c>
      <c r="AD276" s="6">
        <f t="shared" si="71"/>
        <v>-0.7482600333025734</v>
      </c>
      <c r="AE276" s="6">
        <f t="shared" si="72"/>
        <v>-0.39836625094872014</v>
      </c>
      <c r="AF276" s="6">
        <f t="shared" si="73"/>
        <v>-0.3983662509487283</v>
      </c>
      <c r="AG276" s="6">
        <f t="shared" si="74"/>
        <v>-0.50049576945571839</v>
      </c>
      <c r="AH276" s="6">
        <f t="shared" si="75"/>
        <v>-0.7294171556180491</v>
      </c>
      <c r="AI276" s="6">
        <f t="shared" si="76"/>
        <v>-0.72941715561805165</v>
      </c>
      <c r="AL276" s="5" t="str">
        <f t="shared" si="77"/>
        <v>ELC</v>
      </c>
      <c r="AM276" s="5">
        <f>1</f>
        <v>1</v>
      </c>
    </row>
    <row r="277" spans="1:39" s="5" customFormat="1" x14ac:dyDescent="0.3">
      <c r="C277" s="4" t="s">
        <v>566</v>
      </c>
      <c r="D277" s="5" t="s">
        <v>567</v>
      </c>
      <c r="E277" s="5" t="s">
        <v>736</v>
      </c>
      <c r="F277" s="5" t="s">
        <v>1588</v>
      </c>
      <c r="G277" s="5">
        <v>1</v>
      </c>
      <c r="H277" s="6">
        <f>IF(SUMIFS('Industrial Summary'!$G:$G,'Industrial Summary'!$F:$F,H$17,'Industrial Summary'!$D:$D,$E277)&gt;0,(-SUMIFS('Industrial Summary'!$G:$G,'Industrial Summary'!$F:$F,H$17,'Industrial Summary'!$D:$D,$E277,'Industrial Summary'!$A:$A,"DST")/SUMIFS('Industrial Summary'!$G:$G,'Industrial Summary'!$F:$F,H$17,'Industrial Summary'!$D:$D,$E277)),0)*0.98</f>
        <v>0</v>
      </c>
      <c r="I277" s="6">
        <f>IF(SUMIFS('Industrial Summary'!$G:$G,'Industrial Summary'!$F:$F,I$17,'Industrial Summary'!$D:$D,$E277)&gt;0,(-SUMIFS('Industrial Summary'!$G:$G,'Industrial Summary'!$F:$F,I$17,'Industrial Summary'!$D:$D,$E277,'Industrial Summary'!$A:$A,"DST")/SUMIFS('Industrial Summary'!$G:$G,'Industrial Summary'!$F:$F,I$17,'Industrial Summary'!$D:$D,$E277)),0)*0.98</f>
        <v>0</v>
      </c>
      <c r="J277" s="6">
        <f>IF(SUMIFS('Industrial Summary'!$G:$G,'Industrial Summary'!$F:$F,J$17,'Industrial Summary'!$D:$D,$E277)&gt;0,(-SUMIFS('Industrial Summary'!$G:$G,'Industrial Summary'!$F:$F,J$17,'Industrial Summary'!$D:$D,$E277,'Industrial Summary'!$A:$A,"DST")/SUMIFS('Industrial Summary'!$G:$G,'Industrial Summary'!$F:$F,J$17,'Industrial Summary'!$D:$D,$E277)),0)*0.98</f>
        <v>0</v>
      </c>
      <c r="K277" s="6">
        <f>IF(SUMIFS('Industrial Summary'!$G:$G,'Industrial Summary'!$F:$F,K$17,'Industrial Summary'!$D:$D,$E277)&gt;0,(-SUMIFS('Industrial Summary'!$G:$G,'Industrial Summary'!$F:$F,K$17,'Industrial Summary'!$D:$D,$E277,'Industrial Summary'!$A:$A,"DST")/SUMIFS('Industrial Summary'!$G:$G,'Industrial Summary'!$F:$F,K$17,'Industrial Summary'!$D:$D,$E277)),0)*0.98</f>
        <v>0</v>
      </c>
      <c r="L277" s="6">
        <f>IF(SUMIFS('Industrial Summary'!$G:$G,'Industrial Summary'!$F:$F,L$17,'Industrial Summary'!$D:$D,$E277)&gt;0,(-SUMIFS('Industrial Summary'!$G:$G,'Industrial Summary'!$F:$F,L$17,'Industrial Summary'!$D:$D,$E277,'Industrial Summary'!$A:$A,"DST")/SUMIFS('Industrial Summary'!$G:$G,'Industrial Summary'!$F:$F,L$17,'Industrial Summary'!$D:$D,$E277)),0)*0.98</f>
        <v>-0.11272270823080781</v>
      </c>
      <c r="M277" s="6">
        <f>IF(SUMIFS('Industrial Summary'!$G:$G,'Industrial Summary'!$F:$F,M$17,'Industrial Summary'!$D:$D,$E277)&gt;0,(-SUMIFS('Industrial Summary'!$G:$G,'Industrial Summary'!$F:$F,M$17,'Industrial Summary'!$D:$D,$E277,'Industrial Summary'!$A:$A,"DST")/SUMIFS('Industrial Summary'!$G:$G,'Industrial Summary'!$F:$F,M$17,'Industrial Summary'!$D:$D,$E277)),0)*0.98</f>
        <v>-0.11272270823079006</v>
      </c>
      <c r="N277" s="6">
        <f>IF(SUMIFS('Industrial Summary'!$G:$G,'Industrial Summary'!$F:$F,N$17,'Industrial Summary'!$D:$D,$E277)&gt;0,(-SUMIFS('Industrial Summary'!$G:$G,'Industrial Summary'!$F:$F,N$17,'Industrial Summary'!$D:$D,$E277,'Industrial Summary'!$A:$A,"DST")/SUMIFS('Industrial Summary'!$G:$G,'Industrial Summary'!$F:$F,N$17,'Industrial Summary'!$D:$D,$E277)),0)*0.98</f>
        <v>0</v>
      </c>
      <c r="O277" s="6">
        <f>IF(SUMIFS('Industrial Summary'!$G:$G,'Industrial Summary'!$F:$F,O$17,'Industrial Summary'!$D:$D,$E277)&gt;0,(-SUMIFS('Industrial Summary'!$G:$G,'Industrial Summary'!$F:$F,O$17,'Industrial Summary'!$D:$D,$E277,'Industrial Summary'!$A:$A,"DST")/SUMIFS('Industrial Summary'!$G:$G,'Industrial Summary'!$F:$F,O$17,'Industrial Summary'!$D:$D,$E277)),0)*0.98</f>
        <v>0</v>
      </c>
      <c r="P277" s="6">
        <f>IF(SUMIFS('Industrial Summary'!$G:$G,'Industrial Summary'!$F:$F,P$17,'Industrial Summary'!$D:$D,$E277)&gt;0,(-SUMIFS('Industrial Summary'!$G:$G,'Industrial Summary'!$F:$F,P$17,'Industrial Summary'!$D:$D,$E277,'Industrial Summary'!$A:$A,"DST")/SUMIFS('Industrial Summary'!$G:$G,'Industrial Summary'!$F:$F,P$17,'Industrial Summary'!$D:$D,$E277)),0)*0.98</f>
        <v>0</v>
      </c>
      <c r="Q277" s="5">
        <v>0</v>
      </c>
      <c r="R277" s="5">
        <v>15</v>
      </c>
      <c r="S277" s="5" t="str">
        <f t="shared" si="63"/>
        <v>UC_IMAFA_DST</v>
      </c>
      <c r="V277" s="4" t="str">
        <f t="shared" si="64"/>
        <v>S_IMAFADST</v>
      </c>
      <c r="W277" s="4" t="str">
        <f t="shared" si="65"/>
        <v>IMAFA_DST</v>
      </c>
      <c r="X277" s="4" t="str">
        <f t="shared" si="66"/>
        <v>IMAFAC</v>
      </c>
      <c r="Y277" s="5" t="str">
        <f t="shared" si="67"/>
        <v>LO</v>
      </c>
      <c r="Z277" s="5">
        <v>1</v>
      </c>
      <c r="AA277" s="6">
        <f t="shared" si="68"/>
        <v>0</v>
      </c>
      <c r="AB277" s="6">
        <f t="shared" si="69"/>
        <v>0</v>
      </c>
      <c r="AC277" s="6">
        <f t="shared" si="70"/>
        <v>0</v>
      </c>
      <c r="AD277" s="6">
        <f t="shared" si="71"/>
        <v>0</v>
      </c>
      <c r="AE277" s="6">
        <f t="shared" si="72"/>
        <v>-0.11272270823080781</v>
      </c>
      <c r="AF277" s="6">
        <f t="shared" si="73"/>
        <v>-0.11272270823079006</v>
      </c>
      <c r="AG277" s="6">
        <f t="shared" si="74"/>
        <v>0</v>
      </c>
      <c r="AH277" s="6">
        <f t="shared" si="75"/>
        <v>0</v>
      </c>
      <c r="AI277" s="6">
        <f t="shared" si="76"/>
        <v>0</v>
      </c>
      <c r="AL277" s="5" t="str">
        <f t="shared" si="77"/>
        <v>DST</v>
      </c>
      <c r="AM277" s="5">
        <f>1</f>
        <v>1</v>
      </c>
    </row>
    <row r="278" spans="1:39" s="5" customFormat="1" x14ac:dyDescent="0.3">
      <c r="A278" s="8"/>
      <c r="C278" s="4" t="s">
        <v>568</v>
      </c>
      <c r="D278" s="5" t="s">
        <v>569</v>
      </c>
      <c r="E278" s="5" t="s">
        <v>736</v>
      </c>
      <c r="F278" s="5" t="s">
        <v>1588</v>
      </c>
      <c r="G278" s="5">
        <v>1</v>
      </c>
      <c r="H278" s="6">
        <f>IF(SUMIFS('Industrial Summary'!$G:$G,'Industrial Summary'!$F:$F,H$17,'Industrial Summary'!$D:$D,$E278)&gt;0,(-SUMIFS('Industrial Summary'!$G:$G,'Industrial Summary'!$F:$F,H$17,'Industrial Summary'!$D:$D,$E278,'Industrial Summary'!$A:$A,"NGA")/SUMIFS('Industrial Summary'!$G:$G,'Industrial Summary'!$F:$F,H$17,'Industrial Summary'!$D:$D,$E278)),0)*0.98</f>
        <v>-0.70744646622440843</v>
      </c>
      <c r="I278" s="6">
        <f>IF(SUMIFS('Industrial Summary'!$G:$G,'Industrial Summary'!$F:$F,I$17,'Industrial Summary'!$D:$D,$E278)&gt;0,(-SUMIFS('Industrial Summary'!$G:$G,'Industrial Summary'!$F:$F,I$17,'Industrial Summary'!$D:$D,$E278,'Industrial Summary'!$A:$A,"NGA")/SUMIFS('Industrial Summary'!$G:$G,'Industrial Summary'!$F:$F,I$17,'Industrial Summary'!$D:$D,$E278)),0)*0.98</f>
        <v>-0.67716274024934286</v>
      </c>
      <c r="J278" s="6">
        <f>IF(SUMIFS('Industrial Summary'!$G:$G,'Industrial Summary'!$F:$F,J$17,'Industrial Summary'!$D:$D,$E278)&gt;0,(-SUMIFS('Industrial Summary'!$G:$G,'Industrial Summary'!$F:$F,J$17,'Industrial Summary'!$D:$D,$E278,'Industrial Summary'!$A:$A,"NGA")/SUMIFS('Industrial Summary'!$G:$G,'Industrial Summary'!$F:$F,J$17,'Industrial Summary'!$D:$D,$E278)),0)*0.98</f>
        <v>0</v>
      </c>
      <c r="K278" s="6">
        <f>IF(SUMIFS('Industrial Summary'!$G:$G,'Industrial Summary'!$F:$F,K$17,'Industrial Summary'!$D:$D,$E278)&gt;0,(-SUMIFS('Industrial Summary'!$G:$G,'Industrial Summary'!$F:$F,K$17,'Industrial Summary'!$D:$D,$E278,'Industrial Summary'!$A:$A,"NGA")/SUMIFS('Industrial Summary'!$G:$G,'Industrial Summary'!$F:$F,K$17,'Industrial Summary'!$D:$D,$E278)),0)*0.98</f>
        <v>-0.23173996669742655</v>
      </c>
      <c r="L278" s="6">
        <f>IF(SUMIFS('Industrial Summary'!$G:$G,'Industrial Summary'!$F:$F,L$17,'Industrial Summary'!$D:$D,$E278)&gt;0,(-SUMIFS('Industrial Summary'!$G:$G,'Industrial Summary'!$F:$F,L$17,'Industrial Summary'!$D:$D,$E278,'Industrial Summary'!$A:$A,"NGA")/SUMIFS('Industrial Summary'!$G:$G,'Industrial Summary'!$F:$F,L$17,'Industrial Summary'!$D:$D,$E278)),0)*0.98</f>
        <v>-0.46891104082047191</v>
      </c>
      <c r="M278" s="6">
        <f>IF(SUMIFS('Industrial Summary'!$G:$G,'Industrial Summary'!$F:$F,M$17,'Industrial Summary'!$D:$D,$E278)&gt;0,(-SUMIFS('Industrial Summary'!$G:$G,'Industrial Summary'!$F:$F,M$17,'Industrial Summary'!$D:$D,$E278,'Industrial Summary'!$A:$A,"NGA")/SUMIFS('Industrial Summary'!$G:$G,'Industrial Summary'!$F:$F,M$17,'Industrial Summary'!$D:$D,$E278)),0)*0.98</f>
        <v>-0.46891104082048163</v>
      </c>
      <c r="N278" s="6">
        <f>IF(SUMIFS('Industrial Summary'!$G:$G,'Industrial Summary'!$F:$F,N$17,'Industrial Summary'!$D:$D,$E278)&gt;0,(-SUMIFS('Industrial Summary'!$G:$G,'Industrial Summary'!$F:$F,N$17,'Industrial Summary'!$D:$D,$E278,'Industrial Summary'!$A:$A,"NGA")/SUMIFS('Industrial Summary'!$G:$G,'Industrial Summary'!$F:$F,N$17,'Industrial Summary'!$D:$D,$E278)),0)*0.98</f>
        <v>-0.47950423054428143</v>
      </c>
      <c r="O278" s="6">
        <f>IF(SUMIFS('Industrial Summary'!$G:$G,'Industrial Summary'!$F:$F,O$17,'Industrial Summary'!$D:$D,$E278)&gt;0,(-SUMIFS('Industrial Summary'!$G:$G,'Industrial Summary'!$F:$F,O$17,'Industrial Summary'!$D:$D,$E278,'Industrial Summary'!$A:$A,"NGA")/SUMIFS('Industrial Summary'!$G:$G,'Industrial Summary'!$F:$F,O$17,'Industrial Summary'!$D:$D,$E278)),0)*0.98</f>
        <v>-0.25058284438195089</v>
      </c>
      <c r="P278" s="6">
        <f>IF(SUMIFS('Industrial Summary'!$G:$G,'Industrial Summary'!$F:$F,P$17,'Industrial Summary'!$D:$D,$E278)&gt;0,(-SUMIFS('Industrial Summary'!$G:$G,'Industrial Summary'!$F:$F,P$17,'Industrial Summary'!$D:$D,$E278,'Industrial Summary'!$A:$A,"NGA")/SUMIFS('Industrial Summary'!$G:$G,'Industrial Summary'!$F:$F,P$17,'Industrial Summary'!$D:$D,$E278)),0)*0.98</f>
        <v>-0.25058284438194844</v>
      </c>
      <c r="Q278" s="5">
        <v>0</v>
      </c>
      <c r="R278" s="5">
        <v>15</v>
      </c>
      <c r="S278" s="5" t="str">
        <f t="shared" si="63"/>
        <v>UC_IMAFA_NGA</v>
      </c>
      <c r="V278" s="4" t="str">
        <f t="shared" si="64"/>
        <v>S_IMAFANGA</v>
      </c>
      <c r="W278" s="4" t="str">
        <f t="shared" si="65"/>
        <v>IMAFA_NGA</v>
      </c>
      <c r="X278" s="4" t="str">
        <f t="shared" si="66"/>
        <v>IMAFAC</v>
      </c>
      <c r="Y278" s="5" t="str">
        <f t="shared" si="67"/>
        <v>LO</v>
      </c>
      <c r="Z278" s="5">
        <v>1</v>
      </c>
      <c r="AA278" s="6">
        <f t="shared" si="68"/>
        <v>-0.6225528902774794</v>
      </c>
      <c r="AB278" s="6">
        <f t="shared" si="69"/>
        <v>-0.59590321141942171</v>
      </c>
      <c r="AC278" s="6">
        <f t="shared" si="70"/>
        <v>0</v>
      </c>
      <c r="AD278" s="6">
        <f t="shared" si="71"/>
        <v>-0.20393117069373537</v>
      </c>
      <c r="AE278" s="6">
        <f t="shared" si="72"/>
        <v>-0.41264171592201526</v>
      </c>
      <c r="AF278" s="6">
        <f t="shared" si="73"/>
        <v>-0.41264171592202381</v>
      </c>
      <c r="AG278" s="6">
        <f t="shared" si="74"/>
        <v>-0.42196372287896766</v>
      </c>
      <c r="AH278" s="6">
        <f t="shared" si="75"/>
        <v>-0.22051290305611679</v>
      </c>
      <c r="AI278" s="6">
        <f t="shared" si="76"/>
        <v>-0.22051290305611462</v>
      </c>
      <c r="AL278" s="5" t="str">
        <f t="shared" si="77"/>
        <v>NGA</v>
      </c>
      <c r="AM278" s="5">
        <f>Y9</f>
        <v>0.88</v>
      </c>
    </row>
    <row r="279" spans="1:39" s="5" customFormat="1" x14ac:dyDescent="0.3">
      <c r="C279" s="4" t="s">
        <v>570</v>
      </c>
      <c r="D279" s="5" t="s">
        <v>571</v>
      </c>
      <c r="E279" s="5" t="s">
        <v>800</v>
      </c>
      <c r="F279" s="5" t="s">
        <v>1588</v>
      </c>
      <c r="G279" s="5">
        <v>1</v>
      </c>
      <c r="H279" s="6">
        <f>IF(SUMIFS('Industrial Summary'!$G:$G,'Industrial Summary'!$F:$F,H$17,'Industrial Summary'!$D:$D,$E279)&gt;0,(-SUMIFS('Industrial Summary'!$G:$G,'Industrial Summary'!$F:$F,H$17,'Industrial Summary'!$D:$D,$E279,'Industrial Summary'!$A:$A,"ELC")/SUMIFS('Industrial Summary'!$G:$G,'Industrial Summary'!$F:$F,H$17,'Industrial Summary'!$D:$D,$E279)),0)*0.98</f>
        <v>-0.39016173167774143</v>
      </c>
      <c r="I279" s="6">
        <f>IF(SUMIFS('Industrial Summary'!$G:$G,'Industrial Summary'!$F:$F,I$17,'Industrial Summary'!$D:$D,$E279)&gt;0,(-SUMIFS('Industrial Summary'!$G:$G,'Industrial Summary'!$F:$F,I$17,'Industrial Summary'!$D:$D,$E279,'Industrial Summary'!$A:$A,"ELC")/SUMIFS('Industrial Summary'!$G:$G,'Industrial Summary'!$F:$F,I$17,'Industrial Summary'!$D:$D,$E279)),0)*0.98</f>
        <v>-0.48770216459717886</v>
      </c>
      <c r="J279" s="6">
        <f>IF(SUMIFS('Industrial Summary'!$G:$G,'Industrial Summary'!$F:$F,J$17,'Industrial Summary'!$D:$D,$E279)&gt;0,(-SUMIFS('Industrial Summary'!$G:$G,'Industrial Summary'!$F:$F,J$17,'Industrial Summary'!$D:$D,$E279,'Industrial Summary'!$A:$A,"ELC")/SUMIFS('Industrial Summary'!$G:$G,'Industrial Summary'!$F:$F,J$17,'Industrial Summary'!$D:$D,$E279)),0)*0.98</f>
        <v>-3.2204144116962423E-2</v>
      </c>
      <c r="K279" s="6">
        <f>IF(SUMIFS('Industrial Summary'!$G:$G,'Industrial Summary'!$F:$F,K$17,'Industrial Summary'!$D:$D,$E279)&gt;0,(-SUMIFS('Industrial Summary'!$G:$G,'Industrial Summary'!$F:$F,K$17,'Industrial Summary'!$D:$D,$E279,'Industrial Summary'!$A:$A,"ELC")/SUMIFS('Industrial Summary'!$G:$G,'Industrial Summary'!$F:$F,K$17,'Industrial Summary'!$D:$D,$E279)),0)*0.98</f>
        <v>-2.5763315293569847E-2</v>
      </c>
      <c r="L279" s="6">
        <f>IF(SUMIFS('Industrial Summary'!$G:$G,'Industrial Summary'!$F:$F,L$17,'Industrial Summary'!$D:$D,$E279)&gt;0,(-SUMIFS('Industrial Summary'!$G:$G,'Industrial Summary'!$F:$F,L$17,'Industrial Summary'!$D:$D,$E279,'Industrial Summary'!$A:$A,"ELC")/SUMIFS('Industrial Summary'!$G:$G,'Industrial Summary'!$F:$F,L$17,'Industrial Summary'!$D:$D,$E279)),0)*0.98</f>
        <v>-3.5693303520197665E-2</v>
      </c>
      <c r="M279" s="6">
        <f>IF(SUMIFS('Industrial Summary'!$G:$G,'Industrial Summary'!$F:$F,M$17,'Industrial Summary'!$D:$D,$E279)&gt;0,(-SUMIFS('Industrial Summary'!$G:$G,'Industrial Summary'!$F:$F,M$17,'Industrial Summary'!$D:$D,$E279,'Industrial Summary'!$A:$A,"ELC")/SUMIFS('Industrial Summary'!$G:$G,'Industrial Summary'!$F:$F,M$17,'Industrial Summary'!$D:$D,$E279)),0)*0.98</f>
        <v>-3.5693303520197887E-2</v>
      </c>
      <c r="N279" s="6">
        <f>IF(SUMIFS('Industrial Summary'!$G:$G,'Industrial Summary'!$F:$F,N$17,'Industrial Summary'!$D:$D,$E279)&gt;0,(-SUMIFS('Industrial Summary'!$G:$G,'Industrial Summary'!$F:$F,N$17,'Industrial Summary'!$D:$D,$E279,'Industrial Summary'!$A:$A,"ELC")/SUMIFS('Industrial Summary'!$G:$G,'Industrial Summary'!$F:$F,N$17,'Industrial Summary'!$D:$D,$E279)),0)*0.98</f>
        <v>-3.5693303520197804E-2</v>
      </c>
      <c r="O279" s="6">
        <f>IF(SUMIFS('Industrial Summary'!$G:$G,'Industrial Summary'!$F:$F,O$17,'Industrial Summary'!$D:$D,$E279)&gt;0,(-SUMIFS('Industrial Summary'!$G:$G,'Industrial Summary'!$F:$F,O$17,'Industrial Summary'!$D:$D,$E279,'Industrial Summary'!$A:$A,"ELC")/SUMIFS('Industrial Summary'!$G:$G,'Industrial Summary'!$F:$F,O$17,'Industrial Summary'!$D:$D,$E279)),0)*0.98</f>
        <v>0</v>
      </c>
      <c r="P279" s="6">
        <f>IF(SUMIFS('Industrial Summary'!$G:$G,'Industrial Summary'!$F:$F,P$17,'Industrial Summary'!$D:$D,$E279)&gt;0,(-SUMIFS('Industrial Summary'!$G:$G,'Industrial Summary'!$F:$F,P$17,'Industrial Summary'!$D:$D,$E279,'Industrial Summary'!$A:$A,"ELC")/SUMIFS('Industrial Summary'!$G:$G,'Industrial Summary'!$F:$F,P$17,'Industrial Summary'!$D:$D,$E279)),0)*0.98</f>
        <v>0</v>
      </c>
      <c r="Q279" s="5">
        <v>0</v>
      </c>
      <c r="R279" s="5">
        <v>15</v>
      </c>
      <c r="S279" s="5" t="str">
        <f t="shared" si="63"/>
        <v>UC_IMLPH_ELC</v>
      </c>
      <c r="V279" s="4" t="str">
        <f t="shared" si="64"/>
        <v>S_IMLPHELC</v>
      </c>
      <c r="W279" s="4" t="str">
        <f t="shared" si="65"/>
        <v>IMLPH_ELC</v>
      </c>
      <c r="X279" s="4" t="str">
        <f t="shared" si="66"/>
        <v>IMLPRH</v>
      </c>
      <c r="Y279" s="5" t="str">
        <f t="shared" si="67"/>
        <v>LO</v>
      </c>
      <c r="Z279" s="5">
        <v>1</v>
      </c>
      <c r="AA279" s="6">
        <f t="shared" si="68"/>
        <v>-0.39016173167774143</v>
      </c>
      <c r="AB279" s="6">
        <f t="shared" si="69"/>
        <v>-0.48770216459717886</v>
      </c>
      <c r="AC279" s="6">
        <f t="shared" si="70"/>
        <v>-3.2204144116962423E-2</v>
      </c>
      <c r="AD279" s="6">
        <f t="shared" si="71"/>
        <v>-2.5763315293569847E-2</v>
      </c>
      <c r="AE279" s="6">
        <f t="shared" si="72"/>
        <v>-3.5693303520197665E-2</v>
      </c>
      <c r="AF279" s="6">
        <f t="shared" si="73"/>
        <v>-3.5693303520197887E-2</v>
      </c>
      <c r="AG279" s="6">
        <f t="shared" si="74"/>
        <v>-3.5693303520197804E-2</v>
      </c>
      <c r="AH279" s="6">
        <f t="shared" si="75"/>
        <v>0</v>
      </c>
      <c r="AI279" s="6">
        <f t="shared" si="76"/>
        <v>0</v>
      </c>
      <c r="AL279" s="5" t="str">
        <f t="shared" si="77"/>
        <v>ELC</v>
      </c>
      <c r="AM279" s="5">
        <f>1</f>
        <v>1</v>
      </c>
    </row>
    <row r="280" spans="1:39" s="5" customFormat="1" x14ac:dyDescent="0.3">
      <c r="A280" s="8"/>
      <c r="C280" s="4" t="s">
        <v>572</v>
      </c>
      <c r="D280" s="5" t="s">
        <v>573</v>
      </c>
      <c r="E280" s="5" t="s">
        <v>800</v>
      </c>
      <c r="F280" s="5" t="s">
        <v>1588</v>
      </c>
      <c r="G280" s="5">
        <v>1</v>
      </c>
      <c r="H280" s="6">
        <f>IF(SUMIFS('Industrial Summary'!$G:$G,'Industrial Summary'!$F:$F,H$17,'Industrial Summary'!$D:$D,$E280)&gt;0,(-SUMIFS('Industrial Summary'!$G:$G,'Industrial Summary'!$F:$F,H$17,'Industrial Summary'!$D:$D,$E280,'Industrial Summary'!$A:$A,"NGA")/SUMIFS('Industrial Summary'!$G:$G,'Industrial Summary'!$F:$F,H$17,'Industrial Summary'!$D:$D,$E280)),0)*0.98</f>
        <v>-0.58983826832225861</v>
      </c>
      <c r="I280" s="6">
        <f>IF(SUMIFS('Industrial Summary'!$G:$G,'Industrial Summary'!$F:$F,I$17,'Industrial Summary'!$D:$D,$E280)&gt;0,(-SUMIFS('Industrial Summary'!$G:$G,'Industrial Summary'!$F:$F,I$17,'Industrial Summary'!$D:$D,$E280,'Industrial Summary'!$A:$A,"NGA")/SUMIFS('Industrial Summary'!$G:$G,'Industrial Summary'!$F:$F,I$17,'Industrial Summary'!$D:$D,$E280)),0)*0.98</f>
        <v>-0.49229783540282102</v>
      </c>
      <c r="J280" s="6">
        <f>IF(SUMIFS('Industrial Summary'!$G:$G,'Industrial Summary'!$F:$F,J$17,'Industrial Summary'!$D:$D,$E280)&gt;0,(-SUMIFS('Industrial Summary'!$G:$G,'Industrial Summary'!$F:$F,J$17,'Industrial Summary'!$D:$D,$E280,'Industrial Summary'!$A:$A,"NGA")/SUMIFS('Industrial Summary'!$G:$G,'Industrial Summary'!$F:$F,J$17,'Industrial Summary'!$D:$D,$E280)),0)*0.98</f>
        <v>-0.9477958558830375</v>
      </c>
      <c r="K280" s="6">
        <f>IF(SUMIFS('Industrial Summary'!$G:$G,'Industrial Summary'!$F:$F,K$17,'Industrial Summary'!$D:$D,$E280)&gt;0,(-SUMIFS('Industrial Summary'!$G:$G,'Industrial Summary'!$F:$F,K$17,'Industrial Summary'!$D:$D,$E280,'Industrial Summary'!$A:$A,"NGA")/SUMIFS('Industrial Summary'!$G:$G,'Industrial Summary'!$F:$F,K$17,'Industrial Summary'!$D:$D,$E280)),0)*0.98</f>
        <v>-0.95423668470643008</v>
      </c>
      <c r="L280" s="6">
        <f>IF(SUMIFS('Industrial Summary'!$G:$G,'Industrial Summary'!$F:$F,L$17,'Industrial Summary'!$D:$D,$E280)&gt;0,(-SUMIFS('Industrial Summary'!$G:$G,'Industrial Summary'!$F:$F,L$17,'Industrial Summary'!$D:$D,$E280,'Industrial Summary'!$A:$A,"NGA")/SUMIFS('Industrial Summary'!$G:$G,'Industrial Summary'!$F:$F,L$17,'Industrial Summary'!$D:$D,$E280)),0)*0.98</f>
        <v>-0.94430669647980225</v>
      </c>
      <c r="M280" s="6">
        <f>IF(SUMIFS('Industrial Summary'!$G:$G,'Industrial Summary'!$F:$F,M$17,'Industrial Summary'!$D:$D,$E280)&gt;0,(-SUMIFS('Industrial Summary'!$G:$G,'Industrial Summary'!$F:$F,M$17,'Industrial Summary'!$D:$D,$E280,'Industrial Summary'!$A:$A,"NGA")/SUMIFS('Industrial Summary'!$G:$G,'Industrial Summary'!$F:$F,M$17,'Industrial Summary'!$D:$D,$E280)),0)*0.98</f>
        <v>-0.94430669647980214</v>
      </c>
      <c r="N280" s="6">
        <f>IF(SUMIFS('Industrial Summary'!$G:$G,'Industrial Summary'!$F:$F,N$17,'Industrial Summary'!$D:$D,$E280)&gt;0,(-SUMIFS('Industrial Summary'!$G:$G,'Industrial Summary'!$F:$F,N$17,'Industrial Summary'!$D:$D,$E280,'Industrial Summary'!$A:$A,"NGA")/SUMIFS('Industrial Summary'!$G:$G,'Industrial Summary'!$F:$F,N$17,'Industrial Summary'!$D:$D,$E280)),0)*0.98</f>
        <v>-0.94430669647980225</v>
      </c>
      <c r="O280" s="6">
        <f>IF(SUMIFS('Industrial Summary'!$G:$G,'Industrial Summary'!$F:$F,O$17,'Industrial Summary'!$D:$D,$E280)&gt;0,(-SUMIFS('Industrial Summary'!$G:$G,'Industrial Summary'!$F:$F,O$17,'Industrial Summary'!$D:$D,$E280,'Industrial Summary'!$A:$A,"NGA")/SUMIFS('Industrial Summary'!$G:$G,'Industrial Summary'!$F:$F,O$17,'Industrial Summary'!$D:$D,$E280)),0)*0.98</f>
        <v>-0.98</v>
      </c>
      <c r="P280" s="6">
        <f>IF(SUMIFS('Industrial Summary'!$G:$G,'Industrial Summary'!$F:$F,P$17,'Industrial Summary'!$D:$D,$E280)&gt;0,(-SUMIFS('Industrial Summary'!$G:$G,'Industrial Summary'!$F:$F,P$17,'Industrial Summary'!$D:$D,$E280,'Industrial Summary'!$A:$A,"NGA")/SUMIFS('Industrial Summary'!$G:$G,'Industrial Summary'!$F:$F,P$17,'Industrial Summary'!$D:$D,$E280)),0)*0.98</f>
        <v>-0.98</v>
      </c>
      <c r="Q280" s="5">
        <v>0</v>
      </c>
      <c r="R280" s="5">
        <v>15</v>
      </c>
      <c r="S280" s="5" t="str">
        <f t="shared" si="63"/>
        <v>UC_IMLPH_NGA</v>
      </c>
      <c r="V280" s="4" t="str">
        <f t="shared" si="64"/>
        <v>S_IMLPHNGA</v>
      </c>
      <c r="W280" s="4" t="str">
        <f t="shared" si="65"/>
        <v>IMLPH_NGA</v>
      </c>
      <c r="X280" s="4" t="str">
        <f t="shared" si="66"/>
        <v>IMLPRH</v>
      </c>
      <c r="Y280" s="5" t="str">
        <f t="shared" si="67"/>
        <v>LO</v>
      </c>
      <c r="Z280" s="5">
        <v>1</v>
      </c>
      <c r="AA280" s="6">
        <f t="shared" si="68"/>
        <v>-0.51905767612358755</v>
      </c>
      <c r="AB280" s="6">
        <f t="shared" si="69"/>
        <v>-0.43322209515448251</v>
      </c>
      <c r="AC280" s="6">
        <f t="shared" si="70"/>
        <v>-0.83406035317707305</v>
      </c>
      <c r="AD280" s="6">
        <f t="shared" si="71"/>
        <v>-0.83972828254165843</v>
      </c>
      <c r="AE280" s="6">
        <f t="shared" si="72"/>
        <v>-0.83098989290222602</v>
      </c>
      <c r="AF280" s="6">
        <f t="shared" si="73"/>
        <v>-0.83098989290222591</v>
      </c>
      <c r="AG280" s="6">
        <f t="shared" si="74"/>
        <v>-0.83098989290222602</v>
      </c>
      <c r="AH280" s="6">
        <f t="shared" si="75"/>
        <v>-0.86239999999999994</v>
      </c>
      <c r="AI280" s="6">
        <f t="shared" si="76"/>
        <v>-0.86239999999999994</v>
      </c>
      <c r="AL280" s="5" t="str">
        <f t="shared" si="77"/>
        <v>NGA</v>
      </c>
      <c r="AM280" s="5">
        <f>Y9</f>
        <v>0.88</v>
      </c>
    </row>
    <row r="281" spans="1:39" s="5" customFormat="1" x14ac:dyDescent="0.3">
      <c r="C281" s="4" t="s">
        <v>574</v>
      </c>
      <c r="D281" s="5" t="s">
        <v>575</v>
      </c>
      <c r="E281" s="5" t="s">
        <v>766</v>
      </c>
      <c r="F281" s="5" t="s">
        <v>1588</v>
      </c>
      <c r="G281" s="5">
        <v>1</v>
      </c>
      <c r="H281" s="6">
        <f>(IF(SUMIFS('Industrial Summary'!$G:$G,'Industrial Summary'!$F:$F,H$17,'Industrial Summary'!$D:$D,$E281)&gt;0,((-SUMIFS('Industrial Summary'!$G:$G,'Industrial Summary'!$F:$F,H$17,'Industrial Summary'!$D:$D,$E281,'Industrial Summary'!$A:$A,"LPG")+-SUMIFS('Industrial Summary'!$G:$G,'Industrial Summary'!$F:$F,H$17,'Industrial Summary'!$D:$D,"IMLRSTM",'Industrial Summary'!$A:$A,"LPG"))/SUMIFS('Industrial Summary'!$G:$G,'Industrial Summary'!$F:$F,H$17,'Industrial Summary'!$D:$D,$E281)),0))*0.98</f>
        <v>-3.3378423303077998E-2</v>
      </c>
      <c r="I281" s="6">
        <f>(IF(SUMIFS('Industrial Summary'!$G:$G,'Industrial Summary'!$F:$F,I$17,'Industrial Summary'!$D:$D,$E281)&gt;0,((-SUMIFS('Industrial Summary'!$G:$G,'Industrial Summary'!$F:$F,I$17,'Industrial Summary'!$D:$D,$E281,'Industrial Summary'!$A:$A,"LPG")+-SUMIFS('Industrial Summary'!$G:$G,'Industrial Summary'!$F:$F,I$17,'Industrial Summary'!$D:$D,"IMLRSTM",'Industrial Summary'!$A:$A,"LPG"))/SUMIFS('Industrial Summary'!$G:$G,'Industrial Summary'!$F:$F,I$17,'Industrial Summary'!$D:$D,$E281)),0))*0.98</f>
        <v>0</v>
      </c>
      <c r="J281" s="6">
        <f>(IF(SUMIFS('Industrial Summary'!$G:$G,'Industrial Summary'!$F:$F,J$17,'Industrial Summary'!$D:$D,$E281)&gt;0,((-SUMIFS('Industrial Summary'!$G:$G,'Industrial Summary'!$F:$F,J$17,'Industrial Summary'!$D:$D,$E281,'Industrial Summary'!$A:$A,"LPG")+-SUMIFS('Industrial Summary'!$G:$G,'Industrial Summary'!$F:$F,J$17,'Industrial Summary'!$D:$D,"IMLRSTM",'Industrial Summary'!$A:$A,"LPG"))/SUMIFS('Industrial Summary'!$G:$G,'Industrial Summary'!$F:$F,J$17,'Industrial Summary'!$D:$D,$E281)),0))*0.98</f>
        <v>0</v>
      </c>
      <c r="K281" s="6">
        <f>(IF(SUMIFS('Industrial Summary'!$G:$G,'Industrial Summary'!$F:$F,K$17,'Industrial Summary'!$D:$D,$E281)&gt;0,((-SUMIFS('Industrial Summary'!$G:$G,'Industrial Summary'!$F:$F,K$17,'Industrial Summary'!$D:$D,$E281,'Industrial Summary'!$A:$A,"LPG")+-SUMIFS('Industrial Summary'!$G:$G,'Industrial Summary'!$F:$F,K$17,'Industrial Summary'!$D:$D,"IMLRSTM",'Industrial Summary'!$A:$A,"LPG"))/SUMIFS('Industrial Summary'!$G:$G,'Industrial Summary'!$F:$F,K$17,'Industrial Summary'!$D:$D,$E281)),0))*0.98</f>
        <v>-3.3378423303072592E-2</v>
      </c>
      <c r="L281" s="6">
        <f>(IF(SUMIFS('Industrial Summary'!$G:$G,'Industrial Summary'!$F:$F,L$17,'Industrial Summary'!$D:$D,$E281)&gt;0,((-SUMIFS('Industrial Summary'!$G:$G,'Industrial Summary'!$F:$F,L$17,'Industrial Summary'!$D:$D,$E281,'Industrial Summary'!$A:$A,"LPG")+-SUMIFS('Industrial Summary'!$G:$G,'Industrial Summary'!$F:$F,L$17,'Industrial Summary'!$D:$D,"IMLRSTM",'Industrial Summary'!$A:$A,"LPG"))/SUMIFS('Industrial Summary'!$G:$G,'Industrial Summary'!$F:$F,L$17,'Industrial Summary'!$D:$D,$E281)),0))*0.98</f>
        <v>-3.3378423303074917E-2</v>
      </c>
      <c r="M281" s="6">
        <f>(IF(SUMIFS('Industrial Summary'!$G:$G,'Industrial Summary'!$F:$F,M$17,'Industrial Summary'!$D:$D,$E281)&gt;0,((-SUMIFS('Industrial Summary'!$G:$G,'Industrial Summary'!$F:$F,M$17,'Industrial Summary'!$D:$D,$E281,'Industrial Summary'!$A:$A,"LPG")+-SUMIFS('Industrial Summary'!$G:$G,'Industrial Summary'!$F:$F,M$17,'Industrial Summary'!$D:$D,"IMLRSTM",'Industrial Summary'!$A:$A,"LPG"))/SUMIFS('Industrial Summary'!$G:$G,'Industrial Summary'!$F:$F,M$17,'Industrial Summary'!$D:$D,$E281)),0))*0.98</f>
        <v>-3.3378423303067478E-2</v>
      </c>
      <c r="N281" s="6">
        <f>(IF(SUMIFS('Industrial Summary'!$G:$G,'Industrial Summary'!$F:$F,N$17,'Industrial Summary'!$D:$D,$E281)&gt;0,((-SUMIFS('Industrial Summary'!$G:$G,'Industrial Summary'!$F:$F,N$17,'Industrial Summary'!$D:$D,$E281,'Industrial Summary'!$A:$A,"LPG")+-SUMIFS('Industrial Summary'!$G:$G,'Industrial Summary'!$F:$F,N$17,'Industrial Summary'!$D:$D,"IMLRSTM",'Industrial Summary'!$A:$A,"LPG"))/SUMIFS('Industrial Summary'!$G:$G,'Industrial Summary'!$F:$F,N$17,'Industrial Summary'!$D:$D,$E281)),0))*0.98</f>
        <v>-3.3378423303072287E-2</v>
      </c>
      <c r="O281" s="6">
        <f>(IF(SUMIFS('Industrial Summary'!$G:$G,'Industrial Summary'!$F:$F,O$17,'Industrial Summary'!$D:$D,$E281)&gt;0,((-SUMIFS('Industrial Summary'!$G:$G,'Industrial Summary'!$F:$F,O$17,'Industrial Summary'!$D:$D,$E281,'Industrial Summary'!$A:$A,"LPG")+-SUMIFS('Industrial Summary'!$G:$G,'Industrial Summary'!$F:$F,O$17,'Industrial Summary'!$D:$D,"IMLRSTM",'Industrial Summary'!$A:$A,"LPG"))/SUMIFS('Industrial Summary'!$G:$G,'Industrial Summary'!$F:$F,O$17,'Industrial Summary'!$D:$D,$E281)),0))*0.98</f>
        <v>-3.3378423303080482E-2</v>
      </c>
      <c r="P281" s="6">
        <f>(IF(SUMIFS('Industrial Summary'!$G:$G,'Industrial Summary'!$F:$F,P$17,'Industrial Summary'!$D:$D,$E281)&gt;0,((-SUMIFS('Industrial Summary'!$G:$G,'Industrial Summary'!$F:$F,P$17,'Industrial Summary'!$D:$D,$E281,'Industrial Summary'!$A:$A,"LPG")+-SUMIFS('Industrial Summary'!$G:$G,'Industrial Summary'!$F:$F,P$17,'Industrial Summary'!$D:$D,"IMLRSTM",'Industrial Summary'!$A:$A,"LPG"))/SUMIFS('Industrial Summary'!$G:$G,'Industrial Summary'!$F:$F,P$17,'Industrial Summary'!$D:$D,$E281)),0))*0.98</f>
        <v>0</v>
      </c>
      <c r="Q281" s="5">
        <v>0</v>
      </c>
      <c r="R281" s="5">
        <v>15</v>
      </c>
      <c r="S281" s="5" t="str">
        <f t="shared" si="63"/>
        <v>UC_IMLOH_LPG</v>
      </c>
      <c r="V281" s="4" t="str">
        <f t="shared" si="64"/>
        <v>S_IMLOHLPG</v>
      </c>
      <c r="W281" s="4" t="str">
        <f t="shared" si="65"/>
        <v>IMLOH_LPG</v>
      </c>
      <c r="X281" s="4" t="str">
        <f t="shared" si="66"/>
        <v>IMLOHT</v>
      </c>
      <c r="Y281" s="5" t="str">
        <f t="shared" si="67"/>
        <v>LO</v>
      </c>
      <c r="Z281" s="5">
        <v>1</v>
      </c>
      <c r="AA281" s="6">
        <f t="shared" si="68"/>
        <v>-3.3378423303077998E-2</v>
      </c>
      <c r="AB281" s="6">
        <f t="shared" si="69"/>
        <v>0</v>
      </c>
      <c r="AC281" s="6">
        <f t="shared" si="70"/>
        <v>0</v>
      </c>
      <c r="AD281" s="6">
        <f t="shared" si="71"/>
        <v>-3.3378423303072592E-2</v>
      </c>
      <c r="AE281" s="6">
        <f t="shared" si="72"/>
        <v>-3.3378423303074917E-2</v>
      </c>
      <c r="AF281" s="6">
        <f t="shared" si="73"/>
        <v>-3.3378423303067478E-2</v>
      </c>
      <c r="AG281" s="6">
        <f t="shared" si="74"/>
        <v>-3.3378423303072287E-2</v>
      </c>
      <c r="AH281" s="6">
        <f t="shared" si="75"/>
        <v>-3.3378423303080482E-2</v>
      </c>
      <c r="AI281" s="6">
        <f t="shared" si="76"/>
        <v>0</v>
      </c>
      <c r="AL281" s="5" t="str">
        <f t="shared" si="77"/>
        <v>LPG</v>
      </c>
      <c r="AM281" s="5">
        <f>1</f>
        <v>1</v>
      </c>
    </row>
    <row r="282" spans="1:39" s="5" customFormat="1" x14ac:dyDescent="0.3">
      <c r="C282" s="4" t="s">
        <v>576</v>
      </c>
      <c r="D282" s="5" t="s">
        <v>577</v>
      </c>
      <c r="E282" s="5" t="s">
        <v>766</v>
      </c>
      <c r="F282" s="5" t="s">
        <v>1591</v>
      </c>
      <c r="G282" s="5">
        <v>1</v>
      </c>
      <c r="H282" s="6">
        <f>(IF(SUMIFS('Industrial Summary'!$G:$G,'Industrial Summary'!$F:$F,H$17,'Industrial Summary'!$D:$D,$E282)&gt;0,((-SUMIFS('Industrial Summary'!$G:$G,'Industrial Summary'!$F:$F,H$17,'Industrial Summary'!$D:$D,$E282,'Industrial Summary'!$A:$A,"COA")+-SUMIFS('Industrial Summary'!$G:$G,'Industrial Summary'!$F:$F,H$17,'Industrial Summary'!$D:$D,"IMLRSTM",'Industrial Summary'!$A:$A,"COA"))/SUMIFS('Industrial Summary'!$G:$G,'Industrial Summary'!$F:$F,H$17,'Industrial Summary'!$D:$D,$E282)),0))*0.98</f>
        <v>-0.94662157669692193</v>
      </c>
      <c r="I282" s="6">
        <f>(IF(SUMIFS('Industrial Summary'!$G:$G,'Industrial Summary'!$F:$F,I$17,'Industrial Summary'!$D:$D,$E282)&gt;0,((-SUMIFS('Industrial Summary'!$G:$G,'Industrial Summary'!$F:$F,I$17,'Industrial Summary'!$D:$D,$E282,'Industrial Summary'!$A:$A,"COA")+-SUMIFS('Industrial Summary'!$G:$G,'Industrial Summary'!$F:$F,I$17,'Industrial Summary'!$D:$D,"IMLRSTM",'Industrial Summary'!$A:$A,"COA"))/SUMIFS('Industrial Summary'!$G:$G,'Industrial Summary'!$F:$F,I$17,'Industrial Summary'!$D:$D,$E282)),0))*0.98</f>
        <v>-0.98</v>
      </c>
      <c r="J282" s="6">
        <f>(IF(SUMIFS('Industrial Summary'!$G:$G,'Industrial Summary'!$F:$F,J$17,'Industrial Summary'!$D:$D,$E282)&gt;0,((-SUMIFS('Industrial Summary'!$G:$G,'Industrial Summary'!$F:$F,J$17,'Industrial Summary'!$D:$D,$E282,'Industrial Summary'!$A:$A,"COA")+-SUMIFS('Industrial Summary'!$G:$G,'Industrial Summary'!$F:$F,J$17,'Industrial Summary'!$D:$D,"IMLRSTM",'Industrial Summary'!$A:$A,"COA"))/SUMIFS('Industrial Summary'!$G:$G,'Industrial Summary'!$F:$F,J$17,'Industrial Summary'!$D:$D,$E282)),0))*0.98</f>
        <v>-0.98</v>
      </c>
      <c r="K282" s="6">
        <f>(IF(SUMIFS('Industrial Summary'!$G:$G,'Industrial Summary'!$F:$F,K$17,'Industrial Summary'!$D:$D,$E282)&gt;0,((-SUMIFS('Industrial Summary'!$G:$G,'Industrial Summary'!$F:$F,K$17,'Industrial Summary'!$D:$D,$E282,'Industrial Summary'!$A:$A,"COA")+-SUMIFS('Industrial Summary'!$G:$G,'Industrial Summary'!$F:$F,K$17,'Industrial Summary'!$D:$D,"IMLRSTM",'Industrial Summary'!$A:$A,"COA"))/SUMIFS('Industrial Summary'!$G:$G,'Industrial Summary'!$F:$F,K$17,'Industrial Summary'!$D:$D,$E282)),0))*0.98</f>
        <v>-0.94662157669692737</v>
      </c>
      <c r="L282" s="6">
        <f>(IF(SUMIFS('Industrial Summary'!$G:$G,'Industrial Summary'!$F:$F,L$17,'Industrial Summary'!$D:$D,$E282)&gt;0,((-SUMIFS('Industrial Summary'!$G:$G,'Industrial Summary'!$F:$F,L$17,'Industrial Summary'!$D:$D,$E282,'Industrial Summary'!$A:$A,"COA")+-SUMIFS('Industrial Summary'!$G:$G,'Industrial Summary'!$F:$F,L$17,'Industrial Summary'!$D:$D,"IMLRSTM",'Industrial Summary'!$A:$A,"COA"))/SUMIFS('Industrial Summary'!$G:$G,'Industrial Summary'!$F:$F,L$17,'Industrial Summary'!$D:$D,$E282)),0))*0.98</f>
        <v>-0.94662157669692515</v>
      </c>
      <c r="M282" s="6">
        <f>(IF(SUMIFS('Industrial Summary'!$G:$G,'Industrial Summary'!$F:$F,M$17,'Industrial Summary'!$D:$D,$E282)&gt;0,((-SUMIFS('Industrial Summary'!$G:$G,'Industrial Summary'!$F:$F,M$17,'Industrial Summary'!$D:$D,$E282,'Industrial Summary'!$A:$A,"COA")+-SUMIFS('Industrial Summary'!$G:$G,'Industrial Summary'!$F:$F,M$17,'Industrial Summary'!$D:$D,"IMLRSTM",'Industrial Summary'!$A:$A,"COA"))/SUMIFS('Industrial Summary'!$G:$G,'Industrial Summary'!$F:$F,M$17,'Industrial Summary'!$D:$D,$E282)),0))*0.98</f>
        <v>-0.94662157669693248</v>
      </c>
      <c r="N282" s="6">
        <f>(IF(SUMIFS('Industrial Summary'!$G:$G,'Industrial Summary'!$F:$F,N$17,'Industrial Summary'!$D:$D,$E282)&gt;0,((-SUMIFS('Industrial Summary'!$G:$G,'Industrial Summary'!$F:$F,N$17,'Industrial Summary'!$D:$D,$E282,'Industrial Summary'!$A:$A,"COA")+-SUMIFS('Industrial Summary'!$G:$G,'Industrial Summary'!$F:$F,N$17,'Industrial Summary'!$D:$D,"IMLRSTM",'Industrial Summary'!$A:$A,"COA"))/SUMIFS('Industrial Summary'!$G:$G,'Industrial Summary'!$F:$F,N$17,'Industrial Summary'!$D:$D,$E282)),0))*0.98</f>
        <v>-0.94662157669692759</v>
      </c>
      <c r="O282" s="6">
        <f>(IF(SUMIFS('Industrial Summary'!$G:$G,'Industrial Summary'!$F:$F,O$17,'Industrial Summary'!$D:$D,$E282)&gt;0,((-SUMIFS('Industrial Summary'!$G:$G,'Industrial Summary'!$F:$F,O$17,'Industrial Summary'!$D:$D,$E282,'Industrial Summary'!$A:$A,"COA")+-SUMIFS('Industrial Summary'!$G:$G,'Industrial Summary'!$F:$F,O$17,'Industrial Summary'!$D:$D,"IMLRSTM",'Industrial Summary'!$A:$A,"COA"))/SUMIFS('Industrial Summary'!$G:$G,'Industrial Summary'!$F:$F,O$17,'Industrial Summary'!$D:$D,$E282)),0))*0.98</f>
        <v>-0.94662157669691949</v>
      </c>
      <c r="P282" s="6">
        <f>(IF(SUMIFS('Industrial Summary'!$G:$G,'Industrial Summary'!$F:$F,P$17,'Industrial Summary'!$D:$D,$E282)&gt;0,((-SUMIFS('Industrial Summary'!$G:$G,'Industrial Summary'!$F:$F,P$17,'Industrial Summary'!$D:$D,$E282,'Industrial Summary'!$A:$A,"COA")+-SUMIFS('Industrial Summary'!$G:$G,'Industrial Summary'!$F:$F,P$17,'Industrial Summary'!$D:$D,"IMLRSTM",'Industrial Summary'!$A:$A,"COA"))/SUMIFS('Industrial Summary'!$G:$G,'Industrial Summary'!$F:$F,P$17,'Industrial Summary'!$D:$D,$E282)),0))*0.98</f>
        <v>-0.98</v>
      </c>
      <c r="Q282" s="5">
        <v>0</v>
      </c>
      <c r="R282" s="5">
        <v>15</v>
      </c>
      <c r="S282" s="5" t="str">
        <f t="shared" si="63"/>
        <v>UC_IMLOH_COA</v>
      </c>
      <c r="V282" s="4" t="str">
        <f t="shared" si="64"/>
        <v>S_IMLOHCOA</v>
      </c>
      <c r="W282" s="4" t="str">
        <f t="shared" si="65"/>
        <v>IMLOH_COA</v>
      </c>
      <c r="X282" s="4" t="str">
        <f t="shared" si="66"/>
        <v>IMLOHT</v>
      </c>
      <c r="Y282" s="5" t="str">
        <f t="shared" si="67"/>
        <v>UP</v>
      </c>
      <c r="Z282" s="5">
        <v>1</v>
      </c>
      <c r="AA282" s="6">
        <f t="shared" si="68"/>
        <v>-0.91822292939601424</v>
      </c>
      <c r="AB282" s="6">
        <f t="shared" si="69"/>
        <v>-0.9506</v>
      </c>
      <c r="AC282" s="6">
        <f t="shared" si="70"/>
        <v>-0.9506</v>
      </c>
      <c r="AD282" s="6">
        <f t="shared" si="71"/>
        <v>-0.91822292939601957</v>
      </c>
      <c r="AE282" s="6">
        <f t="shared" si="72"/>
        <v>-0.91822292939601735</v>
      </c>
      <c r="AF282" s="6">
        <f t="shared" si="73"/>
        <v>-0.91822292939602446</v>
      </c>
      <c r="AG282" s="6">
        <f t="shared" si="74"/>
        <v>-0.91822292939601979</v>
      </c>
      <c r="AH282" s="6">
        <f t="shared" si="75"/>
        <v>-0.91822292939601191</v>
      </c>
      <c r="AI282" s="6">
        <f t="shared" si="76"/>
        <v>-0.9506</v>
      </c>
      <c r="AL282" s="5" t="str">
        <f t="shared" si="77"/>
        <v>COA</v>
      </c>
      <c r="AM282" s="5">
        <f>Z9</f>
        <v>0.97</v>
      </c>
    </row>
    <row r="283" spans="1:39" s="5" customFormat="1" x14ac:dyDescent="0.3">
      <c r="C283" s="4" t="s">
        <v>578</v>
      </c>
      <c r="D283" s="5" t="s">
        <v>579</v>
      </c>
      <c r="E283" s="5" t="s">
        <v>721</v>
      </c>
      <c r="F283" s="5" t="s">
        <v>1588</v>
      </c>
      <c r="G283" s="5">
        <v>1</v>
      </c>
      <c r="H283" s="6">
        <f>IF(SUMIFS('Industrial Summary'!$G:$G,'Industrial Summary'!$F:$F,H$17,'Industrial Summary'!$D:$D,$E283)&gt;0,(-SUMIFS('Industrial Summary'!$G:$G,'Industrial Summary'!$F:$F,H$17,'Industrial Summary'!$D:$D,$E283,'Industrial Summary'!$A:$A,"NGA")/SUMIFS('Industrial Summary'!$G:$G,'Industrial Summary'!$F:$F,H$17,'Industrial Summary'!$D:$D,$E283)),0)*0.98</f>
        <v>-0.37690220526208612</v>
      </c>
      <c r="I283" s="6">
        <f>IF(SUMIFS('Industrial Summary'!$G:$G,'Industrial Summary'!$F:$F,I$17,'Industrial Summary'!$D:$D,$E283)&gt;0,(-SUMIFS('Industrial Summary'!$G:$G,'Industrial Summary'!$F:$F,I$17,'Industrial Summary'!$D:$D,$E283,'Industrial Summary'!$A:$A,"NGA")/SUMIFS('Industrial Summary'!$G:$G,'Industrial Summary'!$F:$F,I$17,'Industrial Summary'!$D:$D,$E283)),0)*0.98</f>
        <v>-0.20255756562860636</v>
      </c>
      <c r="J283" s="6">
        <f>IF(SUMIFS('Industrial Summary'!$G:$G,'Industrial Summary'!$F:$F,J$17,'Industrial Summary'!$D:$D,$E283)&gt;0,(-SUMIFS('Industrial Summary'!$G:$G,'Industrial Summary'!$F:$F,J$17,'Industrial Summary'!$D:$D,$E283,'Industrial Summary'!$A:$A,"NGA")/SUMIFS('Industrial Summary'!$G:$G,'Industrial Summary'!$F:$F,J$17,'Industrial Summary'!$D:$D,$E283)),0)*0.98</f>
        <v>-0.7483039779041164</v>
      </c>
      <c r="K283" s="6">
        <f>IF(SUMIFS('Industrial Summary'!$G:$G,'Industrial Summary'!$F:$F,K$17,'Industrial Summary'!$D:$D,$E283)&gt;0,(-SUMIFS('Industrial Summary'!$G:$G,'Industrial Summary'!$F:$F,K$17,'Industrial Summary'!$D:$D,$E283,'Industrial Summary'!$A:$A,"NGA")/SUMIFS('Industrial Summary'!$G:$G,'Industrial Summary'!$F:$F,K$17,'Industrial Summary'!$D:$D,$E283)),0)*0.98</f>
        <v>-0.74407204495846957</v>
      </c>
      <c r="L283" s="6">
        <f>IF(SUMIFS('Industrial Summary'!$G:$G,'Industrial Summary'!$F:$F,L$17,'Industrial Summary'!$D:$D,$E283)&gt;0,(-SUMIFS('Industrial Summary'!$G:$G,'Industrial Summary'!$F:$F,L$17,'Industrial Summary'!$D:$D,$E283,'Industrial Summary'!$A:$A,"NGA")/SUMIFS('Industrial Summary'!$G:$G,'Industrial Summary'!$F:$F,L$17,'Industrial Summary'!$D:$D,$E283)),0)*0.98</f>
        <v>0</v>
      </c>
      <c r="M283" s="6">
        <f>IF(SUMIFS('Industrial Summary'!$G:$G,'Industrial Summary'!$F:$F,M$17,'Industrial Summary'!$D:$D,$E283)&gt;0,(-SUMIFS('Industrial Summary'!$G:$G,'Industrial Summary'!$F:$F,M$17,'Industrial Summary'!$D:$D,$E283,'Industrial Summary'!$A:$A,"NGA")/SUMIFS('Industrial Summary'!$G:$G,'Industrial Summary'!$F:$F,M$17,'Industrial Summary'!$D:$D,$E283)),0)*0.98</f>
        <v>0</v>
      </c>
      <c r="N283" s="6">
        <f>IF(SUMIFS('Industrial Summary'!$G:$G,'Industrial Summary'!$F:$F,N$17,'Industrial Summary'!$D:$D,$E283)&gt;0,(-SUMIFS('Industrial Summary'!$G:$G,'Industrial Summary'!$F:$F,N$17,'Industrial Summary'!$D:$D,$E283,'Industrial Summary'!$A:$A,"NGA")/SUMIFS('Industrial Summary'!$G:$G,'Industrial Summary'!$F:$F,N$17,'Industrial Summary'!$D:$D,$E283)),0)*0.98</f>
        <v>0</v>
      </c>
      <c r="O283" s="6">
        <f>IF(SUMIFS('Industrial Summary'!$G:$G,'Industrial Summary'!$F:$F,O$17,'Industrial Summary'!$D:$D,$E283)&gt;0,(-SUMIFS('Industrial Summary'!$G:$G,'Industrial Summary'!$F:$F,O$17,'Industrial Summary'!$D:$D,$E283,'Industrial Summary'!$A:$A,"NGA")/SUMIFS('Industrial Summary'!$G:$G,'Industrial Summary'!$F:$F,O$17,'Industrial Summary'!$D:$D,$E283)),0)*0.98</f>
        <v>0</v>
      </c>
      <c r="P283" s="6">
        <f>IF(SUMIFS('Industrial Summary'!$G:$G,'Industrial Summary'!$F:$F,P$17,'Industrial Summary'!$D:$D,$E283)&gt;0,(-SUMIFS('Industrial Summary'!$G:$G,'Industrial Summary'!$F:$F,P$17,'Industrial Summary'!$D:$D,$E283,'Industrial Summary'!$A:$A,"NGA")/SUMIFS('Industrial Summary'!$G:$G,'Industrial Summary'!$F:$F,P$17,'Industrial Summary'!$D:$D,$E283)),0)*0.98</f>
        <v>0</v>
      </c>
      <c r="Q283" s="5">
        <v>0</v>
      </c>
      <c r="R283" s="5">
        <v>15</v>
      </c>
      <c r="S283" s="5" t="str">
        <f t="shared" si="63"/>
        <v>UC_IMOFS_NGA</v>
      </c>
      <c r="V283" s="4" t="str">
        <f t="shared" si="64"/>
        <v>S_IMOFSNGA</v>
      </c>
      <c r="W283" s="4" t="str">
        <f t="shared" si="65"/>
        <v>IMOFS_NGA</v>
      </c>
      <c r="X283" s="4" t="str">
        <f t="shared" si="66"/>
        <v>IMOFEED</v>
      </c>
      <c r="Y283" s="5" t="str">
        <f t="shared" si="67"/>
        <v>LO</v>
      </c>
      <c r="Z283" s="5">
        <v>1</v>
      </c>
      <c r="AA283" s="6">
        <f t="shared" si="68"/>
        <v>-0.33167394063063577</v>
      </c>
      <c r="AB283" s="6">
        <f t="shared" si="69"/>
        <v>-0.17825065775317359</v>
      </c>
      <c r="AC283" s="6">
        <f t="shared" si="70"/>
        <v>-0.65850750055562246</v>
      </c>
      <c r="AD283" s="6">
        <f t="shared" si="71"/>
        <v>-0.65478339956345322</v>
      </c>
      <c r="AE283" s="6">
        <f t="shared" si="72"/>
        <v>0</v>
      </c>
      <c r="AF283" s="6">
        <f t="shared" si="73"/>
        <v>0</v>
      </c>
      <c r="AG283" s="6">
        <f t="shared" si="74"/>
        <v>0</v>
      </c>
      <c r="AH283" s="6">
        <f t="shared" si="75"/>
        <v>0</v>
      </c>
      <c r="AI283" s="6">
        <f t="shared" si="76"/>
        <v>0</v>
      </c>
      <c r="AL283" s="5" t="str">
        <f t="shared" si="77"/>
        <v>NGA</v>
      </c>
      <c r="AM283" s="5">
        <f>Y9</f>
        <v>0.88</v>
      </c>
    </row>
    <row r="284" spans="1:39" s="5" customFormat="1" x14ac:dyDescent="0.3">
      <c r="C284" s="4" t="s">
        <v>580</v>
      </c>
      <c r="D284" s="5" t="s">
        <v>581</v>
      </c>
      <c r="E284" s="5" t="s">
        <v>721</v>
      </c>
      <c r="F284" s="5" t="s">
        <v>1588</v>
      </c>
      <c r="G284" s="5">
        <v>1</v>
      </c>
      <c r="H284" s="6">
        <f>IF(SUMIFS('Industrial Summary'!$G:$G,'Industrial Summary'!$F:$F,H$17,'Industrial Summary'!$D:$D,$E284)&gt;0,(-SUMIFS('Industrial Summary'!$G:$G,'Industrial Summary'!$F:$F,H$17,'Industrial Summary'!$D:$D,$E284,'Industrial Summary'!$A:$A,"BIO")/SUMIFS('Industrial Summary'!$G:$G,'Industrial Summary'!$F:$F,H$17,'Industrial Summary'!$D:$D,$E284)),0)*0.98</f>
        <v>-0.60309779473791381</v>
      </c>
      <c r="I284" s="6">
        <f>IF(SUMIFS('Industrial Summary'!$G:$G,'Industrial Summary'!$F:$F,I$17,'Industrial Summary'!$D:$D,$E284)&gt;0,(-SUMIFS('Industrial Summary'!$G:$G,'Industrial Summary'!$F:$F,I$17,'Industrial Summary'!$D:$D,$E284,'Industrial Summary'!$A:$A,"BIO")/SUMIFS('Industrial Summary'!$G:$G,'Industrial Summary'!$F:$F,I$17,'Industrial Summary'!$D:$D,$E284)),0)*0.98</f>
        <v>-0.19022272396250872</v>
      </c>
      <c r="J284" s="6">
        <f>IF(SUMIFS('Industrial Summary'!$G:$G,'Industrial Summary'!$F:$F,J$17,'Industrial Summary'!$D:$D,$E284)&gt;0,(-SUMIFS('Industrial Summary'!$G:$G,'Industrial Summary'!$F:$F,J$17,'Industrial Summary'!$D:$D,$E284,'Industrial Summary'!$A:$A,"BIO")/SUMIFS('Industrial Summary'!$G:$G,'Industrial Summary'!$F:$F,J$17,'Industrial Summary'!$D:$D,$E284)),0)*0.98</f>
        <v>-0.12622651699270399</v>
      </c>
      <c r="K284" s="6">
        <f>IF(SUMIFS('Industrial Summary'!$G:$G,'Industrial Summary'!$F:$F,K$17,'Industrial Summary'!$D:$D,$E284)&gt;0,(-SUMIFS('Industrial Summary'!$G:$G,'Industrial Summary'!$F:$F,K$17,'Industrial Summary'!$D:$D,$E284,'Industrial Summary'!$A:$A,"BIO")/SUMIFS('Industrial Summary'!$G:$G,'Industrial Summary'!$F:$F,K$17,'Industrial Summary'!$D:$D,$E284)),0)*0.98</f>
        <v>-0.12551265982817034</v>
      </c>
      <c r="L284" s="6">
        <f>IF(SUMIFS('Industrial Summary'!$G:$G,'Industrial Summary'!$F:$F,L$17,'Industrial Summary'!$D:$D,$E284)&gt;0,(-SUMIFS('Industrial Summary'!$G:$G,'Industrial Summary'!$F:$F,L$17,'Industrial Summary'!$D:$D,$E284,'Industrial Summary'!$A:$A,"BIO")/SUMIFS('Industrial Summary'!$G:$G,'Industrial Summary'!$F:$F,L$17,'Industrial Summary'!$D:$D,$E284)),0)*0.98</f>
        <v>0</v>
      </c>
      <c r="M284" s="6">
        <f>IF(SUMIFS('Industrial Summary'!$G:$G,'Industrial Summary'!$F:$F,M$17,'Industrial Summary'!$D:$D,$E284)&gt;0,(-SUMIFS('Industrial Summary'!$G:$G,'Industrial Summary'!$F:$F,M$17,'Industrial Summary'!$D:$D,$E284,'Industrial Summary'!$A:$A,"BIO")/SUMIFS('Industrial Summary'!$G:$G,'Industrial Summary'!$F:$F,M$17,'Industrial Summary'!$D:$D,$E284)),0)*0.98</f>
        <v>0</v>
      </c>
      <c r="N284" s="6">
        <f>IF(SUMIFS('Industrial Summary'!$G:$G,'Industrial Summary'!$F:$F,N$17,'Industrial Summary'!$D:$D,$E284)&gt;0,(-SUMIFS('Industrial Summary'!$G:$G,'Industrial Summary'!$F:$F,N$17,'Industrial Summary'!$D:$D,$E284,'Industrial Summary'!$A:$A,"BIO")/SUMIFS('Industrial Summary'!$G:$G,'Industrial Summary'!$F:$F,N$17,'Industrial Summary'!$D:$D,$E284)),0)*0.98</f>
        <v>0</v>
      </c>
      <c r="O284" s="6">
        <f>IF(SUMIFS('Industrial Summary'!$G:$G,'Industrial Summary'!$F:$F,O$17,'Industrial Summary'!$D:$D,$E284)&gt;0,(-SUMIFS('Industrial Summary'!$G:$G,'Industrial Summary'!$F:$F,O$17,'Industrial Summary'!$D:$D,$E284,'Industrial Summary'!$A:$A,"BIO")/SUMIFS('Industrial Summary'!$G:$G,'Industrial Summary'!$F:$F,O$17,'Industrial Summary'!$D:$D,$E284)),0)*0.98</f>
        <v>0</v>
      </c>
      <c r="P284" s="6">
        <f>IF(SUMIFS('Industrial Summary'!$G:$G,'Industrial Summary'!$F:$F,P$17,'Industrial Summary'!$D:$D,$E284)&gt;0,(-SUMIFS('Industrial Summary'!$G:$G,'Industrial Summary'!$F:$F,P$17,'Industrial Summary'!$D:$D,$E284,'Industrial Summary'!$A:$A,"BIO")/SUMIFS('Industrial Summary'!$G:$G,'Industrial Summary'!$F:$F,P$17,'Industrial Summary'!$D:$D,$E284)),0)*0.98</f>
        <v>0</v>
      </c>
      <c r="Q284" s="5">
        <v>0</v>
      </c>
      <c r="R284" s="5">
        <v>15</v>
      </c>
      <c r="S284" s="5" t="str">
        <f t="shared" si="63"/>
        <v>UC_IMOFS_BIO</v>
      </c>
      <c r="V284" s="4" t="str">
        <f t="shared" si="64"/>
        <v>S_IMOFSBIO</v>
      </c>
      <c r="W284" s="4" t="str">
        <f t="shared" si="65"/>
        <v>IMOFS_BIO</v>
      </c>
      <c r="X284" s="4" t="str">
        <f t="shared" si="66"/>
        <v>IMOFEED</v>
      </c>
      <c r="Y284" s="5" t="str">
        <f t="shared" si="67"/>
        <v>LO</v>
      </c>
      <c r="Z284" s="5">
        <v>1</v>
      </c>
      <c r="AA284" s="6">
        <f t="shared" si="68"/>
        <v>-0.60309779473791381</v>
      </c>
      <c r="AB284" s="6">
        <f t="shared" si="69"/>
        <v>-0.19022272396250872</v>
      </c>
      <c r="AC284" s="6">
        <f t="shared" si="70"/>
        <v>-0.12622651699270399</v>
      </c>
      <c r="AD284" s="6">
        <f t="shared" si="71"/>
        <v>-0.12551265982817034</v>
      </c>
      <c r="AE284" s="6">
        <f t="shared" si="72"/>
        <v>0</v>
      </c>
      <c r="AF284" s="6">
        <f t="shared" si="73"/>
        <v>0</v>
      </c>
      <c r="AG284" s="6">
        <f t="shared" si="74"/>
        <v>0</v>
      </c>
      <c r="AH284" s="6">
        <f t="shared" si="75"/>
        <v>0</v>
      </c>
      <c r="AI284" s="6">
        <f t="shared" si="76"/>
        <v>0</v>
      </c>
      <c r="AL284" s="5" t="str">
        <f t="shared" si="77"/>
        <v>BIO</v>
      </c>
      <c r="AM284" s="5">
        <f>1</f>
        <v>1</v>
      </c>
    </row>
    <row r="285" spans="1:39" s="5" customFormat="1" x14ac:dyDescent="0.3">
      <c r="C285" s="4" t="s">
        <v>582</v>
      </c>
      <c r="D285" s="5" t="s">
        <v>583</v>
      </c>
      <c r="E285" s="5" t="s">
        <v>721</v>
      </c>
      <c r="F285" s="5" t="s">
        <v>1588</v>
      </c>
      <c r="G285" s="5">
        <v>1</v>
      </c>
      <c r="H285" s="6">
        <f>IF(SUMIFS('Industrial Summary'!$G:$G,'Industrial Summary'!$F:$F,H$17,'Industrial Summary'!$D:$D,$E285)&gt;0,(-SUMIFS('Industrial Summary'!$G:$G,'Industrial Summary'!$F:$F,H$17,'Industrial Summary'!$D:$D,$E285,'Industrial Summary'!$A:$A,"PTC")/SUMIFS('Industrial Summary'!$G:$G,'Industrial Summary'!$F:$F,H$17,'Industrial Summary'!$D:$D,$E285)),0)*0.98</f>
        <v>0</v>
      </c>
      <c r="I285" s="6">
        <f>IF(SUMIFS('Industrial Summary'!$G:$G,'Industrial Summary'!$F:$F,I$17,'Industrial Summary'!$D:$D,$E285)&gt;0,(-SUMIFS('Industrial Summary'!$G:$G,'Industrial Summary'!$F:$F,I$17,'Industrial Summary'!$D:$D,$E285,'Industrial Summary'!$A:$A,"PTC")/SUMIFS('Industrial Summary'!$G:$G,'Industrial Summary'!$F:$F,I$17,'Industrial Summary'!$D:$D,$E285)),0)*0.98</f>
        <v>-0.58199852232690341</v>
      </c>
      <c r="J285" s="6">
        <f>IF(SUMIFS('Industrial Summary'!$G:$G,'Industrial Summary'!$F:$F,J$17,'Industrial Summary'!$D:$D,$E285)&gt;0,(-SUMIFS('Industrial Summary'!$G:$G,'Industrial Summary'!$F:$F,J$17,'Industrial Summary'!$D:$D,$E285,'Industrial Summary'!$A:$A,"PTC")/SUMIFS('Industrial Summary'!$G:$G,'Industrial Summary'!$F:$F,J$17,'Industrial Summary'!$D:$D,$E285)),0)*0.98</f>
        <v>-0.10161180094978756</v>
      </c>
      <c r="K285" s="6">
        <f>IF(SUMIFS('Industrial Summary'!$G:$G,'Industrial Summary'!$F:$F,K$17,'Industrial Summary'!$D:$D,$E285)&gt;0,(-SUMIFS('Industrial Summary'!$G:$G,'Industrial Summary'!$F:$F,K$17,'Industrial Summary'!$D:$D,$E285,'Industrial Summary'!$A:$A,"PTC")/SUMIFS('Industrial Summary'!$G:$G,'Industrial Summary'!$F:$F,K$17,'Industrial Summary'!$D:$D,$E285)),0)*0.98</f>
        <v>-0.10657940778924305</v>
      </c>
      <c r="L285" s="6">
        <f>IF(SUMIFS('Industrial Summary'!$G:$G,'Industrial Summary'!$F:$F,L$17,'Industrial Summary'!$D:$D,$E285)&gt;0,(-SUMIFS('Industrial Summary'!$G:$G,'Industrial Summary'!$F:$F,L$17,'Industrial Summary'!$D:$D,$E285,'Industrial Summary'!$A:$A,"PTC")/SUMIFS('Industrial Summary'!$G:$G,'Industrial Summary'!$F:$F,L$17,'Industrial Summary'!$D:$D,$E285)),0)*0.98</f>
        <v>0</v>
      </c>
      <c r="M285" s="6">
        <f>IF(SUMIFS('Industrial Summary'!$G:$G,'Industrial Summary'!$F:$F,M$17,'Industrial Summary'!$D:$D,$E285)&gt;0,(-SUMIFS('Industrial Summary'!$G:$G,'Industrial Summary'!$F:$F,M$17,'Industrial Summary'!$D:$D,$E285,'Industrial Summary'!$A:$A,"PTC")/SUMIFS('Industrial Summary'!$G:$G,'Industrial Summary'!$F:$F,M$17,'Industrial Summary'!$D:$D,$E285)),0)*0.98</f>
        <v>0</v>
      </c>
      <c r="N285" s="6">
        <f>IF(SUMIFS('Industrial Summary'!$G:$G,'Industrial Summary'!$F:$F,N$17,'Industrial Summary'!$D:$D,$E285)&gt;0,(-SUMIFS('Industrial Summary'!$G:$G,'Industrial Summary'!$F:$F,N$17,'Industrial Summary'!$D:$D,$E285,'Industrial Summary'!$A:$A,"PTC")/SUMIFS('Industrial Summary'!$G:$G,'Industrial Summary'!$F:$F,N$17,'Industrial Summary'!$D:$D,$E285)),0)*0.98</f>
        <v>0</v>
      </c>
      <c r="O285" s="6">
        <f>IF(SUMIFS('Industrial Summary'!$G:$G,'Industrial Summary'!$F:$F,O$17,'Industrial Summary'!$D:$D,$E285)&gt;0,(-SUMIFS('Industrial Summary'!$G:$G,'Industrial Summary'!$F:$F,O$17,'Industrial Summary'!$D:$D,$E285,'Industrial Summary'!$A:$A,"PTC")/SUMIFS('Industrial Summary'!$G:$G,'Industrial Summary'!$F:$F,O$17,'Industrial Summary'!$D:$D,$E285)),0)*0.98</f>
        <v>0</v>
      </c>
      <c r="P285" s="6">
        <f>IF(SUMIFS('Industrial Summary'!$G:$G,'Industrial Summary'!$F:$F,P$17,'Industrial Summary'!$D:$D,$E285)&gt;0,(-SUMIFS('Industrial Summary'!$G:$G,'Industrial Summary'!$F:$F,P$17,'Industrial Summary'!$D:$D,$E285,'Industrial Summary'!$A:$A,"PTC")/SUMIFS('Industrial Summary'!$G:$G,'Industrial Summary'!$F:$F,P$17,'Industrial Summary'!$D:$D,$E285)),0)*0.98</f>
        <v>0</v>
      </c>
      <c r="Q285" s="5">
        <v>0</v>
      </c>
      <c r="R285" s="5">
        <v>15</v>
      </c>
      <c r="S285" s="5" t="str">
        <f t="shared" si="63"/>
        <v>UC_IMOFS_PTC</v>
      </c>
      <c r="V285" s="4" t="str">
        <f t="shared" si="64"/>
        <v>S_IMOFSPTC</v>
      </c>
      <c r="W285" s="4" t="str">
        <f t="shared" si="65"/>
        <v>IMOFS_PTC</v>
      </c>
      <c r="X285" s="4" t="str">
        <f t="shared" si="66"/>
        <v>IMOFEED</v>
      </c>
      <c r="Y285" s="5" t="str">
        <f t="shared" si="67"/>
        <v>LO</v>
      </c>
      <c r="Z285" s="5">
        <v>1</v>
      </c>
      <c r="AA285" s="6">
        <f t="shared" si="68"/>
        <v>0</v>
      </c>
      <c r="AB285" s="6">
        <f t="shared" si="69"/>
        <v>-0.58199852232690341</v>
      </c>
      <c r="AC285" s="6">
        <f t="shared" si="70"/>
        <v>-0.10161180094978756</v>
      </c>
      <c r="AD285" s="6">
        <f t="shared" si="71"/>
        <v>-0.10657940778924305</v>
      </c>
      <c r="AE285" s="6">
        <f t="shared" si="72"/>
        <v>0</v>
      </c>
      <c r="AF285" s="6">
        <f t="shared" si="73"/>
        <v>0</v>
      </c>
      <c r="AG285" s="6">
        <f t="shared" si="74"/>
        <v>0</v>
      </c>
      <c r="AH285" s="6">
        <f t="shared" si="75"/>
        <v>0</v>
      </c>
      <c r="AI285" s="6">
        <f t="shared" si="76"/>
        <v>0</v>
      </c>
      <c r="AL285" s="5" t="str">
        <f t="shared" si="77"/>
        <v>PTC</v>
      </c>
      <c r="AM285" s="5">
        <f>1</f>
        <v>1</v>
      </c>
    </row>
    <row r="286" spans="1:39" s="5" customFormat="1" x14ac:dyDescent="0.3">
      <c r="A286" s="8"/>
      <c r="C286" s="4" t="s">
        <v>584</v>
      </c>
      <c r="D286" s="5" t="s">
        <v>585</v>
      </c>
      <c r="E286" s="5" t="s">
        <v>721</v>
      </c>
      <c r="F286" s="5" t="s">
        <v>1588</v>
      </c>
      <c r="G286" s="5">
        <v>1</v>
      </c>
      <c r="H286" s="6">
        <f>IF(SUMIFS('Industrial Summary'!$G:$G,'Industrial Summary'!$F:$F,H$17,'Industrial Summary'!$D:$D,$E286)&gt;0,(-SUMIFS('Industrial Summary'!$G:$G,'Industrial Summary'!$F:$F,H$17,'Industrial Summary'!$D:$D,$E286,'Industrial Summary'!$A:$A,"OTP")/SUMIFS('Industrial Summary'!$G:$G,'Industrial Summary'!$F:$F,H$17,'Industrial Summary'!$D:$D,$E286)),0)*0.98</f>
        <v>0</v>
      </c>
      <c r="I286" s="6">
        <f>IF(SUMIFS('Industrial Summary'!$G:$G,'Industrial Summary'!$F:$F,I$17,'Industrial Summary'!$D:$D,$E286)&gt;0,(-SUMIFS('Industrial Summary'!$G:$G,'Industrial Summary'!$F:$F,I$17,'Industrial Summary'!$D:$D,$E286,'Industrial Summary'!$A:$A,"OTP")/SUMIFS('Industrial Summary'!$G:$G,'Industrial Summary'!$F:$F,I$17,'Industrial Summary'!$D:$D,$E286)),0)*0.98</f>
        <v>-5.2211880819814449E-3</v>
      </c>
      <c r="J286" s="6">
        <f>IF(SUMIFS('Industrial Summary'!$G:$G,'Industrial Summary'!$F:$F,J$17,'Industrial Summary'!$D:$D,$E286)&gt;0,(-SUMIFS('Industrial Summary'!$G:$G,'Industrial Summary'!$F:$F,J$17,'Industrial Summary'!$D:$D,$E286,'Industrial Summary'!$A:$A,"OTP")/SUMIFS('Industrial Summary'!$G:$G,'Industrial Summary'!$F:$F,J$17,'Industrial Summary'!$D:$D,$E286)),0)*0.98</f>
        <v>-3.8577041533920391E-3</v>
      </c>
      <c r="K286" s="6">
        <f>IF(SUMIFS('Industrial Summary'!$G:$G,'Industrial Summary'!$F:$F,K$17,'Industrial Summary'!$D:$D,$E286)&gt;0,(-SUMIFS('Industrial Summary'!$G:$G,'Industrial Summary'!$F:$F,K$17,'Industrial Summary'!$D:$D,$E286,'Industrial Summary'!$A:$A,"OTP")/SUMIFS('Industrial Summary'!$G:$G,'Industrial Summary'!$F:$F,K$17,'Industrial Summary'!$D:$D,$E286)),0)*0.98</f>
        <v>-3.8358874241171009E-3</v>
      </c>
      <c r="L286" s="6">
        <f>IF(SUMIFS('Industrial Summary'!$G:$G,'Industrial Summary'!$F:$F,L$17,'Industrial Summary'!$D:$D,$E286)&gt;0,(-SUMIFS('Industrial Summary'!$G:$G,'Industrial Summary'!$F:$F,L$17,'Industrial Summary'!$D:$D,$E286,'Industrial Summary'!$A:$A,"OTP")/SUMIFS('Industrial Summary'!$G:$G,'Industrial Summary'!$F:$F,L$17,'Industrial Summary'!$D:$D,$E286)),0)*0.98</f>
        <v>0</v>
      </c>
      <c r="M286" s="6">
        <f>IF(SUMIFS('Industrial Summary'!$G:$G,'Industrial Summary'!$F:$F,M$17,'Industrial Summary'!$D:$D,$E286)&gt;0,(-SUMIFS('Industrial Summary'!$G:$G,'Industrial Summary'!$F:$F,M$17,'Industrial Summary'!$D:$D,$E286,'Industrial Summary'!$A:$A,"OTP")/SUMIFS('Industrial Summary'!$G:$G,'Industrial Summary'!$F:$F,M$17,'Industrial Summary'!$D:$D,$E286)),0)*0.98</f>
        <v>0</v>
      </c>
      <c r="N286" s="6">
        <f>IF(SUMIFS('Industrial Summary'!$G:$G,'Industrial Summary'!$F:$F,N$17,'Industrial Summary'!$D:$D,$E286)&gt;0,(-SUMIFS('Industrial Summary'!$G:$G,'Industrial Summary'!$F:$F,N$17,'Industrial Summary'!$D:$D,$E286,'Industrial Summary'!$A:$A,"OTP")/SUMIFS('Industrial Summary'!$G:$G,'Industrial Summary'!$F:$F,N$17,'Industrial Summary'!$D:$D,$E286)),0)*0.98</f>
        <v>0</v>
      </c>
      <c r="O286" s="6">
        <f>IF(SUMIFS('Industrial Summary'!$G:$G,'Industrial Summary'!$F:$F,O$17,'Industrial Summary'!$D:$D,$E286)&gt;0,(-SUMIFS('Industrial Summary'!$G:$G,'Industrial Summary'!$F:$F,O$17,'Industrial Summary'!$D:$D,$E286,'Industrial Summary'!$A:$A,"OTP")/SUMIFS('Industrial Summary'!$G:$G,'Industrial Summary'!$F:$F,O$17,'Industrial Summary'!$D:$D,$E286)),0)*0.98</f>
        <v>0</v>
      </c>
      <c r="P286" s="6">
        <f>IF(SUMIFS('Industrial Summary'!$G:$G,'Industrial Summary'!$F:$F,P$17,'Industrial Summary'!$D:$D,$E286)&gt;0,(-SUMIFS('Industrial Summary'!$G:$G,'Industrial Summary'!$F:$F,P$17,'Industrial Summary'!$D:$D,$E286,'Industrial Summary'!$A:$A,"OTP")/SUMIFS('Industrial Summary'!$G:$G,'Industrial Summary'!$F:$F,P$17,'Industrial Summary'!$D:$D,$E286)),0)*0.98</f>
        <v>0</v>
      </c>
      <c r="Q286" s="5">
        <v>0</v>
      </c>
      <c r="R286" s="5">
        <v>15</v>
      </c>
      <c r="S286" s="5" t="str">
        <f t="shared" si="63"/>
        <v>UC_IMOFS_OTP</v>
      </c>
      <c r="V286" s="4" t="str">
        <f t="shared" si="64"/>
        <v>S_IMOFSOTP</v>
      </c>
      <c r="W286" s="4" t="str">
        <f t="shared" si="65"/>
        <v>IMOFS_OTP</v>
      </c>
      <c r="X286" s="4" t="str">
        <f t="shared" si="66"/>
        <v>IMOFEED</v>
      </c>
      <c r="Y286" s="5" t="str">
        <f t="shared" si="67"/>
        <v>LO</v>
      </c>
      <c r="Z286" s="5">
        <v>1</v>
      </c>
      <c r="AA286" s="6">
        <f t="shared" si="68"/>
        <v>0</v>
      </c>
      <c r="AB286" s="6">
        <f t="shared" si="69"/>
        <v>-5.2211880819814449E-3</v>
      </c>
      <c r="AC286" s="6">
        <f t="shared" si="70"/>
        <v>-3.8577041533920391E-3</v>
      </c>
      <c r="AD286" s="6">
        <f t="shared" si="71"/>
        <v>-3.8358874241171009E-3</v>
      </c>
      <c r="AE286" s="6">
        <f t="shared" si="72"/>
        <v>0</v>
      </c>
      <c r="AF286" s="6">
        <f t="shared" si="73"/>
        <v>0</v>
      </c>
      <c r="AG286" s="6">
        <f t="shared" si="74"/>
        <v>0</v>
      </c>
      <c r="AH286" s="6">
        <f t="shared" si="75"/>
        <v>0</v>
      </c>
      <c r="AI286" s="6">
        <f t="shared" si="76"/>
        <v>0</v>
      </c>
      <c r="AL286" s="5" t="str">
        <f t="shared" si="77"/>
        <v>OTP</v>
      </c>
      <c r="AM286" s="5">
        <f>1</f>
        <v>1</v>
      </c>
    </row>
    <row r="287" spans="1:39" s="5" customFormat="1" x14ac:dyDescent="0.3">
      <c r="C287" s="4" t="s">
        <v>586</v>
      </c>
      <c r="D287" s="5" t="s">
        <v>587</v>
      </c>
      <c r="E287" s="5" t="s">
        <v>783</v>
      </c>
      <c r="F287" s="5" t="s">
        <v>1588</v>
      </c>
      <c r="G287" s="5">
        <v>1</v>
      </c>
      <c r="H287" s="6">
        <f>(IF(SUMIFS('Industrial Summary'!$G:$G,'Industrial Summary'!$F:$F,H$17,'Industrial Summary'!$D:$D,$E287)&gt;0,((-SUMIFS('Industrial Summary'!$G:$G,'Industrial Summary'!$F:$F,H$17,'Industrial Summary'!$D:$D,$E287,'Industrial Summary'!$A:$A,"ELC")+-SUMIFS('Industrial Summary'!$G:$G,'Industrial Summary'!$F:$F,H$17,'Industrial Summary'!$D:$D,"IMOFSTM",'Industrial Summary'!$A:$A,"ELC"))/SUMIFS('Industrial Summary'!$G:$G,'Industrial Summary'!$F:$F,H$17,'Industrial Summary'!$D:$D,$E287)),0))*0.98</f>
        <v>0</v>
      </c>
      <c r="I287" s="6">
        <f>(IF(SUMIFS('Industrial Summary'!$G:$G,'Industrial Summary'!$F:$F,I$17,'Industrial Summary'!$D:$D,$E287)&gt;0,((-SUMIFS('Industrial Summary'!$G:$G,'Industrial Summary'!$F:$F,I$17,'Industrial Summary'!$D:$D,$E287,'Industrial Summary'!$A:$A,"ELC")+-SUMIFS('Industrial Summary'!$G:$G,'Industrial Summary'!$F:$F,I$17,'Industrial Summary'!$D:$D,"IMOFSTM",'Industrial Summary'!$A:$A,"ELC"))/SUMIFS('Industrial Summary'!$G:$G,'Industrial Summary'!$F:$F,I$17,'Industrial Summary'!$D:$D,$E287)),0))*0.98</f>
        <v>-8.7342987906820102E-2</v>
      </c>
      <c r="J287" s="6">
        <f>(IF(SUMIFS('Industrial Summary'!$G:$G,'Industrial Summary'!$F:$F,J$17,'Industrial Summary'!$D:$D,$E287)&gt;0,((-SUMIFS('Industrial Summary'!$G:$G,'Industrial Summary'!$F:$F,J$17,'Industrial Summary'!$D:$D,$E287,'Industrial Summary'!$A:$A,"ELC")+-SUMIFS('Industrial Summary'!$G:$G,'Industrial Summary'!$F:$F,J$17,'Industrial Summary'!$D:$D,"IMOFSTM",'Industrial Summary'!$A:$A,"ELC"))/SUMIFS('Industrial Summary'!$G:$G,'Industrial Summary'!$F:$F,J$17,'Industrial Summary'!$D:$D,$E287)),0))*0.98</f>
        <v>-0.11403935118977072</v>
      </c>
      <c r="K287" s="6">
        <f>(IF(SUMIFS('Industrial Summary'!$G:$G,'Industrial Summary'!$F:$F,K$17,'Industrial Summary'!$D:$D,$E287)&gt;0,((-SUMIFS('Industrial Summary'!$G:$G,'Industrial Summary'!$F:$F,K$17,'Industrial Summary'!$D:$D,$E287,'Industrial Summary'!$A:$A,"ELC")+-SUMIFS('Industrial Summary'!$G:$G,'Industrial Summary'!$F:$F,K$17,'Industrial Summary'!$D:$D,"IMOFSTM",'Industrial Summary'!$A:$A,"ELC"))/SUMIFS('Industrial Summary'!$G:$G,'Industrial Summary'!$F:$F,K$17,'Industrial Summary'!$D:$D,$E287)),0))*0.98</f>
        <v>-0.98</v>
      </c>
      <c r="L287" s="6">
        <f>(IF(SUMIFS('Industrial Summary'!$G:$G,'Industrial Summary'!$F:$F,L$17,'Industrial Summary'!$D:$D,$E287)&gt;0,((-SUMIFS('Industrial Summary'!$G:$G,'Industrial Summary'!$F:$F,L$17,'Industrial Summary'!$D:$D,$E287,'Industrial Summary'!$A:$A,"ELC")+-SUMIFS('Industrial Summary'!$G:$G,'Industrial Summary'!$F:$F,L$17,'Industrial Summary'!$D:$D,"IMOFSTM",'Industrial Summary'!$A:$A,"ELC"))/SUMIFS('Industrial Summary'!$G:$G,'Industrial Summary'!$F:$F,L$17,'Industrial Summary'!$D:$D,$E287)),0))*0.98</f>
        <v>-0.34306687129267133</v>
      </c>
      <c r="M287" s="6">
        <f>(IF(SUMIFS('Industrial Summary'!$G:$G,'Industrial Summary'!$F:$F,M$17,'Industrial Summary'!$D:$D,$E287)&gt;0,((-SUMIFS('Industrial Summary'!$G:$G,'Industrial Summary'!$F:$F,M$17,'Industrial Summary'!$D:$D,$E287,'Industrial Summary'!$A:$A,"ELC")+-SUMIFS('Industrial Summary'!$G:$G,'Industrial Summary'!$F:$F,M$17,'Industrial Summary'!$D:$D,"IMOFSTM",'Industrial Summary'!$A:$A,"ELC"))/SUMIFS('Industrial Summary'!$G:$G,'Industrial Summary'!$F:$F,M$17,'Industrial Summary'!$D:$D,$E287)),0))*0.98</f>
        <v>-0.98</v>
      </c>
      <c r="N287" s="6">
        <f>(IF(SUMIFS('Industrial Summary'!$G:$G,'Industrial Summary'!$F:$F,N$17,'Industrial Summary'!$D:$D,$E287)&gt;0,((-SUMIFS('Industrial Summary'!$G:$G,'Industrial Summary'!$F:$F,N$17,'Industrial Summary'!$D:$D,$E287,'Industrial Summary'!$A:$A,"ELC")+-SUMIFS('Industrial Summary'!$G:$G,'Industrial Summary'!$F:$F,N$17,'Industrial Summary'!$D:$D,"IMOFSTM",'Industrial Summary'!$A:$A,"ELC"))/SUMIFS('Industrial Summary'!$G:$G,'Industrial Summary'!$F:$F,N$17,'Industrial Summary'!$D:$D,$E287)),0))*0.98</f>
        <v>-0.22674394828181929</v>
      </c>
      <c r="O287" s="6">
        <f>(IF(SUMIFS('Industrial Summary'!$G:$G,'Industrial Summary'!$F:$F,O$17,'Industrial Summary'!$D:$D,$E287)&gt;0,((-SUMIFS('Industrial Summary'!$G:$G,'Industrial Summary'!$F:$F,O$17,'Industrial Summary'!$D:$D,$E287,'Industrial Summary'!$A:$A,"ELC")+-SUMIFS('Industrial Summary'!$G:$G,'Industrial Summary'!$F:$F,O$17,'Industrial Summary'!$D:$D,"IMOFSTM",'Industrial Summary'!$A:$A,"ELC"))/SUMIFS('Industrial Summary'!$G:$G,'Industrial Summary'!$F:$F,O$17,'Industrial Summary'!$D:$D,$E287)),0))*0.98</f>
        <v>-1.491864551204938E-2</v>
      </c>
      <c r="P287" s="6">
        <f>(IF(SUMIFS('Industrial Summary'!$G:$G,'Industrial Summary'!$F:$F,P$17,'Industrial Summary'!$D:$D,$E287)&gt;0,((-SUMIFS('Industrial Summary'!$G:$G,'Industrial Summary'!$F:$F,P$17,'Industrial Summary'!$D:$D,$E287,'Industrial Summary'!$A:$A,"ELC")+-SUMIFS('Industrial Summary'!$G:$G,'Industrial Summary'!$F:$F,P$17,'Industrial Summary'!$D:$D,"IMOFSTM",'Industrial Summary'!$A:$A,"ELC"))/SUMIFS('Industrial Summary'!$G:$G,'Industrial Summary'!$F:$F,P$17,'Industrial Summary'!$D:$D,$E287)),0))*0.98</f>
        <v>-8.5365307899943718E-2</v>
      </c>
      <c r="Q287" s="5">
        <v>0</v>
      </c>
      <c r="R287" s="5">
        <v>15</v>
      </c>
      <c r="S287" s="5" t="str">
        <f t="shared" si="63"/>
        <v>UC_IMOST_ELC</v>
      </c>
      <c r="V287" s="4" t="str">
        <f t="shared" si="64"/>
        <v>S_IMOSTELC</v>
      </c>
      <c r="W287" s="4" t="str">
        <f t="shared" si="65"/>
        <v>IMOST_ELC</v>
      </c>
      <c r="X287" s="4" t="str">
        <f t="shared" si="66"/>
        <v>IMOSTM</v>
      </c>
      <c r="Y287" s="5" t="str">
        <f t="shared" si="67"/>
        <v>LO</v>
      </c>
      <c r="Z287" s="5">
        <v>1</v>
      </c>
      <c r="AA287" s="6">
        <f t="shared" si="68"/>
        <v>0</v>
      </c>
      <c r="AB287" s="6">
        <f t="shared" si="69"/>
        <v>-8.7342987906820102E-2</v>
      </c>
      <c r="AC287" s="6">
        <f t="shared" si="70"/>
        <v>-0.11403935118977072</v>
      </c>
      <c r="AD287" s="6">
        <f t="shared" si="71"/>
        <v>-0.98</v>
      </c>
      <c r="AE287" s="6">
        <f t="shared" si="72"/>
        <v>-0.34306687129267133</v>
      </c>
      <c r="AF287" s="6">
        <f t="shared" si="73"/>
        <v>-0.98</v>
      </c>
      <c r="AG287" s="6">
        <f t="shared" si="74"/>
        <v>-0.22674394828181929</v>
      </c>
      <c r="AH287" s="6">
        <f t="shared" si="75"/>
        <v>-1.491864551204938E-2</v>
      </c>
      <c r="AI287" s="6">
        <f t="shared" si="76"/>
        <v>-8.5365307899943718E-2</v>
      </c>
      <c r="AL287" s="5" t="str">
        <f t="shared" si="77"/>
        <v>ELC</v>
      </c>
      <c r="AM287" s="5">
        <f>1</f>
        <v>1</v>
      </c>
    </row>
    <row r="288" spans="1:39" s="5" customFormat="1" x14ac:dyDescent="0.3">
      <c r="A288" s="8"/>
      <c r="C288" s="4" t="s">
        <v>588</v>
      </c>
      <c r="D288" s="5" t="s">
        <v>589</v>
      </c>
      <c r="E288" s="5" t="s">
        <v>783</v>
      </c>
      <c r="F288" s="5" t="s">
        <v>1588</v>
      </c>
      <c r="G288" s="5">
        <v>1</v>
      </c>
      <c r="H288" s="6">
        <f>(IF(SUMIFS('Industrial Summary'!$G:$G,'Industrial Summary'!$F:$F,H$17,'Industrial Summary'!$D:$D,$E288)&gt;0,((-SUMIFS('Industrial Summary'!$G:$G,'Industrial Summary'!$F:$F,H$17,'Industrial Summary'!$D:$D,$E288,'Industrial Summary'!$A:$A,"NGA")+-SUMIFS('Industrial Summary'!$G:$G,'Industrial Summary'!$F:$F,H$17,'Industrial Summary'!$D:$D,"IMOFSTM",'Industrial Summary'!$A:$A,"NGA"))/SUMIFS('Industrial Summary'!$G:$G,'Industrial Summary'!$F:$F,H$17,'Industrial Summary'!$D:$D,$E288)),0))*0.98</f>
        <v>-0.97999999999999976</v>
      </c>
      <c r="I288" s="6">
        <f>(IF(SUMIFS('Industrial Summary'!$G:$G,'Industrial Summary'!$F:$F,I$17,'Industrial Summary'!$D:$D,$E288)&gt;0,((-SUMIFS('Industrial Summary'!$G:$G,'Industrial Summary'!$F:$F,I$17,'Industrial Summary'!$D:$D,$E288,'Industrial Summary'!$A:$A,"NGA")+-SUMIFS('Industrial Summary'!$G:$G,'Industrial Summary'!$F:$F,I$17,'Industrial Summary'!$D:$D,"IMOFSTM",'Industrial Summary'!$A:$A,"NGA"))/SUMIFS('Industrial Summary'!$G:$G,'Industrial Summary'!$F:$F,I$17,'Industrial Summary'!$D:$D,$E288)),0))*0.98</f>
        <v>-0.89265701209317982</v>
      </c>
      <c r="J288" s="6">
        <f>(IF(SUMIFS('Industrial Summary'!$G:$G,'Industrial Summary'!$F:$F,J$17,'Industrial Summary'!$D:$D,$E288)&gt;0,((-SUMIFS('Industrial Summary'!$G:$G,'Industrial Summary'!$F:$F,J$17,'Industrial Summary'!$D:$D,$E288,'Industrial Summary'!$A:$A,"NGA")+-SUMIFS('Industrial Summary'!$G:$G,'Industrial Summary'!$F:$F,J$17,'Industrial Summary'!$D:$D,"IMOFSTM",'Industrial Summary'!$A:$A,"NGA"))/SUMIFS('Industrial Summary'!$G:$G,'Industrial Summary'!$F:$F,J$17,'Industrial Summary'!$D:$D,$E288)),0))*0.98</f>
        <v>-0.86596064881022938</v>
      </c>
      <c r="K288" s="6">
        <f>(IF(SUMIFS('Industrial Summary'!$G:$G,'Industrial Summary'!$F:$F,K$17,'Industrial Summary'!$D:$D,$E288)&gt;0,((-SUMIFS('Industrial Summary'!$G:$G,'Industrial Summary'!$F:$F,K$17,'Industrial Summary'!$D:$D,$E288,'Industrial Summary'!$A:$A,"NGA")+-SUMIFS('Industrial Summary'!$G:$G,'Industrial Summary'!$F:$F,K$17,'Industrial Summary'!$D:$D,"IMOFSTM",'Industrial Summary'!$A:$A,"NGA"))/SUMIFS('Industrial Summary'!$G:$G,'Industrial Summary'!$F:$F,K$17,'Industrial Summary'!$D:$D,$E288)),0))*0.98</f>
        <v>0</v>
      </c>
      <c r="L288" s="6">
        <f>(IF(SUMIFS('Industrial Summary'!$G:$G,'Industrial Summary'!$F:$F,L$17,'Industrial Summary'!$D:$D,$E288)&gt;0,((-SUMIFS('Industrial Summary'!$G:$G,'Industrial Summary'!$F:$F,L$17,'Industrial Summary'!$D:$D,$E288,'Industrial Summary'!$A:$A,"NGA")+-SUMIFS('Industrial Summary'!$G:$G,'Industrial Summary'!$F:$F,L$17,'Industrial Summary'!$D:$D,"IMOFSTM",'Industrial Summary'!$A:$A,"NGA"))/SUMIFS('Industrial Summary'!$G:$G,'Industrial Summary'!$F:$F,L$17,'Industrial Summary'!$D:$D,$E288)),0))*0.98</f>
        <v>-0.63693312870732866</v>
      </c>
      <c r="M288" s="6">
        <f>(IF(SUMIFS('Industrial Summary'!$G:$G,'Industrial Summary'!$F:$F,M$17,'Industrial Summary'!$D:$D,$E288)&gt;0,((-SUMIFS('Industrial Summary'!$G:$G,'Industrial Summary'!$F:$F,M$17,'Industrial Summary'!$D:$D,$E288,'Industrial Summary'!$A:$A,"NGA")+-SUMIFS('Industrial Summary'!$G:$G,'Industrial Summary'!$F:$F,M$17,'Industrial Summary'!$D:$D,"IMOFSTM",'Industrial Summary'!$A:$A,"NGA"))/SUMIFS('Industrial Summary'!$G:$G,'Industrial Summary'!$F:$F,M$17,'Industrial Summary'!$D:$D,$E288)),0))*0.98</f>
        <v>0</v>
      </c>
      <c r="N288" s="6">
        <f>(IF(SUMIFS('Industrial Summary'!$G:$G,'Industrial Summary'!$F:$F,N$17,'Industrial Summary'!$D:$D,$E288)&gt;0,((-SUMIFS('Industrial Summary'!$G:$G,'Industrial Summary'!$F:$F,N$17,'Industrial Summary'!$D:$D,$E288,'Industrial Summary'!$A:$A,"NGA")+-SUMIFS('Industrial Summary'!$G:$G,'Industrial Summary'!$F:$F,N$17,'Industrial Summary'!$D:$D,"IMOFSTM",'Industrial Summary'!$A:$A,"NGA"))/SUMIFS('Industrial Summary'!$G:$G,'Industrial Summary'!$F:$F,N$17,'Industrial Summary'!$D:$D,$E288)),0))*0.98</f>
        <v>-0.75325605171818122</v>
      </c>
      <c r="O288" s="6">
        <f>(IF(SUMIFS('Industrial Summary'!$G:$G,'Industrial Summary'!$F:$F,O$17,'Industrial Summary'!$D:$D,$E288)&gt;0,((-SUMIFS('Industrial Summary'!$G:$G,'Industrial Summary'!$F:$F,O$17,'Industrial Summary'!$D:$D,$E288,'Industrial Summary'!$A:$A,"NGA")+-SUMIFS('Industrial Summary'!$G:$G,'Industrial Summary'!$F:$F,O$17,'Industrial Summary'!$D:$D,"IMOFSTM",'Industrial Summary'!$A:$A,"NGA"))/SUMIFS('Industrial Summary'!$G:$G,'Industrial Summary'!$F:$F,O$17,'Industrial Summary'!$D:$D,$E288)),0))*0.98</f>
        <v>-0.96508135448795118</v>
      </c>
      <c r="P288" s="6">
        <f>(IF(SUMIFS('Industrial Summary'!$G:$G,'Industrial Summary'!$F:$F,P$17,'Industrial Summary'!$D:$D,$E288)&gt;0,((-SUMIFS('Industrial Summary'!$G:$G,'Industrial Summary'!$F:$F,P$17,'Industrial Summary'!$D:$D,$E288,'Industrial Summary'!$A:$A,"NGA")+-SUMIFS('Industrial Summary'!$G:$G,'Industrial Summary'!$F:$F,P$17,'Industrial Summary'!$D:$D,"IMOFSTM",'Industrial Summary'!$A:$A,"NGA"))/SUMIFS('Industrial Summary'!$G:$G,'Industrial Summary'!$F:$F,P$17,'Industrial Summary'!$D:$D,$E288)),0))*0.98</f>
        <v>-0.89463469210005631</v>
      </c>
      <c r="Q288" s="5">
        <v>0</v>
      </c>
      <c r="R288" s="5">
        <v>15</v>
      </c>
      <c r="S288" s="5" t="str">
        <f t="shared" si="63"/>
        <v>UC_IMOST_NGA</v>
      </c>
      <c r="V288" s="4" t="str">
        <f t="shared" si="64"/>
        <v>S_IMOSTNGA</v>
      </c>
      <c r="W288" s="4" t="str">
        <f t="shared" si="65"/>
        <v>IMOST_NGA</v>
      </c>
      <c r="X288" s="4" t="str">
        <f t="shared" si="66"/>
        <v>IMOSTM</v>
      </c>
      <c r="Y288" s="5" t="str">
        <f t="shared" si="67"/>
        <v>LO</v>
      </c>
      <c r="Z288" s="5">
        <v>1</v>
      </c>
      <c r="AA288" s="6">
        <f t="shared" si="68"/>
        <v>-0.86239999999999983</v>
      </c>
      <c r="AB288" s="6">
        <f t="shared" si="69"/>
        <v>-0.78553817064199827</v>
      </c>
      <c r="AC288" s="6">
        <f t="shared" si="70"/>
        <v>-0.76204537095300184</v>
      </c>
      <c r="AD288" s="6">
        <f t="shared" si="71"/>
        <v>0</v>
      </c>
      <c r="AE288" s="6">
        <f t="shared" si="72"/>
        <v>-0.5605011532624492</v>
      </c>
      <c r="AF288" s="6">
        <f t="shared" si="73"/>
        <v>0</v>
      </c>
      <c r="AG288" s="6">
        <f t="shared" si="74"/>
        <v>-0.6628653255119995</v>
      </c>
      <c r="AH288" s="6">
        <f t="shared" si="75"/>
        <v>-0.84927159194939705</v>
      </c>
      <c r="AI288" s="6">
        <f t="shared" si="76"/>
        <v>-0.78727852904804951</v>
      </c>
      <c r="AL288" s="5" t="str">
        <f t="shared" si="77"/>
        <v>NGA</v>
      </c>
      <c r="AM288" s="5">
        <f>Y9</f>
        <v>0.88</v>
      </c>
    </row>
    <row r="289" spans="1:39" s="5" customFormat="1" x14ac:dyDescent="0.3">
      <c r="C289" s="4" t="s">
        <v>591</v>
      </c>
      <c r="D289" s="5" t="s">
        <v>592</v>
      </c>
      <c r="E289" s="5" t="s">
        <v>801</v>
      </c>
      <c r="F289" s="5" t="s">
        <v>1588</v>
      </c>
      <c r="G289" s="5">
        <v>1</v>
      </c>
      <c r="H289" s="6">
        <f>IF(SUMIFS('Industrial Summary'!$G:$G,'Industrial Summary'!$F:$F,H$17,'Industrial Summary'!$D:$D,$E289)&gt;0,(-SUMIFS('Industrial Summary'!$G:$G,'Industrial Summary'!$F:$F,H$17,'Industrial Summary'!$D:$D,$E289,'Industrial Summary'!$A:$A,"ELC")/SUMIFS('Industrial Summary'!$G:$G,'Industrial Summary'!$F:$F,H$17,'Industrial Summary'!$D:$D,$E289)),0)*0.98</f>
        <v>-0.10759066157408796</v>
      </c>
      <c r="I289" s="6">
        <f>IF(SUMIFS('Industrial Summary'!$G:$G,'Industrial Summary'!$F:$F,I$17,'Industrial Summary'!$D:$D,$E289)&gt;0,(-SUMIFS('Industrial Summary'!$G:$G,'Industrial Summary'!$F:$F,I$17,'Industrial Summary'!$D:$D,$E289,'Industrial Summary'!$A:$A,"ELC")/SUMIFS('Industrial Summary'!$G:$G,'Industrial Summary'!$F:$F,I$17,'Industrial Summary'!$D:$D,$E289)),0)*0.98</f>
        <v>-0.37639791071227935</v>
      </c>
      <c r="J289" s="6">
        <f>IF(SUMIFS('Industrial Summary'!$G:$G,'Industrial Summary'!$F:$F,J$17,'Industrial Summary'!$D:$D,$E289)&gt;0,(-SUMIFS('Industrial Summary'!$G:$G,'Industrial Summary'!$F:$F,J$17,'Industrial Summary'!$D:$D,$E289,'Industrial Summary'!$A:$A,"ELC")/SUMIFS('Industrial Summary'!$G:$G,'Industrial Summary'!$F:$F,J$17,'Industrial Summary'!$D:$D,$E289)),0)*0.98</f>
        <v>-0.4306474518428835</v>
      </c>
      <c r="K289" s="6">
        <f>IF(SUMIFS('Industrial Summary'!$G:$G,'Industrial Summary'!$F:$F,K$17,'Industrial Summary'!$D:$D,$E289)&gt;0,(-SUMIFS('Industrial Summary'!$G:$G,'Industrial Summary'!$F:$F,K$17,'Industrial Summary'!$D:$D,$E289,'Industrial Summary'!$A:$A,"ELC")/SUMIFS('Industrial Summary'!$G:$G,'Industrial Summary'!$F:$F,K$17,'Industrial Summary'!$D:$D,$E289)),0)*0.98</f>
        <v>-0.42821198284468392</v>
      </c>
      <c r="L289" s="6">
        <f>IF(SUMIFS('Industrial Summary'!$G:$G,'Industrial Summary'!$F:$F,L$17,'Industrial Summary'!$D:$D,$E289)&gt;0,(-SUMIFS('Industrial Summary'!$G:$G,'Industrial Summary'!$F:$F,L$17,'Industrial Summary'!$D:$D,$E289,'Industrial Summary'!$A:$A,"ELC")/SUMIFS('Industrial Summary'!$G:$G,'Industrial Summary'!$F:$F,L$17,'Industrial Summary'!$D:$D,$E289)),0)*0.98</f>
        <v>-0.47202836893455513</v>
      </c>
      <c r="M289" s="6">
        <f>IF(SUMIFS('Industrial Summary'!$G:$G,'Industrial Summary'!$F:$F,M$17,'Industrial Summary'!$D:$D,$E289)&gt;0,(-SUMIFS('Industrial Summary'!$G:$G,'Industrial Summary'!$F:$F,M$17,'Industrial Summary'!$D:$D,$E289,'Industrial Summary'!$A:$A,"ELC")/SUMIFS('Industrial Summary'!$G:$G,'Industrial Summary'!$F:$F,M$17,'Industrial Summary'!$D:$D,$E289)),0)*0.98</f>
        <v>-0.47202836893455502</v>
      </c>
      <c r="N289" s="6">
        <f>IF(SUMIFS('Industrial Summary'!$G:$G,'Industrial Summary'!$F:$F,N$17,'Industrial Summary'!$D:$D,$E289)&gt;0,(-SUMIFS('Industrial Summary'!$G:$G,'Industrial Summary'!$F:$F,N$17,'Industrial Summary'!$D:$D,$E289,'Industrial Summary'!$A:$A,"ELC")/SUMIFS('Industrial Summary'!$G:$G,'Industrial Summary'!$F:$F,N$17,'Industrial Summary'!$D:$D,$E289)),0)*0.98</f>
        <v>-0.53103191505137226</v>
      </c>
      <c r="O289" s="6">
        <f>IF(SUMIFS('Industrial Summary'!$G:$G,'Industrial Summary'!$F:$F,O$17,'Industrial Summary'!$D:$D,$E289)&gt;0,(-SUMIFS('Industrial Summary'!$G:$G,'Industrial Summary'!$F:$F,O$17,'Industrial Summary'!$D:$D,$E289,'Industrial Summary'!$A:$A,"ELC")/SUMIFS('Industrial Summary'!$G:$G,'Industrial Summary'!$F:$F,O$17,'Industrial Summary'!$D:$D,$E289)),0)*0.98</f>
        <v>-0.37008073631154759</v>
      </c>
      <c r="P289" s="6">
        <f>IF(SUMIFS('Industrial Summary'!$G:$G,'Industrial Summary'!$F:$F,P$17,'Industrial Summary'!$D:$D,$E289)&gt;0,(-SUMIFS('Industrial Summary'!$G:$G,'Industrial Summary'!$F:$F,P$17,'Industrial Summary'!$D:$D,$E289,'Industrial Summary'!$A:$A,"ELC")/SUMIFS('Industrial Summary'!$G:$G,'Industrial Summary'!$F:$F,P$17,'Industrial Summary'!$D:$D,$E289)),0)*0.98</f>
        <v>-0.2200717656102644</v>
      </c>
      <c r="Q289" s="5">
        <v>0</v>
      </c>
      <c r="R289" s="5">
        <v>15</v>
      </c>
      <c r="S289" s="5" t="str">
        <f t="shared" si="63"/>
        <v>UC_IMOPH_ELC</v>
      </c>
      <c r="V289" s="4" t="str">
        <f t="shared" si="64"/>
        <v>S_IMOPHELC</v>
      </c>
      <c r="W289" s="4" t="str">
        <f t="shared" si="65"/>
        <v>IMOPH_ELC</v>
      </c>
      <c r="X289" s="4" t="str">
        <f t="shared" si="66"/>
        <v>IMOPRH</v>
      </c>
      <c r="Y289" s="5" t="str">
        <f t="shared" si="67"/>
        <v>LO</v>
      </c>
      <c r="Z289" s="5">
        <v>1</v>
      </c>
      <c r="AA289" s="6">
        <f t="shared" si="68"/>
        <v>-0.10759066157408796</v>
      </c>
      <c r="AB289" s="6">
        <f t="shared" si="69"/>
        <v>-0.37639791071227935</v>
      </c>
      <c r="AC289" s="6">
        <f t="shared" si="70"/>
        <v>-0.4306474518428835</v>
      </c>
      <c r="AD289" s="6">
        <f t="shared" si="71"/>
        <v>-0.42821198284468392</v>
      </c>
      <c r="AE289" s="6">
        <f t="shared" si="72"/>
        <v>-0.47202836893455513</v>
      </c>
      <c r="AF289" s="6">
        <f t="shared" si="73"/>
        <v>-0.47202836893455502</v>
      </c>
      <c r="AG289" s="6">
        <f t="shared" si="74"/>
        <v>-0.53103191505137226</v>
      </c>
      <c r="AH289" s="6">
        <f t="shared" si="75"/>
        <v>-0.37008073631154759</v>
      </c>
      <c r="AI289" s="6">
        <f t="shared" si="76"/>
        <v>-0.2200717656102644</v>
      </c>
      <c r="AL289" s="5" t="str">
        <f t="shared" si="77"/>
        <v>ELC</v>
      </c>
      <c r="AM289" s="5">
        <f>1</f>
        <v>1</v>
      </c>
    </row>
    <row r="290" spans="1:39" s="5" customFormat="1" x14ac:dyDescent="0.3">
      <c r="C290" s="4" t="s">
        <v>593</v>
      </c>
      <c r="D290" s="5" t="s">
        <v>594</v>
      </c>
      <c r="E290" s="5" t="s">
        <v>801</v>
      </c>
      <c r="F290" s="5" t="s">
        <v>1588</v>
      </c>
      <c r="G290" s="5">
        <v>1</v>
      </c>
      <c r="H290" s="6">
        <f>IF(SUMIFS('Industrial Summary'!$G:$G,'Industrial Summary'!$F:$F,H$17,'Industrial Summary'!$D:$D,$E290)&gt;0,(-SUMIFS('Industrial Summary'!$G:$G,'Industrial Summary'!$F:$F,H$17,'Industrial Summary'!$D:$D,$E290,'Industrial Summary'!$A:$A,"NGA")/SUMIFS('Industrial Summary'!$G:$G,'Industrial Summary'!$F:$F,H$17,'Industrial Summary'!$D:$D,$E290)),0)*0.98</f>
        <v>-0.87240933842591206</v>
      </c>
      <c r="I290" s="6">
        <f>IF(SUMIFS('Industrial Summary'!$G:$G,'Industrial Summary'!$F:$F,I$17,'Industrial Summary'!$D:$D,$E290)&gt;0,(-SUMIFS('Industrial Summary'!$G:$G,'Industrial Summary'!$F:$F,I$17,'Industrial Summary'!$D:$D,$E290,'Industrial Summary'!$A:$A,"NGA")/SUMIFS('Industrial Summary'!$G:$G,'Industrial Summary'!$F:$F,I$17,'Industrial Summary'!$D:$D,$E290)),0)*0.98</f>
        <v>-0.60360208928772052</v>
      </c>
      <c r="J290" s="6">
        <f>IF(SUMIFS('Industrial Summary'!$G:$G,'Industrial Summary'!$F:$F,J$17,'Industrial Summary'!$D:$D,$E290)&gt;0,(-SUMIFS('Industrial Summary'!$G:$G,'Industrial Summary'!$F:$F,J$17,'Industrial Summary'!$D:$D,$E290,'Industrial Summary'!$A:$A,"NGA")/SUMIFS('Industrial Summary'!$G:$G,'Industrial Summary'!$F:$F,J$17,'Industrial Summary'!$D:$D,$E290)),0)*0.98</f>
        <v>-0.54935254815711654</v>
      </c>
      <c r="K290" s="6">
        <f>IF(SUMIFS('Industrial Summary'!$G:$G,'Industrial Summary'!$F:$F,K$17,'Industrial Summary'!$D:$D,$E290)&gt;0,(-SUMIFS('Industrial Summary'!$G:$G,'Industrial Summary'!$F:$F,K$17,'Industrial Summary'!$D:$D,$E290,'Industrial Summary'!$A:$A,"NGA")/SUMIFS('Industrial Summary'!$G:$G,'Industrial Summary'!$F:$F,K$17,'Industrial Summary'!$D:$D,$E290)),0)*0.98</f>
        <v>-0.551788017155316</v>
      </c>
      <c r="L290" s="6">
        <f>IF(SUMIFS('Industrial Summary'!$G:$G,'Industrial Summary'!$F:$F,L$17,'Industrial Summary'!$D:$D,$E290)&gt;0,(-SUMIFS('Industrial Summary'!$G:$G,'Industrial Summary'!$F:$F,L$17,'Industrial Summary'!$D:$D,$E290,'Industrial Summary'!$A:$A,"NGA")/SUMIFS('Industrial Summary'!$G:$G,'Industrial Summary'!$F:$F,L$17,'Industrial Summary'!$D:$D,$E290)),0)*0.98</f>
        <v>-0.50797163106544474</v>
      </c>
      <c r="M290" s="6">
        <f>IF(SUMIFS('Industrial Summary'!$G:$G,'Industrial Summary'!$F:$F,M$17,'Industrial Summary'!$D:$D,$E290)&gt;0,(-SUMIFS('Industrial Summary'!$G:$G,'Industrial Summary'!$F:$F,M$17,'Industrial Summary'!$D:$D,$E290,'Industrial Summary'!$A:$A,"NGA")/SUMIFS('Industrial Summary'!$G:$G,'Industrial Summary'!$F:$F,M$17,'Industrial Summary'!$D:$D,$E290)),0)*0.98</f>
        <v>-0.50797163106544496</v>
      </c>
      <c r="N290" s="6">
        <f>IF(SUMIFS('Industrial Summary'!$G:$G,'Industrial Summary'!$F:$F,N$17,'Industrial Summary'!$D:$D,$E290)&gt;0,(-SUMIFS('Industrial Summary'!$G:$G,'Industrial Summary'!$F:$F,N$17,'Industrial Summary'!$D:$D,$E290,'Industrial Summary'!$A:$A,"NGA")/SUMIFS('Industrial Summary'!$G:$G,'Industrial Summary'!$F:$F,N$17,'Industrial Summary'!$D:$D,$E290)),0)*0.98</f>
        <v>-0.44896808494862761</v>
      </c>
      <c r="O290" s="6">
        <f>IF(SUMIFS('Industrial Summary'!$G:$G,'Industrial Summary'!$F:$F,O$17,'Industrial Summary'!$D:$D,$E290)&gt;0,(-SUMIFS('Industrial Summary'!$G:$G,'Industrial Summary'!$F:$F,O$17,'Industrial Summary'!$D:$D,$E290,'Industrial Summary'!$A:$A,"NGA")/SUMIFS('Industrial Summary'!$G:$G,'Industrial Summary'!$F:$F,O$17,'Industrial Summary'!$D:$D,$E290)),0)*0.98</f>
        <v>-0.60991926368845251</v>
      </c>
      <c r="P290" s="6">
        <f>IF(SUMIFS('Industrial Summary'!$G:$G,'Industrial Summary'!$F:$F,P$17,'Industrial Summary'!$D:$D,$E290)&gt;0,(-SUMIFS('Industrial Summary'!$G:$G,'Industrial Summary'!$F:$F,P$17,'Industrial Summary'!$D:$D,$E290,'Industrial Summary'!$A:$A,"NGA")/SUMIFS('Industrial Summary'!$G:$G,'Industrial Summary'!$F:$F,P$17,'Industrial Summary'!$D:$D,$E290)),0)*0.98</f>
        <v>-0.75992823438973556</v>
      </c>
      <c r="Q290" s="5">
        <v>0</v>
      </c>
      <c r="R290" s="5">
        <v>15</v>
      </c>
      <c r="S290" s="5" t="str">
        <f t="shared" si="63"/>
        <v>UC_IMOPH_NGA</v>
      </c>
      <c r="V290" s="4" t="str">
        <f t="shared" si="64"/>
        <v>S_IMOPHNGA</v>
      </c>
      <c r="W290" s="4" t="str">
        <f t="shared" si="65"/>
        <v>IMOPH_NGA</v>
      </c>
      <c r="X290" s="4" t="str">
        <f t="shared" si="66"/>
        <v>IMOPRH</v>
      </c>
      <c r="Y290" s="5" t="str">
        <f t="shared" si="67"/>
        <v>LO</v>
      </c>
      <c r="Z290" s="5">
        <v>1</v>
      </c>
      <c r="AA290" s="6">
        <f t="shared" si="68"/>
        <v>-0.7677202178148026</v>
      </c>
      <c r="AB290" s="6">
        <f t="shared" si="69"/>
        <v>-0.53116983857319411</v>
      </c>
      <c r="AC290" s="6">
        <f t="shared" si="70"/>
        <v>-0.48343024237826254</v>
      </c>
      <c r="AD290" s="6">
        <f t="shared" si="71"/>
        <v>-0.4855734550966781</v>
      </c>
      <c r="AE290" s="6">
        <f t="shared" si="72"/>
        <v>-0.44701503533759135</v>
      </c>
      <c r="AF290" s="6">
        <f t="shared" si="73"/>
        <v>-0.44701503533759157</v>
      </c>
      <c r="AG290" s="6">
        <f t="shared" si="74"/>
        <v>-0.39509191475479227</v>
      </c>
      <c r="AH290" s="6">
        <f t="shared" si="75"/>
        <v>-0.53672895204583826</v>
      </c>
      <c r="AI290" s="6">
        <f t="shared" si="76"/>
        <v>-0.66873684626296725</v>
      </c>
      <c r="AL290" s="5" t="str">
        <f t="shared" si="77"/>
        <v>NGA</v>
      </c>
      <c r="AM290" s="5">
        <f>Y9</f>
        <v>0.88</v>
      </c>
    </row>
    <row r="291" spans="1:39" s="5" customFormat="1" x14ac:dyDescent="0.3">
      <c r="A291" s="8"/>
      <c r="C291" s="4" t="s">
        <v>595</v>
      </c>
      <c r="D291" s="5" t="s">
        <v>596</v>
      </c>
      <c r="E291" s="5" t="s">
        <v>801</v>
      </c>
      <c r="F291" s="5" t="s">
        <v>1588</v>
      </c>
      <c r="G291" s="5">
        <v>1</v>
      </c>
      <c r="H291" s="6">
        <f>IF(SUMIFS('Industrial Summary'!$G:$G,'Industrial Summary'!$F:$F,H$17,'Industrial Summary'!$D:$D,$E291)&gt;0,(-SUMIFS('Industrial Summary'!$G:$G,'Industrial Summary'!$F:$F,H$17,'Industrial Summary'!$D:$D,$E291,'Industrial Summary'!$A:$A,"LPG")/SUMIFS('Industrial Summary'!$G:$G,'Industrial Summary'!$F:$F,H$17,'Industrial Summary'!$D:$D,$E291)),0)*0.98</f>
        <v>0</v>
      </c>
      <c r="I291" s="6">
        <f>IF(SUMIFS('Industrial Summary'!$G:$G,'Industrial Summary'!$F:$F,I$17,'Industrial Summary'!$D:$D,$E291)&gt;0,(-SUMIFS('Industrial Summary'!$G:$G,'Industrial Summary'!$F:$F,I$17,'Industrial Summary'!$D:$D,$E291,'Industrial Summary'!$A:$A,"LPG")/SUMIFS('Industrial Summary'!$G:$G,'Industrial Summary'!$F:$F,I$17,'Industrial Summary'!$D:$D,$E291)),0)*0.98</f>
        <v>0</v>
      </c>
      <c r="J291" s="6">
        <f>IF(SUMIFS('Industrial Summary'!$G:$G,'Industrial Summary'!$F:$F,J$17,'Industrial Summary'!$D:$D,$E291)&gt;0,(-SUMIFS('Industrial Summary'!$G:$G,'Industrial Summary'!$F:$F,J$17,'Industrial Summary'!$D:$D,$E291,'Industrial Summary'!$A:$A,"LPG")/SUMIFS('Industrial Summary'!$G:$G,'Industrial Summary'!$F:$F,J$17,'Industrial Summary'!$D:$D,$E291)),0)*0.98</f>
        <v>0</v>
      </c>
      <c r="K291" s="6">
        <f>IF(SUMIFS('Industrial Summary'!$G:$G,'Industrial Summary'!$F:$F,K$17,'Industrial Summary'!$D:$D,$E291)&gt;0,(-SUMIFS('Industrial Summary'!$G:$G,'Industrial Summary'!$F:$F,K$17,'Industrial Summary'!$D:$D,$E291,'Industrial Summary'!$A:$A,"LPG")/SUMIFS('Industrial Summary'!$G:$G,'Industrial Summary'!$F:$F,K$17,'Industrial Summary'!$D:$D,$E291)),0)*0.98</f>
        <v>0</v>
      </c>
      <c r="L291" s="6">
        <f>IF(SUMIFS('Industrial Summary'!$G:$G,'Industrial Summary'!$F:$F,L$17,'Industrial Summary'!$D:$D,$E291)&gt;0,(-SUMIFS('Industrial Summary'!$G:$G,'Industrial Summary'!$F:$F,L$17,'Industrial Summary'!$D:$D,$E291,'Industrial Summary'!$A:$A,"LPG")/SUMIFS('Industrial Summary'!$G:$G,'Industrial Summary'!$F:$F,L$17,'Industrial Summary'!$D:$D,$E291)),0)*0.98</f>
        <v>0</v>
      </c>
      <c r="M291" s="6">
        <f>IF(SUMIFS('Industrial Summary'!$G:$G,'Industrial Summary'!$F:$F,M$17,'Industrial Summary'!$D:$D,$E291)&gt;0,(-SUMIFS('Industrial Summary'!$G:$G,'Industrial Summary'!$F:$F,M$17,'Industrial Summary'!$D:$D,$E291,'Industrial Summary'!$A:$A,"LPG")/SUMIFS('Industrial Summary'!$G:$G,'Industrial Summary'!$F:$F,M$17,'Industrial Summary'!$D:$D,$E291)),0)*0.98</f>
        <v>0</v>
      </c>
      <c r="N291" s="6">
        <f>IF(SUMIFS('Industrial Summary'!$G:$G,'Industrial Summary'!$F:$F,N$17,'Industrial Summary'!$D:$D,$E291)&gt;0,(-SUMIFS('Industrial Summary'!$G:$G,'Industrial Summary'!$F:$F,N$17,'Industrial Summary'!$D:$D,$E291,'Industrial Summary'!$A:$A,"LPG")/SUMIFS('Industrial Summary'!$G:$G,'Industrial Summary'!$F:$F,N$17,'Industrial Summary'!$D:$D,$E291)),0)*0.98</f>
        <v>0</v>
      </c>
      <c r="O291" s="6">
        <f>IF(SUMIFS('Industrial Summary'!$G:$G,'Industrial Summary'!$F:$F,O$17,'Industrial Summary'!$D:$D,$E291)&gt;0,(-SUMIFS('Industrial Summary'!$G:$G,'Industrial Summary'!$F:$F,O$17,'Industrial Summary'!$D:$D,$E291,'Industrial Summary'!$A:$A,"LPG")/SUMIFS('Industrial Summary'!$G:$G,'Industrial Summary'!$F:$F,O$17,'Industrial Summary'!$D:$D,$E291)),0)*0.98</f>
        <v>0</v>
      </c>
      <c r="P291" s="6">
        <f>IF(SUMIFS('Industrial Summary'!$G:$G,'Industrial Summary'!$F:$F,P$17,'Industrial Summary'!$D:$D,$E291)&gt;0,(-SUMIFS('Industrial Summary'!$G:$G,'Industrial Summary'!$F:$F,P$17,'Industrial Summary'!$D:$D,$E291,'Industrial Summary'!$A:$A,"LPG")/SUMIFS('Industrial Summary'!$G:$G,'Industrial Summary'!$F:$F,P$17,'Industrial Summary'!$D:$D,$E291)),0)*0.98</f>
        <v>0</v>
      </c>
      <c r="Q291" s="5">
        <v>0</v>
      </c>
      <c r="R291" s="5">
        <v>15</v>
      </c>
      <c r="S291" s="5" t="str">
        <f t="shared" si="63"/>
        <v>UC_IMOPH_LPG</v>
      </c>
      <c r="V291" s="4" t="str">
        <f t="shared" si="64"/>
        <v>S_IMOPHLPG</v>
      </c>
      <c r="W291" s="4" t="str">
        <f t="shared" si="65"/>
        <v>IMOPH_LPG</v>
      </c>
      <c r="X291" s="4" t="str">
        <f t="shared" si="66"/>
        <v>IMOPRH</v>
      </c>
      <c r="Y291" s="5" t="str">
        <f t="shared" si="67"/>
        <v>LO</v>
      </c>
      <c r="Z291" s="5">
        <v>1</v>
      </c>
      <c r="AA291" s="6">
        <f t="shared" si="68"/>
        <v>0</v>
      </c>
      <c r="AB291" s="6">
        <f t="shared" si="69"/>
        <v>0</v>
      </c>
      <c r="AC291" s="6">
        <f t="shared" si="70"/>
        <v>0</v>
      </c>
      <c r="AD291" s="6">
        <f t="shared" si="71"/>
        <v>0</v>
      </c>
      <c r="AE291" s="6">
        <f t="shared" si="72"/>
        <v>0</v>
      </c>
      <c r="AF291" s="6">
        <f t="shared" si="73"/>
        <v>0</v>
      </c>
      <c r="AG291" s="6">
        <f t="shared" si="74"/>
        <v>0</v>
      </c>
      <c r="AH291" s="6">
        <f t="shared" si="75"/>
        <v>0</v>
      </c>
      <c r="AI291" s="6">
        <f t="shared" si="76"/>
        <v>0</v>
      </c>
      <c r="AL291" s="5" t="str">
        <f t="shared" si="77"/>
        <v>LPG</v>
      </c>
      <c r="AM291" s="5">
        <f>1</f>
        <v>1</v>
      </c>
    </row>
    <row r="292" spans="1:39" s="5" customFormat="1" x14ac:dyDescent="0.3">
      <c r="C292" s="4" t="s">
        <v>597</v>
      </c>
      <c r="D292" s="5" t="s">
        <v>598</v>
      </c>
      <c r="E292" s="5" t="s">
        <v>751</v>
      </c>
      <c r="F292" s="5" t="s">
        <v>1588</v>
      </c>
      <c r="G292" s="5">
        <v>1</v>
      </c>
      <c r="H292" s="6">
        <f>IF(SUMIFS('Industrial Summary'!$G:$G,'Industrial Summary'!$F:$F,H$17,'Industrial Summary'!$D:$D,$E292)&gt;0,(-SUMIFS('Industrial Summary'!$G:$G,'Industrial Summary'!$F:$F,H$17,'Industrial Summary'!$D:$D,$E292,'Industrial Summary'!$A:$A,"ELC")/SUMIFS('Industrial Summary'!$G:$G,'Industrial Summary'!$F:$F,H$17,'Industrial Summary'!$D:$D,$E292)),0)*0.98</f>
        <v>-0.84807270832562165</v>
      </c>
      <c r="I292" s="6">
        <f>IF(SUMIFS('Industrial Summary'!$G:$G,'Industrial Summary'!$F:$F,I$17,'Industrial Summary'!$D:$D,$E292)&gt;0,(-SUMIFS('Industrial Summary'!$G:$G,'Industrial Summary'!$F:$F,I$17,'Industrial Summary'!$D:$D,$E292,'Industrial Summary'!$A:$A,"ELC")/SUMIFS('Industrial Summary'!$G:$G,'Industrial Summary'!$F:$F,I$17,'Industrial Summary'!$D:$D,$E292)),0)*0.98</f>
        <v>-0.98</v>
      </c>
      <c r="J292" s="6">
        <f>IF(SUMIFS('Industrial Summary'!$G:$G,'Industrial Summary'!$F:$F,J$17,'Industrial Summary'!$D:$D,$E292)&gt;0,(-SUMIFS('Industrial Summary'!$G:$G,'Industrial Summary'!$F:$F,J$17,'Industrial Summary'!$D:$D,$E292,'Industrial Summary'!$A:$A,"ELC")/SUMIFS('Industrial Summary'!$G:$G,'Industrial Summary'!$F:$F,J$17,'Industrial Summary'!$D:$D,$E292)),0)*0.98</f>
        <v>-0.98</v>
      </c>
      <c r="K292" s="6">
        <f>IF(SUMIFS('Industrial Summary'!$G:$G,'Industrial Summary'!$F:$F,K$17,'Industrial Summary'!$D:$D,$E292)&gt;0,(-SUMIFS('Industrial Summary'!$G:$G,'Industrial Summary'!$F:$F,K$17,'Industrial Summary'!$D:$D,$E292,'Industrial Summary'!$A:$A,"ELC")/SUMIFS('Industrial Summary'!$G:$G,'Industrial Summary'!$F:$F,K$17,'Industrial Summary'!$D:$D,$E292)),0)*0.98</f>
        <v>-0.98</v>
      </c>
      <c r="L292" s="6">
        <f>IF(SUMIFS('Industrial Summary'!$G:$G,'Industrial Summary'!$F:$F,L$17,'Industrial Summary'!$D:$D,$E292)&gt;0,(-SUMIFS('Industrial Summary'!$G:$G,'Industrial Summary'!$F:$F,L$17,'Industrial Summary'!$D:$D,$E292,'Industrial Summary'!$A:$A,"ELC")/SUMIFS('Industrial Summary'!$G:$G,'Industrial Summary'!$F:$F,L$17,'Industrial Summary'!$D:$D,$E292)),0)*0.98</f>
        <v>-0.98</v>
      </c>
      <c r="M292" s="6">
        <f>IF(SUMIFS('Industrial Summary'!$G:$G,'Industrial Summary'!$F:$F,M$17,'Industrial Summary'!$D:$D,$E292)&gt;0,(-SUMIFS('Industrial Summary'!$G:$G,'Industrial Summary'!$F:$F,M$17,'Industrial Summary'!$D:$D,$E292,'Industrial Summary'!$A:$A,"ELC")/SUMIFS('Industrial Summary'!$G:$G,'Industrial Summary'!$F:$F,M$17,'Industrial Summary'!$D:$D,$E292)),0)*0.98</f>
        <v>-0.98</v>
      </c>
      <c r="N292" s="6">
        <f>IF(SUMIFS('Industrial Summary'!$G:$G,'Industrial Summary'!$F:$F,N$17,'Industrial Summary'!$D:$D,$E292)&gt;0,(-SUMIFS('Industrial Summary'!$G:$G,'Industrial Summary'!$F:$F,N$17,'Industrial Summary'!$D:$D,$E292,'Industrial Summary'!$A:$A,"ELC")/SUMIFS('Industrial Summary'!$G:$G,'Industrial Summary'!$F:$F,N$17,'Industrial Summary'!$D:$D,$E292)),0)*0.98</f>
        <v>-0.98</v>
      </c>
      <c r="O292" s="6">
        <f>IF(SUMIFS('Industrial Summary'!$G:$G,'Industrial Summary'!$F:$F,O$17,'Industrial Summary'!$D:$D,$E292)&gt;0,(-SUMIFS('Industrial Summary'!$G:$G,'Industrial Summary'!$F:$F,O$17,'Industrial Summary'!$D:$D,$E292,'Industrial Summary'!$A:$A,"ELC")/SUMIFS('Industrial Summary'!$G:$G,'Industrial Summary'!$F:$F,O$17,'Industrial Summary'!$D:$D,$E292)),0)*0.98</f>
        <v>-0.98</v>
      </c>
      <c r="P292" s="6">
        <f>IF(SUMIFS('Industrial Summary'!$G:$G,'Industrial Summary'!$F:$F,P$17,'Industrial Summary'!$D:$D,$E292)&gt;0,(-SUMIFS('Industrial Summary'!$G:$G,'Industrial Summary'!$F:$F,P$17,'Industrial Summary'!$D:$D,$E292,'Industrial Summary'!$A:$A,"ELC")/SUMIFS('Industrial Summary'!$G:$G,'Industrial Summary'!$F:$F,P$17,'Industrial Summary'!$D:$D,$E292)),0)*0.98</f>
        <v>-0.89760294055845169</v>
      </c>
      <c r="Q292" s="5">
        <v>0</v>
      </c>
      <c r="R292" s="5">
        <v>15</v>
      </c>
      <c r="S292" s="5" t="str">
        <f t="shared" si="63"/>
        <v>UC_IMOMD_ELC</v>
      </c>
      <c r="V292" s="4" t="str">
        <f t="shared" si="64"/>
        <v>S_IMOMDELC</v>
      </c>
      <c r="W292" s="4" t="str">
        <f t="shared" si="65"/>
        <v>IMOMD_ELC</v>
      </c>
      <c r="X292" s="4" t="str">
        <f t="shared" si="66"/>
        <v>IMOMDR</v>
      </c>
      <c r="Y292" s="5" t="str">
        <f t="shared" si="67"/>
        <v>LO</v>
      </c>
      <c r="Z292" s="5">
        <v>1</v>
      </c>
      <c r="AA292" s="6">
        <f t="shared" si="68"/>
        <v>-0.84807270832562165</v>
      </c>
      <c r="AB292" s="6">
        <f t="shared" si="69"/>
        <v>-0.98</v>
      </c>
      <c r="AC292" s="6">
        <f t="shared" si="70"/>
        <v>-0.98</v>
      </c>
      <c r="AD292" s="6">
        <f t="shared" si="71"/>
        <v>-0.98</v>
      </c>
      <c r="AE292" s="6">
        <f t="shared" si="72"/>
        <v>-0.98</v>
      </c>
      <c r="AF292" s="6">
        <f t="shared" si="73"/>
        <v>-0.98</v>
      </c>
      <c r="AG292" s="6">
        <f t="shared" si="74"/>
        <v>-0.98</v>
      </c>
      <c r="AH292" s="6">
        <f t="shared" si="75"/>
        <v>-0.98</v>
      </c>
      <c r="AI292" s="6">
        <f t="shared" si="76"/>
        <v>-0.89760294055845169</v>
      </c>
      <c r="AL292" s="5" t="str">
        <f t="shared" si="77"/>
        <v>ELC</v>
      </c>
      <c r="AM292" s="5">
        <f>1</f>
        <v>1</v>
      </c>
    </row>
    <row r="293" spans="1:39" s="5" customFormat="1" x14ac:dyDescent="0.3">
      <c r="C293" s="4" t="s">
        <v>599</v>
      </c>
      <c r="D293" s="5" t="s">
        <v>600</v>
      </c>
      <c r="E293" s="5" t="s">
        <v>751</v>
      </c>
      <c r="F293" s="5" t="s">
        <v>1588</v>
      </c>
      <c r="G293" s="5">
        <v>1</v>
      </c>
      <c r="H293" s="6">
        <f>IF(SUMIFS('Industrial Summary'!$G:$G,'Industrial Summary'!$F:$F,H$17,'Industrial Summary'!$D:$D,$E293)&gt;0,(-SUMIFS('Industrial Summary'!$G:$G,'Industrial Summary'!$F:$F,H$17,'Industrial Summary'!$D:$D,$E293,'Industrial Summary'!$A:$A,"DST")/SUMIFS('Industrial Summary'!$G:$G,'Industrial Summary'!$F:$F,H$17,'Industrial Summary'!$D:$D,$E293)),0)*0.98</f>
        <v>-4.1827601205323348E-2</v>
      </c>
      <c r="I293" s="6">
        <f>IF(SUMIFS('Industrial Summary'!$G:$G,'Industrial Summary'!$F:$F,I$17,'Industrial Summary'!$D:$D,$E293)&gt;0,(-SUMIFS('Industrial Summary'!$G:$G,'Industrial Summary'!$F:$F,I$17,'Industrial Summary'!$D:$D,$E293,'Industrial Summary'!$A:$A,"DST")/SUMIFS('Industrial Summary'!$G:$G,'Industrial Summary'!$F:$F,I$17,'Industrial Summary'!$D:$D,$E293)),0)*0.98</f>
        <v>0</v>
      </c>
      <c r="J293" s="6">
        <f>IF(SUMIFS('Industrial Summary'!$G:$G,'Industrial Summary'!$F:$F,J$17,'Industrial Summary'!$D:$D,$E293)&gt;0,(-SUMIFS('Industrial Summary'!$G:$G,'Industrial Summary'!$F:$F,J$17,'Industrial Summary'!$D:$D,$E293,'Industrial Summary'!$A:$A,"DST")/SUMIFS('Industrial Summary'!$G:$G,'Industrial Summary'!$F:$F,J$17,'Industrial Summary'!$D:$D,$E293)),0)*0.98</f>
        <v>0</v>
      </c>
      <c r="K293" s="6">
        <f>IF(SUMIFS('Industrial Summary'!$G:$G,'Industrial Summary'!$F:$F,K$17,'Industrial Summary'!$D:$D,$E293)&gt;0,(-SUMIFS('Industrial Summary'!$G:$G,'Industrial Summary'!$F:$F,K$17,'Industrial Summary'!$D:$D,$E293,'Industrial Summary'!$A:$A,"DST")/SUMIFS('Industrial Summary'!$G:$G,'Industrial Summary'!$F:$F,K$17,'Industrial Summary'!$D:$D,$E293)),0)*0.98</f>
        <v>0</v>
      </c>
      <c r="L293" s="6">
        <f>IF(SUMIFS('Industrial Summary'!$G:$G,'Industrial Summary'!$F:$F,L$17,'Industrial Summary'!$D:$D,$E293)&gt;0,(-SUMIFS('Industrial Summary'!$G:$G,'Industrial Summary'!$F:$F,L$17,'Industrial Summary'!$D:$D,$E293,'Industrial Summary'!$A:$A,"DST")/SUMIFS('Industrial Summary'!$G:$G,'Industrial Summary'!$F:$F,L$17,'Industrial Summary'!$D:$D,$E293)),0)*0.98</f>
        <v>0</v>
      </c>
      <c r="M293" s="6">
        <f>IF(SUMIFS('Industrial Summary'!$G:$G,'Industrial Summary'!$F:$F,M$17,'Industrial Summary'!$D:$D,$E293)&gt;0,(-SUMIFS('Industrial Summary'!$G:$G,'Industrial Summary'!$F:$F,M$17,'Industrial Summary'!$D:$D,$E293,'Industrial Summary'!$A:$A,"DST")/SUMIFS('Industrial Summary'!$G:$G,'Industrial Summary'!$F:$F,M$17,'Industrial Summary'!$D:$D,$E293)),0)*0.98</f>
        <v>0</v>
      </c>
      <c r="N293" s="6">
        <f>IF(SUMIFS('Industrial Summary'!$G:$G,'Industrial Summary'!$F:$F,N$17,'Industrial Summary'!$D:$D,$E293)&gt;0,(-SUMIFS('Industrial Summary'!$G:$G,'Industrial Summary'!$F:$F,N$17,'Industrial Summary'!$D:$D,$E293,'Industrial Summary'!$A:$A,"DST")/SUMIFS('Industrial Summary'!$G:$G,'Industrial Summary'!$F:$F,N$17,'Industrial Summary'!$D:$D,$E293)),0)*0.98</f>
        <v>0</v>
      </c>
      <c r="O293" s="6">
        <f>IF(SUMIFS('Industrial Summary'!$G:$G,'Industrial Summary'!$F:$F,O$17,'Industrial Summary'!$D:$D,$E293)&gt;0,(-SUMIFS('Industrial Summary'!$G:$G,'Industrial Summary'!$F:$F,O$17,'Industrial Summary'!$D:$D,$E293,'Industrial Summary'!$A:$A,"DST")/SUMIFS('Industrial Summary'!$G:$G,'Industrial Summary'!$F:$F,O$17,'Industrial Summary'!$D:$D,$E293)),0)*0.98</f>
        <v>0</v>
      </c>
      <c r="P293" s="6">
        <f>IF(SUMIFS('Industrial Summary'!$G:$G,'Industrial Summary'!$F:$F,P$17,'Industrial Summary'!$D:$D,$E293)&gt;0,(-SUMIFS('Industrial Summary'!$G:$G,'Industrial Summary'!$F:$F,P$17,'Industrial Summary'!$D:$D,$E293,'Industrial Summary'!$A:$A,"DST")/SUMIFS('Industrial Summary'!$G:$G,'Industrial Summary'!$F:$F,P$17,'Industrial Summary'!$D:$D,$E293)),0)*0.98</f>
        <v>0</v>
      </c>
      <c r="Q293" s="5">
        <v>0</v>
      </c>
      <c r="R293" s="5">
        <v>15</v>
      </c>
      <c r="S293" s="5" t="str">
        <f t="shared" si="63"/>
        <v>UC_IMOMD_DST</v>
      </c>
      <c r="V293" s="4" t="str">
        <f t="shared" si="64"/>
        <v>S_IMOMDDST</v>
      </c>
      <c r="W293" s="4" t="str">
        <f t="shared" si="65"/>
        <v>IMOMD_DST</v>
      </c>
      <c r="X293" s="4" t="str">
        <f t="shared" si="66"/>
        <v>IMOMDR</v>
      </c>
      <c r="Y293" s="5" t="str">
        <f t="shared" si="67"/>
        <v>LO</v>
      </c>
      <c r="Z293" s="5">
        <v>1</v>
      </c>
      <c r="AA293" s="6">
        <f t="shared" si="68"/>
        <v>-4.1827601205323348E-2</v>
      </c>
      <c r="AB293" s="6">
        <f t="shared" si="69"/>
        <v>0</v>
      </c>
      <c r="AC293" s="6">
        <f t="shared" si="70"/>
        <v>0</v>
      </c>
      <c r="AD293" s="6">
        <f t="shared" si="71"/>
        <v>0</v>
      </c>
      <c r="AE293" s="6">
        <f t="shared" si="72"/>
        <v>0</v>
      </c>
      <c r="AF293" s="6">
        <f t="shared" si="73"/>
        <v>0</v>
      </c>
      <c r="AG293" s="6">
        <f t="shared" si="74"/>
        <v>0</v>
      </c>
      <c r="AH293" s="6">
        <f t="shared" si="75"/>
        <v>0</v>
      </c>
      <c r="AI293" s="6">
        <f t="shared" si="76"/>
        <v>0</v>
      </c>
      <c r="AL293" s="5" t="str">
        <f t="shared" si="77"/>
        <v>DST</v>
      </c>
      <c r="AM293" s="5">
        <f>1</f>
        <v>1</v>
      </c>
    </row>
    <row r="294" spans="1:39" s="5" customFormat="1" x14ac:dyDescent="0.3">
      <c r="A294" s="8"/>
      <c r="C294" s="4" t="s">
        <v>601</v>
      </c>
      <c r="D294" s="5" t="s">
        <v>602</v>
      </c>
      <c r="E294" s="5" t="s">
        <v>751</v>
      </c>
      <c r="F294" s="5" t="s">
        <v>1588</v>
      </c>
      <c r="G294" s="5">
        <v>1</v>
      </c>
      <c r="H294" s="6">
        <f>IF(SUMIFS('Industrial Summary'!$G:$G,'Industrial Summary'!$F:$F,H$17,'Industrial Summary'!$D:$D,$E294)&gt;0,(-SUMIFS('Industrial Summary'!$G:$G,'Industrial Summary'!$F:$F,H$17,'Industrial Summary'!$D:$D,$E294,'Industrial Summary'!$A:$A,"NGA")/SUMIFS('Industrial Summary'!$G:$G,'Industrial Summary'!$F:$F,H$17,'Industrial Summary'!$D:$D,$E294)),0)*0.98</f>
        <v>-9.0099690469054999E-2</v>
      </c>
      <c r="I294" s="6">
        <f>IF(SUMIFS('Industrial Summary'!$G:$G,'Industrial Summary'!$F:$F,I$17,'Industrial Summary'!$D:$D,$E294)&gt;0,(-SUMIFS('Industrial Summary'!$G:$G,'Industrial Summary'!$F:$F,I$17,'Industrial Summary'!$D:$D,$E294,'Industrial Summary'!$A:$A,"NGA")/SUMIFS('Industrial Summary'!$G:$G,'Industrial Summary'!$F:$F,I$17,'Industrial Summary'!$D:$D,$E294)),0)*0.98</f>
        <v>0</v>
      </c>
      <c r="J294" s="6">
        <f>IF(SUMIFS('Industrial Summary'!$G:$G,'Industrial Summary'!$F:$F,J$17,'Industrial Summary'!$D:$D,$E294)&gt;0,(-SUMIFS('Industrial Summary'!$G:$G,'Industrial Summary'!$F:$F,J$17,'Industrial Summary'!$D:$D,$E294,'Industrial Summary'!$A:$A,"NGA")/SUMIFS('Industrial Summary'!$G:$G,'Industrial Summary'!$F:$F,J$17,'Industrial Summary'!$D:$D,$E294)),0)*0.98</f>
        <v>0</v>
      </c>
      <c r="K294" s="6">
        <f>IF(SUMIFS('Industrial Summary'!$G:$G,'Industrial Summary'!$F:$F,K$17,'Industrial Summary'!$D:$D,$E294)&gt;0,(-SUMIFS('Industrial Summary'!$G:$G,'Industrial Summary'!$F:$F,K$17,'Industrial Summary'!$D:$D,$E294,'Industrial Summary'!$A:$A,"NGA")/SUMIFS('Industrial Summary'!$G:$G,'Industrial Summary'!$F:$F,K$17,'Industrial Summary'!$D:$D,$E294)),0)*0.98</f>
        <v>0</v>
      </c>
      <c r="L294" s="6">
        <f>IF(SUMIFS('Industrial Summary'!$G:$G,'Industrial Summary'!$F:$F,L$17,'Industrial Summary'!$D:$D,$E294)&gt;0,(-SUMIFS('Industrial Summary'!$G:$G,'Industrial Summary'!$F:$F,L$17,'Industrial Summary'!$D:$D,$E294,'Industrial Summary'!$A:$A,"NGA")/SUMIFS('Industrial Summary'!$G:$G,'Industrial Summary'!$F:$F,L$17,'Industrial Summary'!$D:$D,$E294)),0)*0.98</f>
        <v>0</v>
      </c>
      <c r="M294" s="6">
        <f>IF(SUMIFS('Industrial Summary'!$G:$G,'Industrial Summary'!$F:$F,M$17,'Industrial Summary'!$D:$D,$E294)&gt;0,(-SUMIFS('Industrial Summary'!$G:$G,'Industrial Summary'!$F:$F,M$17,'Industrial Summary'!$D:$D,$E294,'Industrial Summary'!$A:$A,"NGA")/SUMIFS('Industrial Summary'!$G:$G,'Industrial Summary'!$F:$F,M$17,'Industrial Summary'!$D:$D,$E294)),0)*0.98</f>
        <v>0</v>
      </c>
      <c r="N294" s="6">
        <f>IF(SUMIFS('Industrial Summary'!$G:$G,'Industrial Summary'!$F:$F,N$17,'Industrial Summary'!$D:$D,$E294)&gt;0,(-SUMIFS('Industrial Summary'!$G:$G,'Industrial Summary'!$F:$F,N$17,'Industrial Summary'!$D:$D,$E294,'Industrial Summary'!$A:$A,"NGA")/SUMIFS('Industrial Summary'!$G:$G,'Industrial Summary'!$F:$F,N$17,'Industrial Summary'!$D:$D,$E294)),0)*0.98</f>
        <v>0</v>
      </c>
      <c r="O294" s="6">
        <f>IF(SUMIFS('Industrial Summary'!$G:$G,'Industrial Summary'!$F:$F,O$17,'Industrial Summary'!$D:$D,$E294)&gt;0,(-SUMIFS('Industrial Summary'!$G:$G,'Industrial Summary'!$F:$F,O$17,'Industrial Summary'!$D:$D,$E294,'Industrial Summary'!$A:$A,"NGA")/SUMIFS('Industrial Summary'!$G:$G,'Industrial Summary'!$F:$F,O$17,'Industrial Summary'!$D:$D,$E294)),0)*0.98</f>
        <v>0</v>
      </c>
      <c r="P294" s="6">
        <f>IF(SUMIFS('Industrial Summary'!$G:$G,'Industrial Summary'!$F:$F,P$17,'Industrial Summary'!$D:$D,$E294)&gt;0,(-SUMIFS('Industrial Summary'!$G:$G,'Industrial Summary'!$F:$F,P$17,'Industrial Summary'!$D:$D,$E294,'Industrial Summary'!$A:$A,"NGA")/SUMIFS('Industrial Summary'!$G:$G,'Industrial Summary'!$F:$F,P$17,'Industrial Summary'!$D:$D,$E294)),0)*0.98</f>
        <v>-8.2397059441548293E-2</v>
      </c>
      <c r="Q294" s="5">
        <v>0</v>
      </c>
      <c r="R294" s="5">
        <v>15</v>
      </c>
      <c r="S294" s="5" t="str">
        <f t="shared" si="63"/>
        <v>UC_IMOMD_NGA</v>
      </c>
      <c r="V294" s="4" t="str">
        <f t="shared" si="64"/>
        <v>S_IMOMDNGA</v>
      </c>
      <c r="W294" s="4" t="str">
        <f t="shared" si="65"/>
        <v>IMOMD_NGA</v>
      </c>
      <c r="X294" s="4" t="str">
        <f t="shared" si="66"/>
        <v>IMOMDR</v>
      </c>
      <c r="Y294" s="5" t="str">
        <f t="shared" si="67"/>
        <v>LO</v>
      </c>
      <c r="Z294" s="5">
        <v>1</v>
      </c>
      <c r="AA294" s="6">
        <f t="shared" si="68"/>
        <v>-7.9287727612768394E-2</v>
      </c>
      <c r="AB294" s="6">
        <f t="shared" si="69"/>
        <v>0</v>
      </c>
      <c r="AC294" s="6">
        <f t="shared" si="70"/>
        <v>0</v>
      </c>
      <c r="AD294" s="6">
        <f t="shared" si="71"/>
        <v>0</v>
      </c>
      <c r="AE294" s="6">
        <f t="shared" si="72"/>
        <v>0</v>
      </c>
      <c r="AF294" s="6">
        <f t="shared" si="73"/>
        <v>0</v>
      </c>
      <c r="AG294" s="6">
        <f t="shared" si="74"/>
        <v>0</v>
      </c>
      <c r="AH294" s="6">
        <f t="shared" si="75"/>
        <v>0</v>
      </c>
      <c r="AI294" s="6">
        <f t="shared" si="76"/>
        <v>-7.2509412308562504E-2</v>
      </c>
      <c r="AL294" s="5" t="str">
        <f t="shared" si="77"/>
        <v>NGA</v>
      </c>
      <c r="AM294" s="5">
        <f>Y9</f>
        <v>0.88</v>
      </c>
    </row>
    <row r="295" spans="1:39" s="5" customFormat="1" x14ac:dyDescent="0.3">
      <c r="C295" s="4" t="s">
        <v>603</v>
      </c>
      <c r="D295" s="5" t="s">
        <v>604</v>
      </c>
      <c r="E295" s="5" t="s">
        <v>737</v>
      </c>
      <c r="F295" s="5" t="s">
        <v>1588</v>
      </c>
      <c r="G295" s="5">
        <v>1</v>
      </c>
      <c r="H295" s="6">
        <f>IF(SUMIFS('Industrial Summary'!$G:$G,'Industrial Summary'!$F:$F,H$17,'Industrial Summary'!$D:$D,$E295)&gt;0,(-SUMIFS('Industrial Summary'!$G:$G,'Industrial Summary'!$F:$F,H$17,'Industrial Summary'!$D:$D,$E295,'Industrial Summary'!$A:$A,"ELC")/SUMIFS('Industrial Summary'!$G:$G,'Industrial Summary'!$F:$F,H$17,'Industrial Summary'!$D:$D,$E295)),0)*0.98</f>
        <v>-0.17375264558222875</v>
      </c>
      <c r="I295" s="6">
        <f>IF(SUMIFS('Industrial Summary'!$G:$G,'Industrial Summary'!$F:$F,I$17,'Industrial Summary'!$D:$D,$E295)&gt;0,(-SUMIFS('Industrial Summary'!$G:$G,'Industrial Summary'!$F:$F,I$17,'Industrial Summary'!$D:$D,$E295,'Industrial Summary'!$A:$A,"ELC")/SUMIFS('Industrial Summary'!$G:$G,'Industrial Summary'!$F:$F,I$17,'Industrial Summary'!$D:$D,$E295)),0)*0.98</f>
        <v>-0.43540666129922434</v>
      </c>
      <c r="J295" s="6">
        <f>IF(SUMIFS('Industrial Summary'!$G:$G,'Industrial Summary'!$F:$F,J$17,'Industrial Summary'!$D:$D,$E295)&gt;0,(-SUMIFS('Industrial Summary'!$G:$G,'Industrial Summary'!$F:$F,J$17,'Industrial Summary'!$D:$D,$E295,'Industrial Summary'!$A:$A,"ELC")/SUMIFS('Industrial Summary'!$G:$G,'Industrial Summary'!$F:$F,J$17,'Industrial Summary'!$D:$D,$E295)),0)*0.98</f>
        <v>-0.50372350687258538</v>
      </c>
      <c r="K295" s="6">
        <f>IF(SUMIFS('Industrial Summary'!$G:$G,'Industrial Summary'!$F:$F,K$17,'Industrial Summary'!$D:$D,$E295)&gt;0,(-SUMIFS('Industrial Summary'!$G:$G,'Industrial Summary'!$F:$F,K$17,'Industrial Summary'!$D:$D,$E295,'Industrial Summary'!$A:$A,"ELC")/SUMIFS('Industrial Summary'!$G:$G,'Industrial Summary'!$F:$F,K$17,'Industrial Summary'!$D:$D,$E295)),0)*0.98</f>
        <v>-0.50087476603039138</v>
      </c>
      <c r="L295" s="6">
        <f>IF(SUMIFS('Industrial Summary'!$G:$G,'Industrial Summary'!$F:$F,L$17,'Industrial Summary'!$D:$D,$E295)&gt;0,(-SUMIFS('Industrial Summary'!$G:$G,'Industrial Summary'!$F:$F,L$17,'Industrial Summary'!$D:$D,$E295,'Industrial Summary'!$A:$A,"ELC")/SUMIFS('Industrial Summary'!$G:$G,'Industrial Summary'!$F:$F,L$17,'Industrial Summary'!$D:$D,$E295)),0)*0.98</f>
        <v>-0.53905535720040998</v>
      </c>
      <c r="M295" s="6">
        <f>IF(SUMIFS('Industrial Summary'!$G:$G,'Industrial Summary'!$F:$F,M$17,'Industrial Summary'!$D:$D,$E295)&gt;0,(-SUMIFS('Industrial Summary'!$G:$G,'Industrial Summary'!$F:$F,M$17,'Industrial Summary'!$D:$D,$E295,'Industrial Summary'!$A:$A,"ELC")/SUMIFS('Industrial Summary'!$G:$G,'Industrial Summary'!$F:$F,M$17,'Industrial Summary'!$D:$D,$E295)),0)*0.98</f>
        <v>-0.53905535720040643</v>
      </c>
      <c r="N295" s="6">
        <f>IF(SUMIFS('Industrial Summary'!$G:$G,'Industrial Summary'!$F:$F,N$17,'Industrial Summary'!$D:$D,$E295)&gt;0,(-SUMIFS('Industrial Summary'!$G:$G,'Industrial Summary'!$F:$F,N$17,'Industrial Summary'!$D:$D,$E295,'Industrial Summary'!$A:$A,"ELC")/SUMIFS('Industrial Summary'!$G:$G,'Industrial Summary'!$F:$F,N$17,'Industrial Summary'!$D:$D,$E295)),0)*0.98</f>
        <v>-0.60643727685046056</v>
      </c>
      <c r="O295" s="6">
        <f>IF(SUMIFS('Industrial Summary'!$G:$G,'Industrial Summary'!$F:$F,O$17,'Industrial Summary'!$D:$D,$E295)&gt;0,(-SUMIFS('Industrial Summary'!$G:$G,'Industrial Summary'!$F:$F,O$17,'Industrial Summary'!$D:$D,$E295,'Industrial Summary'!$A:$A,"ELC")/SUMIFS('Industrial Summary'!$G:$G,'Industrial Summary'!$F:$F,O$17,'Industrial Summary'!$D:$D,$E295)),0)*0.98</f>
        <v>-0.4570269189479661</v>
      </c>
      <c r="P295" s="6">
        <f>IF(SUMIFS('Industrial Summary'!$G:$G,'Industrial Summary'!$F:$F,P$17,'Industrial Summary'!$D:$D,$E295)&gt;0,(-SUMIFS('Industrial Summary'!$G:$G,'Industrial Summary'!$F:$F,P$17,'Industrial Summary'!$D:$D,$E295,'Industrial Summary'!$A:$A,"ELC")/SUMIFS('Industrial Summary'!$G:$G,'Industrial Summary'!$F:$F,P$17,'Industrial Summary'!$D:$D,$E295)),0)*0.98</f>
        <v>-0.29735726128707884</v>
      </c>
      <c r="Q295" s="5">
        <v>0</v>
      </c>
      <c r="R295" s="5">
        <v>15</v>
      </c>
      <c r="S295" s="5" t="str">
        <f t="shared" si="63"/>
        <v>UC_IMOFA_ELC</v>
      </c>
      <c r="V295" s="4" t="str">
        <f t="shared" si="64"/>
        <v>S_IMOFAELC</v>
      </c>
      <c r="W295" s="4" t="str">
        <f t="shared" si="65"/>
        <v>IMOFA_ELC</v>
      </c>
      <c r="X295" s="4" t="str">
        <f t="shared" si="66"/>
        <v>IMOFAC</v>
      </c>
      <c r="Y295" s="5" t="str">
        <f t="shared" si="67"/>
        <v>LO</v>
      </c>
      <c r="Z295" s="5">
        <v>1</v>
      </c>
      <c r="AA295" s="6">
        <f t="shared" si="68"/>
        <v>-0.17375264558222875</v>
      </c>
      <c r="AB295" s="6">
        <f t="shared" si="69"/>
        <v>-0.43540666129922434</v>
      </c>
      <c r="AC295" s="6">
        <f t="shared" si="70"/>
        <v>-0.50372350687258538</v>
      </c>
      <c r="AD295" s="6">
        <f t="shared" si="71"/>
        <v>-0.50087476603039138</v>
      </c>
      <c r="AE295" s="6">
        <f t="shared" si="72"/>
        <v>-0.53905535720040998</v>
      </c>
      <c r="AF295" s="6">
        <f t="shared" si="73"/>
        <v>-0.53905535720040643</v>
      </c>
      <c r="AG295" s="6">
        <f t="shared" si="74"/>
        <v>-0.60643727685046056</v>
      </c>
      <c r="AH295" s="6">
        <f t="shared" si="75"/>
        <v>-0.4570269189479661</v>
      </c>
      <c r="AI295" s="6">
        <f t="shared" si="76"/>
        <v>-0.29735726128707884</v>
      </c>
      <c r="AL295" s="5" t="str">
        <f t="shared" si="77"/>
        <v>ELC</v>
      </c>
      <c r="AM295" s="5">
        <f>1</f>
        <v>1</v>
      </c>
    </row>
    <row r="296" spans="1:39" s="5" customFormat="1" x14ac:dyDescent="0.3">
      <c r="C296" s="4" t="s">
        <v>605</v>
      </c>
      <c r="D296" s="5" t="s">
        <v>606</v>
      </c>
      <c r="E296" s="5" t="s">
        <v>737</v>
      </c>
      <c r="F296" s="5" t="s">
        <v>1588</v>
      </c>
      <c r="G296" s="5">
        <v>1</v>
      </c>
      <c r="H296" s="6">
        <f>IF(SUMIFS('Industrial Summary'!$G:$G,'Industrial Summary'!$F:$F,H$17,'Industrial Summary'!$D:$D,$E296)&gt;0,(-SUMIFS('Industrial Summary'!$G:$G,'Industrial Summary'!$F:$F,H$17,'Industrial Summary'!$D:$D,$E296,'Industrial Summary'!$A:$A,"DST")/SUMIFS('Industrial Summary'!$G:$G,'Industrial Summary'!$F:$F,H$17,'Industrial Summary'!$D:$D,$E296)),0)*0.98</f>
        <v>-7.2166725958291558E-2</v>
      </c>
      <c r="I296" s="6">
        <f>IF(SUMIFS('Industrial Summary'!$G:$G,'Industrial Summary'!$F:$F,I$17,'Industrial Summary'!$D:$D,$E296)&gt;0,(-SUMIFS('Industrial Summary'!$G:$G,'Industrial Summary'!$F:$F,I$17,'Industrial Summary'!$D:$D,$E296,'Industrial Summary'!$A:$A,"DST")/SUMIFS('Industrial Summary'!$G:$G,'Industrial Summary'!$F:$F,I$17,'Industrial Summary'!$D:$D,$E296)),0)*0.98</f>
        <v>0</v>
      </c>
      <c r="J296" s="6">
        <f>IF(SUMIFS('Industrial Summary'!$G:$G,'Industrial Summary'!$F:$F,J$17,'Industrial Summary'!$D:$D,$E296)&gt;0,(-SUMIFS('Industrial Summary'!$G:$G,'Industrial Summary'!$F:$F,J$17,'Industrial Summary'!$D:$D,$E296,'Industrial Summary'!$A:$A,"DST")/SUMIFS('Industrial Summary'!$G:$G,'Industrial Summary'!$F:$F,J$17,'Industrial Summary'!$D:$D,$E296)),0)*0.98</f>
        <v>0</v>
      </c>
      <c r="K296" s="6">
        <f>IF(SUMIFS('Industrial Summary'!$G:$G,'Industrial Summary'!$F:$F,K$17,'Industrial Summary'!$D:$D,$E296)&gt;0,(-SUMIFS('Industrial Summary'!$G:$G,'Industrial Summary'!$F:$F,K$17,'Industrial Summary'!$D:$D,$E296,'Industrial Summary'!$A:$A,"DST")/SUMIFS('Industrial Summary'!$G:$G,'Industrial Summary'!$F:$F,K$17,'Industrial Summary'!$D:$D,$E296)),0)*0.98</f>
        <v>0</v>
      </c>
      <c r="L296" s="6">
        <f>IF(SUMIFS('Industrial Summary'!$G:$G,'Industrial Summary'!$F:$F,L$17,'Industrial Summary'!$D:$D,$E296)&gt;0,(-SUMIFS('Industrial Summary'!$G:$G,'Industrial Summary'!$F:$F,L$17,'Industrial Summary'!$D:$D,$E296,'Industrial Summary'!$A:$A,"DST")/SUMIFS('Industrial Summary'!$G:$G,'Industrial Summary'!$F:$F,L$17,'Industrial Summary'!$D:$D,$E296)),0)*0.98</f>
        <v>0</v>
      </c>
      <c r="M296" s="6">
        <f>IF(SUMIFS('Industrial Summary'!$G:$G,'Industrial Summary'!$F:$F,M$17,'Industrial Summary'!$D:$D,$E296)&gt;0,(-SUMIFS('Industrial Summary'!$G:$G,'Industrial Summary'!$F:$F,M$17,'Industrial Summary'!$D:$D,$E296,'Industrial Summary'!$A:$A,"DST")/SUMIFS('Industrial Summary'!$G:$G,'Industrial Summary'!$F:$F,M$17,'Industrial Summary'!$D:$D,$E296)),0)*0.98</f>
        <v>0</v>
      </c>
      <c r="N296" s="6">
        <f>IF(SUMIFS('Industrial Summary'!$G:$G,'Industrial Summary'!$F:$F,N$17,'Industrial Summary'!$D:$D,$E296)&gt;0,(-SUMIFS('Industrial Summary'!$G:$G,'Industrial Summary'!$F:$F,N$17,'Industrial Summary'!$D:$D,$E296,'Industrial Summary'!$A:$A,"DST")/SUMIFS('Industrial Summary'!$G:$G,'Industrial Summary'!$F:$F,N$17,'Industrial Summary'!$D:$D,$E296)),0)*0.98</f>
        <v>0</v>
      </c>
      <c r="O296" s="6">
        <f>IF(SUMIFS('Industrial Summary'!$G:$G,'Industrial Summary'!$F:$F,O$17,'Industrial Summary'!$D:$D,$E296)&gt;0,(-SUMIFS('Industrial Summary'!$G:$G,'Industrial Summary'!$F:$F,O$17,'Industrial Summary'!$D:$D,$E296,'Industrial Summary'!$A:$A,"DST")/SUMIFS('Industrial Summary'!$G:$G,'Industrial Summary'!$F:$F,O$17,'Industrial Summary'!$D:$D,$E296)),0)*0.98</f>
        <v>0</v>
      </c>
      <c r="P296" s="6">
        <f>IF(SUMIFS('Industrial Summary'!$G:$G,'Industrial Summary'!$F:$F,P$17,'Industrial Summary'!$D:$D,$E296)&gt;0,(-SUMIFS('Industrial Summary'!$G:$G,'Industrial Summary'!$F:$F,P$17,'Industrial Summary'!$D:$D,$E296,'Industrial Summary'!$A:$A,"DST")/SUMIFS('Industrial Summary'!$G:$G,'Industrial Summary'!$F:$F,P$17,'Industrial Summary'!$D:$D,$E296)),0)*0.98</f>
        <v>0</v>
      </c>
      <c r="Q296" s="5">
        <v>0</v>
      </c>
      <c r="R296" s="5">
        <v>15</v>
      </c>
      <c r="S296" s="5" t="str">
        <f t="shared" si="63"/>
        <v>UC_IMOFA_DST</v>
      </c>
      <c r="V296" s="4" t="str">
        <f t="shared" si="64"/>
        <v>S_IMOFADST</v>
      </c>
      <c r="W296" s="4" t="str">
        <f t="shared" si="65"/>
        <v>IMOFA_DST</v>
      </c>
      <c r="X296" s="4" t="str">
        <f t="shared" si="66"/>
        <v>IMOFAC</v>
      </c>
      <c r="Y296" s="5" t="str">
        <f t="shared" si="67"/>
        <v>LO</v>
      </c>
      <c r="Z296" s="5">
        <v>1</v>
      </c>
      <c r="AA296" s="6">
        <f t="shared" si="68"/>
        <v>-7.2166725958291558E-2</v>
      </c>
      <c r="AB296" s="6">
        <f t="shared" si="69"/>
        <v>0</v>
      </c>
      <c r="AC296" s="6">
        <f t="shared" si="70"/>
        <v>0</v>
      </c>
      <c r="AD296" s="6">
        <f t="shared" si="71"/>
        <v>0</v>
      </c>
      <c r="AE296" s="6">
        <f t="shared" si="72"/>
        <v>0</v>
      </c>
      <c r="AF296" s="6">
        <f t="shared" si="73"/>
        <v>0</v>
      </c>
      <c r="AG296" s="6">
        <f t="shared" si="74"/>
        <v>0</v>
      </c>
      <c r="AH296" s="6">
        <f t="shared" si="75"/>
        <v>0</v>
      </c>
      <c r="AI296" s="6">
        <f t="shared" si="76"/>
        <v>0</v>
      </c>
      <c r="AL296" s="5" t="str">
        <f t="shared" si="77"/>
        <v>DST</v>
      </c>
      <c r="AM296" s="5">
        <f>1</f>
        <v>1</v>
      </c>
    </row>
    <row r="297" spans="1:39" s="5" customFormat="1" x14ac:dyDescent="0.3">
      <c r="C297" s="4" t="s">
        <v>607</v>
      </c>
      <c r="D297" s="5" t="s">
        <v>608</v>
      </c>
      <c r="E297" s="5" t="s">
        <v>737</v>
      </c>
      <c r="F297" s="5" t="s">
        <v>1588</v>
      </c>
      <c r="G297" s="5">
        <v>1</v>
      </c>
      <c r="H297" s="6">
        <f>IF(SUMIFS('Industrial Summary'!$G:$G,'Industrial Summary'!$F:$F,H$17,'Industrial Summary'!$D:$D,$E297)&gt;0,(-SUMIFS('Industrial Summary'!$G:$G,'Industrial Summary'!$F:$F,H$17,'Industrial Summary'!$D:$D,$E297,'Industrial Summary'!$A:$A,"NGA")/SUMIFS('Industrial Summary'!$G:$G,'Industrial Summary'!$F:$F,H$17,'Industrial Summary'!$D:$D,$E297)),0)*0.98</f>
        <v>-0.73408062845947974</v>
      </c>
      <c r="I297" s="6">
        <f>IF(SUMIFS('Industrial Summary'!$G:$G,'Industrial Summary'!$F:$F,I$17,'Industrial Summary'!$D:$D,$E297)&gt;0,(-SUMIFS('Industrial Summary'!$G:$G,'Industrial Summary'!$F:$F,I$17,'Industrial Summary'!$D:$D,$E297,'Industrial Summary'!$A:$A,"NGA")/SUMIFS('Industrial Summary'!$G:$G,'Industrial Summary'!$F:$F,I$17,'Industrial Summary'!$D:$D,$E297)),0)*0.98</f>
        <v>-0.54459333870077564</v>
      </c>
      <c r="J297" s="6">
        <f>IF(SUMIFS('Industrial Summary'!$G:$G,'Industrial Summary'!$F:$F,J$17,'Industrial Summary'!$D:$D,$E297)&gt;0,(-SUMIFS('Industrial Summary'!$G:$G,'Industrial Summary'!$F:$F,J$17,'Industrial Summary'!$D:$D,$E297,'Industrial Summary'!$A:$A,"NGA")/SUMIFS('Industrial Summary'!$G:$G,'Industrial Summary'!$F:$F,J$17,'Industrial Summary'!$D:$D,$E297)),0)*0.98</f>
        <v>-0.47627649312741471</v>
      </c>
      <c r="K297" s="6">
        <f>IF(SUMIFS('Industrial Summary'!$G:$G,'Industrial Summary'!$F:$F,K$17,'Industrial Summary'!$D:$D,$E297)&gt;0,(-SUMIFS('Industrial Summary'!$G:$G,'Industrial Summary'!$F:$F,K$17,'Industrial Summary'!$D:$D,$E297,'Industrial Summary'!$A:$A,"NGA")/SUMIFS('Industrial Summary'!$G:$G,'Industrial Summary'!$F:$F,K$17,'Industrial Summary'!$D:$D,$E297)),0)*0.98</f>
        <v>-0.4791252339696086</v>
      </c>
      <c r="L297" s="6">
        <f>IF(SUMIFS('Industrial Summary'!$G:$G,'Industrial Summary'!$F:$F,L$17,'Industrial Summary'!$D:$D,$E297)&gt;0,(-SUMIFS('Industrial Summary'!$G:$G,'Industrial Summary'!$F:$F,L$17,'Industrial Summary'!$D:$D,$E297,'Industrial Summary'!$A:$A,"NGA")/SUMIFS('Industrial Summary'!$G:$G,'Industrial Summary'!$F:$F,L$17,'Industrial Summary'!$D:$D,$E297)),0)*0.98</f>
        <v>-0.44094464279958995</v>
      </c>
      <c r="M297" s="6">
        <f>IF(SUMIFS('Industrial Summary'!$G:$G,'Industrial Summary'!$F:$F,M$17,'Industrial Summary'!$D:$D,$E297)&gt;0,(-SUMIFS('Industrial Summary'!$G:$G,'Industrial Summary'!$F:$F,M$17,'Industrial Summary'!$D:$D,$E297,'Industrial Summary'!$A:$A,"NGA")/SUMIFS('Industrial Summary'!$G:$G,'Industrial Summary'!$F:$F,M$17,'Industrial Summary'!$D:$D,$E297)),0)*0.98</f>
        <v>-0.4409446427995935</v>
      </c>
      <c r="N297" s="6">
        <f>IF(SUMIFS('Industrial Summary'!$G:$G,'Industrial Summary'!$F:$F,N$17,'Industrial Summary'!$D:$D,$E297)&gt;0,(-SUMIFS('Industrial Summary'!$G:$G,'Industrial Summary'!$F:$F,N$17,'Industrial Summary'!$D:$D,$E297,'Industrial Summary'!$A:$A,"NGA")/SUMIFS('Industrial Summary'!$G:$G,'Industrial Summary'!$F:$F,N$17,'Industrial Summary'!$D:$D,$E297)),0)*0.98</f>
        <v>-0.37356272314953942</v>
      </c>
      <c r="O297" s="6">
        <f>IF(SUMIFS('Industrial Summary'!$G:$G,'Industrial Summary'!$F:$F,O$17,'Industrial Summary'!$D:$D,$E297)&gt;0,(-SUMIFS('Industrial Summary'!$G:$G,'Industrial Summary'!$F:$F,O$17,'Industrial Summary'!$D:$D,$E297,'Industrial Summary'!$A:$A,"NGA")/SUMIFS('Industrial Summary'!$G:$G,'Industrial Summary'!$F:$F,O$17,'Industrial Summary'!$D:$D,$E297)),0)*0.98</f>
        <v>-0.52297308105203388</v>
      </c>
      <c r="P297" s="6">
        <f>IF(SUMIFS('Industrial Summary'!$G:$G,'Industrial Summary'!$F:$F,P$17,'Industrial Summary'!$D:$D,$E297)&gt;0,(-SUMIFS('Industrial Summary'!$G:$G,'Industrial Summary'!$F:$F,P$17,'Industrial Summary'!$D:$D,$E297,'Industrial Summary'!$A:$A,"NGA")/SUMIFS('Industrial Summary'!$G:$G,'Industrial Summary'!$F:$F,P$17,'Industrial Summary'!$D:$D,$E297)),0)*0.98</f>
        <v>-0.68264273871292136</v>
      </c>
      <c r="Q297" s="5">
        <v>0</v>
      </c>
      <c r="R297" s="5">
        <v>15</v>
      </c>
      <c r="S297" s="5" t="str">
        <f t="shared" si="63"/>
        <v>UC_IMOFA_NGA</v>
      </c>
      <c r="V297" s="4" t="str">
        <f t="shared" si="64"/>
        <v>S_IMOFANGA</v>
      </c>
      <c r="W297" s="4" t="str">
        <f t="shared" si="65"/>
        <v>IMOFA_NGA</v>
      </c>
      <c r="X297" s="4" t="str">
        <f t="shared" si="66"/>
        <v>IMOFAC</v>
      </c>
      <c r="Y297" s="5" t="str">
        <f t="shared" si="67"/>
        <v>LO</v>
      </c>
      <c r="Z297" s="5">
        <v>1</v>
      </c>
      <c r="AA297" s="6">
        <f t="shared" si="68"/>
        <v>-0.64599095304434218</v>
      </c>
      <c r="AB297" s="6">
        <f t="shared" si="69"/>
        <v>-0.47924213805668259</v>
      </c>
      <c r="AC297" s="6">
        <f t="shared" si="70"/>
        <v>-0.41912331395212493</v>
      </c>
      <c r="AD297" s="6">
        <f t="shared" si="71"/>
        <v>-0.42163020589325556</v>
      </c>
      <c r="AE297" s="6">
        <f t="shared" si="72"/>
        <v>-0.38803128566363915</v>
      </c>
      <c r="AF297" s="6">
        <f t="shared" si="73"/>
        <v>-0.38803128566364226</v>
      </c>
      <c r="AG297" s="6">
        <f t="shared" si="74"/>
        <v>-0.32873519637159471</v>
      </c>
      <c r="AH297" s="6">
        <f t="shared" si="75"/>
        <v>-0.46021631132578983</v>
      </c>
      <c r="AI297" s="6">
        <f t="shared" si="76"/>
        <v>-0.6007256100673708</v>
      </c>
      <c r="AL297" s="5" t="str">
        <f t="shared" si="77"/>
        <v>NGA</v>
      </c>
      <c r="AM297" s="5">
        <f>Y9</f>
        <v>0.88</v>
      </c>
    </row>
    <row r="298" spans="1:39" s="5" customFormat="1" x14ac:dyDescent="0.3">
      <c r="A298" s="8"/>
      <c r="C298" s="4" t="s">
        <v>609</v>
      </c>
      <c r="D298" s="5" t="s">
        <v>610</v>
      </c>
      <c r="E298" s="5" t="s">
        <v>737</v>
      </c>
      <c r="F298" s="5" t="s">
        <v>1588</v>
      </c>
      <c r="G298" s="5">
        <v>1</v>
      </c>
      <c r="H298" s="6">
        <f>IF(SUMIFS('Industrial Summary'!$G:$G,'Industrial Summary'!$F:$F,H$17,'Industrial Summary'!$D:$D,$E298)&gt;0,(-SUMIFS('Industrial Summary'!$G:$G,'Industrial Summary'!$F:$F,H$17,'Industrial Summary'!$D:$D,$E298,'Industrial Summary'!$A:$A,"LPG")/SUMIFS('Industrial Summary'!$G:$G,'Industrial Summary'!$F:$F,H$17,'Industrial Summary'!$D:$D,$E298)),0)*0.98</f>
        <v>0</v>
      </c>
      <c r="I298" s="6">
        <f>IF(SUMIFS('Industrial Summary'!$G:$G,'Industrial Summary'!$F:$F,I$17,'Industrial Summary'!$D:$D,$E298)&gt;0,(-SUMIFS('Industrial Summary'!$G:$G,'Industrial Summary'!$F:$F,I$17,'Industrial Summary'!$D:$D,$E298,'Industrial Summary'!$A:$A,"LPG")/SUMIFS('Industrial Summary'!$G:$G,'Industrial Summary'!$F:$F,I$17,'Industrial Summary'!$D:$D,$E298)),0)*0.98</f>
        <v>0</v>
      </c>
      <c r="J298" s="6">
        <f>IF(SUMIFS('Industrial Summary'!$G:$G,'Industrial Summary'!$F:$F,J$17,'Industrial Summary'!$D:$D,$E298)&gt;0,(-SUMIFS('Industrial Summary'!$G:$G,'Industrial Summary'!$F:$F,J$17,'Industrial Summary'!$D:$D,$E298,'Industrial Summary'!$A:$A,"LPG")/SUMIFS('Industrial Summary'!$G:$G,'Industrial Summary'!$F:$F,J$17,'Industrial Summary'!$D:$D,$E298)),0)*0.98</f>
        <v>0</v>
      </c>
      <c r="K298" s="6">
        <f>IF(SUMIFS('Industrial Summary'!$G:$G,'Industrial Summary'!$F:$F,K$17,'Industrial Summary'!$D:$D,$E298)&gt;0,(-SUMIFS('Industrial Summary'!$G:$G,'Industrial Summary'!$F:$F,K$17,'Industrial Summary'!$D:$D,$E298,'Industrial Summary'!$A:$A,"LPG")/SUMIFS('Industrial Summary'!$G:$G,'Industrial Summary'!$F:$F,K$17,'Industrial Summary'!$D:$D,$E298)),0)*0.98</f>
        <v>0</v>
      </c>
      <c r="L298" s="6">
        <f>IF(SUMIFS('Industrial Summary'!$G:$G,'Industrial Summary'!$F:$F,L$17,'Industrial Summary'!$D:$D,$E298)&gt;0,(-SUMIFS('Industrial Summary'!$G:$G,'Industrial Summary'!$F:$F,L$17,'Industrial Summary'!$D:$D,$E298,'Industrial Summary'!$A:$A,"LPG")/SUMIFS('Industrial Summary'!$G:$G,'Industrial Summary'!$F:$F,L$17,'Industrial Summary'!$D:$D,$E298)),0)*0.98</f>
        <v>0</v>
      </c>
      <c r="M298" s="6">
        <f>IF(SUMIFS('Industrial Summary'!$G:$G,'Industrial Summary'!$F:$F,M$17,'Industrial Summary'!$D:$D,$E298)&gt;0,(-SUMIFS('Industrial Summary'!$G:$G,'Industrial Summary'!$F:$F,M$17,'Industrial Summary'!$D:$D,$E298,'Industrial Summary'!$A:$A,"LPG")/SUMIFS('Industrial Summary'!$G:$G,'Industrial Summary'!$F:$F,M$17,'Industrial Summary'!$D:$D,$E298)),0)*0.98</f>
        <v>0</v>
      </c>
      <c r="N298" s="6">
        <f>IF(SUMIFS('Industrial Summary'!$G:$G,'Industrial Summary'!$F:$F,N$17,'Industrial Summary'!$D:$D,$E298)&gt;0,(-SUMIFS('Industrial Summary'!$G:$G,'Industrial Summary'!$F:$F,N$17,'Industrial Summary'!$D:$D,$E298,'Industrial Summary'!$A:$A,"LPG")/SUMIFS('Industrial Summary'!$G:$G,'Industrial Summary'!$F:$F,N$17,'Industrial Summary'!$D:$D,$E298)),0)*0.98</f>
        <v>0</v>
      </c>
      <c r="O298" s="6">
        <f>IF(SUMIFS('Industrial Summary'!$G:$G,'Industrial Summary'!$F:$F,O$17,'Industrial Summary'!$D:$D,$E298)&gt;0,(-SUMIFS('Industrial Summary'!$G:$G,'Industrial Summary'!$F:$F,O$17,'Industrial Summary'!$D:$D,$E298,'Industrial Summary'!$A:$A,"LPG")/SUMIFS('Industrial Summary'!$G:$G,'Industrial Summary'!$F:$F,O$17,'Industrial Summary'!$D:$D,$E298)),0)*0.98</f>
        <v>0</v>
      </c>
      <c r="P298" s="6">
        <f>IF(SUMIFS('Industrial Summary'!$G:$G,'Industrial Summary'!$F:$F,P$17,'Industrial Summary'!$D:$D,$E298)&gt;0,(-SUMIFS('Industrial Summary'!$G:$G,'Industrial Summary'!$F:$F,P$17,'Industrial Summary'!$D:$D,$E298,'Industrial Summary'!$A:$A,"LPG")/SUMIFS('Industrial Summary'!$G:$G,'Industrial Summary'!$F:$F,P$17,'Industrial Summary'!$D:$D,$E298)),0)*0.98</f>
        <v>0</v>
      </c>
      <c r="Q298" s="5">
        <v>0</v>
      </c>
      <c r="R298" s="5">
        <v>15</v>
      </c>
      <c r="S298" s="5" t="str">
        <f t="shared" si="63"/>
        <v>UC_IMOFA_LPG</v>
      </c>
      <c r="V298" s="4" t="str">
        <f t="shared" si="64"/>
        <v>S_IMOFALPG</v>
      </c>
      <c r="W298" s="4" t="str">
        <f t="shared" si="65"/>
        <v>IMOFA_LPG</v>
      </c>
      <c r="X298" s="4" t="str">
        <f t="shared" si="66"/>
        <v>IMOFAC</v>
      </c>
      <c r="Y298" s="5" t="str">
        <f t="shared" si="67"/>
        <v>LO</v>
      </c>
      <c r="Z298" s="5">
        <v>1</v>
      </c>
      <c r="AA298" s="6">
        <f t="shared" si="68"/>
        <v>0</v>
      </c>
      <c r="AB298" s="6">
        <f t="shared" si="69"/>
        <v>0</v>
      </c>
      <c r="AC298" s="6">
        <f t="shared" si="70"/>
        <v>0</v>
      </c>
      <c r="AD298" s="6">
        <f t="shared" si="71"/>
        <v>0</v>
      </c>
      <c r="AE298" s="6">
        <f t="shared" si="72"/>
        <v>0</v>
      </c>
      <c r="AF298" s="6">
        <f t="shared" si="73"/>
        <v>0</v>
      </c>
      <c r="AG298" s="6">
        <f t="shared" si="74"/>
        <v>0</v>
      </c>
      <c r="AH298" s="6">
        <f t="shared" si="75"/>
        <v>0</v>
      </c>
      <c r="AI298" s="6">
        <f t="shared" si="76"/>
        <v>0</v>
      </c>
      <c r="AL298" s="5" t="str">
        <f t="shared" si="77"/>
        <v>LPG</v>
      </c>
      <c r="AM298" s="5">
        <f>1</f>
        <v>1</v>
      </c>
    </row>
    <row r="299" spans="1:39" s="5" customFormat="1" x14ac:dyDescent="0.3">
      <c r="C299" s="4" t="s">
        <v>611</v>
      </c>
      <c r="D299" s="5" t="s">
        <v>612</v>
      </c>
      <c r="E299" s="5" t="s">
        <v>767</v>
      </c>
      <c r="F299" s="5" t="s">
        <v>1588</v>
      </c>
      <c r="G299" s="5">
        <v>1</v>
      </c>
      <c r="H299" s="6">
        <f>(IF(SUMIFS('Industrial Summary'!$G:$G,'Industrial Summary'!$F:$F,H$17,'Industrial Summary'!$D:$D,$E299)&gt;0,((-SUMIFS('Industrial Summary'!$G:$G,'Industrial Summary'!$F:$F,H$17,'Industrial Summary'!$D:$D,$E299,'Industrial Summary'!$A:$A,"RFL")+-SUMIFS('Industrial Summary'!$G:$G,'Industrial Summary'!$F:$F,H$17,'Industrial Summary'!$D:$D,"IMORSTM",'Industrial Summary'!$A:$A,"RFL"))/SUMIFS('Industrial Summary'!$G:$G,'Industrial Summary'!$F:$F,H$17,'Industrial Summary'!$D:$D,$E299)),0))*0.98</f>
        <v>0</v>
      </c>
      <c r="I299" s="6">
        <f>(IF(SUMIFS('Industrial Summary'!$G:$G,'Industrial Summary'!$F:$F,I$17,'Industrial Summary'!$D:$D,$E299)&gt;0,((-SUMIFS('Industrial Summary'!$G:$G,'Industrial Summary'!$F:$F,I$17,'Industrial Summary'!$D:$D,$E299,'Industrial Summary'!$A:$A,"RFL")+-SUMIFS('Industrial Summary'!$G:$G,'Industrial Summary'!$F:$F,I$17,'Industrial Summary'!$D:$D,"IMORSTM",'Industrial Summary'!$A:$A,"RFL"))/SUMIFS('Industrial Summary'!$G:$G,'Industrial Summary'!$F:$F,I$17,'Industrial Summary'!$D:$D,$E299)),0))*0.98</f>
        <v>0</v>
      </c>
      <c r="J299" s="6">
        <f>(IF(SUMIFS('Industrial Summary'!$G:$G,'Industrial Summary'!$F:$F,J$17,'Industrial Summary'!$D:$D,$E299)&gt;0,((-SUMIFS('Industrial Summary'!$G:$G,'Industrial Summary'!$F:$F,J$17,'Industrial Summary'!$D:$D,$E299,'Industrial Summary'!$A:$A,"RFL")+-SUMIFS('Industrial Summary'!$G:$G,'Industrial Summary'!$F:$F,J$17,'Industrial Summary'!$D:$D,"IMORSTM",'Industrial Summary'!$A:$A,"RFL"))/SUMIFS('Industrial Summary'!$G:$G,'Industrial Summary'!$F:$F,J$17,'Industrial Summary'!$D:$D,$E299)),0))*0.98</f>
        <v>0</v>
      </c>
      <c r="K299" s="6">
        <f>(IF(SUMIFS('Industrial Summary'!$G:$G,'Industrial Summary'!$F:$F,K$17,'Industrial Summary'!$D:$D,$E299)&gt;0,((-SUMIFS('Industrial Summary'!$G:$G,'Industrial Summary'!$F:$F,K$17,'Industrial Summary'!$D:$D,$E299,'Industrial Summary'!$A:$A,"RFL")+-SUMIFS('Industrial Summary'!$G:$G,'Industrial Summary'!$F:$F,K$17,'Industrial Summary'!$D:$D,"IMORSTM",'Industrial Summary'!$A:$A,"RFL"))/SUMIFS('Industrial Summary'!$G:$G,'Industrial Summary'!$F:$F,K$17,'Industrial Summary'!$D:$D,$E299)),0))*0.98</f>
        <v>-2.8906076674872914E-2</v>
      </c>
      <c r="L299" s="6">
        <f>(IF(SUMIFS('Industrial Summary'!$G:$G,'Industrial Summary'!$F:$F,L$17,'Industrial Summary'!$D:$D,$E299)&gt;0,((-SUMIFS('Industrial Summary'!$G:$G,'Industrial Summary'!$F:$F,L$17,'Industrial Summary'!$D:$D,$E299,'Industrial Summary'!$A:$A,"RFL")+-SUMIFS('Industrial Summary'!$G:$G,'Industrial Summary'!$F:$F,L$17,'Industrial Summary'!$D:$D,"IMORSTM",'Industrial Summary'!$A:$A,"RFL"))/SUMIFS('Industrial Summary'!$G:$G,'Industrial Summary'!$F:$F,L$17,'Industrial Summary'!$D:$D,$E299)),0))*0.98</f>
        <v>-1.034222128875026E-2</v>
      </c>
      <c r="M299" s="6">
        <f>(IF(SUMIFS('Industrial Summary'!$G:$G,'Industrial Summary'!$F:$F,M$17,'Industrial Summary'!$D:$D,$E299)&gt;0,((-SUMIFS('Industrial Summary'!$G:$G,'Industrial Summary'!$F:$F,M$17,'Industrial Summary'!$D:$D,$E299,'Industrial Summary'!$A:$A,"RFL")+-SUMIFS('Industrial Summary'!$G:$G,'Industrial Summary'!$F:$F,M$17,'Industrial Summary'!$D:$D,"IMORSTM",'Industrial Summary'!$A:$A,"RFL"))/SUMIFS('Industrial Summary'!$G:$G,'Industrial Summary'!$F:$F,M$17,'Industrial Summary'!$D:$D,$E299)),0))*0.98</f>
        <v>-1.0342221288750246E-2</v>
      </c>
      <c r="N299" s="6">
        <f>(IF(SUMIFS('Industrial Summary'!$G:$G,'Industrial Summary'!$F:$F,N$17,'Industrial Summary'!$D:$D,$E299)&gt;0,((-SUMIFS('Industrial Summary'!$G:$G,'Industrial Summary'!$F:$F,N$17,'Industrial Summary'!$D:$D,$E299,'Industrial Summary'!$A:$A,"RFL")+-SUMIFS('Industrial Summary'!$G:$G,'Industrial Summary'!$F:$F,N$17,'Industrial Summary'!$D:$D,"IMORSTM",'Industrial Summary'!$A:$A,"RFL"))/SUMIFS('Industrial Summary'!$G:$G,'Industrial Summary'!$F:$F,N$17,'Industrial Summary'!$D:$D,$E299)),0))*0.98</f>
        <v>-1.1634998949843985E-2</v>
      </c>
      <c r="O299" s="6">
        <f>(IF(SUMIFS('Industrial Summary'!$G:$G,'Industrial Summary'!$F:$F,O$17,'Industrial Summary'!$D:$D,$E299)&gt;0,((-SUMIFS('Industrial Summary'!$G:$G,'Industrial Summary'!$F:$F,O$17,'Industrial Summary'!$D:$D,$E299,'Industrial Summary'!$A:$A,"RFL")+-SUMIFS('Industrial Summary'!$G:$G,'Industrial Summary'!$F:$F,O$17,'Industrial Summary'!$D:$D,"IMORSTM",'Industrial Summary'!$A:$A,"RFL"))/SUMIFS('Industrial Summary'!$G:$G,'Industrial Summary'!$F:$F,O$17,'Industrial Summary'!$D:$D,$E299)),0))*0.98</f>
        <v>0</v>
      </c>
      <c r="P299" s="6">
        <f>(IF(SUMIFS('Industrial Summary'!$G:$G,'Industrial Summary'!$F:$F,P$17,'Industrial Summary'!$D:$D,$E299)&gt;0,((-SUMIFS('Industrial Summary'!$G:$G,'Industrial Summary'!$F:$F,P$17,'Industrial Summary'!$D:$D,$E299,'Industrial Summary'!$A:$A,"RFL")+-SUMIFS('Industrial Summary'!$G:$G,'Industrial Summary'!$F:$F,P$17,'Industrial Summary'!$D:$D,"IMORSTM",'Industrial Summary'!$A:$A,"RFL"))/SUMIFS('Industrial Summary'!$G:$G,'Industrial Summary'!$F:$F,P$17,'Industrial Summary'!$D:$D,$E299)),0))*0.98</f>
        <v>-8.9445938437345551E-2</v>
      </c>
      <c r="Q299" s="5">
        <v>0</v>
      </c>
      <c r="R299" s="5">
        <v>15</v>
      </c>
      <c r="S299" s="5" t="str">
        <f t="shared" si="63"/>
        <v>UC_IMOOH_RFL</v>
      </c>
      <c r="V299" s="4" t="str">
        <f t="shared" si="64"/>
        <v>S_IMOOHRFL</v>
      </c>
      <c r="W299" s="4" t="str">
        <f t="shared" si="65"/>
        <v>IMOOH_RFL</v>
      </c>
      <c r="X299" s="4" t="str">
        <f t="shared" si="66"/>
        <v>IMOOHT</v>
      </c>
      <c r="Y299" s="5" t="str">
        <f t="shared" si="67"/>
        <v>LO</v>
      </c>
      <c r="Z299" s="5">
        <v>1</v>
      </c>
      <c r="AA299" s="6">
        <f t="shared" si="68"/>
        <v>0</v>
      </c>
      <c r="AB299" s="6">
        <f t="shared" si="69"/>
        <v>0</v>
      </c>
      <c r="AC299" s="6">
        <f t="shared" si="70"/>
        <v>0</v>
      </c>
      <c r="AD299" s="6">
        <f t="shared" si="71"/>
        <v>-2.8906076674872914E-2</v>
      </c>
      <c r="AE299" s="6">
        <f t="shared" si="72"/>
        <v>-1.034222128875026E-2</v>
      </c>
      <c r="AF299" s="6">
        <f t="shared" si="73"/>
        <v>-1.0342221288750246E-2</v>
      </c>
      <c r="AG299" s="6">
        <f t="shared" si="74"/>
        <v>-1.1634998949843985E-2</v>
      </c>
      <c r="AH299" s="6">
        <f t="shared" si="75"/>
        <v>0</v>
      </c>
      <c r="AI299" s="6">
        <f t="shared" si="76"/>
        <v>-8.9445938437345551E-2</v>
      </c>
      <c r="AL299" s="5" t="str">
        <f t="shared" si="77"/>
        <v>RFL</v>
      </c>
      <c r="AM299" s="5">
        <f>1</f>
        <v>1</v>
      </c>
    </row>
    <row r="300" spans="1:39" s="5" customFormat="1" x14ac:dyDescent="0.3">
      <c r="C300" s="4" t="s">
        <v>613</v>
      </c>
      <c r="D300" s="5" t="s">
        <v>614</v>
      </c>
      <c r="E300" s="5" t="s">
        <v>767</v>
      </c>
      <c r="F300" s="5" t="s">
        <v>1588</v>
      </c>
      <c r="G300" s="5">
        <v>1</v>
      </c>
      <c r="H300" s="6">
        <f>(IF(SUMIFS('Industrial Summary'!$G:$G,'Industrial Summary'!$F:$F,H$17,'Industrial Summary'!$D:$D,$E300)&gt;0,((-SUMIFS('Industrial Summary'!$G:$G,'Industrial Summary'!$F:$F,H$17,'Industrial Summary'!$D:$D,$E300,'Industrial Summary'!$A:$A,"NGA")+-SUMIFS('Industrial Summary'!$G:$G,'Industrial Summary'!$F:$F,H$17,'Industrial Summary'!$D:$D,"IMORSTM",'Industrial Summary'!$A:$A,"NGA"))/SUMIFS('Industrial Summary'!$G:$G,'Industrial Summary'!$F:$F,H$17,'Industrial Summary'!$D:$D,$E300)),0))*0.98</f>
        <v>0</v>
      </c>
      <c r="I300" s="6">
        <f>(IF(SUMIFS('Industrial Summary'!$G:$G,'Industrial Summary'!$F:$F,I$17,'Industrial Summary'!$D:$D,$E300)&gt;0,((-SUMIFS('Industrial Summary'!$G:$G,'Industrial Summary'!$F:$F,I$17,'Industrial Summary'!$D:$D,$E300,'Industrial Summary'!$A:$A,"NGA")+-SUMIFS('Industrial Summary'!$G:$G,'Industrial Summary'!$F:$F,I$17,'Industrial Summary'!$D:$D,"IMORSTM",'Industrial Summary'!$A:$A,"NGA"))/SUMIFS('Industrial Summary'!$G:$G,'Industrial Summary'!$F:$F,I$17,'Industrial Summary'!$D:$D,$E300)),0))*0.98</f>
        <v>-4.3356790933034364E-3</v>
      </c>
      <c r="J300" s="6">
        <f>(IF(SUMIFS('Industrial Summary'!$G:$G,'Industrial Summary'!$F:$F,J$17,'Industrial Summary'!$D:$D,$E300)&gt;0,((-SUMIFS('Industrial Summary'!$G:$G,'Industrial Summary'!$F:$F,J$17,'Industrial Summary'!$D:$D,$E300,'Industrial Summary'!$A:$A,"NGA")+-SUMIFS('Industrial Summary'!$G:$G,'Industrial Summary'!$F:$F,J$17,'Industrial Summary'!$D:$D,"IMORSTM",'Industrial Summary'!$A:$A,"NGA"))/SUMIFS('Industrial Summary'!$G:$G,'Industrial Summary'!$F:$F,J$17,'Industrial Summary'!$D:$D,$E300)),0))*0.98</f>
        <v>-9.4377098081157212E-2</v>
      </c>
      <c r="K300" s="6">
        <f>(IF(SUMIFS('Industrial Summary'!$G:$G,'Industrial Summary'!$F:$F,K$17,'Industrial Summary'!$D:$D,$E300)&gt;0,((-SUMIFS('Industrial Summary'!$G:$G,'Industrial Summary'!$F:$F,K$17,'Industrial Summary'!$D:$D,$E300,'Industrial Summary'!$A:$A,"NGA")+-SUMIFS('Industrial Summary'!$G:$G,'Industrial Summary'!$F:$F,K$17,'Industrial Summary'!$D:$D,"IMORSTM",'Industrial Summary'!$A:$A,"NGA"))/SUMIFS('Industrial Summary'!$G:$G,'Industrial Summary'!$F:$F,K$17,'Industrial Summary'!$D:$D,$E300)),0))*0.98</f>
        <v>-9.3843361040492165E-2</v>
      </c>
      <c r="L300" s="6">
        <f>(IF(SUMIFS('Industrial Summary'!$G:$G,'Industrial Summary'!$F:$F,L$17,'Industrial Summary'!$D:$D,$E300)&gt;0,((-SUMIFS('Industrial Summary'!$G:$G,'Industrial Summary'!$F:$F,L$17,'Industrial Summary'!$D:$D,$E300,'Industrial Summary'!$A:$A,"NGA")+-SUMIFS('Industrial Summary'!$G:$G,'Industrial Summary'!$F:$F,L$17,'Industrial Summary'!$D:$D,"IMORSTM",'Industrial Summary'!$A:$A,"NGA"))/SUMIFS('Industrial Summary'!$G:$G,'Industrial Summary'!$F:$F,L$17,'Industrial Summary'!$D:$D,$E300)),0))*0.98</f>
        <v>-2.488919103186003E-2</v>
      </c>
      <c r="M300" s="6">
        <f>(IF(SUMIFS('Industrial Summary'!$G:$G,'Industrial Summary'!$F:$F,M$17,'Industrial Summary'!$D:$D,$E300)&gt;0,((-SUMIFS('Industrial Summary'!$G:$G,'Industrial Summary'!$F:$F,M$17,'Industrial Summary'!$D:$D,$E300,'Industrial Summary'!$A:$A,"NGA")+-SUMIFS('Industrial Summary'!$G:$G,'Industrial Summary'!$F:$F,M$17,'Industrial Summary'!$D:$D,"IMORSTM",'Industrial Summary'!$A:$A,"NGA"))/SUMIFS('Industrial Summary'!$G:$G,'Industrial Summary'!$F:$F,M$17,'Industrial Summary'!$D:$D,$E300)),0))*0.98</f>
        <v>-2.4889191031860061E-2</v>
      </c>
      <c r="N300" s="6">
        <f>(IF(SUMIFS('Industrial Summary'!$G:$G,'Industrial Summary'!$F:$F,N$17,'Industrial Summary'!$D:$D,$E300)&gt;0,((-SUMIFS('Industrial Summary'!$G:$G,'Industrial Summary'!$F:$F,N$17,'Industrial Summary'!$D:$D,$E300,'Industrial Summary'!$A:$A,"NGA")+-SUMIFS('Industrial Summary'!$G:$G,'Industrial Summary'!$F:$F,N$17,'Industrial Summary'!$D:$D,"IMORSTM",'Industrial Summary'!$A:$A,"NGA"))/SUMIFS('Industrial Summary'!$G:$G,'Industrial Summary'!$F:$F,N$17,'Industrial Summary'!$D:$D,$E300)),0))*0.98</f>
        <v>-2.8000339910842473E-2</v>
      </c>
      <c r="O300" s="6">
        <f>(IF(SUMIFS('Industrial Summary'!$G:$G,'Industrial Summary'!$F:$F,O$17,'Industrial Summary'!$D:$D,$E300)&gt;0,((-SUMIFS('Industrial Summary'!$G:$G,'Industrial Summary'!$F:$F,O$17,'Industrial Summary'!$D:$D,$E300,'Industrial Summary'!$A:$A,"NGA")+-SUMIFS('Industrial Summary'!$G:$G,'Industrial Summary'!$F:$F,O$17,'Industrial Summary'!$D:$D,"IMORSTM",'Industrial Summary'!$A:$A,"NGA"))/SUMIFS('Industrial Summary'!$G:$G,'Industrial Summary'!$F:$F,O$17,'Industrial Summary'!$D:$D,$E300)),0))*0.98</f>
        <v>-0.98</v>
      </c>
      <c r="P300" s="6">
        <f>(IF(SUMIFS('Industrial Summary'!$G:$G,'Industrial Summary'!$F:$F,P$17,'Industrial Summary'!$D:$D,$E300)&gt;0,((-SUMIFS('Industrial Summary'!$G:$G,'Industrial Summary'!$F:$F,P$17,'Industrial Summary'!$D:$D,$E300,'Industrial Summary'!$A:$A,"NGA")+-SUMIFS('Industrial Summary'!$G:$G,'Industrial Summary'!$F:$F,P$17,'Industrial Summary'!$D:$D,"IMORSTM",'Industrial Summary'!$A:$A,"NGA"))/SUMIFS('Industrial Summary'!$G:$G,'Industrial Summary'!$F:$F,P$17,'Industrial Summary'!$D:$D,$E300)),0))*0.98</f>
        <v>-0.89055406156265449</v>
      </c>
      <c r="Q300" s="5">
        <v>0</v>
      </c>
      <c r="R300" s="5">
        <v>15</v>
      </c>
      <c r="S300" s="5" t="str">
        <f t="shared" si="63"/>
        <v>UC_IMOOH_NGA</v>
      </c>
      <c r="V300" s="4" t="str">
        <f t="shared" si="64"/>
        <v>S_IMOOHNGA</v>
      </c>
      <c r="W300" s="4" t="str">
        <f t="shared" si="65"/>
        <v>IMOOH_NGA</v>
      </c>
      <c r="X300" s="4" t="str">
        <f t="shared" si="66"/>
        <v>IMOOHT</v>
      </c>
      <c r="Y300" s="5" t="str">
        <f t="shared" si="67"/>
        <v>LO</v>
      </c>
      <c r="Z300" s="5">
        <v>1</v>
      </c>
      <c r="AA300" s="6">
        <f t="shared" si="68"/>
        <v>0</v>
      </c>
      <c r="AB300" s="6">
        <f t="shared" si="69"/>
        <v>-3.8153976021070243E-3</v>
      </c>
      <c r="AC300" s="6">
        <f t="shared" si="70"/>
        <v>-8.3051846311418348E-2</v>
      </c>
      <c r="AD300" s="6">
        <f t="shared" si="71"/>
        <v>-8.2582157715633112E-2</v>
      </c>
      <c r="AE300" s="6">
        <f t="shared" si="72"/>
        <v>-2.1902488108036827E-2</v>
      </c>
      <c r="AF300" s="6">
        <f t="shared" si="73"/>
        <v>-2.1902488108036855E-2</v>
      </c>
      <c r="AG300" s="6">
        <f t="shared" si="74"/>
        <v>-2.4640299121541375E-2</v>
      </c>
      <c r="AH300" s="6">
        <f t="shared" si="75"/>
        <v>-0.86239999999999994</v>
      </c>
      <c r="AI300" s="6">
        <f t="shared" si="76"/>
        <v>-0.7836875741751359</v>
      </c>
      <c r="AL300" s="5" t="str">
        <f t="shared" si="77"/>
        <v>NGA</v>
      </c>
      <c r="AM300" s="5">
        <f>Y9</f>
        <v>0.88</v>
      </c>
    </row>
    <row r="301" spans="1:39" s="5" customFormat="1" x14ac:dyDescent="0.3">
      <c r="C301" s="4" t="s">
        <v>615</v>
      </c>
      <c r="D301" s="5" t="s">
        <v>616</v>
      </c>
      <c r="E301" s="5" t="s">
        <v>767</v>
      </c>
      <c r="F301" s="5" t="s">
        <v>1591</v>
      </c>
      <c r="G301" s="5">
        <v>1</v>
      </c>
      <c r="H301" s="6">
        <f>(IF(SUMIFS('Industrial Summary'!$G:$G,'Industrial Summary'!$F:$F,H$17,'Industrial Summary'!$D:$D,$E301)&gt;0,((-SUMIFS('Industrial Summary'!$G:$G,'Industrial Summary'!$F:$F,H$17,'Industrial Summary'!$D:$D,$E301,'Industrial Summary'!$A:$A,"COA")+-SUMIFS('Industrial Summary'!$G:$G,'Industrial Summary'!$F:$F,H$17,'Industrial Summary'!$D:$D,"IMORSTM",'Industrial Summary'!$A:$A,"COA"))/SUMIFS('Industrial Summary'!$G:$G,'Industrial Summary'!$F:$F,H$17,'Industrial Summary'!$D:$D,$E301)),0))*0.98</f>
        <v>-0.98</v>
      </c>
      <c r="I301" s="6">
        <f>(IF(SUMIFS('Industrial Summary'!$G:$G,'Industrial Summary'!$F:$F,I$17,'Industrial Summary'!$D:$D,$E301)&gt;0,((-SUMIFS('Industrial Summary'!$G:$G,'Industrial Summary'!$F:$F,I$17,'Industrial Summary'!$D:$D,$E301,'Industrial Summary'!$A:$A,"COA")+-SUMIFS('Industrial Summary'!$G:$G,'Industrial Summary'!$F:$F,I$17,'Industrial Summary'!$D:$D,"IMORSTM",'Industrial Summary'!$A:$A,"COA"))/SUMIFS('Industrial Summary'!$G:$G,'Industrial Summary'!$F:$F,I$17,'Industrial Summary'!$D:$D,$E301)),0))*0.98</f>
        <v>-0.97566432090669652</v>
      </c>
      <c r="J301" s="6">
        <f>(IF(SUMIFS('Industrial Summary'!$G:$G,'Industrial Summary'!$F:$F,J$17,'Industrial Summary'!$D:$D,$E301)&gt;0,((-SUMIFS('Industrial Summary'!$G:$G,'Industrial Summary'!$F:$F,J$17,'Industrial Summary'!$D:$D,$E301,'Industrial Summary'!$A:$A,"COA")+-SUMIFS('Industrial Summary'!$G:$G,'Industrial Summary'!$F:$F,J$17,'Industrial Summary'!$D:$D,"IMORSTM",'Industrial Summary'!$A:$A,"COA"))/SUMIFS('Industrial Summary'!$G:$G,'Industrial Summary'!$F:$F,J$17,'Industrial Summary'!$D:$D,$E301)),0))*0.98</f>
        <v>-0.41894040254774167</v>
      </c>
      <c r="K301" s="6">
        <f>(IF(SUMIFS('Industrial Summary'!$G:$G,'Industrial Summary'!$F:$F,K$17,'Industrial Summary'!$D:$D,$E301)&gt;0,((-SUMIFS('Industrial Summary'!$G:$G,'Industrial Summary'!$F:$F,K$17,'Industrial Summary'!$D:$D,$E301,'Industrial Summary'!$A:$A,"COA")+-SUMIFS('Industrial Summary'!$G:$G,'Industrial Summary'!$F:$F,K$17,'Industrial Summary'!$D:$D,"IMORSTM",'Industrial Summary'!$A:$A,"COA"))/SUMIFS('Industrial Summary'!$G:$G,'Industrial Summary'!$F:$F,K$17,'Industrial Summary'!$D:$D,$E301)),0))*0.98</f>
        <v>-0.41657114119920519</v>
      </c>
      <c r="L301" s="6">
        <f>(IF(SUMIFS('Industrial Summary'!$G:$G,'Industrial Summary'!$F:$F,L$17,'Industrial Summary'!$D:$D,$E301)&gt;0,((-SUMIFS('Industrial Summary'!$G:$G,'Industrial Summary'!$F:$F,L$17,'Industrial Summary'!$D:$D,$E301,'Industrial Summary'!$A:$A,"COA")+-SUMIFS('Industrial Summary'!$G:$G,'Industrial Summary'!$F:$F,L$17,'Industrial Summary'!$D:$D,"IMORSTM",'Industrial Summary'!$A:$A,"COA"))/SUMIFS('Industrial Summary'!$G:$G,'Industrial Summary'!$F:$F,L$17,'Industrial Summary'!$D:$D,$E301)),0))*0.98</f>
        <v>-0.61337247811978401</v>
      </c>
      <c r="M301" s="6">
        <f>(IF(SUMIFS('Industrial Summary'!$G:$G,'Industrial Summary'!$F:$F,M$17,'Industrial Summary'!$D:$D,$E301)&gt;0,((-SUMIFS('Industrial Summary'!$G:$G,'Industrial Summary'!$F:$F,M$17,'Industrial Summary'!$D:$D,$E301,'Industrial Summary'!$A:$A,"COA")+-SUMIFS('Industrial Summary'!$G:$G,'Industrial Summary'!$F:$F,M$17,'Industrial Summary'!$D:$D,"IMORSTM",'Industrial Summary'!$A:$A,"COA"))/SUMIFS('Industrial Summary'!$G:$G,'Industrial Summary'!$F:$F,M$17,'Industrial Summary'!$D:$D,$E301)),0))*0.98</f>
        <v>-0.61337247811978457</v>
      </c>
      <c r="N301" s="6">
        <f>(IF(SUMIFS('Industrial Summary'!$G:$G,'Industrial Summary'!$F:$F,N$17,'Industrial Summary'!$D:$D,$E301)&gt;0,((-SUMIFS('Industrial Summary'!$G:$G,'Industrial Summary'!$F:$F,N$17,'Industrial Summary'!$D:$D,$E301,'Industrial Summary'!$A:$A,"COA")+-SUMIFS('Industrial Summary'!$G:$G,'Industrial Summary'!$F:$F,N$17,'Industrial Summary'!$D:$D,"IMORSTM",'Industrial Summary'!$A:$A,"COA"))/SUMIFS('Industrial Summary'!$G:$G,'Industrial Summary'!$F:$F,N$17,'Industrial Summary'!$D:$D,$E301)),0))*0.98</f>
        <v>-0.69004403788475366</v>
      </c>
      <c r="O301" s="6">
        <f>(IF(SUMIFS('Industrial Summary'!$G:$G,'Industrial Summary'!$F:$F,O$17,'Industrial Summary'!$D:$D,$E301)&gt;0,((-SUMIFS('Industrial Summary'!$G:$G,'Industrial Summary'!$F:$F,O$17,'Industrial Summary'!$D:$D,$E301,'Industrial Summary'!$A:$A,"COA")+-SUMIFS('Industrial Summary'!$G:$G,'Industrial Summary'!$F:$F,O$17,'Industrial Summary'!$D:$D,"IMORSTM",'Industrial Summary'!$A:$A,"COA"))/SUMIFS('Industrial Summary'!$G:$G,'Industrial Summary'!$F:$F,O$17,'Industrial Summary'!$D:$D,$E301)),0))*0.98</f>
        <v>0</v>
      </c>
      <c r="P301" s="6">
        <f>(IF(SUMIFS('Industrial Summary'!$G:$G,'Industrial Summary'!$F:$F,P$17,'Industrial Summary'!$D:$D,$E301)&gt;0,((-SUMIFS('Industrial Summary'!$G:$G,'Industrial Summary'!$F:$F,P$17,'Industrial Summary'!$D:$D,$E301,'Industrial Summary'!$A:$A,"COA")+-SUMIFS('Industrial Summary'!$G:$G,'Industrial Summary'!$F:$F,P$17,'Industrial Summary'!$D:$D,"IMORSTM",'Industrial Summary'!$A:$A,"COA"))/SUMIFS('Industrial Summary'!$G:$G,'Industrial Summary'!$F:$F,P$17,'Industrial Summary'!$D:$D,$E301)),0))*0.98</f>
        <v>0</v>
      </c>
      <c r="Q301" s="5">
        <v>0</v>
      </c>
      <c r="R301" s="5">
        <v>15</v>
      </c>
      <c r="S301" s="5" t="str">
        <f t="shared" si="63"/>
        <v>UC_IMOOH_COA</v>
      </c>
      <c r="V301" s="4" t="str">
        <f t="shared" si="64"/>
        <v>S_IMOOHCOA</v>
      </c>
      <c r="W301" s="4" t="str">
        <f t="shared" si="65"/>
        <v>IMOOH_COA</v>
      </c>
      <c r="X301" s="4" t="str">
        <f t="shared" si="66"/>
        <v>IMOOHT</v>
      </c>
      <c r="Y301" s="5" t="str">
        <f t="shared" si="67"/>
        <v>UP</v>
      </c>
      <c r="Z301" s="5">
        <v>1</v>
      </c>
      <c r="AA301" s="6">
        <f t="shared" si="68"/>
        <v>-0.9506</v>
      </c>
      <c r="AB301" s="6">
        <f t="shared" si="69"/>
        <v>-0.94639439127949565</v>
      </c>
      <c r="AC301" s="6">
        <f t="shared" si="70"/>
        <v>-0.4063721904713094</v>
      </c>
      <c r="AD301" s="6">
        <f t="shared" si="71"/>
        <v>-0.40407400696322904</v>
      </c>
      <c r="AE301" s="6">
        <f t="shared" si="72"/>
        <v>-0.59497130377619045</v>
      </c>
      <c r="AF301" s="6">
        <f t="shared" si="73"/>
        <v>-0.59497130377619101</v>
      </c>
      <c r="AG301" s="6">
        <f t="shared" si="74"/>
        <v>-0.669342716748211</v>
      </c>
      <c r="AH301" s="6">
        <f t="shared" si="75"/>
        <v>0</v>
      </c>
      <c r="AI301" s="6">
        <f t="shared" si="76"/>
        <v>0</v>
      </c>
      <c r="AL301" s="5" t="str">
        <f t="shared" si="77"/>
        <v>COA</v>
      </c>
      <c r="AM301" s="5">
        <f>Z9</f>
        <v>0.97</v>
      </c>
    </row>
    <row r="302" spans="1:39" s="5" customFormat="1" x14ac:dyDescent="0.3">
      <c r="C302" s="4" t="s">
        <v>617</v>
      </c>
      <c r="D302" s="5" t="s">
        <v>618</v>
      </c>
      <c r="E302" s="5" t="s">
        <v>767</v>
      </c>
      <c r="F302" s="5" t="s">
        <v>1588</v>
      </c>
      <c r="G302" s="5">
        <v>1</v>
      </c>
      <c r="H302" s="6">
        <f>(IF(SUMIFS('Industrial Summary'!$G:$G,'Industrial Summary'!$F:$F,H$17,'Industrial Summary'!$D:$D,$E302)&gt;0,((-SUMIFS('Industrial Summary'!$G:$G,'Industrial Summary'!$F:$F,H$17,'Industrial Summary'!$D:$D,$E302,'Industrial Summary'!$A:$A,"BIO")+-SUMIFS('Industrial Summary'!$G:$G,'Industrial Summary'!$F:$F,H$17,'Industrial Summary'!$D:$D,"IMORSTM",'Industrial Summary'!$A:$A,"BIO"))/SUMIFS('Industrial Summary'!$G:$G,'Industrial Summary'!$F:$F,H$17,'Industrial Summary'!$D:$D,$E302)),0))*0.98</f>
        <v>0</v>
      </c>
      <c r="I302" s="6">
        <f>(IF(SUMIFS('Industrial Summary'!$G:$G,'Industrial Summary'!$F:$F,I$17,'Industrial Summary'!$D:$D,$E302)&gt;0,((-SUMIFS('Industrial Summary'!$G:$G,'Industrial Summary'!$F:$F,I$17,'Industrial Summary'!$D:$D,$E302,'Industrial Summary'!$A:$A,"BIO")+-SUMIFS('Industrial Summary'!$G:$G,'Industrial Summary'!$F:$F,I$17,'Industrial Summary'!$D:$D,"IMORSTM",'Industrial Summary'!$A:$A,"BIO"))/SUMIFS('Industrial Summary'!$G:$G,'Industrial Summary'!$F:$F,I$17,'Industrial Summary'!$D:$D,$E302)),0))*0.98</f>
        <v>0</v>
      </c>
      <c r="J302" s="6">
        <f>(IF(SUMIFS('Industrial Summary'!$G:$G,'Industrial Summary'!$F:$F,J$17,'Industrial Summary'!$D:$D,$E302)&gt;0,((-SUMIFS('Industrial Summary'!$G:$G,'Industrial Summary'!$F:$F,J$17,'Industrial Summary'!$D:$D,$E302,'Industrial Summary'!$A:$A,"BIO")+-SUMIFS('Industrial Summary'!$G:$G,'Industrial Summary'!$F:$F,J$17,'Industrial Summary'!$D:$D,"IMORSTM",'Industrial Summary'!$A:$A,"BIO"))/SUMIFS('Industrial Summary'!$G:$G,'Industrial Summary'!$F:$F,J$17,'Industrial Summary'!$D:$D,$E302)),0))*0.98</f>
        <v>-3.2196313657704888E-2</v>
      </c>
      <c r="K302" s="6">
        <f>(IF(SUMIFS('Industrial Summary'!$G:$G,'Industrial Summary'!$F:$F,K$17,'Industrial Summary'!$D:$D,$E302)&gt;0,((-SUMIFS('Industrial Summary'!$G:$G,'Industrial Summary'!$F:$F,K$17,'Industrial Summary'!$D:$D,$E302,'Industrial Summary'!$A:$A,"BIO")+-SUMIFS('Industrial Summary'!$G:$G,'Industrial Summary'!$F:$F,K$17,'Industrial Summary'!$D:$D,"IMORSTM",'Industrial Summary'!$A:$A,"BIO"))/SUMIFS('Industrial Summary'!$G:$G,'Industrial Summary'!$F:$F,K$17,'Industrial Summary'!$D:$D,$E302)),0))*0.98</f>
        <v>-3.2014231717049965E-2</v>
      </c>
      <c r="L302" s="6">
        <f>(IF(SUMIFS('Industrial Summary'!$G:$G,'Industrial Summary'!$F:$F,L$17,'Industrial Summary'!$D:$D,$E302)&gt;0,((-SUMIFS('Industrial Summary'!$G:$G,'Industrial Summary'!$F:$F,L$17,'Industrial Summary'!$D:$D,$E302,'Industrial Summary'!$A:$A,"BIO")+-SUMIFS('Industrial Summary'!$G:$G,'Industrial Summary'!$F:$F,L$17,'Industrial Summary'!$D:$D,"IMORSTM",'Industrial Summary'!$A:$A,"BIO"))/SUMIFS('Industrial Summary'!$G:$G,'Industrial Summary'!$F:$F,L$17,'Industrial Summary'!$D:$D,$E302)),0))*0.98</f>
        <v>-0.16026288219511586</v>
      </c>
      <c r="M302" s="6">
        <f>(IF(SUMIFS('Industrial Summary'!$G:$G,'Industrial Summary'!$F:$F,M$17,'Industrial Summary'!$D:$D,$E302)&gt;0,((-SUMIFS('Industrial Summary'!$G:$G,'Industrial Summary'!$F:$F,M$17,'Industrial Summary'!$D:$D,$E302,'Industrial Summary'!$A:$A,"BIO")+-SUMIFS('Industrial Summary'!$G:$G,'Industrial Summary'!$F:$F,M$17,'Industrial Summary'!$D:$D,"IMORSTM",'Industrial Summary'!$A:$A,"BIO"))/SUMIFS('Industrial Summary'!$G:$G,'Industrial Summary'!$F:$F,M$17,'Industrial Summary'!$D:$D,$E302)),0))*0.98</f>
        <v>-0.16026288219511584</v>
      </c>
      <c r="N302" s="6">
        <f>(IF(SUMIFS('Industrial Summary'!$G:$G,'Industrial Summary'!$F:$F,N$17,'Industrial Summary'!$D:$D,$E302)&gt;0,((-SUMIFS('Industrial Summary'!$G:$G,'Industrial Summary'!$F:$F,N$17,'Industrial Summary'!$D:$D,$E302,'Industrial Summary'!$A:$A,"BIO")+-SUMIFS('Industrial Summary'!$G:$G,'Industrial Summary'!$F:$F,N$17,'Industrial Summary'!$D:$D,"IMORSTM",'Industrial Summary'!$A:$A,"BIO"))/SUMIFS('Industrial Summary'!$G:$G,'Industrial Summary'!$F:$F,N$17,'Industrial Summary'!$D:$D,$E302)),0))*0.98</f>
        <v>-0.18029574246950464</v>
      </c>
      <c r="O302" s="6">
        <f>(IF(SUMIFS('Industrial Summary'!$G:$G,'Industrial Summary'!$F:$F,O$17,'Industrial Summary'!$D:$D,$E302)&gt;0,((-SUMIFS('Industrial Summary'!$G:$G,'Industrial Summary'!$F:$F,O$17,'Industrial Summary'!$D:$D,$E302,'Industrial Summary'!$A:$A,"BIO")+-SUMIFS('Industrial Summary'!$G:$G,'Industrial Summary'!$F:$F,O$17,'Industrial Summary'!$D:$D,"IMORSTM",'Industrial Summary'!$A:$A,"BIO"))/SUMIFS('Industrial Summary'!$G:$G,'Industrial Summary'!$F:$F,O$17,'Industrial Summary'!$D:$D,$E302)),0))*0.98</f>
        <v>0</v>
      </c>
      <c r="P302" s="6">
        <f>(IF(SUMIFS('Industrial Summary'!$G:$G,'Industrial Summary'!$F:$F,P$17,'Industrial Summary'!$D:$D,$E302)&gt;0,((-SUMIFS('Industrial Summary'!$G:$G,'Industrial Summary'!$F:$F,P$17,'Industrial Summary'!$D:$D,$E302,'Industrial Summary'!$A:$A,"BIO")+-SUMIFS('Industrial Summary'!$G:$G,'Industrial Summary'!$F:$F,P$17,'Industrial Summary'!$D:$D,"IMORSTM",'Industrial Summary'!$A:$A,"BIO"))/SUMIFS('Industrial Summary'!$G:$G,'Industrial Summary'!$F:$F,P$17,'Industrial Summary'!$D:$D,$E302)),0))*0.98</f>
        <v>0</v>
      </c>
      <c r="Q302" s="5">
        <v>0</v>
      </c>
      <c r="R302" s="5">
        <v>15</v>
      </c>
      <c r="S302" s="5" t="str">
        <f t="shared" si="63"/>
        <v>UC_IMOOH_BIO</v>
      </c>
      <c r="V302" s="4" t="str">
        <f t="shared" si="64"/>
        <v>S_IMOOHBIO</v>
      </c>
      <c r="W302" s="4" t="str">
        <f t="shared" si="65"/>
        <v>IMOOH_BIO</v>
      </c>
      <c r="X302" s="4" t="str">
        <f t="shared" si="66"/>
        <v>IMOOHT</v>
      </c>
      <c r="Y302" s="5" t="str">
        <f t="shared" si="67"/>
        <v>LO</v>
      </c>
      <c r="Z302" s="5">
        <v>1</v>
      </c>
      <c r="AA302" s="6">
        <f t="shared" si="68"/>
        <v>0</v>
      </c>
      <c r="AB302" s="6">
        <f t="shared" si="69"/>
        <v>0</v>
      </c>
      <c r="AC302" s="6">
        <f t="shared" si="70"/>
        <v>-3.2196313657704888E-2</v>
      </c>
      <c r="AD302" s="6">
        <f t="shared" si="71"/>
        <v>-3.2014231717049965E-2</v>
      </c>
      <c r="AE302" s="6">
        <f t="shared" si="72"/>
        <v>-0.16026288219511586</v>
      </c>
      <c r="AF302" s="6">
        <f t="shared" si="73"/>
        <v>-0.16026288219511584</v>
      </c>
      <c r="AG302" s="6">
        <f t="shared" si="74"/>
        <v>-0.18029574246950464</v>
      </c>
      <c r="AH302" s="6">
        <f t="shared" si="75"/>
        <v>0</v>
      </c>
      <c r="AI302" s="6">
        <f t="shared" si="76"/>
        <v>0</v>
      </c>
      <c r="AL302" s="5" t="str">
        <f t="shared" si="77"/>
        <v>BIO</v>
      </c>
      <c r="AM302" s="5">
        <f>1</f>
        <v>1</v>
      </c>
    </row>
    <row r="303" spans="1:39" s="5" customFormat="1" x14ac:dyDescent="0.3">
      <c r="C303" s="4" t="s">
        <v>619</v>
      </c>
      <c r="D303" s="5" t="s">
        <v>620</v>
      </c>
      <c r="E303" s="5" t="s">
        <v>767</v>
      </c>
      <c r="F303" s="5" t="s">
        <v>1588</v>
      </c>
      <c r="G303" s="5">
        <v>1</v>
      </c>
      <c r="H303" s="6">
        <f>(IF(SUMIFS('Industrial Summary'!$G:$G,'Industrial Summary'!$F:$F,H$17,'Industrial Summary'!$D:$D,$E303)&gt;0,((-SUMIFS('Industrial Summary'!$G:$G,'Industrial Summary'!$F:$F,H$17,'Industrial Summary'!$D:$D,$E303,'Industrial Summary'!$A:$A,"PTC")+-SUMIFS('Industrial Summary'!$G:$G,'Industrial Summary'!$F:$F,H$17,'Industrial Summary'!$D:$D,"IMORSTM",'Industrial Summary'!$A:$A,"PTC"))/SUMIFS('Industrial Summary'!$G:$G,'Industrial Summary'!$F:$F,H$17,'Industrial Summary'!$D:$D,$E303)),0))*0.98</f>
        <v>0</v>
      </c>
      <c r="I303" s="6">
        <f>(IF(SUMIFS('Industrial Summary'!$G:$G,'Industrial Summary'!$F:$F,I$17,'Industrial Summary'!$D:$D,$E303)&gt;0,((-SUMIFS('Industrial Summary'!$G:$G,'Industrial Summary'!$F:$F,I$17,'Industrial Summary'!$D:$D,$E303,'Industrial Summary'!$A:$A,"PTC")+-SUMIFS('Industrial Summary'!$G:$G,'Industrial Summary'!$F:$F,I$17,'Industrial Summary'!$D:$D,"IMORSTM",'Industrial Summary'!$A:$A,"PTC"))/SUMIFS('Industrial Summary'!$G:$G,'Industrial Summary'!$F:$F,I$17,'Industrial Summary'!$D:$D,$E303)),0))*0.98</f>
        <v>0</v>
      </c>
      <c r="J303" s="6">
        <f>(IF(SUMIFS('Industrial Summary'!$G:$G,'Industrial Summary'!$F:$F,J$17,'Industrial Summary'!$D:$D,$E303)&gt;0,((-SUMIFS('Industrial Summary'!$G:$G,'Industrial Summary'!$F:$F,J$17,'Industrial Summary'!$D:$D,$E303,'Industrial Summary'!$A:$A,"PTC")+-SUMIFS('Industrial Summary'!$G:$G,'Industrial Summary'!$F:$F,J$17,'Industrial Summary'!$D:$D,"IMORSTM",'Industrial Summary'!$A:$A,"PTC"))/SUMIFS('Industrial Summary'!$G:$G,'Industrial Summary'!$F:$F,J$17,'Industrial Summary'!$D:$D,$E303)),0))*0.98</f>
        <v>-0.4344861857133962</v>
      </c>
      <c r="K303" s="6">
        <f>(IF(SUMIFS('Industrial Summary'!$G:$G,'Industrial Summary'!$F:$F,K$17,'Industrial Summary'!$D:$D,$E303)&gt;0,((-SUMIFS('Industrial Summary'!$G:$G,'Industrial Summary'!$F:$F,K$17,'Industrial Summary'!$D:$D,$E303,'Industrial Summary'!$A:$A,"PTC")+-SUMIFS('Industrial Summary'!$G:$G,'Industrial Summary'!$F:$F,K$17,'Industrial Summary'!$D:$D,"IMORSTM",'Industrial Summary'!$A:$A,"PTC"))/SUMIFS('Industrial Summary'!$G:$G,'Industrial Summary'!$F:$F,K$17,'Industrial Summary'!$D:$D,$E303)),0))*0.98</f>
        <v>-0.40866518936837992</v>
      </c>
      <c r="L303" s="6">
        <f>(IF(SUMIFS('Industrial Summary'!$G:$G,'Industrial Summary'!$F:$F,L$17,'Industrial Summary'!$D:$D,$E303)&gt;0,((-SUMIFS('Industrial Summary'!$G:$G,'Industrial Summary'!$F:$F,L$17,'Industrial Summary'!$D:$D,$E303,'Industrial Summary'!$A:$A,"PTC")+-SUMIFS('Industrial Summary'!$G:$G,'Industrial Summary'!$F:$F,L$17,'Industrial Summary'!$D:$D,"IMORSTM",'Industrial Summary'!$A:$A,"PTC"))/SUMIFS('Industrial Summary'!$G:$G,'Industrial Summary'!$F:$F,L$17,'Industrial Summary'!$D:$D,$E303)),0))*0.98</f>
        <v>-0.16623531208481512</v>
      </c>
      <c r="M303" s="6">
        <f>(IF(SUMIFS('Industrial Summary'!$G:$G,'Industrial Summary'!$F:$F,M$17,'Industrial Summary'!$D:$D,$E303)&gt;0,((-SUMIFS('Industrial Summary'!$G:$G,'Industrial Summary'!$F:$F,M$17,'Industrial Summary'!$D:$D,$E303,'Industrial Summary'!$A:$A,"PTC")+-SUMIFS('Industrial Summary'!$G:$G,'Industrial Summary'!$F:$F,M$17,'Industrial Summary'!$D:$D,"IMORSTM",'Industrial Summary'!$A:$A,"PTC"))/SUMIFS('Industrial Summary'!$G:$G,'Industrial Summary'!$F:$F,M$17,'Industrial Summary'!$D:$D,$E303)),0))*0.98</f>
        <v>-0.16623531208481476</v>
      </c>
      <c r="N303" s="6">
        <f>(IF(SUMIFS('Industrial Summary'!$G:$G,'Industrial Summary'!$F:$F,N$17,'Industrial Summary'!$D:$D,$E303)&gt;0,((-SUMIFS('Industrial Summary'!$G:$G,'Industrial Summary'!$F:$F,N$17,'Industrial Summary'!$D:$D,$E303,'Industrial Summary'!$A:$A,"PTC")+-SUMIFS('Industrial Summary'!$G:$G,'Industrial Summary'!$F:$F,N$17,'Industrial Summary'!$D:$D,"IMORSTM",'Industrial Summary'!$A:$A,"PTC"))/SUMIFS('Industrial Summary'!$G:$G,'Industrial Summary'!$F:$F,N$17,'Industrial Summary'!$D:$D,$E303)),0))*0.98</f>
        <v>-6.4514726095421401E-2</v>
      </c>
      <c r="O303" s="6">
        <f>(IF(SUMIFS('Industrial Summary'!$G:$G,'Industrial Summary'!$F:$F,O$17,'Industrial Summary'!$D:$D,$E303)&gt;0,((-SUMIFS('Industrial Summary'!$G:$G,'Industrial Summary'!$F:$F,O$17,'Industrial Summary'!$D:$D,$E303,'Industrial Summary'!$A:$A,"PTC")+-SUMIFS('Industrial Summary'!$G:$G,'Industrial Summary'!$F:$F,O$17,'Industrial Summary'!$D:$D,"IMORSTM",'Industrial Summary'!$A:$A,"PTC"))/SUMIFS('Industrial Summary'!$G:$G,'Industrial Summary'!$F:$F,O$17,'Industrial Summary'!$D:$D,$E303)),0))*0.98</f>
        <v>0</v>
      </c>
      <c r="P303" s="6">
        <f>(IF(SUMIFS('Industrial Summary'!$G:$G,'Industrial Summary'!$F:$F,P$17,'Industrial Summary'!$D:$D,$E303)&gt;0,((-SUMIFS('Industrial Summary'!$G:$G,'Industrial Summary'!$F:$F,P$17,'Industrial Summary'!$D:$D,$E303,'Industrial Summary'!$A:$A,"PTC")+-SUMIFS('Industrial Summary'!$G:$G,'Industrial Summary'!$F:$F,P$17,'Industrial Summary'!$D:$D,"IMORSTM",'Industrial Summary'!$A:$A,"PTC"))/SUMIFS('Industrial Summary'!$G:$G,'Industrial Summary'!$F:$F,P$17,'Industrial Summary'!$D:$D,$E303)),0))*0.98</f>
        <v>0</v>
      </c>
      <c r="Q303" s="5">
        <v>0</v>
      </c>
      <c r="R303" s="5">
        <v>15</v>
      </c>
      <c r="S303" s="5" t="str">
        <f t="shared" si="63"/>
        <v>UC_IMOOH_PTC</v>
      </c>
      <c r="V303" s="4" t="str">
        <f t="shared" si="64"/>
        <v>S_IMOOHPTC</v>
      </c>
      <c r="W303" s="4" t="str">
        <f t="shared" si="65"/>
        <v>IMOOH_PTC</v>
      </c>
      <c r="X303" s="4" t="str">
        <f t="shared" si="66"/>
        <v>IMOOHT</v>
      </c>
      <c r="Y303" s="5" t="str">
        <f t="shared" si="67"/>
        <v>LO</v>
      </c>
      <c r="Z303" s="5">
        <v>1</v>
      </c>
      <c r="AA303" s="6">
        <f t="shared" si="68"/>
        <v>0</v>
      </c>
      <c r="AB303" s="6">
        <f t="shared" si="69"/>
        <v>0</v>
      </c>
      <c r="AC303" s="6">
        <f t="shared" si="70"/>
        <v>-0.4344861857133962</v>
      </c>
      <c r="AD303" s="6">
        <f t="shared" si="71"/>
        <v>-0.40866518936837992</v>
      </c>
      <c r="AE303" s="6">
        <f t="shared" si="72"/>
        <v>-0.16623531208481512</v>
      </c>
      <c r="AF303" s="6">
        <f t="shared" si="73"/>
        <v>-0.16623531208481476</v>
      </c>
      <c r="AG303" s="6">
        <f t="shared" si="74"/>
        <v>-6.4514726095421401E-2</v>
      </c>
      <c r="AH303" s="6">
        <f t="shared" si="75"/>
        <v>0</v>
      </c>
      <c r="AI303" s="6">
        <f t="shared" si="76"/>
        <v>0</v>
      </c>
      <c r="AL303" s="5" t="str">
        <f t="shared" si="77"/>
        <v>PTC</v>
      </c>
      <c r="AM303" s="5">
        <f>1</f>
        <v>1</v>
      </c>
    </row>
    <row r="304" spans="1:39" s="5" customFormat="1" x14ac:dyDescent="0.3">
      <c r="A304" s="8"/>
      <c r="C304" s="4" t="s">
        <v>621</v>
      </c>
      <c r="D304" s="5" t="s">
        <v>622</v>
      </c>
      <c r="E304" s="5" t="s">
        <v>767</v>
      </c>
      <c r="F304" s="5" t="s">
        <v>1588</v>
      </c>
      <c r="G304" s="5">
        <v>1</v>
      </c>
      <c r="H304" s="6">
        <f>(IF(SUMIFS('Industrial Summary'!$G:$G,'Industrial Summary'!$F:$F,H$17,'Industrial Summary'!$D:$D,$E304)&gt;0,((-SUMIFS('Industrial Summary'!$G:$G,'Industrial Summary'!$F:$F,H$17,'Industrial Summary'!$D:$D,$E304,'Industrial Summary'!$A:$A,"OTP")+-SUMIFS('Industrial Summary'!$G:$G,'Industrial Summary'!$F:$F,H$17,'Industrial Summary'!$D:$D,"IMORSTM",'Industrial Summary'!$A:$A,"OTP"))/SUMIFS('Industrial Summary'!$G:$G,'Industrial Summary'!$F:$F,H$17,'Industrial Summary'!$D:$D,$E304)),0))*0.98</f>
        <v>0</v>
      </c>
      <c r="I304" s="6">
        <f>(IF(SUMIFS('Industrial Summary'!$G:$G,'Industrial Summary'!$F:$F,I$17,'Industrial Summary'!$D:$D,$E304)&gt;0,((-SUMIFS('Industrial Summary'!$G:$G,'Industrial Summary'!$F:$F,I$17,'Industrial Summary'!$D:$D,$E304,'Industrial Summary'!$A:$A,"OTP")+-SUMIFS('Industrial Summary'!$G:$G,'Industrial Summary'!$F:$F,I$17,'Industrial Summary'!$D:$D,"IMORSTM",'Industrial Summary'!$A:$A,"OTP"))/SUMIFS('Industrial Summary'!$G:$G,'Industrial Summary'!$F:$F,I$17,'Industrial Summary'!$D:$D,$E304)),0))*0.98</f>
        <v>0</v>
      </c>
      <c r="J304" s="6">
        <f>(IF(SUMIFS('Industrial Summary'!$G:$G,'Industrial Summary'!$F:$F,J$17,'Industrial Summary'!$D:$D,$E304)&gt;0,((-SUMIFS('Industrial Summary'!$G:$G,'Industrial Summary'!$F:$F,J$17,'Industrial Summary'!$D:$D,$E304,'Industrial Summary'!$A:$A,"OTP")+-SUMIFS('Industrial Summary'!$G:$G,'Industrial Summary'!$F:$F,J$17,'Industrial Summary'!$D:$D,"IMORSTM",'Industrial Summary'!$A:$A,"OTP"))/SUMIFS('Industrial Summary'!$G:$G,'Industrial Summary'!$F:$F,J$17,'Industrial Summary'!$D:$D,$E304)),0))*0.98</f>
        <v>0</v>
      </c>
      <c r="K304" s="6">
        <f>(IF(SUMIFS('Industrial Summary'!$G:$G,'Industrial Summary'!$F:$F,K$17,'Industrial Summary'!$D:$D,$E304)&gt;0,((-SUMIFS('Industrial Summary'!$G:$G,'Industrial Summary'!$F:$F,K$17,'Industrial Summary'!$D:$D,$E304,'Industrial Summary'!$A:$A,"OTP")+-SUMIFS('Industrial Summary'!$G:$G,'Industrial Summary'!$F:$F,K$17,'Industrial Summary'!$D:$D,"IMORSTM",'Industrial Summary'!$A:$A,"OTP"))/SUMIFS('Industrial Summary'!$G:$G,'Industrial Summary'!$F:$F,K$17,'Industrial Summary'!$D:$D,$E304)),0))*0.98</f>
        <v>0</v>
      </c>
      <c r="L304" s="6">
        <f>(IF(SUMIFS('Industrial Summary'!$G:$G,'Industrial Summary'!$F:$F,L$17,'Industrial Summary'!$D:$D,$E304)&gt;0,((-SUMIFS('Industrial Summary'!$G:$G,'Industrial Summary'!$F:$F,L$17,'Industrial Summary'!$D:$D,$E304,'Industrial Summary'!$A:$A,"OTP")+-SUMIFS('Industrial Summary'!$G:$G,'Industrial Summary'!$F:$F,L$17,'Industrial Summary'!$D:$D,"IMORSTM",'Industrial Summary'!$A:$A,"OTP"))/SUMIFS('Industrial Summary'!$G:$G,'Industrial Summary'!$F:$F,L$17,'Industrial Summary'!$D:$D,$E304)),0))*0.98</f>
        <v>-4.8979152796746715E-3</v>
      </c>
      <c r="M304" s="6">
        <f>(IF(SUMIFS('Industrial Summary'!$G:$G,'Industrial Summary'!$F:$F,M$17,'Industrial Summary'!$D:$D,$E304)&gt;0,((-SUMIFS('Industrial Summary'!$G:$G,'Industrial Summary'!$F:$F,M$17,'Industrial Summary'!$D:$D,$E304,'Industrial Summary'!$A:$A,"OTP")+-SUMIFS('Industrial Summary'!$G:$G,'Industrial Summary'!$F:$F,M$17,'Industrial Summary'!$D:$D,"IMORSTM",'Industrial Summary'!$A:$A,"OTP"))/SUMIFS('Industrial Summary'!$G:$G,'Industrial Summary'!$F:$F,M$17,'Industrial Summary'!$D:$D,$E304)),0))*0.98</f>
        <v>-4.8979152796746663E-3</v>
      </c>
      <c r="N304" s="6">
        <f>(IF(SUMIFS('Industrial Summary'!$G:$G,'Industrial Summary'!$F:$F,N$17,'Industrial Summary'!$D:$D,$E304)&gt;0,((-SUMIFS('Industrial Summary'!$G:$G,'Industrial Summary'!$F:$F,N$17,'Industrial Summary'!$D:$D,$E304,'Industrial Summary'!$A:$A,"OTP")+-SUMIFS('Industrial Summary'!$G:$G,'Industrial Summary'!$F:$F,N$17,'Industrial Summary'!$D:$D,"IMORSTM",'Industrial Summary'!$A:$A,"OTP"))/SUMIFS('Industrial Summary'!$G:$G,'Industrial Summary'!$F:$F,N$17,'Industrial Summary'!$D:$D,$E304)),0))*0.98</f>
        <v>-5.5101546896339773E-3</v>
      </c>
      <c r="O304" s="6">
        <f>(IF(SUMIFS('Industrial Summary'!$G:$G,'Industrial Summary'!$F:$F,O$17,'Industrial Summary'!$D:$D,$E304)&gt;0,((-SUMIFS('Industrial Summary'!$G:$G,'Industrial Summary'!$F:$F,O$17,'Industrial Summary'!$D:$D,$E304,'Industrial Summary'!$A:$A,"OTP")+-SUMIFS('Industrial Summary'!$G:$G,'Industrial Summary'!$F:$F,O$17,'Industrial Summary'!$D:$D,"IMORSTM",'Industrial Summary'!$A:$A,"OTP"))/SUMIFS('Industrial Summary'!$G:$G,'Industrial Summary'!$F:$F,O$17,'Industrial Summary'!$D:$D,$E304)),0))*0.98</f>
        <v>0</v>
      </c>
      <c r="P304" s="6">
        <f>(IF(SUMIFS('Industrial Summary'!$G:$G,'Industrial Summary'!$F:$F,P$17,'Industrial Summary'!$D:$D,$E304)&gt;0,((-SUMIFS('Industrial Summary'!$G:$G,'Industrial Summary'!$F:$F,P$17,'Industrial Summary'!$D:$D,$E304,'Industrial Summary'!$A:$A,"OTP")+-SUMIFS('Industrial Summary'!$G:$G,'Industrial Summary'!$F:$F,P$17,'Industrial Summary'!$D:$D,"IMORSTM",'Industrial Summary'!$A:$A,"OTP"))/SUMIFS('Industrial Summary'!$G:$G,'Industrial Summary'!$F:$F,P$17,'Industrial Summary'!$D:$D,$E304)),0))*0.98</f>
        <v>0</v>
      </c>
      <c r="Q304" s="5">
        <v>0</v>
      </c>
      <c r="R304" s="5">
        <v>15</v>
      </c>
      <c r="S304" s="5" t="str">
        <f t="shared" si="63"/>
        <v>UC_IMOOH_OTP</v>
      </c>
      <c r="V304" s="4" t="str">
        <f t="shared" si="64"/>
        <v>S_IMOOHOTP</v>
      </c>
      <c r="W304" s="4" t="str">
        <f t="shared" si="65"/>
        <v>IMOOH_OTP</v>
      </c>
      <c r="X304" s="4" t="str">
        <f t="shared" si="66"/>
        <v>IMOOHT</v>
      </c>
      <c r="Y304" s="5" t="str">
        <f t="shared" si="67"/>
        <v>LO</v>
      </c>
      <c r="Z304" s="5">
        <v>1</v>
      </c>
      <c r="AA304" s="6">
        <f t="shared" si="68"/>
        <v>0</v>
      </c>
      <c r="AB304" s="6">
        <f t="shared" si="69"/>
        <v>0</v>
      </c>
      <c r="AC304" s="6">
        <f t="shared" si="70"/>
        <v>0</v>
      </c>
      <c r="AD304" s="6">
        <f t="shared" si="71"/>
        <v>0</v>
      </c>
      <c r="AE304" s="6">
        <f t="shared" si="72"/>
        <v>-4.8979152796746715E-3</v>
      </c>
      <c r="AF304" s="6">
        <f t="shared" si="73"/>
        <v>-4.8979152796746663E-3</v>
      </c>
      <c r="AG304" s="6">
        <f t="shared" si="74"/>
        <v>-5.5101546896339773E-3</v>
      </c>
      <c r="AH304" s="6">
        <f t="shared" si="75"/>
        <v>0</v>
      </c>
      <c r="AI304" s="6">
        <f t="shared" si="76"/>
        <v>0</v>
      </c>
      <c r="AL304" s="5" t="str">
        <f t="shared" si="77"/>
        <v>OTP</v>
      </c>
      <c r="AM304" s="5">
        <f>1</f>
        <v>1</v>
      </c>
    </row>
    <row r="305" spans="1:39" s="5" customFormat="1" x14ac:dyDescent="0.3">
      <c r="C305" s="4" t="s">
        <v>623</v>
      </c>
      <c r="D305" s="5" t="s">
        <v>624</v>
      </c>
      <c r="E305" s="5" t="s">
        <v>722</v>
      </c>
      <c r="F305" s="5" t="s">
        <v>1588</v>
      </c>
      <c r="G305" s="5">
        <v>1</v>
      </c>
      <c r="H305" s="6">
        <f>IF(SUMIFS('Industrial Summary'!$G:$G,'Industrial Summary'!$F:$F,H$17,'Industrial Summary'!$D:$D,$E305)&gt;0,(-SUMIFS('Industrial Summary'!$G:$G,'Industrial Summary'!$F:$F,H$17,'Industrial Summary'!$D:$D,$E305,'Industrial Summary'!$A:$A,"RFL")/SUMIFS('Industrial Summary'!$G:$G,'Industrial Summary'!$F:$F,H$17,'Industrial Summary'!$D:$D,$E305)),0)*0.98</f>
        <v>0</v>
      </c>
      <c r="I305" s="6">
        <f>IF(SUMIFS('Industrial Summary'!$G:$G,'Industrial Summary'!$F:$F,I$17,'Industrial Summary'!$D:$D,$E305)&gt;0,(-SUMIFS('Industrial Summary'!$G:$G,'Industrial Summary'!$F:$F,I$17,'Industrial Summary'!$D:$D,$E305,'Industrial Summary'!$A:$A,"RFL")/SUMIFS('Industrial Summary'!$G:$G,'Industrial Summary'!$F:$F,I$17,'Industrial Summary'!$D:$D,$E305)),0)*0.98</f>
        <v>0</v>
      </c>
      <c r="J305" s="6">
        <f>IF(SUMIFS('Industrial Summary'!$G:$G,'Industrial Summary'!$F:$F,J$17,'Industrial Summary'!$D:$D,$E305)&gt;0,(-SUMIFS('Industrial Summary'!$G:$G,'Industrial Summary'!$F:$F,J$17,'Industrial Summary'!$D:$D,$E305,'Industrial Summary'!$A:$A,"RFL")/SUMIFS('Industrial Summary'!$G:$G,'Industrial Summary'!$F:$F,J$17,'Industrial Summary'!$D:$D,$E305)),0)*0.98</f>
        <v>0</v>
      </c>
      <c r="K305" s="6">
        <f>IF(SUMIFS('Industrial Summary'!$G:$G,'Industrial Summary'!$F:$F,K$17,'Industrial Summary'!$D:$D,$E305)&gt;0,(-SUMIFS('Industrial Summary'!$G:$G,'Industrial Summary'!$F:$F,K$17,'Industrial Summary'!$D:$D,$E305,'Industrial Summary'!$A:$A,"RFL")/SUMIFS('Industrial Summary'!$G:$G,'Industrial Summary'!$F:$F,K$17,'Industrial Summary'!$D:$D,$E305)),0)*0.98</f>
        <v>0</v>
      </c>
      <c r="L305" s="6">
        <f>IF(SUMIFS('Industrial Summary'!$G:$G,'Industrial Summary'!$F:$F,L$17,'Industrial Summary'!$D:$D,$E305)&gt;0,(-SUMIFS('Industrial Summary'!$G:$G,'Industrial Summary'!$F:$F,L$17,'Industrial Summary'!$D:$D,$E305,'Industrial Summary'!$A:$A,"RFL")/SUMIFS('Industrial Summary'!$G:$G,'Industrial Summary'!$F:$F,L$17,'Industrial Summary'!$D:$D,$E305)),0)*0.98</f>
        <v>-3.0477471828077196E-2</v>
      </c>
      <c r="M305" s="6">
        <f>IF(SUMIFS('Industrial Summary'!$G:$G,'Industrial Summary'!$F:$F,M$17,'Industrial Summary'!$D:$D,$E305)&gt;0,(-SUMIFS('Industrial Summary'!$G:$G,'Industrial Summary'!$F:$F,M$17,'Industrial Summary'!$D:$D,$E305,'Industrial Summary'!$A:$A,"RFL")/SUMIFS('Industrial Summary'!$G:$G,'Industrial Summary'!$F:$F,M$17,'Industrial Summary'!$D:$D,$E305)),0)*0.98</f>
        <v>-3.0462153477204428E-2</v>
      </c>
      <c r="N305" s="6">
        <f>IF(SUMIFS('Industrial Summary'!$G:$G,'Industrial Summary'!$F:$F,N$17,'Industrial Summary'!$D:$D,$E305)&gt;0,(-SUMIFS('Industrial Summary'!$G:$G,'Industrial Summary'!$F:$F,N$17,'Industrial Summary'!$D:$D,$E305,'Industrial Summary'!$A:$A,"RFL")/SUMIFS('Industrial Summary'!$G:$G,'Industrial Summary'!$F:$F,N$17,'Industrial Summary'!$D:$D,$E305)),0)*0.98</f>
        <v>-3.0462153477204275E-2</v>
      </c>
      <c r="O305" s="6">
        <f>IF(SUMIFS('Industrial Summary'!$G:$G,'Industrial Summary'!$F:$F,O$17,'Industrial Summary'!$D:$D,$E305)&gt;0,(-SUMIFS('Industrial Summary'!$G:$G,'Industrial Summary'!$F:$F,O$17,'Industrial Summary'!$D:$D,$E305,'Industrial Summary'!$A:$A,"RFL")/SUMIFS('Industrial Summary'!$G:$G,'Industrial Summary'!$F:$F,O$17,'Industrial Summary'!$D:$D,$E305)),0)*0.98</f>
        <v>0</v>
      </c>
      <c r="P305" s="6">
        <f>IF(SUMIFS('Industrial Summary'!$G:$G,'Industrial Summary'!$F:$F,P$17,'Industrial Summary'!$D:$D,$E305)&gt;0,(-SUMIFS('Industrial Summary'!$G:$G,'Industrial Summary'!$F:$F,P$17,'Industrial Summary'!$D:$D,$E305,'Industrial Summary'!$A:$A,"RFL")/SUMIFS('Industrial Summary'!$G:$G,'Industrial Summary'!$F:$F,P$17,'Industrial Summary'!$D:$D,$E305)),0)*0.98</f>
        <v>0</v>
      </c>
      <c r="Q305" s="5">
        <v>0</v>
      </c>
      <c r="R305" s="5">
        <v>15</v>
      </c>
      <c r="S305" s="5" t="str">
        <f t="shared" si="63"/>
        <v>UC_IOTFS_RFL</v>
      </c>
      <c r="V305" s="4" t="str">
        <f t="shared" si="64"/>
        <v>S_IOTFSRFL</v>
      </c>
      <c r="W305" s="4" t="str">
        <f t="shared" si="65"/>
        <v>IOTFS_RFL</v>
      </c>
      <c r="X305" s="4" t="str">
        <f t="shared" si="66"/>
        <v>IOTFEED</v>
      </c>
      <c r="Y305" s="5" t="str">
        <f t="shared" si="67"/>
        <v>LO</v>
      </c>
      <c r="Z305" s="5">
        <v>1</v>
      </c>
      <c r="AA305" s="6">
        <f t="shared" si="68"/>
        <v>0</v>
      </c>
      <c r="AB305" s="6">
        <f t="shared" si="69"/>
        <v>0</v>
      </c>
      <c r="AC305" s="6">
        <f t="shared" si="70"/>
        <v>0</v>
      </c>
      <c r="AD305" s="6">
        <f t="shared" si="71"/>
        <v>0</v>
      </c>
      <c r="AE305" s="6">
        <f t="shared" si="72"/>
        <v>-3.0477471828077196E-2</v>
      </c>
      <c r="AF305" s="6">
        <f t="shared" si="73"/>
        <v>-3.0462153477204428E-2</v>
      </c>
      <c r="AG305" s="6">
        <f t="shared" si="74"/>
        <v>-3.0462153477204275E-2</v>
      </c>
      <c r="AH305" s="6">
        <f t="shared" si="75"/>
        <v>0</v>
      </c>
      <c r="AI305" s="6">
        <f t="shared" si="76"/>
        <v>0</v>
      </c>
      <c r="AL305" s="5" t="str">
        <f t="shared" si="77"/>
        <v>RFL</v>
      </c>
      <c r="AM305" s="5">
        <f>1</f>
        <v>1</v>
      </c>
    </row>
    <row r="306" spans="1:39" s="5" customFormat="1" x14ac:dyDescent="0.3">
      <c r="C306" s="4" t="s">
        <v>625</v>
      </c>
      <c r="D306" s="5" t="s">
        <v>626</v>
      </c>
      <c r="E306" s="5" t="s">
        <v>722</v>
      </c>
      <c r="F306" s="5" t="s">
        <v>1588</v>
      </c>
      <c r="G306" s="5">
        <v>1</v>
      </c>
      <c r="H306" s="6">
        <f>IF(SUMIFS('Industrial Summary'!$G:$G,'Industrial Summary'!$F:$F,H$17,'Industrial Summary'!$D:$D,$E306)&gt;0,(-SUMIFS('Industrial Summary'!$G:$G,'Industrial Summary'!$F:$F,H$17,'Industrial Summary'!$D:$D,$E306,'Industrial Summary'!$A:$A,"DST")/SUMIFS('Industrial Summary'!$G:$G,'Industrial Summary'!$F:$F,H$17,'Industrial Summary'!$D:$D,$E306)),0)*0.98</f>
        <v>-0.54464822118263867</v>
      </c>
      <c r="I306" s="6">
        <f>IF(SUMIFS('Industrial Summary'!$G:$G,'Industrial Summary'!$F:$F,I$17,'Industrial Summary'!$D:$D,$E306)&gt;0,(-SUMIFS('Industrial Summary'!$G:$G,'Industrial Summary'!$F:$F,I$17,'Industrial Summary'!$D:$D,$E306,'Industrial Summary'!$A:$A,"DST")/SUMIFS('Industrial Summary'!$G:$G,'Industrial Summary'!$F:$F,I$17,'Industrial Summary'!$D:$D,$E306)),0)*0.98</f>
        <v>-0.4880682523571615</v>
      </c>
      <c r="J306" s="6">
        <f>IF(SUMIFS('Industrial Summary'!$G:$G,'Industrial Summary'!$F:$F,J$17,'Industrial Summary'!$D:$D,$E306)&gt;0,(-SUMIFS('Industrial Summary'!$G:$G,'Industrial Summary'!$F:$F,J$17,'Industrial Summary'!$D:$D,$E306,'Industrial Summary'!$A:$A,"DST")/SUMIFS('Industrial Summary'!$G:$G,'Industrial Summary'!$F:$F,J$17,'Industrial Summary'!$D:$D,$E306)),0)*0.98</f>
        <v>-9.9333798221162742E-2</v>
      </c>
      <c r="K306" s="6">
        <f>IF(SUMIFS('Industrial Summary'!$G:$G,'Industrial Summary'!$F:$F,K$17,'Industrial Summary'!$D:$D,$E306)&gt;0,(-SUMIFS('Industrial Summary'!$G:$G,'Industrial Summary'!$F:$F,K$17,'Industrial Summary'!$D:$D,$E306,'Industrial Summary'!$A:$A,"DST")/SUMIFS('Industrial Summary'!$G:$G,'Industrial Summary'!$F:$F,K$17,'Industrial Summary'!$D:$D,$E306)),0)*0.98</f>
        <v>-9.3815265152865507E-2</v>
      </c>
      <c r="L306" s="6">
        <f>IF(SUMIFS('Industrial Summary'!$G:$G,'Industrial Summary'!$F:$F,L$17,'Industrial Summary'!$D:$D,$E306)&gt;0,(-SUMIFS('Industrial Summary'!$G:$G,'Industrial Summary'!$F:$F,L$17,'Industrial Summary'!$D:$D,$E306,'Industrial Summary'!$A:$A,"DST")/SUMIFS('Industrial Summary'!$G:$G,'Industrial Summary'!$F:$F,L$17,'Industrial Summary'!$D:$D,$E306)),0)*0.98</f>
        <v>-6.9112103271637859E-2</v>
      </c>
      <c r="M306" s="6">
        <f>IF(SUMIFS('Industrial Summary'!$G:$G,'Industrial Summary'!$F:$F,M$17,'Industrial Summary'!$D:$D,$E306)&gt;0,(-SUMIFS('Industrial Summary'!$G:$G,'Industrial Summary'!$F:$F,M$17,'Industrial Summary'!$D:$D,$E306,'Industrial Summary'!$A:$A,"DST")/SUMIFS('Industrial Summary'!$G:$G,'Industrial Summary'!$F:$F,M$17,'Industrial Summary'!$D:$D,$E306)),0)*0.98</f>
        <v>-6.9077366681495472E-2</v>
      </c>
      <c r="N306" s="6">
        <f>IF(SUMIFS('Industrial Summary'!$G:$G,'Industrial Summary'!$F:$F,N$17,'Industrial Summary'!$D:$D,$E306)&gt;0,(-SUMIFS('Industrial Summary'!$G:$G,'Industrial Summary'!$F:$F,N$17,'Industrial Summary'!$D:$D,$E306,'Industrial Summary'!$A:$A,"DST")/SUMIFS('Industrial Summary'!$G:$G,'Industrial Summary'!$F:$F,N$17,'Industrial Summary'!$D:$D,$E306)),0)*0.98</f>
        <v>-6.9077366681495195E-2</v>
      </c>
      <c r="O306" s="6">
        <f>IF(SUMIFS('Industrial Summary'!$G:$G,'Industrial Summary'!$F:$F,O$17,'Industrial Summary'!$D:$D,$E306)&gt;0,(-SUMIFS('Industrial Summary'!$G:$G,'Industrial Summary'!$F:$F,O$17,'Industrial Summary'!$D:$D,$E306,'Industrial Summary'!$A:$A,"DST")/SUMIFS('Industrial Summary'!$G:$G,'Industrial Summary'!$F:$F,O$17,'Industrial Summary'!$D:$D,$E306)),0)*0.98</f>
        <v>0</v>
      </c>
      <c r="P306" s="6">
        <f>IF(SUMIFS('Industrial Summary'!$G:$G,'Industrial Summary'!$F:$F,P$17,'Industrial Summary'!$D:$D,$E306)&gt;0,(-SUMIFS('Industrial Summary'!$G:$G,'Industrial Summary'!$F:$F,P$17,'Industrial Summary'!$D:$D,$E306,'Industrial Summary'!$A:$A,"DST")/SUMIFS('Industrial Summary'!$G:$G,'Industrial Summary'!$F:$F,P$17,'Industrial Summary'!$D:$D,$E306)),0)*0.98</f>
        <v>0</v>
      </c>
      <c r="Q306" s="5">
        <v>0</v>
      </c>
      <c r="R306" s="5">
        <v>15</v>
      </c>
      <c r="S306" s="5" t="str">
        <f t="shared" si="63"/>
        <v>UC_IOTFS_DST</v>
      </c>
      <c r="V306" s="4" t="str">
        <f t="shared" si="64"/>
        <v>S_IOTFSDST</v>
      </c>
      <c r="W306" s="4" t="str">
        <f t="shared" si="65"/>
        <v>IOTFS_DST</v>
      </c>
      <c r="X306" s="4" t="str">
        <f t="shared" si="66"/>
        <v>IOTFEED</v>
      </c>
      <c r="Y306" s="5" t="str">
        <f t="shared" si="67"/>
        <v>LO</v>
      </c>
      <c r="Z306" s="5">
        <v>1</v>
      </c>
      <c r="AA306" s="6">
        <f t="shared" si="68"/>
        <v>-0.54464822118263867</v>
      </c>
      <c r="AB306" s="6">
        <f t="shared" si="69"/>
        <v>-0.4880682523571615</v>
      </c>
      <c r="AC306" s="6">
        <f t="shared" si="70"/>
        <v>-9.9333798221162742E-2</v>
      </c>
      <c r="AD306" s="6">
        <f t="shared" si="71"/>
        <v>-9.3815265152865507E-2</v>
      </c>
      <c r="AE306" s="6">
        <f t="shared" si="72"/>
        <v>-6.9112103271637859E-2</v>
      </c>
      <c r="AF306" s="6">
        <f t="shared" si="73"/>
        <v>-6.9077366681495472E-2</v>
      </c>
      <c r="AG306" s="6">
        <f t="shared" si="74"/>
        <v>-6.9077366681495195E-2</v>
      </c>
      <c r="AH306" s="6">
        <f t="shared" si="75"/>
        <v>0</v>
      </c>
      <c r="AI306" s="6">
        <f t="shared" si="76"/>
        <v>0</v>
      </c>
      <c r="AL306" s="5" t="str">
        <f t="shared" si="77"/>
        <v>DST</v>
      </c>
      <c r="AM306" s="5">
        <f>1</f>
        <v>1</v>
      </c>
    </row>
    <row r="307" spans="1:39" s="5" customFormat="1" x14ac:dyDescent="0.3">
      <c r="C307" s="4" t="s">
        <v>627</v>
      </c>
      <c r="D307" s="5" t="s">
        <v>628</v>
      </c>
      <c r="E307" s="5" t="s">
        <v>722</v>
      </c>
      <c r="F307" s="5" t="s">
        <v>1588</v>
      </c>
      <c r="G307" s="5">
        <v>1</v>
      </c>
      <c r="H307" s="6">
        <f>IF(SUMIFS('Industrial Summary'!$G:$G,'Industrial Summary'!$F:$F,H$17,'Industrial Summary'!$D:$D,$E307)&gt;0,(-SUMIFS('Industrial Summary'!$G:$G,'Industrial Summary'!$F:$F,H$17,'Industrial Summary'!$D:$D,$E307,'Industrial Summary'!$A:$A,"NGa")/SUMIFS('Industrial Summary'!$G:$G,'Industrial Summary'!$F:$F,H$17,'Industrial Summary'!$D:$D,$E307)),0)*0.98</f>
        <v>0</v>
      </c>
      <c r="I307" s="6">
        <f>IF(SUMIFS('Industrial Summary'!$G:$G,'Industrial Summary'!$F:$F,I$17,'Industrial Summary'!$D:$D,$E307)&gt;0,(-SUMIFS('Industrial Summary'!$G:$G,'Industrial Summary'!$F:$F,I$17,'Industrial Summary'!$D:$D,$E307,'Industrial Summary'!$A:$A,"NGa")/SUMIFS('Industrial Summary'!$G:$G,'Industrial Summary'!$F:$F,I$17,'Industrial Summary'!$D:$D,$E307)),0)*0.98</f>
        <v>0</v>
      </c>
      <c r="J307" s="6">
        <f>IF(SUMIFS('Industrial Summary'!$G:$G,'Industrial Summary'!$F:$F,J$17,'Industrial Summary'!$D:$D,$E307)&gt;0,(-SUMIFS('Industrial Summary'!$G:$G,'Industrial Summary'!$F:$F,J$17,'Industrial Summary'!$D:$D,$E307,'Industrial Summary'!$A:$A,"NGa")/SUMIFS('Industrial Summary'!$G:$G,'Industrial Summary'!$F:$F,J$17,'Industrial Summary'!$D:$D,$E307)),0)*0.98</f>
        <v>-0.65735288384255519</v>
      </c>
      <c r="K307" s="6">
        <f>IF(SUMIFS('Industrial Summary'!$G:$G,'Industrial Summary'!$F:$F,K$17,'Industrial Summary'!$D:$D,$E307)&gt;0,(-SUMIFS('Industrial Summary'!$G:$G,'Industrial Summary'!$F:$F,K$17,'Industrial Summary'!$D:$D,$E307,'Industrial Summary'!$A:$A,"NGa")/SUMIFS('Industrial Summary'!$G:$G,'Industrial Summary'!$F:$F,K$17,'Industrial Summary'!$D:$D,$E307)),0)*0.98</f>
        <v>-0.66147206500302014</v>
      </c>
      <c r="L307" s="6">
        <f>IF(SUMIFS('Industrial Summary'!$G:$G,'Industrial Summary'!$F:$F,L$17,'Industrial Summary'!$D:$D,$E307)&gt;0,(-SUMIFS('Industrial Summary'!$G:$G,'Industrial Summary'!$F:$F,L$17,'Industrial Summary'!$D:$D,$E307,'Industrial Summary'!$A:$A,"NGa")/SUMIFS('Industrial Summary'!$G:$G,'Industrial Summary'!$F:$F,L$17,'Industrial Summary'!$D:$D,$E307)),0)*0.98</f>
        <v>-0.17150899746964254</v>
      </c>
      <c r="M307" s="6">
        <f>IF(SUMIFS('Industrial Summary'!$G:$G,'Industrial Summary'!$F:$F,M$17,'Industrial Summary'!$D:$D,$E307)&gt;0,(-SUMIFS('Industrial Summary'!$G:$G,'Industrial Summary'!$F:$F,M$17,'Industrial Summary'!$D:$D,$E307,'Industrial Summary'!$A:$A,"NGa")/SUMIFS('Industrial Summary'!$G:$G,'Industrial Summary'!$F:$F,M$17,'Industrial Summary'!$D:$D,$E307)),0)*0.98</f>
        <v>-0.17142279494549928</v>
      </c>
      <c r="N307" s="6">
        <f>IF(SUMIFS('Industrial Summary'!$G:$G,'Industrial Summary'!$F:$F,N$17,'Industrial Summary'!$D:$D,$E307)&gt;0,(-SUMIFS('Industrial Summary'!$G:$G,'Industrial Summary'!$F:$F,N$17,'Industrial Summary'!$D:$D,$E307,'Industrial Summary'!$A:$A,"NGa")/SUMIFS('Industrial Summary'!$G:$G,'Industrial Summary'!$F:$F,N$17,'Industrial Summary'!$D:$D,$E307)),0)*0.98</f>
        <v>-0.17142279494549897</v>
      </c>
      <c r="O307" s="6">
        <f>IF(SUMIFS('Industrial Summary'!$G:$G,'Industrial Summary'!$F:$F,O$17,'Industrial Summary'!$D:$D,$E307)&gt;0,(-SUMIFS('Industrial Summary'!$G:$G,'Industrial Summary'!$F:$F,O$17,'Industrial Summary'!$D:$D,$E307,'Industrial Summary'!$A:$A,"NGa")/SUMIFS('Industrial Summary'!$G:$G,'Industrial Summary'!$F:$F,O$17,'Industrial Summary'!$D:$D,$E307)),0)*0.98</f>
        <v>0</v>
      </c>
      <c r="P307" s="6">
        <f>IF(SUMIFS('Industrial Summary'!$G:$G,'Industrial Summary'!$F:$F,P$17,'Industrial Summary'!$D:$D,$E307)&gt;0,(-SUMIFS('Industrial Summary'!$G:$G,'Industrial Summary'!$F:$F,P$17,'Industrial Summary'!$D:$D,$E307,'Industrial Summary'!$A:$A,"NGa")/SUMIFS('Industrial Summary'!$G:$G,'Industrial Summary'!$F:$F,P$17,'Industrial Summary'!$D:$D,$E307)),0)*0.98</f>
        <v>0</v>
      </c>
      <c r="Q307" s="5">
        <v>0</v>
      </c>
      <c r="R307" s="5">
        <v>15</v>
      </c>
      <c r="S307" s="5" t="str">
        <f t="shared" si="63"/>
        <v>UC_IOTFS_NGA</v>
      </c>
      <c r="V307" s="4" t="str">
        <f t="shared" si="64"/>
        <v>S_IOTFSNGA</v>
      </c>
      <c r="W307" s="4" t="str">
        <f t="shared" si="65"/>
        <v>IOTFS_NGA</v>
      </c>
      <c r="X307" s="4" t="str">
        <f t="shared" si="66"/>
        <v>IOTFEED</v>
      </c>
      <c r="Y307" s="5" t="str">
        <f t="shared" si="67"/>
        <v>LO</v>
      </c>
      <c r="Z307" s="5">
        <v>1</v>
      </c>
      <c r="AA307" s="6">
        <f t="shared" si="68"/>
        <v>0</v>
      </c>
      <c r="AB307" s="6">
        <f t="shared" si="69"/>
        <v>0</v>
      </c>
      <c r="AC307" s="6">
        <f t="shared" si="70"/>
        <v>-0.57847053778144852</v>
      </c>
      <c r="AD307" s="6">
        <f t="shared" si="71"/>
        <v>-0.58209541720265767</v>
      </c>
      <c r="AE307" s="6">
        <f t="shared" si="72"/>
        <v>-0.15092791777328543</v>
      </c>
      <c r="AF307" s="6">
        <f t="shared" si="73"/>
        <v>-0.15085205955203937</v>
      </c>
      <c r="AG307" s="6">
        <f t="shared" si="74"/>
        <v>-0.15085205955203909</v>
      </c>
      <c r="AH307" s="6">
        <f t="shared" si="75"/>
        <v>0</v>
      </c>
      <c r="AI307" s="6">
        <f t="shared" si="76"/>
        <v>0</v>
      </c>
      <c r="AL307" s="5" t="str">
        <f t="shared" si="77"/>
        <v>NGA</v>
      </c>
      <c r="AM307" s="5">
        <f>Y9</f>
        <v>0.88</v>
      </c>
    </row>
    <row r="308" spans="1:39" s="5" customFormat="1" x14ac:dyDescent="0.3">
      <c r="C308" s="4" t="s">
        <v>629</v>
      </c>
      <c r="D308" s="5" t="s">
        <v>630</v>
      </c>
      <c r="E308" s="5" t="s">
        <v>722</v>
      </c>
      <c r="F308" s="5" t="s">
        <v>1588</v>
      </c>
      <c r="G308" s="5">
        <v>1</v>
      </c>
      <c r="H308" s="6">
        <f>IF(SUMIFS('Industrial Summary'!$G:$G,'Industrial Summary'!$F:$F,H$17,'Industrial Summary'!$D:$D,$E308)&gt;0,(-SUMIFS('Industrial Summary'!$G:$G,'Industrial Summary'!$F:$F,H$17,'Industrial Summary'!$D:$D,$E308,'Industrial Summary'!$A:$A,"LPG")/SUMIFS('Industrial Summary'!$G:$G,'Industrial Summary'!$F:$F,H$17,'Industrial Summary'!$D:$D,$E308)),0)*0.98</f>
        <v>0</v>
      </c>
      <c r="I308" s="6">
        <f>IF(SUMIFS('Industrial Summary'!$G:$G,'Industrial Summary'!$F:$F,I$17,'Industrial Summary'!$D:$D,$E308)&gt;0,(-SUMIFS('Industrial Summary'!$G:$G,'Industrial Summary'!$F:$F,I$17,'Industrial Summary'!$D:$D,$E308,'Industrial Summary'!$A:$A,"LPG")/SUMIFS('Industrial Summary'!$G:$G,'Industrial Summary'!$F:$F,I$17,'Industrial Summary'!$D:$D,$E308)),0)*0.98</f>
        <v>0</v>
      </c>
      <c r="J308" s="6">
        <f>IF(SUMIFS('Industrial Summary'!$G:$G,'Industrial Summary'!$F:$F,J$17,'Industrial Summary'!$D:$D,$E308)&gt;0,(-SUMIFS('Industrial Summary'!$G:$G,'Industrial Summary'!$F:$F,J$17,'Industrial Summary'!$D:$D,$E308,'Industrial Summary'!$A:$A,"LPG")/SUMIFS('Industrial Summary'!$G:$G,'Industrial Summary'!$F:$F,J$17,'Industrial Summary'!$D:$D,$E308)),0)*0.98</f>
        <v>0</v>
      </c>
      <c r="K308" s="6">
        <f>IF(SUMIFS('Industrial Summary'!$G:$G,'Industrial Summary'!$F:$F,K$17,'Industrial Summary'!$D:$D,$E308)&gt;0,(-SUMIFS('Industrial Summary'!$G:$G,'Industrial Summary'!$F:$F,K$17,'Industrial Summary'!$D:$D,$E308,'Industrial Summary'!$A:$A,"LPG")/SUMIFS('Industrial Summary'!$G:$G,'Industrial Summary'!$F:$F,K$17,'Industrial Summary'!$D:$D,$E308)),0)*0.98</f>
        <v>0</v>
      </c>
      <c r="L308" s="6">
        <f>IF(SUMIFS('Industrial Summary'!$G:$G,'Industrial Summary'!$F:$F,L$17,'Industrial Summary'!$D:$D,$E308)&gt;0,(-SUMIFS('Industrial Summary'!$G:$G,'Industrial Summary'!$F:$F,L$17,'Industrial Summary'!$D:$D,$E308,'Industrial Summary'!$A:$A,"LPG")/SUMIFS('Industrial Summary'!$G:$G,'Industrial Summary'!$F:$F,L$17,'Industrial Summary'!$D:$D,$E308)),0)*0.98</f>
        <v>-0.22619330106053526</v>
      </c>
      <c r="M308" s="6">
        <f>IF(SUMIFS('Industrial Summary'!$G:$G,'Industrial Summary'!$F:$F,M$17,'Industrial Summary'!$D:$D,$E308)&gt;0,(-SUMIFS('Industrial Summary'!$G:$G,'Industrial Summary'!$F:$F,M$17,'Industrial Summary'!$D:$D,$E308,'Industrial Summary'!$A:$A,"LPG")/SUMIFS('Industrial Summary'!$G:$G,'Industrial Summary'!$F:$F,M$17,'Industrial Summary'!$D:$D,$E308)),0)*0.98</f>
        <v>-0.22657217354607984</v>
      </c>
      <c r="N308" s="6">
        <f>IF(SUMIFS('Industrial Summary'!$G:$G,'Industrial Summary'!$F:$F,N$17,'Industrial Summary'!$D:$D,$E308)&gt;0,(-SUMIFS('Industrial Summary'!$G:$G,'Industrial Summary'!$F:$F,N$17,'Industrial Summary'!$D:$D,$E308,'Industrial Summary'!$A:$A,"LPG")/SUMIFS('Industrial Summary'!$G:$G,'Industrial Summary'!$F:$F,N$17,'Industrial Summary'!$D:$D,$E308)),0)*0.98</f>
        <v>-0.2265721735460815</v>
      </c>
      <c r="O308" s="6">
        <f>IF(SUMIFS('Industrial Summary'!$G:$G,'Industrial Summary'!$F:$F,O$17,'Industrial Summary'!$D:$D,$E308)&gt;0,(-SUMIFS('Industrial Summary'!$G:$G,'Industrial Summary'!$F:$F,O$17,'Industrial Summary'!$D:$D,$E308,'Industrial Summary'!$A:$A,"LPG")/SUMIFS('Industrial Summary'!$G:$G,'Industrial Summary'!$F:$F,O$17,'Industrial Summary'!$D:$D,$E308)),0)*0.98</f>
        <v>0</v>
      </c>
      <c r="P308" s="6">
        <f>IF(SUMIFS('Industrial Summary'!$G:$G,'Industrial Summary'!$F:$F,P$17,'Industrial Summary'!$D:$D,$E308)&gt;0,(-SUMIFS('Industrial Summary'!$G:$G,'Industrial Summary'!$F:$F,P$17,'Industrial Summary'!$D:$D,$E308,'Industrial Summary'!$A:$A,"LPG")/SUMIFS('Industrial Summary'!$G:$G,'Industrial Summary'!$F:$F,P$17,'Industrial Summary'!$D:$D,$E308)),0)*0.98</f>
        <v>0</v>
      </c>
      <c r="Q308" s="5">
        <v>0</v>
      </c>
      <c r="R308" s="5">
        <v>15</v>
      </c>
      <c r="S308" s="5" t="str">
        <f t="shared" si="63"/>
        <v>UC_IOTFS_LPG</v>
      </c>
      <c r="V308" s="4" t="str">
        <f t="shared" si="64"/>
        <v>S_IOTFSLPG</v>
      </c>
      <c r="W308" s="4" t="str">
        <f t="shared" si="65"/>
        <v>IOTFS_LPG</v>
      </c>
      <c r="X308" s="4" t="str">
        <f t="shared" si="66"/>
        <v>IOTFEED</v>
      </c>
      <c r="Y308" s="5" t="str">
        <f t="shared" si="67"/>
        <v>LO</v>
      </c>
      <c r="Z308" s="5">
        <v>1</v>
      </c>
      <c r="AA308" s="6">
        <f t="shared" si="68"/>
        <v>0</v>
      </c>
      <c r="AB308" s="6">
        <f t="shared" si="69"/>
        <v>0</v>
      </c>
      <c r="AC308" s="6">
        <f t="shared" si="70"/>
        <v>0</v>
      </c>
      <c r="AD308" s="6">
        <f t="shared" si="71"/>
        <v>0</v>
      </c>
      <c r="AE308" s="6">
        <f t="shared" si="72"/>
        <v>-0.22619330106053526</v>
      </c>
      <c r="AF308" s="6">
        <f t="shared" si="73"/>
        <v>-0.22657217354607984</v>
      </c>
      <c r="AG308" s="6">
        <f t="shared" si="74"/>
        <v>-0.2265721735460815</v>
      </c>
      <c r="AH308" s="6">
        <f t="shared" si="75"/>
        <v>0</v>
      </c>
      <c r="AI308" s="6">
        <f t="shared" si="76"/>
        <v>0</v>
      </c>
      <c r="AL308" s="5" t="str">
        <f t="shared" si="77"/>
        <v>LPG</v>
      </c>
      <c r="AM308" s="5">
        <f>1</f>
        <v>1</v>
      </c>
    </row>
    <row r="309" spans="1:39" s="5" customFormat="1" x14ac:dyDescent="0.3">
      <c r="C309" s="4" t="s">
        <v>631</v>
      </c>
      <c r="D309" s="5" t="s">
        <v>632</v>
      </c>
      <c r="E309" s="5" t="s">
        <v>722</v>
      </c>
      <c r="F309" s="5" t="s">
        <v>1588</v>
      </c>
      <c r="G309" s="5">
        <v>1</v>
      </c>
      <c r="H309" s="6">
        <f>IF(SUMIFS('Industrial Summary'!$G:$G,'Industrial Summary'!$F:$F,H$17,'Industrial Summary'!$D:$D,$E309)&gt;0,(-SUMIFS('Industrial Summary'!$G:$G,'Industrial Summary'!$F:$F,H$17,'Industrial Summary'!$D:$D,$E309,'Industrial Summary'!$A:$A,"COK")/SUMIFS('Industrial Summary'!$G:$G,'Industrial Summary'!$F:$F,H$17,'Industrial Summary'!$D:$D,$E309)),0)*0.98</f>
        <v>0</v>
      </c>
      <c r="I309" s="6">
        <f>IF(SUMIFS('Industrial Summary'!$G:$G,'Industrial Summary'!$F:$F,I$17,'Industrial Summary'!$D:$D,$E309)&gt;0,(-SUMIFS('Industrial Summary'!$G:$G,'Industrial Summary'!$F:$F,I$17,'Industrial Summary'!$D:$D,$E309,'Industrial Summary'!$A:$A,"COK")/SUMIFS('Industrial Summary'!$G:$G,'Industrial Summary'!$F:$F,I$17,'Industrial Summary'!$D:$D,$E309)),0)*0.98</f>
        <v>0</v>
      </c>
      <c r="J309" s="6">
        <f>IF(SUMIFS('Industrial Summary'!$G:$G,'Industrial Summary'!$F:$F,J$17,'Industrial Summary'!$D:$D,$E309)&gt;0,(-SUMIFS('Industrial Summary'!$G:$G,'Industrial Summary'!$F:$F,J$17,'Industrial Summary'!$D:$D,$E309,'Industrial Summary'!$A:$A,"COK")/SUMIFS('Industrial Summary'!$G:$G,'Industrial Summary'!$F:$F,J$17,'Industrial Summary'!$D:$D,$E309)),0)*0.98</f>
        <v>-0.18038141150602796</v>
      </c>
      <c r="K309" s="6">
        <f>IF(SUMIFS('Industrial Summary'!$G:$G,'Industrial Summary'!$F:$F,K$17,'Industrial Summary'!$D:$D,$E309)&gt;0,(-SUMIFS('Industrial Summary'!$G:$G,'Industrial Summary'!$F:$F,K$17,'Industrial Summary'!$D:$D,$E309,'Industrial Summary'!$A:$A,"COK")/SUMIFS('Industrial Summary'!$G:$G,'Industrial Summary'!$F:$F,K$17,'Industrial Summary'!$D:$D,$E309)),0)*0.98</f>
        <v>-0.18151173850426136</v>
      </c>
      <c r="L309" s="6">
        <f>IF(SUMIFS('Industrial Summary'!$G:$G,'Industrial Summary'!$F:$F,L$17,'Industrial Summary'!$D:$D,$E309)&gt;0,(-SUMIFS('Industrial Summary'!$G:$G,'Industrial Summary'!$F:$F,L$17,'Industrial Summary'!$D:$D,$E309,'Industrial Summary'!$A:$A,"COK")/SUMIFS('Industrial Summary'!$G:$G,'Industrial Summary'!$F:$F,L$17,'Industrial Summary'!$D:$D,$E309)),0)*0.98</f>
        <v>-6.275074024921598E-2</v>
      </c>
      <c r="M309" s="6">
        <f>IF(SUMIFS('Industrial Summary'!$G:$G,'Industrial Summary'!$F:$F,M$17,'Industrial Summary'!$D:$D,$E309)&gt;0,(-SUMIFS('Industrial Summary'!$G:$G,'Industrial Summary'!$F:$F,M$17,'Industrial Summary'!$D:$D,$E309,'Industrial Summary'!$A:$A,"COK")/SUMIFS('Industrial Summary'!$G:$G,'Industrial Summary'!$F:$F,M$17,'Industrial Summary'!$D:$D,$E309)),0)*0.98</f>
        <v>-6.2719200958093302E-2</v>
      </c>
      <c r="N309" s="6">
        <f>IF(SUMIFS('Industrial Summary'!$G:$G,'Industrial Summary'!$F:$F,N$17,'Industrial Summary'!$D:$D,$E309)&gt;0,(-SUMIFS('Industrial Summary'!$G:$G,'Industrial Summary'!$F:$F,N$17,'Industrial Summary'!$D:$D,$E309,'Industrial Summary'!$A:$A,"COK")/SUMIFS('Industrial Summary'!$G:$G,'Industrial Summary'!$F:$F,N$17,'Industrial Summary'!$D:$D,$E309)),0)*0.98</f>
        <v>-6.2719200958093219E-2</v>
      </c>
      <c r="O309" s="6">
        <f>IF(SUMIFS('Industrial Summary'!$G:$G,'Industrial Summary'!$F:$F,O$17,'Industrial Summary'!$D:$D,$E309)&gt;0,(-SUMIFS('Industrial Summary'!$G:$G,'Industrial Summary'!$F:$F,O$17,'Industrial Summary'!$D:$D,$E309,'Industrial Summary'!$A:$A,"COK")/SUMIFS('Industrial Summary'!$G:$G,'Industrial Summary'!$F:$F,O$17,'Industrial Summary'!$D:$D,$E309)),0)*0.98</f>
        <v>0</v>
      </c>
      <c r="P309" s="6">
        <f>IF(SUMIFS('Industrial Summary'!$G:$G,'Industrial Summary'!$F:$F,P$17,'Industrial Summary'!$D:$D,$E309)&gt;0,(-SUMIFS('Industrial Summary'!$G:$G,'Industrial Summary'!$F:$F,P$17,'Industrial Summary'!$D:$D,$E309,'Industrial Summary'!$A:$A,"COK")/SUMIFS('Industrial Summary'!$G:$G,'Industrial Summary'!$F:$F,P$17,'Industrial Summary'!$D:$D,$E309)),0)*0.98</f>
        <v>0</v>
      </c>
      <c r="Q309" s="5">
        <v>0</v>
      </c>
      <c r="R309" s="5">
        <v>15</v>
      </c>
      <c r="S309" s="5" t="str">
        <f t="shared" si="63"/>
        <v>UC_IOTFS_COK</v>
      </c>
      <c r="V309" s="4" t="str">
        <f t="shared" si="64"/>
        <v>S_IOTFSCOK</v>
      </c>
      <c r="W309" s="4" t="str">
        <f t="shared" si="65"/>
        <v>IOTFS_COK</v>
      </c>
      <c r="X309" s="4" t="str">
        <f t="shared" si="66"/>
        <v>IOTFEED</v>
      </c>
      <c r="Y309" s="5" t="str">
        <f t="shared" si="67"/>
        <v>LO</v>
      </c>
      <c r="Z309" s="5">
        <v>1</v>
      </c>
      <c r="AA309" s="6">
        <f t="shared" si="68"/>
        <v>0</v>
      </c>
      <c r="AB309" s="6">
        <f t="shared" si="69"/>
        <v>0</v>
      </c>
      <c r="AC309" s="6">
        <f t="shared" si="70"/>
        <v>-0.18038141150602796</v>
      </c>
      <c r="AD309" s="6">
        <f t="shared" si="71"/>
        <v>-0.18151173850426136</v>
      </c>
      <c r="AE309" s="6">
        <f t="shared" si="72"/>
        <v>-6.275074024921598E-2</v>
      </c>
      <c r="AF309" s="6">
        <f t="shared" si="73"/>
        <v>-6.2719200958093302E-2</v>
      </c>
      <c r="AG309" s="6">
        <f t="shared" si="74"/>
        <v>-6.2719200958093219E-2</v>
      </c>
      <c r="AH309" s="6">
        <f t="shared" si="75"/>
        <v>0</v>
      </c>
      <c r="AI309" s="6">
        <f t="shared" si="76"/>
        <v>0</v>
      </c>
      <c r="AL309" s="5" t="str">
        <f t="shared" si="77"/>
        <v>COK</v>
      </c>
      <c r="AM309" s="5">
        <f>1</f>
        <v>1</v>
      </c>
    </row>
    <row r="310" spans="1:39" s="5" customFormat="1" x14ac:dyDescent="0.3">
      <c r="C310" s="4" t="s">
        <v>633</v>
      </c>
      <c r="D310" s="5" t="s">
        <v>634</v>
      </c>
      <c r="E310" s="5" t="s">
        <v>722</v>
      </c>
      <c r="F310" s="5" t="s">
        <v>1588</v>
      </c>
      <c r="G310" s="5">
        <v>1</v>
      </c>
      <c r="H310" s="6">
        <f>IF(SUMIFS('Industrial Summary'!$G:$G,'Industrial Summary'!$F:$F,H$17,'Industrial Summary'!$D:$D,$E310)&gt;0,(-SUMIFS('Industrial Summary'!$G:$G,'Industrial Summary'!$F:$F,H$17,'Industrial Summary'!$D:$D,$E310,'Industrial Summary'!$A:$A,"BIO")/SUMIFS('Industrial Summary'!$G:$G,'Industrial Summary'!$F:$F,H$17,'Industrial Summary'!$D:$D,$E310)),0)*0.98</f>
        <v>-0.43535177881736142</v>
      </c>
      <c r="I310" s="6">
        <f>IF(SUMIFS('Industrial Summary'!$G:$G,'Industrial Summary'!$F:$F,I$17,'Industrial Summary'!$D:$D,$E310)&gt;0,(-SUMIFS('Industrial Summary'!$G:$G,'Industrial Summary'!$F:$F,I$17,'Industrial Summary'!$D:$D,$E310,'Industrial Summary'!$A:$A,"BIO")/SUMIFS('Industrial Summary'!$G:$G,'Industrial Summary'!$F:$F,I$17,'Industrial Summary'!$D:$D,$E310)),0)*0.98</f>
        <v>-0.35380537118069966</v>
      </c>
      <c r="J310" s="6">
        <f>IF(SUMIFS('Industrial Summary'!$G:$G,'Industrial Summary'!$F:$F,J$17,'Industrial Summary'!$D:$D,$E310)&gt;0,(-SUMIFS('Industrial Summary'!$G:$G,'Industrial Summary'!$F:$F,J$17,'Industrial Summary'!$D:$D,$E310,'Industrial Summary'!$A:$A,"BIO")/SUMIFS('Industrial Summary'!$G:$G,'Industrial Summary'!$F:$F,J$17,'Industrial Summary'!$D:$D,$E310)),0)*0.98</f>
        <v>-2.2897539377701372E-2</v>
      </c>
      <c r="K310" s="6">
        <f>IF(SUMIFS('Industrial Summary'!$G:$G,'Industrial Summary'!$F:$F,K$17,'Industrial Summary'!$D:$D,$E310)&gt;0,(-SUMIFS('Industrial Summary'!$G:$G,'Industrial Summary'!$F:$F,K$17,'Industrial Summary'!$D:$D,$E310,'Industrial Summary'!$A:$A,"BIO")/SUMIFS('Industrial Summary'!$G:$G,'Industrial Summary'!$F:$F,K$17,'Industrial Summary'!$D:$D,$E310)),0)*0.98</f>
        <v>-2.304102260435776E-2</v>
      </c>
      <c r="L310" s="6">
        <f>IF(SUMIFS('Industrial Summary'!$G:$G,'Industrial Summary'!$F:$F,L$17,'Industrial Summary'!$D:$D,$E310)&gt;0,(-SUMIFS('Industrial Summary'!$G:$G,'Industrial Summary'!$F:$F,L$17,'Industrial Summary'!$D:$D,$E310,'Industrial Summary'!$A:$A,"BIO")/SUMIFS('Industrial Summary'!$G:$G,'Industrial Summary'!$F:$F,L$17,'Industrial Summary'!$D:$D,$E310)),0)*0.98</f>
        <v>-0.23215437095439334</v>
      </c>
      <c r="M310" s="6">
        <f>IF(SUMIFS('Industrial Summary'!$G:$G,'Industrial Summary'!$F:$F,M$17,'Industrial Summary'!$D:$D,$E310)&gt;0,(-SUMIFS('Industrial Summary'!$G:$G,'Industrial Summary'!$F:$F,M$17,'Industrial Summary'!$D:$D,$E310,'Industrial Summary'!$A:$A,"BIO")/SUMIFS('Industrial Summary'!$G:$G,'Industrial Summary'!$F:$F,M$17,'Industrial Summary'!$D:$D,$E310)),0)*0.98</f>
        <v>-0.23203768732226671</v>
      </c>
      <c r="N310" s="6">
        <f>IF(SUMIFS('Industrial Summary'!$G:$G,'Industrial Summary'!$F:$F,N$17,'Industrial Summary'!$D:$D,$E310)&gt;0,(-SUMIFS('Industrial Summary'!$G:$G,'Industrial Summary'!$F:$F,N$17,'Industrial Summary'!$D:$D,$E310,'Industrial Summary'!$A:$A,"BIO")/SUMIFS('Industrial Summary'!$G:$G,'Industrial Summary'!$F:$F,N$17,'Industrial Summary'!$D:$D,$E310)),0)*0.98</f>
        <v>-0.23203768732226601</v>
      </c>
      <c r="O310" s="6">
        <f>IF(SUMIFS('Industrial Summary'!$G:$G,'Industrial Summary'!$F:$F,O$17,'Industrial Summary'!$D:$D,$E310)&gt;0,(-SUMIFS('Industrial Summary'!$G:$G,'Industrial Summary'!$F:$F,O$17,'Industrial Summary'!$D:$D,$E310,'Industrial Summary'!$A:$A,"BIO")/SUMIFS('Industrial Summary'!$G:$G,'Industrial Summary'!$F:$F,O$17,'Industrial Summary'!$D:$D,$E310)),0)*0.98</f>
        <v>0</v>
      </c>
      <c r="P310" s="6">
        <f>IF(SUMIFS('Industrial Summary'!$G:$G,'Industrial Summary'!$F:$F,P$17,'Industrial Summary'!$D:$D,$E310)&gt;0,(-SUMIFS('Industrial Summary'!$G:$G,'Industrial Summary'!$F:$F,P$17,'Industrial Summary'!$D:$D,$E310,'Industrial Summary'!$A:$A,"BIO")/SUMIFS('Industrial Summary'!$G:$G,'Industrial Summary'!$F:$F,P$17,'Industrial Summary'!$D:$D,$E310)),0)*0.98</f>
        <v>0</v>
      </c>
      <c r="Q310" s="5">
        <v>0</v>
      </c>
      <c r="R310" s="5">
        <v>15</v>
      </c>
      <c r="S310" s="5" t="str">
        <f t="shared" si="63"/>
        <v>UC_IOTFS_BIO</v>
      </c>
      <c r="V310" s="4" t="str">
        <f t="shared" si="64"/>
        <v>S_IOTFSBIO</v>
      </c>
      <c r="W310" s="4" t="str">
        <f t="shared" si="65"/>
        <v>IOTFS_BIO</v>
      </c>
      <c r="X310" s="4" t="str">
        <f t="shared" si="66"/>
        <v>IOTFEED</v>
      </c>
      <c r="Y310" s="5" t="str">
        <f t="shared" si="67"/>
        <v>LO</v>
      </c>
      <c r="Z310" s="5">
        <v>1</v>
      </c>
      <c r="AA310" s="6">
        <f t="shared" si="68"/>
        <v>-0.43535177881736142</v>
      </c>
      <c r="AB310" s="6">
        <f t="shared" si="69"/>
        <v>-0.35380537118069966</v>
      </c>
      <c r="AC310" s="6">
        <f t="shared" si="70"/>
        <v>-2.2897539377701372E-2</v>
      </c>
      <c r="AD310" s="6">
        <f t="shared" si="71"/>
        <v>-2.304102260435776E-2</v>
      </c>
      <c r="AE310" s="6">
        <f t="shared" si="72"/>
        <v>-0.23215437095439334</v>
      </c>
      <c r="AF310" s="6">
        <f t="shared" si="73"/>
        <v>-0.23203768732226671</v>
      </c>
      <c r="AG310" s="6">
        <f t="shared" si="74"/>
        <v>-0.23203768732226601</v>
      </c>
      <c r="AH310" s="6">
        <f t="shared" si="75"/>
        <v>0</v>
      </c>
      <c r="AI310" s="6">
        <f t="shared" si="76"/>
        <v>0</v>
      </c>
      <c r="AL310" s="5" t="str">
        <f t="shared" si="77"/>
        <v>BIO</v>
      </c>
      <c r="AM310" s="5">
        <f>1</f>
        <v>1</v>
      </c>
    </row>
    <row r="311" spans="1:39" s="5" customFormat="1" x14ac:dyDescent="0.3">
      <c r="C311" s="4" t="s">
        <v>635</v>
      </c>
      <c r="D311" s="5" t="s">
        <v>636</v>
      </c>
      <c r="E311" s="5" t="s">
        <v>722</v>
      </c>
      <c r="F311" s="5" t="s">
        <v>1588</v>
      </c>
      <c r="G311" s="5">
        <v>1</v>
      </c>
      <c r="H311" s="6">
        <f>IF(SUMIFS('Industrial Summary'!$G:$G,'Industrial Summary'!$F:$F,H$17,'Industrial Summary'!$D:$D,$E311)&gt;0,(-SUMIFS('Industrial Summary'!$G:$G,'Industrial Summary'!$F:$F,H$17,'Industrial Summary'!$D:$D,$E311,'Industrial Summary'!$A:$A,"PTC")/SUMIFS('Industrial Summary'!$G:$G,'Industrial Summary'!$F:$F,H$17,'Industrial Summary'!$D:$D,$E311)),0)*0.98</f>
        <v>0</v>
      </c>
      <c r="I311" s="6">
        <f>IF(SUMIFS('Industrial Summary'!$G:$G,'Industrial Summary'!$F:$F,I$17,'Industrial Summary'!$D:$D,$E311)&gt;0,(-SUMIFS('Industrial Summary'!$G:$G,'Industrial Summary'!$F:$F,I$17,'Industrial Summary'!$D:$D,$E311,'Industrial Summary'!$A:$A,"PTC")/SUMIFS('Industrial Summary'!$G:$G,'Industrial Summary'!$F:$F,I$17,'Industrial Summary'!$D:$D,$E311)),0)*0.98</f>
        <v>-0.13812637646213874</v>
      </c>
      <c r="J311" s="6">
        <f>IF(SUMIFS('Industrial Summary'!$G:$G,'Industrial Summary'!$F:$F,J$17,'Industrial Summary'!$D:$D,$E311)&gt;0,(-SUMIFS('Industrial Summary'!$G:$G,'Industrial Summary'!$F:$F,J$17,'Industrial Summary'!$D:$D,$E311,'Industrial Summary'!$A:$A,"PTC")/SUMIFS('Industrial Summary'!$G:$G,'Industrial Summary'!$F:$F,J$17,'Industrial Summary'!$D:$D,$E311)),0)*0.98</f>
        <v>-1.9203650119541796E-2</v>
      </c>
      <c r="K311" s="6">
        <f>IF(SUMIFS('Industrial Summary'!$G:$G,'Industrial Summary'!$F:$F,K$17,'Industrial Summary'!$D:$D,$E311)&gt;0,(-SUMIFS('Industrial Summary'!$G:$G,'Industrial Summary'!$F:$F,K$17,'Industrial Summary'!$D:$D,$E311,'Industrial Summary'!$A:$A,"PTC")/SUMIFS('Industrial Summary'!$G:$G,'Industrial Summary'!$F:$F,K$17,'Industrial Summary'!$D:$D,$E311)),0)*0.98</f>
        <v>-1.9323986267338396E-2</v>
      </c>
      <c r="L311" s="6">
        <f>IF(SUMIFS('Industrial Summary'!$G:$G,'Industrial Summary'!$F:$F,L$17,'Industrial Summary'!$D:$D,$E311)&gt;0,(-SUMIFS('Industrial Summary'!$G:$G,'Industrial Summary'!$F:$F,L$17,'Industrial Summary'!$D:$D,$E311,'Industrial Summary'!$A:$A,"PTC")/SUMIFS('Industrial Summary'!$G:$G,'Industrial Summary'!$F:$F,L$17,'Industrial Summary'!$D:$D,$E311)),0)*0.98</f>
        <v>-0.18086729795943934</v>
      </c>
      <c r="M311" s="6">
        <f>IF(SUMIFS('Industrial Summary'!$G:$G,'Industrial Summary'!$F:$F,M$17,'Industrial Summary'!$D:$D,$E311)&gt;0,(-SUMIFS('Industrial Summary'!$G:$G,'Industrial Summary'!$F:$F,M$17,'Industrial Summary'!$D:$D,$E311,'Industrial Summary'!$A:$A,"PTC")/SUMIFS('Industrial Summary'!$G:$G,'Industrial Summary'!$F:$F,M$17,'Industrial Summary'!$D:$D,$E311)),0)*0.98</f>
        <v>-0.18077639183877481</v>
      </c>
      <c r="N311" s="6">
        <f>IF(SUMIFS('Industrial Summary'!$G:$G,'Industrial Summary'!$F:$F,N$17,'Industrial Summary'!$D:$D,$E311)&gt;0,(-SUMIFS('Industrial Summary'!$G:$G,'Industrial Summary'!$F:$F,N$17,'Industrial Summary'!$D:$D,$E311,'Industrial Summary'!$A:$A,"PTC")/SUMIFS('Industrial Summary'!$G:$G,'Industrial Summary'!$F:$F,N$17,'Industrial Summary'!$D:$D,$E311)),0)*0.98</f>
        <v>-0.18077639183877453</v>
      </c>
      <c r="O311" s="6">
        <f>IF(SUMIFS('Industrial Summary'!$G:$G,'Industrial Summary'!$F:$F,O$17,'Industrial Summary'!$D:$D,$E311)&gt;0,(-SUMIFS('Industrial Summary'!$G:$G,'Industrial Summary'!$F:$F,O$17,'Industrial Summary'!$D:$D,$E311,'Industrial Summary'!$A:$A,"PTC")/SUMIFS('Industrial Summary'!$G:$G,'Industrial Summary'!$F:$F,O$17,'Industrial Summary'!$D:$D,$E311)),0)*0.98</f>
        <v>0</v>
      </c>
      <c r="P311" s="6">
        <f>IF(SUMIFS('Industrial Summary'!$G:$G,'Industrial Summary'!$F:$F,P$17,'Industrial Summary'!$D:$D,$E311)&gt;0,(-SUMIFS('Industrial Summary'!$G:$G,'Industrial Summary'!$F:$F,P$17,'Industrial Summary'!$D:$D,$E311,'Industrial Summary'!$A:$A,"PTC")/SUMIFS('Industrial Summary'!$G:$G,'Industrial Summary'!$F:$F,P$17,'Industrial Summary'!$D:$D,$E311)),0)*0.98</f>
        <v>0</v>
      </c>
      <c r="Q311" s="5">
        <v>0</v>
      </c>
      <c r="R311" s="5">
        <v>15</v>
      </c>
      <c r="S311" s="5" t="str">
        <f t="shared" si="63"/>
        <v>UC_IOTFS_PTC</v>
      </c>
      <c r="V311" s="4" t="str">
        <f t="shared" si="64"/>
        <v>S_IOTFSPTC</v>
      </c>
      <c r="W311" s="4" t="str">
        <f t="shared" si="65"/>
        <v>IOTFS_PTC</v>
      </c>
      <c r="X311" s="4" t="str">
        <f t="shared" si="66"/>
        <v>IOTFEED</v>
      </c>
      <c r="Y311" s="5" t="str">
        <f t="shared" si="67"/>
        <v>LO</v>
      </c>
      <c r="Z311" s="5">
        <v>1</v>
      </c>
      <c r="AA311" s="6">
        <f t="shared" si="68"/>
        <v>0</v>
      </c>
      <c r="AB311" s="6">
        <f t="shared" si="69"/>
        <v>-0.13812637646213874</v>
      </c>
      <c r="AC311" s="6">
        <f t="shared" si="70"/>
        <v>-1.9203650119541796E-2</v>
      </c>
      <c r="AD311" s="6">
        <f t="shared" si="71"/>
        <v>-1.9323986267338396E-2</v>
      </c>
      <c r="AE311" s="6">
        <f t="shared" si="72"/>
        <v>-0.18086729795943934</v>
      </c>
      <c r="AF311" s="6">
        <f t="shared" si="73"/>
        <v>-0.18077639183877481</v>
      </c>
      <c r="AG311" s="6">
        <f t="shared" si="74"/>
        <v>-0.18077639183877453</v>
      </c>
      <c r="AH311" s="6">
        <f t="shared" si="75"/>
        <v>0</v>
      </c>
      <c r="AI311" s="6">
        <f t="shared" si="76"/>
        <v>0</v>
      </c>
      <c r="AL311" s="5" t="str">
        <f t="shared" si="77"/>
        <v>PTC</v>
      </c>
      <c r="AM311" s="5">
        <f>1</f>
        <v>1</v>
      </c>
    </row>
    <row r="312" spans="1:39" s="5" customFormat="1" x14ac:dyDescent="0.3">
      <c r="A312" s="8"/>
      <c r="C312" s="4" t="s">
        <v>637</v>
      </c>
      <c r="D312" s="5" t="s">
        <v>638</v>
      </c>
      <c r="E312" s="5" t="s">
        <v>722</v>
      </c>
      <c r="F312" s="5" t="s">
        <v>1588</v>
      </c>
      <c r="G312" s="5">
        <v>1</v>
      </c>
      <c r="H312" s="6">
        <f>IF(SUMIFS('Industrial Summary'!$G:$G,'Industrial Summary'!$F:$F,H$17,'Industrial Summary'!$D:$D,$E312)&gt;0,(-SUMIFS('Industrial Summary'!$G:$G,'Industrial Summary'!$F:$F,H$17,'Industrial Summary'!$D:$D,$E312,'Industrial Summary'!$A:$A,"OTP")/SUMIFS('Industrial Summary'!$G:$G,'Industrial Summary'!$F:$F,H$17,'Industrial Summary'!$D:$D,$E312)),0)*0.98</f>
        <v>0</v>
      </c>
      <c r="I312" s="6">
        <f>IF(SUMIFS('Industrial Summary'!$G:$G,'Industrial Summary'!$F:$F,I$17,'Industrial Summary'!$D:$D,$E312)&gt;0,(-SUMIFS('Industrial Summary'!$G:$G,'Industrial Summary'!$F:$F,I$17,'Industrial Summary'!$D:$D,$E312,'Industrial Summary'!$A:$A,"OTP")/SUMIFS('Industrial Summary'!$G:$G,'Industrial Summary'!$F:$F,I$17,'Industrial Summary'!$D:$D,$E312)),0)*0.98</f>
        <v>0</v>
      </c>
      <c r="J312" s="6">
        <f>IF(SUMIFS('Industrial Summary'!$G:$G,'Industrial Summary'!$F:$F,J$17,'Industrial Summary'!$D:$D,$E312)&gt;0,(-SUMIFS('Industrial Summary'!$G:$G,'Industrial Summary'!$F:$F,J$17,'Industrial Summary'!$D:$D,$E312,'Industrial Summary'!$A:$A,"OTP")/SUMIFS('Industrial Summary'!$G:$G,'Industrial Summary'!$F:$F,J$17,'Industrial Summary'!$D:$D,$E312)),0)*0.98</f>
        <v>-8.3071693301093588E-4</v>
      </c>
      <c r="K312" s="6">
        <f>IF(SUMIFS('Industrial Summary'!$G:$G,'Industrial Summary'!$F:$F,K$17,'Industrial Summary'!$D:$D,$E312)&gt;0,(-SUMIFS('Industrial Summary'!$G:$G,'Industrial Summary'!$F:$F,K$17,'Industrial Summary'!$D:$D,$E312,'Industrial Summary'!$A:$A,"OTP")/SUMIFS('Industrial Summary'!$G:$G,'Industrial Summary'!$F:$F,K$17,'Industrial Summary'!$D:$D,$E312)),0)*0.98</f>
        <v>-8.3592246815689401E-4</v>
      </c>
      <c r="L312" s="6">
        <f>IF(SUMIFS('Industrial Summary'!$G:$G,'Industrial Summary'!$F:$F,L$17,'Industrial Summary'!$D:$D,$E312)&gt;0,(-SUMIFS('Industrial Summary'!$G:$G,'Industrial Summary'!$F:$F,L$17,'Industrial Summary'!$D:$D,$E312,'Industrial Summary'!$A:$A,"OTP")/SUMIFS('Industrial Summary'!$G:$G,'Industrial Summary'!$F:$F,L$17,'Industrial Summary'!$D:$D,$E312)),0)*0.98</f>
        <v>-6.9357172070585674E-3</v>
      </c>
      <c r="M312" s="6">
        <f>IF(SUMIFS('Industrial Summary'!$G:$G,'Industrial Summary'!$F:$F,M$17,'Industrial Summary'!$D:$D,$E312)&gt;0,(-SUMIFS('Industrial Summary'!$G:$G,'Industrial Summary'!$F:$F,M$17,'Industrial Summary'!$D:$D,$E312,'Industrial Summary'!$A:$A,"OTP")/SUMIFS('Industrial Summary'!$G:$G,'Industrial Summary'!$F:$F,M$17,'Industrial Summary'!$D:$D,$E312)),0)*0.98</f>
        <v>-6.9322312305861141E-3</v>
      </c>
      <c r="N312" s="6">
        <f>IF(SUMIFS('Industrial Summary'!$G:$G,'Industrial Summary'!$F:$F,N$17,'Industrial Summary'!$D:$D,$E312)&gt;0,(-SUMIFS('Industrial Summary'!$G:$G,'Industrial Summary'!$F:$F,N$17,'Industrial Summary'!$D:$D,$E312,'Industrial Summary'!$A:$A,"OTP")/SUMIFS('Industrial Summary'!$G:$G,'Industrial Summary'!$F:$F,N$17,'Industrial Summary'!$D:$D,$E312)),0)*0.98</f>
        <v>-6.9322312305861011E-3</v>
      </c>
      <c r="O312" s="6">
        <f>IF(SUMIFS('Industrial Summary'!$G:$G,'Industrial Summary'!$F:$F,O$17,'Industrial Summary'!$D:$D,$E312)&gt;0,(-SUMIFS('Industrial Summary'!$G:$G,'Industrial Summary'!$F:$F,O$17,'Industrial Summary'!$D:$D,$E312,'Industrial Summary'!$A:$A,"OTP")/SUMIFS('Industrial Summary'!$G:$G,'Industrial Summary'!$F:$F,O$17,'Industrial Summary'!$D:$D,$E312)),0)*0.98</f>
        <v>0</v>
      </c>
      <c r="P312" s="6">
        <f>IF(SUMIFS('Industrial Summary'!$G:$G,'Industrial Summary'!$F:$F,P$17,'Industrial Summary'!$D:$D,$E312)&gt;0,(-SUMIFS('Industrial Summary'!$G:$G,'Industrial Summary'!$F:$F,P$17,'Industrial Summary'!$D:$D,$E312,'Industrial Summary'!$A:$A,"OTP")/SUMIFS('Industrial Summary'!$G:$G,'Industrial Summary'!$F:$F,P$17,'Industrial Summary'!$D:$D,$E312)),0)*0.98</f>
        <v>0</v>
      </c>
      <c r="Q312" s="5">
        <v>0</v>
      </c>
      <c r="R312" s="5">
        <v>15</v>
      </c>
      <c r="S312" s="5" t="str">
        <f t="shared" si="63"/>
        <v>UC_IOTFS_OTP</v>
      </c>
      <c r="V312" s="4" t="str">
        <f t="shared" si="64"/>
        <v>S_IOTFSOTP</v>
      </c>
      <c r="W312" s="4" t="str">
        <f t="shared" si="65"/>
        <v>IOTFS_OTP</v>
      </c>
      <c r="X312" s="4" t="str">
        <f t="shared" si="66"/>
        <v>IOTFEED</v>
      </c>
      <c r="Y312" s="5" t="str">
        <f t="shared" si="67"/>
        <v>LO</v>
      </c>
      <c r="Z312" s="5">
        <v>1</v>
      </c>
      <c r="AA312" s="6">
        <f t="shared" si="68"/>
        <v>0</v>
      </c>
      <c r="AB312" s="6">
        <f t="shared" si="69"/>
        <v>0</v>
      </c>
      <c r="AC312" s="6">
        <f t="shared" si="70"/>
        <v>-8.3071693301093588E-4</v>
      </c>
      <c r="AD312" s="6">
        <f t="shared" si="71"/>
        <v>-8.3592246815689401E-4</v>
      </c>
      <c r="AE312" s="6">
        <f t="shared" si="72"/>
        <v>-6.9357172070585674E-3</v>
      </c>
      <c r="AF312" s="6">
        <f t="shared" si="73"/>
        <v>-6.9322312305861141E-3</v>
      </c>
      <c r="AG312" s="6">
        <f t="shared" si="74"/>
        <v>-6.9322312305861011E-3</v>
      </c>
      <c r="AH312" s="6">
        <f t="shared" si="75"/>
        <v>0</v>
      </c>
      <c r="AI312" s="6">
        <f t="shared" si="76"/>
        <v>0</v>
      </c>
      <c r="AL312" s="5" t="str">
        <f t="shared" si="77"/>
        <v>OTP</v>
      </c>
      <c r="AM312" s="5">
        <f>1</f>
        <v>1</v>
      </c>
    </row>
    <row r="313" spans="1:39" s="5" customFormat="1" x14ac:dyDescent="0.3">
      <c r="C313" s="4" t="s">
        <v>639</v>
      </c>
      <c r="D313" s="5" t="s">
        <v>640</v>
      </c>
      <c r="E313" s="5" t="s">
        <v>784</v>
      </c>
      <c r="F313" s="5" t="s">
        <v>1588</v>
      </c>
      <c r="G313" s="5">
        <v>1</v>
      </c>
      <c r="H313" s="6">
        <f>(IF(SUMIFS('Industrial Summary'!$G:$G,'Industrial Summary'!$F:$F,H$17,'Industrial Summary'!$D:$D,$E313)&gt;0,((-SUMIFS('Industrial Summary'!$G:$G,'Industrial Summary'!$F:$F,H$17,'Industrial Summary'!$D:$D,$E313,'Industrial Summary'!$A:$A,"ELC")+-SUMIFS('Industrial Summary'!$G:$G,'Industrial Summary'!$F:$F,H$17,'Industrial Summary'!$D:$D,"IOTFSTM",'Industrial Summary'!$A:$A,"ELC"))/SUMIFS('Industrial Summary'!$G:$G,'Industrial Summary'!$F:$F,H$17,'Industrial Summary'!$D:$D,$E313)),0))*0.98</f>
        <v>0</v>
      </c>
      <c r="I313" s="6">
        <f>(IF(SUMIFS('Industrial Summary'!$G:$G,'Industrial Summary'!$F:$F,I$17,'Industrial Summary'!$D:$D,$E313)&gt;0,((-SUMIFS('Industrial Summary'!$G:$G,'Industrial Summary'!$F:$F,I$17,'Industrial Summary'!$D:$D,$E313,'Industrial Summary'!$A:$A,"ELC")+-SUMIFS('Industrial Summary'!$G:$G,'Industrial Summary'!$F:$F,I$17,'Industrial Summary'!$D:$D,"IOTFSTM",'Industrial Summary'!$A:$A,"ELC"))/SUMIFS('Industrial Summary'!$G:$G,'Industrial Summary'!$F:$F,I$17,'Industrial Summary'!$D:$D,$E313)),0))*0.98</f>
        <v>-4.5755478352982243E-2</v>
      </c>
      <c r="J313" s="6">
        <f>(IF(SUMIFS('Industrial Summary'!$G:$G,'Industrial Summary'!$F:$F,J$17,'Industrial Summary'!$D:$D,$E313)&gt;0,((-SUMIFS('Industrial Summary'!$G:$G,'Industrial Summary'!$F:$F,J$17,'Industrial Summary'!$D:$D,$E313,'Industrial Summary'!$A:$A,"ELC")+-SUMIFS('Industrial Summary'!$G:$G,'Industrial Summary'!$F:$F,J$17,'Industrial Summary'!$D:$D,"IOTFSTM",'Industrial Summary'!$A:$A,"ELC"))/SUMIFS('Industrial Summary'!$G:$G,'Industrial Summary'!$F:$F,J$17,'Industrial Summary'!$D:$D,$E313)),0))*0.98</f>
        <v>-4.5431815904748603E-2</v>
      </c>
      <c r="K313" s="6">
        <f>(IF(SUMIFS('Industrial Summary'!$G:$G,'Industrial Summary'!$F:$F,K$17,'Industrial Summary'!$D:$D,$E313)&gt;0,((-SUMIFS('Industrial Summary'!$G:$G,'Industrial Summary'!$F:$F,K$17,'Industrial Summary'!$D:$D,$E313,'Industrial Summary'!$A:$A,"ELC")+-SUMIFS('Industrial Summary'!$G:$G,'Industrial Summary'!$F:$F,K$17,'Industrial Summary'!$D:$D,"IOTFSTM",'Industrial Summary'!$A:$A,"ELC"))/SUMIFS('Industrial Summary'!$G:$G,'Industrial Summary'!$F:$F,K$17,'Industrial Summary'!$D:$D,$E313)),0))*0.98</f>
        <v>-8.2596828661824745E-2</v>
      </c>
      <c r="L313" s="6">
        <f>(IF(SUMIFS('Industrial Summary'!$G:$G,'Industrial Summary'!$F:$F,L$17,'Industrial Summary'!$D:$D,$E313)&gt;0,((-SUMIFS('Industrial Summary'!$G:$G,'Industrial Summary'!$F:$F,L$17,'Industrial Summary'!$D:$D,$E313,'Industrial Summary'!$A:$A,"ELC")+-SUMIFS('Industrial Summary'!$G:$G,'Industrial Summary'!$F:$F,L$17,'Industrial Summary'!$D:$D,"IOTFSTM",'Industrial Summary'!$A:$A,"ELC"))/SUMIFS('Industrial Summary'!$G:$G,'Industrial Summary'!$F:$F,L$17,'Industrial Summary'!$D:$D,$E313)),0))*0.98</f>
        <v>-2.3906080020562114E-2</v>
      </c>
      <c r="M313" s="6">
        <f>(IF(SUMIFS('Industrial Summary'!$G:$G,'Industrial Summary'!$F:$F,M$17,'Industrial Summary'!$D:$D,$E313)&gt;0,((-SUMIFS('Industrial Summary'!$G:$G,'Industrial Summary'!$F:$F,M$17,'Industrial Summary'!$D:$D,$E313,'Industrial Summary'!$A:$A,"ELC")+-SUMIFS('Industrial Summary'!$G:$G,'Industrial Summary'!$F:$F,M$17,'Industrial Summary'!$D:$D,"IOTFSTM",'Industrial Summary'!$A:$A,"ELC"))/SUMIFS('Industrial Summary'!$G:$G,'Industrial Summary'!$F:$F,M$17,'Industrial Summary'!$D:$D,$E313)),0))*0.98</f>
        <v>-5.8575832284486075E-2</v>
      </c>
      <c r="N313" s="6">
        <f>(IF(SUMIFS('Industrial Summary'!$G:$G,'Industrial Summary'!$F:$F,N$17,'Industrial Summary'!$D:$D,$E313)&gt;0,((-SUMIFS('Industrial Summary'!$G:$G,'Industrial Summary'!$F:$F,N$17,'Industrial Summary'!$D:$D,$E313,'Industrial Summary'!$A:$A,"ELC")+-SUMIFS('Industrial Summary'!$G:$G,'Industrial Summary'!$F:$F,N$17,'Industrial Summary'!$D:$D,"IOTFSTM",'Industrial Summary'!$A:$A,"ELC"))/SUMIFS('Industrial Summary'!$G:$G,'Industrial Summary'!$F:$F,N$17,'Industrial Summary'!$D:$D,$E313)),0))*0.98</f>
        <v>-0.15100533145426118</v>
      </c>
      <c r="O313" s="6">
        <f>(IF(SUMIFS('Industrial Summary'!$G:$G,'Industrial Summary'!$F:$F,O$17,'Industrial Summary'!$D:$D,$E313)&gt;0,((-SUMIFS('Industrial Summary'!$G:$G,'Industrial Summary'!$F:$F,O$17,'Industrial Summary'!$D:$D,$E313,'Industrial Summary'!$A:$A,"ELC")+-SUMIFS('Industrial Summary'!$G:$G,'Industrial Summary'!$F:$F,O$17,'Industrial Summary'!$D:$D,"IOTFSTM",'Industrial Summary'!$A:$A,"ELC"))/SUMIFS('Industrial Summary'!$G:$G,'Industrial Summary'!$F:$F,O$17,'Industrial Summary'!$D:$D,$E313)),0))*0.98</f>
        <v>-0.28655652966190426</v>
      </c>
      <c r="P313" s="6">
        <f>(IF(SUMIFS('Industrial Summary'!$G:$G,'Industrial Summary'!$F:$F,P$17,'Industrial Summary'!$D:$D,$E313)&gt;0,((-SUMIFS('Industrial Summary'!$G:$G,'Industrial Summary'!$F:$F,P$17,'Industrial Summary'!$D:$D,$E313,'Industrial Summary'!$A:$A,"ELC")+-SUMIFS('Industrial Summary'!$G:$G,'Industrial Summary'!$F:$F,P$17,'Industrial Summary'!$D:$D,"IOTFSTM",'Industrial Summary'!$A:$A,"ELC"))/SUMIFS('Industrial Summary'!$G:$G,'Industrial Summary'!$F:$F,P$17,'Industrial Summary'!$D:$D,$E313)),0))*0.98</f>
        <v>0</v>
      </c>
      <c r="Q313" s="5">
        <v>0</v>
      </c>
      <c r="R313" s="5">
        <v>15</v>
      </c>
      <c r="S313" s="5" t="str">
        <f t="shared" si="63"/>
        <v>UC_IOTST_ELC</v>
      </c>
      <c r="V313" s="4" t="str">
        <f t="shared" si="64"/>
        <v>S_IOTSTELC</v>
      </c>
      <c r="W313" s="4" t="str">
        <f t="shared" si="65"/>
        <v>IOTST_ELC</v>
      </c>
      <c r="X313" s="4" t="str">
        <f t="shared" si="66"/>
        <v>IOTSTM</v>
      </c>
      <c r="Y313" s="5" t="str">
        <f t="shared" si="67"/>
        <v>LO</v>
      </c>
      <c r="Z313" s="5">
        <v>1</v>
      </c>
      <c r="AA313" s="6">
        <f t="shared" si="68"/>
        <v>0</v>
      </c>
      <c r="AB313" s="6">
        <f t="shared" si="69"/>
        <v>-4.5755478352982243E-2</v>
      </c>
      <c r="AC313" s="6">
        <f t="shared" si="70"/>
        <v>-4.5431815904748603E-2</v>
      </c>
      <c r="AD313" s="6">
        <f t="shared" si="71"/>
        <v>-8.2596828661824745E-2</v>
      </c>
      <c r="AE313" s="6">
        <f t="shared" si="72"/>
        <v>-2.3906080020562114E-2</v>
      </c>
      <c r="AF313" s="6">
        <f t="shared" si="73"/>
        <v>-5.8575832284486075E-2</v>
      </c>
      <c r="AG313" s="6">
        <f t="shared" si="74"/>
        <v>-0.15100533145426118</v>
      </c>
      <c r="AH313" s="6">
        <f t="shared" si="75"/>
        <v>-0.28655652966190426</v>
      </c>
      <c r="AI313" s="6">
        <f t="shared" si="76"/>
        <v>0</v>
      </c>
      <c r="AL313" s="5" t="str">
        <f t="shared" si="77"/>
        <v>ELC</v>
      </c>
      <c r="AM313" s="5">
        <f>1</f>
        <v>1</v>
      </c>
    </row>
    <row r="314" spans="1:39" s="5" customFormat="1" x14ac:dyDescent="0.3">
      <c r="C314" s="4" t="s">
        <v>641</v>
      </c>
      <c r="D314" s="5" t="s">
        <v>642</v>
      </c>
      <c r="E314" s="5" t="s">
        <v>784</v>
      </c>
      <c r="F314" s="5" t="s">
        <v>1588</v>
      </c>
      <c r="G314" s="5">
        <v>1</v>
      </c>
      <c r="H314" s="6">
        <f>(IF(SUMIFS('Industrial Summary'!$G:$G,'Industrial Summary'!$F:$F,H$17,'Industrial Summary'!$D:$D,$E314)&gt;0,((-SUMIFS('Industrial Summary'!$G:$G,'Industrial Summary'!$F:$F,H$17,'Industrial Summary'!$D:$D,$E314,'Industrial Summary'!$A:$A,"RFL")+-SUMIFS('Industrial Summary'!$G:$G,'Industrial Summary'!$F:$F,H$17,'Industrial Summary'!$D:$D,"IOTFSTM",'Industrial Summary'!$A:$A,"RFL"))/SUMIFS('Industrial Summary'!$G:$G,'Industrial Summary'!$F:$F,H$17,'Industrial Summary'!$D:$D,$E314)),0))*0.98</f>
        <v>-9.4810210809596895E-3</v>
      </c>
      <c r="I314" s="6">
        <f>(IF(SUMIFS('Industrial Summary'!$G:$G,'Industrial Summary'!$F:$F,I$17,'Industrial Summary'!$D:$D,$E314)&gt;0,((-SUMIFS('Industrial Summary'!$G:$G,'Industrial Summary'!$F:$F,I$17,'Industrial Summary'!$D:$D,$E314,'Industrial Summary'!$A:$A,"RFL")+-SUMIFS('Industrial Summary'!$G:$G,'Industrial Summary'!$F:$F,I$17,'Industrial Summary'!$D:$D,"IOTFSTM",'Industrial Summary'!$A:$A,"RFL"))/SUMIFS('Industrial Summary'!$G:$G,'Industrial Summary'!$F:$F,I$17,'Industrial Summary'!$D:$D,$E314)),0))*0.98</f>
        <v>0</v>
      </c>
      <c r="J314" s="6">
        <f>(IF(SUMIFS('Industrial Summary'!$G:$G,'Industrial Summary'!$F:$F,J$17,'Industrial Summary'!$D:$D,$E314)&gt;0,((-SUMIFS('Industrial Summary'!$G:$G,'Industrial Summary'!$F:$F,J$17,'Industrial Summary'!$D:$D,$E314,'Industrial Summary'!$A:$A,"RFL")+-SUMIFS('Industrial Summary'!$G:$G,'Industrial Summary'!$F:$F,J$17,'Industrial Summary'!$D:$D,"IOTFSTM",'Industrial Summary'!$A:$A,"RFL"))/SUMIFS('Industrial Summary'!$G:$G,'Industrial Summary'!$F:$F,J$17,'Industrial Summary'!$D:$D,$E314)),0))*0.98</f>
        <v>0</v>
      </c>
      <c r="K314" s="6">
        <f>(IF(SUMIFS('Industrial Summary'!$G:$G,'Industrial Summary'!$F:$F,K$17,'Industrial Summary'!$D:$D,$E314)&gt;0,((-SUMIFS('Industrial Summary'!$G:$G,'Industrial Summary'!$F:$F,K$17,'Industrial Summary'!$D:$D,$E314,'Industrial Summary'!$A:$A,"RFL")+-SUMIFS('Industrial Summary'!$G:$G,'Industrial Summary'!$F:$F,K$17,'Industrial Summary'!$D:$D,"IOTFSTM",'Industrial Summary'!$A:$A,"RFL"))/SUMIFS('Industrial Summary'!$G:$G,'Industrial Summary'!$F:$F,K$17,'Industrial Summary'!$D:$D,$E314)),0))*0.98</f>
        <v>0</v>
      </c>
      <c r="L314" s="6">
        <f>(IF(SUMIFS('Industrial Summary'!$G:$G,'Industrial Summary'!$F:$F,L$17,'Industrial Summary'!$D:$D,$E314)&gt;0,((-SUMIFS('Industrial Summary'!$G:$G,'Industrial Summary'!$F:$F,L$17,'Industrial Summary'!$D:$D,$E314,'Industrial Summary'!$A:$A,"RFL")+-SUMIFS('Industrial Summary'!$G:$G,'Industrial Summary'!$F:$F,L$17,'Industrial Summary'!$D:$D,"IOTFSTM",'Industrial Summary'!$A:$A,"RFL"))/SUMIFS('Industrial Summary'!$G:$G,'Industrial Summary'!$F:$F,L$17,'Industrial Summary'!$D:$D,$E314)),0))*0.98</f>
        <v>0</v>
      </c>
      <c r="M314" s="6">
        <f>(IF(SUMIFS('Industrial Summary'!$G:$G,'Industrial Summary'!$F:$F,M$17,'Industrial Summary'!$D:$D,$E314)&gt;0,((-SUMIFS('Industrial Summary'!$G:$G,'Industrial Summary'!$F:$F,M$17,'Industrial Summary'!$D:$D,$E314,'Industrial Summary'!$A:$A,"RFL")+-SUMIFS('Industrial Summary'!$G:$G,'Industrial Summary'!$F:$F,M$17,'Industrial Summary'!$D:$D,"IOTFSTM",'Industrial Summary'!$A:$A,"RFL"))/SUMIFS('Industrial Summary'!$G:$G,'Industrial Summary'!$F:$F,M$17,'Industrial Summary'!$D:$D,$E314)),0))*0.98</f>
        <v>-6.1533383084246976E-3</v>
      </c>
      <c r="N314" s="6">
        <f>(IF(SUMIFS('Industrial Summary'!$G:$G,'Industrial Summary'!$F:$F,N$17,'Industrial Summary'!$D:$D,$E314)&gt;0,((-SUMIFS('Industrial Summary'!$G:$G,'Industrial Summary'!$F:$F,N$17,'Industrial Summary'!$D:$D,$E314,'Industrial Summary'!$A:$A,"RFL")+-SUMIFS('Industrial Summary'!$G:$G,'Industrial Summary'!$F:$F,N$17,'Industrial Summary'!$D:$D,"IOTFSTM",'Industrial Summary'!$A:$A,"RFL"))/SUMIFS('Industrial Summary'!$G:$G,'Industrial Summary'!$F:$F,N$17,'Industrial Summary'!$D:$D,$E314)),0))*0.98</f>
        <v>0</v>
      </c>
      <c r="O314" s="6">
        <f>(IF(SUMIFS('Industrial Summary'!$G:$G,'Industrial Summary'!$F:$F,O$17,'Industrial Summary'!$D:$D,$E314)&gt;0,((-SUMIFS('Industrial Summary'!$G:$G,'Industrial Summary'!$F:$F,O$17,'Industrial Summary'!$D:$D,$E314,'Industrial Summary'!$A:$A,"RFL")+-SUMIFS('Industrial Summary'!$G:$G,'Industrial Summary'!$F:$F,O$17,'Industrial Summary'!$D:$D,"IOTFSTM",'Industrial Summary'!$A:$A,"RFL"))/SUMIFS('Industrial Summary'!$G:$G,'Industrial Summary'!$F:$F,O$17,'Industrial Summary'!$D:$D,$E314)),0))*0.98</f>
        <v>0</v>
      </c>
      <c r="P314" s="6">
        <f>(IF(SUMIFS('Industrial Summary'!$G:$G,'Industrial Summary'!$F:$F,P$17,'Industrial Summary'!$D:$D,$E314)&gt;0,((-SUMIFS('Industrial Summary'!$G:$G,'Industrial Summary'!$F:$F,P$17,'Industrial Summary'!$D:$D,$E314,'Industrial Summary'!$A:$A,"RFL")+-SUMIFS('Industrial Summary'!$G:$G,'Industrial Summary'!$F:$F,P$17,'Industrial Summary'!$D:$D,"IOTFSTM",'Industrial Summary'!$A:$A,"RFL"))/SUMIFS('Industrial Summary'!$G:$G,'Industrial Summary'!$F:$F,P$17,'Industrial Summary'!$D:$D,$E314)),0))*0.98</f>
        <v>0</v>
      </c>
      <c r="Q314" s="5">
        <v>0</v>
      </c>
      <c r="R314" s="5">
        <v>15</v>
      </c>
      <c r="S314" s="5" t="str">
        <f t="shared" si="63"/>
        <v>UC_IOTST_RFL</v>
      </c>
      <c r="V314" s="4" t="str">
        <f t="shared" si="64"/>
        <v>S_IOTSTRFL</v>
      </c>
      <c r="W314" s="4" t="str">
        <f t="shared" si="65"/>
        <v>IOTST_RFL</v>
      </c>
      <c r="X314" s="4" t="str">
        <f t="shared" si="66"/>
        <v>IOTSTM</v>
      </c>
      <c r="Y314" s="5" t="str">
        <f t="shared" si="67"/>
        <v>LO</v>
      </c>
      <c r="Z314" s="5">
        <v>1</v>
      </c>
      <c r="AA314" s="6">
        <f t="shared" si="68"/>
        <v>-9.4810210809596895E-3</v>
      </c>
      <c r="AB314" s="6">
        <f t="shared" si="69"/>
        <v>0</v>
      </c>
      <c r="AC314" s="6">
        <f t="shared" si="70"/>
        <v>0</v>
      </c>
      <c r="AD314" s="6">
        <f t="shared" si="71"/>
        <v>0</v>
      </c>
      <c r="AE314" s="6">
        <f t="shared" si="72"/>
        <v>0</v>
      </c>
      <c r="AF314" s="6">
        <f t="shared" si="73"/>
        <v>-6.1533383084246976E-3</v>
      </c>
      <c r="AG314" s="6">
        <f t="shared" si="74"/>
        <v>0</v>
      </c>
      <c r="AH314" s="6">
        <f t="shared" si="75"/>
        <v>0</v>
      </c>
      <c r="AI314" s="6">
        <f t="shared" si="76"/>
        <v>0</v>
      </c>
      <c r="AL314" s="5" t="str">
        <f t="shared" si="77"/>
        <v>RFL</v>
      </c>
      <c r="AM314" s="5">
        <f>1</f>
        <v>1</v>
      </c>
    </row>
    <row r="315" spans="1:39" s="5" customFormat="1" x14ac:dyDescent="0.3">
      <c r="C315" s="4" t="s">
        <v>643</v>
      </c>
      <c r="D315" s="5" t="s">
        <v>644</v>
      </c>
      <c r="E315" s="5" t="s">
        <v>784</v>
      </c>
      <c r="F315" s="5" t="s">
        <v>1588</v>
      </c>
      <c r="G315" s="5">
        <v>1</v>
      </c>
      <c r="H315" s="6">
        <f>(IF(SUMIFS('Industrial Summary'!$G:$G,'Industrial Summary'!$F:$F,H$17,'Industrial Summary'!$D:$D,$E315)&gt;0,((-SUMIFS('Industrial Summary'!$G:$G,'Industrial Summary'!$F:$F,H$17,'Industrial Summary'!$D:$D,$E315,'Industrial Summary'!$A:$A,"DST")+-SUMIFS('Industrial Summary'!$G:$G,'Industrial Summary'!$F:$F,H$17,'Industrial Summary'!$D:$D,"IOTFSTM",'Industrial Summary'!$A:$A,"DST"))/SUMIFS('Industrial Summary'!$G:$G,'Industrial Summary'!$F:$F,H$17,'Industrial Summary'!$D:$D,$E315)),0))*0.98</f>
        <v>-3.4274563780432012E-2</v>
      </c>
      <c r="I315" s="6">
        <f>(IF(SUMIFS('Industrial Summary'!$G:$G,'Industrial Summary'!$F:$F,I$17,'Industrial Summary'!$D:$D,$E315)&gt;0,((-SUMIFS('Industrial Summary'!$G:$G,'Industrial Summary'!$F:$F,I$17,'Industrial Summary'!$D:$D,$E315,'Industrial Summary'!$A:$A,"DST")+-SUMIFS('Industrial Summary'!$G:$G,'Industrial Summary'!$F:$F,I$17,'Industrial Summary'!$D:$D,"IOTFSTM",'Industrial Summary'!$A:$A,"DST"))/SUMIFS('Industrial Summary'!$G:$G,'Industrial Summary'!$F:$F,I$17,'Industrial Summary'!$D:$D,$E315)),0))*0.98</f>
        <v>0</v>
      </c>
      <c r="J315" s="6">
        <f>(IF(SUMIFS('Industrial Summary'!$G:$G,'Industrial Summary'!$F:$F,J$17,'Industrial Summary'!$D:$D,$E315)&gt;0,((-SUMIFS('Industrial Summary'!$G:$G,'Industrial Summary'!$F:$F,J$17,'Industrial Summary'!$D:$D,$E315,'Industrial Summary'!$A:$A,"DST")+-SUMIFS('Industrial Summary'!$G:$G,'Industrial Summary'!$F:$F,J$17,'Industrial Summary'!$D:$D,"IOTFSTM",'Industrial Summary'!$A:$A,"DST"))/SUMIFS('Industrial Summary'!$G:$G,'Industrial Summary'!$F:$F,J$17,'Industrial Summary'!$D:$D,$E315)),0))*0.98</f>
        <v>0</v>
      </c>
      <c r="K315" s="6">
        <f>(IF(SUMIFS('Industrial Summary'!$G:$G,'Industrial Summary'!$F:$F,K$17,'Industrial Summary'!$D:$D,$E315)&gt;0,((-SUMIFS('Industrial Summary'!$G:$G,'Industrial Summary'!$F:$F,K$17,'Industrial Summary'!$D:$D,$E315,'Industrial Summary'!$A:$A,"DST")+-SUMIFS('Industrial Summary'!$G:$G,'Industrial Summary'!$F:$F,K$17,'Industrial Summary'!$D:$D,"IOTFSTM",'Industrial Summary'!$A:$A,"DST"))/SUMIFS('Industrial Summary'!$G:$G,'Industrial Summary'!$F:$F,K$17,'Industrial Summary'!$D:$D,$E315)),0))*0.98</f>
        <v>0</v>
      </c>
      <c r="L315" s="6">
        <f>(IF(SUMIFS('Industrial Summary'!$G:$G,'Industrial Summary'!$F:$F,L$17,'Industrial Summary'!$D:$D,$E315)&gt;0,((-SUMIFS('Industrial Summary'!$G:$G,'Industrial Summary'!$F:$F,L$17,'Industrial Summary'!$D:$D,$E315,'Industrial Summary'!$A:$A,"DST")+-SUMIFS('Industrial Summary'!$G:$G,'Industrial Summary'!$F:$F,L$17,'Industrial Summary'!$D:$D,"IOTFSTM",'Industrial Summary'!$A:$A,"DST"))/SUMIFS('Industrial Summary'!$G:$G,'Industrial Summary'!$F:$F,L$17,'Industrial Summary'!$D:$D,$E315)),0))*0.98</f>
        <v>0</v>
      </c>
      <c r="M315" s="6">
        <f>(IF(SUMIFS('Industrial Summary'!$G:$G,'Industrial Summary'!$F:$F,M$17,'Industrial Summary'!$D:$D,$E315)&gt;0,((-SUMIFS('Industrial Summary'!$G:$G,'Industrial Summary'!$F:$F,M$17,'Industrial Summary'!$D:$D,$E315,'Industrial Summary'!$A:$A,"DST")+-SUMIFS('Industrial Summary'!$G:$G,'Industrial Summary'!$F:$F,M$17,'Industrial Summary'!$D:$D,"IOTFSTM",'Industrial Summary'!$A:$A,"DST"))/SUMIFS('Industrial Summary'!$G:$G,'Industrial Summary'!$F:$F,M$17,'Industrial Summary'!$D:$D,$E315)),0))*0.98</f>
        <v>-3.6539951448832009E-4</v>
      </c>
      <c r="N315" s="6">
        <f>(IF(SUMIFS('Industrial Summary'!$G:$G,'Industrial Summary'!$F:$F,N$17,'Industrial Summary'!$D:$D,$E315)&gt;0,((-SUMIFS('Industrial Summary'!$G:$G,'Industrial Summary'!$F:$F,N$17,'Industrial Summary'!$D:$D,$E315,'Industrial Summary'!$A:$A,"DST")+-SUMIFS('Industrial Summary'!$G:$G,'Industrial Summary'!$F:$F,N$17,'Industrial Summary'!$D:$D,"IOTFSTM",'Industrial Summary'!$A:$A,"DST"))/SUMIFS('Industrial Summary'!$G:$G,'Industrial Summary'!$F:$F,N$17,'Industrial Summary'!$D:$D,$E315)),0))*0.98</f>
        <v>0</v>
      </c>
      <c r="O315" s="6">
        <f>(IF(SUMIFS('Industrial Summary'!$G:$G,'Industrial Summary'!$F:$F,O$17,'Industrial Summary'!$D:$D,$E315)&gt;0,((-SUMIFS('Industrial Summary'!$G:$G,'Industrial Summary'!$F:$F,O$17,'Industrial Summary'!$D:$D,$E315,'Industrial Summary'!$A:$A,"DST")+-SUMIFS('Industrial Summary'!$G:$G,'Industrial Summary'!$F:$F,O$17,'Industrial Summary'!$D:$D,"IOTFSTM",'Industrial Summary'!$A:$A,"DST"))/SUMIFS('Industrial Summary'!$G:$G,'Industrial Summary'!$F:$F,O$17,'Industrial Summary'!$D:$D,$E315)),0))*0.98</f>
        <v>0</v>
      </c>
      <c r="P315" s="6">
        <f>(IF(SUMIFS('Industrial Summary'!$G:$G,'Industrial Summary'!$F:$F,P$17,'Industrial Summary'!$D:$D,$E315)&gt;0,((-SUMIFS('Industrial Summary'!$G:$G,'Industrial Summary'!$F:$F,P$17,'Industrial Summary'!$D:$D,$E315,'Industrial Summary'!$A:$A,"DST")+-SUMIFS('Industrial Summary'!$G:$G,'Industrial Summary'!$F:$F,P$17,'Industrial Summary'!$D:$D,"IOTFSTM",'Industrial Summary'!$A:$A,"DST"))/SUMIFS('Industrial Summary'!$G:$G,'Industrial Summary'!$F:$F,P$17,'Industrial Summary'!$D:$D,$E315)),0))*0.98</f>
        <v>0</v>
      </c>
      <c r="Q315" s="5">
        <v>0</v>
      </c>
      <c r="R315" s="5">
        <v>15</v>
      </c>
      <c r="S315" s="5" t="str">
        <f t="shared" si="63"/>
        <v>UC_IOTST_DST</v>
      </c>
      <c r="V315" s="4" t="str">
        <f t="shared" si="64"/>
        <v>S_IOTSTDST</v>
      </c>
      <c r="W315" s="4" t="str">
        <f t="shared" si="65"/>
        <v>IOTST_DST</v>
      </c>
      <c r="X315" s="4" t="str">
        <f t="shared" si="66"/>
        <v>IOTSTM</v>
      </c>
      <c r="Y315" s="5" t="str">
        <f t="shared" si="67"/>
        <v>LO</v>
      </c>
      <c r="Z315" s="5">
        <v>1</v>
      </c>
      <c r="AA315" s="6">
        <f t="shared" si="68"/>
        <v>-3.4274563780432012E-2</v>
      </c>
      <c r="AB315" s="6">
        <f t="shared" si="69"/>
        <v>0</v>
      </c>
      <c r="AC315" s="6">
        <f t="shared" si="70"/>
        <v>0</v>
      </c>
      <c r="AD315" s="6">
        <f t="shared" si="71"/>
        <v>0</v>
      </c>
      <c r="AE315" s="6">
        <f t="shared" si="72"/>
        <v>0</v>
      </c>
      <c r="AF315" s="6">
        <f t="shared" si="73"/>
        <v>-3.6539951448832009E-4</v>
      </c>
      <c r="AG315" s="6">
        <f t="shared" si="74"/>
        <v>0</v>
      </c>
      <c r="AH315" s="6">
        <f t="shared" si="75"/>
        <v>0</v>
      </c>
      <c r="AI315" s="6">
        <f t="shared" si="76"/>
        <v>0</v>
      </c>
      <c r="AL315" s="5" t="str">
        <f t="shared" si="77"/>
        <v>DST</v>
      </c>
      <c r="AM315" s="5">
        <f>1</f>
        <v>1</v>
      </c>
    </row>
    <row r="316" spans="1:39" s="5" customFormat="1" x14ac:dyDescent="0.3">
      <c r="C316" s="4" t="s">
        <v>645</v>
      </c>
      <c r="D316" s="5" t="s">
        <v>646</v>
      </c>
      <c r="E316" s="5" t="s">
        <v>784</v>
      </c>
      <c r="F316" s="5" t="s">
        <v>1588</v>
      </c>
      <c r="G316" s="5">
        <v>1</v>
      </c>
      <c r="H316" s="6">
        <f>(IF(SUMIFS('Industrial Summary'!$G:$G,'Industrial Summary'!$F:$F,H$17,'Industrial Summary'!$D:$D,$E316)&gt;0,((-SUMIFS('Industrial Summary'!$G:$G,'Industrial Summary'!$F:$F,H$17,'Industrial Summary'!$D:$D,$E316,'Industrial Summary'!$A:$A,"NGA")+-SUMIFS('Industrial Summary'!$G:$G,'Industrial Summary'!$F:$F,H$17,'Industrial Summary'!$D:$D,"IOTFSTM",'Industrial Summary'!$A:$A,"NGA"))/SUMIFS('Industrial Summary'!$G:$G,'Industrial Summary'!$F:$F,H$17,'Industrial Summary'!$D:$D,$E316)),0))*0.98</f>
        <v>-0.91227643156313243</v>
      </c>
      <c r="I316" s="6">
        <f>(IF(SUMIFS('Industrial Summary'!$G:$G,'Industrial Summary'!$F:$F,I$17,'Industrial Summary'!$D:$D,$E316)&gt;0,((-SUMIFS('Industrial Summary'!$G:$G,'Industrial Summary'!$F:$F,I$17,'Industrial Summary'!$D:$D,$E316,'Industrial Summary'!$A:$A,"NGA")+-SUMIFS('Industrial Summary'!$G:$G,'Industrial Summary'!$F:$F,I$17,'Industrial Summary'!$D:$D,"IOTFSTM",'Industrial Summary'!$A:$A,"NGA"))/SUMIFS('Industrial Summary'!$G:$G,'Industrial Summary'!$F:$F,I$17,'Industrial Summary'!$D:$D,$E316)),0))*0.98</f>
        <v>-0.89970920043200198</v>
      </c>
      <c r="J316" s="6">
        <f>(IF(SUMIFS('Industrial Summary'!$G:$G,'Industrial Summary'!$F:$F,J$17,'Industrial Summary'!$D:$D,$E316)&gt;0,((-SUMIFS('Industrial Summary'!$G:$G,'Industrial Summary'!$F:$F,J$17,'Industrial Summary'!$D:$D,$E316,'Industrial Summary'!$A:$A,"NGA")+-SUMIFS('Industrial Summary'!$G:$G,'Industrial Summary'!$F:$F,J$17,'Industrial Summary'!$D:$D,"IOTFSTM",'Industrial Summary'!$A:$A,"NGA"))/SUMIFS('Industrial Summary'!$G:$G,'Industrial Summary'!$F:$F,J$17,'Industrial Summary'!$D:$D,$E316)),0))*0.98</f>
        <v>-0.68338707194070469</v>
      </c>
      <c r="K316" s="6">
        <f>(IF(SUMIFS('Industrial Summary'!$G:$G,'Industrial Summary'!$F:$F,K$17,'Industrial Summary'!$D:$D,$E316)&gt;0,((-SUMIFS('Industrial Summary'!$G:$G,'Industrial Summary'!$F:$F,K$17,'Industrial Summary'!$D:$D,$E316,'Industrial Summary'!$A:$A,"NGA")+-SUMIFS('Industrial Summary'!$G:$G,'Industrial Summary'!$F:$F,K$17,'Industrial Summary'!$D:$D,"IOTFSTM",'Industrial Summary'!$A:$A,"NGA"))/SUMIFS('Industrial Summary'!$G:$G,'Industrial Summary'!$F:$F,K$17,'Industrial Summary'!$D:$D,$E316)),0))*0.98</f>
        <v>-0.47274922338880665</v>
      </c>
      <c r="L316" s="6">
        <f>(IF(SUMIFS('Industrial Summary'!$G:$G,'Industrial Summary'!$F:$F,L$17,'Industrial Summary'!$D:$D,$E316)&gt;0,((-SUMIFS('Industrial Summary'!$G:$G,'Industrial Summary'!$F:$F,L$17,'Industrial Summary'!$D:$D,$E316,'Industrial Summary'!$A:$A,"NGA")+-SUMIFS('Industrial Summary'!$G:$G,'Industrial Summary'!$F:$F,L$17,'Industrial Summary'!$D:$D,"IOTFSTM",'Industrial Summary'!$A:$A,"NGA"))/SUMIFS('Industrial Summary'!$G:$G,'Industrial Summary'!$F:$F,L$17,'Industrial Summary'!$D:$D,$E316)),0))*0.98</f>
        <v>-0.3056717857505008</v>
      </c>
      <c r="M316" s="6">
        <f>(IF(SUMIFS('Industrial Summary'!$G:$G,'Industrial Summary'!$F:$F,M$17,'Industrial Summary'!$D:$D,$E316)&gt;0,((-SUMIFS('Industrial Summary'!$G:$G,'Industrial Summary'!$F:$F,M$17,'Industrial Summary'!$D:$D,$E316,'Industrial Summary'!$A:$A,"NGA")+-SUMIFS('Industrial Summary'!$G:$G,'Industrial Summary'!$F:$F,M$17,'Industrial Summary'!$D:$D,"IOTFSTM",'Industrial Summary'!$A:$A,"NGA"))/SUMIFS('Industrial Summary'!$G:$G,'Industrial Summary'!$F:$F,M$17,'Industrial Summary'!$D:$D,$E316)),0))*0.98</f>
        <v>-0.77589753063632583</v>
      </c>
      <c r="N316" s="6">
        <f>(IF(SUMIFS('Industrial Summary'!$G:$G,'Industrial Summary'!$F:$F,N$17,'Industrial Summary'!$D:$D,$E316)&gt;0,((-SUMIFS('Industrial Summary'!$G:$G,'Industrial Summary'!$F:$F,N$17,'Industrial Summary'!$D:$D,$E316,'Industrial Summary'!$A:$A,"NGA")+-SUMIFS('Industrial Summary'!$G:$G,'Industrial Summary'!$F:$F,N$17,'Industrial Summary'!$D:$D,"IOTFSTM",'Industrial Summary'!$A:$A,"NGA"))/SUMIFS('Industrial Summary'!$G:$G,'Industrial Summary'!$F:$F,N$17,'Industrial Summary'!$D:$D,$E316)),0))*0.98</f>
        <v>-0.828994668545741</v>
      </c>
      <c r="O316" s="6">
        <f>(IF(SUMIFS('Industrial Summary'!$G:$G,'Industrial Summary'!$F:$F,O$17,'Industrial Summary'!$D:$D,$E316)&gt;0,((-SUMIFS('Industrial Summary'!$G:$G,'Industrial Summary'!$F:$F,O$17,'Industrial Summary'!$D:$D,$E316,'Industrial Summary'!$A:$A,"NGA")+-SUMIFS('Industrial Summary'!$G:$G,'Industrial Summary'!$F:$F,O$17,'Industrial Summary'!$D:$D,"IOTFSTM",'Industrial Summary'!$A:$A,"NGA"))/SUMIFS('Industrial Summary'!$G:$G,'Industrial Summary'!$F:$F,O$17,'Industrial Summary'!$D:$D,$E316)),0))*0.98</f>
        <v>-0.29427720652004341</v>
      </c>
      <c r="P316" s="6">
        <f>(IF(SUMIFS('Industrial Summary'!$G:$G,'Industrial Summary'!$F:$F,P$17,'Industrial Summary'!$D:$D,$E316)&gt;0,((-SUMIFS('Industrial Summary'!$G:$G,'Industrial Summary'!$F:$F,P$17,'Industrial Summary'!$D:$D,$E316,'Industrial Summary'!$A:$A,"NGA")+-SUMIFS('Industrial Summary'!$G:$G,'Industrial Summary'!$F:$F,P$17,'Industrial Summary'!$D:$D,"IOTFSTM",'Industrial Summary'!$A:$A,"NGA"))/SUMIFS('Industrial Summary'!$G:$G,'Industrial Summary'!$F:$F,P$17,'Industrial Summary'!$D:$D,$E316)),0))*0.98</f>
        <v>-0.8665975205890023</v>
      </c>
      <c r="Q316" s="5">
        <v>0</v>
      </c>
      <c r="R316" s="5">
        <v>15</v>
      </c>
      <c r="S316" s="5" t="str">
        <f t="shared" si="63"/>
        <v>UC_IOTST_NGA</v>
      </c>
      <c r="V316" s="4" t="str">
        <f t="shared" si="64"/>
        <v>S_IOTSTNGA</v>
      </c>
      <c r="W316" s="4" t="str">
        <f t="shared" si="65"/>
        <v>IOTST_NGA</v>
      </c>
      <c r="X316" s="4" t="str">
        <f t="shared" si="66"/>
        <v>IOTSTM</v>
      </c>
      <c r="Y316" s="5" t="str">
        <f t="shared" si="67"/>
        <v>LO</v>
      </c>
      <c r="Z316" s="5">
        <v>1</v>
      </c>
      <c r="AA316" s="6">
        <f t="shared" si="68"/>
        <v>-0.72982114525050601</v>
      </c>
      <c r="AB316" s="6">
        <f t="shared" si="69"/>
        <v>-0.71976736034560163</v>
      </c>
      <c r="AC316" s="6">
        <f t="shared" si="70"/>
        <v>-0.54670965755256373</v>
      </c>
      <c r="AD316" s="6">
        <f t="shared" si="71"/>
        <v>-0.37819937871104536</v>
      </c>
      <c r="AE316" s="6">
        <f t="shared" si="72"/>
        <v>-0.24453742860040065</v>
      </c>
      <c r="AF316" s="6">
        <f t="shared" si="73"/>
        <v>-0.62071802450906066</v>
      </c>
      <c r="AG316" s="6">
        <f t="shared" si="74"/>
        <v>-0.66319573483659289</v>
      </c>
      <c r="AH316" s="6">
        <f t="shared" si="75"/>
        <v>-0.23542176521603475</v>
      </c>
      <c r="AI316" s="6">
        <f t="shared" si="76"/>
        <v>-0.69327801647120191</v>
      </c>
      <c r="AL316" s="5" t="str">
        <f t="shared" si="77"/>
        <v>NGA</v>
      </c>
      <c r="AM316" s="5">
        <f>Y10</f>
        <v>0.8</v>
      </c>
    </row>
    <row r="317" spans="1:39" s="5" customFormat="1" x14ac:dyDescent="0.3">
      <c r="A317" s="8"/>
      <c r="C317" s="4" t="s">
        <v>647</v>
      </c>
      <c r="D317" s="5" t="s">
        <v>648</v>
      </c>
      <c r="E317" s="5" t="s">
        <v>784</v>
      </c>
      <c r="F317" s="5" t="s">
        <v>1591</v>
      </c>
      <c r="G317" s="5">
        <v>1</v>
      </c>
      <c r="H317" s="6">
        <f>(IF(SUMIFS('Industrial Summary'!$G:$G,'Industrial Summary'!$F:$F,H$17,'Industrial Summary'!$D:$D,$E317)&gt;0,((-SUMIFS('Industrial Summary'!$G:$G,'Industrial Summary'!$F:$F,H$17,'Industrial Summary'!$D:$D,$E317,'Industrial Summary'!$A:$A,"COA")+-SUMIFS('Industrial Summary'!$G:$G,'Industrial Summary'!$F:$F,H$17,'Industrial Summary'!$D:$D,"IOTFSTM",'Industrial Summary'!$A:$A,"COA"))/SUMIFS('Industrial Summary'!$G:$G,'Industrial Summary'!$F:$F,H$17,'Industrial Summary'!$D:$D,$E317)),0))*0.98</f>
        <v>-2.3967983575478972E-2</v>
      </c>
      <c r="I317" s="6">
        <f>(IF(SUMIFS('Industrial Summary'!$G:$G,'Industrial Summary'!$F:$F,I$17,'Industrial Summary'!$D:$D,$E317)&gt;0,((-SUMIFS('Industrial Summary'!$G:$G,'Industrial Summary'!$F:$F,I$17,'Industrial Summary'!$D:$D,$E317,'Industrial Summary'!$A:$A,"COA")+-SUMIFS('Industrial Summary'!$G:$G,'Industrial Summary'!$F:$F,I$17,'Industrial Summary'!$D:$D,"IOTFSTM",'Industrial Summary'!$A:$A,"COA"))/SUMIFS('Industrial Summary'!$G:$G,'Industrial Summary'!$F:$F,I$17,'Industrial Summary'!$D:$D,$E317)),0))*0.98</f>
        <v>-3.4535321215016485E-2</v>
      </c>
      <c r="J317" s="6">
        <f>(IF(SUMIFS('Industrial Summary'!$G:$G,'Industrial Summary'!$F:$F,J$17,'Industrial Summary'!$D:$D,$E317)&gt;0,((-SUMIFS('Industrial Summary'!$G:$G,'Industrial Summary'!$F:$F,J$17,'Industrial Summary'!$D:$D,$E317,'Industrial Summary'!$A:$A,"COA")+-SUMIFS('Industrial Summary'!$G:$G,'Industrial Summary'!$F:$F,J$17,'Industrial Summary'!$D:$D,"IOTFSTM",'Industrial Summary'!$A:$A,"COA"))/SUMIFS('Industrial Summary'!$G:$G,'Industrial Summary'!$F:$F,J$17,'Industrial Summary'!$D:$D,$E317)),0))*0.98</f>
        <v>-0.25118111215454669</v>
      </c>
      <c r="K317" s="6">
        <f>(IF(SUMIFS('Industrial Summary'!$G:$G,'Industrial Summary'!$F:$F,K$17,'Industrial Summary'!$D:$D,$E317)&gt;0,((-SUMIFS('Industrial Summary'!$G:$G,'Industrial Summary'!$F:$F,K$17,'Industrial Summary'!$D:$D,$E317,'Industrial Summary'!$A:$A,"COA")+-SUMIFS('Industrial Summary'!$G:$G,'Industrial Summary'!$F:$F,K$17,'Industrial Summary'!$D:$D,"IOTFSTM",'Industrial Summary'!$A:$A,"COA"))/SUMIFS('Industrial Summary'!$G:$G,'Industrial Summary'!$F:$F,K$17,'Industrial Summary'!$D:$D,$E317)),0))*0.98</f>
        <v>-0.42465394794936884</v>
      </c>
      <c r="L317" s="6">
        <f>(IF(SUMIFS('Industrial Summary'!$G:$G,'Industrial Summary'!$F:$F,L$17,'Industrial Summary'!$D:$D,$E317)&gt;0,((-SUMIFS('Industrial Summary'!$G:$G,'Industrial Summary'!$F:$F,L$17,'Industrial Summary'!$D:$D,$E317,'Industrial Summary'!$A:$A,"COA")+-SUMIFS('Industrial Summary'!$G:$G,'Industrial Summary'!$F:$F,L$17,'Industrial Summary'!$D:$D,"IOTFSTM",'Industrial Summary'!$A:$A,"COA"))/SUMIFS('Industrial Summary'!$G:$G,'Industrial Summary'!$F:$F,L$17,'Industrial Summary'!$D:$D,$E317)),0))*0.98</f>
        <v>-0.65042213422893602</v>
      </c>
      <c r="M317" s="6">
        <f>(IF(SUMIFS('Industrial Summary'!$G:$G,'Industrial Summary'!$F:$F,M$17,'Industrial Summary'!$D:$D,$E317)&gt;0,((-SUMIFS('Industrial Summary'!$G:$G,'Industrial Summary'!$F:$F,M$17,'Industrial Summary'!$D:$D,$E317,'Industrial Summary'!$A:$A,"COA")+-SUMIFS('Industrial Summary'!$G:$G,'Industrial Summary'!$F:$F,M$17,'Industrial Summary'!$D:$D,"IOTFSTM",'Industrial Summary'!$A:$A,"COA"))/SUMIFS('Industrial Summary'!$G:$G,'Industrial Summary'!$F:$F,M$17,'Industrial Summary'!$D:$D,$E317)),0))*0.98</f>
        <v>-0.13900789925627505</v>
      </c>
      <c r="N317" s="6">
        <f>(IF(SUMIFS('Industrial Summary'!$G:$G,'Industrial Summary'!$F:$F,N$17,'Industrial Summary'!$D:$D,$E317)&gt;0,((-SUMIFS('Industrial Summary'!$G:$G,'Industrial Summary'!$F:$F,N$17,'Industrial Summary'!$D:$D,$E317,'Industrial Summary'!$A:$A,"COA")+-SUMIFS('Industrial Summary'!$G:$G,'Industrial Summary'!$F:$F,N$17,'Industrial Summary'!$D:$D,"IOTFSTM",'Industrial Summary'!$A:$A,"COA"))/SUMIFS('Industrial Summary'!$G:$G,'Industrial Summary'!$F:$F,N$17,'Industrial Summary'!$D:$D,$E317)),0))*0.98</f>
        <v>0</v>
      </c>
      <c r="O317" s="6">
        <f>(IF(SUMIFS('Industrial Summary'!$G:$G,'Industrial Summary'!$F:$F,O$17,'Industrial Summary'!$D:$D,$E317)&gt;0,((-SUMIFS('Industrial Summary'!$G:$G,'Industrial Summary'!$F:$F,O$17,'Industrial Summary'!$D:$D,$E317,'Industrial Summary'!$A:$A,"COA")+-SUMIFS('Industrial Summary'!$G:$G,'Industrial Summary'!$F:$F,O$17,'Industrial Summary'!$D:$D,"IOTFSTM",'Industrial Summary'!$A:$A,"COA"))/SUMIFS('Industrial Summary'!$G:$G,'Industrial Summary'!$F:$F,O$17,'Industrial Summary'!$D:$D,$E317)),0))*0.98</f>
        <v>-0.39916626381805215</v>
      </c>
      <c r="P317" s="6">
        <f>(IF(SUMIFS('Industrial Summary'!$G:$G,'Industrial Summary'!$F:$F,P$17,'Industrial Summary'!$D:$D,$E317)&gt;0,((-SUMIFS('Industrial Summary'!$G:$G,'Industrial Summary'!$F:$F,P$17,'Industrial Summary'!$D:$D,$E317,'Industrial Summary'!$A:$A,"COA")+-SUMIFS('Industrial Summary'!$G:$G,'Industrial Summary'!$F:$F,P$17,'Industrial Summary'!$D:$D,"IOTFSTM",'Industrial Summary'!$A:$A,"COA"))/SUMIFS('Industrial Summary'!$G:$G,'Industrial Summary'!$F:$F,P$17,'Industrial Summary'!$D:$D,$E317)),0))*0.98</f>
        <v>-0.10844515154822958</v>
      </c>
      <c r="Q317" s="5">
        <v>0</v>
      </c>
      <c r="R317" s="5">
        <v>15</v>
      </c>
      <c r="S317" s="5" t="str">
        <f t="shared" si="63"/>
        <v>UC_IOTST_COA</v>
      </c>
      <c r="V317" s="4" t="str">
        <f t="shared" si="64"/>
        <v>S_IOTSTCOA</v>
      </c>
      <c r="W317" s="4" t="str">
        <f t="shared" si="65"/>
        <v>IOTST_COA</v>
      </c>
      <c r="X317" s="4" t="str">
        <f t="shared" si="66"/>
        <v>IOTSTM</v>
      </c>
      <c r="Y317" s="5" t="str">
        <f t="shared" si="67"/>
        <v>UP</v>
      </c>
      <c r="Z317" s="5">
        <v>1</v>
      </c>
      <c r="AA317" s="6">
        <f t="shared" si="68"/>
        <v>-1.9174386860383179E-2</v>
      </c>
      <c r="AB317" s="6">
        <f t="shared" si="69"/>
        <v>-2.7628256972013189E-2</v>
      </c>
      <c r="AC317" s="6">
        <f t="shared" si="70"/>
        <v>-0.20094488972363736</v>
      </c>
      <c r="AD317" s="6">
        <f t="shared" si="71"/>
        <v>-0.33972315835949507</v>
      </c>
      <c r="AE317" s="6">
        <f t="shared" si="72"/>
        <v>-0.52033770738314888</v>
      </c>
      <c r="AF317" s="6">
        <f t="shared" si="73"/>
        <v>-0.11120631940502004</v>
      </c>
      <c r="AG317" s="6">
        <f t="shared" si="74"/>
        <v>0</v>
      </c>
      <c r="AH317" s="6">
        <f t="shared" si="75"/>
        <v>-0.31933301105444173</v>
      </c>
      <c r="AI317" s="6">
        <f t="shared" si="76"/>
        <v>-8.6756121238583672E-2</v>
      </c>
      <c r="AL317" s="5" t="str">
        <f t="shared" si="77"/>
        <v>COA</v>
      </c>
      <c r="AM317" s="5">
        <f>Z10</f>
        <v>0.8</v>
      </c>
    </row>
    <row r="318" spans="1:39" s="5" customFormat="1" x14ac:dyDescent="0.3">
      <c r="C318" s="4" t="s">
        <v>650</v>
      </c>
      <c r="D318" s="5" t="s">
        <v>651</v>
      </c>
      <c r="E318" s="5" t="s">
        <v>802</v>
      </c>
      <c r="F318" s="5" t="s">
        <v>1588</v>
      </c>
      <c r="G318" s="5">
        <v>1</v>
      </c>
      <c r="H318" s="6">
        <f>IF(SUMIFS('Industrial Summary'!$G:$G,'Industrial Summary'!$F:$F,H$17,'Industrial Summary'!$D:$D,$E318)&gt;0,(-SUMIFS('Industrial Summary'!$G:$G,'Industrial Summary'!$F:$F,H$17,'Industrial Summary'!$D:$D,$E318,'Industrial Summary'!$A:$A,"ELC")/SUMIFS('Industrial Summary'!$G:$G,'Industrial Summary'!$F:$F,H$17,'Industrial Summary'!$D:$D,$E318)),0)*0.98</f>
        <v>-0.24785293476086653</v>
      </c>
      <c r="I318" s="6">
        <f>IF(SUMIFS('Industrial Summary'!$G:$G,'Industrial Summary'!$F:$F,I$17,'Industrial Summary'!$D:$D,$E318)&gt;0,(-SUMIFS('Industrial Summary'!$G:$G,'Industrial Summary'!$F:$F,I$17,'Industrial Summary'!$D:$D,$E318,'Industrial Summary'!$A:$A,"ELC")/SUMIFS('Industrial Summary'!$G:$G,'Industrial Summary'!$F:$F,I$17,'Industrial Summary'!$D:$D,$E318)),0)*0.98</f>
        <v>-0.28384028614146306</v>
      </c>
      <c r="J318" s="6">
        <f>IF(SUMIFS('Industrial Summary'!$G:$G,'Industrial Summary'!$F:$F,J$17,'Industrial Summary'!$D:$D,$E318)&gt;0,(-SUMIFS('Industrial Summary'!$G:$G,'Industrial Summary'!$F:$F,J$17,'Industrial Summary'!$D:$D,$E318,'Industrial Summary'!$A:$A,"ELC")/SUMIFS('Industrial Summary'!$G:$G,'Industrial Summary'!$F:$F,J$17,'Industrial Summary'!$D:$D,$E318)),0)*0.98</f>
        <v>-0.27419479420012177</v>
      </c>
      <c r="K318" s="6">
        <f>IF(SUMIFS('Industrial Summary'!$G:$G,'Industrial Summary'!$F:$F,K$17,'Industrial Summary'!$D:$D,$E318)&gt;0,(-SUMIFS('Industrial Summary'!$G:$G,'Industrial Summary'!$F:$F,K$17,'Industrial Summary'!$D:$D,$E318,'Industrial Summary'!$A:$A,"ELC")/SUMIFS('Industrial Summary'!$G:$G,'Industrial Summary'!$F:$F,K$17,'Industrial Summary'!$D:$D,$E318)),0)*0.98</f>
        <v>-0.27591298553742022</v>
      </c>
      <c r="L318" s="6">
        <f>IF(SUMIFS('Industrial Summary'!$G:$G,'Industrial Summary'!$F:$F,L$17,'Industrial Summary'!$D:$D,$E318)&gt;0,(-SUMIFS('Industrial Summary'!$G:$G,'Industrial Summary'!$F:$F,L$17,'Industrial Summary'!$D:$D,$E318,'Industrial Summary'!$A:$A,"ELC")/SUMIFS('Industrial Summary'!$G:$G,'Industrial Summary'!$F:$F,L$17,'Industrial Summary'!$D:$D,$E318)),0)*0.98</f>
        <v>-0.34718651187606803</v>
      </c>
      <c r="M318" s="6">
        <f>IF(SUMIFS('Industrial Summary'!$G:$G,'Industrial Summary'!$F:$F,M$17,'Industrial Summary'!$D:$D,$E318)&gt;0,(-SUMIFS('Industrial Summary'!$G:$G,'Industrial Summary'!$F:$F,M$17,'Industrial Summary'!$D:$D,$E318,'Industrial Summary'!$A:$A,"ELC")/SUMIFS('Industrial Summary'!$G:$G,'Industrial Summary'!$F:$F,M$17,'Industrial Summary'!$D:$D,$E318)),0)*0.98</f>
        <v>-0.34701201168007972</v>
      </c>
      <c r="N318" s="6">
        <f>IF(SUMIFS('Industrial Summary'!$G:$G,'Industrial Summary'!$F:$F,N$17,'Industrial Summary'!$D:$D,$E318)&gt;0,(-SUMIFS('Industrial Summary'!$G:$G,'Industrial Summary'!$F:$F,N$17,'Industrial Summary'!$D:$D,$E318,'Industrial Summary'!$A:$A,"ELC")/SUMIFS('Industrial Summary'!$G:$G,'Industrial Summary'!$F:$F,N$17,'Industrial Summary'!$D:$D,$E318)),0)*0.98</f>
        <v>-0.34701201168007817</v>
      </c>
      <c r="O318" s="6">
        <f>IF(SUMIFS('Industrial Summary'!$G:$G,'Industrial Summary'!$F:$F,O$17,'Industrial Summary'!$D:$D,$E318)&gt;0,(-SUMIFS('Industrial Summary'!$G:$G,'Industrial Summary'!$F:$F,O$17,'Industrial Summary'!$D:$D,$E318,'Industrial Summary'!$A:$A,"ELC")/SUMIFS('Industrial Summary'!$G:$G,'Industrial Summary'!$F:$F,O$17,'Industrial Summary'!$D:$D,$E318)),0)*0.98</f>
        <v>-0.37291276545542046</v>
      </c>
      <c r="P318" s="6">
        <f>IF(SUMIFS('Industrial Summary'!$G:$G,'Industrial Summary'!$F:$F,P$17,'Industrial Summary'!$D:$D,$E318)&gt;0,(-SUMIFS('Industrial Summary'!$G:$G,'Industrial Summary'!$F:$F,P$17,'Industrial Summary'!$D:$D,$E318,'Industrial Summary'!$A:$A,"ELC")/SUMIFS('Industrial Summary'!$G:$G,'Industrial Summary'!$F:$F,P$17,'Industrial Summary'!$D:$D,$E318)),0)*0.98</f>
        <v>-0.37291276545542007</v>
      </c>
      <c r="Q318" s="5">
        <v>0</v>
      </c>
      <c r="R318" s="5">
        <v>15</v>
      </c>
      <c r="S318" s="5" t="str">
        <f t="shared" si="63"/>
        <v>UC_IOTPH_ELC</v>
      </c>
      <c r="V318" s="4" t="str">
        <f t="shared" si="64"/>
        <v>S_IOTPHELC</v>
      </c>
      <c r="W318" s="4" t="str">
        <f t="shared" si="65"/>
        <v>IOTPH_ELC</v>
      </c>
      <c r="X318" s="4" t="str">
        <f t="shared" si="66"/>
        <v>IOTPRH</v>
      </c>
      <c r="Y318" s="5" t="str">
        <f t="shared" si="67"/>
        <v>LO</v>
      </c>
      <c r="Z318" s="5">
        <v>1</v>
      </c>
      <c r="AA318" s="6">
        <f t="shared" si="68"/>
        <v>-0.24785293476086653</v>
      </c>
      <c r="AB318" s="6">
        <f t="shared" si="69"/>
        <v>-0.28384028614146306</v>
      </c>
      <c r="AC318" s="6">
        <f t="shared" si="70"/>
        <v>-0.27419479420012177</v>
      </c>
      <c r="AD318" s="6">
        <f t="shared" si="71"/>
        <v>-0.27591298553742022</v>
      </c>
      <c r="AE318" s="6">
        <f t="shared" si="72"/>
        <v>-0.34718651187606803</v>
      </c>
      <c r="AF318" s="6">
        <f t="shared" si="73"/>
        <v>-0.34701201168007972</v>
      </c>
      <c r="AG318" s="6">
        <f t="shared" si="74"/>
        <v>-0.34701201168007817</v>
      </c>
      <c r="AH318" s="6">
        <f t="shared" si="75"/>
        <v>-0.37291276545542046</v>
      </c>
      <c r="AI318" s="6">
        <f t="shared" si="76"/>
        <v>-0.37291276545542007</v>
      </c>
      <c r="AL318" s="5" t="str">
        <f t="shared" si="77"/>
        <v>ELC</v>
      </c>
      <c r="AM318" s="5">
        <f>1</f>
        <v>1</v>
      </c>
    </row>
    <row r="319" spans="1:39" s="5" customFormat="1" x14ac:dyDescent="0.3">
      <c r="C319" s="4" t="s">
        <v>652</v>
      </c>
      <c r="D319" s="5" t="s">
        <v>653</v>
      </c>
      <c r="E319" s="5" t="s">
        <v>802</v>
      </c>
      <c r="F319" s="5" t="s">
        <v>1588</v>
      </c>
      <c r="G319" s="5">
        <v>1</v>
      </c>
      <c r="H319" s="6">
        <f>IF(SUMIFS('Industrial Summary'!$G:$G,'Industrial Summary'!$F:$F,H$17,'Industrial Summary'!$D:$D,$E319)&gt;0,(-SUMIFS('Industrial Summary'!$G:$G,'Industrial Summary'!$F:$F,H$17,'Industrial Summary'!$D:$D,$E319,'Industrial Summary'!$A:$A,"RFL")/SUMIFS('Industrial Summary'!$G:$G,'Industrial Summary'!$F:$F,H$17,'Industrial Summary'!$D:$D,$E319)),0)*0.98</f>
        <v>-8.0251216342115822E-3</v>
      </c>
      <c r="I319" s="6">
        <f>IF(SUMIFS('Industrial Summary'!$G:$G,'Industrial Summary'!$F:$F,I$17,'Industrial Summary'!$D:$D,$E319)&gt;0,(-SUMIFS('Industrial Summary'!$G:$G,'Industrial Summary'!$F:$F,I$17,'Industrial Summary'!$D:$D,$E319,'Industrial Summary'!$A:$A,"RFL")/SUMIFS('Industrial Summary'!$G:$G,'Industrial Summary'!$F:$F,I$17,'Industrial Summary'!$D:$D,$E319)),0)*0.98</f>
        <v>-7.5919771921643571E-3</v>
      </c>
      <c r="J319" s="6">
        <f>IF(SUMIFS('Industrial Summary'!$G:$G,'Industrial Summary'!$F:$F,J$17,'Industrial Summary'!$D:$D,$E319)&gt;0,(-SUMIFS('Industrial Summary'!$G:$G,'Industrial Summary'!$F:$F,J$17,'Industrial Summary'!$D:$D,$E319,'Industrial Summary'!$A:$A,"RFL")/SUMIFS('Industrial Summary'!$G:$G,'Industrial Summary'!$F:$F,J$17,'Industrial Summary'!$D:$D,$E319)),0)*0.98</f>
        <v>0</v>
      </c>
      <c r="K319" s="6">
        <f>IF(SUMIFS('Industrial Summary'!$G:$G,'Industrial Summary'!$F:$F,K$17,'Industrial Summary'!$D:$D,$E319)&gt;0,(-SUMIFS('Industrial Summary'!$G:$G,'Industrial Summary'!$F:$F,K$17,'Industrial Summary'!$D:$D,$E319,'Industrial Summary'!$A:$A,"RFL")/SUMIFS('Industrial Summary'!$G:$G,'Industrial Summary'!$F:$F,K$17,'Industrial Summary'!$D:$D,$E319)),0)*0.98</f>
        <v>0</v>
      </c>
      <c r="L319" s="6">
        <f>IF(SUMIFS('Industrial Summary'!$G:$G,'Industrial Summary'!$F:$F,L$17,'Industrial Summary'!$D:$D,$E319)&gt;0,(-SUMIFS('Industrial Summary'!$G:$G,'Industrial Summary'!$F:$F,L$17,'Industrial Summary'!$D:$D,$E319,'Industrial Summary'!$A:$A,"RFL")/SUMIFS('Industrial Summary'!$G:$G,'Industrial Summary'!$F:$F,L$17,'Industrial Summary'!$D:$D,$E319)),0)*0.98</f>
        <v>-1.9870586527251464E-3</v>
      </c>
      <c r="M319" s="6">
        <f>IF(SUMIFS('Industrial Summary'!$G:$G,'Industrial Summary'!$F:$F,M$17,'Industrial Summary'!$D:$D,$E319)&gt;0,(-SUMIFS('Industrial Summary'!$G:$G,'Industrial Summary'!$F:$F,M$17,'Industrial Summary'!$D:$D,$E319,'Industrial Summary'!$A:$A,"RFL")/SUMIFS('Industrial Summary'!$G:$G,'Industrial Summary'!$F:$F,M$17,'Industrial Summary'!$D:$D,$E319)),0)*0.98</f>
        <v>-1.9860599326928848E-3</v>
      </c>
      <c r="N319" s="6">
        <f>IF(SUMIFS('Industrial Summary'!$G:$G,'Industrial Summary'!$F:$F,N$17,'Industrial Summary'!$D:$D,$E319)&gt;0,(-SUMIFS('Industrial Summary'!$G:$G,'Industrial Summary'!$F:$F,N$17,'Industrial Summary'!$D:$D,$E319,'Industrial Summary'!$A:$A,"RFL")/SUMIFS('Industrial Summary'!$G:$G,'Industrial Summary'!$F:$F,N$17,'Industrial Summary'!$D:$D,$E319)),0)*0.98</f>
        <v>-1.9860599326928796E-3</v>
      </c>
      <c r="O319" s="6">
        <f>IF(SUMIFS('Industrial Summary'!$G:$G,'Industrial Summary'!$F:$F,O$17,'Industrial Summary'!$D:$D,$E319)&gt;0,(-SUMIFS('Industrial Summary'!$G:$G,'Industrial Summary'!$F:$F,O$17,'Industrial Summary'!$D:$D,$E319,'Industrial Summary'!$A:$A,"RFL")/SUMIFS('Industrial Summary'!$G:$G,'Industrial Summary'!$F:$F,O$17,'Industrial Summary'!$D:$D,$E319)),0)*0.98</f>
        <v>0</v>
      </c>
      <c r="P319" s="6">
        <f>IF(SUMIFS('Industrial Summary'!$G:$G,'Industrial Summary'!$F:$F,P$17,'Industrial Summary'!$D:$D,$E319)&gt;0,(-SUMIFS('Industrial Summary'!$G:$G,'Industrial Summary'!$F:$F,P$17,'Industrial Summary'!$D:$D,$E319,'Industrial Summary'!$A:$A,"RFL")/SUMIFS('Industrial Summary'!$G:$G,'Industrial Summary'!$F:$F,P$17,'Industrial Summary'!$D:$D,$E319)),0)*0.98</f>
        <v>0</v>
      </c>
      <c r="Q319" s="5">
        <v>0</v>
      </c>
      <c r="R319" s="5">
        <v>15</v>
      </c>
      <c r="S319" s="5" t="str">
        <f t="shared" si="63"/>
        <v>UC_IOTPH_RFL</v>
      </c>
      <c r="V319" s="4" t="str">
        <f t="shared" si="64"/>
        <v>S_IOTPHRFL</v>
      </c>
      <c r="W319" s="4" t="str">
        <f t="shared" si="65"/>
        <v>IOTPH_RFL</v>
      </c>
      <c r="X319" s="4" t="str">
        <f t="shared" si="66"/>
        <v>IOTPRH</v>
      </c>
      <c r="Y319" s="5" t="str">
        <f t="shared" si="67"/>
        <v>LO</v>
      </c>
      <c r="Z319" s="5">
        <v>1</v>
      </c>
      <c r="AA319" s="6">
        <f t="shared" si="68"/>
        <v>-8.0251216342115822E-3</v>
      </c>
      <c r="AB319" s="6">
        <f t="shared" si="69"/>
        <v>-7.5919771921643571E-3</v>
      </c>
      <c r="AC319" s="6">
        <f t="shared" si="70"/>
        <v>0</v>
      </c>
      <c r="AD319" s="6">
        <f t="shared" si="71"/>
        <v>0</v>
      </c>
      <c r="AE319" s="6">
        <f t="shared" si="72"/>
        <v>-1.9870586527251464E-3</v>
      </c>
      <c r="AF319" s="6">
        <f t="shared" si="73"/>
        <v>-1.9860599326928848E-3</v>
      </c>
      <c r="AG319" s="6">
        <f t="shared" si="74"/>
        <v>-1.9860599326928796E-3</v>
      </c>
      <c r="AH319" s="6">
        <f t="shared" si="75"/>
        <v>0</v>
      </c>
      <c r="AI319" s="6">
        <f t="shared" si="76"/>
        <v>0</v>
      </c>
      <c r="AL319" s="5" t="str">
        <f t="shared" si="77"/>
        <v>RFL</v>
      </c>
      <c r="AM319" s="5">
        <f>1</f>
        <v>1</v>
      </c>
    </row>
    <row r="320" spans="1:39" s="5" customFormat="1" x14ac:dyDescent="0.3">
      <c r="C320" s="4" t="s">
        <v>654</v>
      </c>
      <c r="D320" s="5" t="s">
        <v>655</v>
      </c>
      <c r="E320" s="5" t="s">
        <v>802</v>
      </c>
      <c r="F320" s="5" t="s">
        <v>1588</v>
      </c>
      <c r="G320" s="5">
        <v>1</v>
      </c>
      <c r="H320" s="6">
        <f>IF(SUMIFS('Industrial Summary'!$G:$G,'Industrial Summary'!$F:$F,H$17,'Industrial Summary'!$D:$D,$E320)&gt;0,(-SUMIFS('Industrial Summary'!$G:$G,'Industrial Summary'!$F:$F,H$17,'Industrial Summary'!$D:$D,$E320,'Industrial Summary'!$A:$A,"DST")/SUMIFS('Industrial Summary'!$G:$G,'Industrial Summary'!$F:$F,H$17,'Industrial Summary'!$D:$D,$E320)),0)*0.98</f>
        <v>-1.3881531226375475E-2</v>
      </c>
      <c r="I320" s="6">
        <f>IF(SUMIFS('Industrial Summary'!$G:$G,'Industrial Summary'!$F:$F,I$17,'Industrial Summary'!$D:$D,$E320)&gt;0,(-SUMIFS('Industrial Summary'!$G:$G,'Industrial Summary'!$F:$F,I$17,'Industrial Summary'!$D:$D,$E320,'Industrial Summary'!$A:$A,"DST")/SUMIFS('Industrial Summary'!$G:$G,'Industrial Summary'!$F:$F,I$17,'Industrial Summary'!$D:$D,$E320)),0)*0.98</f>
        <v>-1.3132295467483377E-2</v>
      </c>
      <c r="J320" s="6">
        <f>IF(SUMIFS('Industrial Summary'!$G:$G,'Industrial Summary'!$F:$F,J$17,'Industrial Summary'!$D:$D,$E320)&gt;0,(-SUMIFS('Industrial Summary'!$G:$G,'Industrial Summary'!$F:$F,J$17,'Industrial Summary'!$D:$D,$E320,'Industrial Summary'!$A:$A,"DST")/SUMIFS('Industrial Summary'!$G:$G,'Industrial Summary'!$F:$F,J$17,'Industrial Summary'!$D:$D,$E320)),0)*0.98</f>
        <v>-3.8862832479089494E-3</v>
      </c>
      <c r="K320" s="6">
        <f>IF(SUMIFS('Industrial Summary'!$G:$G,'Industrial Summary'!$F:$F,K$17,'Industrial Summary'!$D:$D,$E320)&gt;0,(-SUMIFS('Industrial Summary'!$G:$G,'Industrial Summary'!$F:$F,K$17,'Industrial Summary'!$D:$D,$E320,'Industrial Summary'!$A:$A,"DST")/SUMIFS('Industrial Summary'!$G:$G,'Industrial Summary'!$F:$F,K$17,'Industrial Summary'!$D:$D,$E320)),0)*0.98</f>
        <v>-3.9106359283831559E-3</v>
      </c>
      <c r="L320" s="6">
        <f>IF(SUMIFS('Industrial Summary'!$G:$G,'Industrial Summary'!$F:$F,L$17,'Industrial Summary'!$D:$D,$E320)&gt;0,(-SUMIFS('Industrial Summary'!$G:$G,'Industrial Summary'!$F:$F,L$17,'Industrial Summary'!$D:$D,$E320,'Industrial Summary'!$A:$A,"DST")/SUMIFS('Industrial Summary'!$G:$G,'Industrial Summary'!$F:$F,L$17,'Industrial Summary'!$D:$D,$E320)),0)*0.98</f>
        <v>-6.5469215044379053E-3</v>
      </c>
      <c r="M320" s="6">
        <f>IF(SUMIFS('Industrial Summary'!$G:$G,'Industrial Summary'!$F:$F,M$17,'Industrial Summary'!$D:$D,$E320)&gt;0,(-SUMIFS('Industrial Summary'!$G:$G,'Industrial Summary'!$F:$F,M$17,'Industrial Summary'!$D:$D,$E320,'Industrial Summary'!$A:$A,"DST")/SUMIFS('Industrial Summary'!$G:$G,'Industrial Summary'!$F:$F,M$17,'Industrial Summary'!$D:$D,$E320)),0)*0.98</f>
        <v>-6.5436309414506804E-3</v>
      </c>
      <c r="N320" s="6">
        <f>IF(SUMIFS('Industrial Summary'!$G:$G,'Industrial Summary'!$F:$F,N$17,'Industrial Summary'!$D:$D,$E320)&gt;0,(-SUMIFS('Industrial Summary'!$G:$G,'Industrial Summary'!$F:$F,N$17,'Industrial Summary'!$D:$D,$E320,'Industrial Summary'!$A:$A,"DST")/SUMIFS('Industrial Summary'!$G:$G,'Industrial Summary'!$F:$F,N$17,'Industrial Summary'!$D:$D,$E320)),0)*0.98</f>
        <v>-6.5436309414506578E-3</v>
      </c>
      <c r="O320" s="6">
        <f>IF(SUMIFS('Industrial Summary'!$G:$G,'Industrial Summary'!$F:$F,O$17,'Industrial Summary'!$D:$D,$E320)&gt;0,(-SUMIFS('Industrial Summary'!$G:$G,'Industrial Summary'!$F:$F,O$17,'Industrial Summary'!$D:$D,$E320,'Industrial Summary'!$A:$A,"DST")/SUMIFS('Industrial Summary'!$G:$G,'Industrial Summary'!$F:$F,O$17,'Industrial Summary'!$D:$D,$E320)),0)*0.98</f>
        <v>-2.4401190438411116E-2</v>
      </c>
      <c r="P320" s="6">
        <f>IF(SUMIFS('Industrial Summary'!$G:$G,'Industrial Summary'!$F:$F,P$17,'Industrial Summary'!$D:$D,$E320)&gt;0,(-SUMIFS('Industrial Summary'!$G:$G,'Industrial Summary'!$F:$F,P$17,'Industrial Summary'!$D:$D,$E320,'Industrial Summary'!$A:$A,"DST")/SUMIFS('Industrial Summary'!$G:$G,'Industrial Summary'!$F:$F,P$17,'Industrial Summary'!$D:$D,$E320)),0)*0.98</f>
        <v>-2.440119043841316E-2</v>
      </c>
      <c r="Q320" s="5">
        <v>0</v>
      </c>
      <c r="R320" s="5">
        <v>15</v>
      </c>
      <c r="S320" s="5" t="str">
        <f t="shared" si="63"/>
        <v>UC_IOTPH_DST</v>
      </c>
      <c r="V320" s="4" t="str">
        <f t="shared" si="64"/>
        <v>S_IOTPHDST</v>
      </c>
      <c r="W320" s="4" t="str">
        <f t="shared" si="65"/>
        <v>IOTPH_DST</v>
      </c>
      <c r="X320" s="4" t="str">
        <f t="shared" si="66"/>
        <v>IOTPRH</v>
      </c>
      <c r="Y320" s="5" t="str">
        <f t="shared" si="67"/>
        <v>LO</v>
      </c>
      <c r="Z320" s="5">
        <v>1</v>
      </c>
      <c r="AA320" s="6">
        <f t="shared" si="68"/>
        <v>-1.3881531226375475E-2</v>
      </c>
      <c r="AB320" s="6">
        <f t="shared" si="69"/>
        <v>-1.3132295467483377E-2</v>
      </c>
      <c r="AC320" s="6">
        <f t="shared" si="70"/>
        <v>-3.8862832479089494E-3</v>
      </c>
      <c r="AD320" s="6">
        <f t="shared" si="71"/>
        <v>-3.9106359283831559E-3</v>
      </c>
      <c r="AE320" s="6">
        <f t="shared" si="72"/>
        <v>-6.5469215044379053E-3</v>
      </c>
      <c r="AF320" s="6">
        <f t="shared" si="73"/>
        <v>-6.5436309414506804E-3</v>
      </c>
      <c r="AG320" s="6">
        <f t="shared" si="74"/>
        <v>-6.5436309414506578E-3</v>
      </c>
      <c r="AH320" s="6">
        <f t="shared" si="75"/>
        <v>-2.4401190438411116E-2</v>
      </c>
      <c r="AI320" s="6">
        <f t="shared" si="76"/>
        <v>-2.440119043841316E-2</v>
      </c>
      <c r="AL320" s="5" t="str">
        <f t="shared" si="77"/>
        <v>DST</v>
      </c>
      <c r="AM320" s="5">
        <f>1</f>
        <v>1</v>
      </c>
    </row>
    <row r="321" spans="1:39" s="5" customFormat="1" x14ac:dyDescent="0.3">
      <c r="C321" s="4" t="s">
        <v>656</v>
      </c>
      <c r="D321" s="5" t="s">
        <v>657</v>
      </c>
      <c r="E321" s="5" t="s">
        <v>802</v>
      </c>
      <c r="F321" s="5" t="s">
        <v>1588</v>
      </c>
      <c r="G321" s="5">
        <v>1</v>
      </c>
      <c r="H321" s="6">
        <f>IF(SUMIFS('Industrial Summary'!$G:$G,'Industrial Summary'!$F:$F,H$17,'Industrial Summary'!$D:$D,$E321)&gt;0,(-SUMIFS('Industrial Summary'!$G:$G,'Industrial Summary'!$F:$F,H$17,'Industrial Summary'!$D:$D,$E321,'Industrial Summary'!$A:$A,"NGA")/SUMIFS('Industrial Summary'!$G:$G,'Industrial Summary'!$F:$F,H$17,'Industrial Summary'!$D:$D,$E321)),0)*0.98</f>
        <v>-0.68974886732998175</v>
      </c>
      <c r="I321" s="6">
        <f>IF(SUMIFS('Industrial Summary'!$G:$G,'Industrial Summary'!$F:$F,I$17,'Industrial Summary'!$D:$D,$E321)&gt;0,(-SUMIFS('Industrial Summary'!$G:$G,'Industrial Summary'!$F:$F,I$17,'Industrial Summary'!$D:$D,$E321,'Industrial Summary'!$A:$A,"NGA")/SUMIFS('Industrial Summary'!$G:$G,'Industrial Summary'!$F:$F,I$17,'Industrial Summary'!$D:$D,$E321)),0)*0.98</f>
        <v>-0.6525206604678282</v>
      </c>
      <c r="J321" s="6">
        <f>IF(SUMIFS('Industrial Summary'!$G:$G,'Industrial Summary'!$F:$F,J$17,'Industrial Summary'!$D:$D,$E321)&gt;0,(-SUMIFS('Industrial Summary'!$G:$G,'Industrial Summary'!$F:$F,J$17,'Industrial Summary'!$D:$D,$E321,'Industrial Summary'!$A:$A,"NGA")/SUMIFS('Industrial Summary'!$G:$G,'Industrial Summary'!$F:$F,J$17,'Industrial Summary'!$D:$D,$E321)),0)*0.98</f>
        <v>-0.66889140469728681</v>
      </c>
      <c r="K321" s="6">
        <f>IF(SUMIFS('Industrial Summary'!$G:$G,'Industrial Summary'!$F:$F,K$17,'Industrial Summary'!$D:$D,$E321)&gt;0,(-SUMIFS('Industrial Summary'!$G:$G,'Industrial Summary'!$F:$F,K$17,'Industrial Summary'!$D:$D,$E321,'Industrial Summary'!$A:$A,"NGA")/SUMIFS('Industrial Summary'!$G:$G,'Industrial Summary'!$F:$F,K$17,'Industrial Summary'!$D:$D,$E321)),0)*0.98</f>
        <v>-0.67308288988028253</v>
      </c>
      <c r="L321" s="6">
        <f>IF(SUMIFS('Industrial Summary'!$G:$G,'Industrial Summary'!$F:$F,L$17,'Industrial Summary'!$D:$D,$E321)&gt;0,(-SUMIFS('Industrial Summary'!$G:$G,'Industrial Summary'!$F:$F,L$17,'Industrial Summary'!$D:$D,$E321,'Industrial Summary'!$A:$A,"NGA")/SUMIFS('Industrial Summary'!$G:$G,'Industrial Summary'!$F:$F,L$17,'Industrial Summary'!$D:$D,$E321)),0)*0.98</f>
        <v>-0.58923804881542652</v>
      </c>
      <c r="M321" s="6">
        <f>IF(SUMIFS('Industrial Summary'!$G:$G,'Industrial Summary'!$F:$F,M$17,'Industrial Summary'!$D:$D,$E321)&gt;0,(-SUMIFS('Industrial Summary'!$G:$G,'Industrial Summary'!$F:$F,M$17,'Industrial Summary'!$D:$D,$E321,'Industrial Summary'!$A:$A,"NGA")/SUMIFS('Industrial Summary'!$G:$G,'Industrial Summary'!$F:$F,M$17,'Industrial Summary'!$D:$D,$E321)),0)*0.98</f>
        <v>-0.58894189055038604</v>
      </c>
      <c r="N321" s="6">
        <f>IF(SUMIFS('Industrial Summary'!$G:$G,'Industrial Summary'!$F:$F,N$17,'Industrial Summary'!$D:$D,$E321)&gt;0,(-SUMIFS('Industrial Summary'!$G:$G,'Industrial Summary'!$F:$F,N$17,'Industrial Summary'!$D:$D,$E321,'Industrial Summary'!$A:$A,"NGA")/SUMIFS('Industrial Summary'!$G:$G,'Industrial Summary'!$F:$F,N$17,'Industrial Summary'!$D:$D,$E321)),0)*0.98</f>
        <v>-0.58894189055038437</v>
      </c>
      <c r="O321" s="6">
        <f>IF(SUMIFS('Industrial Summary'!$G:$G,'Industrial Summary'!$F:$F,O$17,'Industrial Summary'!$D:$D,$E321)&gt;0,(-SUMIFS('Industrial Summary'!$G:$G,'Industrial Summary'!$F:$F,O$17,'Industrial Summary'!$D:$D,$E321,'Industrial Summary'!$A:$A,"NGA")/SUMIFS('Industrial Summary'!$G:$G,'Industrial Summary'!$F:$F,O$17,'Industrial Summary'!$D:$D,$E321)),0)*0.98</f>
        <v>-0.572092843604601</v>
      </c>
      <c r="P321" s="6">
        <f>IF(SUMIFS('Industrial Summary'!$G:$G,'Industrial Summary'!$F:$F,P$17,'Industrial Summary'!$D:$D,$E321)&gt;0,(-SUMIFS('Industrial Summary'!$G:$G,'Industrial Summary'!$F:$F,P$17,'Industrial Summary'!$D:$D,$E321,'Industrial Summary'!$A:$A,"NGA")/SUMIFS('Industrial Summary'!$G:$G,'Industrial Summary'!$F:$F,P$17,'Industrial Summary'!$D:$D,$E321)),0)*0.98</f>
        <v>-0.57209284360459944</v>
      </c>
      <c r="Q321" s="5">
        <v>0</v>
      </c>
      <c r="R321" s="5">
        <v>15</v>
      </c>
      <c r="S321" s="5" t="str">
        <f t="shared" si="63"/>
        <v>UC_IOTPH_NGA</v>
      </c>
      <c r="V321" s="4" t="str">
        <f t="shared" si="64"/>
        <v>S_IOTPHNGA</v>
      </c>
      <c r="W321" s="4" t="str">
        <f t="shared" si="65"/>
        <v>IOTPH_NGA</v>
      </c>
      <c r="X321" s="4" t="str">
        <f t="shared" si="66"/>
        <v>IOTPRH</v>
      </c>
      <c r="Y321" s="5" t="str">
        <f t="shared" si="67"/>
        <v>LO</v>
      </c>
      <c r="Z321" s="5">
        <v>1</v>
      </c>
      <c r="AA321" s="6">
        <f t="shared" si="68"/>
        <v>-0.5517990938639854</v>
      </c>
      <c r="AB321" s="6">
        <f t="shared" si="69"/>
        <v>-0.5220165283742626</v>
      </c>
      <c r="AC321" s="6">
        <f t="shared" si="70"/>
        <v>-0.53511312375782949</v>
      </c>
      <c r="AD321" s="6">
        <f t="shared" si="71"/>
        <v>-0.538466311904226</v>
      </c>
      <c r="AE321" s="6">
        <f t="shared" si="72"/>
        <v>-0.47139043905234124</v>
      </c>
      <c r="AF321" s="6">
        <f t="shared" si="73"/>
        <v>-0.47115351244030884</v>
      </c>
      <c r="AG321" s="6">
        <f t="shared" si="74"/>
        <v>-0.47115351244030751</v>
      </c>
      <c r="AH321" s="6">
        <f t="shared" si="75"/>
        <v>-0.45767427488368084</v>
      </c>
      <c r="AI321" s="6">
        <f t="shared" si="76"/>
        <v>-0.45767427488367957</v>
      </c>
      <c r="AL321" s="5" t="str">
        <f t="shared" si="77"/>
        <v>NGA</v>
      </c>
      <c r="AM321" s="5">
        <f>Y10</f>
        <v>0.8</v>
      </c>
    </row>
    <row r="322" spans="1:39" s="5" customFormat="1" x14ac:dyDescent="0.3">
      <c r="C322" s="4" t="s">
        <v>658</v>
      </c>
      <c r="D322" s="5" t="s">
        <v>659</v>
      </c>
      <c r="E322" s="5" t="s">
        <v>802</v>
      </c>
      <c r="F322" s="5" t="s">
        <v>1588</v>
      </c>
      <c r="G322" s="5">
        <v>1</v>
      </c>
      <c r="H322" s="6">
        <f>IF(SUMIFS('Industrial Summary'!$G:$G,'Industrial Summary'!$F:$F,H$17,'Industrial Summary'!$D:$D,$E322)&gt;0,(-SUMIFS('Industrial Summary'!$G:$G,'Industrial Summary'!$F:$F,H$17,'Industrial Summary'!$D:$D,$E322,'Industrial Summary'!$A:$A,"LPG")/SUMIFS('Industrial Summary'!$G:$G,'Industrial Summary'!$F:$F,H$17,'Industrial Summary'!$D:$D,$E322)),0)*0.98</f>
        <v>0</v>
      </c>
      <c r="I322" s="6">
        <f>IF(SUMIFS('Industrial Summary'!$G:$G,'Industrial Summary'!$F:$F,I$17,'Industrial Summary'!$D:$D,$E322)&gt;0,(-SUMIFS('Industrial Summary'!$G:$G,'Industrial Summary'!$F:$F,I$17,'Industrial Summary'!$D:$D,$E322,'Industrial Summary'!$A:$A,"LPG")/SUMIFS('Industrial Summary'!$G:$G,'Industrial Summary'!$F:$F,I$17,'Industrial Summary'!$D:$D,$E322)),0)*0.98</f>
        <v>-3.5292374668068113E-3</v>
      </c>
      <c r="J322" s="6">
        <f>IF(SUMIFS('Industrial Summary'!$G:$G,'Industrial Summary'!$F:$F,J$17,'Industrial Summary'!$D:$D,$E322)&gt;0,(-SUMIFS('Industrial Summary'!$G:$G,'Industrial Summary'!$F:$F,J$17,'Industrial Summary'!$D:$D,$E322,'Industrial Summary'!$A:$A,"LPG")/SUMIFS('Industrial Summary'!$G:$G,'Industrial Summary'!$F:$F,J$17,'Industrial Summary'!$D:$D,$E322)),0)*0.98</f>
        <v>-1.4621863383090773E-2</v>
      </c>
      <c r="K322" s="6">
        <f>IF(SUMIFS('Industrial Summary'!$G:$G,'Industrial Summary'!$F:$F,K$17,'Industrial Summary'!$D:$D,$E322)&gt;0,(-SUMIFS('Industrial Summary'!$G:$G,'Industrial Summary'!$F:$F,K$17,'Industrial Summary'!$D:$D,$E322,'Industrial Summary'!$A:$A,"LPG")/SUMIFS('Industrial Summary'!$G:$G,'Industrial Summary'!$F:$F,K$17,'Industrial Summary'!$D:$D,$E322)),0)*0.98</f>
        <v>-8.5724985277463219E-3</v>
      </c>
      <c r="L322" s="6">
        <f>IF(SUMIFS('Industrial Summary'!$G:$G,'Industrial Summary'!$F:$F,L$17,'Industrial Summary'!$D:$D,$E322)&gt;0,(-SUMIFS('Industrial Summary'!$G:$G,'Industrial Summary'!$F:$F,L$17,'Industrial Summary'!$D:$D,$E322,'Industrial Summary'!$A:$A,"LPG")/SUMIFS('Industrial Summary'!$G:$G,'Industrial Summary'!$F:$F,L$17,'Industrial Summary'!$D:$D,$E322)),0)*0.98</f>
        <v>-1.3054971021477537E-2</v>
      </c>
      <c r="M322" s="6">
        <f>IF(SUMIFS('Industrial Summary'!$G:$G,'Industrial Summary'!$F:$F,M$17,'Industrial Summary'!$D:$D,$E322)&gt;0,(-SUMIFS('Industrial Summary'!$G:$G,'Industrial Summary'!$F:$F,M$17,'Industrial Summary'!$D:$D,$E322,'Industrial Summary'!$A:$A,"LPG")/SUMIFS('Industrial Summary'!$G:$G,'Industrial Summary'!$F:$F,M$17,'Industrial Summary'!$D:$D,$E322)),0)*0.98</f>
        <v>-1.3540969443926297E-2</v>
      </c>
      <c r="N322" s="6">
        <f>IF(SUMIFS('Industrial Summary'!$G:$G,'Industrial Summary'!$F:$F,N$17,'Industrial Summary'!$D:$D,$E322)&gt;0,(-SUMIFS('Industrial Summary'!$G:$G,'Industrial Summary'!$F:$F,N$17,'Industrial Summary'!$D:$D,$E322,'Industrial Summary'!$A:$A,"LPG")/SUMIFS('Industrial Summary'!$G:$G,'Industrial Summary'!$F:$F,N$17,'Industrial Summary'!$D:$D,$E322)),0)*0.98</f>
        <v>-1.3540969443929754E-2</v>
      </c>
      <c r="O322" s="6">
        <f>IF(SUMIFS('Industrial Summary'!$G:$G,'Industrial Summary'!$F:$F,O$17,'Industrial Summary'!$D:$D,$E322)&gt;0,(-SUMIFS('Industrial Summary'!$G:$G,'Industrial Summary'!$F:$F,O$17,'Industrial Summary'!$D:$D,$E322,'Industrial Summary'!$A:$A,"LPG")/SUMIFS('Industrial Summary'!$G:$G,'Industrial Summary'!$F:$F,O$17,'Industrial Summary'!$D:$D,$E322)),0)*0.98</f>
        <v>-1.0593200501567396E-2</v>
      </c>
      <c r="P322" s="6">
        <f>IF(SUMIFS('Industrial Summary'!$G:$G,'Industrial Summary'!$F:$F,P$17,'Industrial Summary'!$D:$D,$E322)&gt;0,(-SUMIFS('Industrial Summary'!$G:$G,'Industrial Summary'!$F:$F,P$17,'Industrial Summary'!$D:$D,$E322,'Industrial Summary'!$A:$A,"LPG")/SUMIFS('Industrial Summary'!$G:$G,'Industrial Summary'!$F:$F,P$17,'Industrial Summary'!$D:$D,$E322)),0)*0.98</f>
        <v>-1.0593200501567372E-2</v>
      </c>
      <c r="Q322" s="5">
        <v>0</v>
      </c>
      <c r="R322" s="5">
        <v>15</v>
      </c>
      <c r="S322" s="5" t="str">
        <f t="shared" si="63"/>
        <v>UC_IOTPH_LPG</v>
      </c>
      <c r="V322" s="4" t="str">
        <f t="shared" si="64"/>
        <v>S_IOTPHLPG</v>
      </c>
      <c r="W322" s="4" t="str">
        <f t="shared" si="65"/>
        <v>IOTPH_LPG</v>
      </c>
      <c r="X322" s="4" t="str">
        <f t="shared" si="66"/>
        <v>IOTPRH</v>
      </c>
      <c r="Y322" s="5" t="str">
        <f t="shared" si="67"/>
        <v>LO</v>
      </c>
      <c r="Z322" s="5">
        <v>1</v>
      </c>
      <c r="AA322" s="6">
        <f t="shared" si="68"/>
        <v>0</v>
      </c>
      <c r="AB322" s="6">
        <f t="shared" si="69"/>
        <v>-3.5292374668068113E-3</v>
      </c>
      <c r="AC322" s="6">
        <f t="shared" si="70"/>
        <v>-1.4621863383090773E-2</v>
      </c>
      <c r="AD322" s="6">
        <f t="shared" si="71"/>
        <v>-8.5724985277463219E-3</v>
      </c>
      <c r="AE322" s="6">
        <f t="shared" si="72"/>
        <v>-1.3054971021477537E-2</v>
      </c>
      <c r="AF322" s="6">
        <f t="shared" si="73"/>
        <v>-1.3540969443926297E-2</v>
      </c>
      <c r="AG322" s="6">
        <f t="shared" si="74"/>
        <v>-1.3540969443929754E-2</v>
      </c>
      <c r="AH322" s="6">
        <f t="shared" si="75"/>
        <v>-1.0593200501567396E-2</v>
      </c>
      <c r="AI322" s="6">
        <f t="shared" si="76"/>
        <v>-1.0593200501567372E-2</v>
      </c>
      <c r="AL322" s="5" t="str">
        <f t="shared" si="77"/>
        <v>LPG</v>
      </c>
      <c r="AM322" s="5">
        <f>1</f>
        <v>1</v>
      </c>
    </row>
    <row r="323" spans="1:39" s="5" customFormat="1" x14ac:dyDescent="0.3">
      <c r="A323" s="8"/>
      <c r="C323" s="4" t="s">
        <v>660</v>
      </c>
      <c r="D323" s="5" t="s">
        <v>661</v>
      </c>
      <c r="E323" s="5" t="s">
        <v>802</v>
      </c>
      <c r="F323" s="5" t="s">
        <v>1591</v>
      </c>
      <c r="G323" s="5">
        <v>1</v>
      </c>
      <c r="H323" s="6">
        <f>IF(SUMIFS('Industrial Summary'!$G:$G,'Industrial Summary'!$F:$F,H$17,'Industrial Summary'!$D:$D,$E323)&gt;0,(-SUMIFS('Industrial Summary'!$G:$G,'Industrial Summary'!$F:$F,H$17,'Industrial Summary'!$D:$D,$E323,'Industrial Summary'!$A:$A,"COA")/SUMIFS('Industrial Summary'!$G:$G,'Industrial Summary'!$F:$F,H$17,'Industrial Summary'!$D:$D,$E323)),0)*0.98</f>
        <v>-2.0491545048564635E-2</v>
      </c>
      <c r="I323" s="6">
        <f>IF(SUMIFS('Industrial Summary'!$G:$G,'Industrial Summary'!$F:$F,I$17,'Industrial Summary'!$D:$D,$E323)&gt;0,(-SUMIFS('Industrial Summary'!$G:$G,'Industrial Summary'!$F:$F,I$17,'Industrial Summary'!$D:$D,$E323,'Industrial Summary'!$A:$A,"COA")/SUMIFS('Industrial Summary'!$G:$G,'Industrial Summary'!$F:$F,I$17,'Industrial Summary'!$D:$D,$E323)),0)*0.98</f>
        <v>-1.938554326425419E-2</v>
      </c>
      <c r="J323" s="6">
        <f>IF(SUMIFS('Industrial Summary'!$G:$G,'Industrial Summary'!$F:$F,J$17,'Industrial Summary'!$D:$D,$E323)&gt;0,(-SUMIFS('Industrial Summary'!$G:$G,'Industrial Summary'!$F:$F,J$17,'Industrial Summary'!$D:$D,$E323,'Industrial Summary'!$A:$A,"COA")/SUMIFS('Industrial Summary'!$G:$G,'Industrial Summary'!$F:$F,J$17,'Industrial Summary'!$D:$D,$E323)),0)*0.98</f>
        <v>-1.8405654471591679E-2</v>
      </c>
      <c r="K323" s="6">
        <f>IF(SUMIFS('Industrial Summary'!$G:$G,'Industrial Summary'!$F:$F,K$17,'Industrial Summary'!$D:$D,$E323)&gt;0,(-SUMIFS('Industrial Summary'!$G:$G,'Industrial Summary'!$F:$F,K$17,'Industrial Summary'!$D:$D,$E323,'Industrial Summary'!$A:$A,"COA")/SUMIFS('Industrial Summary'!$G:$G,'Industrial Summary'!$F:$F,K$17,'Industrial Summary'!$D:$D,$E323)),0)*0.98</f>
        <v>-1.8520990126167647E-2</v>
      </c>
      <c r="L323" s="6">
        <f>IF(SUMIFS('Industrial Summary'!$G:$G,'Industrial Summary'!$F:$F,L$17,'Industrial Summary'!$D:$D,$E323)&gt;0,(-SUMIFS('Industrial Summary'!$G:$G,'Industrial Summary'!$F:$F,L$17,'Industrial Summary'!$D:$D,$E323,'Industrial Summary'!$A:$A,"COA")/SUMIFS('Industrial Summary'!$G:$G,'Industrial Summary'!$F:$F,L$17,'Industrial Summary'!$D:$D,$E323)),0)*0.98</f>
        <v>-2.1986488129864878E-2</v>
      </c>
      <c r="M323" s="6">
        <f>IF(SUMIFS('Industrial Summary'!$G:$G,'Industrial Summary'!$F:$F,M$17,'Industrial Summary'!$D:$D,$E323)&gt;0,(-SUMIFS('Industrial Summary'!$G:$G,'Industrial Summary'!$F:$F,M$17,'Industrial Summary'!$D:$D,$E323,'Industrial Summary'!$A:$A,"COA")/SUMIFS('Industrial Summary'!$G:$G,'Industrial Summary'!$F:$F,M$17,'Industrial Summary'!$D:$D,$E323)),0)*0.98</f>
        <v>-2.1975437451464359E-2</v>
      </c>
      <c r="N323" s="6">
        <f>IF(SUMIFS('Industrial Summary'!$G:$G,'Industrial Summary'!$F:$F,N$17,'Industrial Summary'!$D:$D,$E323)&gt;0,(-SUMIFS('Industrial Summary'!$G:$G,'Industrial Summary'!$F:$F,N$17,'Industrial Summary'!$D:$D,$E323,'Industrial Summary'!$A:$A,"COA")/SUMIFS('Industrial Summary'!$G:$G,'Industrial Summary'!$F:$F,N$17,'Industrial Summary'!$D:$D,$E323)),0)*0.98</f>
        <v>-2.1975437451464307E-2</v>
      </c>
      <c r="O323" s="6">
        <f>IF(SUMIFS('Industrial Summary'!$G:$G,'Industrial Summary'!$F:$F,O$17,'Industrial Summary'!$D:$D,$E323)&gt;0,(-SUMIFS('Industrial Summary'!$G:$G,'Industrial Summary'!$F:$F,O$17,'Industrial Summary'!$D:$D,$E323,'Industrial Summary'!$A:$A,"COA")/SUMIFS('Industrial Summary'!$G:$G,'Industrial Summary'!$F:$F,O$17,'Industrial Summary'!$D:$D,$E323)),0)*0.98</f>
        <v>0</v>
      </c>
      <c r="P323" s="6">
        <f>IF(SUMIFS('Industrial Summary'!$G:$G,'Industrial Summary'!$F:$F,P$17,'Industrial Summary'!$D:$D,$E323)&gt;0,(-SUMIFS('Industrial Summary'!$G:$G,'Industrial Summary'!$F:$F,P$17,'Industrial Summary'!$D:$D,$E323,'Industrial Summary'!$A:$A,"COA")/SUMIFS('Industrial Summary'!$G:$G,'Industrial Summary'!$F:$F,P$17,'Industrial Summary'!$D:$D,$E323)),0)*0.98</f>
        <v>0</v>
      </c>
      <c r="Q323" s="5">
        <v>0</v>
      </c>
      <c r="R323" s="5">
        <v>15</v>
      </c>
      <c r="S323" s="5" t="str">
        <f t="shared" si="63"/>
        <v>UC_IOTPH_COA</v>
      </c>
      <c r="V323" s="4" t="str">
        <f t="shared" si="64"/>
        <v>S_IOTPHCOA</v>
      </c>
      <c r="W323" s="4" t="str">
        <f t="shared" si="65"/>
        <v>IOTPH_COA</v>
      </c>
      <c r="X323" s="4" t="str">
        <f t="shared" si="66"/>
        <v>IOTPRH</v>
      </c>
      <c r="Y323" s="5" t="str">
        <f t="shared" si="67"/>
        <v>UP</v>
      </c>
      <c r="Z323" s="5">
        <v>1</v>
      </c>
      <c r="AA323" s="6">
        <f t="shared" si="68"/>
        <v>-1.6393236038851709E-2</v>
      </c>
      <c r="AB323" s="6">
        <f t="shared" si="69"/>
        <v>-1.5508434611403353E-2</v>
      </c>
      <c r="AC323" s="6">
        <f t="shared" si="70"/>
        <v>-1.4724523577273343E-2</v>
      </c>
      <c r="AD323" s="6">
        <f t="shared" si="71"/>
        <v>-1.4816792100934117E-2</v>
      </c>
      <c r="AE323" s="6">
        <f t="shared" si="72"/>
        <v>-1.7589190503891902E-2</v>
      </c>
      <c r="AF323" s="6">
        <f t="shared" si="73"/>
        <v>-1.7580349961171488E-2</v>
      </c>
      <c r="AG323" s="6">
        <f t="shared" si="74"/>
        <v>-1.7580349961171447E-2</v>
      </c>
      <c r="AH323" s="6">
        <f t="shared" si="75"/>
        <v>0</v>
      </c>
      <c r="AI323" s="6">
        <f t="shared" si="76"/>
        <v>0</v>
      </c>
      <c r="AL323" s="5" t="str">
        <f t="shared" si="77"/>
        <v>COA</v>
      </c>
      <c r="AM323" s="5">
        <f>Z10</f>
        <v>0.8</v>
      </c>
    </row>
    <row r="324" spans="1:39" s="5" customFormat="1" x14ac:dyDescent="0.3">
      <c r="C324" s="4" t="s">
        <v>662</v>
      </c>
      <c r="D324" s="5" t="s">
        <v>663</v>
      </c>
      <c r="E324" s="5" t="s">
        <v>752</v>
      </c>
      <c r="F324" s="5" t="s">
        <v>1588</v>
      </c>
      <c r="G324" s="5">
        <v>1</v>
      </c>
      <c r="H324" s="6">
        <f>IF(SUMIFS('Industrial Summary'!$G:$G,'Industrial Summary'!$F:$F,H$17,'Industrial Summary'!$D:$D,$E324)&gt;0,(-SUMIFS('Industrial Summary'!$G:$G,'Industrial Summary'!$F:$F,H$17,'Industrial Summary'!$D:$D,$E324,'Industrial Summary'!$A:$A,"ELC")/SUMIFS('Industrial Summary'!$G:$G,'Industrial Summary'!$F:$F,H$17,'Industrial Summary'!$D:$D,$E324)),0)*0.98</f>
        <v>-0.91000075943201952</v>
      </c>
      <c r="I324" s="6">
        <f>IF(SUMIFS('Industrial Summary'!$G:$G,'Industrial Summary'!$F:$F,I$17,'Industrial Summary'!$D:$D,$E324)&gt;0,(-SUMIFS('Industrial Summary'!$G:$G,'Industrial Summary'!$F:$F,I$17,'Industrial Summary'!$D:$D,$E324,'Industrial Summary'!$A:$A,"ELC")/SUMIFS('Industrial Summary'!$G:$G,'Industrial Summary'!$F:$F,I$17,'Industrial Summary'!$D:$D,$E324)),0)*0.98</f>
        <v>-0.91044833627138411</v>
      </c>
      <c r="J324" s="6">
        <f>IF(SUMIFS('Industrial Summary'!$G:$G,'Industrial Summary'!$F:$F,J$17,'Industrial Summary'!$D:$D,$E324)&gt;0,(-SUMIFS('Industrial Summary'!$G:$G,'Industrial Summary'!$F:$F,J$17,'Industrial Summary'!$D:$D,$E324,'Industrial Summary'!$A:$A,"ELC")/SUMIFS('Industrial Summary'!$G:$G,'Industrial Summary'!$F:$F,J$17,'Industrial Summary'!$D:$D,$E324)),0)*0.98</f>
        <v>-0.91755635190683449</v>
      </c>
      <c r="K324" s="6">
        <f>IF(SUMIFS('Industrial Summary'!$G:$G,'Industrial Summary'!$F:$F,K$17,'Industrial Summary'!$D:$D,$E324)&gt;0,(-SUMIFS('Industrial Summary'!$G:$G,'Industrial Summary'!$F:$F,K$17,'Industrial Summary'!$D:$D,$E324,'Industrial Summary'!$A:$A,"ELC")/SUMIFS('Industrial Summary'!$G:$G,'Industrial Summary'!$F:$F,K$17,'Industrial Summary'!$D:$D,$E324)),0)*0.98</f>
        <v>-0.92330605032808932</v>
      </c>
      <c r="L324" s="6">
        <f>IF(SUMIFS('Industrial Summary'!$G:$G,'Industrial Summary'!$F:$F,L$17,'Industrial Summary'!$D:$D,$E324)&gt;0,(-SUMIFS('Industrial Summary'!$G:$G,'Industrial Summary'!$F:$F,L$17,'Industrial Summary'!$D:$D,$E324,'Industrial Summary'!$A:$A,"ELC")/SUMIFS('Industrial Summary'!$G:$G,'Industrial Summary'!$F:$F,L$17,'Industrial Summary'!$D:$D,$E324)),0)*0.98</f>
        <v>-0.92893569226579886</v>
      </c>
      <c r="M324" s="6">
        <f>IF(SUMIFS('Industrial Summary'!$G:$G,'Industrial Summary'!$F:$F,M$17,'Industrial Summary'!$D:$D,$E324)&gt;0,(-SUMIFS('Industrial Summary'!$G:$G,'Industrial Summary'!$F:$F,M$17,'Industrial Summary'!$D:$D,$E324,'Industrial Summary'!$A:$A,"ELC")/SUMIFS('Industrial Summary'!$G:$G,'Industrial Summary'!$F:$F,M$17,'Industrial Summary'!$D:$D,$E324)),0)*0.98</f>
        <v>-0.92846879780182534</v>
      </c>
      <c r="N324" s="6">
        <f>IF(SUMIFS('Industrial Summary'!$G:$G,'Industrial Summary'!$F:$F,N$17,'Industrial Summary'!$D:$D,$E324)&gt;0,(-SUMIFS('Industrial Summary'!$G:$G,'Industrial Summary'!$F:$F,N$17,'Industrial Summary'!$D:$D,$E324,'Industrial Summary'!$A:$A,"ELC")/SUMIFS('Industrial Summary'!$G:$G,'Industrial Summary'!$F:$F,N$17,'Industrial Summary'!$D:$D,$E324)),0)*0.98</f>
        <v>-0.92846879780182978</v>
      </c>
      <c r="O324" s="6">
        <f>IF(SUMIFS('Industrial Summary'!$G:$G,'Industrial Summary'!$F:$F,O$17,'Industrial Summary'!$D:$D,$E324)&gt;0,(-SUMIFS('Industrial Summary'!$G:$G,'Industrial Summary'!$F:$F,O$17,'Industrial Summary'!$D:$D,$E324,'Industrial Summary'!$A:$A,"ELC")/SUMIFS('Industrial Summary'!$G:$G,'Industrial Summary'!$F:$F,O$17,'Industrial Summary'!$D:$D,$E324)),0)*0.98</f>
        <v>-0.90954373992995596</v>
      </c>
      <c r="P324" s="6">
        <f>IF(SUMIFS('Industrial Summary'!$G:$G,'Industrial Summary'!$F:$F,P$17,'Industrial Summary'!$D:$D,$E324)&gt;0,(-SUMIFS('Industrial Summary'!$G:$G,'Industrial Summary'!$F:$F,P$17,'Industrial Summary'!$D:$D,$E324,'Industrial Summary'!$A:$A,"ELC")/SUMIFS('Industrial Summary'!$G:$G,'Industrial Summary'!$F:$F,P$17,'Industrial Summary'!$D:$D,$E324)),0)*0.98</f>
        <v>-0.90954373992995519</v>
      </c>
      <c r="Q324" s="5">
        <v>0</v>
      </c>
      <c r="R324" s="5">
        <v>15</v>
      </c>
      <c r="S324" s="5" t="str">
        <f t="shared" si="63"/>
        <v>UC_IOTMD_ELC</v>
      </c>
      <c r="V324" s="4" t="str">
        <f t="shared" si="64"/>
        <v>S_IOTMDELC</v>
      </c>
      <c r="W324" s="4" t="str">
        <f t="shared" si="65"/>
        <v>IOTMD_ELC</v>
      </c>
      <c r="X324" s="4" t="str">
        <f t="shared" si="66"/>
        <v>IOTMDR</v>
      </c>
      <c r="Y324" s="5" t="str">
        <f t="shared" si="67"/>
        <v>LO</v>
      </c>
      <c r="Z324" s="5">
        <v>1</v>
      </c>
      <c r="AA324" s="6">
        <f t="shared" si="68"/>
        <v>-0.91000075943201952</v>
      </c>
      <c r="AB324" s="6">
        <f t="shared" si="69"/>
        <v>-0.91044833627138411</v>
      </c>
      <c r="AC324" s="6">
        <f t="shared" si="70"/>
        <v>-0.91755635190683449</v>
      </c>
      <c r="AD324" s="6">
        <f t="shared" si="71"/>
        <v>-0.92330605032808932</v>
      </c>
      <c r="AE324" s="6">
        <f t="shared" si="72"/>
        <v>-0.92893569226579886</v>
      </c>
      <c r="AF324" s="6">
        <f t="shared" si="73"/>
        <v>-0.92846879780182534</v>
      </c>
      <c r="AG324" s="6">
        <f t="shared" si="74"/>
        <v>-0.92846879780182978</v>
      </c>
      <c r="AH324" s="6">
        <f t="shared" si="75"/>
        <v>-0.90954373992995596</v>
      </c>
      <c r="AI324" s="6">
        <f t="shared" si="76"/>
        <v>-0.90954373992995519</v>
      </c>
      <c r="AL324" s="5" t="str">
        <f t="shared" si="77"/>
        <v>ELC</v>
      </c>
      <c r="AM324" s="5">
        <f>1</f>
        <v>1</v>
      </c>
    </row>
    <row r="325" spans="1:39" s="5" customFormat="1" x14ac:dyDescent="0.3">
      <c r="C325" s="4" t="s">
        <v>664</v>
      </c>
      <c r="D325" s="5" t="s">
        <v>665</v>
      </c>
      <c r="E325" s="5" t="s">
        <v>752</v>
      </c>
      <c r="F325" s="5" t="s">
        <v>1588</v>
      </c>
      <c r="G325" s="5">
        <v>1</v>
      </c>
      <c r="H325" s="6">
        <f>IF(SUMIFS('Industrial Summary'!$G:$G,'Industrial Summary'!$F:$F,H$17,'Industrial Summary'!$D:$D,$E325)&gt;0,(-SUMIFS('Industrial Summary'!$G:$G,'Industrial Summary'!$F:$F,H$17,'Industrial Summary'!$D:$D,$E325,'Industrial Summary'!$A:$A,"DST")/SUMIFS('Industrial Summary'!$G:$G,'Industrial Summary'!$F:$F,H$17,'Industrial Summary'!$D:$D,$E325)),0)*0.98</f>
        <v>-3.1107215088547233E-2</v>
      </c>
      <c r="I325" s="6">
        <f>IF(SUMIFS('Industrial Summary'!$G:$G,'Industrial Summary'!$F:$F,I$17,'Industrial Summary'!$D:$D,$E325)&gt;0,(-SUMIFS('Industrial Summary'!$G:$G,'Industrial Summary'!$F:$F,I$17,'Industrial Summary'!$D:$D,$E325,'Industrial Summary'!$A:$A,"DST")/SUMIFS('Industrial Summary'!$G:$G,'Industrial Summary'!$F:$F,I$17,'Industrial Summary'!$D:$D,$E325)),0)*0.98</f>
        <v>-2.9428247723650068E-2</v>
      </c>
      <c r="J325" s="6">
        <f>IF(SUMIFS('Industrial Summary'!$G:$G,'Industrial Summary'!$F:$F,J$17,'Industrial Summary'!$D:$D,$E325)&gt;0,(-SUMIFS('Industrial Summary'!$G:$G,'Industrial Summary'!$F:$F,J$17,'Industrial Summary'!$D:$D,$E325,'Industrial Summary'!$A:$A,"DST")/SUMIFS('Industrial Summary'!$G:$G,'Industrial Summary'!$F:$F,J$17,'Industrial Summary'!$D:$D,$E325)),0)*0.98</f>
        <v>-9.0855344305946894E-3</v>
      </c>
      <c r="K325" s="6">
        <f>IF(SUMIFS('Industrial Summary'!$G:$G,'Industrial Summary'!$F:$F,K$17,'Industrial Summary'!$D:$D,$E325)&gt;0,(-SUMIFS('Industrial Summary'!$G:$G,'Industrial Summary'!$F:$F,K$17,'Industrial Summary'!$D:$D,$E325,'Industrial Summary'!$A:$A,"DST")/SUMIFS('Industrial Summary'!$G:$G,'Industrial Summary'!$F:$F,K$17,'Industrial Summary'!$D:$D,$E325)),0)*0.98</f>
        <v>-9.1424672640531227E-3</v>
      </c>
      <c r="L325" s="6">
        <f>IF(SUMIFS('Industrial Summary'!$G:$G,'Industrial Summary'!$F:$F,L$17,'Industrial Summary'!$D:$D,$E325)&gt;0,(-SUMIFS('Industrial Summary'!$G:$G,'Industrial Summary'!$F:$F,L$17,'Industrial Summary'!$D:$D,$E325,'Industrial Summary'!$A:$A,"DST")/SUMIFS('Industrial Summary'!$G:$G,'Industrial Summary'!$F:$F,L$17,'Industrial Summary'!$D:$D,$E325)),0)*0.98</f>
        <v>-1.2237773936308463E-2</v>
      </c>
      <c r="M325" s="6">
        <f>IF(SUMIFS('Industrial Summary'!$G:$G,'Industrial Summary'!$F:$F,M$17,'Industrial Summary'!$D:$D,$E325)&gt;0,(-SUMIFS('Industrial Summary'!$G:$G,'Industrial Summary'!$F:$F,M$17,'Industrial Summary'!$D:$D,$E325,'Industrial Summary'!$A:$A,"DST")/SUMIFS('Industrial Summary'!$G:$G,'Industrial Summary'!$F:$F,M$17,'Industrial Summary'!$D:$D,$E325)),0)*0.98</f>
        <v>-1.2231623081141845E-2</v>
      </c>
      <c r="N325" s="6">
        <f>IF(SUMIFS('Industrial Summary'!$G:$G,'Industrial Summary'!$F:$F,N$17,'Industrial Summary'!$D:$D,$E325)&gt;0,(-SUMIFS('Industrial Summary'!$G:$G,'Industrial Summary'!$F:$F,N$17,'Industrial Summary'!$D:$D,$E325,'Industrial Summary'!$A:$A,"DST")/SUMIFS('Industrial Summary'!$G:$G,'Industrial Summary'!$F:$F,N$17,'Industrial Summary'!$D:$D,$E325)),0)*0.98</f>
        <v>-1.2231623081141835E-2</v>
      </c>
      <c r="O325" s="6">
        <f>IF(SUMIFS('Industrial Summary'!$G:$G,'Industrial Summary'!$F:$F,O$17,'Industrial Summary'!$D:$D,$E325)&gt;0,(-SUMIFS('Industrial Summary'!$G:$G,'Industrial Summary'!$F:$F,O$17,'Industrial Summary'!$D:$D,$E325,'Industrial Summary'!$A:$A,"DST")/SUMIFS('Industrial Summary'!$G:$G,'Industrial Summary'!$F:$F,O$17,'Industrial Summary'!$D:$D,$E325)),0)*0.98</f>
        <v>-4.1578597917931073E-2</v>
      </c>
      <c r="P325" s="6">
        <f>IF(SUMIFS('Industrial Summary'!$G:$G,'Industrial Summary'!$F:$F,P$17,'Industrial Summary'!$D:$D,$E325)&gt;0,(-SUMIFS('Industrial Summary'!$G:$G,'Industrial Summary'!$F:$F,P$17,'Industrial Summary'!$D:$D,$E325,'Industrial Summary'!$A:$A,"DST")/SUMIFS('Industrial Summary'!$G:$G,'Industrial Summary'!$F:$F,P$17,'Industrial Summary'!$D:$D,$E325)),0)*0.98</f>
        <v>-4.1578597917931927E-2</v>
      </c>
      <c r="Q325" s="5">
        <v>0</v>
      </c>
      <c r="R325" s="5">
        <v>15</v>
      </c>
      <c r="S325" s="5" t="str">
        <f t="shared" si="63"/>
        <v>UC_IOTMD_DST</v>
      </c>
      <c r="V325" s="4" t="str">
        <f t="shared" si="64"/>
        <v>S_IOTMDDST</v>
      </c>
      <c r="W325" s="4" t="str">
        <f t="shared" si="65"/>
        <v>IOTMD_DST</v>
      </c>
      <c r="X325" s="4" t="str">
        <f t="shared" si="66"/>
        <v>IOTMDR</v>
      </c>
      <c r="Y325" s="5" t="str">
        <f t="shared" si="67"/>
        <v>LO</v>
      </c>
      <c r="Z325" s="5">
        <v>1</v>
      </c>
      <c r="AA325" s="6">
        <f t="shared" si="68"/>
        <v>-3.1107215088547233E-2</v>
      </c>
      <c r="AB325" s="6">
        <f t="shared" si="69"/>
        <v>-2.9428247723650068E-2</v>
      </c>
      <c r="AC325" s="6">
        <f t="shared" si="70"/>
        <v>-9.0855344305946894E-3</v>
      </c>
      <c r="AD325" s="6">
        <f t="shared" si="71"/>
        <v>-9.1424672640531227E-3</v>
      </c>
      <c r="AE325" s="6">
        <f t="shared" si="72"/>
        <v>-1.2237773936308463E-2</v>
      </c>
      <c r="AF325" s="6">
        <f t="shared" si="73"/>
        <v>-1.2231623081141845E-2</v>
      </c>
      <c r="AG325" s="6">
        <f t="shared" si="74"/>
        <v>-1.2231623081141835E-2</v>
      </c>
      <c r="AH325" s="6">
        <f t="shared" si="75"/>
        <v>-4.1578597917931073E-2</v>
      </c>
      <c r="AI325" s="6">
        <f t="shared" si="76"/>
        <v>-4.1578597917931927E-2</v>
      </c>
      <c r="AL325" s="5" t="str">
        <f t="shared" si="77"/>
        <v>DST</v>
      </c>
      <c r="AM325" s="5">
        <f>1</f>
        <v>1</v>
      </c>
    </row>
    <row r="326" spans="1:39" s="5" customFormat="1" x14ac:dyDescent="0.3">
      <c r="C326" s="4" t="s">
        <v>666</v>
      </c>
      <c r="D326" s="5" t="s">
        <v>667</v>
      </c>
      <c r="E326" s="5" t="s">
        <v>752</v>
      </c>
      <c r="F326" s="5" t="s">
        <v>1588</v>
      </c>
      <c r="G326" s="5">
        <v>1</v>
      </c>
      <c r="H326" s="6">
        <f>IF(SUMIFS('Industrial Summary'!$G:$G,'Industrial Summary'!$F:$F,H$17,'Industrial Summary'!$D:$D,$E326)&gt;0,(-SUMIFS('Industrial Summary'!$G:$G,'Industrial Summary'!$F:$F,H$17,'Industrial Summary'!$D:$D,$E326,'Industrial Summary'!$A:$A,"NGA")/SUMIFS('Industrial Summary'!$G:$G,'Industrial Summary'!$F:$F,H$17,'Industrial Summary'!$D:$D,$E326)),0)*0.98</f>
        <v>-3.3735274602872095E-2</v>
      </c>
      <c r="I326" s="6">
        <f>IF(SUMIFS('Industrial Summary'!$G:$G,'Industrial Summary'!$F:$F,I$17,'Industrial Summary'!$D:$D,$E326)&gt;0,(-SUMIFS('Industrial Summary'!$G:$G,'Industrial Summary'!$F:$F,I$17,'Industrial Summary'!$D:$D,$E326,'Industrial Summary'!$A:$A,"NGA")/SUMIFS('Industrial Summary'!$G:$G,'Industrial Summary'!$F:$F,I$17,'Industrial Summary'!$D:$D,$E326)),0)*0.98</f>
        <v>-3.1914461491096148E-2</v>
      </c>
      <c r="J326" s="6">
        <f>IF(SUMIFS('Industrial Summary'!$G:$G,'Industrial Summary'!$F:$F,J$17,'Industrial Summary'!$D:$D,$E326)&gt;0,(-SUMIFS('Industrial Summary'!$G:$G,'Industrial Summary'!$F:$F,J$17,'Industrial Summary'!$D:$D,$E326,'Industrial Summary'!$A:$A,"NGA")/SUMIFS('Industrial Summary'!$G:$G,'Industrial Summary'!$F:$F,J$17,'Industrial Summary'!$D:$D,$E326)),0)*0.98</f>
        <v>-3.4130381220992795E-2</v>
      </c>
      <c r="K326" s="6">
        <f>IF(SUMIFS('Industrial Summary'!$G:$G,'Industrial Summary'!$F:$F,K$17,'Industrial Summary'!$D:$D,$E326)&gt;0,(-SUMIFS('Industrial Summary'!$G:$G,'Industrial Summary'!$F:$F,K$17,'Industrial Summary'!$D:$D,$E326,'Industrial Summary'!$A:$A,"NGA")/SUMIFS('Industrial Summary'!$G:$G,'Industrial Summary'!$F:$F,K$17,'Industrial Summary'!$D:$D,$E326)),0)*0.98</f>
        <v>-3.4344252988776136E-2</v>
      </c>
      <c r="L326" s="6">
        <f>IF(SUMIFS('Industrial Summary'!$G:$G,'Industrial Summary'!$F:$F,L$17,'Industrial Summary'!$D:$D,$E326)&gt;0,(-SUMIFS('Industrial Summary'!$G:$G,'Industrial Summary'!$F:$F,L$17,'Industrial Summary'!$D:$D,$E326,'Industrial Summary'!$A:$A,"NGA")/SUMIFS('Industrial Summary'!$G:$G,'Industrial Summary'!$F:$F,L$17,'Industrial Summary'!$D:$D,$E326)),0)*0.98</f>
        <v>-2.4039507785297374E-2</v>
      </c>
      <c r="M326" s="6">
        <f>IF(SUMIFS('Industrial Summary'!$G:$G,'Industrial Summary'!$F:$F,M$17,'Industrial Summary'!$D:$D,$E326)&gt;0,(-SUMIFS('Industrial Summary'!$G:$G,'Industrial Summary'!$F:$F,M$17,'Industrial Summary'!$D:$D,$E326,'Industrial Summary'!$A:$A,"NGA")/SUMIFS('Industrial Summary'!$G:$G,'Industrial Summary'!$F:$F,M$17,'Industrial Summary'!$D:$D,$E326)),0)*0.98</f>
        <v>-2.4027425234056113E-2</v>
      </c>
      <c r="N326" s="6">
        <f>IF(SUMIFS('Industrial Summary'!$G:$G,'Industrial Summary'!$F:$F,N$17,'Industrial Summary'!$D:$D,$E326)&gt;0,(-SUMIFS('Industrial Summary'!$G:$G,'Industrial Summary'!$F:$F,N$17,'Industrial Summary'!$D:$D,$E326,'Industrial Summary'!$A:$A,"NGA")/SUMIFS('Industrial Summary'!$G:$G,'Industrial Summary'!$F:$F,N$17,'Industrial Summary'!$D:$D,$E326)),0)*0.98</f>
        <v>-2.4027425234056137E-2</v>
      </c>
      <c r="O326" s="6">
        <f>IF(SUMIFS('Industrial Summary'!$G:$G,'Industrial Summary'!$F:$F,O$17,'Industrial Summary'!$D:$D,$E326)&gt;0,(-SUMIFS('Industrial Summary'!$G:$G,'Industrial Summary'!$F:$F,O$17,'Industrial Summary'!$D:$D,$E326,'Industrial Summary'!$A:$A,"NGA")/SUMIFS('Industrial Summary'!$G:$G,'Industrial Summary'!$F:$F,O$17,'Industrial Summary'!$D:$D,$E326)),0)*0.98</f>
        <v>-2.1276237862868697E-2</v>
      </c>
      <c r="P326" s="6">
        <f>IF(SUMIFS('Industrial Summary'!$G:$G,'Industrial Summary'!$F:$F,P$17,'Industrial Summary'!$D:$D,$E326)&gt;0,(-SUMIFS('Industrial Summary'!$G:$G,'Industrial Summary'!$F:$F,P$17,'Industrial Summary'!$D:$D,$E326,'Industrial Summary'!$A:$A,"NGA")/SUMIFS('Industrial Summary'!$G:$G,'Industrial Summary'!$F:$F,P$17,'Industrial Summary'!$D:$D,$E326)),0)*0.98</f>
        <v>-2.127623786286869E-2</v>
      </c>
      <c r="Q326" s="5">
        <v>0</v>
      </c>
      <c r="R326" s="5">
        <v>15</v>
      </c>
      <c r="S326" s="5" t="str">
        <f t="shared" si="63"/>
        <v>UC_IOTMD_NGA</v>
      </c>
      <c r="V326" s="4" t="str">
        <f t="shared" si="64"/>
        <v>S_IOTMDNGA</v>
      </c>
      <c r="W326" s="4" t="str">
        <f t="shared" si="65"/>
        <v>IOTMD_NGA</v>
      </c>
      <c r="X326" s="4" t="str">
        <f t="shared" si="66"/>
        <v>IOTMDR</v>
      </c>
      <c r="Y326" s="5" t="str">
        <f t="shared" si="67"/>
        <v>LO</v>
      </c>
      <c r="Z326" s="5">
        <v>1</v>
      </c>
      <c r="AA326" s="6">
        <f t="shared" si="68"/>
        <v>-2.6988219682297677E-2</v>
      </c>
      <c r="AB326" s="6">
        <f t="shared" si="69"/>
        <v>-2.553156919287692E-2</v>
      </c>
      <c r="AC326" s="6">
        <f t="shared" si="70"/>
        <v>-2.7304304976794237E-2</v>
      </c>
      <c r="AD326" s="6">
        <f t="shared" si="71"/>
        <v>-2.747540239102091E-2</v>
      </c>
      <c r="AE326" s="6">
        <f t="shared" si="72"/>
        <v>-1.9231606228237899E-2</v>
      </c>
      <c r="AF326" s="6">
        <f t="shared" si="73"/>
        <v>-1.9221940187244893E-2</v>
      </c>
      <c r="AG326" s="6">
        <f t="shared" si="74"/>
        <v>-1.922194018724491E-2</v>
      </c>
      <c r="AH326" s="6">
        <f t="shared" si="75"/>
        <v>-1.7020990290294958E-2</v>
      </c>
      <c r="AI326" s="6">
        <f t="shared" si="76"/>
        <v>-1.7020990290294951E-2</v>
      </c>
      <c r="AL326" s="5" t="str">
        <f t="shared" si="77"/>
        <v>NGA</v>
      </c>
      <c r="AM326" s="5">
        <f>Y10</f>
        <v>0.8</v>
      </c>
    </row>
    <row r="327" spans="1:39" s="5" customFormat="1" x14ac:dyDescent="0.3">
      <c r="C327" s="4" t="s">
        <v>668</v>
      </c>
      <c r="D327" s="5" t="s">
        <v>669</v>
      </c>
      <c r="E327" s="5" t="s">
        <v>752</v>
      </c>
      <c r="F327" s="5" t="s">
        <v>1588</v>
      </c>
      <c r="G327" s="5">
        <v>1</v>
      </c>
      <c r="H327" s="6">
        <f>IF(SUMIFS('Industrial Summary'!$G:$G,'Industrial Summary'!$F:$F,H$17,'Industrial Summary'!$D:$D,$E327)&gt;0,(-SUMIFS('Industrial Summary'!$G:$G,'Industrial Summary'!$F:$F,H$17,'Industrial Summary'!$D:$D,$E327,'Industrial Summary'!$A:$A,"LPG")/SUMIFS('Industrial Summary'!$G:$G,'Industrial Summary'!$F:$F,H$17,'Industrial Summary'!$D:$D,$E327)),0)*0.98</f>
        <v>0</v>
      </c>
      <c r="I327" s="6">
        <f>IF(SUMIFS('Industrial Summary'!$G:$G,'Industrial Summary'!$F:$F,I$17,'Industrial Summary'!$D:$D,$E327)&gt;0,(-SUMIFS('Industrial Summary'!$G:$G,'Industrial Summary'!$F:$F,I$17,'Industrial Summary'!$D:$D,$E327,'Industrial Summary'!$A:$A,"LPG")/SUMIFS('Industrial Summary'!$G:$G,'Industrial Summary'!$F:$F,I$17,'Industrial Summary'!$D:$D,$E327)),0)*0.98</f>
        <v>-3.3305318774292905E-3</v>
      </c>
      <c r="J327" s="6">
        <f>IF(SUMIFS('Industrial Summary'!$G:$G,'Industrial Summary'!$F:$F,J$17,'Industrial Summary'!$D:$D,$E327)&gt;0,(-SUMIFS('Industrial Summary'!$G:$G,'Industrial Summary'!$F:$F,J$17,'Industrial Summary'!$D:$D,$E327,'Industrial Summary'!$A:$A,"LPG")/SUMIFS('Industrial Summary'!$G:$G,'Industrial Summary'!$F:$F,J$17,'Industrial Summary'!$D:$D,$E327)),0)*0.98</f>
        <v>-1.4395531551937759E-2</v>
      </c>
      <c r="K327" s="6">
        <f>IF(SUMIFS('Industrial Summary'!$G:$G,'Industrial Summary'!$F:$F,K$17,'Industrial Summary'!$D:$D,$E327)&gt;0,(-SUMIFS('Industrial Summary'!$G:$G,'Industrial Summary'!$F:$F,K$17,'Industrial Summary'!$D:$D,$E327,'Industrial Summary'!$A:$A,"LPG")/SUMIFS('Industrial Summary'!$G:$G,'Industrial Summary'!$F:$F,K$17,'Industrial Summary'!$D:$D,$E327)),0)*0.98</f>
        <v>-8.3447484297298896E-3</v>
      </c>
      <c r="L327" s="6">
        <f>IF(SUMIFS('Industrial Summary'!$G:$G,'Industrial Summary'!$F:$F,L$17,'Industrial Summary'!$D:$D,$E327)&gt;0,(-SUMIFS('Industrial Summary'!$G:$G,'Industrial Summary'!$F:$F,L$17,'Industrial Summary'!$D:$D,$E327,'Industrial Summary'!$A:$A,"LPG")/SUMIFS('Industrial Summary'!$G:$G,'Industrial Summary'!$F:$F,L$17,'Industrial Summary'!$D:$D,$E327)),0)*0.98</f>
        <v>-1.0171737591793316E-2</v>
      </c>
      <c r="M327" s="6">
        <f>IF(SUMIFS('Industrial Summary'!$G:$G,'Industrial Summary'!$F:$F,M$17,'Industrial Summary'!$D:$D,$E327)&gt;0,(-SUMIFS('Industrial Summary'!$G:$G,'Industrial Summary'!$F:$F,M$17,'Industrial Summary'!$D:$D,$E327,'Industrial Summary'!$A:$A,"LPG")/SUMIFS('Industrial Summary'!$G:$G,'Industrial Summary'!$F:$F,M$17,'Industrial Summary'!$D:$D,$E327)),0)*0.98</f>
        <v>-1.0659185162700095E-2</v>
      </c>
      <c r="N327" s="6">
        <f>IF(SUMIFS('Industrial Summary'!$G:$G,'Industrial Summary'!$F:$F,N$17,'Industrial Summary'!$D:$D,$E327)&gt;0,(-SUMIFS('Industrial Summary'!$G:$G,'Industrial Summary'!$F:$F,N$17,'Industrial Summary'!$D:$D,$E327,'Industrial Summary'!$A:$A,"LPG")/SUMIFS('Industrial Summary'!$G:$G,'Industrial Summary'!$F:$F,N$17,'Industrial Summary'!$D:$D,$E327)),0)*0.98</f>
        <v>-1.0659185162695635E-2</v>
      </c>
      <c r="O327" s="6">
        <f>IF(SUMIFS('Industrial Summary'!$G:$G,'Industrial Summary'!$F:$F,O$17,'Industrial Summary'!$D:$D,$E327)&gt;0,(-SUMIFS('Industrial Summary'!$G:$G,'Industrial Summary'!$F:$F,O$17,'Industrial Summary'!$D:$D,$E327,'Industrial Summary'!$A:$A,"LPG")/SUMIFS('Industrial Summary'!$G:$G,'Industrial Summary'!$F:$F,O$17,'Industrial Summary'!$D:$D,$E327)),0)*0.98</f>
        <v>-7.6014242892442395E-3</v>
      </c>
      <c r="P327" s="6">
        <f>IF(SUMIFS('Industrial Summary'!$G:$G,'Industrial Summary'!$F:$F,P$17,'Industrial Summary'!$D:$D,$E327)&gt;0,(-SUMIFS('Industrial Summary'!$G:$G,'Industrial Summary'!$F:$F,P$17,'Industrial Summary'!$D:$D,$E327,'Industrial Summary'!$A:$A,"LPG")/SUMIFS('Industrial Summary'!$G:$G,'Industrial Summary'!$F:$F,P$17,'Industrial Summary'!$D:$D,$E327)),0)*0.98</f>
        <v>-7.6014242892442387E-3</v>
      </c>
      <c r="Q327" s="5">
        <v>0</v>
      </c>
      <c r="R327" s="5">
        <v>15</v>
      </c>
      <c r="S327" s="5" t="str">
        <f t="shared" si="63"/>
        <v>UC_IOTMD_LPG</v>
      </c>
      <c r="V327" s="4" t="str">
        <f t="shared" si="64"/>
        <v>S_IOTMDLPG</v>
      </c>
      <c r="W327" s="4" t="str">
        <f t="shared" si="65"/>
        <v>IOTMD_LPG</v>
      </c>
      <c r="X327" s="4" t="str">
        <f t="shared" si="66"/>
        <v>IOTMDR</v>
      </c>
      <c r="Y327" s="5" t="str">
        <f t="shared" si="67"/>
        <v>LO</v>
      </c>
      <c r="Z327" s="5">
        <v>1</v>
      </c>
      <c r="AA327" s="6">
        <f t="shared" si="68"/>
        <v>0</v>
      </c>
      <c r="AB327" s="6">
        <f t="shared" si="69"/>
        <v>-3.3305318774292905E-3</v>
      </c>
      <c r="AC327" s="6">
        <f t="shared" si="70"/>
        <v>-1.4395531551937759E-2</v>
      </c>
      <c r="AD327" s="6">
        <f t="shared" si="71"/>
        <v>-8.3447484297298896E-3</v>
      </c>
      <c r="AE327" s="6">
        <f t="shared" si="72"/>
        <v>-1.0171737591793316E-2</v>
      </c>
      <c r="AF327" s="6">
        <f t="shared" si="73"/>
        <v>-1.0659185162700095E-2</v>
      </c>
      <c r="AG327" s="6">
        <f t="shared" si="74"/>
        <v>-1.0659185162695635E-2</v>
      </c>
      <c r="AH327" s="6">
        <f t="shared" si="75"/>
        <v>-7.6014242892442395E-3</v>
      </c>
      <c r="AI327" s="6">
        <f t="shared" si="76"/>
        <v>-7.6014242892442387E-3</v>
      </c>
      <c r="AL327" s="5" t="str">
        <f t="shared" si="77"/>
        <v>LPG</v>
      </c>
      <c r="AM327" s="5">
        <f>1</f>
        <v>1</v>
      </c>
    </row>
    <row r="328" spans="1:39" s="5" customFormat="1" x14ac:dyDescent="0.3">
      <c r="A328" s="8"/>
      <c r="C328" s="4" t="s">
        <v>670</v>
      </c>
      <c r="D328" s="5" t="s">
        <v>671</v>
      </c>
      <c r="E328" s="5" t="s">
        <v>752</v>
      </c>
      <c r="F328" s="5" t="s">
        <v>1591</v>
      </c>
      <c r="G328" s="5">
        <v>1</v>
      </c>
      <c r="H328" s="6">
        <f>IF(SUMIFS('Industrial Summary'!$G:$G,'Industrial Summary'!$F:$F,H$17,'Industrial Summary'!$D:$D,$E328)&gt;0,(-SUMIFS('Industrial Summary'!$G:$G,'Industrial Summary'!$F:$F,H$17,'Industrial Summary'!$D:$D,$E328,'Industrial Summary'!$A:$A,"COA")/SUMIFS('Industrial Summary'!$G:$G,'Industrial Summary'!$F:$F,H$17,'Industrial Summary'!$D:$D,$E328)),0)*0.98</f>
        <v>-5.1567508765611577E-3</v>
      </c>
      <c r="I328" s="6">
        <f>IF(SUMIFS('Industrial Summary'!$G:$G,'Industrial Summary'!$F:$F,I$17,'Industrial Summary'!$D:$D,$E328)&gt;0,(-SUMIFS('Industrial Summary'!$G:$G,'Industrial Summary'!$F:$F,I$17,'Industrial Summary'!$D:$D,$E328,'Industrial Summary'!$A:$A,"COA")/SUMIFS('Industrial Summary'!$G:$G,'Industrial Summary'!$F:$F,I$17,'Industrial Summary'!$D:$D,$E328)),0)*0.98</f>
        <v>-4.87842263644049E-3</v>
      </c>
      <c r="J328" s="6">
        <f>IF(SUMIFS('Industrial Summary'!$G:$G,'Industrial Summary'!$F:$F,J$17,'Industrial Summary'!$D:$D,$E328)&gt;0,(-SUMIFS('Industrial Summary'!$G:$G,'Industrial Summary'!$F:$F,J$17,'Industrial Summary'!$D:$D,$E328,'Industrial Summary'!$A:$A,"COA")/SUMIFS('Industrial Summary'!$G:$G,'Industrial Summary'!$F:$F,J$17,'Industrial Summary'!$D:$D,$E328)),0)*0.98</f>
        <v>-4.8322008896403432E-3</v>
      </c>
      <c r="K328" s="6">
        <f>IF(SUMIFS('Industrial Summary'!$G:$G,'Industrial Summary'!$F:$F,K$17,'Industrial Summary'!$D:$D,$E328)&gt;0,(-SUMIFS('Industrial Summary'!$G:$G,'Industrial Summary'!$F:$F,K$17,'Industrial Summary'!$D:$D,$E328,'Industrial Summary'!$A:$A,"COA")/SUMIFS('Industrial Summary'!$G:$G,'Industrial Summary'!$F:$F,K$17,'Industrial Summary'!$D:$D,$E328)),0)*0.98</f>
        <v>-4.8624809893515041E-3</v>
      </c>
      <c r="L328" s="6">
        <f>IF(SUMIFS('Industrial Summary'!$G:$G,'Industrial Summary'!$F:$F,L$17,'Industrial Summary'!$D:$D,$E328)&gt;0,(-SUMIFS('Industrial Summary'!$G:$G,'Industrial Summary'!$F:$F,L$17,'Industrial Summary'!$D:$D,$E328,'Industrial Summary'!$A:$A,"COA")/SUMIFS('Industrial Summary'!$G:$G,'Industrial Summary'!$F:$F,L$17,'Industrial Summary'!$D:$D,$E328)),0)*0.98</f>
        <v>-4.6152884208019067E-3</v>
      </c>
      <c r="M328" s="6">
        <f>IF(SUMIFS('Industrial Summary'!$G:$G,'Industrial Summary'!$F:$F,M$17,'Industrial Summary'!$D:$D,$E328)&gt;0,(-SUMIFS('Industrial Summary'!$G:$G,'Industrial Summary'!$F:$F,M$17,'Industrial Summary'!$D:$D,$E328,'Industrial Summary'!$A:$A,"COA")/SUMIFS('Industrial Summary'!$G:$G,'Industrial Summary'!$F:$F,M$17,'Industrial Summary'!$D:$D,$E328)),0)*0.98</f>
        <v>-4.6129687202766147E-3</v>
      </c>
      <c r="N328" s="6">
        <f>IF(SUMIFS('Industrial Summary'!$G:$G,'Industrial Summary'!$F:$F,N$17,'Industrial Summary'!$D:$D,$E328)&gt;0,(-SUMIFS('Industrial Summary'!$G:$G,'Industrial Summary'!$F:$F,N$17,'Industrial Summary'!$D:$D,$E328,'Industrial Summary'!$A:$A,"COA")/SUMIFS('Industrial Summary'!$G:$G,'Industrial Summary'!$F:$F,N$17,'Industrial Summary'!$D:$D,$E328)),0)*0.98</f>
        <v>-4.612968720276619E-3</v>
      </c>
      <c r="O328" s="6">
        <f>IF(SUMIFS('Industrial Summary'!$G:$G,'Industrial Summary'!$F:$F,O$17,'Industrial Summary'!$D:$D,$E328)&gt;0,(-SUMIFS('Industrial Summary'!$G:$G,'Industrial Summary'!$F:$F,O$17,'Industrial Summary'!$D:$D,$E328,'Industrial Summary'!$A:$A,"COA")/SUMIFS('Industrial Summary'!$G:$G,'Industrial Summary'!$F:$F,O$17,'Industrial Summary'!$D:$D,$E328)),0)*0.98</f>
        <v>0</v>
      </c>
      <c r="P328" s="6">
        <f>IF(SUMIFS('Industrial Summary'!$G:$G,'Industrial Summary'!$F:$F,P$17,'Industrial Summary'!$D:$D,$E328)&gt;0,(-SUMIFS('Industrial Summary'!$G:$G,'Industrial Summary'!$F:$F,P$17,'Industrial Summary'!$D:$D,$E328,'Industrial Summary'!$A:$A,"COA")/SUMIFS('Industrial Summary'!$G:$G,'Industrial Summary'!$F:$F,P$17,'Industrial Summary'!$D:$D,$E328)),0)*0.98</f>
        <v>0</v>
      </c>
      <c r="Q328" s="5">
        <v>0</v>
      </c>
      <c r="R328" s="5">
        <v>15</v>
      </c>
      <c r="S328" s="5" t="str">
        <f t="shared" si="63"/>
        <v>UC_IOTMD_COA</v>
      </c>
      <c r="V328" s="4" t="str">
        <f t="shared" si="64"/>
        <v>S_IOTMDCOA</v>
      </c>
      <c r="W328" s="4" t="str">
        <f t="shared" si="65"/>
        <v>IOTMD_COA</v>
      </c>
      <c r="X328" s="4" t="str">
        <f t="shared" si="66"/>
        <v>IOTMDR</v>
      </c>
      <c r="Y328" s="5" t="str">
        <f t="shared" si="67"/>
        <v>UP</v>
      </c>
      <c r="Z328" s="5">
        <v>1</v>
      </c>
      <c r="AA328" s="6">
        <f t="shared" si="68"/>
        <v>-4.1254007012489265E-3</v>
      </c>
      <c r="AB328" s="6">
        <f t="shared" si="69"/>
        <v>-3.9027381091523922E-3</v>
      </c>
      <c r="AC328" s="6">
        <f t="shared" si="70"/>
        <v>-3.8657607117122748E-3</v>
      </c>
      <c r="AD328" s="6">
        <f t="shared" si="71"/>
        <v>-3.8899847914812035E-3</v>
      </c>
      <c r="AE328" s="6">
        <f t="shared" si="72"/>
        <v>-3.6922307366415255E-3</v>
      </c>
      <c r="AF328" s="6">
        <f t="shared" si="73"/>
        <v>-3.6903749762212919E-3</v>
      </c>
      <c r="AG328" s="6">
        <f t="shared" si="74"/>
        <v>-3.6903749762212954E-3</v>
      </c>
      <c r="AH328" s="6">
        <f t="shared" si="75"/>
        <v>0</v>
      </c>
      <c r="AI328" s="6">
        <f t="shared" si="76"/>
        <v>0</v>
      </c>
      <c r="AL328" s="5" t="str">
        <f t="shared" si="77"/>
        <v>COA</v>
      </c>
      <c r="AM328" s="5">
        <f>Z10</f>
        <v>0.8</v>
      </c>
    </row>
    <row r="329" spans="1:39" s="5" customFormat="1" x14ac:dyDescent="0.3">
      <c r="C329" s="4" t="s">
        <v>672</v>
      </c>
      <c r="D329" s="5" t="s">
        <v>673</v>
      </c>
      <c r="E329" s="5" t="s">
        <v>738</v>
      </c>
      <c r="F329" s="5" t="s">
        <v>1588</v>
      </c>
      <c r="G329" s="5">
        <v>1</v>
      </c>
      <c r="H329" s="6">
        <f>IF(SUMIFS('Industrial Summary'!$G:$G,'Industrial Summary'!$F:$F,H$17,'Industrial Summary'!$D:$D,$E329)&gt;0,(-SUMIFS('Industrial Summary'!$G:$G,'Industrial Summary'!$F:$F,H$17,'Industrial Summary'!$D:$D,$E329,'Industrial Summary'!$A:$A,"ELC")/SUMIFS('Industrial Summary'!$G:$G,'Industrial Summary'!$F:$F,H$17,'Industrial Summary'!$D:$D,$E329)),0)*0.98</f>
        <v>-0.48013534051159029</v>
      </c>
      <c r="I329" s="6">
        <f>IF(SUMIFS('Industrial Summary'!$G:$G,'Industrial Summary'!$F:$F,I$17,'Industrial Summary'!$D:$D,$E329)&gt;0,(-SUMIFS('Industrial Summary'!$G:$G,'Industrial Summary'!$F:$F,I$17,'Industrial Summary'!$D:$D,$E329,'Industrial Summary'!$A:$A,"ELC")/SUMIFS('Industrial Summary'!$G:$G,'Industrial Summary'!$F:$F,I$17,'Industrial Summary'!$D:$D,$E329)),0)*0.98</f>
        <v>-0.49438448219973968</v>
      </c>
      <c r="J329" s="6">
        <f>IF(SUMIFS('Industrial Summary'!$G:$G,'Industrial Summary'!$F:$F,J$17,'Industrial Summary'!$D:$D,$E329)&gt;0,(-SUMIFS('Industrial Summary'!$G:$G,'Industrial Summary'!$F:$F,J$17,'Industrial Summary'!$D:$D,$E329,'Industrial Summary'!$A:$A,"ELC")/SUMIFS('Industrial Summary'!$G:$G,'Industrial Summary'!$F:$F,J$17,'Industrial Summary'!$D:$D,$E329)),0)*0.98</f>
        <v>-0.47290288508838052</v>
      </c>
      <c r="K329" s="6">
        <f>IF(SUMIFS('Industrial Summary'!$G:$G,'Industrial Summary'!$F:$F,K$17,'Industrial Summary'!$D:$D,$E329)&gt;0,(-SUMIFS('Industrial Summary'!$G:$G,'Industrial Summary'!$F:$F,K$17,'Industrial Summary'!$D:$D,$E329,'Industrial Summary'!$A:$A,"ELC")/SUMIFS('Industrial Summary'!$G:$G,'Industrial Summary'!$F:$F,K$17,'Industrial Summary'!$D:$D,$E329)),0)*0.98</f>
        <v>-0.47586624419558843</v>
      </c>
      <c r="L329" s="6">
        <f>IF(SUMIFS('Industrial Summary'!$G:$G,'Industrial Summary'!$F:$F,L$17,'Industrial Summary'!$D:$D,$E329)&gt;0,(-SUMIFS('Industrial Summary'!$G:$G,'Industrial Summary'!$F:$F,L$17,'Industrial Summary'!$D:$D,$E329,'Industrial Summary'!$A:$A,"ELC")/SUMIFS('Industrial Summary'!$G:$G,'Industrial Summary'!$F:$F,L$17,'Industrial Summary'!$D:$D,$E329)),0)*0.98</f>
        <v>-0.55452688080524015</v>
      </c>
      <c r="M329" s="6">
        <f>IF(SUMIFS('Industrial Summary'!$G:$G,'Industrial Summary'!$F:$F,M$17,'Industrial Summary'!$D:$D,$E329)&gt;0,(-SUMIFS('Industrial Summary'!$G:$G,'Industrial Summary'!$F:$F,M$17,'Industrial Summary'!$D:$D,$E329,'Industrial Summary'!$A:$A,"ELC")/SUMIFS('Industrial Summary'!$G:$G,'Industrial Summary'!$F:$F,M$17,'Industrial Summary'!$D:$D,$E329)),0)*0.98</f>
        <v>-0.55424816879866368</v>
      </c>
      <c r="N329" s="6">
        <f>IF(SUMIFS('Industrial Summary'!$G:$G,'Industrial Summary'!$F:$F,N$17,'Industrial Summary'!$D:$D,$E329)&gt;0,(-SUMIFS('Industrial Summary'!$G:$G,'Industrial Summary'!$F:$F,N$17,'Industrial Summary'!$D:$D,$E329,'Industrial Summary'!$A:$A,"ELC")/SUMIFS('Industrial Summary'!$G:$G,'Industrial Summary'!$F:$F,N$17,'Industrial Summary'!$D:$D,$E329)),0)*0.98</f>
        <v>-0.55424816879866334</v>
      </c>
      <c r="O329" s="6">
        <f>IF(SUMIFS('Industrial Summary'!$G:$G,'Industrial Summary'!$F:$F,O$17,'Industrial Summary'!$D:$D,$E329)&gt;0,(-SUMIFS('Industrial Summary'!$G:$G,'Industrial Summary'!$F:$F,O$17,'Industrial Summary'!$D:$D,$E329,'Industrial Summary'!$A:$A,"ELC")/SUMIFS('Industrial Summary'!$G:$G,'Industrial Summary'!$F:$F,O$17,'Industrial Summary'!$D:$D,$E329)),0)*0.98</f>
        <v>-0.57495709858903787</v>
      </c>
      <c r="P329" s="6">
        <f>IF(SUMIFS('Industrial Summary'!$G:$G,'Industrial Summary'!$F:$F,P$17,'Industrial Summary'!$D:$D,$E329)&gt;0,(-SUMIFS('Industrial Summary'!$G:$G,'Industrial Summary'!$F:$F,P$17,'Industrial Summary'!$D:$D,$E329,'Industrial Summary'!$A:$A,"ELC")/SUMIFS('Industrial Summary'!$G:$G,'Industrial Summary'!$F:$F,P$17,'Industrial Summary'!$D:$D,$E329)),0)*0.98</f>
        <v>-0.57495709858903987</v>
      </c>
      <c r="Q329" s="5">
        <v>0</v>
      </c>
      <c r="R329" s="5">
        <v>15</v>
      </c>
      <c r="S329" s="5" t="str">
        <f t="shared" si="63"/>
        <v>UC_IOTFA_ELC</v>
      </c>
      <c r="V329" s="4" t="str">
        <f t="shared" si="64"/>
        <v>S_IOTFAELC</v>
      </c>
      <c r="W329" s="4" t="str">
        <f t="shared" si="65"/>
        <v>IOTFA_ELC</v>
      </c>
      <c r="X329" s="4" t="str">
        <f t="shared" si="66"/>
        <v>IOTFAC</v>
      </c>
      <c r="Y329" s="5" t="str">
        <f t="shared" si="67"/>
        <v>LO</v>
      </c>
      <c r="Z329" s="5">
        <v>1</v>
      </c>
      <c r="AA329" s="6">
        <f t="shared" si="68"/>
        <v>-0.48013534051159029</v>
      </c>
      <c r="AB329" s="6">
        <f t="shared" si="69"/>
        <v>-0.49438448219973968</v>
      </c>
      <c r="AC329" s="6">
        <f t="shared" si="70"/>
        <v>-0.47290288508838052</v>
      </c>
      <c r="AD329" s="6">
        <f t="shared" si="71"/>
        <v>-0.47586624419558843</v>
      </c>
      <c r="AE329" s="6">
        <f t="shared" si="72"/>
        <v>-0.55452688080524015</v>
      </c>
      <c r="AF329" s="6">
        <f t="shared" si="73"/>
        <v>-0.55424816879866368</v>
      </c>
      <c r="AG329" s="6">
        <f t="shared" si="74"/>
        <v>-0.55424816879866334</v>
      </c>
      <c r="AH329" s="6">
        <f t="shared" si="75"/>
        <v>-0.57495709858903787</v>
      </c>
      <c r="AI329" s="6">
        <f t="shared" si="76"/>
        <v>-0.57495709858903987</v>
      </c>
      <c r="AL329" s="5" t="str">
        <f t="shared" si="77"/>
        <v>ELC</v>
      </c>
      <c r="AM329" s="5">
        <f>1</f>
        <v>1</v>
      </c>
    </row>
    <row r="330" spans="1:39" s="5" customFormat="1" x14ac:dyDescent="0.3">
      <c r="C330" s="4" t="s">
        <v>674</v>
      </c>
      <c r="D330" s="5" t="s">
        <v>675</v>
      </c>
      <c r="E330" s="5" t="s">
        <v>738</v>
      </c>
      <c r="F330" s="5" t="s">
        <v>1588</v>
      </c>
      <c r="G330" s="5">
        <v>1</v>
      </c>
      <c r="H330" s="6">
        <f>IF(SUMIFS('Industrial Summary'!$G:$G,'Industrial Summary'!$F:$F,H$17,'Industrial Summary'!$D:$D,$E330)&gt;0,(-SUMIFS('Industrial Summary'!$G:$G,'Industrial Summary'!$F:$F,H$17,'Industrial Summary'!$D:$D,$E330,'Industrial Summary'!$A:$A,"RFL")/SUMIFS('Industrial Summary'!$G:$G,'Industrial Summary'!$F:$F,H$17,'Industrial Summary'!$D:$D,$E330)),0)*0.98</f>
        <v>-8.2707063708008077E-3</v>
      </c>
      <c r="I330" s="6">
        <f>IF(SUMIFS('Industrial Summary'!$G:$G,'Industrial Summary'!$F:$F,I$17,'Industrial Summary'!$D:$D,$E330)&gt;0,(-SUMIFS('Industrial Summary'!$G:$G,'Industrial Summary'!$F:$F,I$17,'Industrial Summary'!$D:$D,$E330,'Industrial Summary'!$A:$A,"RFL")/SUMIFS('Industrial Summary'!$G:$G,'Industrial Summary'!$F:$F,I$17,'Industrial Summary'!$D:$D,$E330)),0)*0.98</f>
        <v>-7.8243068444628656E-3</v>
      </c>
      <c r="J330" s="6">
        <f>IF(SUMIFS('Industrial Summary'!$G:$G,'Industrial Summary'!$F:$F,J$17,'Industrial Summary'!$D:$D,$E330)&gt;0,(-SUMIFS('Industrial Summary'!$G:$G,'Industrial Summary'!$F:$F,J$17,'Industrial Summary'!$D:$D,$E330,'Industrial Summary'!$A:$A,"RFL")/SUMIFS('Industrial Summary'!$G:$G,'Industrial Summary'!$F:$F,J$17,'Industrial Summary'!$D:$D,$E330)),0)*0.98</f>
        <v>0</v>
      </c>
      <c r="K330" s="6">
        <f>IF(SUMIFS('Industrial Summary'!$G:$G,'Industrial Summary'!$F:$F,K$17,'Industrial Summary'!$D:$D,$E330)&gt;0,(-SUMIFS('Industrial Summary'!$G:$G,'Industrial Summary'!$F:$F,K$17,'Industrial Summary'!$D:$D,$E330,'Industrial Summary'!$A:$A,"RFL")/SUMIFS('Industrial Summary'!$G:$G,'Industrial Summary'!$F:$F,K$17,'Industrial Summary'!$D:$D,$E330)),0)*0.98</f>
        <v>0</v>
      </c>
      <c r="L330" s="6">
        <f>IF(SUMIFS('Industrial Summary'!$G:$G,'Industrial Summary'!$F:$F,L$17,'Industrial Summary'!$D:$D,$E330)&gt;0,(-SUMIFS('Industrial Summary'!$G:$G,'Industrial Summary'!$F:$F,L$17,'Industrial Summary'!$D:$D,$E330,'Industrial Summary'!$A:$A,"RFL")/SUMIFS('Industrial Summary'!$G:$G,'Industrial Summary'!$F:$F,L$17,'Industrial Summary'!$D:$D,$E330)),0)*0.98</f>
        <v>-1.8778920780711664E-3</v>
      </c>
      <c r="M330" s="6">
        <f>IF(SUMIFS('Industrial Summary'!$G:$G,'Industrial Summary'!$F:$F,M$17,'Industrial Summary'!$D:$D,$E330)&gt;0,(-SUMIFS('Industrial Summary'!$G:$G,'Industrial Summary'!$F:$F,M$17,'Industrial Summary'!$D:$D,$E330,'Industrial Summary'!$A:$A,"RFL")/SUMIFS('Industrial Summary'!$G:$G,'Industrial Summary'!$F:$F,M$17,'Industrial Summary'!$D:$D,$E330)),0)*0.98</f>
        <v>-1.8769482264972691E-3</v>
      </c>
      <c r="N330" s="6">
        <f>IF(SUMIFS('Industrial Summary'!$G:$G,'Industrial Summary'!$F:$F,N$17,'Industrial Summary'!$D:$D,$E330)&gt;0,(-SUMIFS('Industrial Summary'!$G:$G,'Industrial Summary'!$F:$F,N$17,'Industrial Summary'!$D:$D,$E330,'Industrial Summary'!$A:$A,"RFL")/SUMIFS('Industrial Summary'!$G:$G,'Industrial Summary'!$F:$F,N$17,'Industrial Summary'!$D:$D,$E330)),0)*0.98</f>
        <v>-1.8769482264972719E-3</v>
      </c>
      <c r="O330" s="6">
        <f>IF(SUMIFS('Industrial Summary'!$G:$G,'Industrial Summary'!$F:$F,O$17,'Industrial Summary'!$D:$D,$E330)&gt;0,(-SUMIFS('Industrial Summary'!$G:$G,'Industrial Summary'!$F:$F,O$17,'Industrial Summary'!$D:$D,$E330,'Industrial Summary'!$A:$A,"RFL")/SUMIFS('Industrial Summary'!$G:$G,'Industrial Summary'!$F:$F,O$17,'Industrial Summary'!$D:$D,$E330)),0)*0.98</f>
        <v>0</v>
      </c>
      <c r="P330" s="6">
        <f>IF(SUMIFS('Industrial Summary'!$G:$G,'Industrial Summary'!$F:$F,P$17,'Industrial Summary'!$D:$D,$E330)&gt;0,(-SUMIFS('Industrial Summary'!$G:$G,'Industrial Summary'!$F:$F,P$17,'Industrial Summary'!$D:$D,$E330,'Industrial Summary'!$A:$A,"RFL")/SUMIFS('Industrial Summary'!$G:$G,'Industrial Summary'!$F:$F,P$17,'Industrial Summary'!$D:$D,$E330)),0)*0.98</f>
        <v>0</v>
      </c>
      <c r="Q330" s="5">
        <v>0</v>
      </c>
      <c r="R330" s="5">
        <v>15</v>
      </c>
      <c r="S330" s="5" t="str">
        <f t="shared" si="63"/>
        <v>UC_IOTFA_RFL</v>
      </c>
      <c r="V330" s="4" t="str">
        <f t="shared" si="64"/>
        <v>S_IOTFARFL</v>
      </c>
      <c r="W330" s="4" t="str">
        <f t="shared" si="65"/>
        <v>IOTFA_RFL</v>
      </c>
      <c r="X330" s="4" t="str">
        <f t="shared" si="66"/>
        <v>IOTFAC</v>
      </c>
      <c r="Y330" s="5" t="str">
        <f t="shared" si="67"/>
        <v>LO</v>
      </c>
      <c r="Z330" s="5">
        <v>1</v>
      </c>
      <c r="AA330" s="6">
        <f t="shared" si="68"/>
        <v>-8.2707063708008077E-3</v>
      </c>
      <c r="AB330" s="6">
        <f t="shared" si="69"/>
        <v>-7.8243068444628656E-3</v>
      </c>
      <c r="AC330" s="6">
        <f t="shared" si="70"/>
        <v>0</v>
      </c>
      <c r="AD330" s="6">
        <f t="shared" si="71"/>
        <v>0</v>
      </c>
      <c r="AE330" s="6">
        <f t="shared" si="72"/>
        <v>-1.8778920780711664E-3</v>
      </c>
      <c r="AF330" s="6">
        <f t="shared" si="73"/>
        <v>-1.8769482264972691E-3</v>
      </c>
      <c r="AG330" s="6">
        <f t="shared" si="74"/>
        <v>-1.8769482264972719E-3</v>
      </c>
      <c r="AH330" s="6">
        <f t="shared" si="75"/>
        <v>0</v>
      </c>
      <c r="AI330" s="6">
        <f t="shared" si="76"/>
        <v>0</v>
      </c>
      <c r="AL330" s="5" t="str">
        <f t="shared" si="77"/>
        <v>RFL</v>
      </c>
      <c r="AM330" s="5">
        <f>1</f>
        <v>1</v>
      </c>
    </row>
    <row r="331" spans="1:39" s="5" customFormat="1" x14ac:dyDescent="0.3">
      <c r="C331" s="4" t="s">
        <v>676</v>
      </c>
      <c r="D331" s="5" t="s">
        <v>677</v>
      </c>
      <c r="E331" s="5" t="s">
        <v>738</v>
      </c>
      <c r="F331" s="5" t="s">
        <v>1588</v>
      </c>
      <c r="G331" s="5">
        <v>1</v>
      </c>
      <c r="H331" s="6">
        <f>IF(SUMIFS('Industrial Summary'!$G:$G,'Industrial Summary'!$F:$F,H$17,'Industrial Summary'!$D:$D,$E331)&gt;0,(-SUMIFS('Industrial Summary'!$G:$G,'Industrial Summary'!$F:$F,H$17,'Industrial Summary'!$D:$D,$E331,'Industrial Summary'!$A:$A,"DST")/SUMIFS('Industrial Summary'!$G:$G,'Industrial Summary'!$F:$F,H$17,'Industrial Summary'!$D:$D,$E331)),0)*0.98</f>
        <v>-2.3843889638800339E-2</v>
      </c>
      <c r="I331" s="6">
        <f>IF(SUMIFS('Industrial Summary'!$G:$G,'Industrial Summary'!$F:$F,I$17,'Industrial Summary'!$D:$D,$E331)&gt;0,(-SUMIFS('Industrial Summary'!$G:$G,'Industrial Summary'!$F:$F,I$17,'Industrial Summary'!$D:$D,$E331,'Industrial Summary'!$A:$A,"DST")/SUMIFS('Industrial Summary'!$G:$G,'Industrial Summary'!$F:$F,I$17,'Industrial Summary'!$D:$D,$E331)),0)*0.98</f>
        <v>-2.2556949858373219E-2</v>
      </c>
      <c r="J331" s="6">
        <f>IF(SUMIFS('Industrial Summary'!$G:$G,'Industrial Summary'!$F:$F,J$17,'Industrial Summary'!$D:$D,$E331)&gt;0,(-SUMIFS('Industrial Summary'!$G:$G,'Industrial Summary'!$F:$F,J$17,'Industrial Summary'!$D:$D,$E331,'Industrial Summary'!$A:$A,"DST")/SUMIFS('Industrial Summary'!$G:$G,'Industrial Summary'!$F:$F,J$17,'Industrial Summary'!$D:$D,$E331)),0)*0.98</f>
        <v>-6.6099190834643367E-3</v>
      </c>
      <c r="K331" s="6">
        <f>IF(SUMIFS('Industrial Summary'!$G:$G,'Industrial Summary'!$F:$F,K$17,'Industrial Summary'!$D:$D,$E331)&gt;0,(-SUMIFS('Industrial Summary'!$G:$G,'Industrial Summary'!$F:$F,K$17,'Industrial Summary'!$D:$D,$E331,'Industrial Summary'!$A:$A,"DST")/SUMIFS('Industrial Summary'!$G:$G,'Industrial Summary'!$F:$F,K$17,'Industrial Summary'!$D:$D,$E331)),0)*0.98</f>
        <v>-6.6513389278584547E-3</v>
      </c>
      <c r="L331" s="6">
        <f>IF(SUMIFS('Industrial Summary'!$G:$G,'Industrial Summary'!$F:$F,L$17,'Industrial Summary'!$D:$D,$E331)&gt;0,(-SUMIFS('Industrial Summary'!$G:$G,'Industrial Summary'!$F:$F,L$17,'Industrial Summary'!$D:$D,$E331,'Industrial Summary'!$A:$A,"DST")/SUMIFS('Industrial Summary'!$G:$G,'Industrial Summary'!$F:$F,L$17,'Industrial Summary'!$D:$D,$E331)),0)*0.98</f>
        <v>-1.0312069393016814E-2</v>
      </c>
      <c r="M331" s="6">
        <f>IF(SUMIFS('Industrial Summary'!$G:$G,'Industrial Summary'!$F:$F,M$17,'Industrial Summary'!$D:$D,$E331)&gt;0,(-SUMIFS('Industrial Summary'!$G:$G,'Industrial Summary'!$F:$F,M$17,'Industrial Summary'!$D:$D,$E331,'Industrial Summary'!$A:$A,"DST")/SUMIFS('Industrial Summary'!$G:$G,'Industrial Summary'!$F:$F,M$17,'Industrial Summary'!$D:$D,$E331)),0)*0.98</f>
        <v>-1.0306886420555083E-2</v>
      </c>
      <c r="N331" s="6">
        <f>IF(SUMIFS('Industrial Summary'!$G:$G,'Industrial Summary'!$F:$F,N$17,'Industrial Summary'!$D:$D,$E331)&gt;0,(-SUMIFS('Industrial Summary'!$G:$G,'Industrial Summary'!$F:$F,N$17,'Industrial Summary'!$D:$D,$E331,'Industrial Summary'!$A:$A,"DST")/SUMIFS('Industrial Summary'!$G:$G,'Industrial Summary'!$F:$F,N$17,'Industrial Summary'!$D:$D,$E331)),0)*0.98</f>
        <v>-1.0306886420555075E-2</v>
      </c>
      <c r="O331" s="6">
        <f>IF(SUMIFS('Industrial Summary'!$G:$G,'Industrial Summary'!$F:$F,O$17,'Industrial Summary'!$D:$D,$E331)&gt;0,(-SUMIFS('Industrial Summary'!$G:$G,'Industrial Summary'!$F:$F,O$17,'Industrial Summary'!$D:$D,$E331,'Industrial Summary'!$A:$A,"DST")/SUMIFS('Industrial Summary'!$G:$G,'Industrial Summary'!$F:$F,O$17,'Industrial Summary'!$D:$D,$E331)),0)*0.98</f>
        <v>-3.7101215527131769E-2</v>
      </c>
      <c r="P331" s="6">
        <f>IF(SUMIFS('Industrial Summary'!$G:$G,'Industrial Summary'!$F:$F,P$17,'Industrial Summary'!$D:$D,$E331)&gt;0,(-SUMIFS('Industrial Summary'!$G:$G,'Industrial Summary'!$F:$F,P$17,'Industrial Summary'!$D:$D,$E331,'Industrial Summary'!$A:$A,"DST")/SUMIFS('Industrial Summary'!$G:$G,'Industrial Summary'!$F:$F,P$17,'Industrial Summary'!$D:$D,$E331)),0)*0.98</f>
        <v>-3.7101215527127404E-2</v>
      </c>
      <c r="Q331" s="5">
        <v>0</v>
      </c>
      <c r="R331" s="5">
        <v>15</v>
      </c>
      <c r="S331" s="5" t="str">
        <f t="shared" si="63"/>
        <v>UC_IOTFA_DST</v>
      </c>
      <c r="V331" s="4" t="str">
        <f t="shared" si="64"/>
        <v>S_IOTFADST</v>
      </c>
      <c r="W331" s="4" t="str">
        <f t="shared" si="65"/>
        <v>IOTFA_DST</v>
      </c>
      <c r="X331" s="4" t="str">
        <f t="shared" si="66"/>
        <v>IOTFAC</v>
      </c>
      <c r="Y331" s="5" t="str">
        <f t="shared" si="67"/>
        <v>LO</v>
      </c>
      <c r="Z331" s="5">
        <v>1</v>
      </c>
      <c r="AA331" s="6">
        <f t="shared" si="68"/>
        <v>-2.3843889638800339E-2</v>
      </c>
      <c r="AB331" s="6">
        <f t="shared" si="69"/>
        <v>-2.2556949858373219E-2</v>
      </c>
      <c r="AC331" s="6">
        <f t="shared" si="70"/>
        <v>-6.6099190834643367E-3</v>
      </c>
      <c r="AD331" s="6">
        <f t="shared" si="71"/>
        <v>-6.6513389278584547E-3</v>
      </c>
      <c r="AE331" s="6">
        <f t="shared" si="72"/>
        <v>-1.0312069393016814E-2</v>
      </c>
      <c r="AF331" s="6">
        <f t="shared" si="73"/>
        <v>-1.0306886420555083E-2</v>
      </c>
      <c r="AG331" s="6">
        <f t="shared" si="74"/>
        <v>-1.0306886420555075E-2</v>
      </c>
      <c r="AH331" s="6">
        <f t="shared" si="75"/>
        <v>-3.7101215527131769E-2</v>
      </c>
      <c r="AI331" s="6">
        <f t="shared" si="76"/>
        <v>-3.7101215527127404E-2</v>
      </c>
      <c r="AL331" s="5" t="str">
        <f t="shared" si="77"/>
        <v>DST</v>
      </c>
      <c r="AM331" s="5">
        <f>1</f>
        <v>1</v>
      </c>
    </row>
    <row r="332" spans="1:39" s="5" customFormat="1" x14ac:dyDescent="0.3">
      <c r="C332" s="4" t="s">
        <v>678</v>
      </c>
      <c r="D332" s="5" t="s">
        <v>679</v>
      </c>
      <c r="E332" s="5" t="s">
        <v>738</v>
      </c>
      <c r="F332" s="5" t="s">
        <v>1588</v>
      </c>
      <c r="G332" s="5">
        <v>1</v>
      </c>
      <c r="H332" s="6">
        <f>IF(SUMIFS('Industrial Summary'!$G:$G,'Industrial Summary'!$F:$F,H$17,'Industrial Summary'!$D:$D,$E332)&gt;0,(-SUMIFS('Industrial Summary'!$G:$G,'Industrial Summary'!$F:$F,H$17,'Industrial Summary'!$D:$D,$E332,'Industrial Summary'!$A:$A,"NGA")/SUMIFS('Industrial Summary'!$G:$G,'Industrial Summary'!$F:$F,H$17,'Industrial Summary'!$D:$D,$E332)),0)*0.98</f>
        <v>-0.45507888714735861</v>
      </c>
      <c r="I332" s="6">
        <f>IF(SUMIFS('Industrial Summary'!$G:$G,'Industrial Summary'!$F:$F,I$17,'Industrial Summary'!$D:$D,$E332)&gt;0,(-SUMIFS('Industrial Summary'!$G:$G,'Industrial Summary'!$F:$F,I$17,'Industrial Summary'!$D:$D,$E332,'Industrial Summary'!$A:$A,"NGA")/SUMIFS('Industrial Summary'!$G:$G,'Industrial Summary'!$F:$F,I$17,'Industrial Summary'!$D:$D,$E332)),0)*0.98</f>
        <v>-0.43051665623728907</v>
      </c>
      <c r="J332" s="6">
        <f>IF(SUMIFS('Industrial Summary'!$G:$G,'Industrial Summary'!$F:$F,J$17,'Industrial Summary'!$D:$D,$E332)&gt;0,(-SUMIFS('Industrial Summary'!$G:$G,'Industrial Summary'!$F:$F,J$17,'Industrial Summary'!$D:$D,$E332,'Industrial Summary'!$A:$A,"NGA")/SUMIFS('Industrial Summary'!$G:$G,'Industrial Summary'!$F:$F,J$17,'Industrial Summary'!$D:$D,$E332)),0)*0.98</f>
        <v>-0.43699178273337386</v>
      </c>
      <c r="K332" s="6">
        <f>IF(SUMIFS('Industrial Summary'!$G:$G,'Industrial Summary'!$F:$F,K$17,'Industrial Summary'!$D:$D,$E332)&gt;0,(-SUMIFS('Industrial Summary'!$G:$G,'Industrial Summary'!$F:$F,K$17,'Industrial Summary'!$D:$D,$E332,'Industrial Summary'!$A:$A,"NGA")/SUMIFS('Industrial Summary'!$G:$G,'Industrial Summary'!$F:$F,K$17,'Industrial Summary'!$D:$D,$E332)),0)*0.98</f>
        <v>-0.43973011151074226</v>
      </c>
      <c r="L332" s="6">
        <f>IF(SUMIFS('Industrial Summary'!$G:$G,'Industrial Summary'!$F:$F,L$17,'Industrial Summary'!$D:$D,$E332)&gt;0,(-SUMIFS('Industrial Summary'!$G:$G,'Industrial Summary'!$F:$F,L$17,'Industrial Summary'!$D:$D,$E332,'Industrial Summary'!$A:$A,"NGA")/SUMIFS('Industrial Summary'!$G:$G,'Industrial Summary'!$F:$F,L$17,'Industrial Summary'!$D:$D,$E332)),0)*0.98</f>
        <v>-0.3564966379305019</v>
      </c>
      <c r="M332" s="6">
        <f>IF(SUMIFS('Industrial Summary'!$G:$G,'Industrial Summary'!$F:$F,M$17,'Industrial Summary'!$D:$D,$E332)&gt;0,(-SUMIFS('Industrial Summary'!$G:$G,'Industrial Summary'!$F:$F,M$17,'Industrial Summary'!$D:$D,$E332,'Industrial Summary'!$A:$A,"NGA")/SUMIFS('Industrial Summary'!$G:$G,'Industrial Summary'!$F:$F,M$17,'Industrial Summary'!$D:$D,$E332)),0)*0.98</f>
        <v>-0.35631745835105216</v>
      </c>
      <c r="N332" s="6">
        <f>IF(SUMIFS('Industrial Summary'!$G:$G,'Industrial Summary'!$F:$F,N$17,'Industrial Summary'!$D:$D,$E332)&gt;0,(-SUMIFS('Industrial Summary'!$G:$G,'Industrial Summary'!$F:$F,N$17,'Industrial Summary'!$D:$D,$E332,'Industrial Summary'!$A:$A,"NGA")/SUMIFS('Industrial Summary'!$G:$G,'Industrial Summary'!$F:$F,N$17,'Industrial Summary'!$D:$D,$E332)),0)*0.98</f>
        <v>-0.35631745835105166</v>
      </c>
      <c r="O332" s="6">
        <f>IF(SUMIFS('Industrial Summary'!$G:$G,'Industrial Summary'!$F:$F,O$17,'Industrial Summary'!$D:$D,$E332)&gt;0,(-SUMIFS('Industrial Summary'!$G:$G,'Industrial Summary'!$F:$F,O$17,'Industrial Summary'!$D:$D,$E332,'Industrial Summary'!$A:$A,"NGA")/SUMIFS('Industrial Summary'!$G:$G,'Industrial Summary'!$F:$F,O$17,'Industrial Summary'!$D:$D,$E332)),0)*0.98</f>
        <v>-0.3341177913718878</v>
      </c>
      <c r="P332" s="6">
        <f>IF(SUMIFS('Industrial Summary'!$G:$G,'Industrial Summary'!$F:$F,P$17,'Industrial Summary'!$D:$D,$E332)&gt;0,(-SUMIFS('Industrial Summary'!$G:$G,'Industrial Summary'!$F:$F,P$17,'Industrial Summary'!$D:$D,$E332,'Industrial Summary'!$A:$A,"NGA")/SUMIFS('Industrial Summary'!$G:$G,'Industrial Summary'!$F:$F,P$17,'Industrial Summary'!$D:$D,$E332)),0)*0.98</f>
        <v>-0.33411779137189018</v>
      </c>
      <c r="Q332" s="5">
        <v>0</v>
      </c>
      <c r="R332" s="5">
        <v>15</v>
      </c>
      <c r="S332" s="5" t="str">
        <f t="shared" si="63"/>
        <v>UC_IOTFA_NGA</v>
      </c>
      <c r="V332" s="4" t="str">
        <f t="shared" si="64"/>
        <v>S_IOTFANGA</v>
      </c>
      <c r="W332" s="4" t="str">
        <f t="shared" si="65"/>
        <v>IOTFA_NGA</v>
      </c>
      <c r="X332" s="4" t="str">
        <f t="shared" si="66"/>
        <v>IOTFAC</v>
      </c>
      <c r="Y332" s="5" t="str">
        <f t="shared" si="67"/>
        <v>LO</v>
      </c>
      <c r="Z332" s="5">
        <v>1</v>
      </c>
      <c r="AA332" s="6">
        <f t="shared" si="68"/>
        <v>-0.36406310971788691</v>
      </c>
      <c r="AB332" s="6">
        <f t="shared" si="69"/>
        <v>-0.34441332498983129</v>
      </c>
      <c r="AC332" s="6">
        <f t="shared" si="70"/>
        <v>-0.34959342618669909</v>
      </c>
      <c r="AD332" s="6">
        <f t="shared" si="71"/>
        <v>-0.35178408920859383</v>
      </c>
      <c r="AE332" s="6">
        <f t="shared" si="72"/>
        <v>-0.28519731034440154</v>
      </c>
      <c r="AF332" s="6">
        <f t="shared" si="73"/>
        <v>-0.28505396668084176</v>
      </c>
      <c r="AG332" s="6">
        <f t="shared" si="74"/>
        <v>-0.28505396668084132</v>
      </c>
      <c r="AH332" s="6">
        <f t="shared" si="75"/>
        <v>-0.26729423309751027</v>
      </c>
      <c r="AI332" s="6">
        <f t="shared" si="76"/>
        <v>-0.26729423309751216</v>
      </c>
      <c r="AL332" s="5" t="str">
        <f t="shared" si="77"/>
        <v>NGA</v>
      </c>
      <c r="AM332" s="5">
        <f>Y10</f>
        <v>0.8</v>
      </c>
    </row>
    <row r="333" spans="1:39" s="5" customFormat="1" x14ac:dyDescent="0.3">
      <c r="C333" s="4" t="s">
        <v>680</v>
      </c>
      <c r="D333" s="5" t="s">
        <v>681</v>
      </c>
      <c r="E333" s="5" t="s">
        <v>738</v>
      </c>
      <c r="F333" s="5" t="s">
        <v>1588</v>
      </c>
      <c r="G333" s="5">
        <v>1</v>
      </c>
      <c r="H333" s="6">
        <f>IF(SUMIFS('Industrial Summary'!$G:$G,'Industrial Summary'!$F:$F,H$17,'Industrial Summary'!$D:$D,$E333)&gt;0,(-SUMIFS('Industrial Summary'!$G:$G,'Industrial Summary'!$F:$F,H$17,'Industrial Summary'!$D:$D,$E333,'Industrial Summary'!$A:$A,"LPG")/SUMIFS('Industrial Summary'!$G:$G,'Industrial Summary'!$F:$F,H$17,'Industrial Summary'!$D:$D,$E333)),0)*0.98</f>
        <v>0</v>
      </c>
      <c r="I333" s="6">
        <f>IF(SUMIFS('Industrial Summary'!$G:$G,'Industrial Summary'!$F:$F,I$17,'Industrial Summary'!$D:$D,$E333)&gt;0,(-SUMIFS('Industrial Summary'!$G:$G,'Industrial Summary'!$F:$F,I$17,'Industrial Summary'!$D:$D,$E333,'Industrial Summary'!$A:$A,"LPG")/SUMIFS('Industrial Summary'!$G:$G,'Industrial Summary'!$F:$F,I$17,'Industrial Summary'!$D:$D,$E333)),0)*0.98</f>
        <v>-1.2730337116284624E-2</v>
      </c>
      <c r="J333" s="6">
        <f>IF(SUMIFS('Industrial Summary'!$G:$G,'Industrial Summary'!$F:$F,J$17,'Industrial Summary'!$D:$D,$E333)&gt;0,(-SUMIFS('Industrial Summary'!$G:$G,'Industrial Summary'!$F:$F,J$17,'Industrial Summary'!$D:$D,$E333,'Industrial Summary'!$A:$A,"LPG")/SUMIFS('Industrial Summary'!$G:$G,'Industrial Summary'!$F:$F,J$17,'Industrial Summary'!$D:$D,$E333)),0)*0.98</f>
        <v>-5.2225632579344469E-2</v>
      </c>
      <c r="K333" s="6">
        <f>IF(SUMIFS('Industrial Summary'!$G:$G,'Industrial Summary'!$F:$F,K$17,'Industrial Summary'!$D:$D,$E333)&gt;0,(-SUMIFS('Industrial Summary'!$G:$G,'Industrial Summary'!$F:$F,K$17,'Industrial Summary'!$D:$D,$E333,'Industrial Summary'!$A:$A,"LPG")/SUMIFS('Industrial Summary'!$G:$G,'Industrial Summary'!$F:$F,K$17,'Industrial Summary'!$D:$D,$E333)),0)*0.98</f>
        <v>-4.6411904839839799E-2</v>
      </c>
      <c r="L333" s="6">
        <f>IF(SUMIFS('Industrial Summary'!$G:$G,'Industrial Summary'!$F:$F,L$17,'Industrial Summary'!$D:$D,$E333)&gt;0,(-SUMIFS('Industrial Summary'!$G:$G,'Industrial Summary'!$F:$F,L$17,'Industrial Summary'!$D:$D,$E333,'Industrial Summary'!$A:$A,"LPG")/SUMIFS('Industrial Summary'!$G:$G,'Industrial Summary'!$F:$F,L$17,'Industrial Summary'!$D:$D,$E333)),0)*0.98</f>
        <v>-4.4319373392517472E-2</v>
      </c>
      <c r="M333" s="6">
        <f>IF(SUMIFS('Industrial Summary'!$G:$G,'Industrial Summary'!$F:$F,M$17,'Industrial Summary'!$D:$D,$E333)&gt;0,(-SUMIFS('Industrial Summary'!$G:$G,'Industrial Summary'!$F:$F,M$17,'Industrial Summary'!$D:$D,$E333,'Industrial Summary'!$A:$A,"LPG")/SUMIFS('Industrial Summary'!$G:$G,'Industrial Summary'!$F:$F,M$17,'Industrial Summary'!$D:$D,$E333)),0)*0.98</f>
        <v>-4.4789657943157889E-2</v>
      </c>
      <c r="N333" s="6">
        <f>IF(SUMIFS('Industrial Summary'!$G:$G,'Industrial Summary'!$F:$F,N$17,'Industrial Summary'!$D:$D,$E333)&gt;0,(-SUMIFS('Industrial Summary'!$G:$G,'Industrial Summary'!$F:$F,N$17,'Industrial Summary'!$D:$D,$E333,'Industrial Summary'!$A:$A,"LPG")/SUMIFS('Industrial Summary'!$G:$G,'Industrial Summary'!$F:$F,N$17,'Industrial Summary'!$D:$D,$E333)),0)*0.98</f>
        <v>-4.4789657943158541E-2</v>
      </c>
      <c r="O333" s="6">
        <f>IF(SUMIFS('Industrial Summary'!$G:$G,'Industrial Summary'!$F:$F,O$17,'Industrial Summary'!$D:$D,$E333)&gt;0,(-SUMIFS('Industrial Summary'!$G:$G,'Industrial Summary'!$F:$F,O$17,'Industrial Summary'!$D:$D,$E333,'Industrial Summary'!$A:$A,"LPG")/SUMIFS('Industrial Summary'!$G:$G,'Industrial Summary'!$F:$F,O$17,'Industrial Summary'!$D:$D,$E333)),0)*0.98</f>
        <v>-3.3823894511942502E-2</v>
      </c>
      <c r="P333" s="6">
        <f>IF(SUMIFS('Industrial Summary'!$G:$G,'Industrial Summary'!$F:$F,P$17,'Industrial Summary'!$D:$D,$E333)&gt;0,(-SUMIFS('Industrial Summary'!$G:$G,'Industrial Summary'!$F:$F,P$17,'Industrial Summary'!$D:$D,$E333,'Industrial Summary'!$A:$A,"LPG")/SUMIFS('Industrial Summary'!$G:$G,'Industrial Summary'!$F:$F,P$17,'Industrial Summary'!$D:$D,$E333)),0)*0.98</f>
        <v>-3.3823894511942586E-2</v>
      </c>
      <c r="Q333" s="5">
        <v>0</v>
      </c>
      <c r="R333" s="5">
        <v>15</v>
      </c>
      <c r="S333" s="5" t="str">
        <f t="shared" si="63"/>
        <v>UC_IOTFA_LPG</v>
      </c>
      <c r="V333" s="4" t="str">
        <f t="shared" si="64"/>
        <v>S_IOTFALPG</v>
      </c>
      <c r="W333" s="4" t="str">
        <f t="shared" si="65"/>
        <v>IOTFA_LPG</v>
      </c>
      <c r="X333" s="4" t="str">
        <f t="shared" si="66"/>
        <v>IOTFAC</v>
      </c>
      <c r="Y333" s="5" t="str">
        <f t="shared" si="67"/>
        <v>LO</v>
      </c>
      <c r="Z333" s="5">
        <v>1</v>
      </c>
      <c r="AA333" s="6">
        <f t="shared" si="68"/>
        <v>0</v>
      </c>
      <c r="AB333" s="6">
        <f t="shared" si="69"/>
        <v>-1.2730337116284624E-2</v>
      </c>
      <c r="AC333" s="6">
        <f t="shared" si="70"/>
        <v>-5.2225632579344469E-2</v>
      </c>
      <c r="AD333" s="6">
        <f t="shared" si="71"/>
        <v>-4.6411904839839799E-2</v>
      </c>
      <c r="AE333" s="6">
        <f t="shared" si="72"/>
        <v>-4.4319373392517472E-2</v>
      </c>
      <c r="AF333" s="6">
        <f t="shared" si="73"/>
        <v>-4.4789657943157889E-2</v>
      </c>
      <c r="AG333" s="6">
        <f t="shared" si="74"/>
        <v>-4.4789657943158541E-2</v>
      </c>
      <c r="AH333" s="6">
        <f t="shared" si="75"/>
        <v>-3.3823894511942502E-2</v>
      </c>
      <c r="AI333" s="6">
        <f t="shared" si="76"/>
        <v>-3.3823894511942586E-2</v>
      </c>
      <c r="AL333" s="5" t="str">
        <f t="shared" si="77"/>
        <v>LPG</v>
      </c>
      <c r="AM333" s="5">
        <f>1</f>
        <v>1</v>
      </c>
    </row>
    <row r="334" spans="1:39" s="5" customFormat="1" x14ac:dyDescent="0.3">
      <c r="A334" s="8"/>
      <c r="C334" s="4" t="s">
        <v>682</v>
      </c>
      <c r="D334" s="5" t="s">
        <v>683</v>
      </c>
      <c r="E334" s="5" t="s">
        <v>738</v>
      </c>
      <c r="F334" s="5" t="s">
        <v>1591</v>
      </c>
      <c r="G334" s="5">
        <v>1</v>
      </c>
      <c r="H334" s="6">
        <f>IF(SUMIFS('Industrial Summary'!$G:$G,'Industrial Summary'!$F:$F,H$17,'Industrial Summary'!$D:$D,$E334)&gt;0,(-SUMIFS('Industrial Summary'!$G:$G,'Industrial Summary'!$F:$F,H$17,'Industrial Summary'!$D:$D,$E334,'Industrial Summary'!$A:$A,"COA")/SUMIFS('Industrial Summary'!$G:$G,'Industrial Summary'!$F:$F,H$17,'Industrial Summary'!$D:$D,$E334)),0)*0.98</f>
        <v>-1.2671176331449993E-2</v>
      </c>
      <c r="I334" s="6">
        <f>IF(SUMIFS('Industrial Summary'!$G:$G,'Industrial Summary'!$F:$F,I$17,'Industrial Summary'!$D:$D,$E334)&gt;0,(-SUMIFS('Industrial Summary'!$G:$G,'Industrial Summary'!$F:$F,I$17,'Industrial Summary'!$D:$D,$E334,'Industrial Summary'!$A:$A,"COA")/SUMIFS('Industrial Summary'!$G:$G,'Industrial Summary'!$F:$F,I$17,'Industrial Summary'!$D:$D,$E334)),0)*0.98</f>
        <v>-1.1987267743850557E-2</v>
      </c>
      <c r="J334" s="6">
        <f>IF(SUMIFS('Industrial Summary'!$G:$G,'Industrial Summary'!$F:$F,J$17,'Industrial Summary'!$D:$D,$E334)&gt;0,(-SUMIFS('Industrial Summary'!$G:$G,'Industrial Summary'!$F:$F,J$17,'Industrial Summary'!$D:$D,$E334,'Industrial Summary'!$A:$A,"COA")/SUMIFS('Industrial Summary'!$G:$G,'Industrial Summary'!$F:$F,J$17,'Industrial Summary'!$D:$D,$E334)),0)*0.98</f>
        <v>-1.1269780515436853E-2</v>
      </c>
      <c r="K334" s="6">
        <f>IF(SUMIFS('Industrial Summary'!$G:$G,'Industrial Summary'!$F:$F,K$17,'Industrial Summary'!$D:$D,$E334)&gt;0,(-SUMIFS('Industrial Summary'!$G:$G,'Industrial Summary'!$F:$F,K$17,'Industrial Summary'!$D:$D,$E334,'Industrial Summary'!$A:$A,"COA")/SUMIFS('Industrial Summary'!$G:$G,'Industrial Summary'!$F:$F,K$17,'Industrial Summary'!$D:$D,$E334)),0)*0.98</f>
        <v>-1.1340400525971163E-2</v>
      </c>
      <c r="L334" s="6">
        <f>IF(SUMIFS('Industrial Summary'!$G:$G,'Industrial Summary'!$F:$F,L$17,'Industrial Summary'!$D:$D,$E334)&gt;0,(-SUMIFS('Industrial Summary'!$G:$G,'Industrial Summary'!$F:$F,L$17,'Industrial Summary'!$D:$D,$E334,'Industrial Summary'!$A:$A,"COA")/SUMIFS('Industrial Summary'!$G:$G,'Industrial Summary'!$F:$F,L$17,'Industrial Summary'!$D:$D,$E334)),0)*0.98</f>
        <v>-1.2467146400652399E-2</v>
      </c>
      <c r="M334" s="6">
        <f>IF(SUMIFS('Industrial Summary'!$G:$G,'Industrial Summary'!$F:$F,M$17,'Industrial Summary'!$D:$D,$E334)&gt;0,(-SUMIFS('Industrial Summary'!$G:$G,'Industrial Summary'!$F:$F,M$17,'Industrial Summary'!$D:$D,$E334,'Industrial Summary'!$A:$A,"COA")/SUMIFS('Industrial Summary'!$G:$G,'Industrial Summary'!$F:$F,M$17,'Industrial Summary'!$D:$D,$E334)),0)*0.98</f>
        <v>-1.2460880260073982E-2</v>
      </c>
      <c r="N334" s="6">
        <f>IF(SUMIFS('Industrial Summary'!$G:$G,'Industrial Summary'!$F:$F,N$17,'Industrial Summary'!$D:$D,$E334)&gt;0,(-SUMIFS('Industrial Summary'!$G:$G,'Industrial Summary'!$F:$F,N$17,'Industrial Summary'!$D:$D,$E334,'Industrial Summary'!$A:$A,"COA")/SUMIFS('Industrial Summary'!$G:$G,'Industrial Summary'!$F:$F,N$17,'Industrial Summary'!$D:$D,$E334)),0)*0.98</f>
        <v>-1.2460880260074008E-2</v>
      </c>
      <c r="O334" s="6">
        <f>IF(SUMIFS('Industrial Summary'!$G:$G,'Industrial Summary'!$F:$F,O$17,'Industrial Summary'!$D:$D,$E334)&gt;0,(-SUMIFS('Industrial Summary'!$G:$G,'Industrial Summary'!$F:$F,O$17,'Industrial Summary'!$D:$D,$E334,'Industrial Summary'!$A:$A,"COA")/SUMIFS('Industrial Summary'!$G:$G,'Industrial Summary'!$F:$F,O$17,'Industrial Summary'!$D:$D,$E334)),0)*0.98</f>
        <v>0</v>
      </c>
      <c r="P334" s="6">
        <f>IF(SUMIFS('Industrial Summary'!$G:$G,'Industrial Summary'!$F:$F,P$17,'Industrial Summary'!$D:$D,$E334)&gt;0,(-SUMIFS('Industrial Summary'!$G:$G,'Industrial Summary'!$F:$F,P$17,'Industrial Summary'!$D:$D,$E334,'Industrial Summary'!$A:$A,"COA")/SUMIFS('Industrial Summary'!$G:$G,'Industrial Summary'!$F:$F,P$17,'Industrial Summary'!$D:$D,$E334)),0)*0.98</f>
        <v>0</v>
      </c>
      <c r="Q334" s="5">
        <v>0</v>
      </c>
      <c r="R334" s="5">
        <v>15</v>
      </c>
      <c r="S334" s="5" t="str">
        <f t="shared" si="63"/>
        <v>UC_IOTFA_COA</v>
      </c>
      <c r="V334" s="4" t="str">
        <f t="shared" si="64"/>
        <v>S_IOTFACOA</v>
      </c>
      <c r="W334" s="4" t="str">
        <f t="shared" si="65"/>
        <v>IOTFA_COA</v>
      </c>
      <c r="X334" s="4" t="str">
        <f t="shared" si="66"/>
        <v>IOTFAC</v>
      </c>
      <c r="Y334" s="5" t="str">
        <f t="shared" si="67"/>
        <v>UP</v>
      </c>
      <c r="Z334" s="5">
        <v>1</v>
      </c>
      <c r="AA334" s="6">
        <f t="shared" si="68"/>
        <v>-1.0136941065159995E-2</v>
      </c>
      <c r="AB334" s="6">
        <f t="shared" si="69"/>
        <v>-9.5898141950804469E-3</v>
      </c>
      <c r="AC334" s="6">
        <f t="shared" si="70"/>
        <v>-9.0158244123494831E-3</v>
      </c>
      <c r="AD334" s="6">
        <f t="shared" si="71"/>
        <v>-9.0723204207769307E-3</v>
      </c>
      <c r="AE334" s="6">
        <f t="shared" si="72"/>
        <v>-9.9737171205219188E-3</v>
      </c>
      <c r="AF334" s="6">
        <f t="shared" si="73"/>
        <v>-9.9687042080591863E-3</v>
      </c>
      <c r="AG334" s="6">
        <f t="shared" si="74"/>
        <v>-9.9687042080592071E-3</v>
      </c>
      <c r="AH334" s="6">
        <f t="shared" si="75"/>
        <v>0</v>
      </c>
      <c r="AI334" s="6">
        <f t="shared" si="76"/>
        <v>0</v>
      </c>
      <c r="AL334" s="5" t="str">
        <f t="shared" si="77"/>
        <v>COA</v>
      </c>
      <c r="AM334" s="5">
        <f>Z10</f>
        <v>0.8</v>
      </c>
    </row>
    <row r="335" spans="1:39" s="5" customFormat="1" x14ac:dyDescent="0.3">
      <c r="C335" s="4" t="s">
        <v>684</v>
      </c>
      <c r="D335" s="5" t="s">
        <v>685</v>
      </c>
      <c r="E335" s="5" t="s">
        <v>768</v>
      </c>
      <c r="F335" s="5" t="s">
        <v>1588</v>
      </c>
      <c r="G335" s="5">
        <v>1</v>
      </c>
      <c r="H335" s="6">
        <f>(IF(SUMIFS('Industrial Summary'!$G:$G,'Industrial Summary'!$F:$F,H$17,'Industrial Summary'!$D:$D,$E335)&gt;0,((-SUMIFS('Industrial Summary'!$G:$G,'Industrial Summary'!$F:$F,H$17,'Industrial Summary'!$D:$D,$E335,'Industrial Summary'!$A:$A,"ELC")+-SUMIFS('Industrial Summary'!$G:$G,'Industrial Summary'!$F:$F,H$17,'Industrial Summary'!$D:$D,"IOTRSTM",'Industrial Summary'!$A:$A,"ELC"))/SUMIFS('Industrial Summary'!$G:$G,'Industrial Summary'!$F:$F,H$17,'Industrial Summary'!$D:$D,$E335)),0))*0.98</f>
        <v>0</v>
      </c>
      <c r="I335" s="6">
        <f>(IF(SUMIFS('Industrial Summary'!$G:$G,'Industrial Summary'!$F:$F,I$17,'Industrial Summary'!$D:$D,$E335)&gt;0,((-SUMIFS('Industrial Summary'!$G:$G,'Industrial Summary'!$F:$F,I$17,'Industrial Summary'!$D:$D,$E335,'Industrial Summary'!$A:$A,"ELC")+-SUMIFS('Industrial Summary'!$G:$G,'Industrial Summary'!$F:$F,I$17,'Industrial Summary'!$D:$D,"IOTRSTM",'Industrial Summary'!$A:$A,"ELC"))/SUMIFS('Industrial Summary'!$G:$G,'Industrial Summary'!$F:$F,I$17,'Industrial Summary'!$D:$D,$E335)),0))*0.98</f>
        <v>-0.11278824238354015</v>
      </c>
      <c r="J335" s="6">
        <f>(IF(SUMIFS('Industrial Summary'!$G:$G,'Industrial Summary'!$F:$F,J$17,'Industrial Summary'!$D:$D,$E335)&gt;0,((-SUMIFS('Industrial Summary'!$G:$G,'Industrial Summary'!$F:$F,J$17,'Industrial Summary'!$D:$D,$E335,'Industrial Summary'!$A:$A,"ELC")+-SUMIFS('Industrial Summary'!$G:$G,'Industrial Summary'!$F:$F,J$17,'Industrial Summary'!$D:$D,"IOTRSTM",'Industrial Summary'!$A:$A,"ELC"))/SUMIFS('Industrial Summary'!$G:$G,'Industrial Summary'!$F:$F,J$17,'Industrial Summary'!$D:$D,$E335)),0))*0.98</f>
        <v>-0.31771013126100356</v>
      </c>
      <c r="K335" s="6">
        <f>(IF(SUMIFS('Industrial Summary'!$G:$G,'Industrial Summary'!$F:$F,K$17,'Industrial Summary'!$D:$D,$E335)&gt;0,((-SUMIFS('Industrial Summary'!$G:$G,'Industrial Summary'!$F:$F,K$17,'Industrial Summary'!$D:$D,$E335,'Industrial Summary'!$A:$A,"ELC")+-SUMIFS('Industrial Summary'!$G:$G,'Industrial Summary'!$F:$F,K$17,'Industrial Summary'!$D:$D,"IOTRSTM",'Industrial Summary'!$A:$A,"ELC"))/SUMIFS('Industrial Summary'!$G:$G,'Industrial Summary'!$F:$F,K$17,'Industrial Summary'!$D:$D,$E335)),0))*0.98</f>
        <v>-0.31852021066651565</v>
      </c>
      <c r="L335" s="6">
        <f>(IF(SUMIFS('Industrial Summary'!$G:$G,'Industrial Summary'!$F:$F,L$17,'Industrial Summary'!$D:$D,$E335)&gt;0,((-SUMIFS('Industrial Summary'!$G:$G,'Industrial Summary'!$F:$F,L$17,'Industrial Summary'!$D:$D,$E335,'Industrial Summary'!$A:$A,"ELC")+-SUMIFS('Industrial Summary'!$G:$G,'Industrial Summary'!$F:$F,L$17,'Industrial Summary'!$D:$D,"IOTRSTM",'Industrial Summary'!$A:$A,"ELC"))/SUMIFS('Industrial Summary'!$G:$G,'Industrial Summary'!$F:$F,L$17,'Industrial Summary'!$D:$D,$E335)),0))*0.98</f>
        <v>-0.16001234200927714</v>
      </c>
      <c r="M335" s="6">
        <f>(IF(SUMIFS('Industrial Summary'!$G:$G,'Industrial Summary'!$F:$F,M$17,'Industrial Summary'!$D:$D,$E335)&gt;0,((-SUMIFS('Industrial Summary'!$G:$G,'Industrial Summary'!$F:$F,M$17,'Industrial Summary'!$D:$D,$E335,'Industrial Summary'!$A:$A,"ELC")+-SUMIFS('Industrial Summary'!$G:$G,'Industrial Summary'!$F:$F,M$17,'Industrial Summary'!$D:$D,"IOTRSTM",'Industrial Summary'!$A:$A,"ELC"))/SUMIFS('Industrial Summary'!$G:$G,'Industrial Summary'!$F:$F,M$17,'Industrial Summary'!$D:$D,$E335)),0))*0.98</f>
        <v>-0.16382661925429731</v>
      </c>
      <c r="N335" s="6">
        <f>(IF(SUMIFS('Industrial Summary'!$G:$G,'Industrial Summary'!$F:$F,N$17,'Industrial Summary'!$D:$D,$E335)&gt;0,((-SUMIFS('Industrial Summary'!$G:$G,'Industrial Summary'!$F:$F,N$17,'Industrial Summary'!$D:$D,$E335,'Industrial Summary'!$A:$A,"ELC")+-SUMIFS('Industrial Summary'!$G:$G,'Industrial Summary'!$F:$F,N$17,'Industrial Summary'!$D:$D,"IOTRSTM",'Industrial Summary'!$A:$A,"ELC"))/SUMIFS('Industrial Summary'!$G:$G,'Industrial Summary'!$F:$F,N$17,'Industrial Summary'!$D:$D,$E335)),0))*0.98</f>
        <v>-0.15488504258710675</v>
      </c>
      <c r="O335" s="6">
        <f>(IF(SUMIFS('Industrial Summary'!$G:$G,'Industrial Summary'!$F:$F,O$17,'Industrial Summary'!$D:$D,$E335)&gt;0,((-SUMIFS('Industrial Summary'!$G:$G,'Industrial Summary'!$F:$F,O$17,'Industrial Summary'!$D:$D,$E335,'Industrial Summary'!$A:$A,"ELC")+-SUMIFS('Industrial Summary'!$G:$G,'Industrial Summary'!$F:$F,O$17,'Industrial Summary'!$D:$D,"IOTRSTM",'Industrial Summary'!$A:$A,"ELC"))/SUMIFS('Industrial Summary'!$G:$G,'Industrial Summary'!$F:$F,O$17,'Industrial Summary'!$D:$D,$E335)),0))*0.98</f>
        <v>-0.22735569761695978</v>
      </c>
      <c r="P335" s="6">
        <f>(IF(SUMIFS('Industrial Summary'!$G:$G,'Industrial Summary'!$F:$F,P$17,'Industrial Summary'!$D:$D,$E335)&gt;0,((-SUMIFS('Industrial Summary'!$G:$G,'Industrial Summary'!$F:$F,P$17,'Industrial Summary'!$D:$D,$E335,'Industrial Summary'!$A:$A,"ELC")+-SUMIFS('Industrial Summary'!$G:$G,'Industrial Summary'!$F:$F,P$17,'Industrial Summary'!$D:$D,"IOTRSTM",'Industrial Summary'!$A:$A,"ELC"))/SUMIFS('Industrial Summary'!$G:$G,'Industrial Summary'!$F:$F,P$17,'Industrial Summary'!$D:$D,$E335)),0))*0.98</f>
        <v>0</v>
      </c>
      <c r="Q335" s="5">
        <v>0</v>
      </c>
      <c r="R335" s="5">
        <v>15</v>
      </c>
      <c r="S335" s="5" t="str">
        <f t="shared" si="63"/>
        <v>UC_IOTOH_ELC</v>
      </c>
      <c r="V335" s="4" t="str">
        <f t="shared" si="64"/>
        <v>S_IOTOHELC</v>
      </c>
      <c r="W335" s="4" t="str">
        <f t="shared" si="65"/>
        <v>IOTOH_ELC</v>
      </c>
      <c r="X335" s="4" t="str">
        <f t="shared" si="66"/>
        <v>IOTOHT</v>
      </c>
      <c r="Y335" s="5" t="str">
        <f t="shared" si="67"/>
        <v>LO</v>
      </c>
      <c r="Z335" s="5">
        <v>1</v>
      </c>
      <c r="AA335" s="6">
        <f t="shared" si="68"/>
        <v>0</v>
      </c>
      <c r="AB335" s="6">
        <f t="shared" si="69"/>
        <v>-0.11278824238354015</v>
      </c>
      <c r="AC335" s="6">
        <f t="shared" si="70"/>
        <v>-0.31771013126100356</v>
      </c>
      <c r="AD335" s="6">
        <f t="shared" si="71"/>
        <v>-0.31852021066651565</v>
      </c>
      <c r="AE335" s="6">
        <f t="shared" si="72"/>
        <v>-0.16001234200927714</v>
      </c>
      <c r="AF335" s="6">
        <f t="shared" si="73"/>
        <v>-0.16382661925429731</v>
      </c>
      <c r="AG335" s="6">
        <f t="shared" si="74"/>
        <v>-0.15488504258710675</v>
      </c>
      <c r="AH335" s="6">
        <f t="shared" si="75"/>
        <v>-0.22735569761695978</v>
      </c>
      <c r="AI335" s="6">
        <f t="shared" si="76"/>
        <v>0</v>
      </c>
      <c r="AL335" s="5" t="str">
        <f t="shared" si="77"/>
        <v>ELC</v>
      </c>
      <c r="AM335" s="5">
        <f>1</f>
        <v>1</v>
      </c>
    </row>
    <row r="336" spans="1:39" s="5" customFormat="1" x14ac:dyDescent="0.3">
      <c r="C336" s="4" t="s">
        <v>686</v>
      </c>
      <c r="D336" s="5" t="s">
        <v>687</v>
      </c>
      <c r="E336" s="5" t="s">
        <v>768</v>
      </c>
      <c r="F336" s="5" t="s">
        <v>1588</v>
      </c>
      <c r="G336" s="5">
        <v>1</v>
      </c>
      <c r="H336" s="6">
        <f>(IF(SUMIFS('Industrial Summary'!$G:$G,'Industrial Summary'!$F:$F,H$17,'Industrial Summary'!$D:$D,$E336)&gt;0,((-SUMIFS('Industrial Summary'!$G:$G,'Industrial Summary'!$F:$F,H$17,'Industrial Summary'!$D:$D,$E336,'Industrial Summary'!$A:$A,"RFL")+-SUMIFS('Industrial Summary'!$G:$G,'Industrial Summary'!$F:$F,H$17,'Industrial Summary'!$D:$D,"IOTRSTM",'Industrial Summary'!$A:$A,"RFL"))/SUMIFS('Industrial Summary'!$G:$G,'Industrial Summary'!$F:$F,H$17,'Industrial Summary'!$D:$D,$E336)),0))*0.98</f>
        <v>0</v>
      </c>
      <c r="I336" s="6">
        <f>(IF(SUMIFS('Industrial Summary'!$G:$G,'Industrial Summary'!$F:$F,I$17,'Industrial Summary'!$D:$D,$E336)&gt;0,((-SUMIFS('Industrial Summary'!$G:$G,'Industrial Summary'!$F:$F,I$17,'Industrial Summary'!$D:$D,$E336,'Industrial Summary'!$A:$A,"RFL")+-SUMIFS('Industrial Summary'!$G:$G,'Industrial Summary'!$F:$F,I$17,'Industrial Summary'!$D:$D,"IOTRSTM",'Industrial Summary'!$A:$A,"RFL"))/SUMIFS('Industrial Summary'!$G:$G,'Industrial Summary'!$F:$F,I$17,'Industrial Summary'!$D:$D,$E336)),0))*0.98</f>
        <v>-1.7519712774695727E-2</v>
      </c>
      <c r="J336" s="6">
        <f>(IF(SUMIFS('Industrial Summary'!$G:$G,'Industrial Summary'!$F:$F,J$17,'Industrial Summary'!$D:$D,$E336)&gt;0,((-SUMIFS('Industrial Summary'!$G:$G,'Industrial Summary'!$F:$F,J$17,'Industrial Summary'!$D:$D,$E336,'Industrial Summary'!$A:$A,"RFL")+-SUMIFS('Industrial Summary'!$G:$G,'Industrial Summary'!$F:$F,J$17,'Industrial Summary'!$D:$D,"IOTRSTM",'Industrial Summary'!$A:$A,"RFL"))/SUMIFS('Industrial Summary'!$G:$G,'Industrial Summary'!$F:$F,J$17,'Industrial Summary'!$D:$D,$E336)),0))*0.98</f>
        <v>0</v>
      </c>
      <c r="K336" s="6">
        <f>(IF(SUMIFS('Industrial Summary'!$G:$G,'Industrial Summary'!$F:$F,K$17,'Industrial Summary'!$D:$D,$E336)&gt;0,((-SUMIFS('Industrial Summary'!$G:$G,'Industrial Summary'!$F:$F,K$17,'Industrial Summary'!$D:$D,$E336,'Industrial Summary'!$A:$A,"RFL")+-SUMIFS('Industrial Summary'!$G:$G,'Industrial Summary'!$F:$F,K$17,'Industrial Summary'!$D:$D,"IOTRSTM",'Industrial Summary'!$A:$A,"RFL"))/SUMIFS('Industrial Summary'!$G:$G,'Industrial Summary'!$F:$F,K$17,'Industrial Summary'!$D:$D,$E336)),0))*0.98</f>
        <v>0</v>
      </c>
      <c r="L336" s="6">
        <f>(IF(SUMIFS('Industrial Summary'!$G:$G,'Industrial Summary'!$F:$F,L$17,'Industrial Summary'!$D:$D,$E336)&gt;0,((-SUMIFS('Industrial Summary'!$G:$G,'Industrial Summary'!$F:$F,L$17,'Industrial Summary'!$D:$D,$E336,'Industrial Summary'!$A:$A,"RFL")+-SUMIFS('Industrial Summary'!$G:$G,'Industrial Summary'!$F:$F,L$17,'Industrial Summary'!$D:$D,"IOTRSTM",'Industrial Summary'!$A:$A,"RFL"))/SUMIFS('Industrial Summary'!$G:$G,'Industrial Summary'!$F:$F,L$17,'Industrial Summary'!$D:$D,$E336)),0))*0.98</f>
        <v>0</v>
      </c>
      <c r="M336" s="6">
        <f>(IF(SUMIFS('Industrial Summary'!$G:$G,'Industrial Summary'!$F:$F,M$17,'Industrial Summary'!$D:$D,$E336)&gt;0,((-SUMIFS('Industrial Summary'!$G:$G,'Industrial Summary'!$F:$F,M$17,'Industrial Summary'!$D:$D,$E336,'Industrial Summary'!$A:$A,"RFL")+-SUMIFS('Industrial Summary'!$G:$G,'Industrial Summary'!$F:$F,M$17,'Industrial Summary'!$D:$D,"IOTRSTM",'Industrial Summary'!$A:$A,"RFL"))/SUMIFS('Industrial Summary'!$G:$G,'Industrial Summary'!$F:$F,M$17,'Industrial Summary'!$D:$D,$E336)),0))*0.98</f>
        <v>0</v>
      </c>
      <c r="N336" s="6">
        <f>(IF(SUMIFS('Industrial Summary'!$G:$G,'Industrial Summary'!$F:$F,N$17,'Industrial Summary'!$D:$D,$E336)&gt;0,((-SUMIFS('Industrial Summary'!$G:$G,'Industrial Summary'!$F:$F,N$17,'Industrial Summary'!$D:$D,$E336,'Industrial Summary'!$A:$A,"RFL")+-SUMIFS('Industrial Summary'!$G:$G,'Industrial Summary'!$F:$F,N$17,'Industrial Summary'!$D:$D,"IOTRSTM",'Industrial Summary'!$A:$A,"RFL"))/SUMIFS('Industrial Summary'!$G:$G,'Industrial Summary'!$F:$F,N$17,'Industrial Summary'!$D:$D,$E336)),0))*0.98</f>
        <v>-5.1480127712738889E-3</v>
      </c>
      <c r="O336" s="6">
        <f>(IF(SUMIFS('Industrial Summary'!$G:$G,'Industrial Summary'!$F:$F,O$17,'Industrial Summary'!$D:$D,$E336)&gt;0,((-SUMIFS('Industrial Summary'!$G:$G,'Industrial Summary'!$F:$F,O$17,'Industrial Summary'!$D:$D,$E336,'Industrial Summary'!$A:$A,"RFL")+-SUMIFS('Industrial Summary'!$G:$G,'Industrial Summary'!$F:$F,O$17,'Industrial Summary'!$D:$D,"IOTRSTM",'Industrial Summary'!$A:$A,"RFL"))/SUMIFS('Industrial Summary'!$G:$G,'Industrial Summary'!$F:$F,O$17,'Industrial Summary'!$D:$D,$E336)),0))*0.98</f>
        <v>0</v>
      </c>
      <c r="P336" s="6">
        <f>(IF(SUMIFS('Industrial Summary'!$G:$G,'Industrial Summary'!$F:$F,P$17,'Industrial Summary'!$D:$D,$E336)&gt;0,((-SUMIFS('Industrial Summary'!$G:$G,'Industrial Summary'!$F:$F,P$17,'Industrial Summary'!$D:$D,$E336,'Industrial Summary'!$A:$A,"RFL")+-SUMIFS('Industrial Summary'!$G:$G,'Industrial Summary'!$F:$F,P$17,'Industrial Summary'!$D:$D,"IOTRSTM",'Industrial Summary'!$A:$A,"RFL"))/SUMIFS('Industrial Summary'!$G:$G,'Industrial Summary'!$F:$F,P$17,'Industrial Summary'!$D:$D,$E336)),0))*0.98</f>
        <v>0</v>
      </c>
      <c r="Q336" s="5">
        <v>0</v>
      </c>
      <c r="R336" s="5">
        <v>15</v>
      </c>
      <c r="S336" s="5" t="str">
        <f t="shared" si="63"/>
        <v>UC_IOTOH_RFL</v>
      </c>
      <c r="V336" s="4" t="str">
        <f t="shared" si="64"/>
        <v>S_IOTOHRFL</v>
      </c>
      <c r="W336" s="4" t="str">
        <f t="shared" si="65"/>
        <v>IOTOH_RFL</v>
      </c>
      <c r="X336" s="4" t="str">
        <f t="shared" si="66"/>
        <v>IOTOHT</v>
      </c>
      <c r="Y336" s="5" t="str">
        <f t="shared" si="67"/>
        <v>LO</v>
      </c>
      <c r="Z336" s="5">
        <v>1</v>
      </c>
      <c r="AA336" s="6">
        <f t="shared" si="68"/>
        <v>0</v>
      </c>
      <c r="AB336" s="6">
        <f t="shared" si="69"/>
        <v>-1.7519712774695727E-2</v>
      </c>
      <c r="AC336" s="6">
        <f t="shared" si="70"/>
        <v>0</v>
      </c>
      <c r="AD336" s="6">
        <f t="shared" si="71"/>
        <v>0</v>
      </c>
      <c r="AE336" s="6">
        <f t="shared" si="72"/>
        <v>0</v>
      </c>
      <c r="AF336" s="6">
        <f t="shared" si="73"/>
        <v>0</v>
      </c>
      <c r="AG336" s="6">
        <f t="shared" si="74"/>
        <v>-5.1480127712738889E-3</v>
      </c>
      <c r="AH336" s="6">
        <f t="shared" si="75"/>
        <v>0</v>
      </c>
      <c r="AI336" s="6">
        <f t="shared" si="76"/>
        <v>0</v>
      </c>
      <c r="AL336" s="5" t="str">
        <f t="shared" si="77"/>
        <v>RFL</v>
      </c>
      <c r="AM336" s="5">
        <f>1</f>
        <v>1</v>
      </c>
    </row>
    <row r="337" spans="1:39" s="5" customFormat="1" x14ac:dyDescent="0.3">
      <c r="C337" s="4" t="s">
        <v>688</v>
      </c>
      <c r="D337" s="5" t="s">
        <v>689</v>
      </c>
      <c r="E337" s="5" t="s">
        <v>768</v>
      </c>
      <c r="F337" s="5" t="s">
        <v>1588</v>
      </c>
      <c r="G337" s="5">
        <v>1</v>
      </c>
      <c r="H337" s="6">
        <f>(IF(SUMIFS('Industrial Summary'!$G:$G,'Industrial Summary'!$F:$F,H$17,'Industrial Summary'!$D:$D,$E337)&gt;0,((-SUMIFS('Industrial Summary'!$G:$G,'Industrial Summary'!$F:$F,H$17,'Industrial Summary'!$D:$D,$E337,'Industrial Summary'!$A:$A,"DST")+-SUMIFS('Industrial Summary'!$G:$G,'Industrial Summary'!$F:$F,H$17,'Industrial Summary'!$D:$D,"IOTRSTM",'Industrial Summary'!$A:$A,"DST"))/SUMIFS('Industrial Summary'!$G:$G,'Industrial Summary'!$F:$F,H$17,'Industrial Summary'!$D:$D,$E337)),0))*0.98</f>
        <v>0</v>
      </c>
      <c r="I337" s="6">
        <f>(IF(SUMIFS('Industrial Summary'!$G:$G,'Industrial Summary'!$F:$F,I$17,'Industrial Summary'!$D:$D,$E337)&gt;0,((-SUMIFS('Industrial Summary'!$G:$G,'Industrial Summary'!$F:$F,I$17,'Industrial Summary'!$D:$D,$E337,'Industrial Summary'!$A:$A,"DST")+-SUMIFS('Industrial Summary'!$G:$G,'Industrial Summary'!$F:$F,I$17,'Industrial Summary'!$D:$D,"IOTRSTM",'Industrial Summary'!$A:$A,"DST"))/SUMIFS('Industrial Summary'!$G:$G,'Industrial Summary'!$F:$F,I$17,'Industrial Summary'!$D:$D,$E337)),0))*0.98</f>
        <v>-7.2154503440880965E-3</v>
      </c>
      <c r="J337" s="6">
        <f>(IF(SUMIFS('Industrial Summary'!$G:$G,'Industrial Summary'!$F:$F,J$17,'Industrial Summary'!$D:$D,$E337)&gt;0,((-SUMIFS('Industrial Summary'!$G:$G,'Industrial Summary'!$F:$F,J$17,'Industrial Summary'!$D:$D,$E337,'Industrial Summary'!$A:$A,"DST")+-SUMIFS('Industrial Summary'!$G:$G,'Industrial Summary'!$F:$F,J$17,'Industrial Summary'!$D:$D,"IOTRSTM",'Industrial Summary'!$A:$A,"DST"))/SUMIFS('Industrial Summary'!$G:$G,'Industrial Summary'!$F:$F,J$17,'Industrial Summary'!$D:$D,$E337)),0))*0.98</f>
        <v>0</v>
      </c>
      <c r="K337" s="6">
        <f>(IF(SUMIFS('Industrial Summary'!$G:$G,'Industrial Summary'!$F:$F,K$17,'Industrial Summary'!$D:$D,$E337)&gt;0,((-SUMIFS('Industrial Summary'!$G:$G,'Industrial Summary'!$F:$F,K$17,'Industrial Summary'!$D:$D,$E337,'Industrial Summary'!$A:$A,"DST")+-SUMIFS('Industrial Summary'!$G:$G,'Industrial Summary'!$F:$F,K$17,'Industrial Summary'!$D:$D,"IOTRSTM",'Industrial Summary'!$A:$A,"DST"))/SUMIFS('Industrial Summary'!$G:$G,'Industrial Summary'!$F:$F,K$17,'Industrial Summary'!$D:$D,$E337)),0))*0.98</f>
        <v>-6.2423087222260136E-3</v>
      </c>
      <c r="L337" s="6">
        <f>(IF(SUMIFS('Industrial Summary'!$G:$G,'Industrial Summary'!$F:$F,L$17,'Industrial Summary'!$D:$D,$E337)&gt;0,((-SUMIFS('Industrial Summary'!$G:$G,'Industrial Summary'!$F:$F,L$17,'Industrial Summary'!$D:$D,$E337,'Industrial Summary'!$A:$A,"DST")+-SUMIFS('Industrial Summary'!$G:$G,'Industrial Summary'!$F:$F,L$17,'Industrial Summary'!$D:$D,"IOTRSTM",'Industrial Summary'!$A:$A,"DST"))/SUMIFS('Industrial Summary'!$G:$G,'Industrial Summary'!$F:$F,L$17,'Industrial Summary'!$D:$D,$E337)),0))*0.98</f>
        <v>0</v>
      </c>
      <c r="M337" s="6">
        <f>(IF(SUMIFS('Industrial Summary'!$G:$G,'Industrial Summary'!$F:$F,M$17,'Industrial Summary'!$D:$D,$E337)&gt;0,((-SUMIFS('Industrial Summary'!$G:$G,'Industrial Summary'!$F:$F,M$17,'Industrial Summary'!$D:$D,$E337,'Industrial Summary'!$A:$A,"DST")+-SUMIFS('Industrial Summary'!$G:$G,'Industrial Summary'!$F:$F,M$17,'Industrial Summary'!$D:$D,"IOTRSTM",'Industrial Summary'!$A:$A,"DST"))/SUMIFS('Industrial Summary'!$G:$G,'Industrial Summary'!$F:$F,M$17,'Industrial Summary'!$D:$D,$E337)),0))*0.98</f>
        <v>0</v>
      </c>
      <c r="N337" s="6">
        <f>(IF(SUMIFS('Industrial Summary'!$G:$G,'Industrial Summary'!$F:$F,N$17,'Industrial Summary'!$D:$D,$E337)&gt;0,((-SUMIFS('Industrial Summary'!$G:$G,'Industrial Summary'!$F:$F,N$17,'Industrial Summary'!$D:$D,$E337,'Industrial Summary'!$A:$A,"DST")+-SUMIFS('Industrial Summary'!$G:$G,'Industrial Summary'!$F:$F,N$17,'Industrial Summary'!$D:$D,"IOTRSTM",'Industrial Summary'!$A:$A,"DST"))/SUMIFS('Industrial Summary'!$G:$G,'Industrial Summary'!$F:$F,N$17,'Industrial Summary'!$D:$D,$E337)),0))*0.98</f>
        <v>0</v>
      </c>
      <c r="O337" s="6">
        <f>(IF(SUMIFS('Industrial Summary'!$G:$G,'Industrial Summary'!$F:$F,O$17,'Industrial Summary'!$D:$D,$E337)&gt;0,((-SUMIFS('Industrial Summary'!$G:$G,'Industrial Summary'!$F:$F,O$17,'Industrial Summary'!$D:$D,$E337,'Industrial Summary'!$A:$A,"DST")+-SUMIFS('Industrial Summary'!$G:$G,'Industrial Summary'!$F:$F,O$17,'Industrial Summary'!$D:$D,"IOTRSTM",'Industrial Summary'!$A:$A,"DST"))/SUMIFS('Industrial Summary'!$G:$G,'Industrial Summary'!$F:$F,O$17,'Industrial Summary'!$D:$D,$E337)),0))*0.98</f>
        <v>0</v>
      </c>
      <c r="P337" s="6">
        <f>(IF(SUMIFS('Industrial Summary'!$G:$G,'Industrial Summary'!$F:$F,P$17,'Industrial Summary'!$D:$D,$E337)&gt;0,((-SUMIFS('Industrial Summary'!$G:$G,'Industrial Summary'!$F:$F,P$17,'Industrial Summary'!$D:$D,$E337,'Industrial Summary'!$A:$A,"DST")+-SUMIFS('Industrial Summary'!$G:$G,'Industrial Summary'!$F:$F,P$17,'Industrial Summary'!$D:$D,"IOTRSTM",'Industrial Summary'!$A:$A,"DST"))/SUMIFS('Industrial Summary'!$G:$G,'Industrial Summary'!$F:$F,P$17,'Industrial Summary'!$D:$D,$E337)),0))*0.98</f>
        <v>0</v>
      </c>
      <c r="Q337" s="5">
        <v>0</v>
      </c>
      <c r="R337" s="5">
        <v>15</v>
      </c>
      <c r="S337" s="5" t="str">
        <f t="shared" si="63"/>
        <v>UC_IOTOH_DST</v>
      </c>
      <c r="V337" s="4" t="str">
        <f t="shared" si="64"/>
        <v>S_IOTOHDST</v>
      </c>
      <c r="W337" s="4" t="str">
        <f t="shared" si="65"/>
        <v>IOTOH_DST</v>
      </c>
      <c r="X337" s="4" t="str">
        <f t="shared" si="66"/>
        <v>IOTOHT</v>
      </c>
      <c r="Y337" s="5" t="str">
        <f t="shared" si="67"/>
        <v>LO</v>
      </c>
      <c r="Z337" s="5">
        <v>1</v>
      </c>
      <c r="AA337" s="6">
        <f t="shared" si="68"/>
        <v>0</v>
      </c>
      <c r="AB337" s="6">
        <f t="shared" si="69"/>
        <v>-7.2154503440880965E-3</v>
      </c>
      <c r="AC337" s="6">
        <f t="shared" si="70"/>
        <v>0</v>
      </c>
      <c r="AD337" s="6">
        <f t="shared" si="71"/>
        <v>-6.2423087222260136E-3</v>
      </c>
      <c r="AE337" s="6">
        <f t="shared" si="72"/>
        <v>0</v>
      </c>
      <c r="AF337" s="6">
        <f t="shared" si="73"/>
        <v>0</v>
      </c>
      <c r="AG337" s="6">
        <f t="shared" si="74"/>
        <v>0</v>
      </c>
      <c r="AH337" s="6">
        <f t="shared" si="75"/>
        <v>0</v>
      </c>
      <c r="AI337" s="6">
        <f t="shared" si="76"/>
        <v>0</v>
      </c>
      <c r="AL337" s="5" t="str">
        <f t="shared" si="77"/>
        <v>DST</v>
      </c>
      <c r="AM337" s="5">
        <f>1</f>
        <v>1</v>
      </c>
    </row>
    <row r="338" spans="1:39" s="5" customFormat="1" x14ac:dyDescent="0.3">
      <c r="C338" s="4" t="s">
        <v>690</v>
      </c>
      <c r="D338" s="5" t="s">
        <v>691</v>
      </c>
      <c r="E338" s="5" t="s">
        <v>768</v>
      </c>
      <c r="F338" s="5" t="s">
        <v>1588</v>
      </c>
      <c r="G338" s="5">
        <v>1</v>
      </c>
      <c r="H338" s="6">
        <f>(IF(SUMIFS('Industrial Summary'!$G:$G,'Industrial Summary'!$F:$F,H$17,'Industrial Summary'!$D:$D,$E338)&gt;0,((-SUMIFS('Industrial Summary'!$G:$G,'Industrial Summary'!$F:$F,H$17,'Industrial Summary'!$D:$D,$E338,'Industrial Summary'!$A:$A,"NGA")+-SUMIFS('Industrial Summary'!$G:$G,'Industrial Summary'!$F:$F,H$17,'Industrial Summary'!$D:$D,"IOTRSTM",'Industrial Summary'!$A:$A,"NGA"))/SUMIFS('Industrial Summary'!$G:$G,'Industrial Summary'!$F:$F,H$17,'Industrial Summary'!$D:$D,$E338)),0))*0.98</f>
        <v>0</v>
      </c>
      <c r="I338" s="6">
        <f>(IF(SUMIFS('Industrial Summary'!$G:$G,'Industrial Summary'!$F:$F,I$17,'Industrial Summary'!$D:$D,$E338)&gt;0,((-SUMIFS('Industrial Summary'!$G:$G,'Industrial Summary'!$F:$F,I$17,'Industrial Summary'!$D:$D,$E338,'Industrial Summary'!$A:$A,"NGA")+-SUMIFS('Industrial Summary'!$G:$G,'Industrial Summary'!$F:$F,I$17,'Industrial Summary'!$D:$D,"IOTRSTM",'Industrial Summary'!$A:$A,"NGA"))/SUMIFS('Industrial Summary'!$G:$G,'Industrial Summary'!$F:$F,I$17,'Industrial Summary'!$D:$D,$E338)),0))*0.98</f>
        <v>-0.1235880454617253</v>
      </c>
      <c r="J338" s="6">
        <f>(IF(SUMIFS('Industrial Summary'!$G:$G,'Industrial Summary'!$F:$F,J$17,'Industrial Summary'!$D:$D,$E338)&gt;0,((-SUMIFS('Industrial Summary'!$G:$G,'Industrial Summary'!$F:$F,J$17,'Industrial Summary'!$D:$D,$E338,'Industrial Summary'!$A:$A,"NGA")+-SUMIFS('Industrial Summary'!$G:$G,'Industrial Summary'!$F:$F,J$17,'Industrial Summary'!$D:$D,"IOTRSTM",'Industrial Summary'!$A:$A,"NGA"))/SUMIFS('Industrial Summary'!$G:$G,'Industrial Summary'!$F:$F,J$17,'Industrial Summary'!$D:$D,$E338)),0))*0.98</f>
        <v>-0.36941955260650333</v>
      </c>
      <c r="K338" s="6">
        <f>(IF(SUMIFS('Industrial Summary'!$G:$G,'Industrial Summary'!$F:$F,K$17,'Industrial Summary'!$D:$D,$E338)&gt;0,((-SUMIFS('Industrial Summary'!$G:$G,'Industrial Summary'!$F:$F,K$17,'Industrial Summary'!$D:$D,$E338,'Industrial Summary'!$A:$A,"NGA")+-SUMIFS('Industrial Summary'!$G:$G,'Industrial Summary'!$F:$F,K$17,'Industrial Summary'!$D:$D,"IOTRSTM",'Industrial Summary'!$A:$A,"NGA"))/SUMIFS('Industrial Summary'!$G:$G,'Industrial Summary'!$F:$F,K$17,'Industrial Summary'!$D:$D,$E338)),0))*0.98</f>
        <v>-0.3703614777833058</v>
      </c>
      <c r="L338" s="6">
        <f>(IF(SUMIFS('Industrial Summary'!$G:$G,'Industrial Summary'!$F:$F,L$17,'Industrial Summary'!$D:$D,$E338)&gt;0,((-SUMIFS('Industrial Summary'!$G:$G,'Industrial Summary'!$F:$F,L$17,'Industrial Summary'!$D:$D,$E338,'Industrial Summary'!$A:$A,"NGA")+-SUMIFS('Industrial Summary'!$G:$G,'Industrial Summary'!$F:$F,L$17,'Industrial Summary'!$D:$D,"IOTRSTM",'Industrial Summary'!$A:$A,"NGA"))/SUMIFS('Industrial Summary'!$G:$G,'Industrial Summary'!$F:$F,L$17,'Industrial Summary'!$D:$D,$E338)),0))*0.98</f>
        <v>-0.12944158547635201</v>
      </c>
      <c r="M338" s="6">
        <f>(IF(SUMIFS('Industrial Summary'!$G:$G,'Industrial Summary'!$F:$F,M$17,'Industrial Summary'!$D:$D,$E338)&gt;0,((-SUMIFS('Industrial Summary'!$G:$G,'Industrial Summary'!$F:$F,M$17,'Industrial Summary'!$D:$D,$E338,'Industrial Summary'!$A:$A,"NGA")+-SUMIFS('Industrial Summary'!$G:$G,'Industrial Summary'!$F:$F,M$17,'Industrial Summary'!$D:$D,"IOTRSTM",'Industrial Summary'!$A:$A,"NGA"))/SUMIFS('Industrial Summary'!$G:$G,'Industrial Summary'!$F:$F,M$17,'Industrial Summary'!$D:$D,$E338)),0))*0.98</f>
        <v>-0.13252713555231571</v>
      </c>
      <c r="N338" s="6">
        <f>(IF(SUMIFS('Industrial Summary'!$G:$G,'Industrial Summary'!$F:$F,N$17,'Industrial Summary'!$D:$D,$E338)&gt;0,((-SUMIFS('Industrial Summary'!$G:$G,'Industrial Summary'!$F:$F,N$17,'Industrial Summary'!$D:$D,$E338,'Industrial Summary'!$A:$A,"NGA")+-SUMIFS('Industrial Summary'!$G:$G,'Industrial Summary'!$F:$F,N$17,'Industrial Summary'!$D:$D,"IOTRSTM",'Industrial Summary'!$A:$A,"NGA"))/SUMIFS('Industrial Summary'!$G:$G,'Industrial Summary'!$F:$F,N$17,'Industrial Summary'!$D:$D,$E338)),0))*0.98</f>
        <v>-0.12529386938093215</v>
      </c>
      <c r="O338" s="6">
        <f>(IF(SUMIFS('Industrial Summary'!$G:$G,'Industrial Summary'!$F:$F,O$17,'Industrial Summary'!$D:$D,$E338)&gt;0,((-SUMIFS('Industrial Summary'!$G:$G,'Industrial Summary'!$F:$F,O$17,'Industrial Summary'!$D:$D,$E338,'Industrial Summary'!$A:$A,"NGA")+-SUMIFS('Industrial Summary'!$G:$G,'Industrial Summary'!$F:$F,O$17,'Industrial Summary'!$D:$D,"IOTRSTM",'Industrial Summary'!$A:$A,"NGA"))/SUMIFS('Industrial Summary'!$G:$G,'Industrial Summary'!$F:$F,O$17,'Industrial Summary'!$D:$D,$E338)),0))*0.98</f>
        <v>0</v>
      </c>
      <c r="P338" s="6">
        <f>(IF(SUMIFS('Industrial Summary'!$G:$G,'Industrial Summary'!$F:$F,P$17,'Industrial Summary'!$D:$D,$E338)&gt;0,((-SUMIFS('Industrial Summary'!$G:$G,'Industrial Summary'!$F:$F,P$17,'Industrial Summary'!$D:$D,$E338,'Industrial Summary'!$A:$A,"NGA")+-SUMIFS('Industrial Summary'!$G:$G,'Industrial Summary'!$F:$F,P$17,'Industrial Summary'!$D:$D,"IOTRSTM",'Industrial Summary'!$A:$A,"NGA"))/SUMIFS('Industrial Summary'!$G:$G,'Industrial Summary'!$F:$F,P$17,'Industrial Summary'!$D:$D,$E338)),0))*0.98</f>
        <v>0</v>
      </c>
      <c r="Q338" s="5">
        <v>0</v>
      </c>
      <c r="R338" s="5">
        <v>15</v>
      </c>
      <c r="S338" s="5" t="str">
        <f t="shared" ref="S338:S347" si="78">_xlfn.CONCAT("UC_",D338)</f>
        <v>UC_IOTOH_NGA</v>
      </c>
      <c r="V338" s="4" t="str">
        <f t="shared" si="64"/>
        <v>S_IOTOHNGA</v>
      </c>
      <c r="W338" s="4" t="str">
        <f t="shared" si="65"/>
        <v>IOTOH_NGA</v>
      </c>
      <c r="X338" s="4" t="str">
        <f t="shared" si="66"/>
        <v>IOTOHT</v>
      </c>
      <c r="Y338" s="5" t="str">
        <f t="shared" si="67"/>
        <v>LO</v>
      </c>
      <c r="Z338" s="5">
        <v>1</v>
      </c>
      <c r="AA338" s="6">
        <f t="shared" si="68"/>
        <v>0</v>
      </c>
      <c r="AB338" s="6">
        <f t="shared" si="69"/>
        <v>-9.8870436369380255E-2</v>
      </c>
      <c r="AC338" s="6">
        <f t="shared" si="70"/>
        <v>-0.29553564208520267</v>
      </c>
      <c r="AD338" s="6">
        <f t="shared" si="71"/>
        <v>-0.29628918222664463</v>
      </c>
      <c r="AE338" s="6">
        <f t="shared" si="72"/>
        <v>-0.10355326838108161</v>
      </c>
      <c r="AF338" s="6">
        <f t="shared" si="73"/>
        <v>-0.10602170844185257</v>
      </c>
      <c r="AG338" s="6">
        <f t="shared" si="74"/>
        <v>-0.10023509550474573</v>
      </c>
      <c r="AH338" s="6">
        <f t="shared" si="75"/>
        <v>0</v>
      </c>
      <c r="AI338" s="6">
        <f t="shared" si="76"/>
        <v>0</v>
      </c>
      <c r="AL338" s="5" t="str">
        <f t="shared" si="77"/>
        <v>NGA</v>
      </c>
      <c r="AM338" s="5">
        <f>Y10</f>
        <v>0.8</v>
      </c>
    </row>
    <row r="339" spans="1:39" s="5" customFormat="1" x14ac:dyDescent="0.3">
      <c r="C339" s="4" t="s">
        <v>692</v>
      </c>
      <c r="D339" s="5" t="s">
        <v>693</v>
      </c>
      <c r="E339" s="5" t="s">
        <v>768</v>
      </c>
      <c r="F339" s="5" t="s">
        <v>1588</v>
      </c>
      <c r="G339" s="5">
        <v>1</v>
      </c>
      <c r="H339" s="6">
        <f>(IF(SUMIFS('Industrial Summary'!$G:$G,'Industrial Summary'!$F:$F,H$17,'Industrial Summary'!$D:$D,$E339)&gt;0,((-SUMIFS('Industrial Summary'!$G:$G,'Industrial Summary'!$F:$F,H$17,'Industrial Summary'!$D:$D,$E339,'Industrial Summary'!$A:$A,"LPG")+-SUMIFS('Industrial Summary'!$G:$G,'Industrial Summary'!$F:$F,H$17,'Industrial Summary'!$D:$D,"IOTRSTM",'Industrial Summary'!$A:$A,"LPG"))/SUMIFS('Industrial Summary'!$G:$G,'Industrial Summary'!$F:$F,H$17,'Industrial Summary'!$D:$D,$E339)),0))*0.98</f>
        <v>0</v>
      </c>
      <c r="I339" s="6">
        <f>(IF(SUMIFS('Industrial Summary'!$G:$G,'Industrial Summary'!$F:$F,I$17,'Industrial Summary'!$D:$D,$E339)&gt;0,((-SUMIFS('Industrial Summary'!$G:$G,'Industrial Summary'!$F:$F,I$17,'Industrial Summary'!$D:$D,$E339,'Industrial Summary'!$A:$A,"LPG")+-SUMIFS('Industrial Summary'!$G:$G,'Industrial Summary'!$F:$F,I$17,'Industrial Summary'!$D:$D,"IOTRSTM",'Industrial Summary'!$A:$A,"LPG"))/SUMIFS('Industrial Summary'!$G:$G,'Industrial Summary'!$F:$F,I$17,'Industrial Summary'!$D:$D,$E339)),0))*0.98</f>
        <v>-4.0721425504236007E-3</v>
      </c>
      <c r="J339" s="6">
        <f>(IF(SUMIFS('Industrial Summary'!$G:$G,'Industrial Summary'!$F:$F,J$17,'Industrial Summary'!$D:$D,$E339)&gt;0,((-SUMIFS('Industrial Summary'!$G:$G,'Industrial Summary'!$F:$F,J$17,'Industrial Summary'!$D:$D,$E339,'Industrial Summary'!$A:$A,"LPG")+-SUMIFS('Industrial Summary'!$G:$G,'Industrial Summary'!$F:$F,J$17,'Industrial Summary'!$D:$D,"IOTRSTM",'Industrial Summary'!$A:$A,"LPG"))/SUMIFS('Industrial Summary'!$G:$G,'Industrial Summary'!$F:$F,J$17,'Industrial Summary'!$D:$D,$E339)),0))*0.98</f>
        <v>0</v>
      </c>
      <c r="K339" s="6">
        <f>(IF(SUMIFS('Industrial Summary'!$G:$G,'Industrial Summary'!$F:$F,K$17,'Industrial Summary'!$D:$D,$E339)&gt;0,((-SUMIFS('Industrial Summary'!$G:$G,'Industrial Summary'!$F:$F,K$17,'Industrial Summary'!$D:$D,$E339,'Industrial Summary'!$A:$A,"LPG")+-SUMIFS('Industrial Summary'!$G:$G,'Industrial Summary'!$F:$F,K$17,'Industrial Summary'!$D:$D,"IOTRSTM",'Industrial Summary'!$A:$A,"LPG"))/SUMIFS('Industrial Summary'!$G:$G,'Industrial Summary'!$F:$F,K$17,'Industrial Summary'!$D:$D,$E339)),0))*0.98</f>
        <v>-2.6967141074210912E-2</v>
      </c>
      <c r="L339" s="6">
        <f>(IF(SUMIFS('Industrial Summary'!$G:$G,'Industrial Summary'!$F:$F,L$17,'Industrial Summary'!$D:$D,$E339)&gt;0,((-SUMIFS('Industrial Summary'!$G:$G,'Industrial Summary'!$F:$F,L$17,'Industrial Summary'!$D:$D,$E339,'Industrial Summary'!$A:$A,"LPG")+-SUMIFS('Industrial Summary'!$G:$G,'Industrial Summary'!$F:$F,L$17,'Industrial Summary'!$D:$D,"IOTRSTM",'Industrial Summary'!$A:$A,"LPG"))/SUMIFS('Industrial Summary'!$G:$G,'Industrial Summary'!$F:$F,L$17,'Industrial Summary'!$D:$D,$E339)),0))*0.98</f>
        <v>0</v>
      </c>
      <c r="M339" s="6">
        <f>(IF(SUMIFS('Industrial Summary'!$G:$G,'Industrial Summary'!$F:$F,M$17,'Industrial Summary'!$D:$D,$E339)&gt;0,((-SUMIFS('Industrial Summary'!$G:$G,'Industrial Summary'!$F:$F,M$17,'Industrial Summary'!$D:$D,$E339,'Industrial Summary'!$A:$A,"LPG")+-SUMIFS('Industrial Summary'!$G:$G,'Industrial Summary'!$F:$F,M$17,'Industrial Summary'!$D:$D,"IOTRSTM",'Industrial Summary'!$A:$A,"LPG"))/SUMIFS('Industrial Summary'!$G:$G,'Industrial Summary'!$F:$F,M$17,'Industrial Summary'!$D:$D,$E339)),0))*0.98</f>
        <v>0</v>
      </c>
      <c r="N339" s="6">
        <f>(IF(SUMIFS('Industrial Summary'!$G:$G,'Industrial Summary'!$F:$F,N$17,'Industrial Summary'!$D:$D,$E339)&gt;0,((-SUMIFS('Industrial Summary'!$G:$G,'Industrial Summary'!$F:$F,N$17,'Industrial Summary'!$D:$D,$E339,'Industrial Summary'!$A:$A,"LPG")+-SUMIFS('Industrial Summary'!$G:$G,'Industrial Summary'!$F:$F,N$17,'Industrial Summary'!$D:$D,"IOTRSTM",'Industrial Summary'!$A:$A,"LPG"))/SUMIFS('Industrial Summary'!$G:$G,'Industrial Summary'!$F:$F,N$17,'Industrial Summary'!$D:$D,$E339)),0))*0.98</f>
        <v>0</v>
      </c>
      <c r="O339" s="6">
        <f>(IF(SUMIFS('Industrial Summary'!$G:$G,'Industrial Summary'!$F:$F,O$17,'Industrial Summary'!$D:$D,$E339)&gt;0,((-SUMIFS('Industrial Summary'!$G:$G,'Industrial Summary'!$F:$F,O$17,'Industrial Summary'!$D:$D,$E339,'Industrial Summary'!$A:$A,"LPG")+-SUMIFS('Industrial Summary'!$G:$G,'Industrial Summary'!$F:$F,O$17,'Industrial Summary'!$D:$D,"IOTRSTM",'Industrial Summary'!$A:$A,"LPG"))/SUMIFS('Industrial Summary'!$G:$G,'Industrial Summary'!$F:$F,O$17,'Industrial Summary'!$D:$D,$E339)),0))*0.98</f>
        <v>0</v>
      </c>
      <c r="P339" s="6">
        <f>(IF(SUMIFS('Industrial Summary'!$G:$G,'Industrial Summary'!$F:$F,P$17,'Industrial Summary'!$D:$D,$E339)&gt;0,((-SUMIFS('Industrial Summary'!$G:$G,'Industrial Summary'!$F:$F,P$17,'Industrial Summary'!$D:$D,$E339,'Industrial Summary'!$A:$A,"LPG")+-SUMIFS('Industrial Summary'!$G:$G,'Industrial Summary'!$F:$F,P$17,'Industrial Summary'!$D:$D,"IOTRSTM",'Industrial Summary'!$A:$A,"LPG"))/SUMIFS('Industrial Summary'!$G:$G,'Industrial Summary'!$F:$F,P$17,'Industrial Summary'!$D:$D,$E339)),0))*0.98</f>
        <v>0</v>
      </c>
      <c r="Q339" s="5">
        <v>0</v>
      </c>
      <c r="R339" s="5">
        <v>15</v>
      </c>
      <c r="S339" s="5" t="str">
        <f t="shared" si="78"/>
        <v>UC_IOTOH_LPG</v>
      </c>
      <c r="V339" s="4" t="str">
        <f t="shared" si="64"/>
        <v>S_IOTOHLPG</v>
      </c>
      <c r="W339" s="4" t="str">
        <f t="shared" si="65"/>
        <v>IOTOH_LPG</v>
      </c>
      <c r="X339" s="4" t="str">
        <f t="shared" si="66"/>
        <v>IOTOHT</v>
      </c>
      <c r="Y339" s="5" t="str">
        <f t="shared" ref="Y339:Y347" si="79">F339</f>
        <v>LO</v>
      </c>
      <c r="Z339" s="5">
        <v>1</v>
      </c>
      <c r="AA339" s="6">
        <f t="shared" ref="AA339:AA373" si="80">H339*$AM339</f>
        <v>0</v>
      </c>
      <c r="AB339" s="6">
        <f t="shared" ref="AB339:AB373" si="81">I339*$AM339</f>
        <v>-4.0721425504236007E-3</v>
      </c>
      <c r="AC339" s="6">
        <f t="shared" ref="AC339:AC373" si="82">J339*$AM339</f>
        <v>0</v>
      </c>
      <c r="AD339" s="6">
        <f t="shared" ref="AD339:AD373" si="83">K339*$AM339</f>
        <v>-2.6967141074210912E-2</v>
      </c>
      <c r="AE339" s="6">
        <f t="shared" ref="AE339:AE373" si="84">L339*$AM339</f>
        <v>0</v>
      </c>
      <c r="AF339" s="6">
        <f t="shared" ref="AF339:AF373" si="85">M339*$AM339</f>
        <v>0</v>
      </c>
      <c r="AG339" s="6">
        <f t="shared" ref="AG339:AG373" si="86">N339*$AM339</f>
        <v>0</v>
      </c>
      <c r="AH339" s="6">
        <f t="shared" ref="AH339:AH373" si="87">O339*$AM339</f>
        <v>0</v>
      </c>
      <c r="AI339" s="6">
        <f t="shared" ref="AI339:AI373" si="88">P339*$AM339</f>
        <v>0</v>
      </c>
      <c r="AL339" s="5" t="str">
        <f t="shared" ref="AL339:AL373" si="89">RIGHT(W339,3)</f>
        <v>LPG</v>
      </c>
      <c r="AM339" s="5">
        <f>1</f>
        <v>1</v>
      </c>
    </row>
    <row r="340" spans="1:39" s="5" customFormat="1" x14ac:dyDescent="0.3">
      <c r="C340" s="4" t="s">
        <v>694</v>
      </c>
      <c r="D340" s="5" t="s">
        <v>695</v>
      </c>
      <c r="E340" s="5" t="s">
        <v>768</v>
      </c>
      <c r="F340" s="5" t="s">
        <v>1588</v>
      </c>
      <c r="G340" s="5">
        <v>1</v>
      </c>
      <c r="H340" s="6">
        <f>(IF(SUMIFS('Industrial Summary'!$G:$G,'Industrial Summary'!$F:$F,H$17,'Industrial Summary'!$D:$D,$E340)&gt;0,((-SUMIFS('Industrial Summary'!$G:$G,'Industrial Summary'!$F:$F,H$17,'Industrial Summary'!$D:$D,$E340,'Industrial Summary'!$A:$A,"BIO")+-SUMIFS('Industrial Summary'!$G:$G,'Industrial Summary'!$F:$F,H$17,'Industrial Summary'!$D:$D,"IOTRSTM",'Industrial Summary'!$A:$A,"BIO")+-SUMIFS('Industrial Summary'!$G:$G,'Industrial Summary'!$F:$F,H$17,'Industrial Summary'!$D:$D,"IOTOSTM",'Industrial Summary'!$A:$A,"WOD"))/SUMIFS('Industrial Summary'!$G:$G,'Industrial Summary'!$F:$F,H$17,'Industrial Summary'!$D:$D,$E340)),0))*0.98</f>
        <v>-0.98000000000000043</v>
      </c>
      <c r="I340" s="6">
        <f>(IF(SUMIFS('Industrial Summary'!$G:$G,'Industrial Summary'!$F:$F,I$17,'Industrial Summary'!$D:$D,$E340)&gt;0,((-SUMIFS('Industrial Summary'!$G:$G,'Industrial Summary'!$F:$F,I$17,'Industrial Summary'!$D:$D,$E340,'Industrial Summary'!$A:$A,"BIO")+-SUMIFS('Industrial Summary'!$G:$G,'Industrial Summary'!$F:$F,I$17,'Industrial Summary'!$D:$D,"IOTRSTM",'Industrial Summary'!$A:$A,"BIO")+-SUMIFS('Industrial Summary'!$G:$G,'Industrial Summary'!$F:$F,I$17,'Industrial Summary'!$D:$D,"IOTOSTM",'Industrial Summary'!$A:$A,"WOD"))/SUMIFS('Industrial Summary'!$G:$G,'Industrial Summary'!$F:$F,I$17,'Industrial Summary'!$D:$D,$E340)),0))*0.98</f>
        <v>-0.63902019345047634</v>
      </c>
      <c r="J340" s="6">
        <f>(IF(SUMIFS('Industrial Summary'!$G:$G,'Industrial Summary'!$F:$F,J$17,'Industrial Summary'!$D:$D,$E340)&gt;0,((-SUMIFS('Industrial Summary'!$G:$G,'Industrial Summary'!$F:$F,J$17,'Industrial Summary'!$D:$D,$E340,'Industrial Summary'!$A:$A,"BIO")+-SUMIFS('Industrial Summary'!$G:$G,'Industrial Summary'!$F:$F,J$17,'Industrial Summary'!$D:$D,"IOTRSTM",'Industrial Summary'!$A:$A,"BIO")+-SUMIFS('Industrial Summary'!$G:$G,'Industrial Summary'!$F:$F,J$17,'Industrial Summary'!$D:$D,"IOTOSTM",'Industrial Summary'!$A:$A,"WOD"))/SUMIFS('Industrial Summary'!$G:$G,'Industrial Summary'!$F:$F,J$17,'Industrial Summary'!$D:$D,$E340)),0))*0.98</f>
        <v>-0.29287031613249326</v>
      </c>
      <c r="K340" s="6">
        <f>(IF(SUMIFS('Industrial Summary'!$G:$G,'Industrial Summary'!$F:$F,K$17,'Industrial Summary'!$D:$D,$E340)&gt;0,((-SUMIFS('Industrial Summary'!$G:$G,'Industrial Summary'!$F:$F,K$17,'Industrial Summary'!$D:$D,$E340,'Industrial Summary'!$A:$A,"BIO")+-SUMIFS('Industrial Summary'!$G:$G,'Industrial Summary'!$F:$F,K$17,'Industrial Summary'!$D:$D,"IOTRSTM",'Industrial Summary'!$A:$A,"BIO")+-SUMIFS('Industrial Summary'!$G:$G,'Industrial Summary'!$F:$F,K$17,'Industrial Summary'!$D:$D,"IOTOSTM",'Industrial Summary'!$A:$A,"WOD"))/SUMIFS('Industrial Summary'!$G:$G,'Industrial Summary'!$F:$F,K$17,'Industrial Summary'!$D:$D,$E340)),0))*0.98</f>
        <v>-0.24177484395988272</v>
      </c>
      <c r="L340" s="6">
        <f>(IF(SUMIFS('Industrial Summary'!$G:$G,'Industrial Summary'!$F:$F,L$17,'Industrial Summary'!$D:$D,$E340)&gt;0,((-SUMIFS('Industrial Summary'!$G:$G,'Industrial Summary'!$F:$F,L$17,'Industrial Summary'!$D:$D,$E340,'Industrial Summary'!$A:$A,"BIO")+-SUMIFS('Industrial Summary'!$G:$G,'Industrial Summary'!$F:$F,L$17,'Industrial Summary'!$D:$D,"IOTRSTM",'Industrial Summary'!$A:$A,"BIO")+-SUMIFS('Industrial Summary'!$G:$G,'Industrial Summary'!$F:$F,L$17,'Industrial Summary'!$D:$D,"IOTOSTM",'Industrial Summary'!$A:$A,"WOD"))/SUMIFS('Industrial Summary'!$G:$G,'Industrial Summary'!$F:$F,L$17,'Industrial Summary'!$D:$D,$E340)),0))*0.98</f>
        <v>-0.69054607251437072</v>
      </c>
      <c r="M340" s="6">
        <f>(IF(SUMIFS('Industrial Summary'!$G:$G,'Industrial Summary'!$F:$F,M$17,'Industrial Summary'!$D:$D,$E340)&gt;0,((-SUMIFS('Industrial Summary'!$G:$G,'Industrial Summary'!$F:$F,M$17,'Industrial Summary'!$D:$D,$E340,'Industrial Summary'!$A:$A,"BIO")+-SUMIFS('Industrial Summary'!$G:$G,'Industrial Summary'!$F:$F,M$17,'Industrial Summary'!$D:$D,"IOTRSTM",'Industrial Summary'!$A:$A,"BIO")+-SUMIFS('Industrial Summary'!$G:$G,'Industrial Summary'!$F:$F,M$17,'Industrial Summary'!$D:$D,"IOTOSTM",'Industrial Summary'!$A:$A,"WOD"))/SUMIFS('Industrial Summary'!$G:$G,'Industrial Summary'!$F:$F,M$17,'Industrial Summary'!$D:$D,$E340)),0))*0.98</f>
        <v>-0.68364624519338701</v>
      </c>
      <c r="N340" s="6">
        <f>(IF(SUMIFS('Industrial Summary'!$G:$G,'Industrial Summary'!$F:$F,N$17,'Industrial Summary'!$D:$D,$E340)&gt;0,((-SUMIFS('Industrial Summary'!$G:$G,'Industrial Summary'!$F:$F,N$17,'Industrial Summary'!$D:$D,$E340,'Industrial Summary'!$A:$A,"BIO")+-SUMIFS('Industrial Summary'!$G:$G,'Industrial Summary'!$F:$F,N$17,'Industrial Summary'!$D:$D,"IOTRSTM",'Industrial Summary'!$A:$A,"BIO")+-SUMIFS('Industrial Summary'!$G:$G,'Industrial Summary'!$F:$F,N$17,'Industrial Summary'!$D:$D,"IOTOSTM",'Industrial Summary'!$A:$A,"WOD"))/SUMIFS('Industrial Summary'!$G:$G,'Industrial Summary'!$F:$F,N$17,'Industrial Summary'!$D:$D,$E340)),0))*0.98</f>
        <v>-0.69467307526068767</v>
      </c>
      <c r="O340" s="6">
        <f>(IF(SUMIFS('Industrial Summary'!$G:$G,'Industrial Summary'!$F:$F,O$17,'Industrial Summary'!$D:$D,$E340)&gt;0,((-SUMIFS('Industrial Summary'!$G:$G,'Industrial Summary'!$F:$F,O$17,'Industrial Summary'!$D:$D,$E340,'Industrial Summary'!$A:$A,"BIO")+-SUMIFS('Industrial Summary'!$G:$G,'Industrial Summary'!$F:$F,O$17,'Industrial Summary'!$D:$D,"IOTRSTM",'Industrial Summary'!$A:$A,"BIO")+-SUMIFS('Industrial Summary'!$G:$G,'Industrial Summary'!$F:$F,O$17,'Industrial Summary'!$D:$D,"IOTOSTM",'Industrial Summary'!$A:$A,"WOD"))/SUMIFS('Industrial Summary'!$G:$G,'Industrial Summary'!$F:$F,O$17,'Industrial Summary'!$D:$D,$E340)),0))*0.98</f>
        <v>-0.7526443023830407</v>
      </c>
      <c r="P340" s="6">
        <f>(IF(SUMIFS('Industrial Summary'!$G:$G,'Industrial Summary'!$F:$F,P$17,'Industrial Summary'!$D:$D,$E340)&gt;0,((-SUMIFS('Industrial Summary'!$G:$G,'Industrial Summary'!$F:$F,P$17,'Industrial Summary'!$D:$D,$E340,'Industrial Summary'!$A:$A,"BIO")+-SUMIFS('Industrial Summary'!$G:$G,'Industrial Summary'!$F:$F,P$17,'Industrial Summary'!$D:$D,"IOTRSTM",'Industrial Summary'!$A:$A,"BIO")+-SUMIFS('Industrial Summary'!$G:$G,'Industrial Summary'!$F:$F,P$17,'Industrial Summary'!$D:$D,"IOTOSTM",'Industrial Summary'!$A:$A,"WOD"))/SUMIFS('Industrial Summary'!$G:$G,'Industrial Summary'!$F:$F,P$17,'Industrial Summary'!$D:$D,$E340)),0))*0.98</f>
        <v>-0.98000000000000065</v>
      </c>
      <c r="Q340" s="5">
        <v>0</v>
      </c>
      <c r="R340" s="5">
        <v>15</v>
      </c>
      <c r="S340" s="5" t="str">
        <f t="shared" si="78"/>
        <v>UC_IOTOH_BIO</v>
      </c>
      <c r="V340" s="4" t="str">
        <f t="shared" si="64"/>
        <v>S_IOTOHBIO</v>
      </c>
      <c r="W340" s="4" t="str">
        <f t="shared" si="65"/>
        <v>IOTOH_BIO</v>
      </c>
      <c r="X340" s="4" t="str">
        <f t="shared" si="66"/>
        <v>IOTOHT</v>
      </c>
      <c r="Y340" s="5" t="str">
        <f t="shared" si="79"/>
        <v>LO</v>
      </c>
      <c r="Z340" s="5">
        <v>1</v>
      </c>
      <c r="AA340" s="6">
        <f t="shared" si="80"/>
        <v>-0.98000000000000043</v>
      </c>
      <c r="AB340" s="6">
        <f t="shared" si="81"/>
        <v>-0.63902019345047634</v>
      </c>
      <c r="AC340" s="6">
        <f t="shared" si="82"/>
        <v>-0.29287031613249326</v>
      </c>
      <c r="AD340" s="6">
        <f t="shared" si="83"/>
        <v>-0.24177484395988272</v>
      </c>
      <c r="AE340" s="6">
        <f t="shared" si="84"/>
        <v>-0.69054607251437072</v>
      </c>
      <c r="AF340" s="6">
        <f t="shared" si="85"/>
        <v>-0.68364624519338701</v>
      </c>
      <c r="AG340" s="6">
        <f t="shared" si="86"/>
        <v>-0.69467307526068767</v>
      </c>
      <c r="AH340" s="6">
        <f t="shared" si="87"/>
        <v>-0.7526443023830407</v>
      </c>
      <c r="AI340" s="6">
        <f t="shared" si="88"/>
        <v>-0.98000000000000065</v>
      </c>
      <c r="AL340" s="5" t="str">
        <f t="shared" si="89"/>
        <v>BIO</v>
      </c>
      <c r="AM340" s="5">
        <f>1</f>
        <v>1</v>
      </c>
    </row>
    <row r="341" spans="1:39" s="5" customFormat="1" x14ac:dyDescent="0.3">
      <c r="C341" s="4" t="s">
        <v>696</v>
      </c>
      <c r="D341" s="5" t="s">
        <v>697</v>
      </c>
      <c r="E341" s="5" t="s">
        <v>768</v>
      </c>
      <c r="F341" s="5" t="s">
        <v>1588</v>
      </c>
      <c r="G341" s="5">
        <v>1</v>
      </c>
      <c r="H341" s="6">
        <f>(IF(SUMIFS('Industrial Summary'!$G:$G,'Industrial Summary'!$F:$F,H$17,'Industrial Summary'!$D:$D,$E341)&gt;0,((-SUMIFS('Industrial Summary'!$G:$G,'Industrial Summary'!$F:$F,H$17,'Industrial Summary'!$D:$D,$E341,'Industrial Summary'!$A:$A,"PTC")+-SUMIFS('Industrial Summary'!$G:$G,'Industrial Summary'!$F:$F,H$17,'Industrial Summary'!$D:$D,"IOTRSTM",'Industrial Summary'!$A:$A,"PTC"))/SUMIFS('Industrial Summary'!$G:$G,'Industrial Summary'!$F:$F,H$17,'Industrial Summary'!$D:$D,$E341)),0))*0.98</f>
        <v>0</v>
      </c>
      <c r="I341" s="6">
        <f>(IF(SUMIFS('Industrial Summary'!$G:$G,'Industrial Summary'!$F:$F,I$17,'Industrial Summary'!$D:$D,$E341)&gt;0,((-SUMIFS('Industrial Summary'!$G:$G,'Industrial Summary'!$F:$F,I$17,'Industrial Summary'!$D:$D,$E341,'Industrial Summary'!$A:$A,"PTC")+-SUMIFS('Industrial Summary'!$G:$G,'Industrial Summary'!$F:$F,I$17,'Industrial Summary'!$D:$D,"IOTRSTM",'Industrial Summary'!$A:$A,"PTC"))/SUMIFS('Industrial Summary'!$G:$G,'Industrial Summary'!$F:$F,I$17,'Industrial Summary'!$D:$D,$E341)),0))*0.98</f>
        <v>-2.9752042431732115E-2</v>
      </c>
      <c r="J341" s="6">
        <f>(IF(SUMIFS('Industrial Summary'!$G:$G,'Industrial Summary'!$F:$F,J$17,'Industrial Summary'!$D:$D,$E341)&gt;0,((-SUMIFS('Industrial Summary'!$G:$G,'Industrial Summary'!$F:$F,J$17,'Industrial Summary'!$D:$D,$E341,'Industrial Summary'!$A:$A,"PTC")+-SUMIFS('Industrial Summary'!$G:$G,'Industrial Summary'!$F:$F,J$17,'Industrial Summary'!$D:$D,"IOTRSTM",'Industrial Summary'!$A:$A,"PTC"))/SUMIFS('Industrial Summary'!$G:$G,'Industrial Summary'!$F:$F,J$17,'Industrial Summary'!$D:$D,$E341)),0))*0.98</f>
        <v>0</v>
      </c>
      <c r="K341" s="6">
        <f>(IF(SUMIFS('Industrial Summary'!$G:$G,'Industrial Summary'!$F:$F,K$17,'Industrial Summary'!$D:$D,$E341)&gt;0,((-SUMIFS('Industrial Summary'!$G:$G,'Industrial Summary'!$F:$F,K$17,'Industrial Summary'!$D:$D,$E341,'Industrial Summary'!$A:$A,"PTC")+-SUMIFS('Industrial Summary'!$G:$G,'Industrial Summary'!$F:$F,K$17,'Industrial Summary'!$D:$D,"IOTRSTM",'Industrial Summary'!$A:$A,"PTC"))/SUMIFS('Industrial Summary'!$G:$G,'Industrial Summary'!$F:$F,K$17,'Industrial Summary'!$D:$D,$E341)),0))*0.98</f>
        <v>-1.5945388433458191E-2</v>
      </c>
      <c r="L341" s="6">
        <f>(IF(SUMIFS('Industrial Summary'!$G:$G,'Industrial Summary'!$F:$F,L$17,'Industrial Summary'!$D:$D,$E341)&gt;0,((-SUMIFS('Industrial Summary'!$G:$G,'Industrial Summary'!$F:$F,L$17,'Industrial Summary'!$D:$D,$E341,'Industrial Summary'!$A:$A,"PTC")+-SUMIFS('Industrial Summary'!$G:$G,'Industrial Summary'!$F:$F,L$17,'Industrial Summary'!$D:$D,"IOTRSTM",'Industrial Summary'!$A:$A,"PTC"))/SUMIFS('Industrial Summary'!$G:$G,'Industrial Summary'!$F:$F,L$17,'Industrial Summary'!$D:$D,$E341)),0))*0.98</f>
        <v>0</v>
      </c>
      <c r="M341" s="6">
        <f>(IF(SUMIFS('Industrial Summary'!$G:$G,'Industrial Summary'!$F:$F,M$17,'Industrial Summary'!$D:$D,$E341)&gt;0,((-SUMIFS('Industrial Summary'!$G:$G,'Industrial Summary'!$F:$F,M$17,'Industrial Summary'!$D:$D,$E341,'Industrial Summary'!$A:$A,"PTC")+-SUMIFS('Industrial Summary'!$G:$G,'Industrial Summary'!$F:$F,M$17,'Industrial Summary'!$D:$D,"IOTRSTM",'Industrial Summary'!$A:$A,"PTC"))/SUMIFS('Industrial Summary'!$G:$G,'Industrial Summary'!$F:$F,M$17,'Industrial Summary'!$D:$D,$E341)),0))*0.98</f>
        <v>0</v>
      </c>
      <c r="N341" s="6">
        <f>(IF(SUMIFS('Industrial Summary'!$G:$G,'Industrial Summary'!$F:$F,N$17,'Industrial Summary'!$D:$D,$E341)&gt;0,((-SUMIFS('Industrial Summary'!$G:$G,'Industrial Summary'!$F:$F,N$17,'Industrial Summary'!$D:$D,$E341,'Industrial Summary'!$A:$A,"PTC")+-SUMIFS('Industrial Summary'!$G:$G,'Industrial Summary'!$F:$F,N$17,'Industrial Summary'!$D:$D,"IOTRSTM",'Industrial Summary'!$A:$A,"PTC"))/SUMIFS('Industrial Summary'!$G:$G,'Industrial Summary'!$F:$F,N$17,'Industrial Summary'!$D:$D,$E341)),0))*0.98</f>
        <v>0</v>
      </c>
      <c r="O341" s="6">
        <f>(IF(SUMIFS('Industrial Summary'!$G:$G,'Industrial Summary'!$F:$F,O$17,'Industrial Summary'!$D:$D,$E341)&gt;0,((-SUMIFS('Industrial Summary'!$G:$G,'Industrial Summary'!$F:$F,O$17,'Industrial Summary'!$D:$D,$E341,'Industrial Summary'!$A:$A,"PTC")+-SUMIFS('Industrial Summary'!$G:$G,'Industrial Summary'!$F:$F,O$17,'Industrial Summary'!$D:$D,"IOTRSTM",'Industrial Summary'!$A:$A,"PTC"))/SUMIFS('Industrial Summary'!$G:$G,'Industrial Summary'!$F:$F,O$17,'Industrial Summary'!$D:$D,$E341)),0))*0.98</f>
        <v>0</v>
      </c>
      <c r="P341" s="6">
        <f>(IF(SUMIFS('Industrial Summary'!$G:$G,'Industrial Summary'!$F:$F,P$17,'Industrial Summary'!$D:$D,$E341)&gt;0,((-SUMIFS('Industrial Summary'!$G:$G,'Industrial Summary'!$F:$F,P$17,'Industrial Summary'!$D:$D,$E341,'Industrial Summary'!$A:$A,"PTC")+-SUMIFS('Industrial Summary'!$G:$G,'Industrial Summary'!$F:$F,P$17,'Industrial Summary'!$D:$D,"IOTRSTM",'Industrial Summary'!$A:$A,"PTC"))/SUMIFS('Industrial Summary'!$G:$G,'Industrial Summary'!$F:$F,P$17,'Industrial Summary'!$D:$D,$E341)),0))*0.98</f>
        <v>0</v>
      </c>
      <c r="Q341" s="5">
        <v>0</v>
      </c>
      <c r="R341" s="5">
        <v>15</v>
      </c>
      <c r="S341" s="5" t="str">
        <f t="shared" si="78"/>
        <v>UC_IOTOH_PTC</v>
      </c>
      <c r="V341" s="4" t="str">
        <f t="shared" si="64"/>
        <v>S_IOTOHPTC</v>
      </c>
      <c r="W341" s="4" t="str">
        <f t="shared" si="65"/>
        <v>IOTOH_PTC</v>
      </c>
      <c r="X341" s="4" t="str">
        <f t="shared" si="66"/>
        <v>IOTOHT</v>
      </c>
      <c r="Y341" s="5" t="str">
        <f t="shared" si="79"/>
        <v>LO</v>
      </c>
      <c r="Z341" s="5">
        <v>1</v>
      </c>
      <c r="AA341" s="6">
        <f t="shared" si="80"/>
        <v>0</v>
      </c>
      <c r="AB341" s="6">
        <f t="shared" si="81"/>
        <v>-2.9752042431732115E-2</v>
      </c>
      <c r="AC341" s="6">
        <f t="shared" si="82"/>
        <v>0</v>
      </c>
      <c r="AD341" s="6">
        <f t="shared" si="83"/>
        <v>-1.5945388433458191E-2</v>
      </c>
      <c r="AE341" s="6">
        <f t="shared" si="84"/>
        <v>0</v>
      </c>
      <c r="AF341" s="6">
        <f t="shared" si="85"/>
        <v>0</v>
      </c>
      <c r="AG341" s="6">
        <f t="shared" si="86"/>
        <v>0</v>
      </c>
      <c r="AH341" s="6">
        <f t="shared" si="87"/>
        <v>0</v>
      </c>
      <c r="AI341" s="6">
        <f t="shared" si="88"/>
        <v>0</v>
      </c>
      <c r="AL341" s="5" t="str">
        <f t="shared" si="89"/>
        <v>PTC</v>
      </c>
      <c r="AM341" s="5">
        <f>1</f>
        <v>1</v>
      </c>
    </row>
    <row r="342" spans="1:39" s="5" customFormat="1" x14ac:dyDescent="0.3">
      <c r="A342" s="8"/>
      <c r="C342" s="4" t="s">
        <v>698</v>
      </c>
      <c r="D342" s="5" t="s">
        <v>699</v>
      </c>
      <c r="E342" s="5" t="s">
        <v>768</v>
      </c>
      <c r="F342" s="5" t="s">
        <v>1588</v>
      </c>
      <c r="G342" s="5">
        <v>1</v>
      </c>
      <c r="H342" s="6">
        <f>(IF(SUMIFS('Industrial Summary'!$G:$G,'Industrial Summary'!$F:$F,H$17,'Industrial Summary'!$D:$D,$E342)&gt;0,((-SUMIFS('Industrial Summary'!$G:$G,'Industrial Summary'!$F:$F,H$17,'Industrial Summary'!$D:$D,$E342,'Industrial Summary'!$A:$A,"OTP")+-SUMIFS('Industrial Summary'!$G:$G,'Industrial Summary'!$F:$F,H$17,'Industrial Summary'!$D:$D,"IOTRSTM",'Industrial Summary'!$A:$A,"OTP"))/SUMIFS('Industrial Summary'!$G:$G,'Industrial Summary'!$F:$F,H$17,'Industrial Summary'!$D:$D,$E342)),0))*0.98</f>
        <v>0</v>
      </c>
      <c r="I342" s="6">
        <f>(IF(SUMIFS('Industrial Summary'!$G:$G,'Industrial Summary'!$F:$F,I$17,'Industrial Summary'!$D:$D,$E342)&gt;0,((-SUMIFS('Industrial Summary'!$G:$G,'Industrial Summary'!$F:$F,I$17,'Industrial Summary'!$D:$D,$E342,'Industrial Summary'!$A:$A,"OTP")+-SUMIFS('Industrial Summary'!$G:$G,'Industrial Summary'!$F:$F,I$17,'Industrial Summary'!$D:$D,"IOTRSTM",'Industrial Summary'!$A:$A,"OTP"))/SUMIFS('Industrial Summary'!$G:$G,'Industrial Summary'!$F:$F,I$17,'Industrial Summary'!$D:$D,$E342)),0))*0.98</f>
        <v>0</v>
      </c>
      <c r="J342" s="6">
        <f>(IF(SUMIFS('Industrial Summary'!$G:$G,'Industrial Summary'!$F:$F,J$17,'Industrial Summary'!$D:$D,$E342)&gt;0,((-SUMIFS('Industrial Summary'!$G:$G,'Industrial Summary'!$F:$F,J$17,'Industrial Summary'!$D:$D,$E342,'Industrial Summary'!$A:$A,"OTP")+-SUMIFS('Industrial Summary'!$G:$G,'Industrial Summary'!$F:$F,J$17,'Industrial Summary'!$D:$D,"IOTRSTM",'Industrial Summary'!$A:$A,"OTP"))/SUMIFS('Industrial Summary'!$G:$G,'Industrial Summary'!$F:$F,J$17,'Industrial Summary'!$D:$D,$E342)),0))*0.98</f>
        <v>0</v>
      </c>
      <c r="K342" s="6">
        <f>(IF(SUMIFS('Industrial Summary'!$G:$G,'Industrial Summary'!$F:$F,K$17,'Industrial Summary'!$D:$D,$E342)&gt;0,((-SUMIFS('Industrial Summary'!$G:$G,'Industrial Summary'!$F:$F,K$17,'Industrial Summary'!$D:$D,$E342,'Industrial Summary'!$A:$A,"OTP")+-SUMIFS('Industrial Summary'!$G:$G,'Industrial Summary'!$F:$F,K$17,'Industrial Summary'!$D:$D,"IOTRSTM",'Industrial Summary'!$A:$A,"OTP"))/SUMIFS('Industrial Summary'!$G:$G,'Industrial Summary'!$F:$F,K$17,'Industrial Summary'!$D:$D,$E342)),0))*0.98</f>
        <v>-1.8862936040081149E-4</v>
      </c>
      <c r="L342" s="6">
        <f>(IF(SUMIFS('Industrial Summary'!$G:$G,'Industrial Summary'!$F:$F,L$17,'Industrial Summary'!$D:$D,$E342)&gt;0,((-SUMIFS('Industrial Summary'!$G:$G,'Industrial Summary'!$F:$F,L$17,'Industrial Summary'!$D:$D,$E342,'Industrial Summary'!$A:$A,"OTP")+-SUMIFS('Industrial Summary'!$G:$G,'Industrial Summary'!$F:$F,L$17,'Industrial Summary'!$D:$D,"IOTRSTM",'Industrial Summary'!$A:$A,"OTP"))/SUMIFS('Industrial Summary'!$G:$G,'Industrial Summary'!$F:$F,L$17,'Industrial Summary'!$D:$D,$E342)),0))*0.98</f>
        <v>0</v>
      </c>
      <c r="M342" s="6">
        <f>(IF(SUMIFS('Industrial Summary'!$G:$G,'Industrial Summary'!$F:$F,M$17,'Industrial Summary'!$D:$D,$E342)&gt;0,((-SUMIFS('Industrial Summary'!$G:$G,'Industrial Summary'!$F:$F,M$17,'Industrial Summary'!$D:$D,$E342,'Industrial Summary'!$A:$A,"OTP")+-SUMIFS('Industrial Summary'!$G:$G,'Industrial Summary'!$F:$F,M$17,'Industrial Summary'!$D:$D,"IOTRSTM",'Industrial Summary'!$A:$A,"OTP"))/SUMIFS('Industrial Summary'!$G:$G,'Industrial Summary'!$F:$F,M$17,'Industrial Summary'!$D:$D,$E342)),0))*0.98</f>
        <v>0</v>
      </c>
      <c r="N342" s="6">
        <f>(IF(SUMIFS('Industrial Summary'!$G:$G,'Industrial Summary'!$F:$F,N$17,'Industrial Summary'!$D:$D,$E342)&gt;0,((-SUMIFS('Industrial Summary'!$G:$G,'Industrial Summary'!$F:$F,N$17,'Industrial Summary'!$D:$D,$E342,'Industrial Summary'!$A:$A,"OTP")+-SUMIFS('Industrial Summary'!$G:$G,'Industrial Summary'!$F:$F,N$17,'Industrial Summary'!$D:$D,"IOTRSTM",'Industrial Summary'!$A:$A,"OTP"))/SUMIFS('Industrial Summary'!$G:$G,'Industrial Summary'!$F:$F,N$17,'Industrial Summary'!$D:$D,$E342)),0))*0.98</f>
        <v>0</v>
      </c>
      <c r="O342" s="6">
        <f>(IF(SUMIFS('Industrial Summary'!$G:$G,'Industrial Summary'!$F:$F,O$17,'Industrial Summary'!$D:$D,$E342)&gt;0,((-SUMIFS('Industrial Summary'!$G:$G,'Industrial Summary'!$F:$F,O$17,'Industrial Summary'!$D:$D,$E342,'Industrial Summary'!$A:$A,"OTP")+-SUMIFS('Industrial Summary'!$G:$G,'Industrial Summary'!$F:$F,O$17,'Industrial Summary'!$D:$D,"IOTRSTM",'Industrial Summary'!$A:$A,"OTP"))/SUMIFS('Industrial Summary'!$G:$G,'Industrial Summary'!$F:$F,O$17,'Industrial Summary'!$D:$D,$E342)),0))*0.98</f>
        <v>0</v>
      </c>
      <c r="P342" s="6">
        <f>(IF(SUMIFS('Industrial Summary'!$G:$G,'Industrial Summary'!$F:$F,P$17,'Industrial Summary'!$D:$D,$E342)&gt;0,((-SUMIFS('Industrial Summary'!$G:$G,'Industrial Summary'!$F:$F,P$17,'Industrial Summary'!$D:$D,$E342,'Industrial Summary'!$A:$A,"OTP")+-SUMIFS('Industrial Summary'!$G:$G,'Industrial Summary'!$F:$F,P$17,'Industrial Summary'!$D:$D,"IOTRSTM",'Industrial Summary'!$A:$A,"OTP"))/SUMIFS('Industrial Summary'!$G:$G,'Industrial Summary'!$F:$F,P$17,'Industrial Summary'!$D:$D,$E342)),0))*0.98</f>
        <v>0</v>
      </c>
      <c r="Q342" s="5">
        <v>0</v>
      </c>
      <c r="R342" s="5">
        <v>15</v>
      </c>
      <c r="S342" s="5" t="str">
        <f t="shared" si="78"/>
        <v>UC_IOTOH_OTP</v>
      </c>
      <c r="V342" s="4" t="str">
        <f t="shared" si="64"/>
        <v>S_IOTOHOTP</v>
      </c>
      <c r="W342" s="4" t="str">
        <f t="shared" si="65"/>
        <v>IOTOH_OTP</v>
      </c>
      <c r="X342" s="4" t="str">
        <f t="shared" si="66"/>
        <v>IOTOHT</v>
      </c>
      <c r="Y342" s="5" t="str">
        <f t="shared" si="79"/>
        <v>LO</v>
      </c>
      <c r="Z342" s="5">
        <v>1</v>
      </c>
      <c r="AA342" s="6">
        <f t="shared" si="80"/>
        <v>0</v>
      </c>
      <c r="AB342" s="6">
        <f t="shared" si="81"/>
        <v>0</v>
      </c>
      <c r="AC342" s="6">
        <f t="shared" si="82"/>
        <v>0</v>
      </c>
      <c r="AD342" s="6">
        <f t="shared" si="83"/>
        <v>-1.8862936040081149E-4</v>
      </c>
      <c r="AE342" s="6">
        <f t="shared" si="84"/>
        <v>0</v>
      </c>
      <c r="AF342" s="6">
        <f t="shared" si="85"/>
        <v>0</v>
      </c>
      <c r="AG342" s="6">
        <f t="shared" si="86"/>
        <v>0</v>
      </c>
      <c r="AH342" s="6">
        <f t="shared" si="87"/>
        <v>0</v>
      </c>
      <c r="AI342" s="6">
        <f t="shared" si="88"/>
        <v>0</v>
      </c>
      <c r="AL342" s="5" t="str">
        <f t="shared" si="89"/>
        <v>OTP</v>
      </c>
      <c r="AM342" s="5">
        <f>1</f>
        <v>1</v>
      </c>
    </row>
    <row r="343" spans="1:39" s="5" customFormat="1" x14ac:dyDescent="0.3">
      <c r="C343" s="4" t="s">
        <v>701</v>
      </c>
      <c r="D343" s="5" t="s">
        <v>19</v>
      </c>
      <c r="E343" s="4" t="s">
        <v>1517</v>
      </c>
      <c r="F343" s="5" t="s">
        <v>1589</v>
      </c>
      <c r="G343" s="5">
        <v>1</v>
      </c>
      <c r="H343" s="6">
        <v>-0.54077110937575357</v>
      </c>
      <c r="I343" s="6">
        <v>-0.54077110937575357</v>
      </c>
      <c r="J343" s="6">
        <v>-0.54077110937575357</v>
      </c>
      <c r="K343" s="6">
        <v>-0.54077110937575357</v>
      </c>
      <c r="L343" s="6">
        <v>-0.54077110937575357</v>
      </c>
      <c r="M343" s="6">
        <v>-0.54077110937575357</v>
      </c>
      <c r="N343" s="6">
        <v>-0.54077110937575357</v>
      </c>
      <c r="O343" s="6">
        <v>-0.54077110937575357</v>
      </c>
      <c r="P343" s="6">
        <v>-0.54077110937575357</v>
      </c>
      <c r="Q343" s="5">
        <v>0</v>
      </c>
      <c r="R343" s="5">
        <v>15</v>
      </c>
      <c r="S343" s="5" t="str">
        <f t="shared" si="78"/>
        <v>UC_IXN_ASP</v>
      </c>
      <c r="V343" s="4" t="str">
        <f t="shared" ref="V343:W347" si="90">C343</f>
        <v>S_IXNASP</v>
      </c>
      <c r="W343" s="4" t="str">
        <f t="shared" si="90"/>
        <v>IXN_ASP</v>
      </c>
      <c r="X343" s="4" t="str">
        <f t="shared" ref="X343:X347" si="91">E343</f>
        <v>IXNONM</v>
      </c>
      <c r="Y343" s="5" t="str">
        <f t="shared" si="79"/>
        <v>FX</v>
      </c>
      <c r="Z343" s="5">
        <v>1</v>
      </c>
      <c r="AA343" s="6">
        <f t="shared" si="80"/>
        <v>-0.54077110937575357</v>
      </c>
      <c r="AB343" s="6">
        <f t="shared" si="81"/>
        <v>-0.54077110937575357</v>
      </c>
      <c r="AC343" s="6">
        <f t="shared" si="82"/>
        <v>-0.54077110937575357</v>
      </c>
      <c r="AD343" s="6">
        <f t="shared" si="83"/>
        <v>-0.54077110937575357</v>
      </c>
      <c r="AE343" s="6">
        <f t="shared" si="84"/>
        <v>-0.54077110937575357</v>
      </c>
      <c r="AF343" s="6">
        <f t="shared" si="85"/>
        <v>-0.54077110937575357</v>
      </c>
      <c r="AG343" s="6">
        <f t="shared" si="86"/>
        <v>-0.54077110937575357</v>
      </c>
      <c r="AH343" s="6">
        <f t="shared" si="87"/>
        <v>-0.54077110937575357</v>
      </c>
      <c r="AI343" s="6">
        <f t="shared" si="88"/>
        <v>-0.54077110937575357</v>
      </c>
      <c r="AL343" s="5" t="str">
        <f t="shared" si="89"/>
        <v>ASP</v>
      </c>
      <c r="AM343" s="5">
        <f>1</f>
        <v>1</v>
      </c>
    </row>
    <row r="344" spans="1:39" s="5" customFormat="1" x14ac:dyDescent="0.3">
      <c r="C344" s="4" t="s">
        <v>702</v>
      </c>
      <c r="D344" s="5" t="s">
        <v>20</v>
      </c>
      <c r="E344" s="4" t="s">
        <v>1517</v>
      </c>
      <c r="F344" s="5" t="s">
        <v>1588</v>
      </c>
      <c r="G344" s="5">
        <v>1</v>
      </c>
      <c r="H344" s="6">
        <v>-0.12529303640168712</v>
      </c>
      <c r="I344" s="6">
        <v>-0.12529303640168712</v>
      </c>
      <c r="J344" s="6">
        <v>-0.12529303640168712</v>
      </c>
      <c r="K344" s="6">
        <v>-0.12529303640168715</v>
      </c>
      <c r="L344" s="6">
        <v>-0.12529303640168712</v>
      </c>
      <c r="M344" s="6">
        <v>-0.12529303640168712</v>
      </c>
      <c r="N344" s="6">
        <v>-0.12529303640168712</v>
      </c>
      <c r="O344" s="6">
        <v>-0.12529303640168712</v>
      </c>
      <c r="P344" s="6">
        <v>-0.12529303640168715</v>
      </c>
      <c r="Q344" s="5">
        <v>0</v>
      </c>
      <c r="R344" s="5">
        <v>15</v>
      </c>
      <c r="S344" s="5" t="str">
        <f t="shared" si="78"/>
        <v>UC_IXN_ELC</v>
      </c>
      <c r="V344" s="4" t="str">
        <f t="shared" si="90"/>
        <v>S_IXNELC</v>
      </c>
      <c r="W344" s="4" t="str">
        <f t="shared" si="90"/>
        <v>IXN_ELC</v>
      </c>
      <c r="X344" s="4" t="str">
        <f t="shared" si="91"/>
        <v>IXNONM</v>
      </c>
      <c r="Y344" s="5" t="str">
        <f t="shared" si="79"/>
        <v>LO</v>
      </c>
      <c r="Z344" s="5">
        <v>1</v>
      </c>
      <c r="AA344" s="6">
        <f t="shared" si="80"/>
        <v>-0.12529303640168712</v>
      </c>
      <c r="AB344" s="6">
        <f t="shared" si="81"/>
        <v>-0.12529303640168712</v>
      </c>
      <c r="AC344" s="6">
        <f t="shared" si="82"/>
        <v>-0.12529303640168712</v>
      </c>
      <c r="AD344" s="6">
        <f t="shared" si="83"/>
        <v>-0.12529303640168715</v>
      </c>
      <c r="AE344" s="6">
        <f t="shared" si="84"/>
        <v>-0.12529303640168712</v>
      </c>
      <c r="AF344" s="6">
        <f t="shared" si="85"/>
        <v>-0.12529303640168712</v>
      </c>
      <c r="AG344" s="6">
        <f t="shared" si="86"/>
        <v>-0.12529303640168712</v>
      </c>
      <c r="AH344" s="6">
        <f t="shared" si="87"/>
        <v>-0.12529303640168712</v>
      </c>
      <c r="AI344" s="6">
        <f t="shared" si="88"/>
        <v>-0.12529303640168715</v>
      </c>
      <c r="AL344" s="5" t="str">
        <f t="shared" si="89"/>
        <v>ELC</v>
      </c>
      <c r="AM344" s="5">
        <f>1</f>
        <v>1</v>
      </c>
    </row>
    <row r="345" spans="1:39" s="5" customFormat="1" x14ac:dyDescent="0.3">
      <c r="C345" s="4" t="s">
        <v>703</v>
      </c>
      <c r="D345" s="5" t="s">
        <v>21</v>
      </c>
      <c r="E345" s="4" t="s">
        <v>1517</v>
      </c>
      <c r="F345" s="5" t="s">
        <v>1588</v>
      </c>
      <c r="G345" s="5">
        <v>1</v>
      </c>
      <c r="H345" s="6">
        <v>-6.2629017779405355E-2</v>
      </c>
      <c r="I345" s="6">
        <v>-6.2629017779405355E-2</v>
      </c>
      <c r="J345" s="6">
        <v>-6.2629017779405355E-2</v>
      </c>
      <c r="K345" s="6">
        <v>-6.2629017779405355E-2</v>
      </c>
      <c r="L345" s="6">
        <v>0</v>
      </c>
      <c r="M345" s="6">
        <v>-6.2629017779405355E-2</v>
      </c>
      <c r="N345" s="6">
        <v>-6.2629017779405355E-2</v>
      </c>
      <c r="O345" s="6">
        <v>-6.2629017779405355E-2</v>
      </c>
      <c r="P345" s="6">
        <v>-6.2629017779405355E-2</v>
      </c>
      <c r="Q345" s="5">
        <v>0</v>
      </c>
      <c r="R345" s="5">
        <v>15</v>
      </c>
      <c r="S345" s="5" t="str">
        <f t="shared" si="78"/>
        <v>UC_IXN_LPG</v>
      </c>
      <c r="V345" s="4" t="str">
        <f t="shared" si="90"/>
        <v>S_IXNLPG</v>
      </c>
      <c r="W345" s="4" t="str">
        <f t="shared" si="90"/>
        <v>IXN_LPG</v>
      </c>
      <c r="X345" s="4" t="str">
        <f t="shared" si="91"/>
        <v>IXNONM</v>
      </c>
      <c r="Y345" s="5" t="str">
        <f t="shared" si="79"/>
        <v>LO</v>
      </c>
      <c r="Z345" s="5">
        <v>1</v>
      </c>
      <c r="AA345" s="6">
        <f t="shared" si="80"/>
        <v>-6.2629017779405355E-2</v>
      </c>
      <c r="AB345" s="6">
        <f t="shared" si="81"/>
        <v>-6.2629017779405355E-2</v>
      </c>
      <c r="AC345" s="6">
        <f t="shared" si="82"/>
        <v>-6.2629017779405355E-2</v>
      </c>
      <c r="AD345" s="6">
        <f t="shared" si="83"/>
        <v>-6.2629017779405355E-2</v>
      </c>
      <c r="AE345" s="6">
        <f t="shared" si="84"/>
        <v>0</v>
      </c>
      <c r="AF345" s="6">
        <f t="shared" si="85"/>
        <v>-6.2629017779405355E-2</v>
      </c>
      <c r="AG345" s="6">
        <f t="shared" si="86"/>
        <v>-6.2629017779405355E-2</v>
      </c>
      <c r="AH345" s="6">
        <f t="shared" si="87"/>
        <v>-6.2629017779405355E-2</v>
      </c>
      <c r="AI345" s="6">
        <f t="shared" si="88"/>
        <v>-6.2629017779405355E-2</v>
      </c>
      <c r="AL345" s="5" t="str">
        <f t="shared" si="89"/>
        <v>LPG</v>
      </c>
      <c r="AM345" s="5">
        <f>1</f>
        <v>1</v>
      </c>
    </row>
    <row r="346" spans="1:39" s="5" customFormat="1" x14ac:dyDescent="0.3">
      <c r="C346" s="4" t="s">
        <v>704</v>
      </c>
      <c r="D346" s="5" t="s">
        <v>22</v>
      </c>
      <c r="E346" s="4" t="s">
        <v>1517</v>
      </c>
      <c r="F346" s="5" t="s">
        <v>1588</v>
      </c>
      <c r="G346" s="5">
        <v>1</v>
      </c>
      <c r="H346" s="6">
        <v>-0.25778233100531023</v>
      </c>
      <c r="I346" s="6">
        <v>-0.25778233100531028</v>
      </c>
      <c r="J346" s="6">
        <v>-0.25778233100531028</v>
      </c>
      <c r="K346" s="6">
        <v>-0.25778233100531028</v>
      </c>
      <c r="L346" s="6">
        <v>-0.25778233100531028</v>
      </c>
      <c r="M346" s="6">
        <v>-0.25778233100531023</v>
      </c>
      <c r="N346" s="6">
        <v>-0.25778233100531028</v>
      </c>
      <c r="O346" s="6">
        <v>-0.25778233100531028</v>
      </c>
      <c r="P346" s="6">
        <v>-0.25778233100531028</v>
      </c>
      <c r="Q346" s="5">
        <v>0</v>
      </c>
      <c r="R346" s="5">
        <v>15</v>
      </c>
      <c r="S346" s="5" t="str">
        <f t="shared" si="78"/>
        <v>UC_IXN_NGA</v>
      </c>
      <c r="V346" s="4" t="str">
        <f t="shared" si="90"/>
        <v>S_IXNNGA</v>
      </c>
      <c r="W346" s="4" t="str">
        <f t="shared" si="90"/>
        <v>IXN_NGA</v>
      </c>
      <c r="X346" s="4" t="str">
        <f t="shared" si="91"/>
        <v>IXNONM</v>
      </c>
      <c r="Y346" s="5" t="str">
        <f t="shared" si="79"/>
        <v>LO</v>
      </c>
      <c r="Z346" s="5">
        <v>1</v>
      </c>
      <c r="AA346" s="6">
        <f t="shared" si="80"/>
        <v>-0.2062258648042482</v>
      </c>
      <c r="AB346" s="6">
        <f t="shared" si="81"/>
        <v>-0.20622586480424823</v>
      </c>
      <c r="AC346" s="6">
        <f t="shared" si="82"/>
        <v>-0.20622586480424823</v>
      </c>
      <c r="AD346" s="6">
        <f t="shared" si="83"/>
        <v>-0.20622586480424823</v>
      </c>
      <c r="AE346" s="6">
        <f t="shared" si="84"/>
        <v>-0.20622586480424823</v>
      </c>
      <c r="AF346" s="6">
        <f t="shared" si="85"/>
        <v>-0.2062258648042482</v>
      </c>
      <c r="AG346" s="6">
        <f t="shared" si="86"/>
        <v>-0.20622586480424823</v>
      </c>
      <c r="AH346" s="6">
        <f t="shared" si="87"/>
        <v>-0.20622586480424823</v>
      </c>
      <c r="AI346" s="6">
        <f t="shared" si="88"/>
        <v>-0.20622586480424823</v>
      </c>
      <c r="AL346" s="5" t="str">
        <f t="shared" si="89"/>
        <v>NGA</v>
      </c>
      <c r="AM346" s="5">
        <f>Y10</f>
        <v>0.8</v>
      </c>
    </row>
    <row r="347" spans="1:39" s="5" customFormat="1" x14ac:dyDescent="0.3">
      <c r="A347" s="8"/>
      <c r="C347" s="4" t="s">
        <v>705</v>
      </c>
      <c r="D347" s="5" t="s">
        <v>23</v>
      </c>
      <c r="E347" s="4" t="s">
        <v>1517</v>
      </c>
      <c r="F347" s="5" t="s">
        <v>1588</v>
      </c>
      <c r="G347" s="5">
        <v>1</v>
      </c>
      <c r="H347" s="6">
        <v>-1.3524505437843705E-2</v>
      </c>
      <c r="I347" s="6">
        <v>-1.3524505437843707E-2</v>
      </c>
      <c r="J347" s="6">
        <v>-1.3524505437843707E-2</v>
      </c>
      <c r="K347" s="6">
        <v>-1.3524505437843707E-2</v>
      </c>
      <c r="L347" s="6">
        <v>-1.3524505437843707E-2</v>
      </c>
      <c r="M347" s="6">
        <v>-1.3524505437843707E-2</v>
      </c>
      <c r="N347" s="6">
        <v>-1.3524505437843705E-2</v>
      </c>
      <c r="O347" s="6">
        <v>-1.3524505437843705E-2</v>
      </c>
      <c r="P347" s="6">
        <v>-1.3524505437843707E-2</v>
      </c>
      <c r="Q347" s="5">
        <v>0</v>
      </c>
      <c r="R347" s="5">
        <v>15</v>
      </c>
      <c r="S347" s="5" t="str">
        <f t="shared" si="78"/>
        <v>UC_IXN_BIO</v>
      </c>
      <c r="V347" s="4" t="str">
        <f t="shared" si="90"/>
        <v>S_IXNBIO</v>
      </c>
      <c r="W347" s="4" t="str">
        <f t="shared" si="90"/>
        <v>IXN_BIO</v>
      </c>
      <c r="X347" s="4" t="str">
        <f t="shared" si="91"/>
        <v>IXNONM</v>
      </c>
      <c r="Y347" s="5" t="str">
        <f t="shared" si="79"/>
        <v>LO</v>
      </c>
      <c r="Z347" s="5">
        <v>1</v>
      </c>
      <c r="AA347" s="6">
        <f t="shared" si="80"/>
        <v>-1.3524505437843705E-2</v>
      </c>
      <c r="AB347" s="6">
        <f t="shared" si="81"/>
        <v>-1.3524505437843707E-2</v>
      </c>
      <c r="AC347" s="6">
        <f t="shared" si="82"/>
        <v>-1.3524505437843707E-2</v>
      </c>
      <c r="AD347" s="6">
        <f t="shared" si="83"/>
        <v>-1.3524505437843707E-2</v>
      </c>
      <c r="AE347" s="6">
        <f t="shared" si="84"/>
        <v>-1.3524505437843707E-2</v>
      </c>
      <c r="AF347" s="6">
        <f t="shared" si="85"/>
        <v>-1.3524505437843707E-2</v>
      </c>
      <c r="AG347" s="6">
        <f t="shared" si="86"/>
        <v>-1.3524505437843705E-2</v>
      </c>
      <c r="AH347" s="6">
        <f t="shared" si="87"/>
        <v>-1.3524505437843705E-2</v>
      </c>
      <c r="AI347" s="6">
        <f t="shared" si="88"/>
        <v>-1.3524505437843707E-2</v>
      </c>
      <c r="AL347" s="5" t="str">
        <f t="shared" si="89"/>
        <v>BIO</v>
      </c>
      <c r="AM347" s="5">
        <f>1</f>
        <v>1</v>
      </c>
    </row>
    <row r="348" spans="1:39" s="29" customFormat="1" x14ac:dyDescent="0.3">
      <c r="C348" s="30" t="s">
        <v>1593</v>
      </c>
      <c r="D348" s="31" t="s">
        <v>40</v>
      </c>
      <c r="E348" s="31" t="s">
        <v>707</v>
      </c>
      <c r="F348" s="31"/>
      <c r="G348" s="31">
        <v>1</v>
      </c>
      <c r="H348" s="32">
        <f>-SUMIFS('Industrial Summary'!$G:$G,'Industrial Summary'!$F:$F,H$17,'Industrial Summary'!$D:$D,"IFDFSTM")/SUMIFS('Industrial Summary'!$G:$G,'Industrial Summary'!$F:$F,H$17,'Industrial Summary'!$D:$D,$E348)*0.98</f>
        <v>-0.93063995382460685</v>
      </c>
      <c r="I348" s="32">
        <f>-SUMIFS('Industrial Summary'!$G:$G,'Industrial Summary'!$F:$F,I$17,'Industrial Summary'!$D:$D,"IFDFSTM")/SUMIFS('Industrial Summary'!$G:$G,'Industrial Summary'!$F:$F,I$17,'Industrial Summary'!$D:$D,$E348)*0.98</f>
        <v>-0.18638855811216673</v>
      </c>
      <c r="J348" s="32">
        <f>-SUMIFS('Industrial Summary'!$G:$G,'Industrial Summary'!$F:$F,J$17,'Industrial Summary'!$D:$D,"IFDFSTM")/SUMIFS('Industrial Summary'!$G:$G,'Industrial Summary'!$F:$F,J$17,'Industrial Summary'!$D:$D,$E348)*0.98</f>
        <v>-0.36694676623403499</v>
      </c>
      <c r="K348" s="32">
        <f>-SUMIFS('Industrial Summary'!$G:$G,'Industrial Summary'!$F:$F,K$17,'Industrial Summary'!$D:$D,"IFDFSTM")/SUMIFS('Industrial Summary'!$G:$G,'Industrial Summary'!$F:$F,K$17,'Industrial Summary'!$D:$D,$E348)*0.98</f>
        <v>-0.22871454563232069</v>
      </c>
      <c r="L348" s="32">
        <f>-SUMIFS('Industrial Summary'!$G:$G,'Industrial Summary'!$F:$F,L$17,'Industrial Summary'!$D:$D,"IFDFSTM")/SUMIFS('Industrial Summary'!$G:$G,'Industrial Summary'!$F:$F,L$17,'Industrial Summary'!$D:$D,$E348)*0.98</f>
        <v>-0.64152136061618414</v>
      </c>
      <c r="M348" s="32">
        <f>-SUMIFS('Industrial Summary'!$G:$G,'Industrial Summary'!$F:$F,M$17,'Industrial Summary'!$D:$D,"IFDFSTM")/SUMIFS('Industrial Summary'!$G:$G,'Industrial Summary'!$F:$F,M$17,'Industrial Summary'!$D:$D,$E348)*0.98</f>
        <v>-7.0475054771352824E-2</v>
      </c>
      <c r="N348" s="32">
        <f>-SUMIFS('Industrial Summary'!$G:$G,'Industrial Summary'!$F:$F,N$17,'Industrial Summary'!$D:$D,"IFDFSTM")/SUMIFS('Industrial Summary'!$G:$G,'Industrial Summary'!$F:$F,N$17,'Industrial Summary'!$D:$D,$E348)*0.98</f>
        <v>-0.37457876104917626</v>
      </c>
      <c r="O348" s="32">
        <f>-SUMIFS('Industrial Summary'!$G:$G,'Industrial Summary'!$F:$F,O$17,'Industrial Summary'!$D:$D,"IFDFSTM")/SUMIFS('Industrial Summary'!$G:$G,'Industrial Summary'!$F:$F,O$17,'Industrial Summary'!$D:$D,$E348)*0.98</f>
        <v>-0.37895936834405147</v>
      </c>
      <c r="P348" s="32">
        <f>-SUMIFS('Industrial Summary'!$G:$G,'Industrial Summary'!$F:$F,P$17,'Industrial Summary'!$D:$D,"IFDFSTM")/SUMIFS('Industrial Summary'!$G:$G,'Industrial Summary'!$F:$F,P$17,'Industrial Summary'!$D:$D,$E348)*0.98</f>
        <v>-0.96969518522843534</v>
      </c>
      <c r="Q348" s="31">
        <v>0</v>
      </c>
      <c r="R348" s="31">
        <v>15</v>
      </c>
      <c r="S348" s="31" t="str">
        <f t="shared" ref="S348:S373" si="92">_xlfn.CONCAT("UC_",D348)</f>
        <v>UC_IFDST_CHP</v>
      </c>
      <c r="T348" s="31"/>
      <c r="U348" s="31"/>
      <c r="V348" s="30" t="s">
        <v>1593</v>
      </c>
      <c r="W348" s="30" t="s">
        <v>40</v>
      </c>
      <c r="X348" s="30" t="s">
        <v>707</v>
      </c>
      <c r="Y348" s="31"/>
      <c r="Z348" s="31">
        <v>1</v>
      </c>
      <c r="AA348" s="33">
        <f t="shared" si="80"/>
        <v>-0.93063995382460685</v>
      </c>
      <c r="AB348" s="33">
        <f t="shared" si="81"/>
        <v>-0.18638855811216673</v>
      </c>
      <c r="AC348" s="33">
        <f t="shared" si="82"/>
        <v>-0.36694676623403499</v>
      </c>
      <c r="AD348" s="33">
        <f t="shared" si="83"/>
        <v>-0.22871454563232069</v>
      </c>
      <c r="AE348" s="33">
        <f t="shared" si="84"/>
        <v>-0.64152136061618414</v>
      </c>
      <c r="AF348" s="33">
        <f t="shared" si="85"/>
        <v>-7.0475054771352824E-2</v>
      </c>
      <c r="AG348" s="33">
        <f t="shared" si="86"/>
        <v>-0.37457876104917626</v>
      </c>
      <c r="AH348" s="33">
        <f t="shared" si="87"/>
        <v>-0.37895936834405147</v>
      </c>
      <c r="AI348" s="33">
        <f t="shared" si="88"/>
        <v>-0.96969518522843534</v>
      </c>
      <c r="AL348" s="5" t="str">
        <f t="shared" si="89"/>
        <v>CHP</v>
      </c>
      <c r="AM348" s="5">
        <f>1</f>
        <v>1</v>
      </c>
    </row>
    <row r="349" spans="1:39" s="29" customFormat="1" x14ac:dyDescent="0.3">
      <c r="C349" s="30" t="s">
        <v>1594</v>
      </c>
      <c r="D349" s="31" t="s">
        <v>81</v>
      </c>
      <c r="E349" s="31" t="s">
        <v>711</v>
      </c>
      <c r="F349" s="31"/>
      <c r="G349" s="31">
        <v>1</v>
      </c>
      <c r="H349" s="32">
        <f>-SUMIFS('Industrial Summary'!$G:$G,'Industrial Summary'!$F:$F,H$17,'Industrial Summary'!$D:$D,"IFDRSTM")/SUMIFS('Industrial Summary'!$G:$G,'Industrial Summary'!$F:$F,H$17,'Industrial Summary'!$D:$D,$E349)*0.98</f>
        <v>-3.5075129258461094E-3</v>
      </c>
      <c r="I349" s="32">
        <f>-SUMIFS('Industrial Summary'!$G:$G,'Industrial Summary'!$F:$F,I$17,'Industrial Summary'!$D:$D,"IFDRSTM")/SUMIFS('Industrial Summary'!$G:$G,'Industrial Summary'!$F:$F,I$17,'Industrial Summary'!$D:$D,$E349)*0.98</f>
        <v>-0.13986374509814797</v>
      </c>
      <c r="J349" s="32">
        <f>-SUMIFS('Industrial Summary'!$G:$G,'Industrial Summary'!$F:$F,J$17,'Industrial Summary'!$D:$D,"IFDRSTM")/SUMIFS('Industrial Summary'!$G:$G,'Industrial Summary'!$F:$F,J$17,'Industrial Summary'!$D:$D,$E349)*0.98</f>
        <v>-0.30046639410854037</v>
      </c>
      <c r="K349" s="32">
        <f>-SUMIFS('Industrial Summary'!$G:$G,'Industrial Summary'!$F:$F,K$17,'Industrial Summary'!$D:$D,"IFDRSTM")/SUMIFS('Industrial Summary'!$G:$G,'Industrial Summary'!$F:$F,K$17,'Industrial Summary'!$D:$D,$E349)*0.98</f>
        <v>-0.53582005213269746</v>
      </c>
      <c r="L349" s="32">
        <f>-SUMIFS('Industrial Summary'!$G:$G,'Industrial Summary'!$F:$F,L$17,'Industrial Summary'!$D:$D,"IFDRSTM")/SUMIFS('Industrial Summary'!$G:$G,'Industrial Summary'!$F:$F,L$17,'Industrial Summary'!$D:$D,$E349)*0.98</f>
        <v>-0.3143540155031036</v>
      </c>
      <c r="M349" s="32">
        <f>-SUMIFS('Industrial Summary'!$G:$G,'Industrial Summary'!$F:$F,M$17,'Industrial Summary'!$D:$D,"IFDRSTM")/SUMIFS('Industrial Summary'!$G:$G,'Industrial Summary'!$F:$F,M$17,'Industrial Summary'!$D:$D,$E349)*0.98</f>
        <v>-0.64045189847565964</v>
      </c>
      <c r="N349" s="32">
        <f>-SUMIFS('Industrial Summary'!$G:$G,'Industrial Summary'!$F:$F,N$17,'Industrial Summary'!$D:$D,"IFDRSTM")/SUMIFS('Industrial Summary'!$G:$G,'Industrial Summary'!$F:$F,N$17,'Industrial Summary'!$D:$D,$E349)*0.98</f>
        <v>-0.70629282909956981</v>
      </c>
      <c r="O349" s="32">
        <f>-SUMIFS('Industrial Summary'!$G:$G,'Industrial Summary'!$F:$F,O$17,'Industrial Summary'!$D:$D,"IFDRSTM")/SUMIFS('Industrial Summary'!$G:$G,'Industrial Summary'!$F:$F,O$17,'Industrial Summary'!$D:$D,$E349)*0.98</f>
        <v>-2.6398031257779453E-2</v>
      </c>
      <c r="P349" s="32">
        <f>-SUMIFS('Industrial Summary'!$G:$G,'Industrial Summary'!$F:$F,P$17,'Industrial Summary'!$D:$D,"IFDRSTM")/SUMIFS('Industrial Summary'!$G:$G,'Industrial Summary'!$F:$F,P$17,'Industrial Summary'!$D:$D,$E349)*0.98</f>
        <v>-0.47192264916621263</v>
      </c>
      <c r="Q349" s="31">
        <v>0</v>
      </c>
      <c r="R349" s="31">
        <v>15</v>
      </c>
      <c r="S349" s="31" t="str">
        <f t="shared" si="92"/>
        <v>UC_IFDOH_CHP</v>
      </c>
      <c r="T349" s="31"/>
      <c r="U349" s="31"/>
      <c r="V349" s="30" t="s">
        <v>1594</v>
      </c>
      <c r="W349" s="30" t="s">
        <v>81</v>
      </c>
      <c r="X349" s="30" t="s">
        <v>711</v>
      </c>
      <c r="Y349" s="31"/>
      <c r="Z349" s="31">
        <v>1</v>
      </c>
      <c r="AA349" s="33">
        <f t="shared" si="80"/>
        <v>-3.5075129258461094E-3</v>
      </c>
      <c r="AB349" s="33">
        <f t="shared" si="81"/>
        <v>-0.13986374509814797</v>
      </c>
      <c r="AC349" s="33">
        <f t="shared" si="82"/>
        <v>-0.30046639410854037</v>
      </c>
      <c r="AD349" s="33">
        <f t="shared" si="83"/>
        <v>-0.53582005213269746</v>
      </c>
      <c r="AE349" s="33">
        <f t="shared" si="84"/>
        <v>-0.3143540155031036</v>
      </c>
      <c r="AF349" s="33">
        <f t="shared" si="85"/>
        <v>-0.64045189847565964</v>
      </c>
      <c r="AG349" s="33">
        <f t="shared" si="86"/>
        <v>-0.70629282909956981</v>
      </c>
      <c r="AH349" s="33">
        <f t="shared" si="87"/>
        <v>-2.6398031257779453E-2</v>
      </c>
      <c r="AI349" s="33">
        <f t="shared" si="88"/>
        <v>-0.47192264916621263</v>
      </c>
      <c r="AL349" s="5" t="str">
        <f t="shared" si="89"/>
        <v>CHP</v>
      </c>
      <c r="AM349" s="5">
        <f>1</f>
        <v>1</v>
      </c>
    </row>
    <row r="350" spans="1:39" s="3" customFormat="1" x14ac:dyDescent="0.3">
      <c r="C350" s="30" t="s">
        <v>84</v>
      </c>
      <c r="D350" s="31" t="s">
        <v>85</v>
      </c>
      <c r="E350" s="31" t="s">
        <v>769</v>
      </c>
      <c r="F350" s="31"/>
      <c r="G350" s="31">
        <v>1</v>
      </c>
      <c r="H350" s="33">
        <v>-1</v>
      </c>
      <c r="I350" s="33">
        <v>-1</v>
      </c>
      <c r="J350" s="33">
        <v>0</v>
      </c>
      <c r="K350" s="33">
        <v>0</v>
      </c>
      <c r="L350" s="33">
        <v>-0.94686436387333184</v>
      </c>
      <c r="M350" s="33">
        <v>-0.86220263486541715</v>
      </c>
      <c r="N350" s="33">
        <v>-0.63270476011734322</v>
      </c>
      <c r="O350" s="33">
        <v>-1</v>
      </c>
      <c r="P350" s="33">
        <v>-1</v>
      </c>
      <c r="Q350" s="31">
        <v>0</v>
      </c>
      <c r="R350" s="31">
        <v>15</v>
      </c>
      <c r="S350" s="31" t="str">
        <f t="shared" si="92"/>
        <v>UC_IPLST_CHP</v>
      </c>
      <c r="T350" s="31"/>
      <c r="U350" s="31"/>
      <c r="V350" s="30" t="s">
        <v>84</v>
      </c>
      <c r="W350" s="30" t="s">
        <v>85</v>
      </c>
      <c r="X350" s="30" t="s">
        <v>769</v>
      </c>
      <c r="Y350" s="31"/>
      <c r="Z350" s="31">
        <v>1</v>
      </c>
      <c r="AA350" s="33">
        <f t="shared" si="80"/>
        <v>-1</v>
      </c>
      <c r="AB350" s="33">
        <f t="shared" si="81"/>
        <v>-1</v>
      </c>
      <c r="AC350" s="33">
        <f t="shared" si="82"/>
        <v>0</v>
      </c>
      <c r="AD350" s="33">
        <f t="shared" si="83"/>
        <v>0</v>
      </c>
      <c r="AE350" s="33">
        <f t="shared" si="84"/>
        <v>-0.94686436387333184</v>
      </c>
      <c r="AF350" s="33">
        <f t="shared" si="85"/>
        <v>-0.86220263486541715</v>
      </c>
      <c r="AG350" s="33">
        <f t="shared" si="86"/>
        <v>-0.63270476011734322</v>
      </c>
      <c r="AH350" s="33">
        <f t="shared" si="87"/>
        <v>-1</v>
      </c>
      <c r="AI350" s="33">
        <f t="shared" si="88"/>
        <v>-1</v>
      </c>
      <c r="AL350" s="5" t="str">
        <f t="shared" si="89"/>
        <v>CHP</v>
      </c>
      <c r="AM350" s="5">
        <f>1</f>
        <v>1</v>
      </c>
    </row>
    <row r="351" spans="1:39" s="3" customFormat="1" x14ac:dyDescent="0.3">
      <c r="C351" s="30" t="s">
        <v>98</v>
      </c>
      <c r="D351" s="31" t="s">
        <v>99</v>
      </c>
      <c r="E351" s="31" t="s">
        <v>753</v>
      </c>
      <c r="F351" s="31"/>
      <c r="G351" s="31">
        <v>1</v>
      </c>
      <c r="H351" s="33">
        <v>0</v>
      </c>
      <c r="I351" s="33">
        <v>0</v>
      </c>
      <c r="J351" s="33">
        <v>0</v>
      </c>
      <c r="K351" s="33">
        <v>0</v>
      </c>
      <c r="L351" s="33">
        <v>-0.25793271586835681</v>
      </c>
      <c r="M351" s="33">
        <v>-0.15581150195861457</v>
      </c>
      <c r="N351" s="33">
        <v>-7.9871160924340878E-2</v>
      </c>
      <c r="O351" s="33">
        <v>0</v>
      </c>
      <c r="P351" s="33">
        <v>0</v>
      </c>
      <c r="Q351" s="31">
        <v>0</v>
      </c>
      <c r="R351" s="31">
        <v>15</v>
      </c>
      <c r="S351" s="31" t="str">
        <f t="shared" si="92"/>
        <v>UC_IPLOH_CHP</v>
      </c>
      <c r="T351" s="31"/>
      <c r="U351" s="31"/>
      <c r="V351" s="30" t="s">
        <v>98</v>
      </c>
      <c r="W351" s="30" t="s">
        <v>99</v>
      </c>
      <c r="X351" s="30" t="s">
        <v>753</v>
      </c>
      <c r="Y351" s="31"/>
      <c r="Z351" s="31">
        <v>1</v>
      </c>
      <c r="AA351" s="33">
        <f t="shared" si="80"/>
        <v>0</v>
      </c>
      <c r="AB351" s="33">
        <f t="shared" si="81"/>
        <v>0</v>
      </c>
      <c r="AC351" s="33">
        <f t="shared" si="82"/>
        <v>0</v>
      </c>
      <c r="AD351" s="33">
        <f t="shared" si="83"/>
        <v>0</v>
      </c>
      <c r="AE351" s="33">
        <f t="shared" si="84"/>
        <v>-0.25793271586835681</v>
      </c>
      <c r="AF351" s="33">
        <f t="shared" si="85"/>
        <v>-0.15581150195861457</v>
      </c>
      <c r="AG351" s="33">
        <f t="shared" si="86"/>
        <v>-7.9871160924340878E-2</v>
      </c>
      <c r="AH351" s="33">
        <f t="shared" si="87"/>
        <v>0</v>
      </c>
      <c r="AI351" s="33">
        <f t="shared" si="88"/>
        <v>0</v>
      </c>
      <c r="AL351" s="5" t="str">
        <f t="shared" si="89"/>
        <v>CHP</v>
      </c>
      <c r="AM351" s="5">
        <f>1</f>
        <v>1</v>
      </c>
    </row>
    <row r="352" spans="1:39" s="3" customFormat="1" x14ac:dyDescent="0.3">
      <c r="C352" s="30" t="s">
        <v>108</v>
      </c>
      <c r="D352" s="31" t="s">
        <v>109</v>
      </c>
      <c r="E352" s="31" t="s">
        <v>770</v>
      </c>
      <c r="F352" s="31"/>
      <c r="G352" s="31">
        <v>1</v>
      </c>
      <c r="H352" s="33">
        <v>-0.95477578012113562</v>
      </c>
      <c r="I352" s="33">
        <v>-0.81386095301019634</v>
      </c>
      <c r="J352" s="33">
        <v>-0.75366628275641545</v>
      </c>
      <c r="K352" s="33">
        <v>-0.92652559519101307</v>
      </c>
      <c r="L352" s="33">
        <v>-0.92824176815294712</v>
      </c>
      <c r="M352" s="33">
        <v>-0.75423783372658382</v>
      </c>
      <c r="N352" s="33">
        <v>-0.77919483884697116</v>
      </c>
      <c r="O352" s="33">
        <v>-0.99117820068327867</v>
      </c>
      <c r="P352" s="33">
        <v>-0.53113842286786939</v>
      </c>
      <c r="Q352" s="31">
        <v>0</v>
      </c>
      <c r="R352" s="31">
        <v>15</v>
      </c>
      <c r="S352" s="31" t="str">
        <f t="shared" si="92"/>
        <v>UC_IPAST_CHP</v>
      </c>
      <c r="T352" s="31"/>
      <c r="U352" s="31"/>
      <c r="V352" s="30" t="s">
        <v>108</v>
      </c>
      <c r="W352" s="30" t="s">
        <v>109</v>
      </c>
      <c r="X352" s="30" t="s">
        <v>770</v>
      </c>
      <c r="Y352" s="31"/>
      <c r="Z352" s="31">
        <v>1</v>
      </c>
      <c r="AA352" s="33">
        <f t="shared" si="80"/>
        <v>-0.95477578012113562</v>
      </c>
      <c r="AB352" s="33">
        <f t="shared" si="81"/>
        <v>-0.81386095301019634</v>
      </c>
      <c r="AC352" s="33">
        <f t="shared" si="82"/>
        <v>-0.75366628275641545</v>
      </c>
      <c r="AD352" s="33">
        <f t="shared" si="83"/>
        <v>-0.92652559519101307</v>
      </c>
      <c r="AE352" s="33">
        <f t="shared" si="84"/>
        <v>-0.92824176815294712</v>
      </c>
      <c r="AF352" s="33">
        <f t="shared" si="85"/>
        <v>-0.75423783372658382</v>
      </c>
      <c r="AG352" s="33">
        <f t="shared" si="86"/>
        <v>-0.77919483884697116</v>
      </c>
      <c r="AH352" s="33">
        <f t="shared" si="87"/>
        <v>-0.99117820068327867</v>
      </c>
      <c r="AI352" s="33">
        <f t="shared" si="88"/>
        <v>-0.53113842286786939</v>
      </c>
      <c r="AL352" s="5" t="str">
        <f t="shared" si="89"/>
        <v>CHP</v>
      </c>
      <c r="AM352" s="5">
        <f>1</f>
        <v>1</v>
      </c>
    </row>
    <row r="353" spans="3:39" s="3" customFormat="1" x14ac:dyDescent="0.3">
      <c r="C353" s="30" t="s">
        <v>140</v>
      </c>
      <c r="D353" s="31" t="s">
        <v>141</v>
      </c>
      <c r="E353" s="31" t="s">
        <v>754</v>
      </c>
      <c r="F353" s="31"/>
      <c r="G353" s="31">
        <v>1</v>
      </c>
      <c r="H353" s="33">
        <v>-0.59046607313545341</v>
      </c>
      <c r="I353" s="33">
        <v>-0.71981719416560341</v>
      </c>
      <c r="J353" s="33">
        <v>-0.65227750353689307</v>
      </c>
      <c r="K353" s="33">
        <v>-0.16907347261396577</v>
      </c>
      <c r="L353" s="33">
        <v>-0.468118012821086</v>
      </c>
      <c r="M353" s="33">
        <v>-0.73868180149827511</v>
      </c>
      <c r="N353" s="33">
        <v>-0.7242216327734875</v>
      </c>
      <c r="O353" s="33">
        <v>-0.40923461855270682</v>
      </c>
      <c r="P353" s="33">
        <v>-0.54583467144692721</v>
      </c>
      <c r="Q353" s="31">
        <v>0</v>
      </c>
      <c r="R353" s="31">
        <v>15</v>
      </c>
      <c r="S353" s="31" t="str">
        <f t="shared" si="92"/>
        <v>UC_IPAOH_CHP</v>
      </c>
      <c r="T353" s="31"/>
      <c r="U353" s="31"/>
      <c r="V353" s="30" t="s">
        <v>140</v>
      </c>
      <c r="W353" s="30" t="s">
        <v>141</v>
      </c>
      <c r="X353" s="30" t="s">
        <v>754</v>
      </c>
      <c r="Y353" s="31"/>
      <c r="Z353" s="31">
        <v>1</v>
      </c>
      <c r="AA353" s="33">
        <f t="shared" si="80"/>
        <v>-0.59046607313545341</v>
      </c>
      <c r="AB353" s="33">
        <f t="shared" si="81"/>
        <v>-0.71981719416560341</v>
      </c>
      <c r="AC353" s="33">
        <f t="shared" si="82"/>
        <v>-0.65227750353689307</v>
      </c>
      <c r="AD353" s="33">
        <f t="shared" si="83"/>
        <v>-0.16907347261396577</v>
      </c>
      <c r="AE353" s="33">
        <f t="shared" si="84"/>
        <v>-0.468118012821086</v>
      </c>
      <c r="AF353" s="33">
        <f t="shared" si="85"/>
        <v>-0.73868180149827511</v>
      </c>
      <c r="AG353" s="33">
        <f t="shared" si="86"/>
        <v>-0.7242216327734875</v>
      </c>
      <c r="AH353" s="33">
        <f t="shared" si="87"/>
        <v>-0.40923461855270682</v>
      </c>
      <c r="AI353" s="33">
        <f t="shared" si="88"/>
        <v>-0.54583467144692721</v>
      </c>
      <c r="AL353" s="5" t="str">
        <f t="shared" si="89"/>
        <v>CHP</v>
      </c>
      <c r="AM353" s="5">
        <f>1</f>
        <v>1</v>
      </c>
    </row>
    <row r="354" spans="3:39" s="3" customFormat="1" x14ac:dyDescent="0.3">
      <c r="C354" s="30" t="s">
        <v>144</v>
      </c>
      <c r="D354" s="31" t="s">
        <v>145</v>
      </c>
      <c r="E354" s="31" t="s">
        <v>771</v>
      </c>
      <c r="F354" s="31"/>
      <c r="G354" s="31">
        <v>1</v>
      </c>
      <c r="H354" s="33">
        <v>-1.2763860722470875E-2</v>
      </c>
      <c r="I354" s="33">
        <v>-1.7726740567515078E-2</v>
      </c>
      <c r="J354" s="33">
        <v>0</v>
      </c>
      <c r="K354" s="33">
        <v>0</v>
      </c>
      <c r="L354" s="33">
        <v>-1.8218924292707307E-2</v>
      </c>
      <c r="M354" s="33">
        <v>-2.9481602094798356E-2</v>
      </c>
      <c r="N354" s="33">
        <v>-1.5602176920698924E-2</v>
      </c>
      <c r="O354" s="33">
        <v>0</v>
      </c>
      <c r="P354" s="33">
        <v>0</v>
      </c>
      <c r="Q354" s="31">
        <v>0</v>
      </c>
      <c r="R354" s="31">
        <v>15</v>
      </c>
      <c r="S354" s="31" t="str">
        <f t="shared" si="92"/>
        <v>UC_IPBST_RFL</v>
      </c>
      <c r="T354" s="31"/>
      <c r="U354" s="31"/>
      <c r="V354" s="30" t="s">
        <v>144</v>
      </c>
      <c r="W354" s="30" t="s">
        <v>145</v>
      </c>
      <c r="X354" s="30" t="s">
        <v>771</v>
      </c>
      <c r="Y354" s="31"/>
      <c r="Z354" s="31">
        <v>1</v>
      </c>
      <c r="AA354" s="33">
        <f t="shared" si="80"/>
        <v>-1.2763860722470875E-2</v>
      </c>
      <c r="AB354" s="33">
        <f t="shared" si="81"/>
        <v>-1.7726740567515078E-2</v>
      </c>
      <c r="AC354" s="33">
        <f t="shared" si="82"/>
        <v>0</v>
      </c>
      <c r="AD354" s="33">
        <f t="shared" si="83"/>
        <v>0</v>
      </c>
      <c r="AE354" s="33">
        <f t="shared" si="84"/>
        <v>-1.8218924292707307E-2</v>
      </c>
      <c r="AF354" s="33">
        <f t="shared" si="85"/>
        <v>-2.9481602094798356E-2</v>
      </c>
      <c r="AG354" s="33">
        <f t="shared" si="86"/>
        <v>-1.5602176920698924E-2</v>
      </c>
      <c r="AH354" s="33">
        <f t="shared" si="87"/>
        <v>0</v>
      </c>
      <c r="AI354" s="33">
        <f t="shared" si="88"/>
        <v>0</v>
      </c>
      <c r="AL354" s="5" t="str">
        <f t="shared" si="89"/>
        <v>RFL</v>
      </c>
      <c r="AM354" s="5">
        <f>1</f>
        <v>1</v>
      </c>
    </row>
    <row r="355" spans="3:39" s="3" customFormat="1" x14ac:dyDescent="0.3">
      <c r="C355" s="30" t="s">
        <v>150</v>
      </c>
      <c r="D355" s="31" t="s">
        <v>151</v>
      </c>
      <c r="E355" s="31" t="s">
        <v>771</v>
      </c>
      <c r="F355" s="31"/>
      <c r="G355" s="31">
        <v>1</v>
      </c>
      <c r="H355" s="33">
        <v>-0.86580317311953237</v>
      </c>
      <c r="I355" s="33">
        <v>-0.96367958858446068</v>
      </c>
      <c r="J355" s="33">
        <v>-0.81697879434169107</v>
      </c>
      <c r="K355" s="33">
        <v>-0.97739071928783605</v>
      </c>
      <c r="L355" s="33">
        <v>-0.91343297847944971</v>
      </c>
      <c r="M355" s="33">
        <v>-0.95010894958043479</v>
      </c>
      <c r="N355" s="33">
        <v>-0.87921858785336238</v>
      </c>
      <c r="O355" s="33">
        <v>0</v>
      </c>
      <c r="P355" s="33">
        <v>-0.53943414831018976</v>
      </c>
      <c r="Q355" s="31">
        <v>0</v>
      </c>
      <c r="R355" s="31">
        <v>15</v>
      </c>
      <c r="S355" s="31" t="str">
        <f t="shared" si="92"/>
        <v>UC_IPBST_CHP</v>
      </c>
      <c r="T355" s="31"/>
      <c r="U355" s="31"/>
      <c r="V355" s="30" t="s">
        <v>150</v>
      </c>
      <c r="W355" s="30" t="s">
        <v>151</v>
      </c>
      <c r="X355" s="30" t="s">
        <v>771</v>
      </c>
      <c r="Y355" s="31"/>
      <c r="Z355" s="31">
        <v>1</v>
      </c>
      <c r="AA355" s="33">
        <f t="shared" si="80"/>
        <v>-0.86580317311953237</v>
      </c>
      <c r="AB355" s="33">
        <f t="shared" si="81"/>
        <v>-0.96367958858446068</v>
      </c>
      <c r="AC355" s="33">
        <f t="shared" si="82"/>
        <v>-0.81697879434169107</v>
      </c>
      <c r="AD355" s="33">
        <f t="shared" si="83"/>
        <v>-0.97739071928783605</v>
      </c>
      <c r="AE355" s="33">
        <f t="shared" si="84"/>
        <v>-0.91343297847944971</v>
      </c>
      <c r="AF355" s="33">
        <f t="shared" si="85"/>
        <v>-0.95010894958043479</v>
      </c>
      <c r="AG355" s="33">
        <f t="shared" si="86"/>
        <v>-0.87921858785336238</v>
      </c>
      <c r="AH355" s="33">
        <f t="shared" si="87"/>
        <v>0</v>
      </c>
      <c r="AI355" s="33">
        <f t="shared" si="88"/>
        <v>-0.53943414831018976</v>
      </c>
      <c r="AL355" s="5" t="str">
        <f t="shared" si="89"/>
        <v>CHP</v>
      </c>
      <c r="AM355" s="5">
        <f>1</f>
        <v>1</v>
      </c>
    </row>
    <row r="356" spans="3:39" s="3" customFormat="1" x14ac:dyDescent="0.3">
      <c r="C356" s="30" t="s">
        <v>178</v>
      </c>
      <c r="D356" s="31" t="s">
        <v>179</v>
      </c>
      <c r="E356" s="31" t="s">
        <v>755</v>
      </c>
      <c r="F356" s="31"/>
      <c r="G356" s="31">
        <v>1</v>
      </c>
      <c r="H356" s="33">
        <v>-0.94608569379462437</v>
      </c>
      <c r="I356" s="33">
        <v>0</v>
      </c>
      <c r="J356" s="33">
        <v>0</v>
      </c>
      <c r="K356" s="33">
        <v>-0.78200243540242287</v>
      </c>
      <c r="L356" s="33">
        <v>-0.20303693517641946</v>
      </c>
      <c r="M356" s="33">
        <v>-0.21058732871802147</v>
      </c>
      <c r="N356" s="33">
        <v>-0.43072963876752007</v>
      </c>
      <c r="O356" s="33">
        <v>-0.66397403539908539</v>
      </c>
      <c r="P356" s="33">
        <v>-0.21087809747709763</v>
      </c>
      <c r="Q356" s="31">
        <v>0</v>
      </c>
      <c r="R356" s="31">
        <v>15</v>
      </c>
      <c r="S356" s="31" t="str">
        <f t="shared" si="92"/>
        <v>UC_IPBOH_CHP</v>
      </c>
      <c r="T356" s="31"/>
      <c r="U356" s="31"/>
      <c r="V356" s="30" t="s">
        <v>178</v>
      </c>
      <c r="W356" s="30" t="s">
        <v>179</v>
      </c>
      <c r="X356" s="30" t="s">
        <v>755</v>
      </c>
      <c r="Y356" s="31"/>
      <c r="Z356" s="31">
        <v>1</v>
      </c>
      <c r="AA356" s="33">
        <f t="shared" si="80"/>
        <v>-0.94608569379462437</v>
      </c>
      <c r="AB356" s="33">
        <f t="shared" si="81"/>
        <v>0</v>
      </c>
      <c r="AC356" s="33">
        <f t="shared" si="82"/>
        <v>0</v>
      </c>
      <c r="AD356" s="33">
        <f t="shared" si="83"/>
        <v>-0.78200243540242287</v>
      </c>
      <c r="AE356" s="33">
        <f t="shared" si="84"/>
        <v>-0.20303693517641946</v>
      </c>
      <c r="AF356" s="33">
        <f t="shared" si="85"/>
        <v>-0.21058732871802147</v>
      </c>
      <c r="AG356" s="33">
        <f t="shared" si="86"/>
        <v>-0.43072963876752007</v>
      </c>
      <c r="AH356" s="33">
        <f t="shared" si="87"/>
        <v>-0.66397403539908539</v>
      </c>
      <c r="AI356" s="33">
        <f t="shared" si="88"/>
        <v>-0.21087809747709763</v>
      </c>
      <c r="AL356" s="5" t="str">
        <f t="shared" si="89"/>
        <v>CHP</v>
      </c>
      <c r="AM356" s="5">
        <f>1</f>
        <v>1</v>
      </c>
    </row>
    <row r="357" spans="3:39" s="3" customFormat="1" x14ac:dyDescent="0.3">
      <c r="C357" s="30" t="s">
        <v>182</v>
      </c>
      <c r="D357" s="31" t="s">
        <v>183</v>
      </c>
      <c r="E357" s="31" t="s">
        <v>772</v>
      </c>
      <c r="F357" s="31"/>
      <c r="G357" s="31">
        <v>1</v>
      </c>
      <c r="H357" s="33">
        <v>-3.9565890293697399E-2</v>
      </c>
      <c r="I357" s="33">
        <v>-0.10370011033380025</v>
      </c>
      <c r="J357" s="33">
        <v>0</v>
      </c>
      <c r="K357" s="33">
        <v>0</v>
      </c>
      <c r="L357" s="33">
        <v>0</v>
      </c>
      <c r="M357" s="33">
        <v>0</v>
      </c>
      <c r="N357" s="33">
        <v>0</v>
      </c>
      <c r="O357" s="33">
        <v>-0.9205121784357323</v>
      </c>
      <c r="P357" s="33">
        <v>-0.51884192450820033</v>
      </c>
      <c r="Q357" s="31">
        <v>0</v>
      </c>
      <c r="R357" s="31">
        <v>15</v>
      </c>
      <c r="S357" s="31" t="str">
        <f t="shared" si="92"/>
        <v>UC_IPOST_RFL</v>
      </c>
      <c r="T357" s="31"/>
      <c r="U357" s="31"/>
      <c r="V357" s="30" t="s">
        <v>182</v>
      </c>
      <c r="W357" s="30" t="s">
        <v>183</v>
      </c>
      <c r="X357" s="30" t="s">
        <v>772</v>
      </c>
      <c r="Y357" s="31"/>
      <c r="Z357" s="31">
        <v>1</v>
      </c>
      <c r="AA357" s="33">
        <f t="shared" si="80"/>
        <v>-3.9565890293697399E-2</v>
      </c>
      <c r="AB357" s="33">
        <f t="shared" si="81"/>
        <v>-0.10370011033380025</v>
      </c>
      <c r="AC357" s="33">
        <f t="shared" si="82"/>
        <v>0</v>
      </c>
      <c r="AD357" s="33">
        <f t="shared" si="83"/>
        <v>0</v>
      </c>
      <c r="AE357" s="33">
        <f t="shared" si="84"/>
        <v>0</v>
      </c>
      <c r="AF357" s="33">
        <f t="shared" si="85"/>
        <v>0</v>
      </c>
      <c r="AG357" s="33">
        <f t="shared" si="86"/>
        <v>0</v>
      </c>
      <c r="AH357" s="33">
        <f t="shared" si="87"/>
        <v>-0.9205121784357323</v>
      </c>
      <c r="AI357" s="33">
        <f t="shared" si="88"/>
        <v>-0.51884192450820033</v>
      </c>
      <c r="AL357" s="5" t="str">
        <f t="shared" si="89"/>
        <v>RFL</v>
      </c>
      <c r="AM357" s="5">
        <f>1</f>
        <v>1</v>
      </c>
    </row>
    <row r="358" spans="3:39" s="3" customFormat="1" x14ac:dyDescent="0.3">
      <c r="C358" s="30" t="s">
        <v>188</v>
      </c>
      <c r="D358" s="31" t="s">
        <v>189</v>
      </c>
      <c r="E358" s="31" t="s">
        <v>772</v>
      </c>
      <c r="F358" s="31"/>
      <c r="G358" s="31">
        <v>1</v>
      </c>
      <c r="H358" s="33">
        <v>-0.89745305527974828</v>
      </c>
      <c r="I358" s="33">
        <v>-0.86473584872913689</v>
      </c>
      <c r="J358" s="33">
        <v>0</v>
      </c>
      <c r="K358" s="33">
        <v>-4.6370112931394827E-2</v>
      </c>
      <c r="L358" s="33">
        <v>-9.0352760458959763E-2</v>
      </c>
      <c r="M358" s="33">
        <v>0</v>
      </c>
      <c r="N358" s="33">
        <v>0</v>
      </c>
      <c r="O358" s="33">
        <v>0</v>
      </c>
      <c r="P358" s="33">
        <v>-0.36461635664353659</v>
      </c>
      <c r="Q358" s="31">
        <v>0</v>
      </c>
      <c r="R358" s="31">
        <v>15</v>
      </c>
      <c r="S358" s="31" t="str">
        <f t="shared" si="92"/>
        <v>UC_IPOST_CHP</v>
      </c>
      <c r="T358" s="31"/>
      <c r="U358" s="31"/>
      <c r="V358" s="30" t="s">
        <v>188</v>
      </c>
      <c r="W358" s="30" t="s">
        <v>189</v>
      </c>
      <c r="X358" s="30" t="s">
        <v>772</v>
      </c>
      <c r="Y358" s="31"/>
      <c r="Z358" s="31">
        <v>1</v>
      </c>
      <c r="AA358" s="33">
        <f t="shared" si="80"/>
        <v>-0.89745305527974828</v>
      </c>
      <c r="AB358" s="33">
        <f t="shared" si="81"/>
        <v>-0.86473584872913689</v>
      </c>
      <c r="AC358" s="33">
        <f t="shared" si="82"/>
        <v>0</v>
      </c>
      <c r="AD358" s="33">
        <f t="shared" si="83"/>
        <v>-4.6370112931394827E-2</v>
      </c>
      <c r="AE358" s="33">
        <f t="shared" si="84"/>
        <v>-9.0352760458959763E-2</v>
      </c>
      <c r="AF358" s="33">
        <f t="shared" si="85"/>
        <v>0</v>
      </c>
      <c r="AG358" s="33">
        <f t="shared" si="86"/>
        <v>0</v>
      </c>
      <c r="AH358" s="33">
        <f t="shared" si="87"/>
        <v>0</v>
      </c>
      <c r="AI358" s="33">
        <f t="shared" si="88"/>
        <v>-0.36461635664353659</v>
      </c>
      <c r="AL358" s="5" t="str">
        <f t="shared" si="89"/>
        <v>CHP</v>
      </c>
      <c r="AM358" s="5">
        <f>1</f>
        <v>1</v>
      </c>
    </row>
    <row r="359" spans="3:39" s="3" customFormat="1" x14ac:dyDescent="0.3">
      <c r="C359" s="30" t="s">
        <v>216</v>
      </c>
      <c r="D359" s="31" t="s">
        <v>217</v>
      </c>
      <c r="E359" s="31" t="s">
        <v>756</v>
      </c>
      <c r="F359" s="31"/>
      <c r="G359" s="31">
        <v>1</v>
      </c>
      <c r="H359" s="33">
        <v>0</v>
      </c>
      <c r="I359" s="33">
        <v>-1.3392779842248768E-2</v>
      </c>
      <c r="J359" s="33">
        <v>-0.20359624739590637</v>
      </c>
      <c r="K359" s="33">
        <v>-0.24754730375603404</v>
      </c>
      <c r="L359" s="33">
        <v>-4.8938034977610685E-2</v>
      </c>
      <c r="M359" s="33">
        <v>0</v>
      </c>
      <c r="N359" s="33">
        <v>0</v>
      </c>
      <c r="O359" s="33">
        <v>0</v>
      </c>
      <c r="P359" s="33">
        <v>0</v>
      </c>
      <c r="Q359" s="31">
        <v>0</v>
      </c>
      <c r="R359" s="31">
        <v>15</v>
      </c>
      <c r="S359" s="31" t="str">
        <f t="shared" si="92"/>
        <v>UC_IPOOH_CHP</v>
      </c>
      <c r="T359" s="31"/>
      <c r="U359" s="31"/>
      <c r="V359" s="30" t="s">
        <v>216</v>
      </c>
      <c r="W359" s="30" t="s">
        <v>217</v>
      </c>
      <c r="X359" s="30" t="s">
        <v>756</v>
      </c>
      <c r="Y359" s="31"/>
      <c r="Z359" s="31">
        <v>1</v>
      </c>
      <c r="AA359" s="33">
        <f t="shared" si="80"/>
        <v>0</v>
      </c>
      <c r="AB359" s="33">
        <f t="shared" si="81"/>
        <v>-1.3392779842248768E-2</v>
      </c>
      <c r="AC359" s="33">
        <f t="shared" si="82"/>
        <v>-0.20359624739590637</v>
      </c>
      <c r="AD359" s="33">
        <f t="shared" si="83"/>
        <v>-0.24754730375603404</v>
      </c>
      <c r="AE359" s="33">
        <f t="shared" si="84"/>
        <v>-4.8938034977610685E-2</v>
      </c>
      <c r="AF359" s="33">
        <f t="shared" si="85"/>
        <v>0</v>
      </c>
      <c r="AG359" s="33">
        <f t="shared" si="86"/>
        <v>0</v>
      </c>
      <c r="AH359" s="33">
        <f t="shared" si="87"/>
        <v>0</v>
      </c>
      <c r="AI359" s="33">
        <f t="shared" si="88"/>
        <v>0</v>
      </c>
      <c r="AL359" s="5" t="str">
        <f t="shared" si="89"/>
        <v>CHP</v>
      </c>
      <c r="AM359" s="5">
        <f>1</f>
        <v>1</v>
      </c>
    </row>
    <row r="360" spans="3:39" s="3" customFormat="1" x14ac:dyDescent="0.3">
      <c r="C360" s="30" t="s">
        <v>232</v>
      </c>
      <c r="D360" s="31" t="s">
        <v>233</v>
      </c>
      <c r="E360" s="31" t="s">
        <v>773</v>
      </c>
      <c r="F360" s="31"/>
      <c r="G360" s="31">
        <v>1</v>
      </c>
      <c r="H360" s="33">
        <f>(IF(SUMIFS('Industrial Summary'!$G:$G,'Industrial Summary'!$F:$F,H$17,'Industrial Summary'!$D:$D,$E360)&gt;0,((-SUMIFS('Industrial Summary'!$G:$G,'Industrial Summary'!$F:$F,H$17,'Industrial Summary'!$D:$D,$E360,'Industrial Summary'!$A:$A,"ELC")+-SUMIFS('Industrial Summary'!$G:$G,'Industrial Summary'!$F:$F,H$17,'Industrial Summary'!$D:$D,"ICOFSTM",'Industrial Summary'!$A:$A,"ELC"))/SUMIFS('Industrial Summary'!$G:$G,'Industrial Summary'!$F:$F,H$17,'Industrial Summary'!$D:$D,$E360)),0))*0.98</f>
        <v>-0.98</v>
      </c>
      <c r="I360" s="33">
        <v>-0.91173199237351688</v>
      </c>
      <c r="J360" s="33">
        <v>-0.85468392025632711</v>
      </c>
      <c r="K360" s="33">
        <v>-0.61923014625353312</v>
      </c>
      <c r="L360" s="33">
        <v>-0.63072715076512231</v>
      </c>
      <c r="M360" s="33">
        <v>0</v>
      </c>
      <c r="N360" s="33">
        <v>-0.34431267091933526</v>
      </c>
      <c r="O360" s="33">
        <v>-0.89873963074015106</v>
      </c>
      <c r="P360" s="33">
        <v>-0.89033383571044755</v>
      </c>
      <c r="Q360" s="31">
        <v>0</v>
      </c>
      <c r="R360" s="31">
        <v>15</v>
      </c>
      <c r="S360" s="31" t="str">
        <f t="shared" si="92"/>
        <v>UC_ICOST_CHP</v>
      </c>
      <c r="T360" s="31"/>
      <c r="U360" s="31"/>
      <c r="V360" s="30" t="s">
        <v>232</v>
      </c>
      <c r="W360" s="30" t="s">
        <v>233</v>
      </c>
      <c r="X360" s="30" t="s">
        <v>773</v>
      </c>
      <c r="Y360" s="31"/>
      <c r="Z360" s="31">
        <v>1</v>
      </c>
      <c r="AA360" s="33">
        <f t="shared" si="80"/>
        <v>-0.98</v>
      </c>
      <c r="AB360" s="33">
        <f t="shared" si="81"/>
        <v>-0.91173199237351688</v>
      </c>
      <c r="AC360" s="33">
        <f t="shared" si="82"/>
        <v>-0.85468392025632711</v>
      </c>
      <c r="AD360" s="33">
        <f t="shared" si="83"/>
        <v>-0.61923014625353312</v>
      </c>
      <c r="AE360" s="33">
        <f t="shared" si="84"/>
        <v>-0.63072715076512231</v>
      </c>
      <c r="AF360" s="33">
        <f t="shared" si="85"/>
        <v>0</v>
      </c>
      <c r="AG360" s="33">
        <f t="shared" si="86"/>
        <v>-0.34431267091933526</v>
      </c>
      <c r="AH360" s="33">
        <f t="shared" si="87"/>
        <v>-0.89873963074015106</v>
      </c>
      <c r="AI360" s="33">
        <f t="shared" si="88"/>
        <v>-0.89033383571044755</v>
      </c>
      <c r="AL360" s="5" t="str">
        <f t="shared" si="89"/>
        <v>CHP</v>
      </c>
      <c r="AM360" s="5">
        <f>1</f>
        <v>1</v>
      </c>
    </row>
    <row r="361" spans="3:39" s="3" customFormat="1" x14ac:dyDescent="0.3">
      <c r="C361" s="30" t="s">
        <v>1597</v>
      </c>
      <c r="D361" s="31" t="s">
        <v>326</v>
      </c>
      <c r="E361" s="31" t="s">
        <v>776</v>
      </c>
      <c r="F361" s="31"/>
      <c r="G361" s="31">
        <v>1</v>
      </c>
      <c r="H361" s="33">
        <f>IF(SUMIFS('Industrial Summary'!$G:$G,'Industrial Summary'!$F:$F,H$17,'Industrial Summary'!$D:$D,$E361)&gt;0,(-SUMIFS('Industrial Summary'!$G:$G,'Industrial Summary'!$F:$F,H$17,'Industrial Summary'!$D:$D,$E361,'Industrial Summary'!$A:$A,"NGA")/SUMIFS('Industrial Summary'!$G:$G,'Industrial Summary'!$F:$F,H$17,'Industrial Summary'!$D:$D,$E361)),0)*0.98</f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-0.85527647137324114</v>
      </c>
      <c r="N361" s="33">
        <v>-0.44897947454930703</v>
      </c>
      <c r="O361" s="33">
        <v>0</v>
      </c>
      <c r="P361" s="33">
        <v>0</v>
      </c>
      <c r="Q361" s="31">
        <v>0</v>
      </c>
      <c r="R361" s="31">
        <v>15</v>
      </c>
      <c r="S361" s="31" t="str">
        <f t="shared" si="92"/>
        <v>UC_ICAST_CHP</v>
      </c>
      <c r="T361" s="31"/>
      <c r="U361" s="31"/>
      <c r="V361" s="30" t="s">
        <v>1597</v>
      </c>
      <c r="W361" s="30" t="str">
        <f t="shared" ref="W361:W373" si="93">D361</f>
        <v>ICAST_CHP</v>
      </c>
      <c r="X361" s="30" t="str">
        <f t="shared" ref="X361:X373" si="94">E361</f>
        <v>ICASTM</v>
      </c>
      <c r="Y361" s="31"/>
      <c r="Z361" s="31">
        <v>1</v>
      </c>
      <c r="AA361" s="33">
        <f t="shared" si="80"/>
        <v>0</v>
      </c>
      <c r="AB361" s="33">
        <f t="shared" si="81"/>
        <v>0</v>
      </c>
      <c r="AC361" s="33">
        <f t="shared" si="82"/>
        <v>0</v>
      </c>
      <c r="AD361" s="33">
        <f t="shared" si="83"/>
        <v>0</v>
      </c>
      <c r="AE361" s="33">
        <f t="shared" si="84"/>
        <v>0</v>
      </c>
      <c r="AF361" s="33">
        <f t="shared" si="85"/>
        <v>-0.85527647137324114</v>
      </c>
      <c r="AG361" s="33">
        <f t="shared" si="86"/>
        <v>-0.44897947454930703</v>
      </c>
      <c r="AH361" s="33">
        <f t="shared" si="87"/>
        <v>0</v>
      </c>
      <c r="AI361" s="33">
        <f t="shared" si="88"/>
        <v>0</v>
      </c>
      <c r="AL361" s="5" t="str">
        <f t="shared" si="89"/>
        <v>CHP</v>
      </c>
      <c r="AM361" s="5">
        <f>1</f>
        <v>1</v>
      </c>
    </row>
    <row r="362" spans="3:39" s="3" customFormat="1" x14ac:dyDescent="0.3">
      <c r="C362" s="30" t="s">
        <v>1596</v>
      </c>
      <c r="D362" s="31" t="s">
        <v>299</v>
      </c>
      <c r="E362" s="31" t="s">
        <v>775</v>
      </c>
      <c r="F362" s="31"/>
      <c r="G362" s="31">
        <v>1</v>
      </c>
      <c r="H362" s="33">
        <f>IF(SUMIFS('Industrial Summary'!$G:$G,'Industrial Summary'!$F:$F,H$17,'Industrial Summary'!$D:$D,$E362)&gt;0,(-SUMIFS('Industrial Summary'!$G:$G,'Industrial Summary'!$F:$F,H$17,'Industrial Summary'!$D:$D,$E362,'Industrial Summary'!$A:$A,"NGA")/SUMIFS('Industrial Summary'!$G:$G,'Industrial Summary'!$F:$F,H$17,'Industrial Summary'!$D:$D,$E362)),0)*0.98</f>
        <v>0</v>
      </c>
      <c r="I362" s="33">
        <v>-0.35940703895866843</v>
      </c>
      <c r="J362" s="33">
        <v>-9.9580611067731653E-2</v>
      </c>
      <c r="K362" s="33">
        <v>0</v>
      </c>
      <c r="L362" s="33">
        <v>-0.35524748202765499</v>
      </c>
      <c r="M362" s="33">
        <v>-0.50833828082643795</v>
      </c>
      <c r="N362" s="33">
        <v>-0.76554889475373744</v>
      </c>
      <c r="O362" s="33">
        <v>0</v>
      </c>
      <c r="P362" s="33">
        <v>-0.10006388749758967</v>
      </c>
      <c r="Q362" s="31">
        <v>0</v>
      </c>
      <c r="R362" s="31">
        <v>15</v>
      </c>
      <c r="S362" s="31" t="str">
        <f t="shared" si="92"/>
        <v>UC_ICPST_CHP</v>
      </c>
      <c r="T362" s="31"/>
      <c r="U362" s="31"/>
      <c r="V362" s="30" t="s">
        <v>1596</v>
      </c>
      <c r="W362" s="30" t="str">
        <f t="shared" si="93"/>
        <v>ICPST_CHP</v>
      </c>
      <c r="X362" s="30" t="str">
        <f t="shared" si="94"/>
        <v>ICPSTM</v>
      </c>
      <c r="Y362" s="31"/>
      <c r="Z362" s="31">
        <v>1</v>
      </c>
      <c r="AA362" s="33">
        <f t="shared" si="80"/>
        <v>0</v>
      </c>
      <c r="AB362" s="33">
        <f t="shared" si="81"/>
        <v>-0.35940703895866843</v>
      </c>
      <c r="AC362" s="33">
        <f t="shared" si="82"/>
        <v>-9.9580611067731653E-2</v>
      </c>
      <c r="AD362" s="33">
        <f t="shared" si="83"/>
        <v>0</v>
      </c>
      <c r="AE362" s="33">
        <f t="shared" si="84"/>
        <v>-0.35524748202765499</v>
      </c>
      <c r="AF362" s="33">
        <f t="shared" si="85"/>
        <v>-0.50833828082643795</v>
      </c>
      <c r="AG362" s="33">
        <f t="shared" si="86"/>
        <v>-0.76554889475373744</v>
      </c>
      <c r="AH362" s="33">
        <f t="shared" si="87"/>
        <v>0</v>
      </c>
      <c r="AI362" s="33">
        <f t="shared" si="88"/>
        <v>-0.10006388749758967</v>
      </c>
      <c r="AL362" s="5" t="str">
        <f t="shared" si="89"/>
        <v>CHP</v>
      </c>
      <c r="AM362" s="5">
        <f>1</f>
        <v>1</v>
      </c>
    </row>
    <row r="363" spans="3:39" s="3" customFormat="1" x14ac:dyDescent="0.3">
      <c r="C363" s="30" t="s">
        <v>1595</v>
      </c>
      <c r="D363" s="31" t="s">
        <v>264</v>
      </c>
      <c r="E363" s="31" t="s">
        <v>774</v>
      </c>
      <c r="F363" s="31"/>
      <c r="G363" s="31">
        <v>1</v>
      </c>
      <c r="H363" s="33">
        <f>(IF(SUMIFS('Industrial Summary'!$G:$G,'Industrial Summary'!$F:$F,H$17,'Industrial Summary'!$D:$D,$E363)&gt;0,((-SUMIFS('Industrial Summary'!$G:$G,'Industrial Summary'!$F:$F,H$17,'Industrial Summary'!$D:$D,$E363,'Industrial Summary'!$A:$A,"NGA")+-SUMIFS('Industrial Summary'!$G:$G,'Industrial Summary'!$F:$F,H$17,'Industrial Summary'!$D:$D,"ICIFSTM",'Industrial Summary'!$A:$A,"NGA"))/SUMIFS('Industrial Summary'!$G:$G,'Industrial Summary'!$F:$F,H$17,'Industrial Summary'!$D:$D,$E363)),0))*0.98</f>
        <v>-0.98</v>
      </c>
      <c r="I363" s="33">
        <v>-0.91551646677395815</v>
      </c>
      <c r="J363" s="33">
        <v>-0.1616284750939064</v>
      </c>
      <c r="K363" s="33">
        <v>-8.4723596110303639E-2</v>
      </c>
      <c r="L363" s="33">
        <v>0</v>
      </c>
      <c r="M363" s="33">
        <v>-0.30886746454136194</v>
      </c>
      <c r="N363" s="33">
        <v>0</v>
      </c>
      <c r="O363" s="33">
        <v>0</v>
      </c>
      <c r="P363" s="33">
        <v>-0.63041030432837497</v>
      </c>
      <c r="Q363" s="31">
        <v>0</v>
      </c>
      <c r="R363" s="31">
        <v>15</v>
      </c>
      <c r="S363" s="31" t="str">
        <f t="shared" si="92"/>
        <v>UC_ICIST_CHP</v>
      </c>
      <c r="T363" s="31"/>
      <c r="U363" s="31"/>
      <c r="V363" s="30" t="s">
        <v>1595</v>
      </c>
      <c r="W363" s="30" t="str">
        <f t="shared" si="93"/>
        <v>ICIST_CHP</v>
      </c>
      <c r="X363" s="30" t="str">
        <f t="shared" si="94"/>
        <v>ICISTM</v>
      </c>
      <c r="Y363" s="31"/>
      <c r="Z363" s="31">
        <v>1</v>
      </c>
      <c r="AA363" s="33">
        <f t="shared" si="80"/>
        <v>-0.98</v>
      </c>
      <c r="AB363" s="33">
        <f t="shared" si="81"/>
        <v>-0.91551646677395815</v>
      </c>
      <c r="AC363" s="33">
        <f t="shared" si="82"/>
        <v>-0.1616284750939064</v>
      </c>
      <c r="AD363" s="33">
        <f t="shared" si="83"/>
        <v>-8.4723596110303639E-2</v>
      </c>
      <c r="AE363" s="33">
        <f t="shared" si="84"/>
        <v>0</v>
      </c>
      <c r="AF363" s="33">
        <f t="shared" si="85"/>
        <v>-0.30886746454136194</v>
      </c>
      <c r="AG363" s="33">
        <f t="shared" si="86"/>
        <v>0</v>
      </c>
      <c r="AH363" s="33">
        <f t="shared" si="87"/>
        <v>0</v>
      </c>
      <c r="AI363" s="33">
        <f t="shared" si="88"/>
        <v>-0.63041030432837497</v>
      </c>
      <c r="AL363" s="5" t="str">
        <f t="shared" si="89"/>
        <v>CHP</v>
      </c>
      <c r="AM363" s="5">
        <f>1</f>
        <v>1</v>
      </c>
    </row>
    <row r="364" spans="3:39" s="3" customFormat="1" x14ac:dyDescent="0.3">
      <c r="C364" s="30" t="s">
        <v>1598</v>
      </c>
      <c r="D364" s="31" t="s">
        <v>363</v>
      </c>
      <c r="E364" s="31" t="s">
        <v>777</v>
      </c>
      <c r="F364" s="31"/>
      <c r="G364" s="31">
        <v>1</v>
      </c>
      <c r="H364" s="33">
        <f>IF(SUMIFS('Industrial Summary'!$G:$G,'Industrial Summary'!$F:$F,H$17,'Industrial Summary'!$D:$D,$E364)&gt;0,(-SUMIFS('Industrial Summary'!$G:$G,'Industrial Summary'!$F:$F,H$17,'Industrial Summary'!$D:$D,$E364,'Industrial Summary'!$A:$A,"NGA")/SUMIFS('Industrial Summary'!$G:$G,'Industrial Summary'!$F:$F,H$17,'Industrial Summary'!$D:$D,$E364)),0)*0.98</f>
        <v>0</v>
      </c>
      <c r="I364" s="33">
        <v>-0.88018243039439015</v>
      </c>
      <c r="J364" s="33">
        <v>-8.0118606474490955E-2</v>
      </c>
      <c r="K364" s="33">
        <v>-0.28972953403796448</v>
      </c>
      <c r="L364" s="33">
        <v>-0.78762189957288187</v>
      </c>
      <c r="M364" s="33">
        <v>-0.62931664052838043</v>
      </c>
      <c r="N364" s="33">
        <v>-0.60548414534100026</v>
      </c>
      <c r="O364" s="33">
        <v>0</v>
      </c>
      <c r="P364" s="33">
        <v>-0.91996120052832231</v>
      </c>
      <c r="Q364" s="31">
        <v>0</v>
      </c>
      <c r="R364" s="31">
        <v>15</v>
      </c>
      <c r="S364" s="31" t="str">
        <f t="shared" si="92"/>
        <v>UC_ICTST_CHP</v>
      </c>
      <c r="T364" s="31"/>
      <c r="U364" s="31"/>
      <c r="V364" s="30" t="s">
        <v>1598</v>
      </c>
      <c r="W364" s="30" t="str">
        <f t="shared" si="93"/>
        <v>ICTST_CHP</v>
      </c>
      <c r="X364" s="30" t="str">
        <f t="shared" si="94"/>
        <v>ICTSTM</v>
      </c>
      <c r="Y364" s="31"/>
      <c r="Z364" s="31">
        <v>1</v>
      </c>
      <c r="AA364" s="33">
        <f t="shared" si="80"/>
        <v>0</v>
      </c>
      <c r="AB364" s="33">
        <f t="shared" si="81"/>
        <v>-0.88018243039439015</v>
      </c>
      <c r="AC364" s="33">
        <f t="shared" si="82"/>
        <v>-8.0118606474490955E-2</v>
      </c>
      <c r="AD364" s="33">
        <f t="shared" si="83"/>
        <v>-0.28972953403796448</v>
      </c>
      <c r="AE364" s="33">
        <f t="shared" si="84"/>
        <v>-0.78762189957288187</v>
      </c>
      <c r="AF364" s="33">
        <f t="shared" si="85"/>
        <v>-0.62931664052838043</v>
      </c>
      <c r="AG364" s="33">
        <f t="shared" si="86"/>
        <v>-0.60548414534100026</v>
      </c>
      <c r="AH364" s="33">
        <f t="shared" si="87"/>
        <v>0</v>
      </c>
      <c r="AI364" s="33">
        <f t="shared" si="88"/>
        <v>-0.91996120052832231</v>
      </c>
      <c r="AL364" s="5" t="str">
        <f t="shared" si="89"/>
        <v>CHP</v>
      </c>
      <c r="AM364" s="5">
        <f>1</f>
        <v>1</v>
      </c>
    </row>
    <row r="365" spans="3:39" s="3" customFormat="1" x14ac:dyDescent="0.3">
      <c r="C365" s="30" t="s">
        <v>1599</v>
      </c>
      <c r="D365" s="31" t="s">
        <v>394</v>
      </c>
      <c r="E365" s="31" t="s">
        <v>760</v>
      </c>
      <c r="F365" s="31"/>
      <c r="G365" s="31">
        <v>1</v>
      </c>
      <c r="H365" s="33">
        <f>IF(SUMIFS('Industrial Summary'!$G:$G,'Industrial Summary'!$F:$F,H$17,'Industrial Summary'!$D:$D,$E365)&gt;0,(-SUMIFS('Industrial Summary'!$G:$G,'Industrial Summary'!$F:$F,H$17,'Industrial Summary'!$D:$D,$E365,'Industrial Summary'!$A:$A,"NGA")/SUMIFS('Industrial Summary'!$G:$G,'Industrial Summary'!$F:$F,H$17,'Industrial Summary'!$D:$D,$E365)),0)*0.98</f>
        <v>0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1">
        <v>0</v>
      </c>
      <c r="R365" s="31">
        <v>15</v>
      </c>
      <c r="S365" s="31" t="str">
        <f t="shared" si="92"/>
        <v>UC_ICTOH_CHP</v>
      </c>
      <c r="T365" s="31"/>
      <c r="U365" s="31"/>
      <c r="V365" s="30" t="s">
        <v>1599</v>
      </c>
      <c r="W365" s="30" t="str">
        <f t="shared" si="93"/>
        <v>ICTOH_CHP</v>
      </c>
      <c r="X365" s="30" t="str">
        <f t="shared" si="94"/>
        <v>ICTOHT</v>
      </c>
      <c r="Y365" s="31"/>
      <c r="Z365" s="31">
        <v>1</v>
      </c>
      <c r="AA365" s="33">
        <f t="shared" si="80"/>
        <v>0</v>
      </c>
      <c r="AB365" s="33">
        <f t="shared" si="81"/>
        <v>0</v>
      </c>
      <c r="AC365" s="33">
        <f t="shared" si="82"/>
        <v>0</v>
      </c>
      <c r="AD365" s="33">
        <f t="shared" si="83"/>
        <v>0</v>
      </c>
      <c r="AE365" s="33">
        <f t="shared" si="84"/>
        <v>0</v>
      </c>
      <c r="AF365" s="33">
        <f t="shared" si="85"/>
        <v>0</v>
      </c>
      <c r="AG365" s="33">
        <f t="shared" si="86"/>
        <v>0</v>
      </c>
      <c r="AH365" s="33">
        <f t="shared" si="87"/>
        <v>0</v>
      </c>
      <c r="AI365" s="33">
        <f t="shared" si="88"/>
        <v>0</v>
      </c>
      <c r="AL365" s="5" t="str">
        <f t="shared" si="89"/>
        <v>CHP</v>
      </c>
      <c r="AM365" s="5">
        <f>1</f>
        <v>1</v>
      </c>
    </row>
    <row r="366" spans="3:39" s="3" customFormat="1" x14ac:dyDescent="0.3">
      <c r="C366" s="30" t="s">
        <v>1600</v>
      </c>
      <c r="D366" s="31" t="s">
        <v>413</v>
      </c>
      <c r="E366" s="31" t="s">
        <v>778</v>
      </c>
      <c r="F366" s="31"/>
      <c r="G366" s="31">
        <v>1</v>
      </c>
      <c r="H366" s="33">
        <f>IF(SUMIFS('Industrial Summary'!$G:$G,'Industrial Summary'!$F:$F,H$17,'Industrial Summary'!$D:$D,$E366)&gt;0,(-SUMIFS('Industrial Summary'!$G:$G,'Industrial Summary'!$F:$F,H$17,'Industrial Summary'!$D:$D,$E366,'Industrial Summary'!$A:$A,"ELC")/SUMIFS('Industrial Summary'!$G:$G,'Industrial Summary'!$F:$F,H$17,'Industrial Summary'!$D:$D,$E366)),0)*0.98</f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3">
        <v>-1</v>
      </c>
      <c r="O366" s="33">
        <v>0</v>
      </c>
      <c r="P366" s="33">
        <v>0</v>
      </c>
      <c r="Q366" s="31">
        <v>0</v>
      </c>
      <c r="R366" s="31">
        <v>15</v>
      </c>
      <c r="S366" s="31" t="str">
        <f t="shared" si="92"/>
        <v>UC_INGST_CHP</v>
      </c>
      <c r="T366" s="31"/>
      <c r="U366" s="31"/>
      <c r="V366" s="30" t="s">
        <v>1600</v>
      </c>
      <c r="W366" s="30" t="str">
        <f t="shared" si="93"/>
        <v>INGST_CHP</v>
      </c>
      <c r="X366" s="30" t="str">
        <f t="shared" si="94"/>
        <v>INGSTM</v>
      </c>
      <c r="Y366" s="31"/>
      <c r="Z366" s="31">
        <v>1</v>
      </c>
      <c r="AA366" s="33">
        <f t="shared" si="80"/>
        <v>0</v>
      </c>
      <c r="AB366" s="33">
        <f t="shared" si="81"/>
        <v>0</v>
      </c>
      <c r="AC366" s="33">
        <f t="shared" si="82"/>
        <v>0</v>
      </c>
      <c r="AD366" s="33">
        <f t="shared" si="83"/>
        <v>0</v>
      </c>
      <c r="AE366" s="33">
        <f t="shared" si="84"/>
        <v>0</v>
      </c>
      <c r="AF366" s="33">
        <f t="shared" si="85"/>
        <v>0</v>
      </c>
      <c r="AG366" s="33">
        <f t="shared" si="86"/>
        <v>-1</v>
      </c>
      <c r="AH366" s="33">
        <f t="shared" si="87"/>
        <v>0</v>
      </c>
      <c r="AI366" s="33">
        <f t="shared" si="88"/>
        <v>0</v>
      </c>
      <c r="AL366" s="5" t="str">
        <f t="shared" si="89"/>
        <v>CHP</v>
      </c>
      <c r="AM366" s="5">
        <f>1</f>
        <v>1</v>
      </c>
    </row>
    <row r="367" spans="3:39" s="3" customFormat="1" x14ac:dyDescent="0.3">
      <c r="C367" s="30" t="s">
        <v>1601</v>
      </c>
      <c r="D367" s="31" t="s">
        <v>434</v>
      </c>
      <c r="E367" s="31" t="s">
        <v>779</v>
      </c>
      <c r="F367" s="31"/>
      <c r="G367" s="31">
        <v>1</v>
      </c>
      <c r="H367" s="33">
        <f>(IF(SUMIFS('Industrial Summary'!$G:$G,'Industrial Summary'!$F:$F,H$17,'Industrial Summary'!$D:$D,$E367)&gt;0,((-SUMIFS('Industrial Summary'!$G:$G,'Industrial Summary'!$F:$F,H$17,'Industrial Summary'!$D:$D,$E367,'Industrial Summary'!$A:$A,"ELC")+-SUMIFS('Industrial Summary'!$G:$G,'Industrial Summary'!$F:$F,H$17,'Industrial Summary'!$D:$D,"ICTFSTM",'Industrial Summary'!$A:$A,"ELC"))/SUMIFS('Industrial Summary'!$G:$G,'Industrial Summary'!$F:$F,H$17,'Industrial Summary'!$D:$D,$E367)),0))*0.98</f>
        <v>0</v>
      </c>
      <c r="I367" s="33">
        <f>IF(SUMIFS('Industrial Summary'!$G:$G,'Industrial Summary'!$F:$F,I$17,'Industrial Summary'!$D:$D,$E367)&gt;0,(-SUMIFS('Industrial Summary'!$G:$G,'Industrial Summary'!$F:$F,I$17,'Industrial Summary'!$D:$D,$E367,'Industrial Summary'!$A:$A,"ELC")/SUMIFS('Industrial Summary'!$G:$G,'Industrial Summary'!$F:$F,I$17,'Industrial Summary'!$D:$D,$E367)),0)*0.98</f>
        <v>0</v>
      </c>
      <c r="J367" s="33">
        <f>IF(SUMIFS('Industrial Summary'!$G:$G,'Industrial Summary'!$F:$F,J$17,'Industrial Summary'!$D:$D,$E367)&gt;0,(-SUMIFS('Industrial Summary'!$G:$G,'Industrial Summary'!$F:$F,J$17,'Industrial Summary'!$D:$D,$E367,'Industrial Summary'!$A:$A,"ELC")/SUMIFS('Industrial Summary'!$G:$G,'Industrial Summary'!$F:$F,J$17,'Industrial Summary'!$D:$D,$E367)),0)*0.98</f>
        <v>0</v>
      </c>
      <c r="K367" s="33">
        <f>IF(SUMIFS('Industrial Summary'!$G:$G,'Industrial Summary'!$F:$F,K$17,'Industrial Summary'!$D:$D,$E367)&gt;0,(-SUMIFS('Industrial Summary'!$G:$G,'Industrial Summary'!$F:$F,K$17,'Industrial Summary'!$D:$D,$E367,'Industrial Summary'!$A:$A,"ELC")/SUMIFS('Industrial Summary'!$G:$G,'Industrial Summary'!$F:$F,K$17,'Industrial Summary'!$D:$D,$E367)),0)*0.98</f>
        <v>0</v>
      </c>
      <c r="L367" s="33">
        <f>IF(SUMIFS('Industrial Summary'!$G:$G,'Industrial Summary'!$F:$F,L$17,'Industrial Summary'!$D:$D,$E367)&gt;0,(-SUMIFS('Industrial Summary'!$G:$G,'Industrial Summary'!$F:$F,L$17,'Industrial Summary'!$D:$D,$E367,'Industrial Summary'!$A:$A,"ELC")/SUMIFS('Industrial Summary'!$G:$G,'Industrial Summary'!$F:$F,L$17,'Industrial Summary'!$D:$D,$E367)),0)*0.98</f>
        <v>0</v>
      </c>
      <c r="M367" s="33">
        <f>IF(SUMIFS('Industrial Summary'!$G:$G,'Industrial Summary'!$F:$F,M$17,'Industrial Summary'!$D:$D,$E367)&gt;0,(-SUMIFS('Industrial Summary'!$G:$G,'Industrial Summary'!$F:$F,M$17,'Industrial Summary'!$D:$D,$E367,'Industrial Summary'!$A:$A,"ELC")/SUMIFS('Industrial Summary'!$G:$G,'Industrial Summary'!$F:$F,M$17,'Industrial Summary'!$D:$D,$E367)),0)*0.98</f>
        <v>0</v>
      </c>
      <c r="N367" s="33">
        <f>IF(SUMIFS('Industrial Summary'!$G:$G,'Industrial Summary'!$F:$F,N$17,'Industrial Summary'!$D:$D,$E367)&gt;0,(-SUMIFS('Industrial Summary'!$G:$G,'Industrial Summary'!$F:$F,N$17,'Industrial Summary'!$D:$D,$E367,'Industrial Summary'!$A:$A,"ELC")/SUMIFS('Industrial Summary'!$G:$G,'Industrial Summary'!$F:$F,N$17,'Industrial Summary'!$D:$D,$E367)),0)*0.98</f>
        <v>0</v>
      </c>
      <c r="O367" s="33">
        <f>IF(SUMIFS('Industrial Summary'!$G:$G,'Industrial Summary'!$F:$F,O$17,'Industrial Summary'!$D:$D,$E367)&gt;0,(-SUMIFS('Industrial Summary'!$G:$G,'Industrial Summary'!$F:$F,O$17,'Industrial Summary'!$D:$D,$E367,'Industrial Summary'!$A:$A,"ELC")/SUMIFS('Industrial Summary'!$G:$G,'Industrial Summary'!$F:$F,O$17,'Industrial Summary'!$D:$D,$E367)),0)*0.98</f>
        <v>0</v>
      </c>
      <c r="P367" s="33">
        <f>IF(SUMIFS('Industrial Summary'!$G:$G,'Industrial Summary'!$F:$F,P$17,'Industrial Summary'!$D:$D,$E367)&gt;0,(-SUMIFS('Industrial Summary'!$G:$G,'Industrial Summary'!$F:$F,P$17,'Industrial Summary'!$D:$D,$E367,'Industrial Summary'!$A:$A,"ELC")/SUMIFS('Industrial Summary'!$G:$G,'Industrial Summary'!$F:$F,P$17,'Industrial Summary'!$D:$D,$E367)),0)*0.98</f>
        <v>0</v>
      </c>
      <c r="Q367" s="33">
        <f>IF(SUMIFS('Industrial Summary'!$G:$G,'Industrial Summary'!$F:$F,Q$17,'Industrial Summary'!$D:$D,$E367)&gt;0,(-SUMIFS('Industrial Summary'!$G:$G,'Industrial Summary'!$F:$F,Q$17,'Industrial Summary'!$D:$D,$E367,'Industrial Summary'!$A:$A,"ELC")/SUMIFS('Industrial Summary'!$G:$G,'Industrial Summary'!$F:$F,Q$17,'Industrial Summary'!$D:$D,$E367)),0)*0.98</f>
        <v>0</v>
      </c>
      <c r="R367" s="31">
        <v>15</v>
      </c>
      <c r="S367" s="31" t="str">
        <f t="shared" si="92"/>
        <v>UC_INOST_CHP</v>
      </c>
      <c r="T367" s="31"/>
      <c r="U367" s="31"/>
      <c r="V367" s="30" t="s">
        <v>1601</v>
      </c>
      <c r="W367" s="30" t="str">
        <f t="shared" si="93"/>
        <v>INOST_CHP</v>
      </c>
      <c r="X367" s="30" t="str">
        <f t="shared" si="94"/>
        <v>INOSTM</v>
      </c>
      <c r="Y367" s="31"/>
      <c r="Z367" s="31">
        <v>1</v>
      </c>
      <c r="AA367" s="33">
        <f t="shared" si="80"/>
        <v>0</v>
      </c>
      <c r="AB367" s="33">
        <f t="shared" si="81"/>
        <v>0</v>
      </c>
      <c r="AC367" s="33">
        <f t="shared" si="82"/>
        <v>0</v>
      </c>
      <c r="AD367" s="33">
        <f t="shared" si="83"/>
        <v>0</v>
      </c>
      <c r="AE367" s="33">
        <f t="shared" si="84"/>
        <v>0</v>
      </c>
      <c r="AF367" s="33">
        <f t="shared" si="85"/>
        <v>0</v>
      </c>
      <c r="AG367" s="33">
        <f t="shared" si="86"/>
        <v>0</v>
      </c>
      <c r="AH367" s="33">
        <f t="shared" si="87"/>
        <v>0</v>
      </c>
      <c r="AI367" s="33">
        <f t="shared" si="88"/>
        <v>0</v>
      </c>
      <c r="AL367" s="5" t="str">
        <f t="shared" si="89"/>
        <v>CHP</v>
      </c>
      <c r="AM367" s="5">
        <f>1</f>
        <v>1</v>
      </c>
    </row>
    <row r="368" spans="3:39" s="3" customFormat="1" x14ac:dyDescent="0.3">
      <c r="C368" s="30" t="s">
        <v>1602</v>
      </c>
      <c r="D368" s="31" t="s">
        <v>481</v>
      </c>
      <c r="E368" s="31" t="s">
        <v>780</v>
      </c>
      <c r="F368" s="31"/>
      <c r="G368" s="31">
        <v>1</v>
      </c>
      <c r="H368" s="33">
        <f>(IF(SUMIFS('Industrial Summary'!$G:$G,'Industrial Summary'!$F:$F,H$17,'Industrial Summary'!$D:$D,$E368)&gt;0,((-SUMIFS('Industrial Summary'!$G:$G,'Industrial Summary'!$F:$F,H$17,'Industrial Summary'!$D:$D,$E368,'Industrial Summary'!$A:$A,"ELC")+-SUMIFS('Industrial Summary'!$G:$G,'Industrial Summary'!$F:$F,H$17,'Industrial Summary'!$D:$D,"ICTFSTM",'Industrial Summary'!$A:$A,"ELC"))/SUMIFS('Industrial Summary'!$G:$G,'Industrial Summary'!$F:$F,H$17,'Industrial Summary'!$D:$D,$E368)),0))*0.98</f>
        <v>0</v>
      </c>
      <c r="I368" s="33">
        <v>-1.1260203522817952E-2</v>
      </c>
      <c r="J368" s="33">
        <v>-0.31358872710834346</v>
      </c>
      <c r="K368" s="33">
        <v>0</v>
      </c>
      <c r="L368" s="33">
        <v>-7.6008290612649618E-2</v>
      </c>
      <c r="M368" s="33">
        <v>0</v>
      </c>
      <c r="N368" s="33">
        <v>0</v>
      </c>
      <c r="O368" s="33">
        <v>0</v>
      </c>
      <c r="P368" s="33">
        <v>-0.91982942031304016</v>
      </c>
      <c r="Q368" s="31">
        <v>0</v>
      </c>
      <c r="R368" s="31">
        <v>15</v>
      </c>
      <c r="S368" s="31" t="str">
        <f t="shared" si="92"/>
        <v>UC_IMSST_CHP</v>
      </c>
      <c r="T368" s="31"/>
      <c r="U368" s="31"/>
      <c r="V368" s="30" t="s">
        <v>1602</v>
      </c>
      <c r="W368" s="30" t="str">
        <f t="shared" si="93"/>
        <v>IMSST_CHP</v>
      </c>
      <c r="X368" s="30" t="str">
        <f t="shared" si="94"/>
        <v>IMSSTM</v>
      </c>
      <c r="Y368" s="31"/>
      <c r="Z368" s="31">
        <v>1</v>
      </c>
      <c r="AA368" s="33">
        <f t="shared" si="80"/>
        <v>0</v>
      </c>
      <c r="AB368" s="33">
        <f t="shared" si="81"/>
        <v>-1.1260203522817952E-2</v>
      </c>
      <c r="AC368" s="33">
        <f t="shared" si="82"/>
        <v>-0.31358872710834346</v>
      </c>
      <c r="AD368" s="33">
        <f t="shared" si="83"/>
        <v>0</v>
      </c>
      <c r="AE368" s="33">
        <f t="shared" si="84"/>
        <v>-7.6008290612649618E-2</v>
      </c>
      <c r="AF368" s="33">
        <f t="shared" si="85"/>
        <v>0</v>
      </c>
      <c r="AG368" s="33">
        <f t="shared" si="86"/>
        <v>0</v>
      </c>
      <c r="AH368" s="33">
        <f t="shared" si="87"/>
        <v>0</v>
      </c>
      <c r="AI368" s="33">
        <f t="shared" si="88"/>
        <v>-0.91982942031304016</v>
      </c>
      <c r="AL368" s="5" t="str">
        <f t="shared" si="89"/>
        <v>CHP</v>
      </c>
      <c r="AM368" s="5">
        <f>1</f>
        <v>1</v>
      </c>
    </row>
    <row r="369" spans="3:39" s="3" customFormat="1" x14ac:dyDescent="0.3">
      <c r="C369" s="30" t="s">
        <v>1603</v>
      </c>
      <c r="D369" s="31" t="s">
        <v>520</v>
      </c>
      <c r="E369" s="31" t="s">
        <v>781</v>
      </c>
      <c r="F369" s="31"/>
      <c r="G369" s="31">
        <v>1</v>
      </c>
      <c r="H369" s="33">
        <f>(IF(SUMIFS('Industrial Summary'!$G:$G,'Industrial Summary'!$F:$F,H$17,'Industrial Summary'!$D:$D,$E369)&gt;0,((-SUMIFS('Industrial Summary'!$G:$G,'Industrial Summary'!$F:$F,H$17,'Industrial Summary'!$D:$D,$E369,'Industrial Summary'!$A:$A,"ELC")+-SUMIFS('Industrial Summary'!$G:$G,'Industrial Summary'!$F:$F,H$17,'Industrial Summary'!$D:$D,"ICTFSTM",'Industrial Summary'!$A:$A,"ELC"))/SUMIFS('Industrial Summary'!$G:$G,'Industrial Summary'!$F:$F,H$17,'Industrial Summary'!$D:$D,$E369)),0))*0.98</f>
        <v>0</v>
      </c>
      <c r="I369" s="33">
        <v>-1.1260203522817952E-2</v>
      </c>
      <c r="J369" s="33">
        <v>-0.31358872710834351</v>
      </c>
      <c r="K369" s="33">
        <v>0</v>
      </c>
      <c r="L369" s="33">
        <v>-7.6008290612649493E-2</v>
      </c>
      <c r="M369" s="33">
        <v>0</v>
      </c>
      <c r="N369" s="33">
        <v>0</v>
      </c>
      <c r="O369" s="33">
        <v>0</v>
      </c>
      <c r="P369" s="33">
        <v>-0.91982942031304027</v>
      </c>
      <c r="Q369" s="31">
        <v>0</v>
      </c>
      <c r="R369" s="31">
        <v>15</v>
      </c>
      <c r="S369" s="31" t="str">
        <f t="shared" si="92"/>
        <v>UC_IMTST_CHP</v>
      </c>
      <c r="T369" s="31"/>
      <c r="U369" s="31"/>
      <c r="V369" s="30" t="s">
        <v>1603</v>
      </c>
      <c r="W369" s="30" t="str">
        <f t="shared" si="93"/>
        <v>IMTST_CHP</v>
      </c>
      <c r="X369" s="30" t="str">
        <f t="shared" si="94"/>
        <v>IMTSTM</v>
      </c>
      <c r="Y369" s="31"/>
      <c r="Z369" s="31">
        <v>1</v>
      </c>
      <c r="AA369" s="33">
        <f t="shared" si="80"/>
        <v>0</v>
      </c>
      <c r="AB369" s="33">
        <f t="shared" si="81"/>
        <v>-1.1260203522817952E-2</v>
      </c>
      <c r="AC369" s="33">
        <f t="shared" si="82"/>
        <v>-0.31358872710834351</v>
      </c>
      <c r="AD369" s="33">
        <f t="shared" si="83"/>
        <v>0</v>
      </c>
      <c r="AE369" s="33">
        <f t="shared" si="84"/>
        <v>-7.6008290612649493E-2</v>
      </c>
      <c r="AF369" s="33">
        <f t="shared" si="85"/>
        <v>0</v>
      </c>
      <c r="AG369" s="33">
        <f t="shared" si="86"/>
        <v>0</v>
      </c>
      <c r="AH369" s="33">
        <f t="shared" si="87"/>
        <v>0</v>
      </c>
      <c r="AI369" s="33">
        <f t="shared" si="88"/>
        <v>-0.91982942031304027</v>
      </c>
      <c r="AL369" s="5" t="str">
        <f t="shared" si="89"/>
        <v>CHP</v>
      </c>
      <c r="AM369" s="5">
        <f>1</f>
        <v>1</v>
      </c>
    </row>
    <row r="370" spans="3:39" s="3" customFormat="1" x14ac:dyDescent="0.3">
      <c r="C370" s="30" t="s">
        <v>1604</v>
      </c>
      <c r="D370" s="31" t="s">
        <v>555</v>
      </c>
      <c r="E370" s="31" t="s">
        <v>782</v>
      </c>
      <c r="F370" s="31"/>
      <c r="G370" s="31">
        <v>1</v>
      </c>
      <c r="H370" s="33">
        <f>(IF(SUMIFS('Industrial Summary'!$G:$G,'Industrial Summary'!$F:$F,H$17,'Industrial Summary'!$D:$D,$E370)&gt;0,((-SUMIFS('Industrial Summary'!$G:$G,'Industrial Summary'!$F:$F,H$17,'Industrial Summary'!$D:$D,$E370,'Industrial Summary'!$A:$A,"ELC")+-SUMIFS('Industrial Summary'!$G:$G,'Industrial Summary'!$F:$F,H$17,'Industrial Summary'!$D:$D,"ICTFSTM",'Industrial Summary'!$A:$A,"ELC"))/SUMIFS('Industrial Summary'!$G:$G,'Industrial Summary'!$F:$F,H$17,'Industrial Summary'!$D:$D,$E370)),0))*0.98</f>
        <v>0</v>
      </c>
      <c r="I370" s="33">
        <v>-0.49751972623762541</v>
      </c>
      <c r="J370" s="33">
        <v>-1</v>
      </c>
      <c r="K370" s="33">
        <v>0</v>
      </c>
      <c r="L370" s="33">
        <v>0</v>
      </c>
      <c r="M370" s="33">
        <v>0</v>
      </c>
      <c r="N370" s="33">
        <v>-1</v>
      </c>
      <c r="O370" s="33">
        <v>0</v>
      </c>
      <c r="P370" s="33">
        <v>0</v>
      </c>
      <c r="Q370" s="31">
        <v>0</v>
      </c>
      <c r="R370" s="31">
        <v>15</v>
      </c>
      <c r="S370" s="31" t="str">
        <f t="shared" si="92"/>
        <v>UC_IMAST_CHP</v>
      </c>
      <c r="T370" s="31"/>
      <c r="U370" s="31"/>
      <c r="V370" s="30" t="s">
        <v>1604</v>
      </c>
      <c r="W370" s="30" t="str">
        <f t="shared" si="93"/>
        <v>IMAST_CHP</v>
      </c>
      <c r="X370" s="30" t="str">
        <f t="shared" si="94"/>
        <v>IMASTM</v>
      </c>
      <c r="Y370" s="31"/>
      <c r="Z370" s="31">
        <v>1</v>
      </c>
      <c r="AA370" s="33">
        <f t="shared" si="80"/>
        <v>0</v>
      </c>
      <c r="AB370" s="33">
        <f t="shared" si="81"/>
        <v>-0.49751972623762541</v>
      </c>
      <c r="AC370" s="33">
        <f t="shared" si="82"/>
        <v>-1</v>
      </c>
      <c r="AD370" s="33">
        <f t="shared" si="83"/>
        <v>0</v>
      </c>
      <c r="AE370" s="33">
        <f t="shared" si="84"/>
        <v>0</v>
      </c>
      <c r="AF370" s="33">
        <f t="shared" si="85"/>
        <v>0</v>
      </c>
      <c r="AG370" s="33">
        <f t="shared" si="86"/>
        <v>-1</v>
      </c>
      <c r="AH370" s="33">
        <f t="shared" si="87"/>
        <v>0</v>
      </c>
      <c r="AI370" s="33">
        <f t="shared" si="88"/>
        <v>0</v>
      </c>
      <c r="AL370" s="5" t="str">
        <f t="shared" si="89"/>
        <v>CHP</v>
      </c>
      <c r="AM370" s="5">
        <f>1</f>
        <v>1</v>
      </c>
    </row>
    <row r="371" spans="3:39" s="3" customFormat="1" x14ac:dyDescent="0.3">
      <c r="C371" s="30" t="s">
        <v>1605</v>
      </c>
      <c r="D371" s="31" t="s">
        <v>590</v>
      </c>
      <c r="E371" s="31" t="s">
        <v>783</v>
      </c>
      <c r="F371" s="31"/>
      <c r="G371" s="31">
        <v>1</v>
      </c>
      <c r="H371" s="33">
        <f>(IF(SUMIFS('Industrial Summary'!$G:$G,'Industrial Summary'!$F:$F,H$17,'Industrial Summary'!$D:$D,$E371)&gt;0,((-SUMIFS('Industrial Summary'!$G:$G,'Industrial Summary'!$F:$F,H$17,'Industrial Summary'!$D:$D,$E371,'Industrial Summary'!$A:$A,"ELC")+-SUMIFS('Industrial Summary'!$G:$G,'Industrial Summary'!$F:$F,H$17,'Industrial Summary'!$D:$D,"ICTFSTM",'Industrial Summary'!$A:$A,"ELC"))/SUMIFS('Industrial Summary'!$G:$G,'Industrial Summary'!$F:$F,H$17,'Industrial Summary'!$D:$D,$E371)),0))*0.98</f>
        <v>0</v>
      </c>
      <c r="I371" s="33">
        <v>-0.14648565900744953</v>
      </c>
      <c r="J371" s="33">
        <v>-0.14163368484098812</v>
      </c>
      <c r="K371" s="33">
        <v>0</v>
      </c>
      <c r="L371" s="33">
        <v>0</v>
      </c>
      <c r="M371" s="33">
        <v>0</v>
      </c>
      <c r="N371" s="33">
        <v>-0.84575241613481711</v>
      </c>
      <c r="O371" s="33">
        <v>-0.97527305162327371</v>
      </c>
      <c r="P371" s="33">
        <v>-4.3564767259325982E-2</v>
      </c>
      <c r="Q371" s="31">
        <v>0</v>
      </c>
      <c r="R371" s="31">
        <v>15</v>
      </c>
      <c r="S371" s="31" t="str">
        <f t="shared" si="92"/>
        <v>UC_IMOST_CHP</v>
      </c>
      <c r="T371" s="31"/>
      <c r="U371" s="31"/>
      <c r="V371" s="30" t="s">
        <v>1605</v>
      </c>
      <c r="W371" s="30" t="str">
        <f t="shared" si="93"/>
        <v>IMOST_CHP</v>
      </c>
      <c r="X371" s="30" t="str">
        <f t="shared" si="94"/>
        <v>IMOSTM</v>
      </c>
      <c r="Y371" s="31"/>
      <c r="Z371" s="31">
        <v>1</v>
      </c>
      <c r="AA371" s="33">
        <f t="shared" si="80"/>
        <v>0</v>
      </c>
      <c r="AB371" s="33">
        <f t="shared" si="81"/>
        <v>-0.14648565900744953</v>
      </c>
      <c r="AC371" s="33">
        <f t="shared" si="82"/>
        <v>-0.14163368484098812</v>
      </c>
      <c r="AD371" s="33">
        <f t="shared" si="83"/>
        <v>0</v>
      </c>
      <c r="AE371" s="33">
        <f t="shared" si="84"/>
        <v>0</v>
      </c>
      <c r="AF371" s="33">
        <f t="shared" si="85"/>
        <v>0</v>
      </c>
      <c r="AG371" s="33">
        <f t="shared" si="86"/>
        <v>-0.84575241613481711</v>
      </c>
      <c r="AH371" s="33">
        <f t="shared" si="87"/>
        <v>-0.97527305162327371</v>
      </c>
      <c r="AI371" s="33">
        <f t="shared" si="88"/>
        <v>-4.3564767259325982E-2</v>
      </c>
      <c r="AL371" s="5" t="str">
        <f t="shared" si="89"/>
        <v>CHP</v>
      </c>
      <c r="AM371" s="5">
        <f>1</f>
        <v>1</v>
      </c>
    </row>
    <row r="372" spans="3:39" s="3" customFormat="1" x14ac:dyDescent="0.3">
      <c r="C372" s="30" t="s">
        <v>1606</v>
      </c>
      <c r="D372" s="31" t="s">
        <v>649</v>
      </c>
      <c r="E372" s="31" t="s">
        <v>784</v>
      </c>
      <c r="F372" s="31"/>
      <c r="G372" s="31">
        <v>1</v>
      </c>
      <c r="H372" s="33">
        <f>(IF(SUMIFS('Industrial Summary'!$G:$G,'Industrial Summary'!$F:$F,H$17,'Industrial Summary'!$D:$D,$E372)&gt;0,((-SUMIFS('Industrial Summary'!$G:$G,'Industrial Summary'!$F:$F,H$17,'Industrial Summary'!$D:$D,$E372,'Industrial Summary'!$A:$A,"ELC")+-SUMIFS('Industrial Summary'!$G:$G,'Industrial Summary'!$F:$F,H$17,'Industrial Summary'!$D:$D,"ICTFSTM",'Industrial Summary'!$A:$A,"ELC"))/SUMIFS('Industrial Summary'!$G:$G,'Industrial Summary'!$F:$F,H$17,'Industrial Summary'!$D:$D,$E372)),0))*0.98</f>
        <v>0</v>
      </c>
      <c r="I372" s="33">
        <v>-0.65834934586917182</v>
      </c>
      <c r="J372" s="33">
        <v>-0.29763316344134422</v>
      </c>
      <c r="K372" s="33">
        <v>-1.6315017595823489E-2</v>
      </c>
      <c r="L372" s="33">
        <v>-0.43770000189167269</v>
      </c>
      <c r="M372" s="33">
        <v>0</v>
      </c>
      <c r="N372" s="33">
        <v>-0.21631988080180395</v>
      </c>
      <c r="O372" s="33">
        <v>-0.62117838165519124</v>
      </c>
      <c r="P372" s="33">
        <v>-0.34539968671212662</v>
      </c>
      <c r="Q372" s="31">
        <v>0</v>
      </c>
      <c r="R372" s="31">
        <v>15</v>
      </c>
      <c r="S372" s="31" t="str">
        <f t="shared" si="92"/>
        <v>UC_IOTST_CHP</v>
      </c>
      <c r="T372" s="31"/>
      <c r="U372" s="31"/>
      <c r="V372" s="30" t="s">
        <v>1606</v>
      </c>
      <c r="W372" s="30" t="str">
        <f t="shared" si="93"/>
        <v>IOTST_CHP</v>
      </c>
      <c r="X372" s="30" t="str">
        <f t="shared" si="94"/>
        <v>IOTSTM</v>
      </c>
      <c r="Y372" s="31"/>
      <c r="Z372" s="31">
        <v>1</v>
      </c>
      <c r="AA372" s="33">
        <f t="shared" si="80"/>
        <v>0</v>
      </c>
      <c r="AB372" s="33">
        <f t="shared" si="81"/>
        <v>-0.65834934586917182</v>
      </c>
      <c r="AC372" s="33">
        <f t="shared" si="82"/>
        <v>-0.29763316344134422</v>
      </c>
      <c r="AD372" s="33">
        <f t="shared" si="83"/>
        <v>-1.6315017595823489E-2</v>
      </c>
      <c r="AE372" s="33">
        <f t="shared" si="84"/>
        <v>-0.43770000189167269</v>
      </c>
      <c r="AF372" s="33">
        <f t="shared" si="85"/>
        <v>0</v>
      </c>
      <c r="AG372" s="33">
        <f t="shared" si="86"/>
        <v>-0.21631988080180395</v>
      </c>
      <c r="AH372" s="33">
        <f t="shared" si="87"/>
        <v>-0.62117838165519124</v>
      </c>
      <c r="AI372" s="33">
        <f t="shared" si="88"/>
        <v>-0.34539968671212662</v>
      </c>
      <c r="AL372" s="5" t="str">
        <f t="shared" si="89"/>
        <v>CHP</v>
      </c>
      <c r="AM372" s="5">
        <f>1</f>
        <v>1</v>
      </c>
    </row>
    <row r="373" spans="3:39" s="3" customFormat="1" x14ac:dyDescent="0.3">
      <c r="C373" s="30" t="s">
        <v>1607</v>
      </c>
      <c r="D373" s="31" t="s">
        <v>700</v>
      </c>
      <c r="E373" s="31" t="s">
        <v>768</v>
      </c>
      <c r="F373" s="31"/>
      <c r="G373" s="31">
        <v>1</v>
      </c>
      <c r="H373" s="33">
        <f>IF(SUMIFS('Industrial Summary'!$G:$G,'Industrial Summary'!$F:$F,H$17,'Industrial Summary'!$D:$D,$E373)&gt;0,(-SUMIFS('Industrial Summary'!$G:$G,'Industrial Summary'!$F:$F,H$17,'Industrial Summary'!$D:$D,$E373,'Industrial Summary'!$A:$A,"ELC")/SUMIFS('Industrial Summary'!$G:$G,'Industrial Summary'!$F:$F,H$17,'Industrial Summary'!$D:$D,$E373)),0)*0.98</f>
        <v>0</v>
      </c>
      <c r="I373" s="33">
        <v>-0.16932370102701597</v>
      </c>
      <c r="J373" s="33">
        <v>-0.21130049288203237</v>
      </c>
      <c r="K373" s="33">
        <v>-9.5718536315914468E-2</v>
      </c>
      <c r="L373" s="33">
        <v>-0.10273788330441243</v>
      </c>
      <c r="M373" s="33">
        <v>-0.13277515600594775</v>
      </c>
      <c r="N373" s="33">
        <v>-0.15121180437320572</v>
      </c>
      <c r="O373" s="33">
        <v>-0.33843378459848561</v>
      </c>
      <c r="P373" s="33">
        <v>-0.42519424153282503</v>
      </c>
      <c r="Q373" s="31">
        <v>0</v>
      </c>
      <c r="R373" s="31">
        <v>15</v>
      </c>
      <c r="S373" s="31" t="str">
        <f t="shared" si="92"/>
        <v>UC_IOTOH_CHP</v>
      </c>
      <c r="T373" s="31"/>
      <c r="U373" s="31"/>
      <c r="V373" s="30" t="s">
        <v>1607</v>
      </c>
      <c r="W373" s="30" t="str">
        <f t="shared" si="93"/>
        <v>IOTOH_CHP</v>
      </c>
      <c r="X373" s="30" t="str">
        <f t="shared" si="94"/>
        <v>IOTOHT</v>
      </c>
      <c r="Y373" s="31"/>
      <c r="Z373" s="31">
        <v>1</v>
      </c>
      <c r="AA373" s="33">
        <f t="shared" si="80"/>
        <v>0</v>
      </c>
      <c r="AB373" s="33">
        <f t="shared" si="81"/>
        <v>-0.16932370102701597</v>
      </c>
      <c r="AC373" s="33">
        <f t="shared" si="82"/>
        <v>-0.21130049288203237</v>
      </c>
      <c r="AD373" s="33">
        <f t="shared" si="83"/>
        <v>-9.5718536315914468E-2</v>
      </c>
      <c r="AE373" s="33">
        <f t="shared" si="84"/>
        <v>-0.10273788330441243</v>
      </c>
      <c r="AF373" s="33">
        <f t="shared" si="85"/>
        <v>-0.13277515600594775</v>
      </c>
      <c r="AG373" s="33">
        <f t="shared" si="86"/>
        <v>-0.15121180437320572</v>
      </c>
      <c r="AH373" s="33">
        <f t="shared" si="87"/>
        <v>-0.33843378459848561</v>
      </c>
      <c r="AI373" s="33">
        <f t="shared" si="88"/>
        <v>-0.42519424153282503</v>
      </c>
      <c r="AL373" s="5" t="str">
        <f t="shared" si="89"/>
        <v>CHP</v>
      </c>
      <c r="AM373" s="5">
        <f>1</f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2D1F-3D9E-4F65-82FD-9BA52B48F701}">
  <dimension ref="A4:P4739"/>
  <sheetViews>
    <sheetView topLeftCell="A117" workbookViewId="0">
      <selection activeCell="F142" sqref="F142"/>
    </sheetView>
  </sheetViews>
  <sheetFormatPr defaultRowHeight="14.4" x14ac:dyDescent="0.3"/>
  <cols>
    <col min="1" max="2" width="8.88671875" style="3"/>
    <col min="3" max="3" width="12.5546875" style="3" customWidth="1"/>
    <col min="4" max="4" width="10.44140625" style="3" bestFit="1" customWidth="1"/>
    <col min="5" max="5" width="13.33203125" style="3" bestFit="1" customWidth="1"/>
    <col min="6" max="6" width="12.5546875" style="3" bestFit="1" customWidth="1"/>
    <col min="7" max="16" width="12" style="3" bestFit="1" customWidth="1"/>
    <col min="17" max="16384" width="8.88671875" style="3"/>
  </cols>
  <sheetData>
    <row r="4" spans="1:16" x14ac:dyDescent="0.3">
      <c r="C4" s="3" t="s">
        <v>803</v>
      </c>
    </row>
    <row r="5" spans="1:16" x14ac:dyDescent="0.3">
      <c r="C5" s="3" t="s">
        <v>851</v>
      </c>
    </row>
    <row r="6" spans="1:16" x14ac:dyDescent="0.3">
      <c r="C6" s="3" t="s">
        <v>804</v>
      </c>
    </row>
    <row r="7" spans="1:16" x14ac:dyDescent="0.3">
      <c r="C7" s="3" t="s">
        <v>805</v>
      </c>
      <c r="D7" s="3" t="s">
        <v>806</v>
      </c>
      <c r="E7" s="3" t="s">
        <v>852</v>
      </c>
      <c r="F7" s="3" t="s">
        <v>853</v>
      </c>
      <c r="G7" s="3">
        <v>2010</v>
      </c>
      <c r="H7" s="3">
        <v>2011</v>
      </c>
      <c r="I7" s="3">
        <v>2015</v>
      </c>
      <c r="J7" s="3">
        <v>2020</v>
      </c>
      <c r="K7" s="3">
        <v>2025</v>
      </c>
      <c r="L7" s="3">
        <v>2030</v>
      </c>
      <c r="M7" s="3">
        <v>2035</v>
      </c>
      <c r="N7" s="3">
        <v>2040</v>
      </c>
      <c r="O7" s="3">
        <v>2045</v>
      </c>
      <c r="P7" s="3">
        <v>2050</v>
      </c>
    </row>
    <row r="8" spans="1:16" x14ac:dyDescent="0.3">
      <c r="A8" s="3" t="str">
        <f t="shared" ref="A8:A71" si="0">RIGHT(E8,3)</f>
        <v>NGA</v>
      </c>
      <c r="C8" s="3" t="s">
        <v>850</v>
      </c>
      <c r="D8" s="3" t="s">
        <v>865</v>
      </c>
      <c r="E8" s="3" t="s">
        <v>866</v>
      </c>
      <c r="F8" s="3" t="s">
        <v>2</v>
      </c>
      <c r="H8" s="3">
        <v>8.9378352094961505E-2</v>
      </c>
      <c r="I8" s="3">
        <v>9.6522508954269504E-2</v>
      </c>
      <c r="J8" s="3">
        <v>0.13601024030294501</v>
      </c>
      <c r="K8" s="3">
        <v>0.15857494286576099</v>
      </c>
      <c r="L8" s="3">
        <v>0.15857494286576099</v>
      </c>
    </row>
    <row r="9" spans="1:16" x14ac:dyDescent="0.3">
      <c r="A9" s="3" t="str">
        <f t="shared" si="0"/>
        <v>NGA</v>
      </c>
      <c r="C9" s="3" t="s">
        <v>850</v>
      </c>
      <c r="D9" s="3" t="s">
        <v>865</v>
      </c>
      <c r="E9" s="3" t="s">
        <v>866</v>
      </c>
      <c r="F9" s="3" t="s">
        <v>3</v>
      </c>
      <c r="H9" s="3">
        <v>0.93644348311071002</v>
      </c>
      <c r="I9" s="3">
        <v>1.0112949317714699</v>
      </c>
      <c r="J9" s="3">
        <v>1.42501959571477</v>
      </c>
      <c r="K9" s="3">
        <v>1.66143667175159</v>
      </c>
      <c r="L9" s="3">
        <v>1.6878344390104301</v>
      </c>
      <c r="M9" s="3">
        <v>1.6878344390104301</v>
      </c>
      <c r="N9" s="3">
        <v>1.0616506722938599</v>
      </c>
    </row>
    <row r="10" spans="1:16" x14ac:dyDescent="0.3">
      <c r="A10" s="3" t="str">
        <f t="shared" si="0"/>
        <v>NGA</v>
      </c>
      <c r="C10" s="3" t="s">
        <v>850</v>
      </c>
      <c r="D10" s="3" t="s">
        <v>865</v>
      </c>
      <c r="E10" s="3" t="s">
        <v>866</v>
      </c>
      <c r="F10" s="3" t="s">
        <v>4</v>
      </c>
      <c r="H10" s="3">
        <v>8.8975607354152206E-2</v>
      </c>
      <c r="I10" s="3">
        <v>9.6087572172153204E-2</v>
      </c>
      <c r="J10" s="3">
        <v>0.13539736920279299</v>
      </c>
      <c r="K10" s="3">
        <v>0.15786039372979699</v>
      </c>
      <c r="L10" s="3">
        <v>0.15786039372979699</v>
      </c>
    </row>
    <row r="11" spans="1:16" x14ac:dyDescent="0.3">
      <c r="A11" s="3" t="str">
        <f t="shared" si="0"/>
        <v>NGA</v>
      </c>
      <c r="C11" s="3" t="s">
        <v>850</v>
      </c>
      <c r="D11" s="3" t="s">
        <v>865</v>
      </c>
      <c r="E11" s="3" t="s">
        <v>866</v>
      </c>
      <c r="F11" s="3" t="s">
        <v>5</v>
      </c>
      <c r="G11" s="3">
        <v>0.56340047205543997</v>
      </c>
      <c r="H11" s="3">
        <v>0.67216675830671002</v>
      </c>
      <c r="I11" s="3">
        <v>0.72589413909186595</v>
      </c>
      <c r="J11" s="3">
        <v>0.93008023234444104</v>
      </c>
      <c r="K11" s="3">
        <v>1.0997772855826631</v>
      </c>
      <c r="L11" s="3">
        <v>1.111438490639346</v>
      </c>
      <c r="M11" s="3">
        <v>1.040158283302679</v>
      </c>
      <c r="N11" s="3">
        <v>0.230451292279054</v>
      </c>
    </row>
    <row r="12" spans="1:16" x14ac:dyDescent="0.3">
      <c r="A12" s="3" t="str">
        <f t="shared" si="0"/>
        <v>NGA</v>
      </c>
      <c r="C12" s="3" t="s">
        <v>850</v>
      </c>
      <c r="D12" s="3" t="s">
        <v>865</v>
      </c>
      <c r="E12" s="3" t="s">
        <v>866</v>
      </c>
      <c r="F12" s="3" t="s">
        <v>6</v>
      </c>
      <c r="G12" s="3">
        <v>0.44029901281133499</v>
      </c>
      <c r="H12" s="3">
        <v>1.003871997563446</v>
      </c>
      <c r="I12" s="3">
        <v>1.085996022292407</v>
      </c>
      <c r="J12" s="3">
        <v>1.530281190991547</v>
      </c>
      <c r="K12" s="3">
        <v>1.7590289217291051</v>
      </c>
      <c r="L12" s="3">
        <v>1.7590289217291051</v>
      </c>
      <c r="M12" s="3">
        <v>0.66595783347914772</v>
      </c>
      <c r="N12" s="3">
        <v>0.69063951191945305</v>
      </c>
    </row>
    <row r="13" spans="1:16" x14ac:dyDescent="0.3">
      <c r="A13" s="3" t="str">
        <f t="shared" si="0"/>
        <v>NGA</v>
      </c>
      <c r="C13" s="3" t="s">
        <v>850</v>
      </c>
      <c r="D13" s="3" t="s">
        <v>865</v>
      </c>
      <c r="E13" s="3" t="s">
        <v>866</v>
      </c>
      <c r="F13" s="3" t="s">
        <v>7</v>
      </c>
      <c r="H13" s="3">
        <v>0.12200067610050599</v>
      </c>
      <c r="I13" s="3">
        <v>0.131752388305689</v>
      </c>
      <c r="J13" s="3">
        <v>0.18565279941525001</v>
      </c>
      <c r="K13" s="3">
        <v>0.216453422878809</v>
      </c>
      <c r="L13" s="3">
        <v>0.216453422878809</v>
      </c>
    </row>
    <row r="14" spans="1:16" x14ac:dyDescent="0.3">
      <c r="A14" s="3" t="str">
        <f t="shared" si="0"/>
        <v>NGA</v>
      </c>
      <c r="C14" s="3" t="s">
        <v>850</v>
      </c>
      <c r="D14" s="3" t="s">
        <v>865</v>
      </c>
      <c r="E14" s="3" t="s">
        <v>867</v>
      </c>
      <c r="F14" s="3" t="s">
        <v>6</v>
      </c>
      <c r="K14" s="3">
        <v>2.51327111709659E-2</v>
      </c>
      <c r="L14" s="3">
        <v>2.51327111709659E-2</v>
      </c>
      <c r="O14" s="3">
        <v>2.51327111709659E-2</v>
      </c>
      <c r="P14" s="3">
        <v>2.51327111709659E-2</v>
      </c>
    </row>
    <row r="15" spans="1:16" x14ac:dyDescent="0.3">
      <c r="A15" s="3" t="str">
        <f t="shared" si="0"/>
        <v>NGA</v>
      </c>
      <c r="C15" s="3" t="s">
        <v>850</v>
      </c>
      <c r="D15" s="3" t="s">
        <v>865</v>
      </c>
      <c r="E15" s="3" t="s">
        <v>868</v>
      </c>
      <c r="F15" s="3" t="s">
        <v>5</v>
      </c>
      <c r="J15" s="3">
        <v>0.91062905603783595</v>
      </c>
      <c r="K15" s="3">
        <v>0.91062905603783595</v>
      </c>
      <c r="L15" s="3">
        <v>0.91062905603783595</v>
      </c>
    </row>
    <row r="16" spans="1:16" x14ac:dyDescent="0.3">
      <c r="A16" s="3" t="str">
        <f t="shared" si="0"/>
        <v>NGA</v>
      </c>
      <c r="C16" s="3" t="s">
        <v>850</v>
      </c>
      <c r="D16" s="3" t="s">
        <v>865</v>
      </c>
      <c r="E16" s="3" t="s">
        <v>1191</v>
      </c>
      <c r="F16" s="3" t="s">
        <v>2</v>
      </c>
      <c r="M16" s="3">
        <v>2.0418127159059498</v>
      </c>
      <c r="N16" s="3">
        <v>2.1326558714402184</v>
      </c>
      <c r="O16" s="3">
        <v>2.1699602446275583</v>
      </c>
      <c r="P16" s="3">
        <v>2.2067781645912845</v>
      </c>
    </row>
    <row r="17" spans="1:16" x14ac:dyDescent="0.3">
      <c r="A17" s="3" t="str">
        <f t="shared" si="0"/>
        <v>NGA</v>
      </c>
      <c r="C17" s="3" t="s">
        <v>850</v>
      </c>
      <c r="D17" s="3" t="s">
        <v>865</v>
      </c>
      <c r="E17" s="3" t="s">
        <v>1191</v>
      </c>
      <c r="F17" s="3" t="s">
        <v>3</v>
      </c>
      <c r="M17" s="3">
        <v>2.31331466530392</v>
      </c>
      <c r="N17" s="3">
        <v>3.1131712615369693</v>
      </c>
      <c r="O17" s="3">
        <v>4.092908829522532</v>
      </c>
      <c r="P17" s="3">
        <v>4.1600505661291276</v>
      </c>
    </row>
    <row r="18" spans="1:16" x14ac:dyDescent="0.3">
      <c r="A18" s="3" t="str">
        <f t="shared" si="0"/>
        <v>NGA</v>
      </c>
      <c r="C18" s="3" t="s">
        <v>850</v>
      </c>
      <c r="D18" s="3" t="s">
        <v>865</v>
      </c>
      <c r="E18" s="3" t="s">
        <v>1191</v>
      </c>
      <c r="F18" s="3" t="s">
        <v>4</v>
      </c>
      <c r="M18" s="3">
        <v>5.3204412011303797</v>
      </c>
      <c r="N18" s="3">
        <v>5.4003218242411881</v>
      </c>
      <c r="O18" s="3">
        <v>5.4257405922438524</v>
      </c>
      <c r="P18" s="3">
        <v>5.4734974103577771</v>
      </c>
    </row>
    <row r="19" spans="1:16" x14ac:dyDescent="0.3">
      <c r="A19" s="3" t="str">
        <f t="shared" si="0"/>
        <v>NGA</v>
      </c>
      <c r="C19" s="3" t="s">
        <v>850</v>
      </c>
      <c r="D19" s="3" t="s">
        <v>865</v>
      </c>
      <c r="E19" s="3" t="s">
        <v>1191</v>
      </c>
      <c r="F19" s="3" t="s">
        <v>5</v>
      </c>
      <c r="M19" s="3">
        <v>3.59738120066954</v>
      </c>
      <c r="N19" s="3">
        <v>4.6192541124621904</v>
      </c>
      <c r="O19" s="3">
        <v>4.764531475406983</v>
      </c>
      <c r="P19" s="3">
        <v>4.8426674247587256</v>
      </c>
    </row>
    <row r="20" spans="1:16" x14ac:dyDescent="0.3">
      <c r="A20" s="3" t="str">
        <f t="shared" si="0"/>
        <v>NGA</v>
      </c>
      <c r="C20" s="3" t="s">
        <v>850</v>
      </c>
      <c r="D20" s="3" t="s">
        <v>865</v>
      </c>
      <c r="E20" s="3" t="s">
        <v>1191</v>
      </c>
      <c r="F20" s="3" t="s">
        <v>6</v>
      </c>
      <c r="M20" s="3">
        <v>15.444865278084199</v>
      </c>
      <c r="N20" s="3">
        <v>16.187958754407163</v>
      </c>
      <c r="O20" s="3">
        <v>16.521851067452282</v>
      </c>
      <c r="P20" s="3">
        <v>16.793295539895162</v>
      </c>
    </row>
    <row r="21" spans="1:16" x14ac:dyDescent="0.3">
      <c r="A21" s="3" t="str">
        <f t="shared" si="0"/>
        <v>NGA</v>
      </c>
      <c r="C21" s="3" t="s">
        <v>850</v>
      </c>
      <c r="D21" s="3" t="s">
        <v>865</v>
      </c>
      <c r="E21" s="3" t="s">
        <v>1191</v>
      </c>
      <c r="F21" s="3" t="s">
        <v>7</v>
      </c>
      <c r="M21" s="3">
        <v>2.7870566638605299</v>
      </c>
      <c r="N21" s="3">
        <v>2.9110567839624197</v>
      </c>
      <c r="O21" s="3">
        <v>2.9110567839624197</v>
      </c>
      <c r="P21" s="3">
        <v>2.9388040066905878</v>
      </c>
    </row>
    <row r="22" spans="1:16" x14ac:dyDescent="0.3">
      <c r="A22" s="3" t="str">
        <f t="shared" si="0"/>
        <v>COA</v>
      </c>
      <c r="C22" s="3" t="s">
        <v>850</v>
      </c>
      <c r="D22" s="3" t="s">
        <v>869</v>
      </c>
      <c r="E22" s="3" t="s">
        <v>870</v>
      </c>
      <c r="F22" s="3" t="s">
        <v>1</v>
      </c>
      <c r="G22" s="3">
        <v>2.5397646753481098E-3</v>
      </c>
      <c r="H22" s="3">
        <v>2.2979621456774399E-3</v>
      </c>
      <c r="I22" s="3">
        <v>1.3307520269947399E-3</v>
      </c>
      <c r="J22" s="3">
        <v>1.3307520269947399E-3</v>
      </c>
      <c r="L22" s="3">
        <v>1.3307520269947399E-3</v>
      </c>
      <c r="M22" s="3">
        <v>1.3307520269947399E-3</v>
      </c>
    </row>
    <row r="23" spans="1:16" x14ac:dyDescent="0.3">
      <c r="A23" s="3" t="str">
        <f t="shared" si="0"/>
        <v>COA</v>
      </c>
      <c r="C23" s="3" t="s">
        <v>850</v>
      </c>
      <c r="D23" s="3" t="s">
        <v>869</v>
      </c>
      <c r="E23" s="3" t="s">
        <v>870</v>
      </c>
      <c r="F23" s="3" t="s">
        <v>2</v>
      </c>
      <c r="G23" s="3">
        <v>5.7324225411447299E-2</v>
      </c>
      <c r="H23" s="3">
        <v>5.30988858832456E-2</v>
      </c>
      <c r="I23" s="3">
        <v>3.6197527770438997E-2</v>
      </c>
      <c r="J23" s="3">
        <v>3.6197527770438997E-2</v>
      </c>
      <c r="K23" s="3">
        <v>3.6197527770438997E-2</v>
      </c>
      <c r="L23" s="3">
        <v>3.6197527770438997E-2</v>
      </c>
      <c r="M23" s="3">
        <v>3.6197527770438997E-2</v>
      </c>
      <c r="N23" s="3">
        <v>3.6197527770438997E-2</v>
      </c>
      <c r="O23" s="3">
        <v>3.6197527770438997E-2</v>
      </c>
      <c r="P23" s="3">
        <v>3.6197527770438997E-2</v>
      </c>
    </row>
    <row r="24" spans="1:16" x14ac:dyDescent="0.3">
      <c r="A24" s="3" t="str">
        <f t="shared" si="0"/>
        <v>COA</v>
      </c>
      <c r="C24" s="3" t="s">
        <v>850</v>
      </c>
      <c r="D24" s="3" t="s">
        <v>869</v>
      </c>
      <c r="E24" s="3" t="s">
        <v>870</v>
      </c>
      <c r="F24" s="3" t="s">
        <v>4</v>
      </c>
      <c r="G24" s="3">
        <v>1.67621219631064</v>
      </c>
      <c r="H24" s="3">
        <v>1.61154336041385</v>
      </c>
      <c r="I24" s="3">
        <v>1.35286801682669</v>
      </c>
    </row>
    <row r="25" spans="1:16" x14ac:dyDescent="0.3">
      <c r="A25" s="3" t="str">
        <f t="shared" si="0"/>
        <v>COA</v>
      </c>
      <c r="C25" s="3" t="s">
        <v>850</v>
      </c>
      <c r="D25" s="3" t="s">
        <v>869</v>
      </c>
      <c r="E25" s="3" t="s">
        <v>870</v>
      </c>
      <c r="F25" s="3" t="s">
        <v>6</v>
      </c>
      <c r="G25" s="3">
        <v>1.7163780761424401</v>
      </c>
      <c r="H25" s="3">
        <v>1.6520523515652099</v>
      </c>
      <c r="I25" s="3">
        <v>1.3947494532562701</v>
      </c>
      <c r="J25" s="3">
        <v>1.3947494532562701</v>
      </c>
      <c r="K25" s="3">
        <v>1.3947494532562701</v>
      </c>
      <c r="L25" s="3">
        <v>1.3947494532562701</v>
      </c>
      <c r="M25" s="3">
        <v>0.151995153654508</v>
      </c>
    </row>
    <row r="26" spans="1:16" x14ac:dyDescent="0.3">
      <c r="A26" s="3" t="str">
        <f t="shared" si="0"/>
        <v>NGA</v>
      </c>
      <c r="C26" s="3" t="s">
        <v>850</v>
      </c>
      <c r="D26" s="3" t="s">
        <v>869</v>
      </c>
      <c r="E26" s="3" t="s">
        <v>871</v>
      </c>
      <c r="F26" s="3" t="s">
        <v>5</v>
      </c>
      <c r="G26" s="3">
        <v>7.4031355046279806E-2</v>
      </c>
      <c r="H26" s="3">
        <v>7.7211864218509701E-2</v>
      </c>
      <c r="I26" s="3">
        <v>6.5186315253044996E-2</v>
      </c>
    </row>
    <row r="27" spans="1:16" x14ac:dyDescent="0.3">
      <c r="A27" s="3" t="str">
        <f t="shared" si="0"/>
        <v>NGA</v>
      </c>
      <c r="C27" s="3" t="s">
        <v>850</v>
      </c>
      <c r="D27" s="3" t="s">
        <v>869</v>
      </c>
      <c r="E27" s="3" t="s">
        <v>871</v>
      </c>
      <c r="F27" s="3" t="s">
        <v>6</v>
      </c>
      <c r="G27" s="3">
        <v>0.608994180697083</v>
      </c>
      <c r="H27" s="3">
        <v>0.58511154785800201</v>
      </c>
      <c r="I27" s="3">
        <v>0.48958101650167801</v>
      </c>
    </row>
    <row r="28" spans="1:16" x14ac:dyDescent="0.3">
      <c r="A28" s="3" t="str">
        <f t="shared" si="0"/>
        <v>NGA</v>
      </c>
      <c r="C28" s="3" t="s">
        <v>850</v>
      </c>
      <c r="D28" s="3" t="s">
        <v>869</v>
      </c>
      <c r="E28" s="3" t="s">
        <v>872</v>
      </c>
      <c r="F28" s="3" t="s">
        <v>0</v>
      </c>
      <c r="G28" s="3">
        <v>1.1512819956243101</v>
      </c>
      <c r="I28" s="3">
        <v>1.1512819956243101</v>
      </c>
    </row>
    <row r="29" spans="1:16" x14ac:dyDescent="0.3">
      <c r="A29" s="3" t="str">
        <f t="shared" si="0"/>
        <v>NGA</v>
      </c>
      <c r="C29" s="3" t="s">
        <v>850</v>
      </c>
      <c r="D29" s="3" t="s">
        <v>869</v>
      </c>
      <c r="E29" s="3" t="s">
        <v>872</v>
      </c>
      <c r="F29" s="3" t="s">
        <v>1</v>
      </c>
      <c r="G29" s="3">
        <v>1.13034331827665</v>
      </c>
    </row>
    <row r="30" spans="1:16" x14ac:dyDescent="0.3">
      <c r="A30" s="3" t="str">
        <f t="shared" si="0"/>
        <v>NGA</v>
      </c>
      <c r="C30" s="3" t="s">
        <v>850</v>
      </c>
      <c r="D30" s="3" t="s">
        <v>869</v>
      </c>
      <c r="E30" s="3" t="s">
        <v>872</v>
      </c>
      <c r="F30" s="3" t="s">
        <v>3</v>
      </c>
      <c r="G30" s="3">
        <v>0.124247264874307</v>
      </c>
      <c r="I30" s="3">
        <v>0.124247264874307</v>
      </c>
    </row>
    <row r="31" spans="1:16" x14ac:dyDescent="0.3">
      <c r="A31" s="3" t="str">
        <f t="shared" si="0"/>
        <v>NGA</v>
      </c>
      <c r="C31" s="3" t="s">
        <v>850</v>
      </c>
      <c r="D31" s="3" t="s">
        <v>869</v>
      </c>
      <c r="E31" s="3" t="s">
        <v>872</v>
      </c>
      <c r="F31" s="3" t="s">
        <v>4</v>
      </c>
      <c r="G31" s="3">
        <v>0.100831133588109</v>
      </c>
      <c r="I31" s="3">
        <v>2.66352699317705</v>
      </c>
    </row>
    <row r="32" spans="1:16" x14ac:dyDescent="0.3">
      <c r="A32" s="3" t="str">
        <f t="shared" si="0"/>
        <v>NGA</v>
      </c>
      <c r="C32" s="3" t="s">
        <v>850</v>
      </c>
      <c r="D32" s="3" t="s">
        <v>869</v>
      </c>
      <c r="E32" s="3" t="s">
        <v>872</v>
      </c>
      <c r="F32" s="3" t="s">
        <v>5</v>
      </c>
      <c r="I32" s="3">
        <v>9.0591489174389195E-2</v>
      </c>
    </row>
    <row r="33" spans="1:16" x14ac:dyDescent="0.3">
      <c r="A33" s="3" t="str">
        <f t="shared" si="0"/>
        <v>NGA</v>
      </c>
      <c r="C33" s="3" t="s">
        <v>850</v>
      </c>
      <c r="D33" s="3" t="s">
        <v>869</v>
      </c>
      <c r="E33" s="3" t="s">
        <v>872</v>
      </c>
      <c r="F33" s="3" t="s">
        <v>6</v>
      </c>
      <c r="G33" s="3">
        <v>13.3019263120182</v>
      </c>
      <c r="H33" s="3">
        <v>4.4177738399004802</v>
      </c>
      <c r="I33" s="3">
        <v>10.1727703599632</v>
      </c>
      <c r="J33" s="3">
        <v>10.1727703599632</v>
      </c>
    </row>
    <row r="34" spans="1:16" x14ac:dyDescent="0.3">
      <c r="A34" s="3" t="str">
        <f t="shared" si="0"/>
        <v>NGA</v>
      </c>
      <c r="C34" s="3" t="s">
        <v>850</v>
      </c>
      <c r="D34" s="3" t="s">
        <v>869</v>
      </c>
      <c r="E34" s="3" t="s">
        <v>872</v>
      </c>
      <c r="F34" s="3" t="s">
        <v>7</v>
      </c>
      <c r="G34" s="3">
        <v>0.33741107225891198</v>
      </c>
      <c r="I34" s="3">
        <v>0.34196494919534098</v>
      </c>
    </row>
    <row r="35" spans="1:16" x14ac:dyDescent="0.3">
      <c r="A35" s="3" t="str">
        <f t="shared" si="0"/>
        <v>NGA</v>
      </c>
      <c r="C35" s="3" t="s">
        <v>850</v>
      </c>
      <c r="D35" s="3" t="s">
        <v>869</v>
      </c>
      <c r="E35" s="3" t="s">
        <v>872</v>
      </c>
      <c r="F35" s="3" t="s">
        <v>8</v>
      </c>
      <c r="G35" s="3">
        <v>0.45233148321025302</v>
      </c>
      <c r="I35" s="3">
        <v>0.22057058233764301</v>
      </c>
    </row>
    <row r="36" spans="1:16" x14ac:dyDescent="0.3">
      <c r="A36" s="3" t="str">
        <f t="shared" si="0"/>
        <v>COA</v>
      </c>
      <c r="C36" s="3" t="s">
        <v>850</v>
      </c>
      <c r="D36" s="3" t="s">
        <v>869</v>
      </c>
      <c r="E36" s="3" t="s">
        <v>873</v>
      </c>
      <c r="F36" s="3" t="s">
        <v>7</v>
      </c>
      <c r="G36" s="3">
        <v>0.20610609167379801</v>
      </c>
      <c r="H36" s="3">
        <v>0.20610609167379801</v>
      </c>
      <c r="I36" s="3">
        <v>0.20610609167379801</v>
      </c>
      <c r="L36" s="3">
        <v>4.0567833997927898E-2</v>
      </c>
      <c r="M36" s="3">
        <v>6.2878643529863706E-2</v>
      </c>
    </row>
    <row r="37" spans="1:16" x14ac:dyDescent="0.3">
      <c r="A37" s="3" t="str">
        <f t="shared" si="0"/>
        <v>NGA</v>
      </c>
      <c r="C37" s="3" t="s">
        <v>850</v>
      </c>
      <c r="D37" s="3" t="s">
        <v>869</v>
      </c>
      <c r="E37" s="3" t="s">
        <v>1192</v>
      </c>
      <c r="F37" s="3" t="s">
        <v>3</v>
      </c>
      <c r="H37" s="3">
        <v>1.89194369526124E-2</v>
      </c>
      <c r="I37" s="3">
        <v>1.89194369526124E-2</v>
      </c>
    </row>
    <row r="38" spans="1:16" x14ac:dyDescent="0.3">
      <c r="A38" s="3" t="str">
        <f t="shared" si="0"/>
        <v>NGA</v>
      </c>
      <c r="C38" s="3" t="s">
        <v>850</v>
      </c>
      <c r="D38" s="3" t="s">
        <v>869</v>
      </c>
      <c r="E38" s="3" t="s">
        <v>1192</v>
      </c>
      <c r="F38" s="3" t="s">
        <v>4</v>
      </c>
      <c r="H38" s="3">
        <v>0.114914942319195</v>
      </c>
      <c r="I38" s="3">
        <v>0.25095215253943198</v>
      </c>
    </row>
    <row r="39" spans="1:16" x14ac:dyDescent="0.3">
      <c r="A39" s="3" t="str">
        <f t="shared" si="0"/>
        <v>NGA</v>
      </c>
      <c r="C39" s="3" t="s">
        <v>850</v>
      </c>
      <c r="D39" s="3" t="s">
        <v>869</v>
      </c>
      <c r="E39" s="3" t="s">
        <v>1192</v>
      </c>
      <c r="F39" s="3" t="s">
        <v>5</v>
      </c>
      <c r="H39" s="3">
        <v>2.4033457523295202E-3</v>
      </c>
      <c r="I39" s="3">
        <v>3.6267028516970119E-2</v>
      </c>
    </row>
    <row r="40" spans="1:16" x14ac:dyDescent="0.3">
      <c r="A40" s="3" t="str">
        <f t="shared" si="0"/>
        <v>NGA</v>
      </c>
      <c r="C40" s="3" t="s">
        <v>850</v>
      </c>
      <c r="D40" s="3" t="s">
        <v>869</v>
      </c>
      <c r="E40" s="3" t="s">
        <v>1192</v>
      </c>
      <c r="F40" s="3" t="s">
        <v>6</v>
      </c>
      <c r="H40" s="3">
        <v>1.3062687546399501</v>
      </c>
      <c r="I40" s="3">
        <v>1.3062687546399501</v>
      </c>
    </row>
    <row r="41" spans="1:16" x14ac:dyDescent="0.3">
      <c r="A41" s="3" t="str">
        <f t="shared" si="0"/>
        <v>NGA</v>
      </c>
      <c r="C41" s="3" t="s">
        <v>850</v>
      </c>
      <c r="D41" s="3" t="s">
        <v>869</v>
      </c>
      <c r="E41" s="3" t="s">
        <v>1192</v>
      </c>
      <c r="F41" s="3" t="s">
        <v>7</v>
      </c>
      <c r="H41" s="3">
        <v>2.5240068176002401E-2</v>
      </c>
      <c r="I41" s="3">
        <v>2.5240068176002401E-2</v>
      </c>
    </row>
    <row r="42" spans="1:16" x14ac:dyDescent="0.3">
      <c r="A42" s="3" t="str">
        <f t="shared" si="0"/>
        <v>NGA</v>
      </c>
      <c r="C42" s="3" t="s">
        <v>850</v>
      </c>
      <c r="D42" s="3" t="s">
        <v>869</v>
      </c>
      <c r="E42" s="3" t="s">
        <v>1193</v>
      </c>
      <c r="F42" s="3" t="s">
        <v>0</v>
      </c>
      <c r="H42" s="3">
        <v>1.2202958598089999</v>
      </c>
      <c r="I42" s="3">
        <v>2.3592940993645599</v>
      </c>
      <c r="J42" s="3">
        <v>2.3592940993645599</v>
      </c>
      <c r="K42" s="3">
        <v>2.3592940993645599</v>
      </c>
      <c r="L42" s="3">
        <v>2.3592940993645599</v>
      </c>
      <c r="M42" s="3">
        <v>2.4661227445951037</v>
      </c>
      <c r="N42" s="3">
        <v>2.5758440575777497</v>
      </c>
      <c r="O42" s="3">
        <v>2.620900669515505</v>
      </c>
      <c r="P42" s="3">
        <v>2.6653697381641144</v>
      </c>
    </row>
    <row r="43" spans="1:16" x14ac:dyDescent="0.3">
      <c r="A43" s="3" t="str">
        <f t="shared" si="0"/>
        <v>NGA</v>
      </c>
      <c r="C43" s="3" t="s">
        <v>850</v>
      </c>
      <c r="D43" s="3" t="s">
        <v>869</v>
      </c>
      <c r="E43" s="3" t="s">
        <v>1193</v>
      </c>
      <c r="F43" s="3" t="s">
        <v>1</v>
      </c>
      <c r="J43" s="3">
        <v>0.69869530868907204</v>
      </c>
      <c r="K43" s="3">
        <v>2.3629915563712021</v>
      </c>
      <c r="L43" s="3">
        <v>2.5640904946979801</v>
      </c>
      <c r="M43" s="3">
        <v>2.6806861942205651</v>
      </c>
      <c r="N43" s="3">
        <v>2.8113465176520949</v>
      </c>
      <c r="O43" s="3">
        <v>2.8605225338382363</v>
      </c>
      <c r="P43" s="3">
        <v>2.9090572892403399</v>
      </c>
    </row>
    <row r="44" spans="1:16" x14ac:dyDescent="0.3">
      <c r="A44" s="3" t="str">
        <f t="shared" si="0"/>
        <v>NGA</v>
      </c>
      <c r="C44" s="3" t="s">
        <v>850</v>
      </c>
      <c r="D44" s="3" t="s">
        <v>869</v>
      </c>
      <c r="E44" s="3" t="s">
        <v>1193</v>
      </c>
      <c r="F44" s="3" t="s">
        <v>2</v>
      </c>
      <c r="J44" s="3">
        <v>2.5536315571114501</v>
      </c>
      <c r="K44" s="3">
        <v>3.0265129610574393</v>
      </c>
      <c r="L44" s="3">
        <v>3.3246692954421424</v>
      </c>
      <c r="M44" s="3">
        <v>3.4886442611141453</v>
      </c>
      <c r="N44" s="3">
        <v>3.6570592821133174</v>
      </c>
      <c r="O44" s="3">
        <v>3.7262182270746305</v>
      </c>
      <c r="P44" s="3">
        <v>3.7944753316122997</v>
      </c>
    </row>
    <row r="45" spans="1:16" x14ac:dyDescent="0.3">
      <c r="A45" s="3" t="str">
        <f t="shared" si="0"/>
        <v>NGA</v>
      </c>
      <c r="C45" s="3" t="s">
        <v>850</v>
      </c>
      <c r="D45" s="3" t="s">
        <v>869</v>
      </c>
      <c r="E45" s="3" t="s">
        <v>1193</v>
      </c>
      <c r="F45" s="3" t="s">
        <v>3</v>
      </c>
      <c r="J45" s="3">
        <v>2.3654030123541401</v>
      </c>
      <c r="K45" s="3">
        <v>2.7578338712076702</v>
      </c>
      <c r="L45" s="3">
        <v>3.0052653527564273</v>
      </c>
      <c r="M45" s="3">
        <v>3.1413435238838523</v>
      </c>
      <c r="N45" s="3">
        <v>3.2811063709381845</v>
      </c>
      <c r="O45" s="3">
        <v>3.3384994169368216</v>
      </c>
      <c r="P45" s="3">
        <v>3.3951440511581312</v>
      </c>
    </row>
    <row r="46" spans="1:16" x14ac:dyDescent="0.3">
      <c r="A46" s="3" t="str">
        <f t="shared" si="0"/>
        <v>NGA</v>
      </c>
      <c r="C46" s="3" t="s">
        <v>850</v>
      </c>
      <c r="D46" s="3" t="s">
        <v>869</v>
      </c>
      <c r="E46" s="3" t="s">
        <v>1193</v>
      </c>
      <c r="F46" s="3" t="s">
        <v>4</v>
      </c>
      <c r="J46" s="3">
        <v>23.3162549680928</v>
      </c>
      <c r="K46" s="3">
        <v>27.18452515908664</v>
      </c>
      <c r="L46" s="3">
        <v>29.623507218715378</v>
      </c>
      <c r="M46" s="3">
        <v>65.743004349618076</v>
      </c>
      <c r="N46" s="3">
        <v>67.47985688767973</v>
      </c>
      <c r="O46" s="3">
        <v>67.828108920282773</v>
      </c>
      <c r="P46" s="3">
        <v>67.988183963571771</v>
      </c>
    </row>
    <row r="47" spans="1:16" x14ac:dyDescent="0.3">
      <c r="A47" s="3" t="str">
        <f t="shared" si="0"/>
        <v>NGA</v>
      </c>
      <c r="C47" s="3" t="s">
        <v>850</v>
      </c>
      <c r="D47" s="3" t="s">
        <v>869</v>
      </c>
      <c r="E47" s="3" t="s">
        <v>1193</v>
      </c>
      <c r="F47" s="3" t="s">
        <v>5</v>
      </c>
      <c r="J47" s="3">
        <v>3.1632318486008799</v>
      </c>
      <c r="K47" s="3">
        <v>3.688026052639636</v>
      </c>
      <c r="L47" s="3">
        <v>4.0189139134792944</v>
      </c>
      <c r="M47" s="3">
        <v>4.2008900091219665</v>
      </c>
      <c r="N47" s="3">
        <v>4.3877935882348398</v>
      </c>
      <c r="O47" s="3">
        <v>4.4645447845607587</v>
      </c>
      <c r="P47" s="3">
        <v>4.5402951366510278</v>
      </c>
    </row>
    <row r="48" spans="1:16" x14ac:dyDescent="0.3">
      <c r="A48" s="3" t="str">
        <f t="shared" si="0"/>
        <v>NGA</v>
      </c>
      <c r="C48" s="3" t="s">
        <v>850</v>
      </c>
      <c r="D48" s="3" t="s">
        <v>869</v>
      </c>
      <c r="E48" s="3" t="s">
        <v>1193</v>
      </c>
      <c r="F48" s="3" t="s">
        <v>6</v>
      </c>
      <c r="J48" s="3">
        <v>36.582638687725698</v>
      </c>
      <c r="K48" s="3">
        <v>56.868730161405395</v>
      </c>
      <c r="L48" s="3">
        <v>62.996641357215466</v>
      </c>
      <c r="M48" s="3">
        <v>76.552981480789072</v>
      </c>
      <c r="N48" s="3">
        <v>186.59689247358307</v>
      </c>
      <c r="O48" s="3">
        <v>205.39028778737966</v>
      </c>
      <c r="P48" s="3">
        <v>205.87501087885124</v>
      </c>
    </row>
    <row r="49" spans="1:16" x14ac:dyDescent="0.3">
      <c r="A49" s="3" t="str">
        <f t="shared" si="0"/>
        <v>NGA</v>
      </c>
      <c r="C49" s="3" t="s">
        <v>850</v>
      </c>
      <c r="D49" s="3" t="s">
        <v>869</v>
      </c>
      <c r="E49" s="3" t="s">
        <v>1193</v>
      </c>
      <c r="F49" s="3" t="s">
        <v>7</v>
      </c>
      <c r="J49" s="3">
        <v>3.15564006714777</v>
      </c>
      <c r="K49" s="3">
        <v>3.679174760946494</v>
      </c>
      <c r="L49" s="3">
        <v>3.679174760946494</v>
      </c>
      <c r="M49" s="3">
        <v>3.679174760946494</v>
      </c>
      <c r="N49" s="3">
        <v>4.3772628489221557</v>
      </c>
      <c r="O49" s="3">
        <v>4.4538298417699043</v>
      </c>
      <c r="P49" s="3">
        <v>4.5293983924160752</v>
      </c>
    </row>
    <row r="50" spans="1:16" x14ac:dyDescent="0.3">
      <c r="A50" s="3" t="str">
        <f t="shared" si="0"/>
        <v>NGA</v>
      </c>
      <c r="C50" s="3" t="s">
        <v>850</v>
      </c>
      <c r="D50" s="3" t="s">
        <v>869</v>
      </c>
      <c r="E50" s="3" t="s">
        <v>1193</v>
      </c>
      <c r="F50" s="3" t="s">
        <v>8</v>
      </c>
      <c r="H50" s="3">
        <v>0.29057782868710202</v>
      </c>
      <c r="I50" s="3">
        <v>0.29057782868710202</v>
      </c>
      <c r="J50" s="3">
        <v>0.29057782868710202</v>
      </c>
      <c r="K50" s="3">
        <v>0.97253430188754697</v>
      </c>
      <c r="L50" s="3">
        <v>0.97253430188754697</v>
      </c>
      <c r="M50" s="3">
        <v>0.97253430188754697</v>
      </c>
      <c r="N50" s="3">
        <v>1.0158037379923079</v>
      </c>
      <c r="O50" s="3">
        <v>7.7802051179063634</v>
      </c>
      <c r="P50" s="3">
        <v>7.7802051179063634</v>
      </c>
    </row>
    <row r="51" spans="1:16" x14ac:dyDescent="0.3">
      <c r="A51" s="3" t="str">
        <f t="shared" si="0"/>
        <v>COA</v>
      </c>
      <c r="C51" s="3" t="s">
        <v>850</v>
      </c>
      <c r="D51" s="3" t="s">
        <v>869</v>
      </c>
      <c r="E51" s="3" t="s">
        <v>1194</v>
      </c>
      <c r="F51" s="3" t="s">
        <v>1</v>
      </c>
      <c r="H51" s="3">
        <v>0.16136853929088299</v>
      </c>
      <c r="I51" s="3">
        <v>0.16187410274780201</v>
      </c>
      <c r="J51" s="3">
        <v>0.16187410274780201</v>
      </c>
    </row>
    <row r="52" spans="1:16" x14ac:dyDescent="0.3">
      <c r="A52" s="3" t="str">
        <f t="shared" si="0"/>
        <v>COA</v>
      </c>
      <c r="C52" s="3" t="s">
        <v>850</v>
      </c>
      <c r="D52" s="3" t="s">
        <v>869</v>
      </c>
      <c r="E52" s="3" t="s">
        <v>1194</v>
      </c>
      <c r="F52" s="3" t="s">
        <v>2</v>
      </c>
      <c r="H52" s="3">
        <v>0.165751249193305</v>
      </c>
      <c r="I52" s="3">
        <v>2.3000017461983002E-2</v>
      </c>
    </row>
    <row r="53" spans="1:16" x14ac:dyDescent="0.3">
      <c r="A53" s="3" t="str">
        <f t="shared" si="0"/>
        <v>COA</v>
      </c>
      <c r="C53" s="3" t="s">
        <v>850</v>
      </c>
      <c r="D53" s="3" t="s">
        <v>869</v>
      </c>
      <c r="E53" s="3" t="s">
        <v>1194</v>
      </c>
      <c r="F53" s="3" t="s">
        <v>3</v>
      </c>
      <c r="H53" s="3">
        <v>5.9200413534122003E-4</v>
      </c>
    </row>
    <row r="54" spans="1:16" x14ac:dyDescent="0.3">
      <c r="A54" s="3" t="str">
        <f t="shared" si="0"/>
        <v>COA</v>
      </c>
      <c r="C54" s="3" t="s">
        <v>850</v>
      </c>
      <c r="D54" s="3" t="s">
        <v>869</v>
      </c>
      <c r="E54" s="3" t="s">
        <v>1194</v>
      </c>
      <c r="F54" s="3" t="s">
        <v>7</v>
      </c>
      <c r="H54" s="3">
        <v>2.2819887034316901E-2</v>
      </c>
    </row>
    <row r="55" spans="1:16" x14ac:dyDescent="0.3">
      <c r="A55" s="3" t="str">
        <f t="shared" si="0"/>
        <v>COA</v>
      </c>
      <c r="C55" s="3" t="s">
        <v>850</v>
      </c>
      <c r="D55" s="3" t="s">
        <v>869</v>
      </c>
      <c r="E55" s="3" t="s">
        <v>1194</v>
      </c>
      <c r="F55" s="3" t="s">
        <v>8</v>
      </c>
      <c r="H55" s="3">
        <v>2.3258997810255401E-2</v>
      </c>
      <c r="J55" s="3">
        <v>5.4287900211777103E-2</v>
      </c>
    </row>
    <row r="56" spans="1:16" x14ac:dyDescent="0.3">
      <c r="A56" s="3" t="str">
        <f t="shared" si="0"/>
        <v>RFL</v>
      </c>
      <c r="C56" s="3" t="s">
        <v>850</v>
      </c>
      <c r="D56" s="3" t="s">
        <v>874</v>
      </c>
      <c r="E56" s="3" t="s">
        <v>875</v>
      </c>
      <c r="F56" s="3" t="s">
        <v>1</v>
      </c>
      <c r="I56" s="3">
        <v>0.29761848001198399</v>
      </c>
    </row>
    <row r="57" spans="1:16" x14ac:dyDescent="0.3">
      <c r="A57" s="3" t="str">
        <f t="shared" si="0"/>
        <v>COA</v>
      </c>
      <c r="C57" s="3" t="s">
        <v>850</v>
      </c>
      <c r="D57" s="3" t="s">
        <v>874</v>
      </c>
      <c r="E57" s="3" t="s">
        <v>876</v>
      </c>
      <c r="F57" s="3" t="s">
        <v>1</v>
      </c>
      <c r="G57" s="3">
        <v>3.5836893351911701</v>
      </c>
      <c r="H57" s="3">
        <v>3.4473274108418099</v>
      </c>
      <c r="I57" s="3">
        <v>2.9018797134443299</v>
      </c>
      <c r="J57" s="3">
        <v>2.9018797134443299</v>
      </c>
      <c r="K57" s="3">
        <v>2.9018797134443299</v>
      </c>
      <c r="L57" s="3">
        <v>2.9018797134443299</v>
      </c>
      <c r="M57" s="3">
        <v>2.9018797134443299</v>
      </c>
      <c r="N57" s="3">
        <v>2.9018797134443299</v>
      </c>
      <c r="O57" s="3">
        <v>2.9018797134443299</v>
      </c>
      <c r="P57" s="3">
        <v>2.9018797134443299</v>
      </c>
    </row>
    <row r="58" spans="1:16" x14ac:dyDescent="0.3">
      <c r="A58" s="3" t="str">
        <f t="shared" si="0"/>
        <v>COA</v>
      </c>
      <c r="C58" s="3" t="s">
        <v>850</v>
      </c>
      <c r="D58" s="3" t="s">
        <v>874</v>
      </c>
      <c r="E58" s="3" t="s">
        <v>876</v>
      </c>
      <c r="F58" s="3" t="s">
        <v>3</v>
      </c>
      <c r="H58" s="3">
        <v>5.45995592370754E-2</v>
      </c>
      <c r="I58" s="3">
        <v>0.27299779618537701</v>
      </c>
      <c r="J58" s="3">
        <v>0.27299779618537701</v>
      </c>
      <c r="K58" s="3">
        <v>0.27299779618537701</v>
      </c>
      <c r="L58" s="3">
        <v>0.27299779618537701</v>
      </c>
      <c r="M58" s="3">
        <v>0.27299779618537701</v>
      </c>
    </row>
    <row r="59" spans="1:16" x14ac:dyDescent="0.3">
      <c r="A59" s="3" t="str">
        <f t="shared" si="0"/>
        <v>COA</v>
      </c>
      <c r="C59" s="3" t="s">
        <v>850</v>
      </c>
      <c r="D59" s="3" t="s">
        <v>874</v>
      </c>
      <c r="E59" s="3" t="s">
        <v>876</v>
      </c>
      <c r="F59" s="3" t="s">
        <v>4</v>
      </c>
      <c r="G59" s="3">
        <v>1.1275919584425</v>
      </c>
      <c r="H59" s="3">
        <v>1.0512378328727801</v>
      </c>
      <c r="I59" s="3">
        <v>0.74582133059392697</v>
      </c>
      <c r="J59" s="3">
        <v>0.74582133059392697</v>
      </c>
      <c r="K59" s="3">
        <v>0.74582133059392697</v>
      </c>
      <c r="L59" s="3">
        <v>0.74582133059392697</v>
      </c>
      <c r="M59" s="3">
        <v>0.52441925282625601</v>
      </c>
      <c r="N59" s="3">
        <v>0.68137010148407395</v>
      </c>
      <c r="O59" s="3">
        <v>0.74582133059392697</v>
      </c>
      <c r="P59" s="3">
        <v>0.74582133059392697</v>
      </c>
    </row>
    <row r="60" spans="1:16" x14ac:dyDescent="0.3">
      <c r="A60" s="3" t="str">
        <f t="shared" si="0"/>
        <v>NGA</v>
      </c>
      <c r="C60" s="3" t="s">
        <v>850</v>
      </c>
      <c r="D60" s="3" t="s">
        <v>874</v>
      </c>
      <c r="E60" s="3" t="s">
        <v>877</v>
      </c>
      <c r="F60" s="3" t="s">
        <v>2</v>
      </c>
      <c r="I60" s="3">
        <v>3.6077406876733401E-2</v>
      </c>
    </row>
    <row r="61" spans="1:16" x14ac:dyDescent="0.3">
      <c r="A61" s="3" t="str">
        <f t="shared" si="0"/>
        <v>NGA</v>
      </c>
      <c r="C61" s="3" t="s">
        <v>850</v>
      </c>
      <c r="D61" s="3" t="s">
        <v>874</v>
      </c>
      <c r="E61" s="3" t="s">
        <v>877</v>
      </c>
      <c r="F61" s="3" t="s">
        <v>3</v>
      </c>
      <c r="G61" s="3">
        <v>5.7133995923094497E-2</v>
      </c>
      <c r="I61" s="3">
        <v>0.21646444126040101</v>
      </c>
    </row>
    <row r="62" spans="1:16" x14ac:dyDescent="0.3">
      <c r="A62" s="3" t="str">
        <f t="shared" si="0"/>
        <v>NGA</v>
      </c>
      <c r="C62" s="3" t="s">
        <v>850</v>
      </c>
      <c r="D62" s="3" t="s">
        <v>874</v>
      </c>
      <c r="E62" s="3" t="s">
        <v>877</v>
      </c>
      <c r="F62" s="3" t="s">
        <v>4</v>
      </c>
      <c r="I62" s="3">
        <v>0.18289694825574701</v>
      </c>
    </row>
    <row r="63" spans="1:16" x14ac:dyDescent="0.3">
      <c r="A63" s="3" t="str">
        <f t="shared" si="0"/>
        <v>NGA</v>
      </c>
      <c r="C63" s="3" t="s">
        <v>850</v>
      </c>
      <c r="D63" s="3" t="s">
        <v>874</v>
      </c>
      <c r="E63" s="3" t="s">
        <v>877</v>
      </c>
      <c r="F63" s="3" t="s">
        <v>6</v>
      </c>
      <c r="H63" s="3">
        <v>3.4085114700529003E-2</v>
      </c>
      <c r="I63" s="3">
        <v>0.17042557350264501</v>
      </c>
      <c r="O63" s="3">
        <v>0.17042557350264501</v>
      </c>
      <c r="P63" s="3">
        <v>0.17042557350264501</v>
      </c>
    </row>
    <row r="64" spans="1:16" x14ac:dyDescent="0.3">
      <c r="A64" s="3" t="str">
        <f t="shared" si="0"/>
        <v>NGA</v>
      </c>
      <c r="C64" s="3" t="s">
        <v>850</v>
      </c>
      <c r="D64" s="3" t="s">
        <v>874</v>
      </c>
      <c r="E64" s="3" t="s">
        <v>877</v>
      </c>
      <c r="F64" s="3" t="s">
        <v>7</v>
      </c>
      <c r="I64" s="3">
        <v>3.6077406876733401E-2</v>
      </c>
    </row>
    <row r="65" spans="1:16" x14ac:dyDescent="0.3">
      <c r="A65" s="3" t="str">
        <f t="shared" si="0"/>
        <v>RFL</v>
      </c>
      <c r="C65" s="3" t="s">
        <v>850</v>
      </c>
      <c r="D65" s="3" t="s">
        <v>874</v>
      </c>
      <c r="E65" s="3" t="s">
        <v>878</v>
      </c>
      <c r="F65" s="3" t="s">
        <v>1</v>
      </c>
      <c r="I65" s="3">
        <v>0.14049287999999999</v>
      </c>
    </row>
    <row r="66" spans="1:16" x14ac:dyDescent="0.3">
      <c r="A66" s="3" t="str">
        <f t="shared" si="0"/>
        <v>NGA</v>
      </c>
      <c r="C66" s="3" t="s">
        <v>850</v>
      </c>
      <c r="D66" s="3" t="s">
        <v>874</v>
      </c>
      <c r="E66" s="3" t="s">
        <v>879</v>
      </c>
      <c r="F66" s="3" t="s">
        <v>2</v>
      </c>
      <c r="G66" s="3">
        <v>35.745957246687802</v>
      </c>
      <c r="L66" s="3">
        <v>4.2044071378211498</v>
      </c>
    </row>
    <row r="67" spans="1:16" x14ac:dyDescent="0.3">
      <c r="A67" s="3" t="str">
        <f t="shared" si="0"/>
        <v>NGA</v>
      </c>
      <c r="C67" s="3" t="s">
        <v>850</v>
      </c>
      <c r="D67" s="3" t="s">
        <v>874</v>
      </c>
      <c r="E67" s="3" t="s">
        <v>879</v>
      </c>
      <c r="F67" s="3" t="s">
        <v>3</v>
      </c>
      <c r="G67" s="3">
        <v>0.98074949155157798</v>
      </c>
      <c r="I67" s="3">
        <v>1.3110493596149699</v>
      </c>
      <c r="J67" s="3">
        <v>1.3110493596149699</v>
      </c>
      <c r="K67" s="3">
        <v>1.3110493596149699</v>
      </c>
      <c r="L67" s="3">
        <v>1.3110493596149699</v>
      </c>
    </row>
    <row r="68" spans="1:16" x14ac:dyDescent="0.3">
      <c r="A68" s="3" t="str">
        <f t="shared" si="0"/>
        <v>NGA</v>
      </c>
      <c r="C68" s="3" t="s">
        <v>850</v>
      </c>
      <c r="D68" s="3" t="s">
        <v>874</v>
      </c>
      <c r="E68" s="3" t="s">
        <v>879</v>
      </c>
      <c r="F68" s="3" t="s">
        <v>6</v>
      </c>
      <c r="G68" s="3">
        <v>45.155749660548601</v>
      </c>
      <c r="I68" s="3">
        <v>47.190513545774699</v>
      </c>
      <c r="J68" s="3">
        <v>30.366142349235201</v>
      </c>
      <c r="K68" s="3">
        <v>37.877980070836202</v>
      </c>
      <c r="L68" s="3">
        <v>42.903901160243002</v>
      </c>
    </row>
    <row r="69" spans="1:16" x14ac:dyDescent="0.3">
      <c r="A69" s="3" t="str">
        <f t="shared" si="0"/>
        <v>NGA</v>
      </c>
      <c r="C69" s="3" t="s">
        <v>850</v>
      </c>
      <c r="D69" s="3" t="s">
        <v>874</v>
      </c>
      <c r="E69" s="3" t="s">
        <v>879</v>
      </c>
      <c r="F69" s="3" t="s">
        <v>8</v>
      </c>
      <c r="I69" s="3">
        <v>0.18502152280853801</v>
      </c>
    </row>
    <row r="70" spans="1:16" x14ac:dyDescent="0.3">
      <c r="A70" s="3" t="str">
        <f t="shared" si="0"/>
        <v>COA</v>
      </c>
      <c r="C70" s="3" t="s">
        <v>850</v>
      </c>
      <c r="D70" s="3" t="s">
        <v>874</v>
      </c>
      <c r="E70" s="3" t="s">
        <v>880</v>
      </c>
      <c r="F70" s="3" t="s">
        <v>4</v>
      </c>
      <c r="G70" s="3">
        <v>0.12726286343863799</v>
      </c>
      <c r="J70" s="3">
        <v>0.12726286343863799</v>
      </c>
      <c r="K70" s="3">
        <v>0.12726286343863799</v>
      </c>
      <c r="L70" s="3">
        <v>0.12726286343863799</v>
      </c>
      <c r="P70" s="3">
        <v>1.2321966846098299E-2</v>
      </c>
    </row>
    <row r="71" spans="1:16" x14ac:dyDescent="0.3">
      <c r="A71" s="3" t="str">
        <f t="shared" si="0"/>
        <v>NGA</v>
      </c>
      <c r="C71" s="3" t="s">
        <v>850</v>
      </c>
      <c r="D71" s="3" t="s">
        <v>874</v>
      </c>
      <c r="E71" s="3" t="s">
        <v>1195</v>
      </c>
      <c r="F71" s="3" t="s">
        <v>3</v>
      </c>
      <c r="I71" s="3">
        <v>2.51578456386767E-2</v>
      </c>
    </row>
    <row r="72" spans="1:16" x14ac:dyDescent="0.3">
      <c r="A72" s="3" t="str">
        <f t="shared" ref="A72:A135" si="1">RIGHT(E72,3)</f>
        <v>NGA</v>
      </c>
      <c r="C72" s="3" t="s">
        <v>850</v>
      </c>
      <c r="D72" s="3" t="s">
        <v>874</v>
      </c>
      <c r="E72" s="3" t="s">
        <v>1195</v>
      </c>
      <c r="F72" s="3" t="s">
        <v>4</v>
      </c>
      <c r="I72" s="3">
        <v>0.384307162373561</v>
      </c>
    </row>
    <row r="73" spans="1:16" x14ac:dyDescent="0.3">
      <c r="A73" s="3" t="str">
        <f t="shared" si="1"/>
        <v>NGA</v>
      </c>
      <c r="C73" s="3" t="s">
        <v>850</v>
      </c>
      <c r="D73" s="3" t="s">
        <v>874</v>
      </c>
      <c r="E73" s="3" t="s">
        <v>1195</v>
      </c>
      <c r="F73" s="3" t="s">
        <v>5</v>
      </c>
      <c r="I73" s="3">
        <v>9.9026748020959898E-2</v>
      </c>
    </row>
    <row r="74" spans="1:16" x14ac:dyDescent="0.3">
      <c r="A74" s="3" t="str">
        <f t="shared" si="1"/>
        <v>NGA</v>
      </c>
      <c r="C74" s="3" t="s">
        <v>850</v>
      </c>
      <c r="D74" s="3" t="s">
        <v>874</v>
      </c>
      <c r="E74" s="3" t="s">
        <v>1195</v>
      </c>
      <c r="F74" s="3" t="s">
        <v>6</v>
      </c>
      <c r="I74" s="3">
        <v>1.6415475849721901</v>
      </c>
    </row>
    <row r="75" spans="1:16" x14ac:dyDescent="0.3">
      <c r="A75" s="3" t="str">
        <f t="shared" si="1"/>
        <v>NGA</v>
      </c>
      <c r="C75" s="3" t="s">
        <v>850</v>
      </c>
      <c r="D75" s="3" t="s">
        <v>874</v>
      </c>
      <c r="E75" s="3" t="s">
        <v>1195</v>
      </c>
      <c r="F75" s="3" t="s">
        <v>8</v>
      </c>
      <c r="I75" s="3">
        <v>4.9183558169593102E-3</v>
      </c>
    </row>
    <row r="76" spans="1:16" x14ac:dyDescent="0.3">
      <c r="A76" s="3" t="str">
        <f t="shared" si="1"/>
        <v>NGA</v>
      </c>
      <c r="C76" s="3" t="s">
        <v>850</v>
      </c>
      <c r="D76" s="3" t="s">
        <v>874</v>
      </c>
      <c r="E76" s="3" t="s">
        <v>1196</v>
      </c>
      <c r="F76" s="3" t="s">
        <v>0</v>
      </c>
      <c r="M76" s="3">
        <v>5.0884617806770199E-2</v>
      </c>
      <c r="N76" s="3">
        <v>5.3148546919226151E-2</v>
      </c>
      <c r="O76" s="3">
        <v>5.4078220222449132E-2</v>
      </c>
      <c r="P76" s="3">
        <v>5.4995770481197054E-2</v>
      </c>
    </row>
    <row r="77" spans="1:16" x14ac:dyDescent="0.3">
      <c r="A77" s="3" t="str">
        <f t="shared" si="1"/>
        <v>NGA</v>
      </c>
      <c r="C77" s="3" t="s">
        <v>850</v>
      </c>
      <c r="D77" s="3" t="s">
        <v>874</v>
      </c>
      <c r="E77" s="3" t="s">
        <v>1196</v>
      </c>
      <c r="F77" s="3" t="s">
        <v>2</v>
      </c>
      <c r="M77" s="3">
        <v>33.898171538039399</v>
      </c>
      <c r="N77" s="3">
        <v>33.898171538039399</v>
      </c>
      <c r="O77" s="3">
        <v>33.898171538039399</v>
      </c>
      <c r="P77" s="3">
        <v>33.911259262299026</v>
      </c>
    </row>
    <row r="78" spans="1:16" x14ac:dyDescent="0.3">
      <c r="A78" s="3" t="str">
        <f t="shared" si="1"/>
        <v>NGA</v>
      </c>
      <c r="C78" s="3" t="s">
        <v>850</v>
      </c>
      <c r="D78" s="3" t="s">
        <v>874</v>
      </c>
      <c r="E78" s="3" t="s">
        <v>1196</v>
      </c>
      <c r="F78" s="3" t="s">
        <v>3</v>
      </c>
      <c r="M78" s="3">
        <v>16.523405447732799</v>
      </c>
      <c r="N78" s="3">
        <v>19.606000343867088</v>
      </c>
      <c r="O78" s="3">
        <v>19.948948103668943</v>
      </c>
      <c r="P78" s="3">
        <v>20.287423786096685</v>
      </c>
    </row>
    <row r="79" spans="1:16" x14ac:dyDescent="0.3">
      <c r="A79" s="3" t="str">
        <f t="shared" si="1"/>
        <v>NGA</v>
      </c>
      <c r="C79" s="3" t="s">
        <v>850</v>
      </c>
      <c r="D79" s="3" t="s">
        <v>874</v>
      </c>
      <c r="E79" s="3" t="s">
        <v>1196</v>
      </c>
      <c r="F79" s="3" t="s">
        <v>4</v>
      </c>
      <c r="M79" s="3">
        <v>24.724203884080101</v>
      </c>
      <c r="N79" s="3">
        <v>24.724203884080101</v>
      </c>
      <c r="O79" s="3">
        <v>24.724203884080101</v>
      </c>
      <c r="P79" s="3">
        <v>25.147617425433804</v>
      </c>
    </row>
    <row r="80" spans="1:16" x14ac:dyDescent="0.3">
      <c r="A80" s="3" t="str">
        <f t="shared" si="1"/>
        <v>NGA</v>
      </c>
      <c r="C80" s="3" t="s">
        <v>850</v>
      </c>
      <c r="D80" s="3" t="s">
        <v>874</v>
      </c>
      <c r="E80" s="3" t="s">
        <v>1196</v>
      </c>
      <c r="F80" s="3" t="s">
        <v>5</v>
      </c>
      <c r="M80" s="3">
        <v>8.9211888124701897</v>
      </c>
      <c r="N80" s="3">
        <v>9.3181052076559414</v>
      </c>
      <c r="O80" s="3">
        <v>9.4810973146903077</v>
      </c>
      <c r="P80" s="3">
        <v>9.6419639863100866</v>
      </c>
    </row>
    <row r="81" spans="1:16" x14ac:dyDescent="0.3">
      <c r="A81" s="3" t="str">
        <f t="shared" si="1"/>
        <v>NGA</v>
      </c>
      <c r="C81" s="3" t="s">
        <v>850</v>
      </c>
      <c r="D81" s="3" t="s">
        <v>874</v>
      </c>
      <c r="E81" s="3" t="s">
        <v>1196</v>
      </c>
      <c r="F81" s="3" t="s">
        <v>6</v>
      </c>
      <c r="M81" s="3">
        <v>45.885310809162299</v>
      </c>
      <c r="N81" s="3">
        <v>46.050336497087635</v>
      </c>
      <c r="O81" s="3">
        <v>46.839323144976667</v>
      </c>
      <c r="P81" s="3">
        <v>48.158773436907914</v>
      </c>
    </row>
    <row r="82" spans="1:16" x14ac:dyDescent="0.3">
      <c r="A82" s="3" t="str">
        <f t="shared" si="1"/>
        <v>NGA</v>
      </c>
      <c r="C82" s="3" t="s">
        <v>850</v>
      </c>
      <c r="D82" s="3" t="s">
        <v>874</v>
      </c>
      <c r="E82" s="3" t="s">
        <v>1196</v>
      </c>
      <c r="F82" s="3" t="s">
        <v>7</v>
      </c>
      <c r="M82" s="3">
        <v>0.772672882032299</v>
      </c>
      <c r="N82" s="3">
        <v>0.80705019893936758</v>
      </c>
      <c r="O82" s="3">
        <v>0.82116710462739595</v>
      </c>
      <c r="P82" s="3">
        <v>0.83509992427691604</v>
      </c>
    </row>
    <row r="83" spans="1:16" x14ac:dyDescent="0.3">
      <c r="A83" s="3" t="str">
        <f t="shared" si="1"/>
        <v>NGA</v>
      </c>
      <c r="C83" s="3" t="s">
        <v>850</v>
      </c>
      <c r="D83" s="3" t="s">
        <v>874</v>
      </c>
      <c r="E83" s="3" t="s">
        <v>1196</v>
      </c>
      <c r="F83" s="3" t="s">
        <v>8</v>
      </c>
      <c r="M83" s="3">
        <v>0.44736459600550399</v>
      </c>
      <c r="N83" s="3">
        <v>0.46726848398644488</v>
      </c>
      <c r="O83" s="3">
        <v>0.47544193481775188</v>
      </c>
      <c r="P83" s="3">
        <v>0.48350880293059145</v>
      </c>
    </row>
    <row r="84" spans="1:16" x14ac:dyDescent="0.3">
      <c r="A84" s="3" t="str">
        <f t="shared" si="1"/>
        <v>COA</v>
      </c>
      <c r="C84" s="3" t="s">
        <v>850</v>
      </c>
      <c r="D84" s="3" t="s">
        <v>874</v>
      </c>
      <c r="E84" s="3" t="s">
        <v>1197</v>
      </c>
      <c r="F84" s="3" t="s">
        <v>0</v>
      </c>
      <c r="H84" s="3">
        <v>3.0944360705020399E-3</v>
      </c>
      <c r="I84" s="3">
        <v>3.3417793718786199E-3</v>
      </c>
      <c r="J84" s="3">
        <v>4.70891422459788E-3</v>
      </c>
      <c r="K84" s="3">
        <v>5.49014399549744E-3</v>
      </c>
      <c r="L84" s="3">
        <v>5.9827169807320597E-3</v>
      </c>
    </row>
    <row r="85" spans="1:16" x14ac:dyDescent="0.3">
      <c r="A85" s="3" t="str">
        <f t="shared" si="1"/>
        <v>COA</v>
      </c>
      <c r="C85" s="3" t="s">
        <v>850</v>
      </c>
      <c r="D85" s="3" t="s">
        <v>874</v>
      </c>
      <c r="E85" s="3" t="s">
        <v>1197</v>
      </c>
      <c r="F85" s="3" t="s">
        <v>1</v>
      </c>
      <c r="H85" s="3">
        <v>0.41494975337919998</v>
      </c>
      <c r="I85" s="3">
        <v>0.244676932483198</v>
      </c>
      <c r="J85" s="3">
        <v>2.94885947575357</v>
      </c>
      <c r="K85" s="3">
        <v>3.91907014042126</v>
      </c>
      <c r="L85" s="3">
        <v>4.5278967540536703</v>
      </c>
      <c r="M85" s="3">
        <v>4.8606476363339901</v>
      </c>
      <c r="N85" s="3">
        <v>5.1999438421005504</v>
      </c>
      <c r="O85" s="3">
        <v>5.3353557242166003</v>
      </c>
      <c r="P85" s="3">
        <v>5.3353557242166003</v>
      </c>
    </row>
    <row r="86" spans="1:16" x14ac:dyDescent="0.3">
      <c r="A86" s="3" t="str">
        <f t="shared" si="1"/>
        <v>COA</v>
      </c>
      <c r="C86" s="3" t="s">
        <v>850</v>
      </c>
      <c r="D86" s="3" t="s">
        <v>874</v>
      </c>
      <c r="E86" s="3" t="s">
        <v>1197</v>
      </c>
      <c r="F86" s="3" t="s">
        <v>2</v>
      </c>
      <c r="H86" s="3">
        <v>5.67872365894765</v>
      </c>
      <c r="I86" s="3">
        <v>5.1385918360777501</v>
      </c>
      <c r="J86" s="3">
        <v>8.6713292280987702</v>
      </c>
      <c r="K86" s="3">
        <v>10.1099412356982</v>
      </c>
      <c r="L86" s="3">
        <v>10.1099412356982</v>
      </c>
      <c r="M86" s="3">
        <v>7.3498340719470203</v>
      </c>
      <c r="N86" s="3">
        <v>7.8621905940004497</v>
      </c>
      <c r="O86" s="3">
        <v>8.0725877206880696</v>
      </c>
      <c r="P86" s="3">
        <v>8.2786327910226305</v>
      </c>
    </row>
    <row r="87" spans="1:16" x14ac:dyDescent="0.3">
      <c r="A87" s="3" t="str">
        <f t="shared" si="1"/>
        <v>COA</v>
      </c>
      <c r="C87" s="3" t="s">
        <v>850</v>
      </c>
      <c r="D87" s="3" t="s">
        <v>874</v>
      </c>
      <c r="E87" s="3" t="s">
        <v>1197</v>
      </c>
      <c r="F87" s="3" t="s">
        <v>3</v>
      </c>
      <c r="H87" s="3">
        <v>0.79819021188543404</v>
      </c>
      <c r="J87" s="3">
        <v>1.29266161150918</v>
      </c>
      <c r="K87" s="3">
        <v>1.5808499448642499</v>
      </c>
      <c r="L87" s="3">
        <v>1.6169349446710699</v>
      </c>
    </row>
    <row r="88" spans="1:16" x14ac:dyDescent="0.3">
      <c r="A88" s="3" t="str">
        <f t="shared" si="1"/>
        <v>COA</v>
      </c>
      <c r="C88" s="3" t="s">
        <v>850</v>
      </c>
      <c r="D88" s="3" t="s">
        <v>874</v>
      </c>
      <c r="E88" s="3" t="s">
        <v>1197</v>
      </c>
      <c r="F88" s="3" t="s">
        <v>4</v>
      </c>
      <c r="H88" s="3">
        <v>0.66244746954302502</v>
      </c>
      <c r="J88" s="3">
        <v>1.80567588651636</v>
      </c>
      <c r="K88" s="3">
        <v>2.2515487542293</v>
      </c>
      <c r="L88" s="3">
        <v>2.5326759432656298</v>
      </c>
    </row>
    <row r="89" spans="1:16" x14ac:dyDescent="0.3">
      <c r="A89" s="3" t="str">
        <f t="shared" si="1"/>
        <v>COA</v>
      </c>
      <c r="C89" s="3" t="s">
        <v>850</v>
      </c>
      <c r="D89" s="3" t="s">
        <v>874</v>
      </c>
      <c r="E89" s="3" t="s">
        <v>1197</v>
      </c>
      <c r="F89" s="3" t="s">
        <v>5</v>
      </c>
      <c r="H89" s="3">
        <v>0.50870142200529</v>
      </c>
      <c r="J89" s="3">
        <v>0.825575875579732</v>
      </c>
      <c r="K89" s="3">
        <v>0.96254257774862395</v>
      </c>
      <c r="L89" s="3">
        <v>0.98950805898910399</v>
      </c>
    </row>
    <row r="90" spans="1:16" x14ac:dyDescent="0.3">
      <c r="A90" s="3" t="str">
        <f t="shared" si="1"/>
        <v>COA</v>
      </c>
      <c r="C90" s="3" t="s">
        <v>850</v>
      </c>
      <c r="D90" s="3" t="s">
        <v>874</v>
      </c>
      <c r="E90" s="3" t="s">
        <v>1197</v>
      </c>
      <c r="F90" s="3" t="s">
        <v>6</v>
      </c>
      <c r="H90" s="3">
        <v>6.3158142101159402</v>
      </c>
      <c r="J90" s="3">
        <v>24.289875216386701</v>
      </c>
      <c r="K90" s="3">
        <v>28.002268486183102</v>
      </c>
      <c r="L90" s="3">
        <v>30.305809054969401</v>
      </c>
      <c r="M90" s="3">
        <v>31.79258475964</v>
      </c>
      <c r="N90" s="3">
        <v>33.437697277862299</v>
      </c>
      <c r="O90" s="3">
        <v>33.829114769005997</v>
      </c>
      <c r="P90" s="3">
        <v>33.829114769005997</v>
      </c>
    </row>
    <row r="91" spans="1:16" x14ac:dyDescent="0.3">
      <c r="A91" s="3" t="str">
        <f t="shared" si="1"/>
        <v>COA</v>
      </c>
      <c r="C91" s="3" t="s">
        <v>850</v>
      </c>
      <c r="D91" s="3" t="s">
        <v>874</v>
      </c>
      <c r="E91" s="3" t="s">
        <v>1197</v>
      </c>
      <c r="F91" s="3" t="s">
        <v>7</v>
      </c>
      <c r="H91" s="3">
        <v>3.7778513928587401E-2</v>
      </c>
      <c r="J91" s="3">
        <v>7.1503933447621307E-2</v>
      </c>
      <c r="K91" s="3">
        <v>8.3366753384731998E-2</v>
      </c>
      <c r="L91" s="3">
        <v>9.0846376982530494E-2</v>
      </c>
    </row>
    <row r="92" spans="1:16" x14ac:dyDescent="0.3">
      <c r="A92" s="3" t="str">
        <f t="shared" si="1"/>
        <v>COA</v>
      </c>
      <c r="C92" s="3" t="s">
        <v>850</v>
      </c>
      <c r="D92" s="3" t="s">
        <v>874</v>
      </c>
      <c r="E92" s="3" t="s">
        <v>1197</v>
      </c>
      <c r="F92" s="3" t="s">
        <v>8</v>
      </c>
      <c r="H92" s="3">
        <v>2.29395977702774E-2</v>
      </c>
      <c r="J92" s="3">
        <v>4.1399574183920103E-2</v>
      </c>
      <c r="K92" s="3">
        <v>4.82679472976403E-2</v>
      </c>
      <c r="L92" s="3">
        <v>5.25985234921892E-2</v>
      </c>
    </row>
    <row r="93" spans="1:16" x14ac:dyDescent="0.3">
      <c r="A93" s="3" t="str">
        <f t="shared" si="1"/>
        <v>NGA</v>
      </c>
      <c r="C93" s="3" t="s">
        <v>850</v>
      </c>
      <c r="D93" s="3" t="s">
        <v>874</v>
      </c>
      <c r="E93" s="3" t="s">
        <v>881</v>
      </c>
      <c r="F93" s="3" t="s">
        <v>0</v>
      </c>
      <c r="M93" s="3">
        <v>1.24747246661546E-2</v>
      </c>
      <c r="N93" s="3">
        <v>0.48048654077423364</v>
      </c>
      <c r="O93" s="3">
        <v>0.48889120158640303</v>
      </c>
      <c r="P93" s="3">
        <v>0.49718626467594196</v>
      </c>
    </row>
    <row r="94" spans="1:16" x14ac:dyDescent="0.3">
      <c r="A94" s="3" t="str">
        <f t="shared" si="1"/>
        <v>NGA</v>
      </c>
      <c r="C94" s="3" t="s">
        <v>850</v>
      </c>
      <c r="D94" s="3" t="s">
        <v>874</v>
      </c>
      <c r="E94" s="3" t="s">
        <v>881</v>
      </c>
      <c r="F94" s="3" t="s">
        <v>2</v>
      </c>
      <c r="M94" s="3">
        <v>1.24747246661546E-2</v>
      </c>
      <c r="N94" s="3">
        <v>6.4290676040733148</v>
      </c>
      <c r="O94" s="3">
        <v>6.445493243603984</v>
      </c>
      <c r="P94" s="3">
        <v>6.6525153904784018</v>
      </c>
    </row>
    <row r="95" spans="1:16" x14ac:dyDescent="0.3">
      <c r="A95" s="3" t="str">
        <f t="shared" si="1"/>
        <v>NGA</v>
      </c>
      <c r="C95" s="3" t="s">
        <v>850</v>
      </c>
      <c r="D95" s="3" t="s">
        <v>874</v>
      </c>
      <c r="E95" s="3" t="s">
        <v>881</v>
      </c>
      <c r="F95" s="3" t="s">
        <v>3</v>
      </c>
      <c r="M95" s="3">
        <v>1.24747246661546E-2</v>
      </c>
      <c r="N95" s="3">
        <v>4.3545603568257043</v>
      </c>
      <c r="O95" s="3">
        <v>4.4307302381428029</v>
      </c>
      <c r="P95" s="3">
        <v>4.5059068556373765</v>
      </c>
    </row>
    <row r="96" spans="1:16" x14ac:dyDescent="0.3">
      <c r="A96" s="3" t="str">
        <f t="shared" si="1"/>
        <v>NGA</v>
      </c>
      <c r="C96" s="3" t="s">
        <v>850</v>
      </c>
      <c r="D96" s="3" t="s">
        <v>874</v>
      </c>
      <c r="E96" s="3" t="s">
        <v>881</v>
      </c>
      <c r="F96" s="3" t="s">
        <v>4</v>
      </c>
      <c r="M96" s="3">
        <v>1.24747246661546E-2</v>
      </c>
      <c r="N96" s="3">
        <v>0.92814847319856264</v>
      </c>
      <c r="O96" s="3">
        <v>0.987254008976297</v>
      </c>
      <c r="P96" s="3">
        <v>0.987254008976297</v>
      </c>
    </row>
    <row r="97" spans="1:16" x14ac:dyDescent="0.3">
      <c r="A97" s="3" t="str">
        <f t="shared" si="1"/>
        <v>NGA</v>
      </c>
      <c r="C97" s="3" t="s">
        <v>850</v>
      </c>
      <c r="D97" s="3" t="s">
        <v>874</v>
      </c>
      <c r="E97" s="3" t="s">
        <v>881</v>
      </c>
      <c r="F97" s="3" t="s">
        <v>5</v>
      </c>
      <c r="M97" s="3">
        <v>1.24747246661546E-2</v>
      </c>
      <c r="N97" s="3">
        <v>13.562717986912453</v>
      </c>
      <c r="O97" s="3">
        <v>13.696034697202291</v>
      </c>
      <c r="P97" s="3">
        <v>13.696034697202291</v>
      </c>
    </row>
    <row r="98" spans="1:16" x14ac:dyDescent="0.3">
      <c r="A98" s="3" t="str">
        <f t="shared" si="1"/>
        <v>NGA</v>
      </c>
      <c r="C98" s="3" t="s">
        <v>850</v>
      </c>
      <c r="D98" s="3" t="s">
        <v>874</v>
      </c>
      <c r="E98" s="3" t="s">
        <v>881</v>
      </c>
      <c r="F98" s="3" t="s">
        <v>7</v>
      </c>
      <c r="M98" s="3">
        <v>1.24747246661546E-2</v>
      </c>
      <c r="N98" s="3">
        <v>0.8154645825617276</v>
      </c>
      <c r="O98" s="3">
        <v>0.82972867247717552</v>
      </c>
      <c r="P98" s="3">
        <v>0.84380675705522967</v>
      </c>
    </row>
    <row r="99" spans="1:16" x14ac:dyDescent="0.3">
      <c r="A99" s="3" t="str">
        <f t="shared" si="1"/>
        <v>NGA</v>
      </c>
      <c r="C99" s="3" t="s">
        <v>850</v>
      </c>
      <c r="D99" s="3" t="s">
        <v>874</v>
      </c>
      <c r="E99" s="3" t="s">
        <v>881</v>
      </c>
      <c r="F99" s="3" t="s">
        <v>8</v>
      </c>
      <c r="M99" s="3">
        <v>1.24747246661546E-2</v>
      </c>
      <c r="N99" s="3">
        <v>0.49980286034926963</v>
      </c>
      <c r="O99" s="3">
        <v>0.52027766935984654</v>
      </c>
      <c r="P99" s="3">
        <v>0.52910526960590076</v>
      </c>
    </row>
    <row r="100" spans="1:16" x14ac:dyDescent="0.3">
      <c r="A100" s="3" t="str">
        <f t="shared" si="1"/>
        <v>MET</v>
      </c>
      <c r="C100" s="3" t="s">
        <v>850</v>
      </c>
      <c r="D100" s="3" t="s">
        <v>1247</v>
      </c>
      <c r="E100" s="3" t="s">
        <v>1377</v>
      </c>
      <c r="F100" s="3" t="s">
        <v>0</v>
      </c>
      <c r="G100" s="3">
        <v>32.494369388274201</v>
      </c>
      <c r="H100" s="3">
        <v>31.411223741998398</v>
      </c>
      <c r="I100" s="3">
        <v>27.078641156895198</v>
      </c>
      <c r="J100" s="3">
        <v>21.6629129255161</v>
      </c>
      <c r="K100" s="3">
        <v>16.247184694137101</v>
      </c>
      <c r="L100" s="3">
        <v>10.8314564627581</v>
      </c>
      <c r="M100" s="3">
        <v>5.4157282313790303</v>
      </c>
    </row>
    <row r="101" spans="1:16" x14ac:dyDescent="0.3">
      <c r="A101" s="3" t="str">
        <f t="shared" si="1"/>
        <v>MET</v>
      </c>
      <c r="C101" s="3" t="s">
        <v>850</v>
      </c>
      <c r="D101" s="3" t="s">
        <v>1247</v>
      </c>
      <c r="E101" s="3" t="s">
        <v>1377</v>
      </c>
      <c r="F101" s="3" t="s">
        <v>1</v>
      </c>
      <c r="G101" s="3">
        <v>89.446066484395303</v>
      </c>
      <c r="H101" s="3">
        <v>86.464530934915501</v>
      </c>
      <c r="I101" s="3">
        <v>74.538388736996097</v>
      </c>
      <c r="J101" s="3">
        <v>59.630710989596899</v>
      </c>
      <c r="K101" s="3">
        <v>44.723033242197701</v>
      </c>
      <c r="L101" s="3">
        <v>29.8153554947984</v>
      </c>
      <c r="M101" s="3">
        <v>14.9076777473992</v>
      </c>
    </row>
    <row r="102" spans="1:16" x14ac:dyDescent="0.3">
      <c r="A102" s="3" t="str">
        <f t="shared" si="1"/>
        <v>MET</v>
      </c>
      <c r="C102" s="3" t="s">
        <v>850</v>
      </c>
      <c r="D102" s="3" t="s">
        <v>1247</v>
      </c>
      <c r="E102" s="3" t="s">
        <v>1377</v>
      </c>
      <c r="F102" s="3" t="s">
        <v>2</v>
      </c>
      <c r="G102" s="3">
        <v>92.821558117644997</v>
      </c>
      <c r="H102" s="3">
        <v>89.727506180390193</v>
      </c>
      <c r="I102" s="3">
        <v>77.351298431370793</v>
      </c>
      <c r="J102" s="3">
        <v>61.881038745096703</v>
      </c>
      <c r="K102" s="3">
        <v>46.410779058822499</v>
      </c>
      <c r="L102" s="3">
        <v>30.940519372548302</v>
      </c>
      <c r="M102" s="3">
        <v>15.470259686274201</v>
      </c>
    </row>
    <row r="103" spans="1:16" x14ac:dyDescent="0.3">
      <c r="A103" s="3" t="str">
        <f t="shared" si="1"/>
        <v>MET</v>
      </c>
      <c r="C103" s="3" t="s">
        <v>850</v>
      </c>
      <c r="D103" s="3" t="s">
        <v>1247</v>
      </c>
      <c r="E103" s="3" t="s">
        <v>1377</v>
      </c>
      <c r="F103" s="3" t="s">
        <v>3</v>
      </c>
      <c r="G103" s="3">
        <v>62.870248398352601</v>
      </c>
      <c r="J103" s="3">
        <v>41.9134989322351</v>
      </c>
      <c r="K103" s="3">
        <v>31.4351241991763</v>
      </c>
      <c r="L103" s="3">
        <v>20.9567494661175</v>
      </c>
      <c r="M103" s="3">
        <v>10.4783747330588</v>
      </c>
    </row>
    <row r="104" spans="1:16" x14ac:dyDescent="0.3">
      <c r="A104" s="3" t="str">
        <f t="shared" si="1"/>
        <v>MET</v>
      </c>
      <c r="C104" s="3" t="s">
        <v>850</v>
      </c>
      <c r="D104" s="3" t="s">
        <v>1247</v>
      </c>
      <c r="E104" s="3" t="s">
        <v>1377</v>
      </c>
      <c r="F104" s="3" t="s">
        <v>4</v>
      </c>
      <c r="G104" s="3">
        <v>15.1100248167714</v>
      </c>
      <c r="H104" s="3">
        <v>14.606357322878999</v>
      </c>
      <c r="J104" s="3">
        <v>10.073349877847599</v>
      </c>
      <c r="K104" s="3">
        <v>7.5550124083857</v>
      </c>
      <c r="L104" s="3">
        <v>5.0366749389237997</v>
      </c>
      <c r="M104" s="3">
        <v>2.5183374694618998</v>
      </c>
    </row>
    <row r="105" spans="1:16" x14ac:dyDescent="0.3">
      <c r="A105" s="3" t="str">
        <f t="shared" si="1"/>
        <v>MET</v>
      </c>
      <c r="C105" s="3" t="s">
        <v>850</v>
      </c>
      <c r="D105" s="3" t="s">
        <v>1247</v>
      </c>
      <c r="E105" s="3" t="s">
        <v>1377</v>
      </c>
      <c r="F105" s="3" t="s">
        <v>5</v>
      </c>
      <c r="G105" s="3">
        <v>13.1705875589209</v>
      </c>
      <c r="H105" s="3">
        <v>12.7315679736235</v>
      </c>
      <c r="J105" s="3">
        <v>8.7803917059472703</v>
      </c>
      <c r="K105" s="3">
        <v>6.58529377946045</v>
      </c>
      <c r="L105" s="3">
        <v>4.3901958529736298</v>
      </c>
      <c r="M105" s="3">
        <v>2.1950979264868198</v>
      </c>
    </row>
    <row r="106" spans="1:16" x14ac:dyDescent="0.3">
      <c r="A106" s="3" t="str">
        <f t="shared" si="1"/>
        <v>MET</v>
      </c>
      <c r="C106" s="3" t="s">
        <v>850</v>
      </c>
      <c r="D106" s="3" t="s">
        <v>1247</v>
      </c>
      <c r="E106" s="3" t="s">
        <v>1377</v>
      </c>
      <c r="F106" s="3" t="s">
        <v>6</v>
      </c>
      <c r="G106" s="3">
        <v>45.754652261285599</v>
      </c>
      <c r="H106" s="3">
        <v>44.229497185909402</v>
      </c>
      <c r="J106" s="3">
        <v>30.503101507523699</v>
      </c>
      <c r="K106" s="3">
        <v>22.8773261306428</v>
      </c>
      <c r="L106" s="3">
        <v>15.251550753761901</v>
      </c>
      <c r="M106" s="3">
        <v>7.62577537688093</v>
      </c>
    </row>
    <row r="107" spans="1:16" x14ac:dyDescent="0.3">
      <c r="A107" s="3" t="str">
        <f t="shared" si="1"/>
        <v>MET</v>
      </c>
      <c r="C107" s="3" t="s">
        <v>850</v>
      </c>
      <c r="D107" s="3" t="s">
        <v>1247</v>
      </c>
      <c r="E107" s="3" t="s">
        <v>1417</v>
      </c>
      <c r="F107" s="3" t="s">
        <v>0</v>
      </c>
      <c r="G107" s="3">
        <v>8.6377437614399692</v>
      </c>
      <c r="H107" s="3">
        <v>5.4366671862417704</v>
      </c>
      <c r="I107" s="3">
        <v>7.1981198011999696</v>
      </c>
      <c r="J107" s="3">
        <v>5.7584958409599798</v>
      </c>
      <c r="K107" s="3">
        <v>4.3188718807199802</v>
      </c>
      <c r="L107" s="3">
        <v>2.8792479204799899</v>
      </c>
      <c r="M107" s="3">
        <v>1.4396239602399901</v>
      </c>
    </row>
    <row r="108" spans="1:16" x14ac:dyDescent="0.3">
      <c r="A108" s="3" t="str">
        <f t="shared" si="1"/>
        <v>MET</v>
      </c>
      <c r="C108" s="3" t="s">
        <v>850</v>
      </c>
      <c r="D108" s="3" t="s">
        <v>1247</v>
      </c>
      <c r="E108" s="3" t="s">
        <v>1417</v>
      </c>
      <c r="F108" s="3" t="s">
        <v>1</v>
      </c>
      <c r="G108" s="3">
        <v>23.776802483193698</v>
      </c>
      <c r="H108" s="3">
        <v>22.984242400420602</v>
      </c>
      <c r="I108" s="3">
        <v>19.814002069328101</v>
      </c>
      <c r="J108" s="3">
        <v>15.8512016554625</v>
      </c>
      <c r="K108" s="3">
        <v>11.888401241596799</v>
      </c>
      <c r="L108" s="3">
        <v>7.9256008277312304</v>
      </c>
      <c r="M108" s="3">
        <v>3.9628004138656201</v>
      </c>
    </row>
    <row r="109" spans="1:16" x14ac:dyDescent="0.3">
      <c r="A109" s="3" t="str">
        <f t="shared" si="1"/>
        <v>MET</v>
      </c>
      <c r="C109" s="3" t="s">
        <v>850</v>
      </c>
      <c r="D109" s="3" t="s">
        <v>1247</v>
      </c>
      <c r="E109" s="3" t="s">
        <v>1417</v>
      </c>
      <c r="F109" s="3" t="s">
        <v>2</v>
      </c>
      <c r="G109" s="3">
        <v>24.674085069247401</v>
      </c>
      <c r="H109" s="3">
        <v>23.851615566939198</v>
      </c>
      <c r="I109" s="3">
        <v>20.561737557706198</v>
      </c>
      <c r="J109" s="3">
        <v>16.449390046164901</v>
      </c>
      <c r="K109" s="3">
        <v>12.3370425346237</v>
      </c>
      <c r="L109" s="3">
        <v>8.2246950230824698</v>
      </c>
      <c r="M109" s="3">
        <v>4.1123475115412296</v>
      </c>
    </row>
    <row r="110" spans="1:16" x14ac:dyDescent="0.3">
      <c r="A110" s="3" t="str">
        <f t="shared" si="1"/>
        <v>MET</v>
      </c>
      <c r="C110" s="3" t="s">
        <v>850</v>
      </c>
      <c r="D110" s="3" t="s">
        <v>1247</v>
      </c>
      <c r="E110" s="3" t="s">
        <v>1417</v>
      </c>
      <c r="F110" s="3" t="s">
        <v>3</v>
      </c>
      <c r="G110" s="3">
        <v>16.712344510954502</v>
      </c>
      <c r="J110" s="3">
        <v>11.141563007303001</v>
      </c>
      <c r="K110" s="3">
        <v>8.3561722554772508</v>
      </c>
      <c r="L110" s="3">
        <v>5.5707815036515003</v>
      </c>
      <c r="M110" s="3">
        <v>2.7853907518257501</v>
      </c>
    </row>
    <row r="111" spans="1:16" x14ac:dyDescent="0.3">
      <c r="A111" s="3" t="str">
        <f t="shared" si="1"/>
        <v>MET</v>
      </c>
      <c r="C111" s="3" t="s">
        <v>850</v>
      </c>
      <c r="D111" s="3" t="s">
        <v>1247</v>
      </c>
      <c r="E111" s="3" t="s">
        <v>1417</v>
      </c>
      <c r="F111" s="3" t="s">
        <v>4</v>
      </c>
      <c r="G111" s="3">
        <v>4.01658887534429</v>
      </c>
      <c r="H111" s="3">
        <v>3.8827025794994801</v>
      </c>
      <c r="J111" s="3">
        <v>2.6777259168961902</v>
      </c>
      <c r="K111" s="3">
        <v>2.0082944376721401</v>
      </c>
      <c r="L111" s="3">
        <v>1.3388629584481</v>
      </c>
      <c r="M111" s="3">
        <v>0.669431479224048</v>
      </c>
    </row>
    <row r="112" spans="1:16" x14ac:dyDescent="0.3">
      <c r="A112" s="3" t="str">
        <f t="shared" si="1"/>
        <v>MET</v>
      </c>
      <c r="C112" s="3" t="s">
        <v>850</v>
      </c>
      <c r="D112" s="3" t="s">
        <v>1247</v>
      </c>
      <c r="E112" s="3" t="s">
        <v>1417</v>
      </c>
      <c r="F112" s="3" t="s">
        <v>5</v>
      </c>
      <c r="G112" s="3">
        <v>3.50104226249795</v>
      </c>
      <c r="H112" s="3">
        <v>3.3843408537480202</v>
      </c>
      <c r="J112" s="3">
        <v>2.3340281749986298</v>
      </c>
      <c r="K112" s="3">
        <v>1.7505211312489799</v>
      </c>
      <c r="L112" s="3">
        <v>1.16701408749932</v>
      </c>
      <c r="M112" s="3">
        <v>0.58350704374965801</v>
      </c>
    </row>
    <row r="113" spans="1:16" x14ac:dyDescent="0.3">
      <c r="A113" s="3" t="str">
        <f t="shared" si="1"/>
        <v>MET</v>
      </c>
      <c r="C113" s="3" t="s">
        <v>850</v>
      </c>
      <c r="D113" s="3" t="s">
        <v>1247</v>
      </c>
      <c r="E113" s="3" t="s">
        <v>1417</v>
      </c>
      <c r="F113" s="3" t="s">
        <v>6</v>
      </c>
      <c r="G113" s="3">
        <v>12.1626290821139</v>
      </c>
      <c r="H113" s="3">
        <v>11.757208112710099</v>
      </c>
      <c r="J113" s="3">
        <v>8.1084193880759301</v>
      </c>
      <c r="K113" s="3">
        <v>6.0813145410569502</v>
      </c>
      <c r="L113" s="3">
        <v>4.0542096940379704</v>
      </c>
      <c r="M113" s="3">
        <v>2.0271048470189799</v>
      </c>
    </row>
    <row r="114" spans="1:16" x14ac:dyDescent="0.3">
      <c r="A114" s="3" t="str">
        <f t="shared" si="1"/>
        <v>COK</v>
      </c>
      <c r="C114" s="3" t="s">
        <v>850</v>
      </c>
      <c r="D114" s="3" t="s">
        <v>1247</v>
      </c>
      <c r="E114" s="3" t="s">
        <v>1480</v>
      </c>
      <c r="F114" s="3" t="s">
        <v>2</v>
      </c>
      <c r="G114" s="3">
        <v>0.14860082445268599</v>
      </c>
      <c r="H114" s="3">
        <v>0.84367802562393301</v>
      </c>
      <c r="I114" s="3">
        <v>0.727308642779253</v>
      </c>
      <c r="J114" s="3">
        <v>0.58184691422340196</v>
      </c>
      <c r="K114" s="3">
        <v>0.43638518566755202</v>
      </c>
      <c r="L114" s="3">
        <v>0.29092345711170098</v>
      </c>
      <c r="M114" s="3">
        <v>0.14546172855584999</v>
      </c>
    </row>
    <row r="115" spans="1:16" x14ac:dyDescent="0.3">
      <c r="A115" s="3" t="str">
        <f t="shared" si="1"/>
        <v>COK</v>
      </c>
      <c r="C115" s="3" t="s">
        <v>850</v>
      </c>
      <c r="D115" s="3" t="s">
        <v>1247</v>
      </c>
      <c r="E115" s="3" t="s">
        <v>1480</v>
      </c>
      <c r="F115" s="3" t="s">
        <v>3</v>
      </c>
      <c r="G115" s="3">
        <v>0.59114812499716196</v>
      </c>
      <c r="J115" s="3">
        <v>0.39409874999810302</v>
      </c>
      <c r="K115" s="3">
        <v>0.29557406249857698</v>
      </c>
      <c r="L115" s="3">
        <v>0.19704937499905201</v>
      </c>
      <c r="M115" s="3">
        <v>9.8524687499525795E-2</v>
      </c>
    </row>
    <row r="116" spans="1:16" x14ac:dyDescent="0.3">
      <c r="A116" s="3" t="str">
        <f t="shared" si="1"/>
        <v>COK</v>
      </c>
      <c r="C116" s="3" t="s">
        <v>850</v>
      </c>
      <c r="D116" s="3" t="s">
        <v>1247</v>
      </c>
      <c r="E116" s="3" t="s">
        <v>1480</v>
      </c>
      <c r="F116" s="3" t="s">
        <v>4</v>
      </c>
      <c r="G116" s="3">
        <v>0.298774441042021</v>
      </c>
      <c r="H116" s="3">
        <v>0.28881529300728598</v>
      </c>
      <c r="J116" s="3">
        <v>0.19918296069468</v>
      </c>
      <c r="K116" s="3">
        <v>0.14938722052101</v>
      </c>
      <c r="L116" s="3">
        <v>9.959148034734E-2</v>
      </c>
      <c r="M116" s="3">
        <v>4.979574017367E-2</v>
      </c>
    </row>
    <row r="117" spans="1:16" x14ac:dyDescent="0.3">
      <c r="A117" s="3" t="str">
        <f t="shared" si="1"/>
        <v>COK</v>
      </c>
      <c r="C117" s="3" t="s">
        <v>850</v>
      </c>
      <c r="D117" s="3" t="s">
        <v>1247</v>
      </c>
      <c r="E117" s="3" t="s">
        <v>1480</v>
      </c>
      <c r="F117" s="3" t="s">
        <v>5</v>
      </c>
      <c r="G117" s="3">
        <v>0.26042544494988901</v>
      </c>
      <c r="H117" s="3">
        <v>0.25174459678489303</v>
      </c>
      <c r="J117" s="3">
        <v>0.17361696329992601</v>
      </c>
      <c r="K117" s="3">
        <v>0.130212722474945</v>
      </c>
      <c r="L117" s="3">
        <v>8.6808481649963007E-2</v>
      </c>
      <c r="M117" s="3">
        <v>4.3404240824981503E-2</v>
      </c>
    </row>
    <row r="118" spans="1:16" x14ac:dyDescent="0.3">
      <c r="A118" s="3" t="str">
        <f t="shared" si="1"/>
        <v>COK</v>
      </c>
      <c r="C118" s="3" t="s">
        <v>850</v>
      </c>
      <c r="D118" s="3" t="s">
        <v>1247</v>
      </c>
      <c r="E118" s="3" t="s">
        <v>1480</v>
      </c>
      <c r="F118" s="3" t="s">
        <v>6</v>
      </c>
      <c r="G118" s="3">
        <v>0.90471861034034595</v>
      </c>
      <c r="H118" s="3">
        <v>0.87456132332900405</v>
      </c>
      <c r="J118" s="3">
        <v>0.60314574022689904</v>
      </c>
      <c r="K118" s="3">
        <v>0.45235930517017398</v>
      </c>
      <c r="L118" s="3">
        <v>0.30157287011345002</v>
      </c>
      <c r="M118" s="3">
        <v>0.15078643505672501</v>
      </c>
    </row>
    <row r="119" spans="1:16" x14ac:dyDescent="0.3">
      <c r="A119" s="3" t="str">
        <f t="shared" si="1"/>
        <v>COA</v>
      </c>
      <c r="C119" s="3" t="s">
        <v>850</v>
      </c>
      <c r="D119" s="3" t="s">
        <v>882</v>
      </c>
      <c r="E119" s="3" t="s">
        <v>883</v>
      </c>
      <c r="F119" s="3" t="s">
        <v>0</v>
      </c>
      <c r="G119" s="3">
        <v>6.0079073518875797E-3</v>
      </c>
      <c r="H119" s="3">
        <v>5.5650675536434904E-3</v>
      </c>
      <c r="I119" s="3">
        <v>3.7937083606671301E-3</v>
      </c>
      <c r="J119" s="3">
        <v>3.7937083606671301E-3</v>
      </c>
      <c r="K119" s="3">
        <v>3.7937083606671301E-3</v>
      </c>
      <c r="L119" s="3">
        <v>3.7937083606671301E-3</v>
      </c>
      <c r="M119" s="3">
        <v>3.7937083606671301E-3</v>
      </c>
      <c r="N119" s="3">
        <v>3.7937083606671301E-3</v>
      </c>
      <c r="O119" s="3">
        <v>3.7937083606671301E-3</v>
      </c>
      <c r="P119" s="3">
        <v>3.7937083606671301E-3</v>
      </c>
    </row>
    <row r="120" spans="1:16" x14ac:dyDescent="0.3">
      <c r="A120" s="3" t="str">
        <f t="shared" si="1"/>
        <v>COA</v>
      </c>
      <c r="C120" s="3" t="s">
        <v>850</v>
      </c>
      <c r="D120" s="3" t="s">
        <v>882</v>
      </c>
      <c r="E120" s="3" t="s">
        <v>883</v>
      </c>
      <c r="F120" s="3" t="s">
        <v>4</v>
      </c>
      <c r="G120" s="3">
        <v>0.239161148333074</v>
      </c>
      <c r="H120" s="3">
        <v>0.22579993690806099</v>
      </c>
      <c r="I120" s="3">
        <v>0.17235509120800699</v>
      </c>
      <c r="J120" s="3">
        <v>0.17235509120800699</v>
      </c>
      <c r="K120" s="3">
        <v>0.17235509120800699</v>
      </c>
      <c r="L120" s="3">
        <v>0.17235509120800699</v>
      </c>
      <c r="M120" s="3">
        <v>0.17235509120800699</v>
      </c>
      <c r="N120" s="3">
        <v>0.17235509120800699</v>
      </c>
      <c r="O120" s="3">
        <v>0.17235509120800699</v>
      </c>
      <c r="P120" s="3">
        <v>0.17235509120800699</v>
      </c>
    </row>
    <row r="121" spans="1:16" x14ac:dyDescent="0.3">
      <c r="A121" s="3" t="str">
        <f t="shared" si="1"/>
        <v>COA</v>
      </c>
      <c r="C121" s="3" t="s">
        <v>850</v>
      </c>
      <c r="D121" s="3" t="s">
        <v>882</v>
      </c>
      <c r="E121" s="3" t="s">
        <v>883</v>
      </c>
      <c r="F121" s="3" t="s">
        <v>5</v>
      </c>
      <c r="G121" s="3">
        <v>0.184856208688637</v>
      </c>
      <c r="H121" s="3">
        <v>0.160762071466451</v>
      </c>
      <c r="I121" s="3">
        <v>6.4385522577703594E-2</v>
      </c>
      <c r="J121" s="3">
        <v>6.4385522577703594E-2</v>
      </c>
      <c r="K121" s="3">
        <v>6.4385522577703594E-2</v>
      </c>
      <c r="L121" s="3">
        <v>6.4385522577703594E-2</v>
      </c>
      <c r="M121" s="3">
        <v>6.4385522577703594E-2</v>
      </c>
      <c r="N121" s="3">
        <v>6.4385522577703594E-2</v>
      </c>
      <c r="O121" s="3">
        <v>6.4385522577703594E-2</v>
      </c>
      <c r="P121" s="3">
        <v>6.4385522577703594E-2</v>
      </c>
    </row>
    <row r="122" spans="1:16" x14ac:dyDescent="0.3">
      <c r="A122" s="3" t="str">
        <f t="shared" si="1"/>
        <v>COA</v>
      </c>
      <c r="C122" s="3" t="s">
        <v>850</v>
      </c>
      <c r="D122" s="3" t="s">
        <v>882</v>
      </c>
      <c r="E122" s="3" t="s">
        <v>883</v>
      </c>
      <c r="F122" s="3" t="s">
        <v>6</v>
      </c>
      <c r="G122" s="3">
        <v>1.8284491462773202E-2</v>
      </c>
      <c r="H122" s="3">
        <v>1.4627593170218601E-2</v>
      </c>
    </row>
    <row r="123" spans="1:16" x14ac:dyDescent="0.3">
      <c r="A123" s="3" t="str">
        <f t="shared" si="1"/>
        <v>NGA</v>
      </c>
      <c r="C123" s="3" t="s">
        <v>850</v>
      </c>
      <c r="D123" s="3" t="s">
        <v>882</v>
      </c>
      <c r="E123" s="3" t="s">
        <v>884</v>
      </c>
      <c r="F123" s="3" t="s">
        <v>0</v>
      </c>
      <c r="I123" s="3">
        <v>4.0883007479244803E-2</v>
      </c>
    </row>
    <row r="124" spans="1:16" x14ac:dyDescent="0.3">
      <c r="A124" s="3" t="str">
        <f t="shared" si="1"/>
        <v>NGA</v>
      </c>
      <c r="C124" s="3" t="s">
        <v>850</v>
      </c>
      <c r="D124" s="3" t="s">
        <v>882</v>
      </c>
      <c r="E124" s="3" t="s">
        <v>884</v>
      </c>
      <c r="F124" s="3" t="s">
        <v>1</v>
      </c>
      <c r="I124" s="3">
        <v>1.19766366281017E-2</v>
      </c>
    </row>
    <row r="125" spans="1:16" x14ac:dyDescent="0.3">
      <c r="A125" s="3" t="str">
        <f t="shared" si="1"/>
        <v>NGA</v>
      </c>
      <c r="C125" s="3" t="s">
        <v>850</v>
      </c>
      <c r="D125" s="3" t="s">
        <v>882</v>
      </c>
      <c r="E125" s="3" t="s">
        <v>884</v>
      </c>
      <c r="F125" s="3" t="s">
        <v>4</v>
      </c>
      <c r="G125" s="3">
        <v>0.87587531917925898</v>
      </c>
      <c r="I125" s="3">
        <v>0.28009989065097102</v>
      </c>
    </row>
    <row r="126" spans="1:16" x14ac:dyDescent="0.3">
      <c r="A126" s="3" t="str">
        <f t="shared" si="1"/>
        <v>NGA</v>
      </c>
      <c r="C126" s="3" t="s">
        <v>850</v>
      </c>
      <c r="D126" s="3" t="s">
        <v>882</v>
      </c>
      <c r="E126" s="3" t="s">
        <v>884</v>
      </c>
      <c r="F126" s="3" t="s">
        <v>5</v>
      </c>
      <c r="I126" s="3">
        <v>0.22236379636737899</v>
      </c>
    </row>
    <row r="127" spans="1:16" x14ac:dyDescent="0.3">
      <c r="A127" s="3" t="str">
        <f t="shared" si="1"/>
        <v>NGA</v>
      </c>
      <c r="C127" s="3" t="s">
        <v>850</v>
      </c>
      <c r="D127" s="3" t="s">
        <v>882</v>
      </c>
      <c r="E127" s="3" t="s">
        <v>884</v>
      </c>
      <c r="F127" s="3" t="s">
        <v>6</v>
      </c>
      <c r="G127" s="3">
        <v>1.14252732391916</v>
      </c>
      <c r="H127" s="3">
        <v>1.09970814615061</v>
      </c>
      <c r="I127" s="3">
        <v>0.92843143507639803</v>
      </c>
      <c r="L127" s="3">
        <v>0.745786383613256</v>
      </c>
    </row>
    <row r="128" spans="1:16" x14ac:dyDescent="0.3">
      <c r="A128" s="3" t="str">
        <f t="shared" si="1"/>
        <v>NGA</v>
      </c>
      <c r="C128" s="3" t="s">
        <v>850</v>
      </c>
      <c r="D128" s="3" t="s">
        <v>882</v>
      </c>
      <c r="E128" s="3" t="s">
        <v>885</v>
      </c>
      <c r="F128" s="3" t="s">
        <v>0</v>
      </c>
      <c r="G128" s="3">
        <v>2.6940243190402202</v>
      </c>
      <c r="I128" s="3">
        <v>0.44008321957538599</v>
      </c>
    </row>
    <row r="129" spans="1:16" x14ac:dyDescent="0.3">
      <c r="A129" s="3" t="str">
        <f t="shared" si="1"/>
        <v>NGA</v>
      </c>
      <c r="C129" s="3" t="s">
        <v>850</v>
      </c>
      <c r="D129" s="3" t="s">
        <v>882</v>
      </c>
      <c r="E129" s="3" t="s">
        <v>885</v>
      </c>
      <c r="F129" s="3" t="s">
        <v>1</v>
      </c>
      <c r="G129" s="3">
        <v>1.72931123346311</v>
      </c>
    </row>
    <row r="130" spans="1:16" x14ac:dyDescent="0.3">
      <c r="A130" s="3" t="str">
        <f t="shared" si="1"/>
        <v>NGA</v>
      </c>
      <c r="C130" s="3" t="s">
        <v>850</v>
      </c>
      <c r="D130" s="3" t="s">
        <v>882</v>
      </c>
      <c r="E130" s="3" t="s">
        <v>885</v>
      </c>
      <c r="F130" s="3" t="s">
        <v>2</v>
      </c>
      <c r="G130" s="3">
        <v>1.4196823739466999</v>
      </c>
      <c r="L130" s="3">
        <v>0.219131122598096</v>
      </c>
    </row>
    <row r="131" spans="1:16" x14ac:dyDescent="0.3">
      <c r="A131" s="3" t="str">
        <f t="shared" si="1"/>
        <v>NGA</v>
      </c>
      <c r="C131" s="3" t="s">
        <v>850</v>
      </c>
      <c r="D131" s="3" t="s">
        <v>882</v>
      </c>
      <c r="E131" s="3" t="s">
        <v>885</v>
      </c>
      <c r="F131" s="3" t="s">
        <v>4</v>
      </c>
      <c r="I131" s="3">
        <v>2.6729957196965302</v>
      </c>
      <c r="J131" s="3">
        <v>2.6729957196965302</v>
      </c>
      <c r="K131" s="3">
        <v>2.6729957196965302</v>
      </c>
      <c r="L131" s="3">
        <v>2.6729957196965302</v>
      </c>
      <c r="M131" s="3">
        <v>2.6729957196965302</v>
      </c>
    </row>
    <row r="132" spans="1:16" x14ac:dyDescent="0.3">
      <c r="A132" s="3" t="str">
        <f t="shared" si="1"/>
        <v>NGA</v>
      </c>
      <c r="C132" s="3" t="s">
        <v>850</v>
      </c>
      <c r="D132" s="3" t="s">
        <v>882</v>
      </c>
      <c r="E132" s="3" t="s">
        <v>885</v>
      </c>
      <c r="F132" s="3" t="s">
        <v>5</v>
      </c>
      <c r="G132" s="3">
        <v>7.2095319460368597</v>
      </c>
      <c r="I132" s="3">
        <v>1.0758530490064899</v>
      </c>
      <c r="J132" s="3">
        <v>1.0758530490064899</v>
      </c>
      <c r="L132" s="3">
        <v>1.0758530490064899</v>
      </c>
    </row>
    <row r="133" spans="1:16" x14ac:dyDescent="0.3">
      <c r="A133" s="3" t="str">
        <f t="shared" si="1"/>
        <v>NGA</v>
      </c>
      <c r="C133" s="3" t="s">
        <v>850</v>
      </c>
      <c r="D133" s="3" t="s">
        <v>882</v>
      </c>
      <c r="E133" s="3" t="s">
        <v>885</v>
      </c>
      <c r="F133" s="3" t="s">
        <v>6</v>
      </c>
      <c r="G133" s="3">
        <v>34.142499402964802</v>
      </c>
      <c r="I133" s="3">
        <v>16.033537810760599</v>
      </c>
      <c r="J133" s="3">
        <v>16.033537810760599</v>
      </c>
      <c r="K133" s="3">
        <v>16.033537810760599</v>
      </c>
      <c r="L133" s="3">
        <v>16.033537810760599</v>
      </c>
      <c r="M133" s="3">
        <v>16.033537810760599</v>
      </c>
    </row>
    <row r="134" spans="1:16" x14ac:dyDescent="0.3">
      <c r="A134" s="3" t="str">
        <f t="shared" si="1"/>
        <v>COA</v>
      </c>
      <c r="C134" s="3" t="s">
        <v>850</v>
      </c>
      <c r="D134" s="3" t="s">
        <v>882</v>
      </c>
      <c r="E134" s="3" t="s">
        <v>886</v>
      </c>
      <c r="F134" s="3" t="s">
        <v>4</v>
      </c>
      <c r="G134" s="3">
        <v>1.0964307123037101E-2</v>
      </c>
      <c r="J134" s="3">
        <v>1.0964307123037101E-2</v>
      </c>
      <c r="K134" s="3">
        <v>1.0964307123037101E-2</v>
      </c>
      <c r="L134" s="3">
        <v>1.0964307123037101E-2</v>
      </c>
      <c r="M134" s="3">
        <v>1.0964307123037101E-2</v>
      </c>
      <c r="N134" s="3">
        <v>1.0964307123037101E-2</v>
      </c>
      <c r="O134" s="3">
        <v>1.0964307123037101E-2</v>
      </c>
      <c r="P134" s="3">
        <v>1.0964307123037101E-2</v>
      </c>
    </row>
    <row r="135" spans="1:16" x14ac:dyDescent="0.3">
      <c r="A135" s="3" t="str">
        <f t="shared" si="1"/>
        <v>COA</v>
      </c>
      <c r="C135" s="3" t="s">
        <v>850</v>
      </c>
      <c r="D135" s="3" t="s">
        <v>882</v>
      </c>
      <c r="E135" s="3" t="s">
        <v>886</v>
      </c>
      <c r="F135" s="3" t="s">
        <v>5</v>
      </c>
      <c r="G135" s="3">
        <v>8.3945069342086703E-2</v>
      </c>
      <c r="J135" s="3">
        <v>8.3945069342086703E-2</v>
      </c>
      <c r="K135" s="3">
        <v>8.3945069342086703E-2</v>
      </c>
      <c r="L135" s="3">
        <v>8.3945069342086703E-2</v>
      </c>
      <c r="M135" s="3">
        <v>8.3945069342086703E-2</v>
      </c>
      <c r="N135" s="3">
        <v>8.3945069342086703E-2</v>
      </c>
      <c r="O135" s="3">
        <v>8.3945069342086703E-2</v>
      </c>
      <c r="P135" s="3">
        <v>8.3945069342086703E-2</v>
      </c>
    </row>
    <row r="136" spans="1:16" x14ac:dyDescent="0.3">
      <c r="A136" s="3" t="str">
        <f t="shared" ref="A136:A199" si="2">RIGHT(E136,3)</f>
        <v>COA</v>
      </c>
      <c r="C136" s="3" t="s">
        <v>850</v>
      </c>
      <c r="D136" s="3" t="s">
        <v>882</v>
      </c>
      <c r="E136" s="3" t="s">
        <v>887</v>
      </c>
      <c r="F136" s="3" t="s">
        <v>4</v>
      </c>
      <c r="G136" s="3">
        <v>1.3035009994370799E-2</v>
      </c>
      <c r="J136" s="3">
        <v>1.3035009994370799E-2</v>
      </c>
      <c r="K136" s="3">
        <v>1.3035009994370799E-2</v>
      </c>
      <c r="L136" s="3">
        <v>1.3035009994370799E-2</v>
      </c>
      <c r="M136" s="3">
        <v>1.3035009994370799E-2</v>
      </c>
      <c r="N136" s="3">
        <v>1.3035009994370799E-2</v>
      </c>
      <c r="O136" s="3">
        <v>1.3035009994370799E-2</v>
      </c>
      <c r="P136" s="3">
        <v>1.3035009994370799E-2</v>
      </c>
    </row>
    <row r="137" spans="1:16" x14ac:dyDescent="0.3">
      <c r="A137" s="3" t="str">
        <f t="shared" si="2"/>
        <v>NGA</v>
      </c>
      <c r="C137" s="3" t="s">
        <v>850</v>
      </c>
      <c r="D137" s="3" t="s">
        <v>882</v>
      </c>
      <c r="E137" s="3" t="s">
        <v>888</v>
      </c>
      <c r="F137" s="3" t="s">
        <v>1</v>
      </c>
      <c r="G137" s="3">
        <v>6.1776117620570099E-3</v>
      </c>
    </row>
    <row r="138" spans="1:16" x14ac:dyDescent="0.3">
      <c r="A138" s="3" t="str">
        <f t="shared" si="2"/>
        <v>NGA</v>
      </c>
      <c r="C138" s="3" t="s">
        <v>850</v>
      </c>
      <c r="D138" s="3" t="s">
        <v>882</v>
      </c>
      <c r="E138" s="3" t="s">
        <v>889</v>
      </c>
      <c r="F138" s="3" t="s">
        <v>1</v>
      </c>
      <c r="G138" s="3">
        <v>8.27471716925679E-3</v>
      </c>
    </row>
    <row r="139" spans="1:16" x14ac:dyDescent="0.3">
      <c r="A139" s="3" t="str">
        <f t="shared" si="2"/>
        <v>NGA</v>
      </c>
      <c r="C139" s="3" t="s">
        <v>850</v>
      </c>
      <c r="D139" s="3" t="s">
        <v>882</v>
      </c>
      <c r="E139" s="3" t="s">
        <v>889</v>
      </c>
      <c r="F139" s="3" t="s">
        <v>8</v>
      </c>
      <c r="G139" s="3">
        <v>1.80810024531637E-2</v>
      </c>
      <c r="I139" s="3">
        <v>1.80810024531637E-2</v>
      </c>
    </row>
    <row r="140" spans="1:16" x14ac:dyDescent="0.3">
      <c r="A140" s="3" t="str">
        <f t="shared" si="2"/>
        <v>NGA</v>
      </c>
      <c r="C140" s="3" t="s">
        <v>850</v>
      </c>
      <c r="D140" s="3" t="s">
        <v>882</v>
      </c>
      <c r="E140" s="3" t="s">
        <v>1198</v>
      </c>
      <c r="F140" s="3" t="s">
        <v>3</v>
      </c>
      <c r="I140" s="3">
        <v>9.6103219106604104E-4</v>
      </c>
    </row>
    <row r="141" spans="1:16" x14ac:dyDescent="0.3">
      <c r="A141" s="3" t="str">
        <f t="shared" si="2"/>
        <v>NGA</v>
      </c>
      <c r="C141" s="3" t="s">
        <v>850</v>
      </c>
      <c r="D141" s="3" t="s">
        <v>882</v>
      </c>
      <c r="E141" s="3" t="s">
        <v>1198</v>
      </c>
      <c r="F141" s="3" t="s">
        <v>4</v>
      </c>
      <c r="I141" s="3">
        <v>0.81479364138341404</v>
      </c>
    </row>
    <row r="142" spans="1:16" x14ac:dyDescent="0.3">
      <c r="A142" s="3" t="str">
        <f t="shared" si="2"/>
        <v>NGA</v>
      </c>
      <c r="C142" s="3" t="s">
        <v>850</v>
      </c>
      <c r="D142" s="3" t="s">
        <v>882</v>
      </c>
      <c r="E142" s="3" t="s">
        <v>1198</v>
      </c>
      <c r="F142" s="3" t="s">
        <v>5</v>
      </c>
      <c r="I142" s="3">
        <v>2.0211605158214798</v>
      </c>
    </row>
    <row r="143" spans="1:16" x14ac:dyDescent="0.3">
      <c r="A143" s="3" t="str">
        <f t="shared" si="2"/>
        <v>NGA</v>
      </c>
      <c r="C143" s="3" t="s">
        <v>850</v>
      </c>
      <c r="D143" s="3" t="s">
        <v>882</v>
      </c>
      <c r="E143" s="3" t="s">
        <v>1198</v>
      </c>
      <c r="F143" s="3" t="s">
        <v>6</v>
      </c>
      <c r="I143" s="3">
        <v>3.1710047743903198</v>
      </c>
    </row>
    <row r="144" spans="1:16" x14ac:dyDescent="0.3">
      <c r="A144" s="3" t="str">
        <f t="shared" si="2"/>
        <v>NGA</v>
      </c>
      <c r="C144" s="3" t="s">
        <v>850</v>
      </c>
      <c r="D144" s="3" t="s">
        <v>882</v>
      </c>
      <c r="E144" s="3" t="s">
        <v>1198</v>
      </c>
      <c r="F144" s="3" t="s">
        <v>7</v>
      </c>
      <c r="I144" s="3">
        <v>1.21892661571714E-4</v>
      </c>
    </row>
    <row r="145" spans="1:16" x14ac:dyDescent="0.3">
      <c r="A145" s="3" t="str">
        <f t="shared" si="2"/>
        <v>NGA</v>
      </c>
      <c r="C145" s="3" t="s">
        <v>850</v>
      </c>
      <c r="D145" s="3" t="s">
        <v>882</v>
      </c>
      <c r="E145" s="3" t="s">
        <v>1198</v>
      </c>
      <c r="F145" s="3" t="s">
        <v>8</v>
      </c>
      <c r="I145" s="3">
        <v>1.4870431052538401E-2</v>
      </c>
    </row>
    <row r="146" spans="1:16" x14ac:dyDescent="0.3">
      <c r="A146" s="3" t="str">
        <f t="shared" si="2"/>
        <v>NGA</v>
      </c>
      <c r="C146" s="3" t="s">
        <v>850</v>
      </c>
      <c r="D146" s="3" t="s">
        <v>882</v>
      </c>
      <c r="E146" s="3" t="s">
        <v>1199</v>
      </c>
      <c r="F146" s="3" t="s">
        <v>0</v>
      </c>
      <c r="M146" s="3">
        <v>0.78401549747682198</v>
      </c>
      <c r="N146" s="3">
        <v>0.78401549747682198</v>
      </c>
      <c r="O146" s="3">
        <v>0.78401549747682198</v>
      </c>
      <c r="P146" s="3">
        <v>0.79381075289444736</v>
      </c>
    </row>
    <row r="147" spans="1:16" x14ac:dyDescent="0.3">
      <c r="A147" s="3" t="str">
        <f t="shared" si="2"/>
        <v>NGA</v>
      </c>
      <c r="C147" s="3" t="s">
        <v>850</v>
      </c>
      <c r="D147" s="3" t="s">
        <v>882</v>
      </c>
      <c r="E147" s="3" t="s">
        <v>1199</v>
      </c>
      <c r="F147" s="3" t="s">
        <v>1</v>
      </c>
      <c r="M147" s="3">
        <v>3.23590721665505</v>
      </c>
      <c r="N147" s="3">
        <v>3.23590721665505</v>
      </c>
      <c r="O147" s="3">
        <v>3.23590721665505</v>
      </c>
      <c r="P147" s="3">
        <v>3.23590721665505</v>
      </c>
    </row>
    <row r="148" spans="1:16" x14ac:dyDescent="0.3">
      <c r="A148" s="3" t="str">
        <f t="shared" si="2"/>
        <v>NGA</v>
      </c>
      <c r="C148" s="3" t="s">
        <v>850</v>
      </c>
      <c r="D148" s="3" t="s">
        <v>882</v>
      </c>
      <c r="E148" s="3" t="s">
        <v>1199</v>
      </c>
      <c r="F148" s="3" t="s">
        <v>2</v>
      </c>
      <c r="M148" s="3">
        <v>3.7066054815078</v>
      </c>
      <c r="N148" s="3">
        <v>3.7066054815078</v>
      </c>
      <c r="O148" s="3">
        <v>3.7066054815078</v>
      </c>
      <c r="P148" s="3">
        <v>3.7066054815078</v>
      </c>
    </row>
    <row r="149" spans="1:16" x14ac:dyDescent="0.3">
      <c r="A149" s="3" t="str">
        <f t="shared" si="2"/>
        <v>NGA</v>
      </c>
      <c r="C149" s="3" t="s">
        <v>850</v>
      </c>
      <c r="D149" s="3" t="s">
        <v>882</v>
      </c>
      <c r="E149" s="3" t="s">
        <v>1199</v>
      </c>
      <c r="F149" s="3" t="s">
        <v>3</v>
      </c>
      <c r="M149" s="3">
        <v>0.15110053424787501</v>
      </c>
      <c r="N149" s="3">
        <v>0.15110053424787501</v>
      </c>
      <c r="O149" s="3">
        <v>0.15110053424787501</v>
      </c>
      <c r="P149" s="3">
        <v>0.15110053424787501</v>
      </c>
    </row>
    <row r="150" spans="1:16" x14ac:dyDescent="0.3">
      <c r="A150" s="3" t="str">
        <f t="shared" si="2"/>
        <v>NGA</v>
      </c>
      <c r="C150" s="3" t="s">
        <v>850</v>
      </c>
      <c r="D150" s="3" t="s">
        <v>882</v>
      </c>
      <c r="E150" s="3" t="s">
        <v>1199</v>
      </c>
      <c r="F150" s="3" t="s">
        <v>4</v>
      </c>
      <c r="M150" s="3">
        <v>29.274935285185201</v>
      </c>
      <c r="N150" s="3">
        <v>29.274935285185201</v>
      </c>
      <c r="O150" s="3">
        <v>29.274935285185201</v>
      </c>
      <c r="P150" s="3">
        <v>29.274935285185201</v>
      </c>
    </row>
    <row r="151" spans="1:16" x14ac:dyDescent="0.3">
      <c r="A151" s="3" t="str">
        <f t="shared" si="2"/>
        <v>NGA</v>
      </c>
      <c r="C151" s="3" t="s">
        <v>850</v>
      </c>
      <c r="D151" s="3" t="s">
        <v>882</v>
      </c>
      <c r="E151" s="3" t="s">
        <v>1199</v>
      </c>
      <c r="F151" s="3" t="s">
        <v>5</v>
      </c>
      <c r="M151" s="3">
        <v>8.3805672694167495</v>
      </c>
      <c r="N151" s="3">
        <v>8.3805672694167495</v>
      </c>
      <c r="O151" s="3">
        <v>8.3805672694167495</v>
      </c>
      <c r="P151" s="3">
        <v>8.3805672694167495</v>
      </c>
    </row>
    <row r="152" spans="1:16" x14ac:dyDescent="0.3">
      <c r="A152" s="3" t="str">
        <f t="shared" si="2"/>
        <v>NGA</v>
      </c>
      <c r="C152" s="3" t="s">
        <v>850</v>
      </c>
      <c r="D152" s="3" t="s">
        <v>882</v>
      </c>
      <c r="E152" s="3" t="s">
        <v>1199</v>
      </c>
      <c r="F152" s="3" t="s">
        <v>6</v>
      </c>
      <c r="M152" s="3">
        <v>37.315459879686799</v>
      </c>
      <c r="N152" s="3">
        <v>37.315459879686799</v>
      </c>
      <c r="O152" s="3">
        <v>37.315459879686799</v>
      </c>
      <c r="P152" s="3">
        <v>37.315459879686799</v>
      </c>
    </row>
    <row r="153" spans="1:16" x14ac:dyDescent="0.3">
      <c r="A153" s="3" t="str">
        <f t="shared" si="2"/>
        <v>NGA</v>
      </c>
      <c r="C153" s="3" t="s">
        <v>850</v>
      </c>
      <c r="D153" s="3" t="s">
        <v>882</v>
      </c>
      <c r="E153" s="3" t="s">
        <v>1199</v>
      </c>
      <c r="F153" s="3" t="s">
        <v>8</v>
      </c>
      <c r="M153" s="3">
        <v>0.71065352042535401</v>
      </c>
      <c r="N153" s="3">
        <v>0.74227150761098737</v>
      </c>
      <c r="O153" s="3">
        <v>0.75525530574601052</v>
      </c>
      <c r="P153" s="3">
        <v>0.75852145547574934</v>
      </c>
    </row>
    <row r="154" spans="1:16" x14ac:dyDescent="0.3">
      <c r="A154" s="3" t="str">
        <f t="shared" si="2"/>
        <v>COA</v>
      </c>
      <c r="C154" s="3" t="s">
        <v>850</v>
      </c>
      <c r="D154" s="3" t="s">
        <v>882</v>
      </c>
      <c r="E154" s="3" t="s">
        <v>1200</v>
      </c>
      <c r="F154" s="3" t="s">
        <v>0</v>
      </c>
      <c r="H154" s="3">
        <v>0.37032208471661099</v>
      </c>
      <c r="I154" s="3">
        <v>0.37871468062794</v>
      </c>
      <c r="J154" s="3">
        <v>0.67457773481074801</v>
      </c>
      <c r="K154" s="3">
        <v>0.78712256825987903</v>
      </c>
      <c r="L154" s="3">
        <v>0.85808318272921202</v>
      </c>
      <c r="M154" s="3">
        <v>0.80119497006094997</v>
      </c>
      <c r="N154" s="3">
        <v>0.84127741003537104</v>
      </c>
      <c r="O154" s="3">
        <v>0.85773710136017101</v>
      </c>
      <c r="P154" s="3">
        <v>0.85808318272921202</v>
      </c>
    </row>
    <row r="155" spans="1:16" x14ac:dyDescent="0.3">
      <c r="A155" s="3" t="str">
        <f t="shared" si="2"/>
        <v>COA</v>
      </c>
      <c r="C155" s="3" t="s">
        <v>850</v>
      </c>
      <c r="D155" s="3" t="s">
        <v>882</v>
      </c>
      <c r="E155" s="3" t="s">
        <v>1200</v>
      </c>
      <c r="F155" s="3" t="s">
        <v>1</v>
      </c>
      <c r="H155" s="3">
        <v>0.65062613589962603</v>
      </c>
      <c r="I155" s="3">
        <v>0.47626654091514897</v>
      </c>
      <c r="J155" s="3">
        <v>1.18233702294317</v>
      </c>
      <c r="K155" s="3">
        <v>1.37849198298363</v>
      </c>
      <c r="L155" s="3">
        <v>1.50216959722055</v>
      </c>
      <c r="M155" s="3">
        <v>1.17431725822761</v>
      </c>
      <c r="N155" s="3">
        <v>1.24417714579908</v>
      </c>
      <c r="O155" s="3">
        <v>1.2728648251455801</v>
      </c>
      <c r="P155" s="3">
        <v>1.3011784139256499</v>
      </c>
    </row>
    <row r="156" spans="1:16" x14ac:dyDescent="0.3">
      <c r="A156" s="3" t="str">
        <f t="shared" si="2"/>
        <v>COA</v>
      </c>
      <c r="C156" s="3" t="s">
        <v>850</v>
      </c>
      <c r="D156" s="3" t="s">
        <v>882</v>
      </c>
      <c r="E156" s="3" t="s">
        <v>1200</v>
      </c>
      <c r="F156" s="3" t="s">
        <v>2</v>
      </c>
      <c r="H156" s="3">
        <v>1.8459783109513901</v>
      </c>
      <c r="I156" s="3">
        <v>0.73291025988813197</v>
      </c>
      <c r="J156" s="3">
        <v>2.7545517786874401</v>
      </c>
      <c r="K156" s="3">
        <v>3.2205924982542</v>
      </c>
      <c r="L156" s="3">
        <v>3.2205924982542</v>
      </c>
      <c r="M156" s="3">
        <v>3.2205924982542</v>
      </c>
      <c r="N156" s="3">
        <v>2.8330902387985999</v>
      </c>
      <c r="O156" s="3">
        <v>2.8524034590494498</v>
      </c>
      <c r="P156" s="3">
        <v>2.91967315891256</v>
      </c>
    </row>
    <row r="157" spans="1:16" x14ac:dyDescent="0.3">
      <c r="A157" s="3" t="str">
        <f t="shared" si="2"/>
        <v>COA</v>
      </c>
      <c r="C157" s="3" t="s">
        <v>850</v>
      </c>
      <c r="D157" s="3" t="s">
        <v>882</v>
      </c>
      <c r="E157" s="3" t="s">
        <v>1200</v>
      </c>
      <c r="F157" s="3" t="s">
        <v>3</v>
      </c>
      <c r="H157" s="3">
        <v>2.02478000074905E-4</v>
      </c>
      <c r="J157" s="3">
        <v>1.5419079949441101E-2</v>
      </c>
      <c r="K157" s="3">
        <v>1.79771737523522E-2</v>
      </c>
      <c r="L157" s="3">
        <v>1.9590076828944699E-2</v>
      </c>
    </row>
    <row r="158" spans="1:16" x14ac:dyDescent="0.3">
      <c r="A158" s="3" t="str">
        <f t="shared" si="2"/>
        <v>COA</v>
      </c>
      <c r="C158" s="3" t="s">
        <v>850</v>
      </c>
      <c r="D158" s="3" t="s">
        <v>882</v>
      </c>
      <c r="E158" s="3" t="s">
        <v>1200</v>
      </c>
      <c r="F158" s="3" t="s">
        <v>4</v>
      </c>
      <c r="H158" s="3">
        <v>2.1407148698803802</v>
      </c>
      <c r="J158" s="3">
        <v>3.1045124452062498</v>
      </c>
      <c r="K158" s="3">
        <v>3.7088815705085598</v>
      </c>
      <c r="L158" s="3">
        <v>3.8530824775695498</v>
      </c>
      <c r="M158" s="3">
        <v>0.71611829372039904</v>
      </c>
      <c r="N158" s="3">
        <v>1.03369174894385</v>
      </c>
      <c r="O158" s="3">
        <v>1.1220807841740801</v>
      </c>
      <c r="P158" s="3">
        <v>1.20931721643991</v>
      </c>
    </row>
    <row r="159" spans="1:16" x14ac:dyDescent="0.3">
      <c r="A159" s="3" t="str">
        <f t="shared" si="2"/>
        <v>COA</v>
      </c>
      <c r="C159" s="3" t="s">
        <v>850</v>
      </c>
      <c r="D159" s="3" t="s">
        <v>882</v>
      </c>
      <c r="E159" s="3" t="s">
        <v>1200</v>
      </c>
      <c r="F159" s="3" t="s">
        <v>5</v>
      </c>
      <c r="H159" s="3">
        <v>2.3695203071378601</v>
      </c>
      <c r="J159" s="3">
        <v>4.3213951177223899</v>
      </c>
      <c r="K159" s="3">
        <v>5.0877220975323496</v>
      </c>
      <c r="L159" s="3">
        <v>5.0877220975323496</v>
      </c>
      <c r="M159" s="3">
        <v>4.94280111707773</v>
      </c>
      <c r="N159" s="3">
        <v>5.0877220975323496</v>
      </c>
      <c r="O159" s="3">
        <v>5.0877220975323496</v>
      </c>
      <c r="P159" s="3">
        <v>4.9567825223870896</v>
      </c>
    </row>
    <row r="160" spans="1:16" x14ac:dyDescent="0.3">
      <c r="A160" s="3" t="str">
        <f t="shared" si="2"/>
        <v>COA</v>
      </c>
      <c r="C160" s="3" t="s">
        <v>850</v>
      </c>
      <c r="D160" s="3" t="s">
        <v>882</v>
      </c>
      <c r="E160" s="3" t="s">
        <v>1200</v>
      </c>
      <c r="F160" s="3" t="s">
        <v>6</v>
      </c>
      <c r="H160" s="3">
        <v>4.6231121605396703</v>
      </c>
      <c r="J160" s="3">
        <v>8.5634909374861703</v>
      </c>
      <c r="K160" s="3">
        <v>10.3217567270933</v>
      </c>
      <c r="L160" s="3">
        <v>10.644719044139901</v>
      </c>
      <c r="M160" s="3">
        <v>7.4730065034877802</v>
      </c>
      <c r="N160" s="3">
        <v>10.133779225485799</v>
      </c>
      <c r="O160" s="3">
        <v>10.390925744583599</v>
      </c>
      <c r="P160" s="3">
        <v>10.644719044139901</v>
      </c>
    </row>
    <row r="161" spans="1:16" x14ac:dyDescent="0.3">
      <c r="A161" s="3" t="str">
        <f t="shared" si="2"/>
        <v>COA</v>
      </c>
      <c r="C161" s="3" t="s">
        <v>850</v>
      </c>
      <c r="D161" s="3" t="s">
        <v>882</v>
      </c>
      <c r="E161" s="3" t="s">
        <v>1200</v>
      </c>
      <c r="F161" s="3" t="s">
        <v>7</v>
      </c>
      <c r="H161" s="3">
        <v>1.2851647955967099E-3</v>
      </c>
      <c r="J161" s="3">
        <v>1.9556813096339E-3</v>
      </c>
      <c r="K161" s="3">
        <v>2.2801375194108501E-3</v>
      </c>
      <c r="L161" s="3">
        <v>2.4847103221648098E-3</v>
      </c>
      <c r="M161" s="3">
        <v>6.0525610091377395E-4</v>
      </c>
    </row>
    <row r="162" spans="1:16" x14ac:dyDescent="0.3">
      <c r="A162" s="3" t="str">
        <f t="shared" si="2"/>
        <v>COA</v>
      </c>
      <c r="C162" s="3" t="s">
        <v>850</v>
      </c>
      <c r="D162" s="3" t="s">
        <v>882</v>
      </c>
      <c r="E162" s="3" t="s">
        <v>1200</v>
      </c>
      <c r="F162" s="3" t="s">
        <v>8</v>
      </c>
      <c r="H162" s="3">
        <v>4.3019503340080999E-2</v>
      </c>
      <c r="J162" s="3">
        <v>6.5464319377707206E-2</v>
      </c>
      <c r="K162" s="3">
        <v>7.63251405331212E-2</v>
      </c>
      <c r="L162" s="3">
        <v>8.3172994132532194E-2</v>
      </c>
      <c r="P162" s="3">
        <v>1.1681129137395599E-3</v>
      </c>
    </row>
    <row r="163" spans="1:16" x14ac:dyDescent="0.3">
      <c r="A163" s="3" t="str">
        <f t="shared" si="2"/>
        <v>NGA</v>
      </c>
      <c r="C163" s="3" t="s">
        <v>850</v>
      </c>
      <c r="D163" s="3" t="s">
        <v>882</v>
      </c>
      <c r="E163" s="3" t="s">
        <v>1201</v>
      </c>
      <c r="F163" s="3" t="s">
        <v>2</v>
      </c>
      <c r="M163" s="3">
        <v>1.6385825265839399E-2</v>
      </c>
      <c r="N163" s="3">
        <v>4.9711060823361093</v>
      </c>
      <c r="O163" s="3">
        <v>4.9711060823361093</v>
      </c>
      <c r="P163" s="3">
        <v>4.9711060823361093</v>
      </c>
    </row>
    <row r="164" spans="1:16" x14ac:dyDescent="0.3">
      <c r="A164" s="3" t="str">
        <f t="shared" si="2"/>
        <v>NGA</v>
      </c>
      <c r="C164" s="3" t="s">
        <v>850</v>
      </c>
      <c r="D164" s="3" t="s">
        <v>882</v>
      </c>
      <c r="E164" s="3" t="s">
        <v>1201</v>
      </c>
      <c r="F164" s="3" t="s">
        <v>3</v>
      </c>
      <c r="M164" s="3">
        <v>1.6385825265839399E-2</v>
      </c>
      <c r="N164" s="3">
        <v>2.388014794776577E-2</v>
      </c>
      <c r="O164" s="3">
        <v>7.6585205306357764</v>
      </c>
      <c r="P164" s="3">
        <v>7.6585205306357764</v>
      </c>
    </row>
    <row r="165" spans="1:16" x14ac:dyDescent="0.3">
      <c r="A165" s="3" t="str">
        <f t="shared" si="2"/>
        <v>NGA</v>
      </c>
      <c r="C165" s="3" t="s">
        <v>850</v>
      </c>
      <c r="D165" s="3" t="s">
        <v>882</v>
      </c>
      <c r="E165" s="3" t="s">
        <v>1201</v>
      </c>
      <c r="F165" s="3" t="s">
        <v>4</v>
      </c>
      <c r="M165" s="3">
        <v>1.6385825265839399E-2</v>
      </c>
      <c r="N165" s="3">
        <v>1.6385825265839399E-2</v>
      </c>
      <c r="O165" s="3">
        <v>1.6385825265839399E-2</v>
      </c>
      <c r="P165" s="3">
        <v>1.6385825265839399E-2</v>
      </c>
    </row>
    <row r="166" spans="1:16" x14ac:dyDescent="0.3">
      <c r="A166" s="3" t="str">
        <f t="shared" si="2"/>
        <v>NGA</v>
      </c>
      <c r="C166" s="3" t="s">
        <v>850</v>
      </c>
      <c r="D166" s="3" t="s">
        <v>882</v>
      </c>
      <c r="E166" s="3" t="s">
        <v>1201</v>
      </c>
      <c r="F166" s="3" t="s">
        <v>5</v>
      </c>
      <c r="M166" s="3">
        <v>1.6385825265839399E-2</v>
      </c>
      <c r="N166" s="3">
        <v>1.6385825265839399E-2</v>
      </c>
      <c r="O166" s="3">
        <v>1.6385825265839399E-2</v>
      </c>
      <c r="P166" s="3">
        <v>1.6385825265839399E-2</v>
      </c>
    </row>
    <row r="167" spans="1:16" x14ac:dyDescent="0.3">
      <c r="A167" s="3" t="str">
        <f t="shared" si="2"/>
        <v>NGA</v>
      </c>
      <c r="C167" s="3" t="s">
        <v>850</v>
      </c>
      <c r="D167" s="3" t="s">
        <v>882</v>
      </c>
      <c r="E167" s="3" t="s">
        <v>1201</v>
      </c>
      <c r="F167" s="3" t="s">
        <v>6</v>
      </c>
      <c r="M167" s="3">
        <v>1.6385825265839399E-2</v>
      </c>
      <c r="N167" s="3">
        <v>1.6385825265839399E-2</v>
      </c>
      <c r="O167" s="3">
        <v>1.6385825265839399E-2</v>
      </c>
      <c r="P167" s="3">
        <v>1.6385825265839399E-2</v>
      </c>
    </row>
    <row r="168" spans="1:16" x14ac:dyDescent="0.3">
      <c r="A168" s="3" t="str">
        <f t="shared" si="2"/>
        <v>NGA</v>
      </c>
      <c r="C168" s="3" t="s">
        <v>850</v>
      </c>
      <c r="D168" s="3" t="s">
        <v>882</v>
      </c>
      <c r="E168" s="3" t="s">
        <v>1201</v>
      </c>
      <c r="F168" s="3" t="s">
        <v>7</v>
      </c>
      <c r="M168" s="3">
        <v>1.6385825265839399E-2</v>
      </c>
      <c r="N168" s="3">
        <v>2.2315189779685708E-2</v>
      </c>
      <c r="O168" s="3">
        <v>1.2306959275642757</v>
      </c>
      <c r="P168" s="3">
        <v>1.2375344896013845</v>
      </c>
    </row>
    <row r="169" spans="1:16" x14ac:dyDescent="0.3">
      <c r="A169" s="3" t="str">
        <f t="shared" si="2"/>
        <v>NGA</v>
      </c>
      <c r="C169" s="3" t="s">
        <v>850</v>
      </c>
      <c r="D169" s="3" t="s">
        <v>882</v>
      </c>
      <c r="E169" s="3" t="s">
        <v>1273</v>
      </c>
      <c r="F169" s="3" t="s">
        <v>0</v>
      </c>
      <c r="M169" s="3">
        <v>1.24747246661546E-2</v>
      </c>
    </row>
    <row r="170" spans="1:16" x14ac:dyDescent="0.3">
      <c r="A170" s="3" t="str">
        <f t="shared" si="2"/>
        <v>NGA</v>
      </c>
      <c r="C170" s="3" t="s">
        <v>850</v>
      </c>
      <c r="D170" s="3" t="s">
        <v>882</v>
      </c>
      <c r="E170" s="3" t="s">
        <v>1273</v>
      </c>
      <c r="F170" s="3" t="s">
        <v>1</v>
      </c>
      <c r="M170" s="3">
        <v>1.24747246661546E-2</v>
      </c>
      <c r="N170" s="3">
        <v>1.24747246661546E-2</v>
      </c>
      <c r="O170" s="3">
        <v>1.24747246661546E-2</v>
      </c>
      <c r="P170" s="3">
        <v>1.24747246661546E-2</v>
      </c>
    </row>
    <row r="171" spans="1:16" x14ac:dyDescent="0.3">
      <c r="A171" s="3" t="str">
        <f t="shared" si="2"/>
        <v>NGA</v>
      </c>
      <c r="C171" s="3" t="s">
        <v>850</v>
      </c>
      <c r="D171" s="3" t="s">
        <v>882</v>
      </c>
      <c r="E171" s="3" t="s">
        <v>1273</v>
      </c>
      <c r="F171" s="3" t="s">
        <v>2</v>
      </c>
      <c r="M171" s="3">
        <v>1.24747246661546E-2</v>
      </c>
      <c r="N171" s="3">
        <v>2.9938056331877547</v>
      </c>
      <c r="O171" s="3">
        <v>3.0461732205169598</v>
      </c>
      <c r="P171" s="3">
        <v>3.0978579286153245</v>
      </c>
    </row>
    <row r="172" spans="1:16" x14ac:dyDescent="0.3">
      <c r="A172" s="3" t="str">
        <f t="shared" si="2"/>
        <v>NGA</v>
      </c>
      <c r="C172" s="3" t="s">
        <v>850</v>
      </c>
      <c r="D172" s="3" t="s">
        <v>882</v>
      </c>
      <c r="E172" s="3" t="s">
        <v>1273</v>
      </c>
      <c r="F172" s="3" t="s">
        <v>3</v>
      </c>
      <c r="M172" s="3">
        <v>1.24747246661546E-2</v>
      </c>
      <c r="N172" s="3">
        <v>2.0277757412382846</v>
      </c>
      <c r="O172" s="3">
        <v>2.0632455533183318</v>
      </c>
      <c r="P172" s="3">
        <v>2.0982528350580103</v>
      </c>
    </row>
    <row r="173" spans="1:16" x14ac:dyDescent="0.3">
      <c r="A173" s="3" t="str">
        <f t="shared" si="2"/>
        <v>NGA</v>
      </c>
      <c r="C173" s="3" t="s">
        <v>850</v>
      </c>
      <c r="D173" s="3" t="s">
        <v>882</v>
      </c>
      <c r="E173" s="3" t="s">
        <v>1273</v>
      </c>
      <c r="F173" s="3" t="s">
        <v>4</v>
      </c>
      <c r="M173" s="3">
        <v>1.24747246661546E-2</v>
      </c>
      <c r="N173" s="3">
        <v>6.7650565244364849</v>
      </c>
      <c r="O173" s="3">
        <v>6.7650565244364849</v>
      </c>
      <c r="P173" s="3">
        <v>6.8220379840112786</v>
      </c>
    </row>
    <row r="174" spans="1:16" x14ac:dyDescent="0.3">
      <c r="A174" s="3" t="str">
        <f t="shared" si="2"/>
        <v>NGA</v>
      </c>
      <c r="C174" s="3" t="s">
        <v>850</v>
      </c>
      <c r="D174" s="3" t="s">
        <v>882</v>
      </c>
      <c r="E174" s="3" t="s">
        <v>1273</v>
      </c>
      <c r="F174" s="3" t="s">
        <v>5</v>
      </c>
      <c r="M174" s="3">
        <v>1.24747246661546E-2</v>
      </c>
      <c r="N174" s="3">
        <v>11.161477118753954</v>
      </c>
      <c r="O174" s="3">
        <v>11.356713449816947</v>
      </c>
      <c r="P174" s="3">
        <v>11.54940387715612</v>
      </c>
    </row>
    <row r="175" spans="1:16" x14ac:dyDescent="0.3">
      <c r="A175" s="3" t="str">
        <f t="shared" si="2"/>
        <v>NGA</v>
      </c>
      <c r="C175" s="3" t="s">
        <v>850</v>
      </c>
      <c r="D175" s="3" t="s">
        <v>882</v>
      </c>
      <c r="E175" s="3" t="s">
        <v>1273</v>
      </c>
      <c r="F175" s="3" t="s">
        <v>6</v>
      </c>
      <c r="M175" s="3">
        <v>1.24747246661546E-2</v>
      </c>
      <c r="N175" s="3">
        <v>38.774997850796858</v>
      </c>
      <c r="O175" s="3">
        <v>39.295290961425344</v>
      </c>
      <c r="P175" s="3">
        <v>40.027650889004427</v>
      </c>
    </row>
    <row r="176" spans="1:16" x14ac:dyDescent="0.3">
      <c r="A176" s="3" t="str">
        <f t="shared" si="2"/>
        <v>NGA</v>
      </c>
      <c r="C176" s="3" t="s">
        <v>850</v>
      </c>
      <c r="D176" s="3" t="s">
        <v>882</v>
      </c>
      <c r="E176" s="3" t="s">
        <v>1273</v>
      </c>
      <c r="F176" s="3" t="s">
        <v>7</v>
      </c>
      <c r="M176" s="3">
        <v>1.24747246661546E-2</v>
      </c>
      <c r="N176" s="3">
        <v>1.3502958142483359E-2</v>
      </c>
      <c r="O176" s="3">
        <v>1.3739151612056114E-2</v>
      </c>
      <c r="P176" s="3">
        <v>1.3972265092210648E-2</v>
      </c>
    </row>
    <row r="177" spans="1:16" x14ac:dyDescent="0.3">
      <c r="A177" s="3" t="str">
        <f t="shared" si="2"/>
        <v>NGA</v>
      </c>
      <c r="C177" s="3" t="s">
        <v>850</v>
      </c>
      <c r="D177" s="3" t="s">
        <v>882</v>
      </c>
      <c r="E177" s="3" t="s">
        <v>1273</v>
      </c>
      <c r="F177" s="3" t="s">
        <v>8</v>
      </c>
      <c r="M177" s="3">
        <v>8.1063085632237103E-3</v>
      </c>
      <c r="N177" s="3">
        <v>8.4669697756263301E-3</v>
      </c>
      <c r="O177" s="3">
        <v>8.4669697756263301E-3</v>
      </c>
      <c r="P177" s="3">
        <v>8.4669697756263301E-3</v>
      </c>
    </row>
    <row r="178" spans="1:16" x14ac:dyDescent="0.3">
      <c r="A178" s="3" t="str">
        <f t="shared" si="2"/>
        <v>COA</v>
      </c>
      <c r="C178" s="3" t="s">
        <v>850</v>
      </c>
      <c r="D178" s="3" t="s">
        <v>890</v>
      </c>
      <c r="E178" s="3" t="s">
        <v>891</v>
      </c>
      <c r="F178" s="3" t="s">
        <v>1</v>
      </c>
      <c r="G178" s="3">
        <v>2.24787069202839</v>
      </c>
      <c r="H178" s="3">
        <v>2.1630849491442201</v>
      </c>
      <c r="I178" s="3">
        <v>1.8239419776075501</v>
      </c>
      <c r="J178" s="3">
        <v>1.8239419776075501</v>
      </c>
      <c r="K178" s="3">
        <v>1.8239419776075501</v>
      </c>
      <c r="L178" s="3">
        <v>1.8239419776075501</v>
      </c>
      <c r="M178" s="3">
        <v>1.8239419776075501</v>
      </c>
      <c r="N178" s="3">
        <v>1.77756869014958</v>
      </c>
      <c r="O178" s="3">
        <v>1.8239419776075501</v>
      </c>
      <c r="P178" s="3">
        <v>1.8239419776075501</v>
      </c>
    </row>
    <row r="179" spans="1:16" x14ac:dyDescent="0.3">
      <c r="A179" s="3" t="str">
        <f t="shared" si="2"/>
        <v>COA</v>
      </c>
      <c r="C179" s="3" t="s">
        <v>850</v>
      </c>
      <c r="D179" s="3" t="s">
        <v>890</v>
      </c>
      <c r="E179" s="3" t="s">
        <v>891</v>
      </c>
      <c r="F179" s="3" t="s">
        <v>2</v>
      </c>
      <c r="G179" s="3">
        <v>0.185741819888052</v>
      </c>
      <c r="H179" s="3">
        <v>0.169349012238622</v>
      </c>
      <c r="I179" s="3">
        <v>0.103777781640903</v>
      </c>
      <c r="J179" s="3">
        <v>0.103777781640903</v>
      </c>
      <c r="K179" s="3">
        <v>0.103777781640903</v>
      </c>
      <c r="L179" s="3">
        <v>0.103777781640903</v>
      </c>
      <c r="M179" s="3">
        <v>0.103777781640903</v>
      </c>
      <c r="N179" s="3">
        <v>0.103777781640903</v>
      </c>
      <c r="O179" s="3">
        <v>0.103777781640903</v>
      </c>
      <c r="P179" s="3">
        <v>0.103777781640903</v>
      </c>
    </row>
    <row r="180" spans="1:16" x14ac:dyDescent="0.3">
      <c r="A180" s="3" t="str">
        <f t="shared" si="2"/>
        <v>COA</v>
      </c>
      <c r="C180" s="3" t="s">
        <v>850</v>
      </c>
      <c r="D180" s="3" t="s">
        <v>890</v>
      </c>
      <c r="E180" s="3" t="s">
        <v>891</v>
      </c>
      <c r="F180" s="3" t="s">
        <v>4</v>
      </c>
      <c r="G180" s="3">
        <v>1.7515424884122801</v>
      </c>
      <c r="H180" s="3">
        <v>1.70442006432423</v>
      </c>
      <c r="I180" s="3">
        <v>1.5159303679720499</v>
      </c>
      <c r="J180" s="3">
        <v>1.5159303679720499</v>
      </c>
      <c r="K180" s="3">
        <v>1.5159303679720499</v>
      </c>
      <c r="L180" s="3">
        <v>1.5159303679720499</v>
      </c>
      <c r="M180" s="3">
        <v>1.5159303679720499</v>
      </c>
      <c r="N180" s="3">
        <v>1.5159303679720499</v>
      </c>
      <c r="O180" s="3">
        <v>1.5159303679720499</v>
      </c>
      <c r="P180" s="3">
        <v>1.5159303679720499</v>
      </c>
    </row>
    <row r="181" spans="1:16" x14ac:dyDescent="0.3">
      <c r="A181" s="3" t="str">
        <f t="shared" si="2"/>
        <v>COA</v>
      </c>
      <c r="C181" s="3" t="s">
        <v>850</v>
      </c>
      <c r="D181" s="3" t="s">
        <v>890</v>
      </c>
      <c r="E181" s="3" t="s">
        <v>891</v>
      </c>
      <c r="F181" s="3" t="s">
        <v>5</v>
      </c>
      <c r="G181" s="3">
        <v>1.0122691180271599E-2</v>
      </c>
      <c r="H181" s="3">
        <v>6.4467732990719798E-2</v>
      </c>
      <c r="I181" s="3">
        <v>0.28184790023251299</v>
      </c>
      <c r="J181" s="3">
        <v>0.28184790023251299</v>
      </c>
      <c r="K181" s="3">
        <v>0.28184790023251299</v>
      </c>
      <c r="L181" s="3">
        <v>0.28184790023251299</v>
      </c>
      <c r="M181" s="3">
        <v>0.28184790023251299</v>
      </c>
      <c r="N181" s="3">
        <v>0.28184790023251299</v>
      </c>
      <c r="O181" s="3">
        <v>0.28184790023251299</v>
      </c>
      <c r="P181" s="3">
        <v>0.28184790023251299</v>
      </c>
    </row>
    <row r="182" spans="1:16" x14ac:dyDescent="0.3">
      <c r="A182" s="3" t="str">
        <f t="shared" si="2"/>
        <v>COA</v>
      </c>
      <c r="C182" s="3" t="s">
        <v>850</v>
      </c>
      <c r="D182" s="3" t="s">
        <v>890</v>
      </c>
      <c r="E182" s="3" t="s">
        <v>891</v>
      </c>
      <c r="F182" s="3" t="s">
        <v>6</v>
      </c>
      <c r="G182" s="3">
        <v>1.194423026723E-2</v>
      </c>
      <c r="H182" s="3">
        <v>9.5553842137839594E-3</v>
      </c>
    </row>
    <row r="183" spans="1:16" x14ac:dyDescent="0.3">
      <c r="A183" s="3" t="str">
        <f t="shared" si="2"/>
        <v>COA</v>
      </c>
      <c r="C183" s="3" t="s">
        <v>850</v>
      </c>
      <c r="D183" s="3" t="s">
        <v>890</v>
      </c>
      <c r="E183" s="3" t="s">
        <v>891</v>
      </c>
      <c r="F183" s="3" t="s">
        <v>7</v>
      </c>
      <c r="G183" s="3">
        <v>0.103237519982721</v>
      </c>
      <c r="H183" s="3">
        <v>8.28805593885934E-2</v>
      </c>
    </row>
    <row r="184" spans="1:16" x14ac:dyDescent="0.3">
      <c r="A184" s="3" t="str">
        <f t="shared" si="2"/>
        <v>COA</v>
      </c>
      <c r="C184" s="3" t="s">
        <v>850</v>
      </c>
      <c r="D184" s="3" t="s">
        <v>890</v>
      </c>
      <c r="E184" s="3" t="s">
        <v>891</v>
      </c>
      <c r="F184" s="3" t="s">
        <v>8</v>
      </c>
      <c r="G184" s="3">
        <v>0.37296251724867002</v>
      </c>
      <c r="H184" s="3">
        <v>0.343999357081547</v>
      </c>
      <c r="I184" s="3">
        <v>0.30307382402995398</v>
      </c>
      <c r="J184" s="3">
        <v>0.30307382402995398</v>
      </c>
      <c r="K184" s="3">
        <v>0.30307382402995398</v>
      </c>
      <c r="L184" s="3">
        <v>0.30307382402995398</v>
      </c>
      <c r="M184" s="3">
        <v>0.30307382402995398</v>
      </c>
      <c r="N184" s="3">
        <v>0.212854908403109</v>
      </c>
      <c r="O184" s="3">
        <v>0.30307382402995398</v>
      </c>
      <c r="P184" s="3">
        <v>0.30307382402995398</v>
      </c>
    </row>
    <row r="185" spans="1:16" x14ac:dyDescent="0.3">
      <c r="A185" s="3" t="str">
        <f t="shared" si="2"/>
        <v>NGA</v>
      </c>
      <c r="C185" s="3" t="s">
        <v>850</v>
      </c>
      <c r="D185" s="3" t="s">
        <v>890</v>
      </c>
      <c r="E185" s="3" t="s">
        <v>892</v>
      </c>
      <c r="F185" s="3" t="s">
        <v>0</v>
      </c>
      <c r="G185" s="3">
        <v>7.9508048322971106E-2</v>
      </c>
      <c r="I185" s="3">
        <v>7.2335790131591193E-2</v>
      </c>
    </row>
    <row r="186" spans="1:16" x14ac:dyDescent="0.3">
      <c r="A186" s="3" t="str">
        <f t="shared" si="2"/>
        <v>NGA</v>
      </c>
      <c r="C186" s="3" t="s">
        <v>850</v>
      </c>
      <c r="D186" s="3" t="s">
        <v>890</v>
      </c>
      <c r="E186" s="3" t="s">
        <v>892</v>
      </c>
      <c r="F186" s="3" t="s">
        <v>1</v>
      </c>
      <c r="I186" s="3">
        <v>0.20501143904723099</v>
      </c>
    </row>
    <row r="187" spans="1:16" x14ac:dyDescent="0.3">
      <c r="A187" s="3" t="str">
        <f t="shared" si="2"/>
        <v>NGA</v>
      </c>
      <c r="C187" s="3" t="s">
        <v>850</v>
      </c>
      <c r="D187" s="3" t="s">
        <v>890</v>
      </c>
      <c r="E187" s="3" t="s">
        <v>892</v>
      </c>
      <c r="F187" s="3" t="s">
        <v>2</v>
      </c>
      <c r="I187" s="3">
        <v>9.8321570222933904E-3</v>
      </c>
    </row>
    <row r="188" spans="1:16" x14ac:dyDescent="0.3">
      <c r="A188" s="3" t="str">
        <f t="shared" si="2"/>
        <v>NGA</v>
      </c>
      <c r="C188" s="3" t="s">
        <v>850</v>
      </c>
      <c r="D188" s="3" t="s">
        <v>890</v>
      </c>
      <c r="E188" s="3" t="s">
        <v>892</v>
      </c>
      <c r="F188" s="3" t="s">
        <v>3</v>
      </c>
      <c r="G188" s="3">
        <v>1.4372952310261001E-2</v>
      </c>
      <c r="I188" s="3">
        <v>9.0758372513477393E-3</v>
      </c>
    </row>
    <row r="189" spans="1:16" x14ac:dyDescent="0.3">
      <c r="A189" s="3" t="str">
        <f t="shared" si="2"/>
        <v>NGA</v>
      </c>
      <c r="C189" s="3" t="s">
        <v>850</v>
      </c>
      <c r="D189" s="3" t="s">
        <v>890</v>
      </c>
      <c r="E189" s="3" t="s">
        <v>892</v>
      </c>
      <c r="F189" s="3" t="s">
        <v>4</v>
      </c>
      <c r="G189" s="3">
        <v>0.3364598491163</v>
      </c>
      <c r="I189" s="3">
        <v>0.40884923762172598</v>
      </c>
      <c r="P189" s="3">
        <v>0.30149853242385</v>
      </c>
    </row>
    <row r="190" spans="1:16" x14ac:dyDescent="0.3">
      <c r="A190" s="3" t="str">
        <f t="shared" si="2"/>
        <v>NGA</v>
      </c>
      <c r="C190" s="3" t="s">
        <v>850</v>
      </c>
      <c r="D190" s="3" t="s">
        <v>890</v>
      </c>
      <c r="E190" s="3" t="s">
        <v>892</v>
      </c>
      <c r="F190" s="3" t="s">
        <v>6</v>
      </c>
      <c r="G190" s="3">
        <v>0.138833295991865</v>
      </c>
      <c r="H190" s="3">
        <v>0.115701364349847</v>
      </c>
      <c r="I190" s="3">
        <v>2.31736377817745E-2</v>
      </c>
      <c r="P190" s="3">
        <v>2.31736377817745E-2</v>
      </c>
    </row>
    <row r="191" spans="1:16" x14ac:dyDescent="0.3">
      <c r="A191" s="3" t="str">
        <f t="shared" si="2"/>
        <v>RFL</v>
      </c>
      <c r="C191" s="3" t="s">
        <v>850</v>
      </c>
      <c r="D191" s="3" t="s">
        <v>890</v>
      </c>
      <c r="E191" s="3" t="s">
        <v>893</v>
      </c>
      <c r="F191" s="3" t="s">
        <v>1</v>
      </c>
      <c r="I191" s="3">
        <v>7.3354677070762396E-3</v>
      </c>
    </row>
    <row r="192" spans="1:16" x14ac:dyDescent="0.3">
      <c r="A192" s="3" t="str">
        <f t="shared" si="2"/>
        <v>BIO</v>
      </c>
      <c r="C192" s="3" t="s">
        <v>850</v>
      </c>
      <c r="D192" s="3" t="s">
        <v>890</v>
      </c>
      <c r="E192" s="3" t="s">
        <v>894</v>
      </c>
      <c r="F192" s="3" t="s">
        <v>2</v>
      </c>
      <c r="G192" s="3">
        <v>0.280161706205386</v>
      </c>
      <c r="J192" s="3">
        <v>0.280161706205386</v>
      </c>
      <c r="K192" s="3">
        <v>0.280161706205386</v>
      </c>
      <c r="L192" s="3">
        <v>0.280161706205386</v>
      </c>
      <c r="M192" s="3">
        <v>0.280161706205386</v>
      </c>
    </row>
    <row r="193" spans="1:16" x14ac:dyDescent="0.3">
      <c r="A193" s="3" t="str">
        <f t="shared" si="2"/>
        <v>NGA</v>
      </c>
      <c r="C193" s="3" t="s">
        <v>850</v>
      </c>
      <c r="D193" s="3" t="s">
        <v>890</v>
      </c>
      <c r="E193" s="3" t="s">
        <v>895</v>
      </c>
      <c r="F193" s="3" t="s">
        <v>0</v>
      </c>
      <c r="G193" s="3">
        <v>8.9067519026931496E-2</v>
      </c>
      <c r="I193" s="3">
        <v>8.9067519026931496E-2</v>
      </c>
    </row>
    <row r="194" spans="1:16" x14ac:dyDescent="0.3">
      <c r="A194" s="3" t="str">
        <f t="shared" si="2"/>
        <v>NGA</v>
      </c>
      <c r="C194" s="3" t="s">
        <v>850</v>
      </c>
      <c r="D194" s="3" t="s">
        <v>890</v>
      </c>
      <c r="E194" s="3" t="s">
        <v>895</v>
      </c>
      <c r="F194" s="3" t="s">
        <v>3</v>
      </c>
      <c r="G194" s="3">
        <v>0.55670158644906798</v>
      </c>
      <c r="I194" s="3">
        <v>0.59984122331701495</v>
      </c>
      <c r="J194" s="3">
        <v>0.59984122331701495</v>
      </c>
      <c r="K194" s="3">
        <v>0.59984122331701495</v>
      </c>
      <c r="L194" s="3">
        <v>0.59984122331701495</v>
      </c>
    </row>
    <row r="195" spans="1:16" x14ac:dyDescent="0.3">
      <c r="A195" s="3" t="str">
        <f t="shared" si="2"/>
        <v>NGA</v>
      </c>
      <c r="C195" s="3" t="s">
        <v>850</v>
      </c>
      <c r="D195" s="3" t="s">
        <v>890</v>
      </c>
      <c r="E195" s="3" t="s">
        <v>895</v>
      </c>
      <c r="F195" s="3" t="s">
        <v>4</v>
      </c>
      <c r="I195" s="3">
        <v>1.16446191834971</v>
      </c>
      <c r="J195" s="3">
        <v>1.16446191834971</v>
      </c>
      <c r="K195" s="3">
        <v>1.16446191834971</v>
      </c>
      <c r="L195" s="3">
        <v>1.16446191834971</v>
      </c>
    </row>
    <row r="196" spans="1:16" x14ac:dyDescent="0.3">
      <c r="A196" s="3" t="str">
        <f t="shared" si="2"/>
        <v>NGA</v>
      </c>
      <c r="C196" s="3" t="s">
        <v>850</v>
      </c>
      <c r="D196" s="3" t="s">
        <v>890</v>
      </c>
      <c r="E196" s="3" t="s">
        <v>895</v>
      </c>
      <c r="F196" s="3" t="s">
        <v>5</v>
      </c>
      <c r="G196" s="3">
        <v>0.65938455408802699</v>
      </c>
      <c r="I196" s="3">
        <v>0.439762228766789</v>
      </c>
      <c r="J196" s="3">
        <v>0.59745141764642895</v>
      </c>
    </row>
    <row r="197" spans="1:16" x14ac:dyDescent="0.3">
      <c r="A197" s="3" t="str">
        <f t="shared" si="2"/>
        <v>NGA</v>
      </c>
      <c r="C197" s="3" t="s">
        <v>850</v>
      </c>
      <c r="D197" s="3" t="s">
        <v>890</v>
      </c>
      <c r="E197" s="3" t="s">
        <v>895</v>
      </c>
      <c r="F197" s="3" t="s">
        <v>6</v>
      </c>
      <c r="G197" s="3">
        <v>6.5728500165468899</v>
      </c>
      <c r="I197" s="3">
        <v>7.5625798430809397</v>
      </c>
      <c r="J197" s="3">
        <v>7.5625798430809397</v>
      </c>
      <c r="K197" s="3">
        <v>7.5625798430809397</v>
      </c>
      <c r="L197" s="3">
        <v>7.5625798430809397</v>
      </c>
      <c r="M197" s="3">
        <v>2.6347570680443502</v>
      </c>
    </row>
    <row r="198" spans="1:16" x14ac:dyDescent="0.3">
      <c r="A198" s="3" t="str">
        <f t="shared" si="2"/>
        <v>NGA</v>
      </c>
      <c r="C198" s="3" t="s">
        <v>850</v>
      </c>
      <c r="D198" s="3" t="s">
        <v>890</v>
      </c>
      <c r="E198" s="3" t="s">
        <v>895</v>
      </c>
      <c r="F198" s="3" t="s">
        <v>8</v>
      </c>
      <c r="I198" s="3">
        <v>1.73516990185827E-2</v>
      </c>
    </row>
    <row r="199" spans="1:16" x14ac:dyDescent="0.3">
      <c r="A199" s="3" t="str">
        <f t="shared" si="2"/>
        <v>COA</v>
      </c>
      <c r="C199" s="3" t="s">
        <v>850</v>
      </c>
      <c r="D199" s="3" t="s">
        <v>890</v>
      </c>
      <c r="E199" s="3" t="s">
        <v>896</v>
      </c>
      <c r="F199" s="3" t="s">
        <v>2</v>
      </c>
      <c r="G199" s="3">
        <v>1.6201637785980098E-2</v>
      </c>
      <c r="I199" s="3">
        <v>1.6201637785980098E-2</v>
      </c>
      <c r="J199" s="3">
        <v>1.6201637785980098E-2</v>
      </c>
      <c r="K199" s="3">
        <v>1.6201637785980098E-2</v>
      </c>
      <c r="L199" s="3">
        <v>1.6201637785980098E-2</v>
      </c>
      <c r="M199" s="3">
        <v>1.6201637785980098E-2</v>
      </c>
      <c r="N199" s="3">
        <v>1.6201637785980098E-2</v>
      </c>
      <c r="O199" s="3">
        <v>1.6201637785980098E-2</v>
      </c>
      <c r="P199" s="3">
        <v>1.6201637785980098E-2</v>
      </c>
    </row>
    <row r="200" spans="1:16" x14ac:dyDescent="0.3">
      <c r="A200" s="3" t="str">
        <f t="shared" ref="A200:A263" si="3">RIGHT(E200,3)</f>
        <v>NGA</v>
      </c>
      <c r="C200" s="3" t="s">
        <v>850</v>
      </c>
      <c r="D200" s="3" t="s">
        <v>890</v>
      </c>
      <c r="E200" s="3" t="s">
        <v>897</v>
      </c>
      <c r="F200" s="3" t="s">
        <v>1</v>
      </c>
      <c r="I200" s="3">
        <v>2.9992123125205101E-4</v>
      </c>
      <c r="K200" s="3">
        <v>2.9992123125205101E-4</v>
      </c>
      <c r="L200" s="3">
        <v>2.9992123125205101E-4</v>
      </c>
    </row>
    <row r="201" spans="1:16" x14ac:dyDescent="0.3">
      <c r="A201" s="3" t="str">
        <f t="shared" si="3"/>
        <v>NGA</v>
      </c>
      <c r="C201" s="3" t="s">
        <v>850</v>
      </c>
      <c r="D201" s="3" t="s">
        <v>890</v>
      </c>
      <c r="E201" s="3" t="s">
        <v>898</v>
      </c>
      <c r="F201" s="3" t="s">
        <v>4</v>
      </c>
      <c r="I201" s="3">
        <v>8.0807513642833304E-4</v>
      </c>
      <c r="J201" s="3">
        <v>8.0807513642833304E-4</v>
      </c>
    </row>
    <row r="202" spans="1:16" x14ac:dyDescent="0.3">
      <c r="A202" s="3" t="str">
        <f t="shared" si="3"/>
        <v>NGA</v>
      </c>
      <c r="C202" s="3" t="s">
        <v>850</v>
      </c>
      <c r="D202" s="3" t="s">
        <v>890</v>
      </c>
      <c r="E202" s="3" t="s">
        <v>898</v>
      </c>
      <c r="F202" s="3" t="s">
        <v>8</v>
      </c>
      <c r="I202" s="3">
        <v>5.1966604462007305E-4</v>
      </c>
    </row>
    <row r="203" spans="1:16" x14ac:dyDescent="0.3">
      <c r="A203" s="3" t="str">
        <f t="shared" si="3"/>
        <v>NGA</v>
      </c>
      <c r="C203" s="3" t="s">
        <v>850</v>
      </c>
      <c r="D203" s="3" t="s">
        <v>890</v>
      </c>
      <c r="E203" s="3" t="s">
        <v>899</v>
      </c>
      <c r="F203" s="3" t="s">
        <v>0</v>
      </c>
      <c r="G203" s="3">
        <v>8.2692164949875E-3</v>
      </c>
      <c r="I203" s="3">
        <v>8.2692164949875E-3</v>
      </c>
    </row>
    <row r="204" spans="1:16" x14ac:dyDescent="0.3">
      <c r="A204" s="3" t="str">
        <f t="shared" si="3"/>
        <v>NGA</v>
      </c>
      <c r="C204" s="3" t="s">
        <v>850</v>
      </c>
      <c r="D204" s="3" t="s">
        <v>890</v>
      </c>
      <c r="E204" s="3" t="s">
        <v>899</v>
      </c>
      <c r="F204" s="3" t="s">
        <v>8</v>
      </c>
      <c r="I204" s="3">
        <v>4.6168584888201403E-3</v>
      </c>
    </row>
    <row r="205" spans="1:16" x14ac:dyDescent="0.3">
      <c r="A205" s="3" t="str">
        <f t="shared" si="3"/>
        <v>RFL</v>
      </c>
      <c r="C205" s="3" t="s">
        <v>850</v>
      </c>
      <c r="D205" s="3" t="s">
        <v>890</v>
      </c>
      <c r="E205" s="3" t="s">
        <v>900</v>
      </c>
      <c r="F205" s="3" t="s">
        <v>8</v>
      </c>
      <c r="I205" s="3">
        <v>4.7390815955853302E-3</v>
      </c>
    </row>
    <row r="206" spans="1:16" x14ac:dyDescent="0.3">
      <c r="A206" s="3" t="str">
        <f t="shared" si="3"/>
        <v>NGA</v>
      </c>
      <c r="C206" s="3" t="s">
        <v>850</v>
      </c>
      <c r="D206" s="3" t="s">
        <v>890</v>
      </c>
      <c r="E206" s="3" t="s">
        <v>1202</v>
      </c>
      <c r="F206" s="3" t="s">
        <v>3</v>
      </c>
      <c r="I206" s="3">
        <v>7.2294448207730396E-3</v>
      </c>
    </row>
    <row r="207" spans="1:16" x14ac:dyDescent="0.3">
      <c r="A207" s="3" t="str">
        <f t="shared" si="3"/>
        <v>NGA</v>
      </c>
      <c r="C207" s="3" t="s">
        <v>850</v>
      </c>
      <c r="D207" s="3" t="s">
        <v>890</v>
      </c>
      <c r="E207" s="3" t="s">
        <v>1202</v>
      </c>
      <c r="F207" s="3" t="s">
        <v>4</v>
      </c>
      <c r="I207" s="3">
        <v>0.434849247322253</v>
      </c>
    </row>
    <row r="208" spans="1:16" x14ac:dyDescent="0.3">
      <c r="A208" s="3" t="str">
        <f t="shared" si="3"/>
        <v>NGA</v>
      </c>
      <c r="C208" s="3" t="s">
        <v>850</v>
      </c>
      <c r="D208" s="3" t="s">
        <v>890</v>
      </c>
      <c r="E208" s="3" t="s">
        <v>1202</v>
      </c>
      <c r="F208" s="3" t="s">
        <v>6</v>
      </c>
      <c r="I208" s="3">
        <v>4.68497294987478E-2</v>
      </c>
    </row>
    <row r="209" spans="1:16" x14ac:dyDescent="0.3">
      <c r="A209" s="3" t="str">
        <f t="shared" si="3"/>
        <v>NGA</v>
      </c>
      <c r="C209" s="3" t="s">
        <v>850</v>
      </c>
      <c r="D209" s="3" t="s">
        <v>890</v>
      </c>
      <c r="E209" s="3" t="s">
        <v>1202</v>
      </c>
      <c r="F209" s="3" t="s">
        <v>7</v>
      </c>
      <c r="I209" s="3">
        <v>1.0245290226721099E-2</v>
      </c>
    </row>
    <row r="210" spans="1:16" x14ac:dyDescent="0.3">
      <c r="A210" s="3" t="str">
        <f t="shared" si="3"/>
        <v>NGA</v>
      </c>
      <c r="C210" s="3" t="s">
        <v>850</v>
      </c>
      <c r="D210" s="3" t="s">
        <v>890</v>
      </c>
      <c r="E210" s="3" t="s">
        <v>1203</v>
      </c>
      <c r="F210" s="3" t="s">
        <v>0</v>
      </c>
      <c r="M210" s="3">
        <v>1.0750911277922901</v>
      </c>
      <c r="N210" s="3">
        <v>1.1643158654477781</v>
      </c>
      <c r="O210" s="3">
        <v>1.7309663911895909</v>
      </c>
      <c r="P210" s="3">
        <v>1.8523056929126909</v>
      </c>
    </row>
    <row r="211" spans="1:16" x14ac:dyDescent="0.3">
      <c r="A211" s="3" t="str">
        <f t="shared" si="3"/>
        <v>NGA</v>
      </c>
      <c r="C211" s="3" t="s">
        <v>850</v>
      </c>
      <c r="D211" s="3" t="s">
        <v>890</v>
      </c>
      <c r="E211" s="3" t="s">
        <v>1203</v>
      </c>
      <c r="F211" s="3" t="s">
        <v>1</v>
      </c>
      <c r="M211" s="3">
        <v>9.5674677706387303</v>
      </c>
      <c r="N211" s="3">
        <v>11.974064302996101</v>
      </c>
      <c r="O211" s="3">
        <v>17.879649592037023</v>
      </c>
      <c r="P211" s="3">
        <v>19.468144213451552</v>
      </c>
    </row>
    <row r="212" spans="1:16" x14ac:dyDescent="0.3">
      <c r="A212" s="3" t="str">
        <f t="shared" si="3"/>
        <v>NGA</v>
      </c>
      <c r="C212" s="3" t="s">
        <v>850</v>
      </c>
      <c r="D212" s="3" t="s">
        <v>890</v>
      </c>
      <c r="E212" s="3" t="s">
        <v>1203</v>
      </c>
      <c r="F212" s="3" t="s">
        <v>2</v>
      </c>
      <c r="M212" s="3">
        <v>12.913648723997101</v>
      </c>
      <c r="N212" s="3">
        <v>12.913648723997101</v>
      </c>
      <c r="O212" s="3">
        <v>19.054639405635431</v>
      </c>
      <c r="P212" s="3">
        <v>20.42115675278081</v>
      </c>
    </row>
    <row r="213" spans="1:16" x14ac:dyDescent="0.3">
      <c r="A213" s="3" t="str">
        <f t="shared" si="3"/>
        <v>NGA</v>
      </c>
      <c r="C213" s="3" t="s">
        <v>850</v>
      </c>
      <c r="D213" s="3" t="s">
        <v>890</v>
      </c>
      <c r="E213" s="3" t="s">
        <v>1203</v>
      </c>
      <c r="F213" s="3" t="s">
        <v>3</v>
      </c>
      <c r="M213" s="3">
        <v>2.9519316593610299</v>
      </c>
      <c r="N213" s="3">
        <v>3.1969204989808788</v>
      </c>
      <c r="O213" s="3">
        <v>4.7528012829342892</v>
      </c>
      <c r="P213" s="3">
        <v>5.0859686926744594</v>
      </c>
    </row>
    <row r="214" spans="1:16" x14ac:dyDescent="0.3">
      <c r="A214" s="3" t="str">
        <f t="shared" si="3"/>
        <v>NGA</v>
      </c>
      <c r="C214" s="3" t="s">
        <v>850</v>
      </c>
      <c r="D214" s="3" t="s">
        <v>890</v>
      </c>
      <c r="E214" s="3" t="s">
        <v>1203</v>
      </c>
      <c r="F214" s="3" t="s">
        <v>4</v>
      </c>
      <c r="M214" s="3">
        <v>1.5496643467895199</v>
      </c>
      <c r="N214" s="3">
        <v>1.5496643467895199</v>
      </c>
      <c r="O214" s="3">
        <v>1.5496643467895199</v>
      </c>
      <c r="P214" s="3">
        <v>1.910894033714893</v>
      </c>
    </row>
    <row r="215" spans="1:16" x14ac:dyDescent="0.3">
      <c r="A215" s="3" t="str">
        <f t="shared" si="3"/>
        <v>NGA</v>
      </c>
      <c r="C215" s="3" t="s">
        <v>850</v>
      </c>
      <c r="D215" s="3" t="s">
        <v>890</v>
      </c>
      <c r="E215" s="3" t="s">
        <v>1203</v>
      </c>
      <c r="F215" s="3" t="s">
        <v>5</v>
      </c>
      <c r="M215" s="3">
        <v>2.2998307169032901</v>
      </c>
      <c r="N215" s="3">
        <v>2.2998307169032901</v>
      </c>
      <c r="O215" s="3">
        <v>3.1050486761975273</v>
      </c>
      <c r="P215" s="3">
        <v>3.7175796987860386</v>
      </c>
    </row>
    <row r="216" spans="1:16" x14ac:dyDescent="0.3">
      <c r="A216" s="3" t="str">
        <f t="shared" si="3"/>
        <v>NGA</v>
      </c>
      <c r="C216" s="3" t="s">
        <v>850</v>
      </c>
      <c r="D216" s="3" t="s">
        <v>890</v>
      </c>
      <c r="E216" s="3" t="s">
        <v>1203</v>
      </c>
      <c r="F216" s="3" t="s">
        <v>6</v>
      </c>
      <c r="M216" s="3">
        <v>8.6622721950786694</v>
      </c>
      <c r="N216" s="3">
        <v>8.6622721950786694</v>
      </c>
      <c r="O216" s="3">
        <v>11.65295364702231</v>
      </c>
      <c r="P216" s="3">
        <v>13.28757470297243</v>
      </c>
    </row>
    <row r="217" spans="1:16" x14ac:dyDescent="0.3">
      <c r="A217" s="3" t="str">
        <f t="shared" si="3"/>
        <v>NGA</v>
      </c>
      <c r="C217" s="3" t="s">
        <v>850</v>
      </c>
      <c r="D217" s="3" t="s">
        <v>890</v>
      </c>
      <c r="E217" s="3" t="s">
        <v>1203</v>
      </c>
      <c r="F217" s="3" t="s">
        <v>7</v>
      </c>
      <c r="M217" s="3">
        <v>1.1644683065338699</v>
      </c>
      <c r="N217" s="3">
        <v>1.2611106994182542</v>
      </c>
      <c r="O217" s="3">
        <v>1.8748694413977391</v>
      </c>
      <c r="P217" s="3">
        <v>2.0062962270355862</v>
      </c>
    </row>
    <row r="218" spans="1:16" x14ac:dyDescent="0.3">
      <c r="A218" s="3" t="str">
        <f t="shared" si="3"/>
        <v>NGA</v>
      </c>
      <c r="C218" s="3" t="s">
        <v>850</v>
      </c>
      <c r="D218" s="3" t="s">
        <v>890</v>
      </c>
      <c r="E218" s="3" t="s">
        <v>1203</v>
      </c>
      <c r="F218" s="3" t="s">
        <v>8</v>
      </c>
      <c r="M218" s="3">
        <v>0.87631449620827195</v>
      </c>
      <c r="N218" s="3">
        <v>1.8898633660635817</v>
      </c>
      <c r="O218" s="3">
        <v>2.7598522043087907</v>
      </c>
      <c r="P218" s="3">
        <v>2.9314494029590339</v>
      </c>
    </row>
    <row r="219" spans="1:16" x14ac:dyDescent="0.3">
      <c r="A219" s="3" t="str">
        <f t="shared" si="3"/>
        <v>COA</v>
      </c>
      <c r="C219" s="3" t="s">
        <v>850</v>
      </c>
      <c r="D219" s="3" t="s">
        <v>890</v>
      </c>
      <c r="E219" s="3" t="s">
        <v>1204</v>
      </c>
      <c r="F219" s="3" t="s">
        <v>0</v>
      </c>
      <c r="H219" s="3">
        <v>7.7196767043973394E-2</v>
      </c>
      <c r="J219" s="3">
        <v>7.8752476555942294E-2</v>
      </c>
      <c r="K219" s="3">
        <v>7.9955046520000905E-2</v>
      </c>
      <c r="L219" s="3">
        <v>8.5348710670833494E-2</v>
      </c>
    </row>
    <row r="220" spans="1:16" x14ac:dyDescent="0.3">
      <c r="A220" s="3" t="str">
        <f t="shared" si="3"/>
        <v>COA</v>
      </c>
      <c r="C220" s="3" t="s">
        <v>850</v>
      </c>
      <c r="D220" s="3" t="s">
        <v>890</v>
      </c>
      <c r="E220" s="3" t="s">
        <v>1204</v>
      </c>
      <c r="F220" s="3" t="s">
        <v>1</v>
      </c>
      <c r="H220" s="3">
        <v>0.202385700004861</v>
      </c>
      <c r="I220" s="3">
        <v>0.15280473112662199</v>
      </c>
      <c r="J220" s="3">
        <v>0.51578656919596699</v>
      </c>
      <c r="K220" s="3">
        <v>0.543091428299039</v>
      </c>
      <c r="L220" s="3">
        <v>0.66571109375732396</v>
      </c>
      <c r="O220" s="3">
        <v>0.56544693815041003</v>
      </c>
      <c r="P220" s="3">
        <v>0.66571109375732396</v>
      </c>
    </row>
    <row r="221" spans="1:16" x14ac:dyDescent="0.3">
      <c r="A221" s="3" t="str">
        <f t="shared" si="3"/>
        <v>COA</v>
      </c>
      <c r="C221" s="3" t="s">
        <v>850</v>
      </c>
      <c r="D221" s="3" t="s">
        <v>890</v>
      </c>
      <c r="E221" s="3" t="s">
        <v>1204</v>
      </c>
      <c r="F221" s="3" t="s">
        <v>2</v>
      </c>
      <c r="H221" s="3">
        <v>0.91145972823682797</v>
      </c>
      <c r="I221" s="3">
        <v>7.0376211393841495E-2</v>
      </c>
      <c r="J221" s="3">
        <v>0.91145972823682797</v>
      </c>
      <c r="K221" s="3">
        <v>0.91145972823682797</v>
      </c>
      <c r="L221" s="3">
        <v>0.91145972823682797</v>
      </c>
      <c r="M221" s="3">
        <v>0.59022610055251301</v>
      </c>
      <c r="N221" s="3">
        <v>0.738414629008877</v>
      </c>
      <c r="O221" s="3">
        <v>0.91145972823682797</v>
      </c>
      <c r="P221" s="3">
        <v>0.91145972823682797</v>
      </c>
    </row>
    <row r="222" spans="1:16" x14ac:dyDescent="0.3">
      <c r="A222" s="3" t="str">
        <f t="shared" si="3"/>
        <v>COA</v>
      </c>
      <c r="C222" s="3" t="s">
        <v>850</v>
      </c>
      <c r="D222" s="3" t="s">
        <v>890</v>
      </c>
      <c r="E222" s="3" t="s">
        <v>1204</v>
      </c>
      <c r="F222" s="3" t="s">
        <v>3</v>
      </c>
      <c r="H222" s="3">
        <v>0.155507270149954</v>
      </c>
      <c r="J222" s="3">
        <v>0.155507270149954</v>
      </c>
      <c r="K222" s="3">
        <v>0.155507270149954</v>
      </c>
      <c r="L222" s="3">
        <v>0.155507270149954</v>
      </c>
    </row>
    <row r="223" spans="1:16" x14ac:dyDescent="0.3">
      <c r="A223" s="3" t="str">
        <f t="shared" si="3"/>
        <v>COA</v>
      </c>
      <c r="C223" s="3" t="s">
        <v>850</v>
      </c>
      <c r="D223" s="3" t="s">
        <v>890</v>
      </c>
      <c r="E223" s="3" t="s">
        <v>1204</v>
      </c>
      <c r="F223" s="3" t="s">
        <v>4</v>
      </c>
      <c r="H223" s="3">
        <v>0.67142373516648601</v>
      </c>
      <c r="J223" s="3">
        <v>0.49349389845991198</v>
      </c>
      <c r="K223" s="3">
        <v>0.75241420928754399</v>
      </c>
      <c r="L223" s="3">
        <v>0.91694521300074705</v>
      </c>
      <c r="M223" s="3">
        <v>0.79267885445009101</v>
      </c>
      <c r="N223" s="3">
        <v>0.97918435501521095</v>
      </c>
      <c r="O223" s="3">
        <v>2.1636477978444901</v>
      </c>
      <c r="P223" s="3">
        <v>2.1636477978444901</v>
      </c>
    </row>
    <row r="224" spans="1:16" x14ac:dyDescent="0.3">
      <c r="A224" s="3" t="str">
        <f t="shared" si="3"/>
        <v>COA</v>
      </c>
      <c r="C224" s="3" t="s">
        <v>850</v>
      </c>
      <c r="D224" s="3" t="s">
        <v>890</v>
      </c>
      <c r="E224" s="3" t="s">
        <v>1204</v>
      </c>
      <c r="F224" s="3" t="s">
        <v>5</v>
      </c>
      <c r="H224" s="3">
        <v>0.24964097943753399</v>
      </c>
      <c r="J224" s="3">
        <v>0.16718151112226701</v>
      </c>
      <c r="K224" s="3">
        <v>0.22775199460151499</v>
      </c>
      <c r="L224" s="3">
        <v>0.25640223329311801</v>
      </c>
      <c r="M224" s="3">
        <v>9.5333044645611098E-2</v>
      </c>
      <c r="N224" s="3">
        <v>0.13594709619960901</v>
      </c>
      <c r="O224" s="3">
        <v>0.32487799705773701</v>
      </c>
      <c r="P224" s="3">
        <v>0.32487799705773701</v>
      </c>
    </row>
    <row r="225" spans="1:16" x14ac:dyDescent="0.3">
      <c r="A225" s="3" t="str">
        <f t="shared" si="3"/>
        <v>COA</v>
      </c>
      <c r="C225" s="3" t="s">
        <v>850</v>
      </c>
      <c r="D225" s="3" t="s">
        <v>890</v>
      </c>
      <c r="E225" s="3" t="s">
        <v>1204</v>
      </c>
      <c r="F225" s="3" t="s">
        <v>6</v>
      </c>
      <c r="H225" s="3">
        <v>0.62096122754644101</v>
      </c>
      <c r="J225" s="3">
        <v>0.50469552538301299</v>
      </c>
      <c r="K225" s="3">
        <v>0.52287541265948401</v>
      </c>
      <c r="L225" s="3">
        <v>0.60441429121094403</v>
      </c>
      <c r="M225" s="3">
        <v>0.41150536361614298</v>
      </c>
      <c r="N225" s="3">
        <v>0.766038458960276</v>
      </c>
      <c r="O225" s="3">
        <v>1.24383623593936</v>
      </c>
      <c r="P225" s="3">
        <v>1.24383623593936</v>
      </c>
    </row>
    <row r="226" spans="1:16" x14ac:dyDescent="0.3">
      <c r="A226" s="3" t="str">
        <f t="shared" si="3"/>
        <v>COA</v>
      </c>
      <c r="C226" s="3" t="s">
        <v>850</v>
      </c>
      <c r="D226" s="3" t="s">
        <v>890</v>
      </c>
      <c r="E226" s="3" t="s">
        <v>1204</v>
      </c>
      <c r="F226" s="3" t="s">
        <v>7</v>
      </c>
      <c r="H226" s="3">
        <v>2.5697406698252899E-2</v>
      </c>
      <c r="J226" s="3">
        <v>8.5299525444660101E-2</v>
      </c>
      <c r="K226" s="3">
        <v>8.6602070478597207E-2</v>
      </c>
      <c r="L226" s="3">
        <v>9.2444134278966097E-2</v>
      </c>
    </row>
    <row r="227" spans="1:16" x14ac:dyDescent="0.3">
      <c r="A227" s="3" t="str">
        <f t="shared" si="3"/>
        <v>COA</v>
      </c>
      <c r="C227" s="3" t="s">
        <v>850</v>
      </c>
      <c r="D227" s="3" t="s">
        <v>890</v>
      </c>
      <c r="E227" s="3" t="s">
        <v>1204</v>
      </c>
      <c r="F227" s="3" t="s">
        <v>8</v>
      </c>
      <c r="J227" s="3">
        <v>3.3443243193799502E-2</v>
      </c>
      <c r="K227" s="3">
        <v>3.7187993161097901E-2</v>
      </c>
      <c r="L227" s="3">
        <v>5.3983626060143897E-2</v>
      </c>
      <c r="O227" s="3">
        <v>1.3610576525066E-2</v>
      </c>
      <c r="P227" s="3">
        <v>3.12846453408323E-2</v>
      </c>
    </row>
    <row r="228" spans="1:16" x14ac:dyDescent="0.3">
      <c r="A228" s="3" t="str">
        <f t="shared" si="3"/>
        <v>RFL</v>
      </c>
      <c r="C228" s="3" t="s">
        <v>850</v>
      </c>
      <c r="D228" s="3" t="s">
        <v>890</v>
      </c>
      <c r="E228" s="3" t="s">
        <v>1205</v>
      </c>
      <c r="F228" s="3" t="s">
        <v>0</v>
      </c>
      <c r="I228" s="3">
        <v>1.54594601425238E-2</v>
      </c>
    </row>
    <row r="229" spans="1:16" x14ac:dyDescent="0.3">
      <c r="A229" s="3" t="str">
        <f t="shared" si="3"/>
        <v>RFL</v>
      </c>
      <c r="C229" s="3" t="s">
        <v>850</v>
      </c>
      <c r="D229" s="3" t="s">
        <v>890</v>
      </c>
      <c r="E229" s="3" t="s">
        <v>1205</v>
      </c>
      <c r="F229" s="3" t="s">
        <v>8</v>
      </c>
      <c r="I229" s="3">
        <v>1.7489155900475201E-2</v>
      </c>
    </row>
    <row r="230" spans="1:16" x14ac:dyDescent="0.3">
      <c r="A230" s="3" t="str">
        <f t="shared" si="3"/>
        <v>NGA</v>
      </c>
      <c r="C230" s="3" t="s">
        <v>850</v>
      </c>
      <c r="D230" s="3" t="s">
        <v>890</v>
      </c>
      <c r="E230" s="3" t="s">
        <v>901</v>
      </c>
      <c r="F230" s="3" t="s">
        <v>0</v>
      </c>
      <c r="M230" s="3">
        <v>1.24747246661546E-2</v>
      </c>
      <c r="N230" s="3">
        <v>1.24747246661546E-2</v>
      </c>
      <c r="O230" s="3">
        <v>1.24747246661546E-2</v>
      </c>
      <c r="P230" s="3">
        <v>1.24747246661546E-2</v>
      </c>
    </row>
    <row r="231" spans="1:16" x14ac:dyDescent="0.3">
      <c r="A231" s="3" t="str">
        <f t="shared" si="3"/>
        <v>NGA</v>
      </c>
      <c r="C231" s="3" t="s">
        <v>850</v>
      </c>
      <c r="D231" s="3" t="s">
        <v>890</v>
      </c>
      <c r="E231" s="3" t="s">
        <v>901</v>
      </c>
      <c r="F231" s="3" t="s">
        <v>1</v>
      </c>
      <c r="M231" s="3">
        <v>1.24747246661546E-2</v>
      </c>
      <c r="N231" s="3">
        <v>1.3699447924503445</v>
      </c>
      <c r="O231" s="3">
        <v>1.8772065995840537</v>
      </c>
      <c r="P231" s="3">
        <v>1.918707773125004</v>
      </c>
    </row>
    <row r="232" spans="1:16" x14ac:dyDescent="0.3">
      <c r="A232" s="3" t="str">
        <f t="shared" si="3"/>
        <v>NGA</v>
      </c>
      <c r="C232" s="3" t="s">
        <v>850</v>
      </c>
      <c r="D232" s="3" t="s">
        <v>890</v>
      </c>
      <c r="E232" s="3" t="s">
        <v>901</v>
      </c>
      <c r="F232" s="3" t="s">
        <v>2</v>
      </c>
      <c r="M232" s="3">
        <v>1.24747246661546E-2</v>
      </c>
      <c r="N232" s="3">
        <v>3.7673466534875648</v>
      </c>
      <c r="O232" s="3">
        <v>5.6008430655882453</v>
      </c>
      <c r="P232" s="3">
        <v>5.9934574976755561</v>
      </c>
    </row>
    <row r="233" spans="1:16" x14ac:dyDescent="0.3">
      <c r="A233" s="3" t="str">
        <f t="shared" si="3"/>
        <v>NGA</v>
      </c>
      <c r="C233" s="3" t="s">
        <v>850</v>
      </c>
      <c r="D233" s="3" t="s">
        <v>890</v>
      </c>
      <c r="E233" s="3" t="s">
        <v>901</v>
      </c>
      <c r="F233" s="3" t="s">
        <v>3</v>
      </c>
      <c r="M233" s="3">
        <v>1.24747246661546E-2</v>
      </c>
      <c r="N233" s="3">
        <v>2.5158447578204148</v>
      </c>
      <c r="O233" s="3">
        <v>3.740258851117555</v>
      </c>
      <c r="P233" s="3">
        <v>4.0024478800717027</v>
      </c>
    </row>
    <row r="234" spans="1:16" x14ac:dyDescent="0.3">
      <c r="A234" s="3" t="str">
        <f t="shared" si="3"/>
        <v>NGA</v>
      </c>
      <c r="C234" s="3" t="s">
        <v>850</v>
      </c>
      <c r="D234" s="3" t="s">
        <v>890</v>
      </c>
      <c r="E234" s="3" t="s">
        <v>901</v>
      </c>
      <c r="F234" s="3" t="s">
        <v>4</v>
      </c>
      <c r="M234" s="3">
        <v>1.24747246661546E-2</v>
      </c>
      <c r="N234" s="3">
        <v>0.63295337170327759</v>
      </c>
      <c r="O234" s="3">
        <v>1.2835837124989866</v>
      </c>
      <c r="P234" s="3">
        <v>1.2835837124989866</v>
      </c>
    </row>
    <row r="235" spans="1:16" x14ac:dyDescent="0.3">
      <c r="A235" s="3" t="str">
        <f t="shared" si="3"/>
        <v>NGA</v>
      </c>
      <c r="C235" s="3" t="s">
        <v>850</v>
      </c>
      <c r="D235" s="3" t="s">
        <v>890</v>
      </c>
      <c r="E235" s="3" t="s">
        <v>901</v>
      </c>
      <c r="F235" s="3" t="s">
        <v>5</v>
      </c>
      <c r="M235" s="3">
        <v>1.24747246661546E-2</v>
      </c>
      <c r="N235" s="3">
        <v>0.88761481607076365</v>
      </c>
      <c r="O235" s="3">
        <v>1.4715482086616918</v>
      </c>
      <c r="P235" s="3">
        <v>1.4715482086616918</v>
      </c>
    </row>
    <row r="236" spans="1:16" x14ac:dyDescent="0.3">
      <c r="A236" s="3" t="str">
        <f t="shared" si="3"/>
        <v>NGA</v>
      </c>
      <c r="C236" s="3" t="s">
        <v>850</v>
      </c>
      <c r="D236" s="3" t="s">
        <v>890</v>
      </c>
      <c r="E236" s="3" t="s">
        <v>901</v>
      </c>
      <c r="F236" s="3" t="s">
        <v>6</v>
      </c>
      <c r="M236" s="3">
        <v>1.24747246661546E-2</v>
      </c>
      <c r="N236" s="3">
        <v>3.0835759657339348</v>
      </c>
      <c r="O236" s="3">
        <v>5.1121619496336344</v>
      </c>
      <c r="P236" s="3">
        <v>5.2660263867680843</v>
      </c>
    </row>
    <row r="237" spans="1:16" x14ac:dyDescent="0.3">
      <c r="A237" s="3" t="str">
        <f t="shared" si="3"/>
        <v>NGA</v>
      </c>
      <c r="C237" s="3" t="s">
        <v>850</v>
      </c>
      <c r="D237" s="3" t="s">
        <v>890</v>
      </c>
      <c r="E237" s="3" t="s">
        <v>901</v>
      </c>
      <c r="F237" s="3" t="s">
        <v>7</v>
      </c>
      <c r="M237" s="3">
        <v>1.24747246661546E-2</v>
      </c>
      <c r="N237" s="3">
        <v>0.1992614534622866</v>
      </c>
      <c r="O237" s="3">
        <v>0.29623823675215372</v>
      </c>
      <c r="P237" s="3">
        <v>0.31700429031283983</v>
      </c>
    </row>
    <row r="238" spans="1:16" x14ac:dyDescent="0.3">
      <c r="A238" s="3" t="str">
        <f t="shared" si="3"/>
        <v>NGA</v>
      </c>
      <c r="C238" s="3" t="s">
        <v>850</v>
      </c>
      <c r="D238" s="3" t="s">
        <v>890</v>
      </c>
      <c r="E238" s="3" t="s">
        <v>901</v>
      </c>
      <c r="F238" s="3" t="s">
        <v>8</v>
      </c>
      <c r="M238" s="3">
        <v>1.24747246661546E-2</v>
      </c>
      <c r="N238" s="3">
        <v>0.1249460070978386</v>
      </c>
      <c r="O238" s="3">
        <v>0.18575486722970799</v>
      </c>
      <c r="P238" s="3">
        <v>0.19877612864532118</v>
      </c>
    </row>
    <row r="239" spans="1:16" x14ac:dyDescent="0.3">
      <c r="A239" s="3" t="str">
        <f t="shared" si="3"/>
        <v>AGR</v>
      </c>
      <c r="C239" s="3" t="s">
        <v>850</v>
      </c>
      <c r="D239" s="3" t="s">
        <v>902</v>
      </c>
      <c r="E239" s="3" t="s">
        <v>834</v>
      </c>
      <c r="F239" s="3" t="s">
        <v>1</v>
      </c>
      <c r="G239" s="3">
        <v>2.6033906489263701E-2</v>
      </c>
    </row>
    <row r="240" spans="1:16" x14ac:dyDescent="0.3">
      <c r="A240" s="3" t="str">
        <f t="shared" si="3"/>
        <v>AGR</v>
      </c>
      <c r="C240" s="3" t="s">
        <v>850</v>
      </c>
      <c r="D240" s="3" t="s">
        <v>902</v>
      </c>
      <c r="E240" s="3" t="s">
        <v>834</v>
      </c>
      <c r="F240" s="3" t="s">
        <v>2</v>
      </c>
      <c r="G240" s="3">
        <v>0.42377981798730902</v>
      </c>
    </row>
    <row r="241" spans="1:16" x14ac:dyDescent="0.3">
      <c r="A241" s="3" t="str">
        <f t="shared" si="3"/>
        <v>AGR</v>
      </c>
      <c r="C241" s="3" t="s">
        <v>850</v>
      </c>
      <c r="D241" s="3" t="s">
        <v>902</v>
      </c>
      <c r="E241" s="3" t="s">
        <v>834</v>
      </c>
      <c r="F241" s="3" t="s">
        <v>3</v>
      </c>
      <c r="G241" s="3">
        <v>0.42076695670646702</v>
      </c>
    </row>
    <row r="242" spans="1:16" x14ac:dyDescent="0.3">
      <c r="A242" s="3" t="str">
        <f t="shared" si="3"/>
        <v>AGR</v>
      </c>
      <c r="C242" s="3" t="s">
        <v>850</v>
      </c>
      <c r="D242" s="3" t="s">
        <v>902</v>
      </c>
      <c r="E242" s="3" t="s">
        <v>834</v>
      </c>
      <c r="F242" s="3" t="s">
        <v>4</v>
      </c>
      <c r="G242" s="3">
        <v>2.4015314081464699E-2</v>
      </c>
    </row>
    <row r="243" spans="1:16" x14ac:dyDescent="0.3">
      <c r="A243" s="3" t="str">
        <f t="shared" si="3"/>
        <v>AGR</v>
      </c>
      <c r="C243" s="3" t="s">
        <v>850</v>
      </c>
      <c r="D243" s="3" t="s">
        <v>902</v>
      </c>
      <c r="E243" s="3" t="s">
        <v>834</v>
      </c>
      <c r="F243" s="3" t="s">
        <v>5</v>
      </c>
      <c r="G243" s="3">
        <v>0.2012101074423</v>
      </c>
    </row>
    <row r="244" spans="1:16" x14ac:dyDescent="0.3">
      <c r="A244" s="3" t="str">
        <f t="shared" si="3"/>
        <v>AGR</v>
      </c>
      <c r="C244" s="3" t="s">
        <v>850</v>
      </c>
      <c r="D244" s="3" t="s">
        <v>902</v>
      </c>
      <c r="E244" s="3" t="s">
        <v>834</v>
      </c>
      <c r="F244" s="3" t="s">
        <v>6</v>
      </c>
      <c r="G244" s="3">
        <v>0.44016851418547098</v>
      </c>
    </row>
    <row r="245" spans="1:16" x14ac:dyDescent="0.3">
      <c r="A245" s="3" t="str">
        <f t="shared" si="3"/>
        <v>AGR</v>
      </c>
      <c r="C245" s="3" t="s">
        <v>850</v>
      </c>
      <c r="D245" s="3" t="s">
        <v>902</v>
      </c>
      <c r="E245" s="3" t="s">
        <v>834</v>
      </c>
      <c r="F245" s="3" t="s">
        <v>7</v>
      </c>
      <c r="G245" s="3">
        <v>1.76328380444742E-2</v>
      </c>
    </row>
    <row r="246" spans="1:16" x14ac:dyDescent="0.3">
      <c r="A246" s="3" t="str">
        <f t="shared" si="3"/>
        <v>AGR</v>
      </c>
      <c r="C246" s="3" t="s">
        <v>850</v>
      </c>
      <c r="D246" s="3" t="s">
        <v>902</v>
      </c>
      <c r="E246" s="3" t="s">
        <v>834</v>
      </c>
      <c r="F246" s="3" t="s">
        <v>8</v>
      </c>
      <c r="G246" s="3">
        <v>0.12765023570035799</v>
      </c>
    </row>
    <row r="247" spans="1:16" x14ac:dyDescent="0.3">
      <c r="A247" s="3" t="str">
        <f t="shared" si="3"/>
        <v>COA</v>
      </c>
      <c r="C247" s="3" t="s">
        <v>850</v>
      </c>
      <c r="D247" s="3" t="s">
        <v>902</v>
      </c>
      <c r="E247" s="3" t="s">
        <v>843</v>
      </c>
      <c r="F247" s="3" t="s">
        <v>2</v>
      </c>
      <c r="G247" s="3">
        <v>3.2658789303764002</v>
      </c>
      <c r="H247" s="3">
        <v>3.2658789303764002</v>
      </c>
      <c r="I247" s="3">
        <v>3.2658789303764002</v>
      </c>
      <c r="J247" s="3">
        <v>3.2658789303764002</v>
      </c>
      <c r="K247" s="3">
        <v>3.2658789303764002</v>
      </c>
      <c r="L247" s="3">
        <v>3.2658789303764002</v>
      </c>
      <c r="M247" s="3">
        <v>3.2658789303764002</v>
      </c>
      <c r="N247" s="3">
        <v>3.2658789303764002</v>
      </c>
      <c r="O247" s="3">
        <v>3.2658789303764002</v>
      </c>
      <c r="P247" s="3">
        <v>3.2658789303764002</v>
      </c>
    </row>
    <row r="248" spans="1:16" x14ac:dyDescent="0.3">
      <c r="A248" s="3" t="str">
        <f t="shared" si="3"/>
        <v>COA</v>
      </c>
      <c r="C248" s="3" t="s">
        <v>850</v>
      </c>
      <c r="D248" s="3" t="s">
        <v>902</v>
      </c>
      <c r="E248" s="3" t="s">
        <v>843</v>
      </c>
      <c r="F248" s="3" t="s">
        <v>3</v>
      </c>
      <c r="G248" s="3">
        <v>0.42267295326280502</v>
      </c>
      <c r="H248" s="3">
        <v>0.42267295326280502</v>
      </c>
      <c r="I248" s="3">
        <v>0.42267295326280502</v>
      </c>
      <c r="J248" s="3">
        <v>0.42267295326280502</v>
      </c>
      <c r="K248" s="3">
        <v>0.42267295326280502</v>
      </c>
      <c r="L248" s="3">
        <v>0.42267295326280502</v>
      </c>
      <c r="M248" s="3">
        <v>0.42267295326280502</v>
      </c>
      <c r="N248" s="3">
        <v>0.42267295326280502</v>
      </c>
      <c r="O248" s="3">
        <v>0.42267295326280502</v>
      </c>
      <c r="P248" s="3">
        <v>0.42267295326280502</v>
      </c>
    </row>
    <row r="249" spans="1:16" x14ac:dyDescent="0.3">
      <c r="A249" s="3" t="str">
        <f t="shared" si="3"/>
        <v>COA</v>
      </c>
      <c r="C249" s="3" t="s">
        <v>850</v>
      </c>
      <c r="D249" s="3" t="s">
        <v>902</v>
      </c>
      <c r="E249" s="3" t="s">
        <v>843</v>
      </c>
      <c r="F249" s="3" t="s">
        <v>4</v>
      </c>
      <c r="G249" s="3">
        <v>3.6258251111262698</v>
      </c>
      <c r="H249" s="3">
        <v>3.6258251111262698</v>
      </c>
      <c r="I249" s="3">
        <v>3.6258251111262698</v>
      </c>
      <c r="J249" s="3">
        <v>3.6258251111262698</v>
      </c>
      <c r="K249" s="3">
        <v>3.6258251111262698</v>
      </c>
      <c r="L249" s="3">
        <v>3.6258251111262698</v>
      </c>
      <c r="M249" s="3">
        <v>3.6258251111262698</v>
      </c>
      <c r="N249" s="3">
        <v>3.6258251111262698</v>
      </c>
      <c r="O249" s="3">
        <v>3.6258251111262698</v>
      </c>
      <c r="P249" s="3">
        <v>3.6258251111262698</v>
      </c>
    </row>
    <row r="250" spans="1:16" x14ac:dyDescent="0.3">
      <c r="A250" s="3" t="str">
        <f t="shared" si="3"/>
        <v>COA</v>
      </c>
      <c r="C250" s="3" t="s">
        <v>850</v>
      </c>
      <c r="D250" s="3" t="s">
        <v>902</v>
      </c>
      <c r="E250" s="3" t="s">
        <v>843</v>
      </c>
      <c r="F250" s="3" t="s">
        <v>7</v>
      </c>
      <c r="G250" s="3">
        <v>8.0282297994011403E-2</v>
      </c>
      <c r="H250" s="3">
        <v>8.0282297994011403E-2</v>
      </c>
      <c r="I250" s="3">
        <v>8.0282297994011403E-2</v>
      </c>
      <c r="J250" s="3">
        <v>8.0282297994011403E-2</v>
      </c>
      <c r="K250" s="3">
        <v>8.0282297994011403E-2</v>
      </c>
      <c r="L250" s="3">
        <v>8.0282297994011403E-2</v>
      </c>
      <c r="M250" s="3">
        <v>8.0282297994011403E-2</v>
      </c>
    </row>
    <row r="251" spans="1:16" x14ac:dyDescent="0.3">
      <c r="A251" s="3" t="str">
        <f t="shared" si="3"/>
        <v>COA</v>
      </c>
      <c r="C251" s="3" t="s">
        <v>850</v>
      </c>
      <c r="D251" s="3" t="s">
        <v>902</v>
      </c>
      <c r="E251" s="3" t="s">
        <v>843</v>
      </c>
      <c r="F251" s="3" t="s">
        <v>8</v>
      </c>
      <c r="G251" s="3">
        <v>0.72681163090192002</v>
      </c>
      <c r="H251" s="3">
        <v>0.72681163090192002</v>
      </c>
      <c r="I251" s="3">
        <v>0.72681163090192002</v>
      </c>
      <c r="J251" s="3">
        <v>0.72681163090192002</v>
      </c>
      <c r="K251" s="3">
        <v>0.72681163090192002</v>
      </c>
      <c r="L251" s="3">
        <v>0.72681163090192002</v>
      </c>
      <c r="M251" s="3">
        <v>0.72681163090192002</v>
      </c>
      <c r="N251" s="3">
        <v>0.72681163090192002</v>
      </c>
      <c r="O251" s="3">
        <v>0.72681163090192002</v>
      </c>
      <c r="P251" s="3">
        <v>0.72681163090191903</v>
      </c>
    </row>
    <row r="252" spans="1:16" x14ac:dyDescent="0.3">
      <c r="A252" s="3" t="str">
        <f t="shared" si="3"/>
        <v>DST</v>
      </c>
      <c r="C252" s="3" t="s">
        <v>850</v>
      </c>
      <c r="D252" s="3" t="s">
        <v>902</v>
      </c>
      <c r="E252" s="3" t="s">
        <v>813</v>
      </c>
      <c r="F252" s="3" t="s">
        <v>0</v>
      </c>
      <c r="G252" s="3">
        <v>3.9088440625745902E-2</v>
      </c>
    </row>
    <row r="253" spans="1:16" x14ac:dyDescent="0.3">
      <c r="A253" s="3" t="str">
        <f t="shared" si="3"/>
        <v>NGA</v>
      </c>
      <c r="C253" s="3" t="s">
        <v>850</v>
      </c>
      <c r="D253" s="3" t="s">
        <v>902</v>
      </c>
      <c r="E253" s="3" t="s">
        <v>839</v>
      </c>
      <c r="F253" s="3" t="s">
        <v>1</v>
      </c>
      <c r="G253" s="3">
        <v>2.1455111747789499E-2</v>
      </c>
      <c r="I253" s="3">
        <v>2.1455111747789499E-2</v>
      </c>
    </row>
    <row r="254" spans="1:16" x14ac:dyDescent="0.3">
      <c r="A254" s="3" t="str">
        <f t="shared" si="3"/>
        <v>NGA</v>
      </c>
      <c r="C254" s="3" t="s">
        <v>850</v>
      </c>
      <c r="D254" s="3" t="s">
        <v>902</v>
      </c>
      <c r="E254" s="3" t="s">
        <v>839</v>
      </c>
      <c r="F254" s="3" t="s">
        <v>4</v>
      </c>
      <c r="I254" s="3">
        <v>0.16703545096842601</v>
      </c>
    </row>
    <row r="255" spans="1:16" x14ac:dyDescent="0.3">
      <c r="A255" s="3" t="str">
        <f t="shared" si="3"/>
        <v>NGA</v>
      </c>
      <c r="C255" s="3" t="s">
        <v>850</v>
      </c>
      <c r="D255" s="3" t="s">
        <v>902</v>
      </c>
      <c r="E255" s="3" t="s">
        <v>839</v>
      </c>
      <c r="F255" s="3" t="s">
        <v>6</v>
      </c>
      <c r="G255" s="3">
        <v>0.25541616709744103</v>
      </c>
      <c r="H255" s="3">
        <v>0.34541863180715399</v>
      </c>
      <c r="I255" s="3">
        <v>0.34541863180715399</v>
      </c>
    </row>
    <row r="256" spans="1:16" x14ac:dyDescent="0.3">
      <c r="A256" s="3" t="str">
        <f t="shared" si="3"/>
        <v>NGA</v>
      </c>
      <c r="C256" s="3" t="s">
        <v>850</v>
      </c>
      <c r="D256" s="3" t="s">
        <v>902</v>
      </c>
      <c r="E256" s="3" t="s">
        <v>839</v>
      </c>
      <c r="F256" s="3" t="s">
        <v>7</v>
      </c>
      <c r="I256" s="3">
        <v>3.1778850631470901E-2</v>
      </c>
    </row>
    <row r="257" spans="1:16" x14ac:dyDescent="0.3">
      <c r="A257" s="3" t="str">
        <f t="shared" si="3"/>
        <v>NGA</v>
      </c>
      <c r="C257" s="3" t="s">
        <v>850</v>
      </c>
      <c r="D257" s="3" t="s">
        <v>902</v>
      </c>
      <c r="E257" s="3" t="s">
        <v>839</v>
      </c>
      <c r="F257" s="3" t="s">
        <v>8</v>
      </c>
      <c r="G257" s="3">
        <v>7.2127251460035305E-2</v>
      </c>
      <c r="I257" s="3">
        <v>7.2127251460035305E-2</v>
      </c>
    </row>
    <row r="258" spans="1:16" x14ac:dyDescent="0.3">
      <c r="A258" s="3" t="str">
        <f t="shared" si="3"/>
        <v>RFL</v>
      </c>
      <c r="C258" s="3" t="s">
        <v>850</v>
      </c>
      <c r="D258" s="3" t="s">
        <v>902</v>
      </c>
      <c r="E258" s="3" t="s">
        <v>831</v>
      </c>
      <c r="F258" s="3" t="s">
        <v>0</v>
      </c>
      <c r="G258" s="3">
        <v>3.1703220500943097E-2</v>
      </c>
      <c r="I258" s="3">
        <v>3.1703220500943097E-2</v>
      </c>
    </row>
    <row r="259" spans="1:16" x14ac:dyDescent="0.3">
      <c r="A259" s="3" t="str">
        <f t="shared" si="3"/>
        <v>RFL</v>
      </c>
      <c r="C259" s="3" t="s">
        <v>850</v>
      </c>
      <c r="D259" s="3" t="s">
        <v>902</v>
      </c>
      <c r="E259" s="3" t="s">
        <v>831</v>
      </c>
      <c r="F259" s="3" t="s">
        <v>8</v>
      </c>
      <c r="I259" s="3">
        <v>4.4646947766062896E-3</v>
      </c>
    </row>
    <row r="260" spans="1:16" x14ac:dyDescent="0.3">
      <c r="A260" s="3" t="str">
        <f t="shared" si="3"/>
        <v>LPG</v>
      </c>
      <c r="C260" s="3" t="s">
        <v>850</v>
      </c>
      <c r="D260" s="3" t="s">
        <v>902</v>
      </c>
      <c r="E260" s="3" t="s">
        <v>818</v>
      </c>
      <c r="F260" s="3" t="s">
        <v>0</v>
      </c>
      <c r="G260" s="3">
        <v>1.0051824666560299E-2</v>
      </c>
    </row>
    <row r="261" spans="1:16" x14ac:dyDescent="0.3">
      <c r="A261" s="3" t="str">
        <f t="shared" si="3"/>
        <v>NGA</v>
      </c>
      <c r="C261" s="3" t="s">
        <v>850</v>
      </c>
      <c r="D261" s="3" t="s">
        <v>902</v>
      </c>
      <c r="E261" s="3" t="s">
        <v>823</v>
      </c>
      <c r="F261" s="3" t="s">
        <v>0</v>
      </c>
      <c r="G261" s="3">
        <v>2.8297200623335099</v>
      </c>
      <c r="I261" s="3">
        <v>2.8297200623335099</v>
      </c>
    </row>
    <row r="262" spans="1:16" x14ac:dyDescent="0.3">
      <c r="A262" s="3" t="str">
        <f t="shared" si="3"/>
        <v>NGA</v>
      </c>
      <c r="C262" s="3" t="s">
        <v>850</v>
      </c>
      <c r="D262" s="3" t="s">
        <v>902</v>
      </c>
      <c r="E262" s="3" t="s">
        <v>823</v>
      </c>
      <c r="F262" s="3" t="s">
        <v>1</v>
      </c>
      <c r="G262" s="3">
        <v>1.0903299324358999</v>
      </c>
    </row>
    <row r="263" spans="1:16" x14ac:dyDescent="0.3">
      <c r="A263" s="3" t="str">
        <f t="shared" si="3"/>
        <v>NGA</v>
      </c>
      <c r="C263" s="3" t="s">
        <v>850</v>
      </c>
      <c r="D263" s="3" t="s">
        <v>902</v>
      </c>
      <c r="E263" s="3" t="s">
        <v>823</v>
      </c>
      <c r="F263" s="3" t="s">
        <v>3</v>
      </c>
      <c r="J263" s="3">
        <v>8.55074251798318E-2</v>
      </c>
      <c r="K263" s="3">
        <v>8.55074251798318E-2</v>
      </c>
    </row>
    <row r="264" spans="1:16" x14ac:dyDescent="0.3">
      <c r="A264" s="3" t="str">
        <f t="shared" ref="A264:A327" si="4">RIGHT(E264,3)</f>
        <v>NGA</v>
      </c>
      <c r="C264" s="3" t="s">
        <v>850</v>
      </c>
      <c r="D264" s="3" t="s">
        <v>902</v>
      </c>
      <c r="E264" s="3" t="s">
        <v>823</v>
      </c>
      <c r="F264" s="3" t="s">
        <v>4</v>
      </c>
      <c r="I264" s="3">
        <v>11.3823378216719</v>
      </c>
      <c r="J264" s="3">
        <v>6.2763906721161602</v>
      </c>
      <c r="K264" s="3">
        <v>5.6788049122413797</v>
      </c>
      <c r="L264" s="3">
        <v>6.2383045118112097</v>
      </c>
    </row>
    <row r="265" spans="1:16" x14ac:dyDescent="0.3">
      <c r="A265" s="3" t="str">
        <f t="shared" si="4"/>
        <v>NGA</v>
      </c>
      <c r="C265" s="3" t="s">
        <v>850</v>
      </c>
      <c r="D265" s="3" t="s">
        <v>902</v>
      </c>
      <c r="E265" s="3" t="s">
        <v>823</v>
      </c>
      <c r="F265" s="3" t="s">
        <v>5</v>
      </c>
      <c r="J265" s="3">
        <v>7.3041024854086103E-2</v>
      </c>
      <c r="L265" s="3">
        <v>7.3041024854086103E-2</v>
      </c>
    </row>
    <row r="266" spans="1:16" x14ac:dyDescent="0.3">
      <c r="A266" s="3" t="str">
        <f t="shared" si="4"/>
        <v>NGA</v>
      </c>
      <c r="C266" s="3" t="s">
        <v>850</v>
      </c>
      <c r="D266" s="3" t="s">
        <v>902</v>
      </c>
      <c r="E266" s="3" t="s">
        <v>823</v>
      </c>
      <c r="F266" s="3" t="s">
        <v>6</v>
      </c>
      <c r="I266" s="3">
        <v>0.10844844169149399</v>
      </c>
      <c r="J266" s="3">
        <v>0.10844844169149399</v>
      </c>
      <c r="K266" s="3">
        <v>0.10844844169149399</v>
      </c>
      <c r="L266" s="3">
        <v>0.10844844169149399</v>
      </c>
      <c r="M266" s="3">
        <v>0.10844844169149399</v>
      </c>
    </row>
    <row r="267" spans="1:16" x14ac:dyDescent="0.3">
      <c r="A267" s="3" t="str">
        <f t="shared" si="4"/>
        <v>NGA</v>
      </c>
      <c r="C267" s="3" t="s">
        <v>850</v>
      </c>
      <c r="D267" s="3" t="s">
        <v>902</v>
      </c>
      <c r="E267" s="3" t="s">
        <v>823</v>
      </c>
      <c r="F267" s="3" t="s">
        <v>7</v>
      </c>
      <c r="I267" s="3">
        <v>1.05192127955712</v>
      </c>
      <c r="L267" s="3">
        <v>0.929165827233424</v>
      </c>
    </row>
    <row r="268" spans="1:16" x14ac:dyDescent="0.3">
      <c r="A268" s="3" t="str">
        <f t="shared" si="4"/>
        <v>NGA</v>
      </c>
      <c r="C268" s="3" t="s">
        <v>850</v>
      </c>
      <c r="D268" s="3" t="s">
        <v>902</v>
      </c>
      <c r="E268" s="3" t="s">
        <v>823</v>
      </c>
      <c r="F268" s="3" t="s">
        <v>8</v>
      </c>
      <c r="G268" s="3">
        <v>36.723411123528599</v>
      </c>
      <c r="I268" s="3">
        <v>8.8373351355275709</v>
      </c>
    </row>
    <row r="269" spans="1:16" x14ac:dyDescent="0.3">
      <c r="A269" s="3" t="str">
        <f t="shared" si="4"/>
        <v>COA</v>
      </c>
      <c r="C269" s="3" t="s">
        <v>850</v>
      </c>
      <c r="D269" s="3" t="s">
        <v>902</v>
      </c>
      <c r="E269" s="3" t="s">
        <v>848</v>
      </c>
      <c r="F269" s="3" t="s">
        <v>3</v>
      </c>
      <c r="G269" s="3">
        <v>1.9291888026941</v>
      </c>
      <c r="J269" s="3">
        <v>1.9291888026941</v>
      </c>
      <c r="K269" s="3">
        <v>1.9291888026941</v>
      </c>
      <c r="L269" s="3">
        <v>1.9291888026941</v>
      </c>
      <c r="M269" s="3">
        <v>1.9291888026941</v>
      </c>
      <c r="N269" s="3">
        <v>1.9291888026941</v>
      </c>
      <c r="O269" s="3">
        <v>1.9291888026941</v>
      </c>
      <c r="P269" s="3">
        <v>1.9291888026941</v>
      </c>
    </row>
    <row r="270" spans="1:16" x14ac:dyDescent="0.3">
      <c r="A270" s="3" t="str">
        <f t="shared" si="4"/>
        <v>COA</v>
      </c>
      <c r="C270" s="3" t="s">
        <v>850</v>
      </c>
      <c r="D270" s="3" t="s">
        <v>902</v>
      </c>
      <c r="E270" s="3" t="s">
        <v>844</v>
      </c>
      <c r="F270" s="3" t="s">
        <v>2</v>
      </c>
      <c r="G270" s="3">
        <v>0.22622297682438</v>
      </c>
      <c r="J270" s="3">
        <v>0.22622297682438</v>
      </c>
      <c r="K270" s="3">
        <v>0.22622297682438</v>
      </c>
      <c r="L270" s="3">
        <v>0.22622297682438</v>
      </c>
      <c r="M270" s="3">
        <v>0.22622297682438</v>
      </c>
      <c r="N270" s="3">
        <v>0.22622297682438</v>
      </c>
      <c r="O270" s="3">
        <v>0.22622297682438</v>
      </c>
      <c r="P270" s="3">
        <v>0.22622297682438</v>
      </c>
    </row>
    <row r="271" spans="1:16" x14ac:dyDescent="0.3">
      <c r="A271" s="3" t="str">
        <f t="shared" si="4"/>
        <v>COA</v>
      </c>
      <c r="C271" s="3" t="s">
        <v>850</v>
      </c>
      <c r="D271" s="3" t="s">
        <v>902</v>
      </c>
      <c r="E271" s="3" t="s">
        <v>844</v>
      </c>
      <c r="F271" s="3" t="s">
        <v>3</v>
      </c>
      <c r="G271" s="3">
        <v>0.123139824854035</v>
      </c>
      <c r="J271" s="3">
        <v>0.123139824854035</v>
      </c>
      <c r="K271" s="3">
        <v>0.123139824854035</v>
      </c>
      <c r="L271" s="3">
        <v>0.123139824854035</v>
      </c>
      <c r="M271" s="3">
        <v>0.123139824854035</v>
      </c>
      <c r="N271" s="3">
        <v>0.123139824854035</v>
      </c>
      <c r="O271" s="3">
        <v>0.123139824854035</v>
      </c>
      <c r="P271" s="3">
        <v>0.123139824854035</v>
      </c>
    </row>
    <row r="272" spans="1:16" x14ac:dyDescent="0.3">
      <c r="A272" s="3" t="str">
        <f t="shared" si="4"/>
        <v>COA</v>
      </c>
      <c r="C272" s="3" t="s">
        <v>850</v>
      </c>
      <c r="D272" s="3" t="s">
        <v>902</v>
      </c>
      <c r="E272" s="3" t="s">
        <v>844</v>
      </c>
      <c r="F272" s="3" t="s">
        <v>5</v>
      </c>
      <c r="G272" s="3">
        <v>6.6901212582806999E-2</v>
      </c>
      <c r="J272" s="3">
        <v>6.6901212582806999E-2</v>
      </c>
      <c r="K272" s="3">
        <v>6.6901212582806999E-2</v>
      </c>
      <c r="L272" s="3">
        <v>6.6901212582806999E-2</v>
      </c>
      <c r="M272" s="3">
        <v>6.6901212582806999E-2</v>
      </c>
      <c r="N272" s="3">
        <v>6.6901212582806999E-2</v>
      </c>
      <c r="O272" s="3">
        <v>6.6901212582806999E-2</v>
      </c>
      <c r="P272" s="3">
        <v>6.6901212582806999E-2</v>
      </c>
    </row>
    <row r="273" spans="1:16" x14ac:dyDescent="0.3">
      <c r="A273" s="3" t="str">
        <f t="shared" si="4"/>
        <v>COA</v>
      </c>
      <c r="C273" s="3" t="s">
        <v>850</v>
      </c>
      <c r="D273" s="3" t="s">
        <v>902</v>
      </c>
      <c r="E273" s="3" t="s">
        <v>844</v>
      </c>
      <c r="F273" s="3" t="s">
        <v>7</v>
      </c>
      <c r="G273" s="3">
        <v>0.24343301725858599</v>
      </c>
      <c r="J273" s="3">
        <v>0.24343301725858599</v>
      </c>
      <c r="K273" s="3">
        <v>0.24343301725858599</v>
      </c>
      <c r="L273" s="3">
        <v>0.24343301725858599</v>
      </c>
      <c r="M273" s="3">
        <v>0.24343301725858599</v>
      </c>
    </row>
    <row r="274" spans="1:16" x14ac:dyDescent="0.3">
      <c r="A274" s="3" t="str">
        <f t="shared" si="4"/>
        <v>AGR</v>
      </c>
      <c r="C274" s="3" t="s">
        <v>850</v>
      </c>
      <c r="D274" s="3" t="s">
        <v>902</v>
      </c>
      <c r="E274" s="3" t="s">
        <v>849</v>
      </c>
      <c r="F274" s="3" t="s">
        <v>4</v>
      </c>
      <c r="G274" s="3">
        <v>9.2187064918606898E-2</v>
      </c>
    </row>
    <row r="275" spans="1:16" x14ac:dyDescent="0.3">
      <c r="A275" s="3" t="str">
        <f t="shared" si="4"/>
        <v>AGR</v>
      </c>
      <c r="C275" s="3" t="s">
        <v>850</v>
      </c>
      <c r="D275" s="3" t="s">
        <v>902</v>
      </c>
      <c r="E275" s="3" t="s">
        <v>849</v>
      </c>
      <c r="F275" s="3" t="s">
        <v>6</v>
      </c>
      <c r="G275" s="3">
        <v>0.51470773832269701</v>
      </c>
    </row>
    <row r="276" spans="1:16" x14ac:dyDescent="0.3">
      <c r="A276" s="3" t="str">
        <f t="shared" si="4"/>
        <v>COA</v>
      </c>
      <c r="C276" s="3" t="s">
        <v>850</v>
      </c>
      <c r="D276" s="3" t="s">
        <v>902</v>
      </c>
      <c r="E276" s="3" t="s">
        <v>835</v>
      </c>
      <c r="F276" s="3" t="s">
        <v>1</v>
      </c>
      <c r="G276" s="3">
        <v>4.6829771101012198E-2</v>
      </c>
      <c r="I276" s="3">
        <v>4.6829771101012198E-2</v>
      </c>
      <c r="J276" s="3">
        <v>4.6829771101012198E-2</v>
      </c>
      <c r="K276" s="3">
        <v>4.6829771101012198E-2</v>
      </c>
      <c r="L276" s="3">
        <v>4.6829771101012198E-2</v>
      </c>
    </row>
    <row r="277" spans="1:16" x14ac:dyDescent="0.3">
      <c r="A277" s="3" t="str">
        <f t="shared" si="4"/>
        <v>COA</v>
      </c>
      <c r="C277" s="3" t="s">
        <v>850</v>
      </c>
      <c r="D277" s="3" t="s">
        <v>902</v>
      </c>
      <c r="E277" s="3" t="s">
        <v>835</v>
      </c>
      <c r="F277" s="3" t="s">
        <v>2</v>
      </c>
      <c r="G277" s="3">
        <v>0.137848296947327</v>
      </c>
      <c r="J277" s="3">
        <v>0.137848296947327</v>
      </c>
      <c r="K277" s="3">
        <v>0.137848296947327</v>
      </c>
      <c r="L277" s="3">
        <v>0.137848296947327</v>
      </c>
      <c r="M277" s="3">
        <v>0.137848296947327</v>
      </c>
      <c r="N277" s="3">
        <v>0.137848296947327</v>
      </c>
      <c r="O277" s="3">
        <v>0.137848296947327</v>
      </c>
      <c r="P277" s="3">
        <v>0.137848296947327</v>
      </c>
    </row>
    <row r="278" spans="1:16" x14ac:dyDescent="0.3">
      <c r="A278" s="3" t="str">
        <f t="shared" si="4"/>
        <v>COA</v>
      </c>
      <c r="C278" s="3" t="s">
        <v>850</v>
      </c>
      <c r="D278" s="3" t="s">
        <v>902</v>
      </c>
      <c r="E278" s="3" t="s">
        <v>835</v>
      </c>
      <c r="F278" s="3" t="s">
        <v>3</v>
      </c>
      <c r="G278" s="3">
        <v>0.68535667073725004</v>
      </c>
      <c r="J278" s="3">
        <v>0.68535667073725004</v>
      </c>
      <c r="K278" s="3">
        <v>0.68535667073725004</v>
      </c>
      <c r="L278" s="3">
        <v>0.68535667073725004</v>
      </c>
      <c r="M278" s="3">
        <v>0.68535667073725004</v>
      </c>
      <c r="N278" s="3">
        <v>0.68535667073725004</v>
      </c>
      <c r="O278" s="3">
        <v>0.68535667073725004</v>
      </c>
      <c r="P278" s="3">
        <v>0.68535667073725004</v>
      </c>
    </row>
    <row r="279" spans="1:16" x14ac:dyDescent="0.3">
      <c r="A279" s="3" t="str">
        <f t="shared" si="4"/>
        <v>COA</v>
      </c>
      <c r="C279" s="3" t="s">
        <v>850</v>
      </c>
      <c r="D279" s="3" t="s">
        <v>902</v>
      </c>
      <c r="E279" s="3" t="s">
        <v>835</v>
      </c>
      <c r="F279" s="3" t="s">
        <v>5</v>
      </c>
      <c r="G279" s="3">
        <v>6.4988867240657902E-2</v>
      </c>
      <c r="J279" s="3">
        <v>6.4988867240657805E-2</v>
      </c>
      <c r="K279" s="3">
        <v>6.4988867240657805E-2</v>
      </c>
      <c r="L279" s="3">
        <v>6.4988867240657805E-2</v>
      </c>
      <c r="M279" s="3">
        <v>6.4988867240657805E-2</v>
      </c>
      <c r="N279" s="3">
        <v>6.4988867240657805E-2</v>
      </c>
      <c r="O279" s="3">
        <v>6.4988867240657805E-2</v>
      </c>
      <c r="P279" s="3">
        <v>6.4988867240657805E-2</v>
      </c>
    </row>
    <row r="280" spans="1:16" x14ac:dyDescent="0.3">
      <c r="A280" s="3" t="str">
        <f t="shared" si="4"/>
        <v>COA</v>
      </c>
      <c r="C280" s="3" t="s">
        <v>850</v>
      </c>
      <c r="D280" s="3" t="s">
        <v>902</v>
      </c>
      <c r="E280" s="3" t="s">
        <v>835</v>
      </c>
      <c r="F280" s="3" t="s">
        <v>7</v>
      </c>
      <c r="G280" s="3">
        <v>0.13734246935626901</v>
      </c>
      <c r="J280" s="3">
        <v>0.13734246935626901</v>
      </c>
      <c r="K280" s="3">
        <v>0.13734246935626901</v>
      </c>
      <c r="L280" s="3">
        <v>0.13734246935626901</v>
      </c>
      <c r="M280" s="3">
        <v>0.13734246935626901</v>
      </c>
    </row>
    <row r="281" spans="1:16" x14ac:dyDescent="0.3">
      <c r="A281" s="3" t="str">
        <f t="shared" si="4"/>
        <v>LPG</v>
      </c>
      <c r="C281" s="3" t="s">
        <v>850</v>
      </c>
      <c r="D281" s="3" t="s">
        <v>902</v>
      </c>
      <c r="E281" s="3" t="s">
        <v>820</v>
      </c>
      <c r="F281" s="3" t="s">
        <v>0</v>
      </c>
      <c r="G281" s="3">
        <v>6.2636147939443303E-5</v>
      </c>
    </row>
    <row r="282" spans="1:16" x14ac:dyDescent="0.3">
      <c r="A282" s="3" t="str">
        <f t="shared" si="4"/>
        <v>NGA</v>
      </c>
      <c r="C282" s="3" t="s">
        <v>850</v>
      </c>
      <c r="D282" s="3" t="s">
        <v>902</v>
      </c>
      <c r="E282" s="3" t="s">
        <v>825</v>
      </c>
      <c r="F282" s="3" t="s">
        <v>0</v>
      </c>
      <c r="G282" s="3">
        <v>1.76328945579831E-2</v>
      </c>
      <c r="I282" s="3">
        <v>1.76328945579831E-2</v>
      </c>
      <c r="L282" s="3">
        <v>1.76328945579831E-2</v>
      </c>
    </row>
    <row r="283" spans="1:16" x14ac:dyDescent="0.3">
      <c r="A283" s="3" t="str">
        <f t="shared" si="4"/>
        <v>NGA</v>
      </c>
      <c r="C283" s="3" t="s">
        <v>850</v>
      </c>
      <c r="D283" s="3" t="s">
        <v>902</v>
      </c>
      <c r="E283" s="3" t="s">
        <v>825</v>
      </c>
      <c r="F283" s="3" t="s">
        <v>8</v>
      </c>
      <c r="I283" s="3">
        <v>3.1813003619223499E-3</v>
      </c>
    </row>
    <row r="284" spans="1:16" x14ac:dyDescent="0.3">
      <c r="A284" s="3" t="str">
        <f t="shared" si="4"/>
        <v>NGA</v>
      </c>
      <c r="C284" s="3" t="s">
        <v>850</v>
      </c>
      <c r="D284" s="3" t="s">
        <v>902</v>
      </c>
      <c r="E284" s="3" t="s">
        <v>840</v>
      </c>
      <c r="F284" s="3" t="s">
        <v>1</v>
      </c>
      <c r="G284" s="3">
        <v>3.6034965309622098E-3</v>
      </c>
    </row>
    <row r="285" spans="1:16" x14ac:dyDescent="0.3">
      <c r="A285" s="3" t="str">
        <f t="shared" si="4"/>
        <v>NGA</v>
      </c>
      <c r="C285" s="3" t="s">
        <v>850</v>
      </c>
      <c r="D285" s="3" t="s">
        <v>902</v>
      </c>
      <c r="E285" s="3" t="s">
        <v>840</v>
      </c>
      <c r="F285" s="3" t="s">
        <v>8</v>
      </c>
      <c r="G285" s="3">
        <v>8.1772082089601392E-3</v>
      </c>
      <c r="I285" s="3">
        <v>8.1772082089601392E-3</v>
      </c>
    </row>
    <row r="286" spans="1:16" x14ac:dyDescent="0.3">
      <c r="A286" s="3" t="str">
        <f t="shared" si="4"/>
        <v>AGR</v>
      </c>
      <c r="C286" s="3" t="s">
        <v>850</v>
      </c>
      <c r="D286" s="3" t="s">
        <v>902</v>
      </c>
      <c r="E286" s="3" t="s">
        <v>807</v>
      </c>
      <c r="F286" s="3" t="s">
        <v>0</v>
      </c>
      <c r="G286" s="3">
        <v>1.81575605644813E-3</v>
      </c>
    </row>
    <row r="287" spans="1:16" x14ac:dyDescent="0.3">
      <c r="A287" s="3" t="str">
        <f t="shared" si="4"/>
        <v>AGR</v>
      </c>
      <c r="C287" s="3" t="s">
        <v>850</v>
      </c>
      <c r="D287" s="3" t="s">
        <v>902</v>
      </c>
      <c r="E287" s="3" t="s">
        <v>807</v>
      </c>
      <c r="F287" s="3" t="s">
        <v>1</v>
      </c>
      <c r="G287" s="3">
        <v>7.9991177087246703E-4</v>
      </c>
    </row>
    <row r="288" spans="1:16" x14ac:dyDescent="0.3">
      <c r="A288" s="3" t="str">
        <f t="shared" si="4"/>
        <v>LPG</v>
      </c>
      <c r="C288" s="3" t="s">
        <v>850</v>
      </c>
      <c r="D288" s="3" t="s">
        <v>902</v>
      </c>
      <c r="E288" s="3" t="s">
        <v>822</v>
      </c>
      <c r="F288" s="3" t="s">
        <v>0</v>
      </c>
      <c r="G288" s="3">
        <v>3.5434305324985702E-4</v>
      </c>
    </row>
    <row r="289" spans="1:16" x14ac:dyDescent="0.3">
      <c r="A289" s="3" t="str">
        <f t="shared" si="4"/>
        <v>NGA</v>
      </c>
      <c r="C289" s="3" t="s">
        <v>850</v>
      </c>
      <c r="D289" s="3" t="s">
        <v>902</v>
      </c>
      <c r="E289" s="3" t="s">
        <v>829</v>
      </c>
      <c r="F289" s="3" t="s">
        <v>0</v>
      </c>
      <c r="G289" s="3">
        <v>9.9752202211137897E-2</v>
      </c>
      <c r="I289" s="3">
        <v>9.9752202211137897E-2</v>
      </c>
    </row>
    <row r="290" spans="1:16" x14ac:dyDescent="0.3">
      <c r="A290" s="3" t="str">
        <f t="shared" si="4"/>
        <v>NGA</v>
      </c>
      <c r="C290" s="3" t="s">
        <v>850</v>
      </c>
      <c r="D290" s="3" t="s">
        <v>902</v>
      </c>
      <c r="E290" s="3" t="s">
        <v>829</v>
      </c>
      <c r="F290" s="3" t="s">
        <v>6</v>
      </c>
      <c r="L290" s="3">
        <v>5.4907171203929697E-2</v>
      </c>
    </row>
    <row r="291" spans="1:16" x14ac:dyDescent="0.3">
      <c r="A291" s="3" t="str">
        <f t="shared" si="4"/>
        <v>NGA</v>
      </c>
      <c r="C291" s="3" t="s">
        <v>850</v>
      </c>
      <c r="D291" s="3" t="s">
        <v>902</v>
      </c>
      <c r="E291" s="3" t="s">
        <v>829</v>
      </c>
      <c r="F291" s="3" t="s">
        <v>8</v>
      </c>
      <c r="G291" s="3">
        <v>0.39898344240269001</v>
      </c>
    </row>
    <row r="292" spans="1:16" x14ac:dyDescent="0.3">
      <c r="A292" s="3" t="str">
        <f t="shared" si="4"/>
        <v>NGA</v>
      </c>
      <c r="C292" s="3" t="s">
        <v>850</v>
      </c>
      <c r="D292" s="3" t="s">
        <v>902</v>
      </c>
      <c r="E292" s="3" t="s">
        <v>1248</v>
      </c>
      <c r="F292" s="3" t="s">
        <v>7</v>
      </c>
      <c r="I292" s="3">
        <v>0.205052760392337</v>
      </c>
    </row>
    <row r="293" spans="1:16" x14ac:dyDescent="0.3">
      <c r="A293" s="3" t="str">
        <f t="shared" si="4"/>
        <v>NGA</v>
      </c>
      <c r="C293" s="3" t="s">
        <v>850</v>
      </c>
      <c r="D293" s="3" t="s">
        <v>902</v>
      </c>
      <c r="E293" s="3" t="s">
        <v>1248</v>
      </c>
      <c r="F293" s="3" t="s">
        <v>8</v>
      </c>
      <c r="I293" s="3">
        <v>3.3287604918064599</v>
      </c>
    </row>
    <row r="294" spans="1:16" x14ac:dyDescent="0.3">
      <c r="A294" s="3" t="str">
        <f t="shared" si="4"/>
        <v>NGA</v>
      </c>
      <c r="C294" s="3" t="s">
        <v>850</v>
      </c>
      <c r="D294" s="3" t="s">
        <v>902</v>
      </c>
      <c r="E294" s="3" t="s">
        <v>830</v>
      </c>
      <c r="F294" s="3" t="s">
        <v>0</v>
      </c>
      <c r="M294" s="3">
        <v>4.9424506732826199</v>
      </c>
      <c r="N294" s="3">
        <v>5.6779869062975026</v>
      </c>
      <c r="O294" s="3">
        <v>7.2675819757462223</v>
      </c>
      <c r="P294" s="3">
        <v>7.9424019168151379</v>
      </c>
    </row>
    <row r="295" spans="1:16" x14ac:dyDescent="0.3">
      <c r="A295" s="3" t="str">
        <f t="shared" si="4"/>
        <v>NGA</v>
      </c>
      <c r="C295" s="3" t="s">
        <v>850</v>
      </c>
      <c r="D295" s="3" t="s">
        <v>902</v>
      </c>
      <c r="E295" s="3" t="s">
        <v>830</v>
      </c>
      <c r="F295" s="3" t="s">
        <v>1</v>
      </c>
      <c r="M295" s="3">
        <v>14.933255327114599</v>
      </c>
      <c r="N295" s="3">
        <v>16.37113297330443</v>
      </c>
      <c r="O295" s="3">
        <v>17.840762198317691</v>
      </c>
      <c r="P295" s="3">
        <v>19.497338228071669</v>
      </c>
    </row>
    <row r="296" spans="1:16" x14ac:dyDescent="0.3">
      <c r="A296" s="3" t="str">
        <f t="shared" si="4"/>
        <v>NGA</v>
      </c>
      <c r="C296" s="3" t="s">
        <v>850</v>
      </c>
      <c r="D296" s="3" t="s">
        <v>902</v>
      </c>
      <c r="E296" s="3" t="s">
        <v>830</v>
      </c>
      <c r="F296" s="3" t="s">
        <v>2</v>
      </c>
      <c r="M296" s="3">
        <v>12.748184733851399</v>
      </c>
      <c r="N296" s="3">
        <v>12.748184733851399</v>
      </c>
      <c r="O296" s="3">
        <v>12.748184733851399</v>
      </c>
      <c r="P296" s="3">
        <v>17.946963641075911</v>
      </c>
    </row>
    <row r="297" spans="1:16" x14ac:dyDescent="0.3">
      <c r="A297" s="3" t="str">
        <f t="shared" si="4"/>
        <v>NGA</v>
      </c>
      <c r="C297" s="3" t="s">
        <v>850</v>
      </c>
      <c r="D297" s="3" t="s">
        <v>902</v>
      </c>
      <c r="E297" s="3" t="s">
        <v>830</v>
      </c>
      <c r="F297" s="3" t="s">
        <v>3</v>
      </c>
      <c r="M297" s="3">
        <v>22.616092904653399</v>
      </c>
      <c r="N297" s="3">
        <v>22.616092904653399</v>
      </c>
      <c r="O297" s="3">
        <v>22.616092904653399</v>
      </c>
      <c r="P297" s="3">
        <v>22.616092904653399</v>
      </c>
    </row>
    <row r="298" spans="1:16" x14ac:dyDescent="0.3">
      <c r="A298" s="3" t="str">
        <f t="shared" si="4"/>
        <v>NGA</v>
      </c>
      <c r="C298" s="3" t="s">
        <v>850</v>
      </c>
      <c r="D298" s="3" t="s">
        <v>902</v>
      </c>
      <c r="E298" s="3" t="s">
        <v>830</v>
      </c>
      <c r="F298" s="3" t="s">
        <v>4</v>
      </c>
      <c r="M298" s="3">
        <v>7.0610034326299003</v>
      </c>
      <c r="N298" s="3">
        <v>7.0610034326299003</v>
      </c>
      <c r="O298" s="3">
        <v>7.0610034326299003</v>
      </c>
      <c r="P298" s="3">
        <v>7.0610034326299003</v>
      </c>
    </row>
    <row r="299" spans="1:16" x14ac:dyDescent="0.3">
      <c r="A299" s="3" t="str">
        <f t="shared" si="4"/>
        <v>NGA</v>
      </c>
      <c r="C299" s="3" t="s">
        <v>850</v>
      </c>
      <c r="D299" s="3" t="s">
        <v>902</v>
      </c>
      <c r="E299" s="3" t="s">
        <v>830</v>
      </c>
      <c r="F299" s="3" t="s">
        <v>5</v>
      </c>
      <c r="M299" s="3">
        <v>12.6527069548016</v>
      </c>
      <c r="N299" s="3">
        <v>12.6527069548016</v>
      </c>
      <c r="O299" s="3">
        <v>12.6527069548016</v>
      </c>
      <c r="P299" s="3">
        <v>12.6527069548016</v>
      </c>
    </row>
    <row r="300" spans="1:16" x14ac:dyDescent="0.3">
      <c r="A300" s="3" t="str">
        <f t="shared" si="4"/>
        <v>NGA</v>
      </c>
      <c r="C300" s="3" t="s">
        <v>850</v>
      </c>
      <c r="D300" s="3" t="s">
        <v>902</v>
      </c>
      <c r="E300" s="3" t="s">
        <v>830</v>
      </c>
      <c r="F300" s="3" t="s">
        <v>6</v>
      </c>
      <c r="M300" s="3">
        <v>10.187437107137701</v>
      </c>
      <c r="N300" s="3">
        <v>10.187437107137701</v>
      </c>
      <c r="O300" s="3">
        <v>10.187437107137701</v>
      </c>
      <c r="P300" s="3">
        <v>10.187437107137701</v>
      </c>
    </row>
    <row r="301" spans="1:16" x14ac:dyDescent="0.3">
      <c r="A301" s="3" t="str">
        <f t="shared" si="4"/>
        <v>NGA</v>
      </c>
      <c r="C301" s="3" t="s">
        <v>850</v>
      </c>
      <c r="D301" s="3" t="s">
        <v>902</v>
      </c>
      <c r="E301" s="3" t="s">
        <v>830</v>
      </c>
      <c r="F301" s="3" t="s">
        <v>7</v>
      </c>
      <c r="M301" s="3">
        <v>2.4972710231681501</v>
      </c>
      <c r="N301" s="3">
        <v>2.4972710231681501</v>
      </c>
      <c r="O301" s="3">
        <v>2.4972710231681501</v>
      </c>
      <c r="P301" s="3">
        <v>2.4972710231681501</v>
      </c>
    </row>
    <row r="302" spans="1:16" x14ac:dyDescent="0.3">
      <c r="A302" s="3" t="str">
        <f t="shared" si="4"/>
        <v>NGA</v>
      </c>
      <c r="C302" s="3" t="s">
        <v>850</v>
      </c>
      <c r="D302" s="3" t="s">
        <v>902</v>
      </c>
      <c r="E302" s="3" t="s">
        <v>830</v>
      </c>
      <c r="F302" s="3" t="s">
        <v>8</v>
      </c>
      <c r="M302" s="3">
        <v>7.5923995854411999</v>
      </c>
      <c r="N302" s="3">
        <v>8.345990504962284</v>
      </c>
      <c r="O302" s="3">
        <v>8.345990504962284</v>
      </c>
      <c r="P302" s="3">
        <v>9.7382379142389741</v>
      </c>
    </row>
    <row r="303" spans="1:16" x14ac:dyDescent="0.3">
      <c r="A303" s="3" t="str">
        <f t="shared" si="4"/>
        <v>COA</v>
      </c>
      <c r="C303" s="3" t="s">
        <v>850</v>
      </c>
      <c r="D303" s="3" t="s">
        <v>902</v>
      </c>
      <c r="E303" s="3" t="s">
        <v>812</v>
      </c>
      <c r="F303" s="3" t="s">
        <v>0</v>
      </c>
      <c r="H303" s="3">
        <v>0.47305075827402898</v>
      </c>
      <c r="I303" s="3">
        <v>8.6640560403269104E-2</v>
      </c>
      <c r="J303" s="3">
        <v>0.55869550178817895</v>
      </c>
      <c r="K303" s="3">
        <v>0.61197630439426198</v>
      </c>
      <c r="L303" s="3">
        <v>0.66536686364938402</v>
      </c>
      <c r="M303" s="3">
        <v>0.13654932072134501</v>
      </c>
      <c r="N303" s="3">
        <v>0.11861722667062299</v>
      </c>
    </row>
    <row r="304" spans="1:16" x14ac:dyDescent="0.3">
      <c r="A304" s="3" t="str">
        <f t="shared" si="4"/>
        <v>COA</v>
      </c>
      <c r="C304" s="3" t="s">
        <v>850</v>
      </c>
      <c r="D304" s="3" t="s">
        <v>902</v>
      </c>
      <c r="E304" s="3" t="s">
        <v>812</v>
      </c>
      <c r="F304" s="3" t="s">
        <v>1</v>
      </c>
      <c r="H304" s="3">
        <v>1.0962864507633501</v>
      </c>
      <c r="I304" s="3">
        <v>0.191575132921145</v>
      </c>
      <c r="J304" s="3">
        <v>1.3159911406265199</v>
      </c>
      <c r="K304" s="3">
        <v>1.4467870686536</v>
      </c>
      <c r="L304" s="3">
        <v>1.5808937313776299</v>
      </c>
    </row>
    <row r="305" spans="1:16" x14ac:dyDescent="0.3">
      <c r="A305" s="3" t="str">
        <f t="shared" si="4"/>
        <v>COA</v>
      </c>
      <c r="C305" s="3" t="s">
        <v>850</v>
      </c>
      <c r="D305" s="3" t="s">
        <v>902</v>
      </c>
      <c r="E305" s="3" t="s">
        <v>812</v>
      </c>
      <c r="F305" s="3" t="s">
        <v>2</v>
      </c>
      <c r="H305" s="3">
        <v>7.0767169423977796</v>
      </c>
      <c r="J305" s="3">
        <v>10.1688822127687</v>
      </c>
      <c r="K305" s="3">
        <v>11.4911252492233</v>
      </c>
      <c r="L305" s="3">
        <v>12.84683718616</v>
      </c>
      <c r="M305" s="3">
        <v>12.84683718616</v>
      </c>
      <c r="N305" s="3">
        <v>8.4099505641011003</v>
      </c>
      <c r="O305" s="3">
        <v>9.9991239049524392</v>
      </c>
      <c r="P305" s="3">
        <v>11.3814409769757</v>
      </c>
    </row>
    <row r="306" spans="1:16" x14ac:dyDescent="0.3">
      <c r="A306" s="3" t="str">
        <f t="shared" si="4"/>
        <v>COA</v>
      </c>
      <c r="C306" s="3" t="s">
        <v>850</v>
      </c>
      <c r="D306" s="3" t="s">
        <v>902</v>
      </c>
      <c r="E306" s="3" t="s">
        <v>812</v>
      </c>
      <c r="F306" s="3" t="s">
        <v>3</v>
      </c>
      <c r="H306" s="3">
        <v>14.4964556288773</v>
      </c>
      <c r="J306" s="3">
        <v>17.890765445619898</v>
      </c>
      <c r="K306" s="3">
        <v>19.914027150687001</v>
      </c>
      <c r="L306" s="3">
        <v>21.999255131495101</v>
      </c>
      <c r="M306" s="3">
        <v>21.628113412265801</v>
      </c>
      <c r="N306" s="3">
        <v>24.035447812469599</v>
      </c>
      <c r="O306" s="3">
        <v>26.5284428255836</v>
      </c>
      <c r="P306" s="3">
        <v>26.5284428255836</v>
      </c>
    </row>
    <row r="307" spans="1:16" x14ac:dyDescent="0.3">
      <c r="A307" s="3" t="str">
        <f t="shared" si="4"/>
        <v>COA</v>
      </c>
      <c r="C307" s="3" t="s">
        <v>850</v>
      </c>
      <c r="D307" s="3" t="s">
        <v>902</v>
      </c>
      <c r="E307" s="3" t="s">
        <v>812</v>
      </c>
      <c r="F307" s="3" t="s">
        <v>4</v>
      </c>
      <c r="H307" s="3">
        <v>2.1875971112608998</v>
      </c>
      <c r="J307" s="3">
        <v>3.82277736130245</v>
      </c>
      <c r="K307" s="3">
        <v>4.6823743840104504</v>
      </c>
      <c r="L307" s="3">
        <v>5.4163175111134896</v>
      </c>
      <c r="M307" s="3">
        <v>6.2601311217600104</v>
      </c>
      <c r="N307" s="3">
        <v>7.2510311280946702</v>
      </c>
      <c r="O307" s="3">
        <v>7.2510311280946702</v>
      </c>
      <c r="P307" s="3">
        <v>7.2510311280946702</v>
      </c>
    </row>
    <row r="308" spans="1:16" x14ac:dyDescent="0.3">
      <c r="A308" s="3" t="str">
        <f t="shared" si="4"/>
        <v>COA</v>
      </c>
      <c r="C308" s="3" t="s">
        <v>850</v>
      </c>
      <c r="D308" s="3" t="s">
        <v>902</v>
      </c>
      <c r="E308" s="3" t="s">
        <v>812</v>
      </c>
      <c r="F308" s="3" t="s">
        <v>5</v>
      </c>
      <c r="H308" s="3">
        <v>0.63203840098502795</v>
      </c>
      <c r="J308" s="3">
        <v>2.47035049414737</v>
      </c>
      <c r="K308" s="3">
        <v>2.7311808807422202</v>
      </c>
      <c r="L308" s="3">
        <v>2.9800103218949601</v>
      </c>
      <c r="M308" s="3">
        <v>1.76347321661446</v>
      </c>
      <c r="N308" s="3">
        <v>1.9518701113531001</v>
      </c>
      <c r="O308" s="3">
        <v>2.1532008360600599</v>
      </c>
      <c r="P308" s="3">
        <v>2.5040189789846399</v>
      </c>
    </row>
    <row r="309" spans="1:16" x14ac:dyDescent="0.3">
      <c r="A309" s="3" t="str">
        <f t="shared" si="4"/>
        <v>COA</v>
      </c>
      <c r="C309" s="3" t="s">
        <v>850</v>
      </c>
      <c r="D309" s="3" t="s">
        <v>902</v>
      </c>
      <c r="E309" s="3" t="s">
        <v>812</v>
      </c>
      <c r="F309" s="3" t="s">
        <v>6</v>
      </c>
      <c r="J309" s="3">
        <v>0.93396191296019304</v>
      </c>
      <c r="K309" s="3">
        <v>1.0243311460000499</v>
      </c>
      <c r="L309" s="3">
        <v>1.1089681139342</v>
      </c>
    </row>
    <row r="310" spans="1:16" x14ac:dyDescent="0.3">
      <c r="A310" s="3" t="str">
        <f t="shared" si="4"/>
        <v>COA</v>
      </c>
      <c r="C310" s="3" t="s">
        <v>850</v>
      </c>
      <c r="D310" s="3" t="s">
        <v>902</v>
      </c>
      <c r="E310" s="3" t="s">
        <v>812</v>
      </c>
      <c r="F310" s="3" t="s">
        <v>7</v>
      </c>
      <c r="H310" s="3">
        <v>1.33388580789117</v>
      </c>
      <c r="J310" s="3">
        <v>1.12818956156192</v>
      </c>
      <c r="K310" s="3">
        <v>1.28744603267213</v>
      </c>
      <c r="L310" s="3">
        <v>1.33388580789117</v>
      </c>
      <c r="M310" s="3">
        <v>1.33388580789117</v>
      </c>
    </row>
    <row r="311" spans="1:16" x14ac:dyDescent="0.3">
      <c r="A311" s="3" t="str">
        <f t="shared" si="4"/>
        <v>COA</v>
      </c>
      <c r="C311" s="3" t="s">
        <v>850</v>
      </c>
      <c r="D311" s="3" t="s">
        <v>902</v>
      </c>
      <c r="E311" s="3" t="s">
        <v>812</v>
      </c>
      <c r="F311" s="3" t="s">
        <v>8</v>
      </c>
      <c r="H311" s="3">
        <v>5.0788542043424503</v>
      </c>
      <c r="J311" s="3">
        <v>7.0543001481271403</v>
      </c>
      <c r="K311" s="3">
        <v>7.7961224338346797</v>
      </c>
      <c r="L311" s="3">
        <v>8.5567216192983597</v>
      </c>
      <c r="M311" s="3">
        <v>8.5051164034761797</v>
      </c>
      <c r="N311" s="3">
        <v>9.3910952232266407</v>
      </c>
      <c r="O311" s="3">
        <v>10.388837520271</v>
      </c>
      <c r="P311" s="3">
        <v>10.388837520271</v>
      </c>
    </row>
    <row r="312" spans="1:16" x14ac:dyDescent="0.3">
      <c r="A312" s="3" t="str">
        <f t="shared" si="4"/>
        <v>RFL</v>
      </c>
      <c r="C312" s="3" t="s">
        <v>850</v>
      </c>
      <c r="D312" s="3" t="s">
        <v>902</v>
      </c>
      <c r="E312" s="3" t="s">
        <v>1252</v>
      </c>
      <c r="F312" s="3" t="s">
        <v>8</v>
      </c>
      <c r="I312" s="3">
        <v>0.868689567099723</v>
      </c>
    </row>
    <row r="313" spans="1:16" x14ac:dyDescent="0.3">
      <c r="A313" s="3" t="str">
        <f t="shared" si="4"/>
        <v>COA</v>
      </c>
      <c r="C313" s="3" t="s">
        <v>850</v>
      </c>
      <c r="D313" s="3" t="s">
        <v>902</v>
      </c>
      <c r="E313" s="3" t="s">
        <v>1246</v>
      </c>
      <c r="F313" s="3" t="s">
        <v>4</v>
      </c>
      <c r="O313" s="3">
        <v>4.1974998651315203E-2</v>
      </c>
      <c r="P313" s="3">
        <v>4.1974998651315203E-2</v>
      </c>
    </row>
    <row r="314" spans="1:16" x14ac:dyDescent="0.3">
      <c r="A314" s="3" t="str">
        <f t="shared" si="4"/>
        <v>NGA</v>
      </c>
      <c r="C314" s="3" t="s">
        <v>850</v>
      </c>
      <c r="D314" s="3" t="s">
        <v>902</v>
      </c>
      <c r="E314" s="3" t="s">
        <v>847</v>
      </c>
      <c r="F314" s="3" t="s">
        <v>2</v>
      </c>
      <c r="M314" s="3">
        <v>1.6385825265839399E-2</v>
      </c>
      <c r="N314" s="3">
        <v>51.945091328709943</v>
      </c>
      <c r="O314" s="3">
        <v>53.535928151534414</v>
      </c>
      <c r="P314" s="3">
        <v>53.535928151534414</v>
      </c>
    </row>
    <row r="315" spans="1:16" x14ac:dyDescent="0.3">
      <c r="A315" s="3" t="str">
        <f t="shared" si="4"/>
        <v>NGA</v>
      </c>
      <c r="C315" s="3" t="s">
        <v>850</v>
      </c>
      <c r="D315" s="3" t="s">
        <v>902</v>
      </c>
      <c r="E315" s="3" t="s">
        <v>847</v>
      </c>
      <c r="F315" s="3" t="s">
        <v>3</v>
      </c>
      <c r="M315" s="3">
        <v>1.6385825265839399E-2</v>
      </c>
      <c r="N315" s="3">
        <v>2.1613062390393392</v>
      </c>
      <c r="O315" s="3">
        <v>4.0803544448663995</v>
      </c>
      <c r="P315" s="3">
        <v>6.31848131189615</v>
      </c>
    </row>
    <row r="316" spans="1:16" x14ac:dyDescent="0.3">
      <c r="A316" s="3" t="str">
        <f t="shared" si="4"/>
        <v>NGA</v>
      </c>
      <c r="C316" s="3" t="s">
        <v>850</v>
      </c>
      <c r="D316" s="3" t="s">
        <v>902</v>
      </c>
      <c r="E316" s="3" t="s">
        <v>847</v>
      </c>
      <c r="F316" s="3" t="s">
        <v>4</v>
      </c>
      <c r="M316" s="3">
        <v>1.6385825265839399E-2</v>
      </c>
      <c r="N316" s="3">
        <v>0.36424546131154645</v>
      </c>
      <c r="O316" s="3">
        <v>1.8758487182730965</v>
      </c>
      <c r="P316" s="3">
        <v>2.6608140887131437</v>
      </c>
    </row>
    <row r="317" spans="1:16" x14ac:dyDescent="0.3">
      <c r="A317" s="3" t="str">
        <f t="shared" si="4"/>
        <v>NGA</v>
      </c>
      <c r="C317" s="3" t="s">
        <v>850</v>
      </c>
      <c r="D317" s="3" t="s">
        <v>902</v>
      </c>
      <c r="E317" s="3" t="s">
        <v>847</v>
      </c>
      <c r="F317" s="3" t="s">
        <v>5</v>
      </c>
      <c r="M317" s="3">
        <v>1.6385825265839399E-2</v>
      </c>
      <c r="N317" s="3">
        <v>1.2164833681292793</v>
      </c>
      <c r="O317" s="3">
        <v>2.3693223879004592</v>
      </c>
      <c r="P317" s="3">
        <v>2.6273823210026142</v>
      </c>
    </row>
    <row r="318" spans="1:16" x14ac:dyDescent="0.3">
      <c r="A318" s="3" t="str">
        <f t="shared" si="4"/>
        <v>NGA</v>
      </c>
      <c r="C318" s="3" t="s">
        <v>850</v>
      </c>
      <c r="D318" s="3" t="s">
        <v>902</v>
      </c>
      <c r="E318" s="3" t="s">
        <v>847</v>
      </c>
      <c r="F318" s="3" t="s">
        <v>6</v>
      </c>
      <c r="M318" s="3">
        <v>1.6385825265839399E-2</v>
      </c>
      <c r="N318" s="3">
        <v>45.23315062663324</v>
      </c>
      <c r="O318" s="3">
        <v>47.521763700406161</v>
      </c>
      <c r="P318" s="3">
        <v>52.278571943822868</v>
      </c>
    </row>
    <row r="319" spans="1:16" x14ac:dyDescent="0.3">
      <c r="A319" s="3" t="str">
        <f t="shared" si="4"/>
        <v>NGA</v>
      </c>
      <c r="C319" s="3" t="s">
        <v>850</v>
      </c>
      <c r="D319" s="3" t="s">
        <v>902</v>
      </c>
      <c r="E319" s="3" t="s">
        <v>847</v>
      </c>
      <c r="F319" s="3" t="s">
        <v>7</v>
      </c>
      <c r="M319" s="3">
        <v>1.6385825265839399E-2</v>
      </c>
      <c r="N319" s="3">
        <v>17.546669220301041</v>
      </c>
      <c r="O319" s="3">
        <v>28.06155511900684</v>
      </c>
      <c r="P319" s="3">
        <v>30.72566248332657</v>
      </c>
    </row>
    <row r="320" spans="1:16" x14ac:dyDescent="0.3">
      <c r="A320" s="3" t="str">
        <f t="shared" si="4"/>
        <v>EXT</v>
      </c>
      <c r="C320" s="3" t="s">
        <v>850</v>
      </c>
      <c r="D320" s="3" t="s">
        <v>903</v>
      </c>
      <c r="E320" s="3" t="s">
        <v>904</v>
      </c>
      <c r="F320" s="3" t="s">
        <v>2</v>
      </c>
      <c r="G320" s="3">
        <v>45.432757445070003</v>
      </c>
      <c r="H320" s="3">
        <v>46.359147944036003</v>
      </c>
      <c r="I320" s="3">
        <v>50.06470993990019</v>
      </c>
      <c r="J320" s="3">
        <v>70.546376212093392</v>
      </c>
      <c r="K320" s="3">
        <v>82.250333153605595</v>
      </c>
      <c r="L320" s="3">
        <v>89.629792084234793</v>
      </c>
      <c r="M320" s="3">
        <v>93.688221791337895</v>
      </c>
      <c r="N320" s="3">
        <v>97.856544202898206</v>
      </c>
      <c r="O320" s="3">
        <v>99.568248886553107</v>
      </c>
      <c r="P320" s="3">
        <v>101.257632748543</v>
      </c>
    </row>
    <row r="321" spans="1:16" x14ac:dyDescent="0.3">
      <c r="A321" s="3" t="str">
        <f t="shared" si="4"/>
        <v>EXT</v>
      </c>
      <c r="C321" s="3" t="s">
        <v>850</v>
      </c>
      <c r="D321" s="3" t="s">
        <v>903</v>
      </c>
      <c r="E321" s="3" t="s">
        <v>904</v>
      </c>
      <c r="F321" s="3" t="s">
        <v>3</v>
      </c>
      <c r="G321" s="3">
        <v>39.801248254623097</v>
      </c>
      <c r="H321" s="3">
        <v>40.612810226723298</v>
      </c>
      <c r="I321" s="3">
        <v>43.859058115124199</v>
      </c>
      <c r="J321" s="3">
        <v>61.8019682489304</v>
      </c>
      <c r="K321" s="3">
        <v>72.055189096327794</v>
      </c>
      <c r="L321" s="3">
        <v>78.519944779226407</v>
      </c>
      <c r="M321" s="3">
        <v>82.075321502544298</v>
      </c>
      <c r="N321" s="3">
        <v>85.726969441994299</v>
      </c>
      <c r="O321" s="3">
        <v>87.226503850292502</v>
      </c>
      <c r="P321" s="3">
        <v>88.7064841611883</v>
      </c>
    </row>
    <row r="322" spans="1:16" x14ac:dyDescent="0.3">
      <c r="A322" s="3" t="str">
        <f t="shared" si="4"/>
        <v>EXT</v>
      </c>
      <c r="C322" s="3" t="s">
        <v>850</v>
      </c>
      <c r="D322" s="3" t="s">
        <v>903</v>
      </c>
      <c r="E322" s="3" t="s">
        <v>904</v>
      </c>
      <c r="F322" s="3" t="s">
        <v>4</v>
      </c>
      <c r="G322" s="3">
        <v>61.795009308566797</v>
      </c>
      <c r="H322" s="3">
        <v>63.0550320922639</v>
      </c>
      <c r="I322" s="3">
        <v>68.095123227052596</v>
      </c>
      <c r="J322" s="3">
        <v>95.953101239401391</v>
      </c>
      <c r="K322" s="3">
        <v>111.87214663351499</v>
      </c>
      <c r="L322" s="3">
        <v>121.90925991816999</v>
      </c>
      <c r="M322" s="3">
        <v>127.42930130750898</v>
      </c>
      <c r="N322" s="3">
        <v>133.098812398376</v>
      </c>
      <c r="O322" s="3">
        <v>135.42697412150801</v>
      </c>
      <c r="P322" s="3">
        <v>137.724776353821</v>
      </c>
    </row>
    <row r="323" spans="1:16" x14ac:dyDescent="0.3">
      <c r="A323" s="3" t="str">
        <f t="shared" si="4"/>
        <v>EXT</v>
      </c>
      <c r="C323" s="3" t="s">
        <v>850</v>
      </c>
      <c r="D323" s="3" t="s">
        <v>903</v>
      </c>
      <c r="E323" s="3" t="s">
        <v>904</v>
      </c>
      <c r="F323" s="3" t="s">
        <v>5</v>
      </c>
      <c r="G323" s="3">
        <v>59.992423297447203</v>
      </c>
      <c r="H323" s="3">
        <v>61.215690694762806</v>
      </c>
      <c r="I323" s="3">
        <v>66.108760284025493</v>
      </c>
      <c r="J323" s="3">
        <v>93.15410954164129</v>
      </c>
      <c r="K323" s="3">
        <v>108.60878978946099</v>
      </c>
      <c r="L323" s="3">
        <v>118.35311632318898</v>
      </c>
      <c r="M323" s="3">
        <v>123.71213581932699</v>
      </c>
      <c r="N323" s="3">
        <v>129.21626492390396</v>
      </c>
      <c r="O323" s="3">
        <v>131.47651320546998</v>
      </c>
      <c r="P323" s="3">
        <v>133.70728759513597</v>
      </c>
    </row>
    <row r="324" spans="1:16" x14ac:dyDescent="0.3">
      <c r="A324" s="3" t="str">
        <f t="shared" si="4"/>
        <v>EXT</v>
      </c>
      <c r="C324" s="3" t="s">
        <v>850</v>
      </c>
      <c r="D324" s="3" t="s">
        <v>903</v>
      </c>
      <c r="E324" s="3" t="s">
        <v>904</v>
      </c>
      <c r="F324" s="3" t="s">
        <v>6</v>
      </c>
      <c r="G324" s="3">
        <v>194.279224091998</v>
      </c>
      <c r="H324" s="3">
        <v>198.33554635037399</v>
      </c>
      <c r="I324" s="3">
        <v>214.56083538387998</v>
      </c>
      <c r="J324" s="3">
        <v>302.33850214138198</v>
      </c>
      <c r="K324" s="3">
        <v>352.49780160965798</v>
      </c>
      <c r="L324" s="3">
        <v>384.12372882940099</v>
      </c>
      <c r="M324" s="3">
        <v>401.51682007766999</v>
      </c>
      <c r="N324" s="3">
        <v>419.38087521445897</v>
      </c>
      <c r="O324" s="3">
        <v>426.71667696575992</v>
      </c>
      <c r="P324" s="3">
        <v>433.95681903684493</v>
      </c>
    </row>
    <row r="325" spans="1:16" x14ac:dyDescent="0.3">
      <c r="A325" s="3" t="str">
        <f t="shared" si="4"/>
        <v>EXT</v>
      </c>
      <c r="C325" s="3" t="s">
        <v>850</v>
      </c>
      <c r="D325" s="3" t="s">
        <v>903</v>
      </c>
      <c r="E325" s="3" t="s">
        <v>904</v>
      </c>
      <c r="F325" s="3" t="s">
        <v>7</v>
      </c>
      <c r="G325" s="3">
        <v>4.2262308903005401</v>
      </c>
      <c r="H325" s="3">
        <v>4.3124052799564003</v>
      </c>
      <c r="I325" s="3">
        <v>4.6571028385798003</v>
      </c>
      <c r="J325" s="3">
        <v>6.5623416035617499</v>
      </c>
      <c r="K325" s="3">
        <v>7.6510632032746795</v>
      </c>
      <c r="L325" s="3">
        <v>8.3375127837131178</v>
      </c>
      <c r="M325" s="3">
        <v>8.7150346855041274</v>
      </c>
      <c r="N325" s="3">
        <v>9.1027789899911991</v>
      </c>
      <c r="O325" s="3">
        <v>9.2620046151996274</v>
      </c>
      <c r="P325" s="3">
        <v>9.4191539203402783</v>
      </c>
    </row>
    <row r="326" spans="1:16" x14ac:dyDescent="0.3">
      <c r="A326" s="3" t="str">
        <f t="shared" si="4"/>
        <v>EXT</v>
      </c>
      <c r="C326" s="3" t="s">
        <v>850</v>
      </c>
      <c r="D326" s="3" t="s">
        <v>903</v>
      </c>
      <c r="E326" s="3" t="s">
        <v>904</v>
      </c>
      <c r="F326" s="3" t="s">
        <v>8</v>
      </c>
      <c r="G326" s="3">
        <v>1.8615011732675799</v>
      </c>
      <c r="H326" s="3">
        <v>1.89945786129855</v>
      </c>
      <c r="I326" s="3">
        <v>2.0512846134224301</v>
      </c>
      <c r="J326" s="3">
        <v>2.8904730743530602</v>
      </c>
      <c r="K326" s="3">
        <v>3.3700153870739902</v>
      </c>
      <c r="L326" s="3">
        <v>3.6723714893654904</v>
      </c>
      <c r="M326" s="3">
        <v>3.8386561721856003</v>
      </c>
      <c r="N326" s="3">
        <v>4.0094434520256712</v>
      </c>
      <c r="O326" s="3">
        <v>4.0795765554536008</v>
      </c>
      <c r="P326" s="3">
        <v>4.1487951153218905</v>
      </c>
    </row>
    <row r="327" spans="1:16" x14ac:dyDescent="0.3">
      <c r="A327" s="3" t="str">
        <f t="shared" si="4"/>
        <v>DST</v>
      </c>
      <c r="C327" s="3" t="s">
        <v>850</v>
      </c>
      <c r="D327" s="3" t="s">
        <v>729</v>
      </c>
      <c r="E327" s="3" t="s">
        <v>905</v>
      </c>
      <c r="F327" s="3" t="s">
        <v>4</v>
      </c>
      <c r="G327" s="3">
        <v>2.6967092187061699</v>
      </c>
    </row>
    <row r="328" spans="1:16" x14ac:dyDescent="0.3">
      <c r="A328" s="3" t="str">
        <f t="shared" ref="A328:A391" si="5">RIGHT(E328,3)</f>
        <v>DST</v>
      </c>
      <c r="C328" s="3" t="s">
        <v>850</v>
      </c>
      <c r="D328" s="3" t="s">
        <v>729</v>
      </c>
      <c r="E328" s="3" t="s">
        <v>905</v>
      </c>
      <c r="F328" s="3" t="s">
        <v>5</v>
      </c>
      <c r="G328" s="3">
        <v>2.3505748876399202</v>
      </c>
    </row>
    <row r="329" spans="1:16" x14ac:dyDescent="0.3">
      <c r="A329" s="3" t="str">
        <f t="shared" si="5"/>
        <v>DST</v>
      </c>
      <c r="C329" s="3" t="s">
        <v>850</v>
      </c>
      <c r="D329" s="3" t="s">
        <v>729</v>
      </c>
      <c r="E329" s="3" t="s">
        <v>905</v>
      </c>
      <c r="F329" s="3" t="s">
        <v>6</v>
      </c>
      <c r="G329" s="3">
        <v>8.1459027068407206</v>
      </c>
    </row>
    <row r="330" spans="1:16" x14ac:dyDescent="0.3">
      <c r="A330" s="3" t="str">
        <f t="shared" si="5"/>
        <v>ELC</v>
      </c>
      <c r="C330" s="3" t="s">
        <v>850</v>
      </c>
      <c r="D330" s="3" t="s">
        <v>729</v>
      </c>
      <c r="E330" s="3" t="s">
        <v>906</v>
      </c>
      <c r="F330" s="3" t="s">
        <v>2</v>
      </c>
      <c r="G330" s="3">
        <v>0.190487199431739</v>
      </c>
      <c r="H330" s="3">
        <v>0.28894282515500003</v>
      </c>
    </row>
    <row r="331" spans="1:16" x14ac:dyDescent="0.3">
      <c r="A331" s="3" t="str">
        <f t="shared" si="5"/>
        <v>ELC</v>
      </c>
      <c r="C331" s="3" t="s">
        <v>850</v>
      </c>
      <c r="D331" s="3" t="s">
        <v>729</v>
      </c>
      <c r="E331" s="3" t="s">
        <v>906</v>
      </c>
      <c r="F331" s="3" t="s">
        <v>3</v>
      </c>
      <c r="G331" s="3">
        <v>0.12902150952692701</v>
      </c>
    </row>
    <row r="332" spans="1:16" x14ac:dyDescent="0.3">
      <c r="A332" s="3" t="str">
        <f t="shared" si="5"/>
        <v>ELC</v>
      </c>
      <c r="C332" s="3" t="s">
        <v>850</v>
      </c>
      <c r="D332" s="3" t="s">
        <v>729</v>
      </c>
      <c r="E332" s="3" t="s">
        <v>906</v>
      </c>
      <c r="F332" s="3" t="s">
        <v>4</v>
      </c>
      <c r="G332" s="3">
        <v>0.16302313989193001</v>
      </c>
      <c r="H332" s="3">
        <v>3.0475415706498299</v>
      </c>
    </row>
    <row r="333" spans="1:16" x14ac:dyDescent="0.3">
      <c r="A333" s="3" t="str">
        <f t="shared" si="5"/>
        <v>ELC</v>
      </c>
      <c r="C333" s="3" t="s">
        <v>850</v>
      </c>
      <c r="D333" s="3" t="s">
        <v>729</v>
      </c>
      <c r="E333" s="3" t="s">
        <v>906</v>
      </c>
      <c r="F333" s="3" t="s">
        <v>5</v>
      </c>
      <c r="G333" s="3">
        <v>0.14209841241912899</v>
      </c>
      <c r="H333" s="3">
        <v>2.65637638471273</v>
      </c>
      <c r="I333" s="3">
        <v>2.8687048638682402</v>
      </c>
    </row>
    <row r="334" spans="1:16" x14ac:dyDescent="0.3">
      <c r="A334" s="3" t="str">
        <f t="shared" si="5"/>
        <v>ELC</v>
      </c>
      <c r="C334" s="3" t="s">
        <v>850</v>
      </c>
      <c r="D334" s="3" t="s">
        <v>729</v>
      </c>
      <c r="E334" s="3" t="s">
        <v>906</v>
      </c>
      <c r="F334" s="3" t="s">
        <v>6</v>
      </c>
      <c r="G334" s="3">
        <v>0.493650220085605</v>
      </c>
    </row>
    <row r="335" spans="1:16" x14ac:dyDescent="0.3">
      <c r="A335" s="3" t="str">
        <f t="shared" si="5"/>
        <v>ELC</v>
      </c>
      <c r="C335" s="3" t="s">
        <v>850</v>
      </c>
      <c r="D335" s="3" t="s">
        <v>729</v>
      </c>
      <c r="E335" s="3" t="s">
        <v>906</v>
      </c>
      <c r="F335" s="3" t="s">
        <v>7</v>
      </c>
      <c r="G335" s="3">
        <v>9.8186774651898207E-2</v>
      </c>
    </row>
    <row r="336" spans="1:16" x14ac:dyDescent="0.3">
      <c r="A336" s="3" t="str">
        <f t="shared" si="5"/>
        <v>ELC</v>
      </c>
      <c r="C336" s="3" t="s">
        <v>850</v>
      </c>
      <c r="D336" s="3" t="s">
        <v>729</v>
      </c>
      <c r="E336" s="3" t="s">
        <v>906</v>
      </c>
      <c r="F336" s="3" t="s">
        <v>8</v>
      </c>
      <c r="G336" s="3">
        <v>6.15675798274345E-2</v>
      </c>
    </row>
    <row r="337" spans="1:16" x14ac:dyDescent="0.3">
      <c r="A337" s="3" t="str">
        <f t="shared" si="5"/>
        <v>NGA</v>
      </c>
      <c r="C337" s="3" t="s">
        <v>850</v>
      </c>
      <c r="D337" s="3" t="s">
        <v>729</v>
      </c>
      <c r="E337" s="3" t="s">
        <v>907</v>
      </c>
      <c r="F337" s="3" t="s">
        <v>2</v>
      </c>
      <c r="G337" s="3">
        <v>9.2681708387868406E-2</v>
      </c>
      <c r="I337" s="3">
        <v>0.31203849449655902</v>
      </c>
      <c r="J337" s="3">
        <v>0.439694648222967</v>
      </c>
      <c r="K337" s="3">
        <v>0.512641941996693</v>
      </c>
      <c r="L337" s="3">
        <v>0.558635921741645</v>
      </c>
      <c r="M337" s="3">
        <v>0.58393091091355398</v>
      </c>
      <c r="N337" s="3">
        <v>0.60991082873273095</v>
      </c>
      <c r="O337" s="3">
        <v>0.62057937656116302</v>
      </c>
      <c r="P337" s="3">
        <v>0.63110880532555402</v>
      </c>
    </row>
    <row r="338" spans="1:16" x14ac:dyDescent="0.3">
      <c r="A338" s="3" t="str">
        <f t="shared" si="5"/>
        <v>NGA</v>
      </c>
      <c r="C338" s="3" t="s">
        <v>850</v>
      </c>
      <c r="D338" s="3" t="s">
        <v>729</v>
      </c>
      <c r="E338" s="3" t="s">
        <v>907</v>
      </c>
      <c r="F338" s="3" t="s">
        <v>3</v>
      </c>
      <c r="G338" s="3">
        <v>6.2775524851066494E-2</v>
      </c>
      <c r="H338" s="3">
        <v>0.19570784587985901</v>
      </c>
      <c r="I338" s="3">
        <v>0.21135109188731999</v>
      </c>
      <c r="J338" s="3">
        <v>0.29781564017885398</v>
      </c>
      <c r="K338" s="3">
        <v>0.34722457677231999</v>
      </c>
      <c r="L338" s="3">
        <v>0.37837739288566602</v>
      </c>
      <c r="M338" s="3">
        <v>0.39551029050904202</v>
      </c>
      <c r="N338" s="3">
        <v>0.41310710659125</v>
      </c>
      <c r="O338" s="3">
        <v>0.42033316770921902</v>
      </c>
      <c r="P338" s="3">
        <v>0.42746500017717798</v>
      </c>
    </row>
    <row r="339" spans="1:16" x14ac:dyDescent="0.3">
      <c r="A339" s="3" t="str">
        <f t="shared" si="5"/>
        <v>NGA</v>
      </c>
      <c r="C339" s="3" t="s">
        <v>850</v>
      </c>
      <c r="D339" s="3" t="s">
        <v>729</v>
      </c>
      <c r="E339" s="3" t="s">
        <v>907</v>
      </c>
      <c r="F339" s="3" t="s">
        <v>4</v>
      </c>
      <c r="G339" s="3">
        <v>0.126910475093444</v>
      </c>
      <c r="I339" s="3">
        <v>3.2911365184829702</v>
      </c>
      <c r="J339" s="3">
        <v>4.6375531842084898</v>
      </c>
      <c r="K339" s="3">
        <v>5.40694384176357</v>
      </c>
      <c r="L339" s="3">
        <v>5.8920521506380998</v>
      </c>
      <c r="M339" s="3">
        <v>6.1588437935493801</v>
      </c>
      <c r="N339" s="3">
        <v>6.4328595249091904</v>
      </c>
      <c r="O339" s="3">
        <v>6.5453829730625204</v>
      </c>
      <c r="P339" s="3">
        <v>6.6564391027915404</v>
      </c>
    </row>
    <row r="340" spans="1:16" x14ac:dyDescent="0.3">
      <c r="A340" s="3" t="str">
        <f t="shared" si="5"/>
        <v>NGA</v>
      </c>
      <c r="C340" s="3" t="s">
        <v>850</v>
      </c>
      <c r="D340" s="3" t="s">
        <v>729</v>
      </c>
      <c r="E340" s="3" t="s">
        <v>907</v>
      </c>
      <c r="F340" s="3" t="s">
        <v>5</v>
      </c>
      <c r="G340" s="3">
        <v>0.11062096486480801</v>
      </c>
      <c r="J340" s="3">
        <v>4.0423031075352904</v>
      </c>
      <c r="K340" s="3">
        <v>4.7129391352866898</v>
      </c>
      <c r="L340" s="3">
        <v>5.1357816875040996</v>
      </c>
      <c r="M340" s="3">
        <v>5.3683294652583102</v>
      </c>
      <c r="N340" s="3">
        <v>5.6071740883584997</v>
      </c>
      <c r="O340" s="3">
        <v>5.7052546636259898</v>
      </c>
      <c r="P340" s="3">
        <v>5.8020562571566101</v>
      </c>
    </row>
    <row r="341" spans="1:16" x14ac:dyDescent="0.3">
      <c r="A341" s="3" t="str">
        <f t="shared" si="5"/>
        <v>NGA</v>
      </c>
      <c r="C341" s="3" t="s">
        <v>850</v>
      </c>
      <c r="D341" s="3" t="s">
        <v>729</v>
      </c>
      <c r="E341" s="3" t="s">
        <v>907</v>
      </c>
      <c r="F341" s="3" t="s">
        <v>6</v>
      </c>
      <c r="G341" s="3">
        <v>0.384297492997489</v>
      </c>
      <c r="H341" s="3">
        <v>9.2122578293401904</v>
      </c>
      <c r="I341" s="3">
        <v>9.9658874670056594</v>
      </c>
      <c r="J341" s="3">
        <v>14.042970535108401</v>
      </c>
      <c r="K341" s="3">
        <v>16.372761678167301</v>
      </c>
      <c r="L341" s="3">
        <v>17.841717702447198</v>
      </c>
      <c r="M341" s="3">
        <v>18.649589231160601</v>
      </c>
      <c r="N341" s="3">
        <v>19.479336015465801</v>
      </c>
      <c r="O341" s="3">
        <v>19.820068165407999</v>
      </c>
      <c r="P341" s="3">
        <v>20.156357129777799</v>
      </c>
    </row>
    <row r="342" spans="1:16" x14ac:dyDescent="0.3">
      <c r="A342" s="3" t="str">
        <f t="shared" si="5"/>
        <v>NGA</v>
      </c>
      <c r="C342" s="3" t="s">
        <v>850</v>
      </c>
      <c r="D342" s="3" t="s">
        <v>729</v>
      </c>
      <c r="E342" s="3" t="s">
        <v>907</v>
      </c>
      <c r="F342" s="3" t="s">
        <v>7</v>
      </c>
      <c r="G342" s="3">
        <v>1.09195105038681E-2</v>
      </c>
      <c r="H342" s="3">
        <v>0.111331002113966</v>
      </c>
      <c r="I342" s="3">
        <v>0.12022986994676201</v>
      </c>
      <c r="J342" s="3">
        <v>0.16941637427595499</v>
      </c>
      <c r="K342" s="3">
        <v>0.197523302741729</v>
      </c>
      <c r="L342" s="3">
        <v>0.215244995098922</v>
      </c>
      <c r="M342" s="3">
        <v>0.22499127099782901</v>
      </c>
      <c r="N342" s="3">
        <v>0.23500145306099801</v>
      </c>
      <c r="O342" s="3">
        <v>0.23911209370487899</v>
      </c>
      <c r="P342" s="3">
        <v>0.24316913113226099</v>
      </c>
    </row>
    <row r="343" spans="1:16" x14ac:dyDescent="0.3">
      <c r="A343" s="3" t="str">
        <f t="shared" si="5"/>
        <v>NGA</v>
      </c>
      <c r="C343" s="3" t="s">
        <v>850</v>
      </c>
      <c r="D343" s="3" t="s">
        <v>729</v>
      </c>
      <c r="E343" s="3" t="s">
        <v>907</v>
      </c>
      <c r="F343" s="3" t="s">
        <v>8</v>
      </c>
      <c r="G343" s="3">
        <v>6.8470304377236703E-3</v>
      </c>
      <c r="H343" s="3">
        <v>6.9809609127305897E-2</v>
      </c>
      <c r="I343" s="3">
        <v>7.5389604575896996E-2</v>
      </c>
      <c r="J343" s="3">
        <v>0.10623178309185601</v>
      </c>
      <c r="K343" s="3">
        <v>0.123856107428363</v>
      </c>
      <c r="L343" s="3">
        <v>0.13496841570762899</v>
      </c>
      <c r="M343" s="3">
        <v>0.14107977461063401</v>
      </c>
      <c r="N343" s="3">
        <v>0.147356614698785</v>
      </c>
      <c r="O343" s="3">
        <v>0.149934173610169</v>
      </c>
      <c r="P343" s="3">
        <v>0.15247812086333801</v>
      </c>
    </row>
    <row r="344" spans="1:16" x14ac:dyDescent="0.3">
      <c r="A344" s="3" t="str">
        <f t="shared" si="5"/>
        <v>NGA</v>
      </c>
      <c r="C344" s="3" t="s">
        <v>850</v>
      </c>
      <c r="D344" s="3" t="s">
        <v>715</v>
      </c>
      <c r="E344" s="3" t="s">
        <v>908</v>
      </c>
      <c r="F344" s="3" t="s">
        <v>2</v>
      </c>
      <c r="G344" s="3">
        <v>27.6415614008063</v>
      </c>
      <c r="H344" s="3">
        <v>29.830641199332</v>
      </c>
      <c r="I344" s="3">
        <v>32.215052804004898</v>
      </c>
      <c r="J344" s="3">
        <v>45.394355375911999</v>
      </c>
      <c r="K344" s="3">
        <v>52.925480420663703</v>
      </c>
      <c r="L344" s="3">
        <v>57.673928167601296</v>
      </c>
      <c r="M344" s="3">
        <v>60.285398951565099</v>
      </c>
      <c r="N344" s="3">
        <v>62.967582205073001</v>
      </c>
      <c r="O344" s="3">
        <v>64.069009874083804</v>
      </c>
      <c r="P344" s="3">
        <v>65.156074802364998</v>
      </c>
    </row>
    <row r="345" spans="1:16" x14ac:dyDescent="0.3">
      <c r="A345" s="3" t="str">
        <f t="shared" si="5"/>
        <v>NGA</v>
      </c>
      <c r="C345" s="3" t="s">
        <v>850</v>
      </c>
      <c r="D345" s="3" t="s">
        <v>715</v>
      </c>
      <c r="E345" s="3" t="s">
        <v>908</v>
      </c>
      <c r="F345" s="3" t="s">
        <v>3</v>
      </c>
      <c r="G345" s="3">
        <v>18.722286790148701</v>
      </c>
      <c r="H345" s="3">
        <v>20.205002589022602</v>
      </c>
      <c r="I345" s="3">
        <v>21.820021264745598</v>
      </c>
      <c r="J345" s="3">
        <v>30.746676270500501</v>
      </c>
      <c r="K345" s="3">
        <v>35.847686336313899</v>
      </c>
      <c r="L345" s="3">
        <v>39.0639229025887</v>
      </c>
      <c r="M345" s="3">
        <v>40.8327341593955</v>
      </c>
      <c r="N345" s="3">
        <v>42.649440653206199</v>
      </c>
      <c r="O345" s="3">
        <v>43.395463802868903</v>
      </c>
      <c r="P345" s="3">
        <v>44.131758726722097</v>
      </c>
    </row>
    <row r="346" spans="1:16" x14ac:dyDescent="0.3">
      <c r="A346" s="3" t="str">
        <f t="shared" si="5"/>
        <v>NGA</v>
      </c>
      <c r="C346" s="3" t="s">
        <v>850</v>
      </c>
      <c r="D346" s="3" t="s">
        <v>715</v>
      </c>
      <c r="E346" s="3" t="s">
        <v>908</v>
      </c>
      <c r="F346" s="3" t="s">
        <v>4</v>
      </c>
      <c r="G346" s="3">
        <v>39.003974835850101</v>
      </c>
      <c r="H346" s="3">
        <v>3.1875318052600798</v>
      </c>
    </row>
    <row r="347" spans="1:16" x14ac:dyDescent="0.3">
      <c r="A347" s="3" t="str">
        <f t="shared" si="5"/>
        <v>NGA</v>
      </c>
      <c r="C347" s="3" t="s">
        <v>850</v>
      </c>
      <c r="D347" s="3" t="s">
        <v>715</v>
      </c>
      <c r="E347" s="3" t="s">
        <v>908</v>
      </c>
      <c r="F347" s="3" t="s">
        <v>5</v>
      </c>
      <c r="G347" s="3">
        <v>33.997645401040103</v>
      </c>
      <c r="H347" s="3">
        <v>34.690869793700301</v>
      </c>
      <c r="I347" s="3">
        <v>37.4637673643414</v>
      </c>
      <c r="J347" s="3">
        <v>52.790339342420403</v>
      </c>
      <c r="K347" s="3">
        <v>61.5484909551123</v>
      </c>
      <c r="L347" s="3">
        <v>67.070590913020197</v>
      </c>
      <c r="M347" s="3">
        <v>70.107541823031397</v>
      </c>
      <c r="N347" s="3">
        <v>73.226726200884599</v>
      </c>
      <c r="O347" s="3">
        <v>74.507606608298701</v>
      </c>
      <c r="P347" s="3">
        <v>75.771784191083796</v>
      </c>
    </row>
    <row r="348" spans="1:16" x14ac:dyDescent="0.3">
      <c r="A348" s="3" t="str">
        <f t="shared" si="5"/>
        <v>NGA</v>
      </c>
      <c r="C348" s="3" t="s">
        <v>850</v>
      </c>
      <c r="D348" s="3" t="s">
        <v>715</v>
      </c>
      <c r="E348" s="3" t="s">
        <v>908</v>
      </c>
      <c r="F348" s="3" t="s">
        <v>6</v>
      </c>
      <c r="G348" s="3">
        <v>117.846710939369</v>
      </c>
      <c r="H348" s="3">
        <v>120.307211998573</v>
      </c>
      <c r="I348" s="3">
        <v>130.149216235392</v>
      </c>
      <c r="J348" s="3">
        <v>183.39376345679301</v>
      </c>
      <c r="K348" s="3">
        <v>213.81960282786201</v>
      </c>
      <c r="L348" s="3">
        <v>233.00339111337499</v>
      </c>
      <c r="M348" s="3">
        <v>243.55376574172999</v>
      </c>
      <c r="N348" s="3">
        <v>254.38981963143101</v>
      </c>
      <c r="O348" s="3">
        <v>258.83960118956998</v>
      </c>
      <c r="P348" s="3">
        <v>263.23135709552798</v>
      </c>
    </row>
    <row r="349" spans="1:16" x14ac:dyDescent="0.3">
      <c r="A349" s="3" t="str">
        <f t="shared" si="5"/>
        <v>PFS</v>
      </c>
      <c r="C349" s="3" t="s">
        <v>850</v>
      </c>
      <c r="D349" s="3" t="s">
        <v>715</v>
      </c>
      <c r="E349" s="3" t="s">
        <v>909</v>
      </c>
      <c r="F349" s="3" t="s">
        <v>2</v>
      </c>
      <c r="G349" s="3">
        <v>1.59297689735753</v>
      </c>
    </row>
    <row r="350" spans="1:16" x14ac:dyDescent="0.3">
      <c r="A350" s="3" t="str">
        <f t="shared" si="5"/>
        <v>PFS</v>
      </c>
      <c r="C350" s="3" t="s">
        <v>850</v>
      </c>
      <c r="D350" s="3" t="s">
        <v>715</v>
      </c>
      <c r="E350" s="3" t="s">
        <v>909</v>
      </c>
      <c r="F350" s="3" t="s">
        <v>3</v>
      </c>
      <c r="G350" s="3">
        <v>1.07896112994321</v>
      </c>
    </row>
    <row r="351" spans="1:16" x14ac:dyDescent="0.3">
      <c r="A351" s="3" t="str">
        <f t="shared" si="5"/>
        <v>PFS</v>
      </c>
      <c r="C351" s="3" t="s">
        <v>850</v>
      </c>
      <c r="D351" s="3" t="s">
        <v>715</v>
      </c>
      <c r="E351" s="3" t="s">
        <v>909</v>
      </c>
      <c r="F351" s="3" t="s">
        <v>4</v>
      </c>
      <c r="H351" s="3">
        <v>36.6117483068222</v>
      </c>
      <c r="I351" s="3">
        <v>42.980501217011103</v>
      </c>
      <c r="J351" s="3">
        <v>60.563990329305597</v>
      </c>
      <c r="K351" s="3">
        <v>70.611825144934997</v>
      </c>
      <c r="L351" s="3">
        <v>76.947082932896606</v>
      </c>
      <c r="M351" s="3">
        <v>80.431240599538199</v>
      </c>
      <c r="N351" s="3">
        <v>84.009741038231297</v>
      </c>
      <c r="O351" s="3">
        <v>85.479237722168804</v>
      </c>
      <c r="P351" s="3">
        <v>86.929572004009799</v>
      </c>
    </row>
    <row r="352" spans="1:16" x14ac:dyDescent="0.3">
      <c r="A352" s="3" t="str">
        <f t="shared" si="5"/>
        <v>NGA</v>
      </c>
      <c r="C352" s="3" t="s">
        <v>850</v>
      </c>
      <c r="D352" s="3" t="s">
        <v>910</v>
      </c>
      <c r="E352" s="3" t="s">
        <v>866</v>
      </c>
      <c r="F352" s="3" t="s">
        <v>2</v>
      </c>
      <c r="H352" s="3">
        <v>0.94006967177302903</v>
      </c>
      <c r="I352" s="3">
        <v>1.0152109675835499</v>
      </c>
      <c r="J352" s="3">
        <v>1.4305376969080199</v>
      </c>
      <c r="K352" s="3">
        <v>1.6678702504255001</v>
      </c>
      <c r="L352" s="3">
        <v>1.6678702504255001</v>
      </c>
    </row>
    <row r="353" spans="1:16" x14ac:dyDescent="0.3">
      <c r="A353" s="3" t="str">
        <f t="shared" si="5"/>
        <v>NGA</v>
      </c>
      <c r="C353" s="3" t="s">
        <v>850</v>
      </c>
      <c r="D353" s="3" t="s">
        <v>910</v>
      </c>
      <c r="E353" s="3" t="s">
        <v>866</v>
      </c>
      <c r="F353" s="3" t="s">
        <v>3</v>
      </c>
      <c r="H353" s="3">
        <v>9.8493885506701204</v>
      </c>
      <c r="I353" s="3">
        <v>10.6366661757879</v>
      </c>
      <c r="J353" s="3">
        <v>14.9881674053513</v>
      </c>
      <c r="K353" s="3">
        <v>17.474770904544702</v>
      </c>
      <c r="L353" s="3">
        <v>17.7524191249571</v>
      </c>
      <c r="M353" s="3">
        <v>17.7524191249571</v>
      </c>
      <c r="N353" s="3">
        <v>11.1663011864499</v>
      </c>
    </row>
    <row r="354" spans="1:16" x14ac:dyDescent="0.3">
      <c r="A354" s="3" t="str">
        <f t="shared" si="5"/>
        <v>NGA</v>
      </c>
      <c r="C354" s="3" t="s">
        <v>850</v>
      </c>
      <c r="D354" s="3" t="s">
        <v>910</v>
      </c>
      <c r="E354" s="3" t="s">
        <v>866</v>
      </c>
      <c r="F354" s="3" t="s">
        <v>4</v>
      </c>
      <c r="H354" s="3">
        <v>0.93583365592101697</v>
      </c>
      <c r="I354" s="3">
        <v>1.0106363601039701</v>
      </c>
      <c r="J354" s="3">
        <v>1.4240915998335599</v>
      </c>
      <c r="K354" s="3">
        <v>1.66035471723468</v>
      </c>
      <c r="L354" s="3">
        <v>1.66035471723468</v>
      </c>
    </row>
    <row r="355" spans="1:16" x14ac:dyDescent="0.3">
      <c r="A355" s="3" t="str">
        <f t="shared" si="5"/>
        <v>NGA</v>
      </c>
      <c r="C355" s="3" t="s">
        <v>850</v>
      </c>
      <c r="D355" s="3" t="s">
        <v>910</v>
      </c>
      <c r="E355" s="3" t="s">
        <v>866</v>
      </c>
      <c r="F355" s="3" t="s">
        <v>5</v>
      </c>
      <c r="G355" s="3">
        <v>5.9257715590818503</v>
      </c>
      <c r="H355" s="3">
        <v>7.0697609549432503</v>
      </c>
      <c r="I355" s="3">
        <v>7.6348584314134298</v>
      </c>
      <c r="J355" s="3">
        <v>9.7824607217378805</v>
      </c>
      <c r="K355" s="3">
        <v>11.56731185626108</v>
      </c>
      <c r="L355" s="3">
        <v>11.689962866860011</v>
      </c>
      <c r="M355" s="3">
        <v>10.94024708508212</v>
      </c>
      <c r="N355" s="3">
        <v>2.42385617562369</v>
      </c>
    </row>
    <row r="356" spans="1:16" x14ac:dyDescent="0.3">
      <c r="A356" s="3" t="str">
        <f t="shared" si="5"/>
        <v>NGA</v>
      </c>
      <c r="C356" s="3" t="s">
        <v>850</v>
      </c>
      <c r="D356" s="3" t="s">
        <v>910</v>
      </c>
      <c r="E356" s="3" t="s">
        <v>866</v>
      </c>
      <c r="F356" s="3" t="s">
        <v>6</v>
      </c>
      <c r="G356" s="3">
        <v>4.6310067119583103</v>
      </c>
      <c r="H356" s="3">
        <v>10.55859273673946</v>
      </c>
      <c r="I356" s="3">
        <v>11.42236235390145</v>
      </c>
      <c r="J356" s="3">
        <v>16.095294925637351</v>
      </c>
      <c r="K356" s="3">
        <v>18.501233266554671</v>
      </c>
      <c r="L356" s="3">
        <v>18.501233266554671</v>
      </c>
      <c r="M356" s="3">
        <v>7.0044563057983593</v>
      </c>
      <c r="N356" s="3">
        <v>7.2640549312634404</v>
      </c>
    </row>
    <row r="357" spans="1:16" x14ac:dyDescent="0.3">
      <c r="A357" s="3" t="str">
        <f t="shared" si="5"/>
        <v>NGA</v>
      </c>
      <c r="C357" s="3" t="s">
        <v>850</v>
      </c>
      <c r="D357" s="3" t="s">
        <v>910</v>
      </c>
      <c r="E357" s="3" t="s">
        <v>866</v>
      </c>
      <c r="F357" s="3" t="s">
        <v>7</v>
      </c>
      <c r="H357" s="3">
        <v>1.28318695578585</v>
      </c>
      <c r="I357" s="3">
        <v>1.38575417342947</v>
      </c>
      <c r="J357" s="3">
        <v>1.95267155993891</v>
      </c>
      <c r="K357" s="3">
        <v>2.2766284388823599</v>
      </c>
      <c r="L357" s="3">
        <v>2.2766284388823599</v>
      </c>
    </row>
    <row r="358" spans="1:16" x14ac:dyDescent="0.3">
      <c r="A358" s="3" t="str">
        <f t="shared" si="5"/>
        <v>NGA</v>
      </c>
      <c r="C358" s="3" t="s">
        <v>850</v>
      </c>
      <c r="D358" s="3" t="s">
        <v>910</v>
      </c>
      <c r="E358" s="3" t="s">
        <v>867</v>
      </c>
      <c r="F358" s="3" t="s">
        <v>6</v>
      </c>
      <c r="K358" s="3">
        <v>0.26434252800000102</v>
      </c>
      <c r="L358" s="3">
        <v>0.26434252800000102</v>
      </c>
      <c r="O358" s="3">
        <v>0.26434252800000102</v>
      </c>
      <c r="P358" s="3">
        <v>0.26434252800000102</v>
      </c>
    </row>
    <row r="359" spans="1:16" x14ac:dyDescent="0.3">
      <c r="A359" s="3" t="str">
        <f t="shared" si="5"/>
        <v>NGA</v>
      </c>
      <c r="C359" s="3" t="s">
        <v>850</v>
      </c>
      <c r="D359" s="3" t="s">
        <v>910</v>
      </c>
      <c r="E359" s="3" t="s">
        <v>868</v>
      </c>
      <c r="F359" s="3" t="s">
        <v>5</v>
      </c>
      <c r="J359" s="3">
        <v>0.97584779288524104</v>
      </c>
      <c r="K359" s="3">
        <v>0.97584779288524104</v>
      </c>
      <c r="L359" s="3">
        <v>0.97584779288524104</v>
      </c>
    </row>
    <row r="360" spans="1:16" x14ac:dyDescent="0.3">
      <c r="A360" s="3" t="str">
        <f t="shared" si="5"/>
        <v>NGA</v>
      </c>
      <c r="C360" s="3" t="s">
        <v>850</v>
      </c>
      <c r="D360" s="3" t="s">
        <v>910</v>
      </c>
      <c r="E360" s="3" t="s">
        <v>1191</v>
      </c>
      <c r="F360" s="3" t="s">
        <v>2</v>
      </c>
      <c r="M360" s="3">
        <v>1.8998074773656899</v>
      </c>
      <c r="N360" s="3">
        <v>1.9843326176035996</v>
      </c>
      <c r="O360" s="3">
        <v>2.0190425234473897</v>
      </c>
      <c r="P360" s="3">
        <v>2.0532998082136387</v>
      </c>
    </row>
    <row r="361" spans="1:16" x14ac:dyDescent="0.3">
      <c r="A361" s="3" t="str">
        <f t="shared" si="5"/>
        <v>NGA</v>
      </c>
      <c r="C361" s="3" t="s">
        <v>850</v>
      </c>
      <c r="D361" s="3" t="s">
        <v>910</v>
      </c>
      <c r="E361" s="3" t="s">
        <v>1191</v>
      </c>
      <c r="F361" s="3" t="s">
        <v>3</v>
      </c>
      <c r="M361" s="3">
        <v>2.1524268432690699</v>
      </c>
      <c r="N361" s="3">
        <v>2.8966545241460508</v>
      </c>
      <c r="O361" s="3">
        <v>3.8082527050248416</v>
      </c>
      <c r="P361" s="3">
        <v>3.8707248271028605</v>
      </c>
    </row>
    <row r="362" spans="1:16" x14ac:dyDescent="0.3">
      <c r="A362" s="3" t="str">
        <f t="shared" si="5"/>
        <v>NGA</v>
      </c>
      <c r="C362" s="3" t="s">
        <v>850</v>
      </c>
      <c r="D362" s="3" t="s">
        <v>910</v>
      </c>
      <c r="E362" s="3" t="s">
        <v>1191</v>
      </c>
      <c r="F362" s="3" t="s">
        <v>4</v>
      </c>
      <c r="M362" s="3">
        <v>4.9504119050934303</v>
      </c>
      <c r="N362" s="3">
        <v>5.0247369418121917</v>
      </c>
      <c r="O362" s="3">
        <v>5.0483878698041149</v>
      </c>
      <c r="P362" s="3">
        <v>5.0928232675471303</v>
      </c>
    </row>
    <row r="363" spans="1:16" x14ac:dyDescent="0.3">
      <c r="A363" s="3" t="str">
        <f t="shared" si="5"/>
        <v>NGA</v>
      </c>
      <c r="C363" s="3" t="s">
        <v>850</v>
      </c>
      <c r="D363" s="3" t="s">
        <v>910</v>
      </c>
      <c r="E363" s="3" t="s">
        <v>1191</v>
      </c>
      <c r="F363" s="3" t="s">
        <v>5</v>
      </c>
      <c r="M363" s="3">
        <v>3.34718833452576</v>
      </c>
      <c r="N363" s="3">
        <v>4.2979914045711611</v>
      </c>
      <c r="O363" s="3">
        <v>4.4331649286972592</v>
      </c>
      <c r="P363" s="3">
        <v>4.5058666312937419</v>
      </c>
    </row>
    <row r="364" spans="1:16" x14ac:dyDescent="0.3">
      <c r="A364" s="3" t="str">
        <f t="shared" si="5"/>
        <v>NGA</v>
      </c>
      <c r="C364" s="3" t="s">
        <v>850</v>
      </c>
      <c r="D364" s="3" t="s">
        <v>910</v>
      </c>
      <c r="E364" s="3" t="s">
        <v>1191</v>
      </c>
      <c r="F364" s="3" t="s">
        <v>6</v>
      </c>
      <c r="M364" s="3">
        <v>14.370696349195301</v>
      </c>
      <c r="N364" s="3">
        <v>15.062108706314273</v>
      </c>
      <c r="O364" s="3">
        <v>15.372779272726428</v>
      </c>
      <c r="P364" s="3">
        <v>15.625345159117117</v>
      </c>
    </row>
    <row r="365" spans="1:16" x14ac:dyDescent="0.3">
      <c r="A365" s="3" t="str">
        <f t="shared" si="5"/>
        <v>NGA</v>
      </c>
      <c r="C365" s="3" t="s">
        <v>850</v>
      </c>
      <c r="D365" s="3" t="s">
        <v>910</v>
      </c>
      <c r="E365" s="3" t="s">
        <v>1191</v>
      </c>
      <c r="F365" s="3" t="s">
        <v>7</v>
      </c>
      <c r="M365" s="3">
        <v>2.5932207438010599</v>
      </c>
      <c r="N365" s="3">
        <v>2.708596827772253</v>
      </c>
      <c r="O365" s="3">
        <v>2.708596827772253</v>
      </c>
      <c r="P365" s="3">
        <v>2.7344142696974862</v>
      </c>
    </row>
    <row r="366" spans="1:16" x14ac:dyDescent="0.3">
      <c r="A366" s="3" t="str">
        <f t="shared" si="5"/>
        <v>ELC</v>
      </c>
      <c r="C366" s="3" t="s">
        <v>850</v>
      </c>
      <c r="D366" s="3" t="s">
        <v>745</v>
      </c>
      <c r="E366" s="3" t="s">
        <v>911</v>
      </c>
      <c r="F366" s="3" t="s">
        <v>2</v>
      </c>
      <c r="G366" s="3">
        <v>2.6668207920443399</v>
      </c>
      <c r="H366" s="3">
        <v>3.0049128075981839</v>
      </c>
      <c r="I366" s="3">
        <v>3.013396098189467</v>
      </c>
      <c r="J366" s="3">
        <v>4.3873200515499775</v>
      </c>
      <c r="K366" s="3">
        <v>5.1922893895025766</v>
      </c>
      <c r="L366" s="3">
        <v>5.7169528970930177</v>
      </c>
      <c r="M366" s="3">
        <v>6.0263535344463168</v>
      </c>
      <c r="N366" s="3">
        <v>6.3428772102878099</v>
      </c>
      <c r="O366" s="3">
        <v>6.45382668962141</v>
      </c>
      <c r="P366" s="3">
        <v>6.5633293752611683</v>
      </c>
    </row>
    <row r="367" spans="1:16" x14ac:dyDescent="0.3">
      <c r="A367" s="3" t="str">
        <f t="shared" si="5"/>
        <v>ELC</v>
      </c>
      <c r="C367" s="3" t="s">
        <v>850</v>
      </c>
      <c r="D367" s="3" t="s">
        <v>745</v>
      </c>
      <c r="E367" s="3" t="s">
        <v>911</v>
      </c>
      <c r="F367" s="3" t="s">
        <v>3</v>
      </c>
      <c r="G367" s="3">
        <v>1.8063011333769801</v>
      </c>
      <c r="H367" s="3">
        <v>1.8532498725017019</v>
      </c>
      <c r="I367" s="3">
        <v>2.0410448290006027</v>
      </c>
      <c r="J367" s="3">
        <v>2.9716361913944729</v>
      </c>
      <c r="K367" s="3">
        <v>3.5168610643274829</v>
      </c>
      <c r="L367" s="3">
        <v>3.8722281333218973</v>
      </c>
      <c r="M367" s="3">
        <v>4.0817925418438534</v>
      </c>
      <c r="N367" s="3">
        <v>4.2961815537034944</v>
      </c>
      <c r="O367" s="3">
        <v>4.3713302741821032</v>
      </c>
      <c r="P367" s="3">
        <v>4.4454990468904061</v>
      </c>
    </row>
    <row r="368" spans="1:16" x14ac:dyDescent="0.3">
      <c r="A368" s="3" t="str">
        <f t="shared" si="5"/>
        <v>ELC</v>
      </c>
      <c r="C368" s="3" t="s">
        <v>850</v>
      </c>
      <c r="D368" s="3" t="s">
        <v>745</v>
      </c>
      <c r="E368" s="3" t="s">
        <v>911</v>
      </c>
      <c r="F368" s="3" t="s">
        <v>4</v>
      </c>
      <c r="G368" s="3">
        <v>2.2823239584870101</v>
      </c>
      <c r="H368" s="3">
        <v>2.3493156768003511</v>
      </c>
      <c r="I368" s="3">
        <v>2.6172825500537087</v>
      </c>
      <c r="J368" s="3">
        <v>3.8812771055283788</v>
      </c>
      <c r="K368" s="3">
        <v>4.6307634646102489</v>
      </c>
      <c r="L368" s="3">
        <v>5.1267680110617171</v>
      </c>
      <c r="M368" s="3">
        <v>5.4281093838316572</v>
      </c>
      <c r="N368" s="3">
        <v>5.7358921520770263</v>
      </c>
      <c r="O368" s="3">
        <v>5.8362242611007273</v>
      </c>
      <c r="P368" s="3">
        <v>5.9352480281340529</v>
      </c>
    </row>
    <row r="369" spans="1:16" x14ac:dyDescent="0.3">
      <c r="A369" s="3" t="str">
        <f t="shared" si="5"/>
        <v>ELC</v>
      </c>
      <c r="C369" s="3" t="s">
        <v>850</v>
      </c>
      <c r="D369" s="3" t="s">
        <v>745</v>
      </c>
      <c r="E369" s="3" t="s">
        <v>911</v>
      </c>
      <c r="F369" s="3" t="s">
        <v>5</v>
      </c>
      <c r="G369" s="3">
        <v>1.98937777386781</v>
      </c>
      <c r="H369" s="3">
        <v>2.368571612521198</v>
      </c>
      <c r="I369" s="3">
        <v>2.2813429765950302</v>
      </c>
      <c r="J369" s="3">
        <v>3.3830983455472001</v>
      </c>
      <c r="K369" s="3">
        <v>4.0363848779126537</v>
      </c>
      <c r="L369" s="3">
        <v>4.46872508832785</v>
      </c>
      <c r="M369" s="3">
        <v>4.73138798817872</v>
      </c>
      <c r="N369" s="3">
        <v>4.9996655024421983</v>
      </c>
      <c r="O369" s="3">
        <v>5.0871195498638233</v>
      </c>
      <c r="P369" s="3">
        <v>5.1734331866673076</v>
      </c>
    </row>
    <row r="370" spans="1:16" x14ac:dyDescent="0.3">
      <c r="A370" s="3" t="str">
        <f t="shared" si="5"/>
        <v>ELC</v>
      </c>
      <c r="C370" s="3" t="s">
        <v>850</v>
      </c>
      <c r="D370" s="3" t="s">
        <v>745</v>
      </c>
      <c r="E370" s="3" t="s">
        <v>911</v>
      </c>
      <c r="F370" s="3" t="s">
        <v>6</v>
      </c>
      <c r="G370" s="3">
        <v>6.9111030811984699</v>
      </c>
      <c r="H370" s="3">
        <v>7.0996941598856278</v>
      </c>
      <c r="I370" s="3">
        <v>7.925390884488718</v>
      </c>
      <c r="J370" s="3">
        <v>11.752891636288187</v>
      </c>
      <c r="K370" s="3">
        <v>14.022410591432768</v>
      </c>
      <c r="L370" s="3">
        <v>15.524361502705528</v>
      </c>
      <c r="M370" s="3">
        <v>16.436853036652192</v>
      </c>
      <c r="N370" s="3">
        <v>17.368849754318131</v>
      </c>
      <c r="O370" s="3">
        <v>17.672665321445876</v>
      </c>
      <c r="P370" s="3">
        <v>17.972519099394827</v>
      </c>
    </row>
    <row r="371" spans="1:16" x14ac:dyDescent="0.3">
      <c r="A371" s="3" t="str">
        <f t="shared" si="5"/>
        <v>ELC</v>
      </c>
      <c r="C371" s="3" t="s">
        <v>850</v>
      </c>
      <c r="D371" s="3" t="s">
        <v>745</v>
      </c>
      <c r="E371" s="3" t="s">
        <v>911</v>
      </c>
      <c r="F371" s="3" t="s">
        <v>7</v>
      </c>
      <c r="G371" s="3">
        <v>1.3746148451265801</v>
      </c>
      <c r="H371" s="3">
        <v>1.4044036527609323</v>
      </c>
      <c r="I371" s="3">
        <v>1.5235588832983502</v>
      </c>
      <c r="J371" s="3">
        <v>2.163480499147755</v>
      </c>
      <c r="K371" s="3">
        <v>2.5314944625768834</v>
      </c>
      <c r="L371" s="3">
        <v>2.7655481799170571</v>
      </c>
      <c r="M371" s="3">
        <v>2.8967261667255975</v>
      </c>
      <c r="N371" s="3">
        <v>3.0313083067319013</v>
      </c>
      <c r="O371" s="3">
        <v>3.0843318900650347</v>
      </c>
      <c r="P371" s="3">
        <v>3.136664039905626</v>
      </c>
    </row>
    <row r="372" spans="1:16" x14ac:dyDescent="0.3">
      <c r="A372" s="3" t="str">
        <f t="shared" si="5"/>
        <v>ELC</v>
      </c>
      <c r="C372" s="3" t="s">
        <v>850</v>
      </c>
      <c r="D372" s="3" t="s">
        <v>745</v>
      </c>
      <c r="E372" s="3" t="s">
        <v>911</v>
      </c>
      <c r="F372" s="3" t="s">
        <v>8</v>
      </c>
      <c r="G372" s="3">
        <v>0.86194611758408402</v>
      </c>
      <c r="H372" s="3">
        <v>0.88062505676397229</v>
      </c>
      <c r="I372" s="3">
        <v>0.95534081348352728</v>
      </c>
      <c r="J372" s="3">
        <v>1.3566008131809313</v>
      </c>
      <c r="L372" s="3">
        <v>0.14676234123523599</v>
      </c>
      <c r="M372" s="3">
        <v>0.22901691373820232</v>
      </c>
    </row>
    <row r="373" spans="1:16" x14ac:dyDescent="0.3">
      <c r="A373" s="3" t="str">
        <f t="shared" si="5"/>
        <v>NGA</v>
      </c>
      <c r="C373" s="3" t="s">
        <v>850</v>
      </c>
      <c r="D373" s="3" t="s">
        <v>745</v>
      </c>
      <c r="E373" s="3" t="s">
        <v>912</v>
      </c>
      <c r="F373" s="3" t="s">
        <v>2</v>
      </c>
      <c r="G373" s="3">
        <v>0.27804512516360502</v>
      </c>
      <c r="I373" s="3">
        <v>0.231704270969671</v>
      </c>
      <c r="J373" s="3">
        <v>0.18536341677573701</v>
      </c>
      <c r="K373" s="3">
        <v>0.13902256258180301</v>
      </c>
      <c r="L373" s="3">
        <v>9.2681708387868406E-2</v>
      </c>
      <c r="M373" s="3">
        <v>4.6340854193934203E-2</v>
      </c>
    </row>
    <row r="374" spans="1:16" x14ac:dyDescent="0.3">
      <c r="A374" s="3" t="str">
        <f t="shared" si="5"/>
        <v>NGA</v>
      </c>
      <c r="C374" s="3" t="s">
        <v>850</v>
      </c>
      <c r="D374" s="3" t="s">
        <v>745</v>
      </c>
      <c r="E374" s="3" t="s">
        <v>912</v>
      </c>
      <c r="F374" s="3" t="s">
        <v>3</v>
      </c>
      <c r="G374" s="3">
        <v>0.18832657455320001</v>
      </c>
      <c r="H374" s="3">
        <v>0.18204902206809301</v>
      </c>
      <c r="I374" s="3">
        <v>0.156938812127667</v>
      </c>
      <c r="J374" s="3">
        <v>0.12555104970213299</v>
      </c>
      <c r="K374" s="3">
        <v>9.4163287276600005E-2</v>
      </c>
      <c r="L374" s="3">
        <v>6.2775524851066702E-2</v>
      </c>
      <c r="M374" s="3">
        <v>3.1387762425533303E-2</v>
      </c>
    </row>
    <row r="375" spans="1:16" x14ac:dyDescent="0.3">
      <c r="A375" s="3" t="str">
        <f t="shared" si="5"/>
        <v>NGA</v>
      </c>
      <c r="C375" s="3" t="s">
        <v>850</v>
      </c>
      <c r="D375" s="3" t="s">
        <v>745</v>
      </c>
      <c r="E375" s="3" t="s">
        <v>912</v>
      </c>
      <c r="F375" s="3" t="s">
        <v>4</v>
      </c>
      <c r="G375" s="3">
        <v>0.38073142528033699</v>
      </c>
      <c r="H375" s="3">
        <v>0.36804037777098803</v>
      </c>
      <c r="I375" s="3">
        <v>0.31727618773360999</v>
      </c>
      <c r="J375" s="3">
        <v>0.25382095018688799</v>
      </c>
      <c r="K375" s="3">
        <v>0.190365712640166</v>
      </c>
      <c r="L375" s="3">
        <v>0.126910475093444</v>
      </c>
      <c r="M375" s="3">
        <v>6.3455237546721999E-2</v>
      </c>
    </row>
    <row r="376" spans="1:16" x14ac:dyDescent="0.3">
      <c r="A376" s="3" t="str">
        <f t="shared" si="5"/>
        <v>NGA</v>
      </c>
      <c r="C376" s="3" t="s">
        <v>850</v>
      </c>
      <c r="D376" s="3" t="s">
        <v>745</v>
      </c>
      <c r="E376" s="3" t="s">
        <v>912</v>
      </c>
      <c r="F376" s="3" t="s">
        <v>5</v>
      </c>
      <c r="G376" s="3">
        <v>0.33186289459442803</v>
      </c>
      <c r="I376" s="3">
        <v>0.27655241216202098</v>
      </c>
      <c r="J376" s="3">
        <v>0.22124192972961701</v>
      </c>
      <c r="K376" s="3">
        <v>0.16593144729721199</v>
      </c>
      <c r="L376" s="3">
        <v>0.11062096486480801</v>
      </c>
      <c r="M376" s="3">
        <v>5.5310482432404197E-2</v>
      </c>
    </row>
    <row r="377" spans="1:16" x14ac:dyDescent="0.3">
      <c r="A377" s="3" t="str">
        <f t="shared" si="5"/>
        <v>NGA</v>
      </c>
      <c r="C377" s="3" t="s">
        <v>850</v>
      </c>
      <c r="D377" s="3" t="s">
        <v>745</v>
      </c>
      <c r="E377" s="3" t="s">
        <v>912</v>
      </c>
      <c r="F377" s="3" t="s">
        <v>6</v>
      </c>
      <c r="G377" s="3">
        <v>1.1350593765288799</v>
      </c>
      <c r="H377" s="3">
        <v>1.1144627296927201</v>
      </c>
      <c r="I377" s="3">
        <v>0.96074373249372502</v>
      </c>
      <c r="J377" s="3">
        <v>0.76859498599498</v>
      </c>
      <c r="K377" s="3">
        <v>0.57644623949623497</v>
      </c>
      <c r="L377" s="3">
        <v>0.38429749299749</v>
      </c>
      <c r="M377" s="3">
        <v>0.192148746498745</v>
      </c>
    </row>
    <row r="378" spans="1:16" x14ac:dyDescent="0.3">
      <c r="A378" s="3" t="str">
        <f t="shared" si="5"/>
        <v>NGA</v>
      </c>
      <c r="C378" s="3" t="s">
        <v>850</v>
      </c>
      <c r="D378" s="3" t="s">
        <v>745</v>
      </c>
      <c r="E378" s="3" t="s">
        <v>912</v>
      </c>
      <c r="F378" s="3" t="s">
        <v>7</v>
      </c>
      <c r="G378" s="3">
        <v>3.2758531511599201E-2</v>
      </c>
      <c r="H378" s="3">
        <v>3.1666580461219902E-2</v>
      </c>
      <c r="I378" s="3">
        <v>2.7298776259672301E-2</v>
      </c>
      <c r="J378" s="3">
        <v>2.1839021007737901E-2</v>
      </c>
      <c r="K378" s="3">
        <v>1.63792657558034E-2</v>
      </c>
      <c r="L378" s="3">
        <v>1.09195105038689E-2</v>
      </c>
      <c r="M378" s="3">
        <v>5.45975525193447E-3</v>
      </c>
    </row>
    <row r="379" spans="1:16" x14ac:dyDescent="0.3">
      <c r="A379" s="3" t="str">
        <f t="shared" si="5"/>
        <v>NGA</v>
      </c>
      <c r="C379" s="3" t="s">
        <v>850</v>
      </c>
      <c r="D379" s="3" t="s">
        <v>745</v>
      </c>
      <c r="E379" s="3" t="s">
        <v>912</v>
      </c>
      <c r="F379" s="3" t="s">
        <v>8</v>
      </c>
      <c r="G379" s="3">
        <v>2.0541091313171E-2</v>
      </c>
      <c r="H379" s="3">
        <v>1.98563882693986E-2</v>
      </c>
      <c r="I379" s="3">
        <v>1.7117576094309198E-2</v>
      </c>
      <c r="J379" s="3">
        <v>1.3694060875447301E-2</v>
      </c>
      <c r="K379" s="3">
        <v>1.5976328758683154</v>
      </c>
      <c r="L379" s="3">
        <v>1.5942093606494536</v>
      </c>
      <c r="M379" s="3">
        <v>1.5907858454305916</v>
      </c>
      <c r="N379" s="3">
        <v>1.9007683755571299</v>
      </c>
      <c r="O379" s="3">
        <v>1.9340165773762967</v>
      </c>
      <c r="P379" s="3">
        <v>1.9668312189028609</v>
      </c>
    </row>
    <row r="380" spans="1:16" x14ac:dyDescent="0.3">
      <c r="A380" s="3" t="str">
        <f t="shared" si="5"/>
        <v>OTP</v>
      </c>
      <c r="C380" s="3" t="s">
        <v>850</v>
      </c>
      <c r="D380" s="3" t="s">
        <v>913</v>
      </c>
      <c r="E380" s="3" t="s">
        <v>914</v>
      </c>
      <c r="F380" s="3" t="s">
        <v>2</v>
      </c>
      <c r="G380" s="3">
        <v>0.36588093453079801</v>
      </c>
      <c r="H380" s="3">
        <v>0.37334138026561597</v>
      </c>
      <c r="I380" s="3">
        <v>0.40318316320576703</v>
      </c>
      <c r="J380" s="3">
        <v>0.56812695305692595</v>
      </c>
      <c r="K380" s="3">
        <v>0.66238173626364805</v>
      </c>
      <c r="L380" s="3">
        <v>0.72181029578118705</v>
      </c>
      <c r="M380" s="3">
        <v>0.75449380735898897</v>
      </c>
      <c r="N380" s="3">
        <v>0.78806231134438198</v>
      </c>
      <c r="O380" s="3">
        <v>0.80184708128826598</v>
      </c>
      <c r="P380" s="3">
        <v>0.81545209628115001</v>
      </c>
    </row>
    <row r="381" spans="1:16" x14ac:dyDescent="0.3">
      <c r="A381" s="3" t="str">
        <f t="shared" si="5"/>
        <v>OTP</v>
      </c>
      <c r="C381" s="3" t="s">
        <v>850</v>
      </c>
      <c r="D381" s="3" t="s">
        <v>913</v>
      </c>
      <c r="E381" s="3" t="s">
        <v>914</v>
      </c>
      <c r="F381" s="3" t="s">
        <v>3</v>
      </c>
      <c r="G381" s="3">
        <v>0.24781985677311999</v>
      </c>
      <c r="H381" s="3">
        <v>0.25287299406172298</v>
      </c>
      <c r="I381" s="3">
        <v>0.27308554321613598</v>
      </c>
      <c r="J381" s="3">
        <v>0.38480589407061699</v>
      </c>
      <c r="K381" s="3">
        <v>0.44864689990063</v>
      </c>
      <c r="L381" s="3">
        <v>0.48889927633767</v>
      </c>
      <c r="M381" s="3">
        <v>0.51103659586871697</v>
      </c>
      <c r="N381" s="3">
        <v>0.53377334180068403</v>
      </c>
      <c r="O381" s="3">
        <v>0.54311009425438606</v>
      </c>
      <c r="P381" s="3">
        <v>0.55232509440502997</v>
      </c>
    </row>
    <row r="382" spans="1:16" x14ac:dyDescent="0.3">
      <c r="A382" s="3" t="str">
        <f t="shared" si="5"/>
        <v>COA</v>
      </c>
      <c r="C382" s="3" t="s">
        <v>850</v>
      </c>
      <c r="D382" s="3" t="s">
        <v>792</v>
      </c>
      <c r="E382" s="3" t="s">
        <v>915</v>
      </c>
      <c r="F382" s="3" t="s">
        <v>2</v>
      </c>
      <c r="H382" s="3">
        <v>3.13827494184499</v>
      </c>
      <c r="I382" s="3">
        <v>3.13827494184499</v>
      </c>
      <c r="J382" s="3">
        <v>18.140978069667788</v>
      </c>
      <c r="K382" s="3">
        <v>21.150646852171629</v>
      </c>
      <c r="L382" s="3">
        <v>23.04827235492013</v>
      </c>
      <c r="M382" s="3">
        <v>24.091896255494408</v>
      </c>
      <c r="N382" s="3">
        <v>25.163779029856649</v>
      </c>
      <c r="O382" s="3">
        <v>25.603943341551059</v>
      </c>
      <c r="P382" s="3">
        <v>26.03836786109656</v>
      </c>
    </row>
    <row r="383" spans="1:16" x14ac:dyDescent="0.3">
      <c r="A383" s="3" t="str">
        <f t="shared" si="5"/>
        <v>COA</v>
      </c>
      <c r="C383" s="3" t="s">
        <v>850</v>
      </c>
      <c r="D383" s="3" t="s">
        <v>792</v>
      </c>
      <c r="E383" s="3" t="s">
        <v>915</v>
      </c>
      <c r="F383" s="3" t="s">
        <v>3</v>
      </c>
      <c r="H383" s="3">
        <v>0.42512564782858703</v>
      </c>
      <c r="I383" s="3">
        <v>2.125628239143007</v>
      </c>
      <c r="J383" s="3">
        <v>12.287315797732507</v>
      </c>
      <c r="K383" s="3">
        <v>14.325836027192127</v>
      </c>
      <c r="L383" s="3">
        <v>15.611142901416727</v>
      </c>
      <c r="M383" s="3">
        <v>16.31801418427543</v>
      </c>
      <c r="N383" s="3">
        <v>17.044025874282369</v>
      </c>
      <c r="O383" s="3">
        <v>17.342159628697949</v>
      </c>
      <c r="P383" s="3">
        <v>17.636405685411749</v>
      </c>
    </row>
    <row r="384" spans="1:16" x14ac:dyDescent="0.3">
      <c r="A384" s="3" t="str">
        <f t="shared" si="5"/>
        <v>COA</v>
      </c>
      <c r="C384" s="3" t="s">
        <v>850</v>
      </c>
      <c r="D384" s="3" t="s">
        <v>792</v>
      </c>
      <c r="E384" s="3" t="s">
        <v>915</v>
      </c>
      <c r="F384" s="3" t="s">
        <v>4</v>
      </c>
      <c r="G384" s="3">
        <v>0.32428122390354103</v>
      </c>
      <c r="H384" s="3">
        <v>1.1850960492764009</v>
      </c>
      <c r="I384" s="3">
        <v>4.6283553507679986</v>
      </c>
      <c r="J384" s="3">
        <v>25.19236807033851</v>
      </c>
      <c r="K384" s="3">
        <v>29.371893752331349</v>
      </c>
      <c r="L384" s="3">
        <v>32.007125432856547</v>
      </c>
      <c r="M384" s="3">
        <v>33.45640547328766</v>
      </c>
      <c r="N384" s="3">
        <v>34.944928599013771</v>
      </c>
      <c r="O384" s="3">
        <v>35.556184580309051</v>
      </c>
      <c r="P384" s="3">
        <v>36.159469714833747</v>
      </c>
    </row>
    <row r="385" spans="1:16" x14ac:dyDescent="0.3">
      <c r="A385" s="3" t="str">
        <f t="shared" si="5"/>
        <v>COA</v>
      </c>
      <c r="C385" s="3" t="s">
        <v>850</v>
      </c>
      <c r="D385" s="3" t="s">
        <v>792</v>
      </c>
      <c r="E385" s="3" t="s">
        <v>915</v>
      </c>
      <c r="F385" s="3" t="s">
        <v>5</v>
      </c>
      <c r="G385" s="3">
        <v>0.28265832153995102</v>
      </c>
      <c r="H385" s="3">
        <v>1.0329838284185091</v>
      </c>
      <c r="I385" s="3">
        <v>4.0342858559325734</v>
      </c>
      <c r="J385" s="3">
        <v>21.958818301785712</v>
      </c>
      <c r="K385" s="3">
        <v>25.601883724705864</v>
      </c>
      <c r="L385" s="3">
        <v>27.898871982982893</v>
      </c>
      <c r="M385" s="3">
        <v>29.162130640818255</v>
      </c>
      <c r="N385" s="3">
        <v>30.459595363648845</v>
      </c>
      <c r="O385" s="3">
        <v>30.992393987091695</v>
      </c>
      <c r="P385" s="3">
        <v>31.518244856537802</v>
      </c>
    </row>
    <row r="386" spans="1:16" x14ac:dyDescent="0.3">
      <c r="A386" s="3" t="str">
        <f t="shared" si="5"/>
        <v>COA</v>
      </c>
      <c r="C386" s="3" t="s">
        <v>850</v>
      </c>
      <c r="D386" s="3" t="s">
        <v>792</v>
      </c>
      <c r="E386" s="3" t="s">
        <v>915</v>
      </c>
      <c r="F386" s="3" t="s">
        <v>6</v>
      </c>
      <c r="G386" s="3">
        <v>0.98195567608213796</v>
      </c>
      <c r="H386" s="3">
        <v>3.5016721894280227</v>
      </c>
      <c r="I386" s="3">
        <v>14.015118584120305</v>
      </c>
      <c r="J386" s="3">
        <v>76.284986601560377</v>
      </c>
      <c r="K386" s="3">
        <v>88.941004478144762</v>
      </c>
      <c r="L386" s="3">
        <v>96.920747108118576</v>
      </c>
      <c r="M386" s="3">
        <v>101.30931066663439</v>
      </c>
      <c r="N386" s="3">
        <v>105.81670617566627</v>
      </c>
      <c r="O386" s="3">
        <v>107.66764985087173</v>
      </c>
      <c r="P386" s="3">
        <v>109.49445701229584</v>
      </c>
    </row>
    <row r="387" spans="1:16" x14ac:dyDescent="0.3">
      <c r="A387" s="3" t="str">
        <f t="shared" si="5"/>
        <v>COA</v>
      </c>
      <c r="C387" s="3" t="s">
        <v>850</v>
      </c>
      <c r="D387" s="3" t="s">
        <v>792</v>
      </c>
      <c r="E387" s="3" t="s">
        <v>915</v>
      </c>
      <c r="F387" s="3" t="s">
        <v>7</v>
      </c>
      <c r="H387" s="3">
        <v>0.17293176310400599</v>
      </c>
      <c r="I387" s="3">
        <v>0.39008940470250697</v>
      </c>
      <c r="J387" s="3">
        <v>2.2549341491913868</v>
      </c>
      <c r="K387" s="3">
        <v>2.6290377333178987</v>
      </c>
      <c r="L387" s="3">
        <v>2.8649136895144807</v>
      </c>
      <c r="M387" s="3">
        <v>2.9946367487277015</v>
      </c>
      <c r="N387" s="3">
        <v>3.1278724024260409</v>
      </c>
      <c r="O387" s="3">
        <v>3.1825850829597648</v>
      </c>
      <c r="P387" s="3">
        <v>3.2365843039834052</v>
      </c>
    </row>
    <row r="388" spans="1:16" x14ac:dyDescent="0.3">
      <c r="A388" s="3" t="str">
        <f t="shared" si="5"/>
        <v>COA</v>
      </c>
      <c r="C388" s="3" t="s">
        <v>850</v>
      </c>
      <c r="D388" s="3" t="s">
        <v>792</v>
      </c>
      <c r="E388" s="3" t="s">
        <v>915</v>
      </c>
      <c r="F388" s="3" t="s">
        <v>8</v>
      </c>
      <c r="H388" s="3">
        <v>0.108436092002729</v>
      </c>
      <c r="I388" s="3">
        <v>0.29591014070391697</v>
      </c>
      <c r="J388" s="3">
        <v>1.4139464172048268</v>
      </c>
      <c r="K388" s="3">
        <v>1.6485264037773137</v>
      </c>
      <c r="L388" s="3">
        <v>1.7964313717731728</v>
      </c>
      <c r="M388" s="3">
        <v>1.8777736384061732</v>
      </c>
      <c r="N388" s="3">
        <v>1.9613184617697592</v>
      </c>
      <c r="O388" s="3">
        <v>1.9956258044671373</v>
      </c>
      <c r="P388" s="3">
        <v>2.0294857755556874</v>
      </c>
    </row>
    <row r="389" spans="1:16" x14ac:dyDescent="0.3">
      <c r="A389" s="3" t="str">
        <f t="shared" si="5"/>
        <v>ELC</v>
      </c>
      <c r="C389" s="3" t="s">
        <v>850</v>
      </c>
      <c r="D389" s="3" t="s">
        <v>792</v>
      </c>
      <c r="E389" s="3" t="s">
        <v>916</v>
      </c>
      <c r="F389" s="3" t="s">
        <v>2</v>
      </c>
      <c r="G389" s="3">
        <v>0.190487199431739</v>
      </c>
      <c r="H389" s="3">
        <v>0.18413762611734799</v>
      </c>
      <c r="I389" s="3">
        <v>0.15873933285978301</v>
      </c>
    </row>
    <row r="390" spans="1:16" x14ac:dyDescent="0.3">
      <c r="A390" s="3" t="str">
        <f t="shared" si="5"/>
        <v>ELC</v>
      </c>
      <c r="C390" s="3" t="s">
        <v>850</v>
      </c>
      <c r="D390" s="3" t="s">
        <v>792</v>
      </c>
      <c r="E390" s="3" t="s">
        <v>916</v>
      </c>
      <c r="F390" s="3" t="s">
        <v>3</v>
      </c>
      <c r="G390" s="3">
        <v>0.12902150952692701</v>
      </c>
      <c r="H390" s="3">
        <v>0.124720792542696</v>
      </c>
      <c r="I390" s="3">
        <v>0.107517924605773</v>
      </c>
    </row>
    <row r="391" spans="1:16" x14ac:dyDescent="0.3">
      <c r="A391" s="3" t="str">
        <f t="shared" si="5"/>
        <v>ELC</v>
      </c>
      <c r="C391" s="3" t="s">
        <v>850</v>
      </c>
      <c r="D391" s="3" t="s">
        <v>792</v>
      </c>
      <c r="E391" s="3" t="s">
        <v>916</v>
      </c>
      <c r="F391" s="3" t="s">
        <v>4</v>
      </c>
      <c r="G391" s="3">
        <v>0.16302313989193001</v>
      </c>
      <c r="H391" s="3">
        <v>0.157589035228866</v>
      </c>
      <c r="I391" s="3">
        <v>0.13585261657660799</v>
      </c>
    </row>
    <row r="392" spans="1:16" x14ac:dyDescent="0.3">
      <c r="A392" s="3" t="str">
        <f t="shared" ref="A392:A455" si="6">RIGHT(E392,3)</f>
        <v>ELC</v>
      </c>
      <c r="C392" s="3" t="s">
        <v>850</v>
      </c>
      <c r="D392" s="3" t="s">
        <v>792</v>
      </c>
      <c r="E392" s="3" t="s">
        <v>916</v>
      </c>
      <c r="F392" s="3" t="s">
        <v>5</v>
      </c>
      <c r="G392" s="3">
        <v>0.14209841241912899</v>
      </c>
      <c r="H392" s="3">
        <v>0.13736179867182499</v>
      </c>
      <c r="I392" s="3">
        <v>0.118415343682607</v>
      </c>
    </row>
    <row r="393" spans="1:16" x14ac:dyDescent="0.3">
      <c r="A393" s="3" t="str">
        <f t="shared" si="6"/>
        <v>ELC</v>
      </c>
      <c r="C393" s="3" t="s">
        <v>850</v>
      </c>
      <c r="D393" s="3" t="s">
        <v>792</v>
      </c>
      <c r="E393" s="3" t="s">
        <v>916</v>
      </c>
      <c r="F393" s="3" t="s">
        <v>6</v>
      </c>
      <c r="G393" s="3">
        <v>0.493650220085605</v>
      </c>
      <c r="H393" s="3">
        <v>0.47719521274941801</v>
      </c>
      <c r="I393" s="3">
        <v>0.411375183404671</v>
      </c>
    </row>
    <row r="394" spans="1:16" x14ac:dyDescent="0.3">
      <c r="A394" s="3" t="str">
        <f t="shared" si="6"/>
        <v>ELC</v>
      </c>
      <c r="C394" s="3" t="s">
        <v>850</v>
      </c>
      <c r="D394" s="3" t="s">
        <v>792</v>
      </c>
      <c r="E394" s="3" t="s">
        <v>916</v>
      </c>
      <c r="F394" s="3" t="s">
        <v>7</v>
      </c>
      <c r="G394" s="3">
        <v>9.8186774651898207E-2</v>
      </c>
      <c r="I394" s="3">
        <v>8.1822312209915204E-2</v>
      </c>
    </row>
    <row r="395" spans="1:16" x14ac:dyDescent="0.3">
      <c r="A395" s="3" t="str">
        <f t="shared" si="6"/>
        <v>ELC</v>
      </c>
      <c r="C395" s="3" t="s">
        <v>850</v>
      </c>
      <c r="D395" s="3" t="s">
        <v>792</v>
      </c>
      <c r="E395" s="3" t="s">
        <v>916</v>
      </c>
      <c r="F395" s="3" t="s">
        <v>8</v>
      </c>
      <c r="G395" s="3">
        <v>6.1567579827432099E-2</v>
      </c>
    </row>
    <row r="396" spans="1:16" x14ac:dyDescent="0.3">
      <c r="A396" s="3" t="str">
        <f t="shared" si="6"/>
        <v>NGA</v>
      </c>
      <c r="C396" s="3" t="s">
        <v>850</v>
      </c>
      <c r="D396" s="3" t="s">
        <v>792</v>
      </c>
      <c r="E396" s="3" t="s">
        <v>917</v>
      </c>
      <c r="F396" s="3" t="s">
        <v>2</v>
      </c>
      <c r="G396" s="3">
        <v>11.492531840095699</v>
      </c>
      <c r="H396" s="3">
        <v>8.5988274919498302</v>
      </c>
      <c r="I396" s="3">
        <v>9.5771098667464205</v>
      </c>
    </row>
    <row r="397" spans="1:16" x14ac:dyDescent="0.3">
      <c r="A397" s="3" t="str">
        <f t="shared" si="6"/>
        <v>NGA</v>
      </c>
      <c r="C397" s="3" t="s">
        <v>850</v>
      </c>
      <c r="D397" s="3" t="s">
        <v>792</v>
      </c>
      <c r="E397" s="3" t="s">
        <v>917</v>
      </c>
      <c r="F397" s="3" t="s">
        <v>3</v>
      </c>
      <c r="G397" s="3">
        <v>7.78416508153229</v>
      </c>
      <c r="H397" s="3">
        <v>7.5246929121478798</v>
      </c>
      <c r="I397" s="3">
        <v>6.4868042346102399</v>
      </c>
    </row>
    <row r="398" spans="1:16" x14ac:dyDescent="0.3">
      <c r="A398" s="3" t="str">
        <f t="shared" si="6"/>
        <v>NGA</v>
      </c>
      <c r="C398" s="3" t="s">
        <v>850</v>
      </c>
      <c r="D398" s="3" t="s">
        <v>792</v>
      </c>
      <c r="E398" s="3" t="s">
        <v>917</v>
      </c>
      <c r="F398" s="3" t="s">
        <v>4</v>
      </c>
      <c r="G398" s="3">
        <v>15.736898911587099</v>
      </c>
      <c r="H398" s="3">
        <v>15.212335614534201</v>
      </c>
      <c r="I398" s="3">
        <v>13.1140824263226</v>
      </c>
    </row>
    <row r="399" spans="1:16" x14ac:dyDescent="0.3">
      <c r="A399" s="3" t="str">
        <f t="shared" si="6"/>
        <v>NGA</v>
      </c>
      <c r="C399" s="3" t="s">
        <v>850</v>
      </c>
      <c r="D399" s="3" t="s">
        <v>792</v>
      </c>
      <c r="E399" s="3" t="s">
        <v>917</v>
      </c>
      <c r="F399" s="3" t="s">
        <v>5</v>
      </c>
      <c r="G399" s="3">
        <v>13.716999643236299</v>
      </c>
      <c r="H399" s="3">
        <v>13.259766321795</v>
      </c>
      <c r="I399" s="3">
        <v>11.430833036030201</v>
      </c>
    </row>
    <row r="400" spans="1:16" x14ac:dyDescent="0.3">
      <c r="A400" s="3" t="str">
        <f t="shared" si="6"/>
        <v>NGA</v>
      </c>
      <c r="C400" s="3" t="s">
        <v>850</v>
      </c>
      <c r="D400" s="3" t="s">
        <v>792</v>
      </c>
      <c r="E400" s="3" t="s">
        <v>917</v>
      </c>
      <c r="F400" s="3" t="s">
        <v>6</v>
      </c>
      <c r="G400" s="3">
        <v>47.544244046361499</v>
      </c>
      <c r="H400" s="3">
        <v>46.0644594939656</v>
      </c>
      <c r="I400" s="3">
        <v>39.710740943073802</v>
      </c>
    </row>
    <row r="401" spans="1:16" x14ac:dyDescent="0.3">
      <c r="A401" s="3" t="str">
        <f t="shared" si="6"/>
        <v>NGA</v>
      </c>
      <c r="C401" s="3" t="s">
        <v>850</v>
      </c>
      <c r="D401" s="3" t="s">
        <v>792</v>
      </c>
      <c r="E401" s="3" t="s">
        <v>917</v>
      </c>
      <c r="F401" s="3" t="s">
        <v>7</v>
      </c>
      <c r="G401" s="3">
        <v>1.35401930247975</v>
      </c>
      <c r="H401" s="3">
        <v>1.30888532573042</v>
      </c>
      <c r="I401" s="3">
        <v>1.12834941873312</v>
      </c>
    </row>
    <row r="402" spans="1:16" x14ac:dyDescent="0.3">
      <c r="A402" s="3" t="str">
        <f t="shared" si="6"/>
        <v>NGA</v>
      </c>
      <c r="C402" s="3" t="s">
        <v>850</v>
      </c>
      <c r="D402" s="3" t="s">
        <v>792</v>
      </c>
      <c r="E402" s="3" t="s">
        <v>917</v>
      </c>
      <c r="F402" s="3" t="s">
        <v>8</v>
      </c>
      <c r="G402" s="3">
        <v>0.84903177427773502</v>
      </c>
      <c r="H402" s="3">
        <v>0.82073071513514395</v>
      </c>
      <c r="I402" s="3">
        <v>0.70752647856477902</v>
      </c>
    </row>
    <row r="403" spans="1:16" x14ac:dyDescent="0.3">
      <c r="A403" s="3" t="str">
        <f t="shared" si="6"/>
        <v>STM</v>
      </c>
      <c r="C403" s="3" t="s">
        <v>850</v>
      </c>
      <c r="D403" s="3" t="s">
        <v>776</v>
      </c>
      <c r="E403" s="3" t="s">
        <v>1206</v>
      </c>
      <c r="F403" s="3" t="s">
        <v>2</v>
      </c>
      <c r="H403" s="3">
        <v>0.94006967177302903</v>
      </c>
      <c r="I403" s="3">
        <v>1.0152109675835499</v>
      </c>
      <c r="J403" s="3">
        <v>1.4305376969080199</v>
      </c>
      <c r="K403" s="3">
        <v>1.6678702504255001</v>
      </c>
      <c r="L403" s="3">
        <v>1.6678702504255001</v>
      </c>
      <c r="M403" s="3">
        <v>1.8998074773656899</v>
      </c>
      <c r="N403" s="3">
        <v>1.9843326176036</v>
      </c>
      <c r="O403" s="3">
        <v>2.0190425234473901</v>
      </c>
      <c r="P403" s="3">
        <v>2.05329980821364</v>
      </c>
    </row>
    <row r="404" spans="1:16" x14ac:dyDescent="0.3">
      <c r="A404" s="3" t="str">
        <f t="shared" si="6"/>
        <v>STM</v>
      </c>
      <c r="C404" s="3" t="s">
        <v>850</v>
      </c>
      <c r="D404" s="3" t="s">
        <v>776</v>
      </c>
      <c r="E404" s="3" t="s">
        <v>1206</v>
      </c>
      <c r="F404" s="3" t="s">
        <v>3</v>
      </c>
      <c r="H404" s="3">
        <v>9.8493885506701204</v>
      </c>
      <c r="I404" s="3">
        <v>10.6366661757879</v>
      </c>
      <c r="J404" s="3">
        <v>14.9881674053513</v>
      </c>
      <c r="K404" s="3">
        <v>17.474770904544702</v>
      </c>
      <c r="L404" s="3">
        <v>17.7524191249571</v>
      </c>
      <c r="M404" s="3">
        <v>19.904845968226201</v>
      </c>
      <c r="N404" s="3">
        <v>14.062955710596</v>
      </c>
      <c r="O404" s="3">
        <v>3.8082527050248398</v>
      </c>
      <c r="P404" s="3">
        <v>3.87072482710286</v>
      </c>
    </row>
    <row r="405" spans="1:16" x14ac:dyDescent="0.3">
      <c r="A405" s="3" t="str">
        <f t="shared" si="6"/>
        <v>STM</v>
      </c>
      <c r="C405" s="3" t="s">
        <v>850</v>
      </c>
      <c r="D405" s="3" t="s">
        <v>776</v>
      </c>
      <c r="E405" s="3" t="s">
        <v>1206</v>
      </c>
      <c r="F405" s="3" t="s">
        <v>4</v>
      </c>
      <c r="H405" s="3">
        <v>0.93583365592101697</v>
      </c>
      <c r="I405" s="3">
        <v>1.0106363601039701</v>
      </c>
      <c r="J405" s="3">
        <v>1.4240915998335599</v>
      </c>
      <c r="K405" s="3">
        <v>1.66035471723468</v>
      </c>
      <c r="L405" s="3">
        <v>1.66035471723468</v>
      </c>
      <c r="M405" s="3">
        <v>4.9504119050934303</v>
      </c>
      <c r="N405" s="3">
        <v>5.0247369418121997</v>
      </c>
      <c r="O405" s="3">
        <v>5.0483878698041202</v>
      </c>
      <c r="P405" s="3">
        <v>5.0928232675471303</v>
      </c>
    </row>
    <row r="406" spans="1:16" x14ac:dyDescent="0.3">
      <c r="A406" s="3" t="str">
        <f t="shared" si="6"/>
        <v>STM</v>
      </c>
      <c r="C406" s="3" t="s">
        <v>850</v>
      </c>
      <c r="D406" s="3" t="s">
        <v>776</v>
      </c>
      <c r="E406" s="3" t="s">
        <v>1206</v>
      </c>
      <c r="F406" s="3" t="s">
        <v>5</v>
      </c>
      <c r="G406" s="3">
        <v>5.9257715590818503</v>
      </c>
      <c r="H406" s="3">
        <v>7.0697609549432503</v>
      </c>
      <c r="I406" s="3">
        <v>7.6348584314134298</v>
      </c>
      <c r="J406" s="3">
        <v>10.758308514623099</v>
      </c>
      <c r="K406" s="3">
        <v>12.5431596491463</v>
      </c>
      <c r="L406" s="3">
        <v>12.665810659745301</v>
      </c>
      <c r="M406" s="3">
        <v>14.287435419607901</v>
      </c>
      <c r="N406" s="3">
        <v>6.7218475801948498</v>
      </c>
      <c r="O406" s="3">
        <v>4.4331649286972601</v>
      </c>
      <c r="P406" s="3">
        <v>4.5058666312937401</v>
      </c>
    </row>
    <row r="407" spans="1:16" x14ac:dyDescent="0.3">
      <c r="A407" s="3" t="str">
        <f t="shared" si="6"/>
        <v>STM</v>
      </c>
      <c r="C407" s="3" t="s">
        <v>850</v>
      </c>
      <c r="D407" s="3" t="s">
        <v>776</v>
      </c>
      <c r="E407" s="3" t="s">
        <v>1206</v>
      </c>
      <c r="F407" s="3" t="s">
        <v>6</v>
      </c>
      <c r="G407" s="3">
        <v>4.6310067119583103</v>
      </c>
      <c r="H407" s="3">
        <v>10.5585927367395</v>
      </c>
      <c r="I407" s="3">
        <v>11.4223623539014</v>
      </c>
      <c r="J407" s="3">
        <v>16.095294925637301</v>
      </c>
      <c r="K407" s="3">
        <v>18.765575794554699</v>
      </c>
      <c r="L407" s="3">
        <v>18.765575794554699</v>
      </c>
      <c r="M407" s="3">
        <v>21.375152654993599</v>
      </c>
      <c r="N407" s="3">
        <v>22.3261636375777</v>
      </c>
      <c r="O407" s="3">
        <v>15.637121800726399</v>
      </c>
      <c r="P407" s="3">
        <v>15.8896876871171</v>
      </c>
    </row>
    <row r="408" spans="1:16" x14ac:dyDescent="0.3">
      <c r="A408" s="3" t="str">
        <f t="shared" si="6"/>
        <v>STM</v>
      </c>
      <c r="C408" s="3" t="s">
        <v>850</v>
      </c>
      <c r="D408" s="3" t="s">
        <v>776</v>
      </c>
      <c r="E408" s="3" t="s">
        <v>1206</v>
      </c>
      <c r="F408" s="3" t="s">
        <v>7</v>
      </c>
      <c r="H408" s="3">
        <v>1.28318695578585</v>
      </c>
      <c r="I408" s="3">
        <v>1.38575417342947</v>
      </c>
      <c r="J408" s="3">
        <v>1.95267155993891</v>
      </c>
      <c r="K408" s="3">
        <v>2.2766284388823599</v>
      </c>
      <c r="L408" s="3">
        <v>2.2766284388823599</v>
      </c>
      <c r="M408" s="3">
        <v>2.5932207438010701</v>
      </c>
      <c r="N408" s="3">
        <v>2.7085968277722601</v>
      </c>
      <c r="O408" s="3">
        <v>2.7085968277722601</v>
      </c>
      <c r="P408" s="3">
        <v>2.7344142696974898</v>
      </c>
    </row>
    <row r="409" spans="1:16" x14ac:dyDescent="0.3">
      <c r="A409" s="3" t="str">
        <f t="shared" si="6"/>
        <v>NGA</v>
      </c>
      <c r="C409" s="3" t="s">
        <v>850</v>
      </c>
      <c r="D409" s="3" t="s">
        <v>776</v>
      </c>
      <c r="E409" s="3" t="s">
        <v>918</v>
      </c>
      <c r="F409" s="3" t="s">
        <v>2</v>
      </c>
      <c r="G409" s="3">
        <v>0.92128434782039903</v>
      </c>
      <c r="L409" s="3">
        <v>0.149640488284072</v>
      </c>
    </row>
    <row r="410" spans="1:16" x14ac:dyDescent="0.3">
      <c r="A410" s="3" t="str">
        <f t="shared" si="6"/>
        <v>NGA</v>
      </c>
      <c r="C410" s="3" t="s">
        <v>850</v>
      </c>
      <c r="D410" s="3" t="s">
        <v>776</v>
      </c>
      <c r="E410" s="3" t="s">
        <v>918</v>
      </c>
      <c r="F410" s="3" t="s">
        <v>3</v>
      </c>
      <c r="G410" s="3">
        <v>9.6525691443906805</v>
      </c>
      <c r="L410" s="3">
        <v>1.2901795228675901</v>
      </c>
      <c r="N410" s="3">
        <v>6.7274852018143703</v>
      </c>
      <c r="O410" s="3">
        <v>9.6525691443907</v>
      </c>
    </row>
    <row r="411" spans="1:16" x14ac:dyDescent="0.3">
      <c r="A411" s="3" t="str">
        <f t="shared" si="6"/>
        <v>NGA</v>
      </c>
      <c r="C411" s="3" t="s">
        <v>850</v>
      </c>
      <c r="D411" s="3" t="s">
        <v>776</v>
      </c>
      <c r="E411" s="3" t="s">
        <v>918</v>
      </c>
      <c r="F411" s="3" t="s">
        <v>4</v>
      </c>
      <c r="G411" s="3">
        <v>0.91713297987527898</v>
      </c>
      <c r="L411" s="3">
        <v>0.14896619838885899</v>
      </c>
    </row>
    <row r="412" spans="1:16" x14ac:dyDescent="0.3">
      <c r="A412" s="3" t="str">
        <f t="shared" si="6"/>
        <v>NGA</v>
      </c>
      <c r="C412" s="3" t="s">
        <v>850</v>
      </c>
      <c r="D412" s="3" t="s">
        <v>776</v>
      </c>
      <c r="E412" s="3" t="s">
        <v>918</v>
      </c>
      <c r="F412" s="3" t="s">
        <v>5</v>
      </c>
      <c r="G412" s="3">
        <v>1.00271502674386</v>
      </c>
      <c r="L412" s="3">
        <v>1.00271502674386</v>
      </c>
      <c r="N412" s="3">
        <v>1.00271502674386</v>
      </c>
    </row>
    <row r="413" spans="1:16" x14ac:dyDescent="0.3">
      <c r="A413" s="3" t="str">
        <f t="shared" si="6"/>
        <v>NGA</v>
      </c>
      <c r="C413" s="3" t="s">
        <v>850</v>
      </c>
      <c r="D413" s="3" t="s">
        <v>776</v>
      </c>
      <c r="E413" s="3" t="s">
        <v>918</v>
      </c>
      <c r="F413" s="3" t="s">
        <v>6</v>
      </c>
      <c r="G413" s="3">
        <v>5.7116436204906904</v>
      </c>
      <c r="L413" s="3">
        <v>1.6836381152026401</v>
      </c>
      <c r="O413" s="3">
        <v>5.7116436204906904</v>
      </c>
      <c r="P413" s="3">
        <v>5.7116436204906904</v>
      </c>
    </row>
    <row r="414" spans="1:16" x14ac:dyDescent="0.3">
      <c r="A414" s="3" t="str">
        <f t="shared" si="6"/>
        <v>NGA</v>
      </c>
      <c r="C414" s="3" t="s">
        <v>850</v>
      </c>
      <c r="D414" s="3" t="s">
        <v>776</v>
      </c>
      <c r="E414" s="3" t="s">
        <v>918</v>
      </c>
      <c r="F414" s="3" t="s">
        <v>7</v>
      </c>
      <c r="G414" s="3">
        <v>1.25754515137495</v>
      </c>
      <c r="L414" s="3">
        <v>0.20425796979642499</v>
      </c>
    </row>
    <row r="415" spans="1:16" x14ac:dyDescent="0.3">
      <c r="A415" s="3" t="str">
        <f t="shared" si="6"/>
        <v>NGA</v>
      </c>
      <c r="C415" s="3" t="s">
        <v>850</v>
      </c>
      <c r="D415" s="3" t="s">
        <v>776</v>
      </c>
      <c r="E415" s="3" t="s">
        <v>1207</v>
      </c>
      <c r="F415" s="3" t="s">
        <v>3</v>
      </c>
      <c r="O415" s="3">
        <v>7.69328503316473</v>
      </c>
      <c r="P415" s="3">
        <v>17.64230578047891</v>
      </c>
    </row>
    <row r="416" spans="1:16" x14ac:dyDescent="0.3">
      <c r="A416" s="3" t="str">
        <f t="shared" si="6"/>
        <v>NGA</v>
      </c>
      <c r="C416" s="3" t="s">
        <v>850</v>
      </c>
      <c r="D416" s="3" t="s">
        <v>776</v>
      </c>
      <c r="E416" s="3" t="s">
        <v>1207</v>
      </c>
      <c r="F416" s="3" t="s">
        <v>5</v>
      </c>
      <c r="N416" s="3">
        <v>7.1985411616311197</v>
      </c>
      <c r="O416" s="3">
        <v>10.75097346789255</v>
      </c>
      <c r="P416" s="3">
        <v>10.935902472396741</v>
      </c>
    </row>
    <row r="417" spans="1:16" x14ac:dyDescent="0.3">
      <c r="A417" s="3" t="str">
        <f t="shared" si="6"/>
        <v>NGA</v>
      </c>
      <c r="C417" s="3" t="s">
        <v>850</v>
      </c>
      <c r="D417" s="3" t="s">
        <v>776</v>
      </c>
      <c r="E417" s="3" t="s">
        <v>1207</v>
      </c>
      <c r="F417" s="3" t="s">
        <v>6</v>
      </c>
      <c r="O417" s="3">
        <v>1.36792701724743</v>
      </c>
      <c r="P417" s="3">
        <v>1.5007973922401301</v>
      </c>
    </row>
    <row r="418" spans="1:16" x14ac:dyDescent="0.3">
      <c r="A418" s="3" t="str">
        <f t="shared" si="6"/>
        <v>NGA</v>
      </c>
      <c r="C418" s="3" t="s">
        <v>850</v>
      </c>
      <c r="D418" s="3" t="s">
        <v>776</v>
      </c>
      <c r="E418" s="3" t="s">
        <v>1207</v>
      </c>
      <c r="F418" s="3" t="s">
        <v>7</v>
      </c>
      <c r="O418" s="3">
        <v>4.7378720697691903E-2</v>
      </c>
      <c r="P418" s="3">
        <v>6.8322175621498005E-2</v>
      </c>
    </row>
    <row r="419" spans="1:16" x14ac:dyDescent="0.3">
      <c r="A419" s="3" t="str">
        <f t="shared" si="6"/>
        <v>EXT</v>
      </c>
      <c r="C419" s="3" t="s">
        <v>850</v>
      </c>
      <c r="D419" s="3" t="s">
        <v>919</v>
      </c>
      <c r="E419" s="3" t="s">
        <v>920</v>
      </c>
      <c r="F419" s="3" t="s">
        <v>0</v>
      </c>
      <c r="G419" s="3">
        <v>9.3310755905314693</v>
      </c>
      <c r="H419" s="3">
        <v>9.5213396259612697</v>
      </c>
      <c r="I419" s="3">
        <v>10.2823957676805</v>
      </c>
      <c r="J419" s="3">
        <v>14.4889636044872</v>
      </c>
      <c r="K419" s="3">
        <v>16.892746977345801</v>
      </c>
      <c r="L419" s="3">
        <v>18.408355823720001</v>
      </c>
      <c r="M419" s="3">
        <v>19.241884680550299</v>
      </c>
      <c r="N419" s="3">
        <v>20.0979835329038</v>
      </c>
      <c r="O419" s="3">
        <v>20.4495370526557</v>
      </c>
      <c r="P419" s="3">
        <v>20.796506274955501</v>
      </c>
    </row>
    <row r="420" spans="1:16" x14ac:dyDescent="0.3">
      <c r="A420" s="3" t="str">
        <f t="shared" si="6"/>
        <v>EXT</v>
      </c>
      <c r="C420" s="3" t="s">
        <v>850</v>
      </c>
      <c r="D420" s="3" t="s">
        <v>919</v>
      </c>
      <c r="E420" s="3" t="s">
        <v>920</v>
      </c>
      <c r="F420" s="3" t="s">
        <v>1</v>
      </c>
      <c r="G420" s="3">
        <v>23.8367929101993</v>
      </c>
      <c r="H420" s="3">
        <v>24.322833813715398</v>
      </c>
      <c r="I420" s="3">
        <v>26.266997427779799</v>
      </c>
      <c r="J420" s="3">
        <v>37.012927563681401</v>
      </c>
      <c r="K420" s="3">
        <v>43.153536532485802</v>
      </c>
      <c r="L420" s="3">
        <v>47.025250340114702</v>
      </c>
      <c r="M420" s="3">
        <v>49.1545498567856</v>
      </c>
      <c r="N420" s="3">
        <v>51.341505782307799</v>
      </c>
      <c r="O420" s="3">
        <v>52.2395703586661</v>
      </c>
      <c r="P420" s="3">
        <v>53.125924071904201</v>
      </c>
    </row>
    <row r="421" spans="1:16" x14ac:dyDescent="0.3">
      <c r="A421" s="3" t="str">
        <f t="shared" si="6"/>
        <v>EXT</v>
      </c>
      <c r="C421" s="3" t="s">
        <v>850</v>
      </c>
      <c r="D421" s="3" t="s">
        <v>919</v>
      </c>
      <c r="E421" s="3" t="s">
        <v>920</v>
      </c>
      <c r="F421" s="3" t="s">
        <v>2</v>
      </c>
      <c r="G421" s="3">
        <v>45.508028224812797</v>
      </c>
      <c r="H421" s="3">
        <v>46.435953522437899</v>
      </c>
      <c r="I421" s="3">
        <v>50.147654712938198</v>
      </c>
      <c r="J421" s="3">
        <v>70.663254012256303</v>
      </c>
      <c r="K421" s="3">
        <v>82.386601499590597</v>
      </c>
      <c r="L421" s="3">
        <v>89.7782863583611</v>
      </c>
      <c r="M421" s="3">
        <v>93.843439874138099</v>
      </c>
      <c r="N421" s="3">
        <v>98.018668159252698</v>
      </c>
      <c r="O421" s="3">
        <v>99.733208711859206</v>
      </c>
      <c r="P421" s="3">
        <v>101.42539146275</v>
      </c>
    </row>
    <row r="422" spans="1:16" x14ac:dyDescent="0.3">
      <c r="A422" s="3" t="str">
        <f t="shared" si="6"/>
        <v>EXT</v>
      </c>
      <c r="C422" s="3" t="s">
        <v>850</v>
      </c>
      <c r="D422" s="3" t="s">
        <v>919</v>
      </c>
      <c r="E422" s="3" t="s">
        <v>920</v>
      </c>
      <c r="F422" s="3" t="s">
        <v>3</v>
      </c>
      <c r="G422" s="3">
        <v>31.084217979674801</v>
      </c>
      <c r="H422" s="3">
        <v>31.718036524344399</v>
      </c>
      <c r="I422" s="3">
        <v>34.253310703022699</v>
      </c>
      <c r="J422" s="3">
        <v>48.266472456666001</v>
      </c>
      <c r="K422" s="3">
        <v>56.274094473325505</v>
      </c>
      <c r="L422" s="3">
        <v>61.322978205488909</v>
      </c>
      <c r="M422" s="3">
        <v>64.099677678843605</v>
      </c>
      <c r="N422" s="3">
        <v>66.951563624951106</v>
      </c>
      <c r="O422" s="3">
        <v>68.122679016040607</v>
      </c>
      <c r="P422" s="3">
        <v>69.278522930663797</v>
      </c>
    </row>
    <row r="423" spans="1:16" x14ac:dyDescent="0.3">
      <c r="A423" s="3" t="str">
        <f t="shared" si="6"/>
        <v>EXT</v>
      </c>
      <c r="C423" s="3" t="s">
        <v>850</v>
      </c>
      <c r="D423" s="3" t="s">
        <v>919</v>
      </c>
      <c r="E423" s="3" t="s">
        <v>920</v>
      </c>
      <c r="F423" s="3" t="s">
        <v>4</v>
      </c>
      <c r="G423" s="3">
        <v>82.466942764008806</v>
      </c>
      <c r="H423" s="3">
        <v>84.162709293605005</v>
      </c>
      <c r="I423" s="3">
        <v>90.945775411989999</v>
      </c>
      <c r="J423" s="3">
        <v>128.15204352160902</v>
      </c>
      <c r="K423" s="3">
        <v>149.41303635892203</v>
      </c>
      <c r="L423" s="3">
        <v>162.81829957472104</v>
      </c>
      <c r="M423" s="3">
        <v>170.19069895765202</v>
      </c>
      <c r="N423" s="3">
        <v>177.76272552769703</v>
      </c>
      <c r="O423" s="3">
        <v>180.87214751212903</v>
      </c>
      <c r="P423" s="3">
        <v>183.94102228403102</v>
      </c>
    </row>
    <row r="424" spans="1:16" x14ac:dyDescent="0.3">
      <c r="A424" s="3" t="str">
        <f t="shared" si="6"/>
        <v>EXT</v>
      </c>
      <c r="C424" s="3" t="s">
        <v>850</v>
      </c>
      <c r="D424" s="3" t="s">
        <v>919</v>
      </c>
      <c r="E424" s="3" t="s">
        <v>920</v>
      </c>
      <c r="F424" s="3" t="s">
        <v>5</v>
      </c>
      <c r="G424" s="3">
        <v>61.004876560239097</v>
      </c>
      <c r="H424" s="3">
        <v>62.392163708577698</v>
      </c>
      <c r="I424" s="3">
        <v>67.941312301932399</v>
      </c>
      <c r="J424" s="3">
        <v>95.73636567053299</v>
      </c>
      <c r="K424" s="3">
        <v>111.619453671766</v>
      </c>
      <c r="L424" s="3">
        <v>121.633895469732</v>
      </c>
      <c r="M424" s="3">
        <v>127.141468379207</v>
      </c>
      <c r="N424" s="3">
        <v>132.79817337318201</v>
      </c>
      <c r="O424" s="3">
        <v>135.121076324592</v>
      </c>
      <c r="P424" s="3">
        <v>137.41368836015701</v>
      </c>
    </row>
    <row r="425" spans="1:16" x14ac:dyDescent="0.3">
      <c r="A425" s="3" t="str">
        <f t="shared" si="6"/>
        <v>EXT</v>
      </c>
      <c r="C425" s="3" t="s">
        <v>850</v>
      </c>
      <c r="D425" s="3" t="s">
        <v>919</v>
      </c>
      <c r="E425" s="3" t="s">
        <v>920</v>
      </c>
      <c r="F425" s="3" t="s">
        <v>6</v>
      </c>
      <c r="G425" s="3">
        <v>242.64699965914099</v>
      </c>
      <c r="H425" s="3">
        <v>247.608485637662</v>
      </c>
      <c r="I425" s="3">
        <v>267.454429551749</v>
      </c>
      <c r="J425" s="3">
        <v>376.87107004911002</v>
      </c>
      <c r="K425" s="3">
        <v>439.39565335435805</v>
      </c>
      <c r="L425" s="3">
        <v>478.81801255830106</v>
      </c>
      <c r="M425" s="3">
        <v>500.49885328407709</v>
      </c>
      <c r="N425" s="3">
        <v>522.76676004135015</v>
      </c>
      <c r="O425" s="3">
        <v>531.91098559019611</v>
      </c>
      <c r="P425" s="3">
        <v>540.93596940903308</v>
      </c>
    </row>
    <row r="426" spans="1:16" x14ac:dyDescent="0.3">
      <c r="A426" s="3" t="str">
        <f t="shared" si="6"/>
        <v>EXT</v>
      </c>
      <c r="C426" s="3" t="s">
        <v>850</v>
      </c>
      <c r="D426" s="3" t="s">
        <v>919</v>
      </c>
      <c r="E426" s="3" t="s">
        <v>920</v>
      </c>
      <c r="F426" s="3" t="s">
        <v>7</v>
      </c>
      <c r="G426" s="3">
        <v>34.211586276713497</v>
      </c>
      <c r="H426" s="3">
        <v>34.926764158464501</v>
      </c>
      <c r="I426" s="3">
        <v>37.787475685468699</v>
      </c>
      <c r="J426" s="3">
        <v>53.246477988437597</v>
      </c>
      <c r="K426" s="3">
        <v>62.080305027125597</v>
      </c>
      <c r="L426" s="3">
        <v>67.650119078736296</v>
      </c>
      <c r="M426" s="3">
        <v>70.713310977030304</v>
      </c>
      <c r="N426" s="3">
        <v>73.859446887237496</v>
      </c>
      <c r="O426" s="3">
        <v>75.151394832046506</v>
      </c>
      <c r="P426" s="3">
        <v>76.426495630293303</v>
      </c>
    </row>
    <row r="427" spans="1:16" x14ac:dyDescent="0.3">
      <c r="A427" s="3" t="str">
        <f t="shared" si="6"/>
        <v>EXT</v>
      </c>
      <c r="C427" s="3" t="s">
        <v>850</v>
      </c>
      <c r="D427" s="3" t="s">
        <v>919</v>
      </c>
      <c r="E427" s="3" t="s">
        <v>920</v>
      </c>
      <c r="F427" s="3" t="s">
        <v>8</v>
      </c>
      <c r="G427" s="3">
        <v>20.678343579396699</v>
      </c>
      <c r="H427" s="3">
        <v>21.1169626751172</v>
      </c>
      <c r="I427" s="3">
        <v>22.871439057998899</v>
      </c>
      <c r="J427" s="3">
        <v>32.228233145352696</v>
      </c>
      <c r="K427" s="3">
        <v>37.57504007275881</v>
      </c>
      <c r="L427" s="3">
        <v>40.946253956061113</v>
      </c>
      <c r="M427" s="3">
        <v>42.800297010112715</v>
      </c>
      <c r="N427" s="3">
        <v>44.704543177214013</v>
      </c>
      <c r="O427" s="3">
        <v>45.486514138485916</v>
      </c>
      <c r="P427" s="3">
        <v>46.258288110440411</v>
      </c>
    </row>
    <row r="428" spans="1:16" x14ac:dyDescent="0.3">
      <c r="A428" s="3" t="str">
        <f t="shared" si="6"/>
        <v>ELC</v>
      </c>
      <c r="C428" s="3" t="s">
        <v>850</v>
      </c>
      <c r="D428" s="3" t="s">
        <v>921</v>
      </c>
      <c r="E428" s="3" t="s">
        <v>922</v>
      </c>
      <c r="F428" s="3" t="s">
        <v>0</v>
      </c>
      <c r="G428" s="3">
        <v>1.89824447187274</v>
      </c>
      <c r="H428" s="3">
        <v>1.9369503691668679</v>
      </c>
      <c r="I428" s="3">
        <v>2.091773958343365</v>
      </c>
      <c r="J428" s="3">
        <v>2.9475267667204452</v>
      </c>
      <c r="K428" s="3">
        <v>3.4365345402442822</v>
      </c>
      <c r="L428" s="3">
        <v>3.7448587078322735</v>
      </c>
      <c r="M428" s="3">
        <v>3.9144256060181695</v>
      </c>
      <c r="N428" s="3">
        <v>4.0885839758748723</v>
      </c>
      <c r="O428" s="3">
        <v>4.1601014037385582</v>
      </c>
      <c r="P428" s="3">
        <v>4.2306862362962185</v>
      </c>
    </row>
    <row r="429" spans="1:16" x14ac:dyDescent="0.3">
      <c r="A429" s="3" t="str">
        <f t="shared" si="6"/>
        <v>ELC</v>
      </c>
      <c r="C429" s="3" t="s">
        <v>850</v>
      </c>
      <c r="D429" s="3" t="s">
        <v>921</v>
      </c>
      <c r="E429" s="3" t="s">
        <v>922</v>
      </c>
      <c r="F429" s="3" t="s">
        <v>1</v>
      </c>
      <c r="G429" s="3">
        <v>5.2252283835991404</v>
      </c>
      <c r="H429" s="3">
        <v>5.3317726965950394</v>
      </c>
      <c r="I429" s="3">
        <v>5.7579499485785997</v>
      </c>
      <c r="J429" s="3">
        <v>8.1135495196207579</v>
      </c>
      <c r="K429" s="3">
        <v>9.4596233978164683</v>
      </c>
      <c r="L429" s="3">
        <v>10.308336098262808</v>
      </c>
      <c r="M429" s="3">
        <v>10.775096719694062</v>
      </c>
      <c r="N429" s="3">
        <v>11.254496117875242</v>
      </c>
      <c r="O429" s="3">
        <v>11.451359535381572</v>
      </c>
      <c r="P429" s="3">
        <v>11.645655831773789</v>
      </c>
    </row>
    <row r="430" spans="1:16" x14ac:dyDescent="0.3">
      <c r="A430" s="3" t="str">
        <f t="shared" si="6"/>
        <v>ELC</v>
      </c>
      <c r="C430" s="3" t="s">
        <v>850</v>
      </c>
      <c r="D430" s="3" t="s">
        <v>921</v>
      </c>
      <c r="E430" s="3" t="s">
        <v>922</v>
      </c>
      <c r="F430" s="3" t="s">
        <v>2</v>
      </c>
      <c r="G430" s="3">
        <v>9.2433132839007808</v>
      </c>
      <c r="H430" s="3">
        <v>9.4317878138811722</v>
      </c>
      <c r="I430" s="3">
        <v>10.185685933802683</v>
      </c>
      <c r="J430" s="3">
        <v>14.352689403910793</v>
      </c>
      <c r="K430" s="3">
        <v>16.733864282025561</v>
      </c>
      <c r="L430" s="3">
        <v>18.235218252097791</v>
      </c>
      <c r="M430" s="3">
        <v>19.06090745374485</v>
      </c>
      <c r="N430" s="3">
        <v>19.908954371542873</v>
      </c>
      <c r="O430" s="3">
        <v>20.257201397043598</v>
      </c>
      <c r="P430" s="3">
        <v>20.600907242149141</v>
      </c>
    </row>
    <row r="431" spans="1:16" x14ac:dyDescent="0.3">
      <c r="A431" s="3" t="str">
        <f t="shared" si="6"/>
        <v>ELC</v>
      </c>
      <c r="C431" s="3" t="s">
        <v>850</v>
      </c>
      <c r="D431" s="3" t="s">
        <v>921</v>
      </c>
      <c r="E431" s="3" t="s">
        <v>922</v>
      </c>
      <c r="F431" s="3" t="s">
        <v>3</v>
      </c>
      <c r="G431" s="3">
        <v>6.2607158721262701</v>
      </c>
      <c r="H431" s="3">
        <v>6.3883741527771001</v>
      </c>
      <c r="I431" s="3">
        <v>6.8990072753804093</v>
      </c>
      <c r="J431" s="3">
        <v>9.7214178075377085</v>
      </c>
      <c r="K431" s="3">
        <v>11.33424417140084</v>
      </c>
      <c r="L431" s="3">
        <v>12.35114691410919</v>
      </c>
      <c r="M431" s="3">
        <v>12.91040584339361</v>
      </c>
      <c r="N431" s="3">
        <v>13.484808185442688</v>
      </c>
      <c r="O431" s="3">
        <v>13.720684176335549</v>
      </c>
      <c r="P431" s="3">
        <v>13.95348431776789</v>
      </c>
    </row>
    <row r="432" spans="1:16" x14ac:dyDescent="0.3">
      <c r="A432" s="3" t="str">
        <f t="shared" si="6"/>
        <v>ELC</v>
      </c>
      <c r="C432" s="3" t="s">
        <v>850</v>
      </c>
      <c r="D432" s="3" t="s">
        <v>921</v>
      </c>
      <c r="E432" s="3" t="s">
        <v>922</v>
      </c>
      <c r="F432" s="3" t="s">
        <v>4</v>
      </c>
      <c r="G432" s="3">
        <v>9.4853278903170501</v>
      </c>
      <c r="H432" s="3">
        <v>9.6803745480387331</v>
      </c>
      <c r="I432" s="3">
        <v>10.460561178925474</v>
      </c>
      <c r="J432" s="3">
        <v>14.740017173852994</v>
      </c>
      <c r="K432" s="3">
        <v>17.185451448198503</v>
      </c>
      <c r="L432" s="3">
        <v>18.727321593933464</v>
      </c>
      <c r="M432" s="3">
        <v>19.575293194937103</v>
      </c>
      <c r="N432" s="3">
        <v>20.446225866912123</v>
      </c>
      <c r="O432" s="3">
        <v>20.803870834497488</v>
      </c>
      <c r="P432" s="3">
        <v>21.156852071465529</v>
      </c>
    </row>
    <row r="433" spans="1:16" x14ac:dyDescent="0.3">
      <c r="A433" s="3" t="str">
        <f t="shared" si="6"/>
        <v>ELC</v>
      </c>
      <c r="C433" s="3" t="s">
        <v>850</v>
      </c>
      <c r="D433" s="3" t="s">
        <v>921</v>
      </c>
      <c r="E433" s="3" t="s">
        <v>922</v>
      </c>
      <c r="F433" s="3" t="s">
        <v>5</v>
      </c>
      <c r="G433" s="3">
        <v>8.1870148409245296</v>
      </c>
      <c r="H433" s="3">
        <v>8.3731924239716324</v>
      </c>
      <c r="I433" s="3">
        <v>9.1179027561600723</v>
      </c>
      <c r="J433" s="3">
        <v>12.848072002684502</v>
      </c>
      <c r="K433" s="3">
        <v>14.97962417552435</v>
      </c>
      <c r="L433" s="3">
        <v>16.323588596836849</v>
      </c>
      <c r="M433" s="3">
        <v>17.062719362929322</v>
      </c>
      <c r="N433" s="3">
        <v>17.821864046890362</v>
      </c>
      <c r="O433" s="3">
        <v>18.13360373082271</v>
      </c>
      <c r="P433" s="3">
        <v>18.44127829420156</v>
      </c>
    </row>
    <row r="434" spans="1:16" x14ac:dyDescent="0.3">
      <c r="A434" s="3" t="str">
        <f t="shared" si="6"/>
        <v>ELC</v>
      </c>
      <c r="C434" s="3" t="s">
        <v>850</v>
      </c>
      <c r="D434" s="3" t="s">
        <v>921</v>
      </c>
      <c r="E434" s="3" t="s">
        <v>922</v>
      </c>
      <c r="F434" s="3" t="s">
        <v>6</v>
      </c>
      <c r="G434" s="3">
        <v>28.737580166512799</v>
      </c>
      <c r="H434" s="3">
        <v>29.32518727170298</v>
      </c>
      <c r="I434" s="3">
        <v>31.675615692463818</v>
      </c>
      <c r="J434" s="3">
        <v>44.634232457808125</v>
      </c>
      <c r="K434" s="3">
        <v>52.039249736556421</v>
      </c>
      <c r="L434" s="3">
        <v>56.708185307850634</v>
      </c>
      <c r="M434" s="3">
        <v>59.275927333548957</v>
      </c>
      <c r="N434" s="3">
        <v>61.913197757154045</v>
      </c>
      <c r="O434" s="3">
        <v>62.996182154817234</v>
      </c>
      <c r="P434" s="3">
        <v>64.065044314084133</v>
      </c>
    </row>
    <row r="435" spans="1:16" x14ac:dyDescent="0.3">
      <c r="A435" s="3" t="str">
        <f t="shared" si="6"/>
        <v>ELC</v>
      </c>
      <c r="C435" s="3" t="s">
        <v>850</v>
      </c>
      <c r="D435" s="3" t="s">
        <v>921</v>
      </c>
      <c r="E435" s="3" t="s">
        <v>922</v>
      </c>
      <c r="F435" s="3" t="s">
        <v>7</v>
      </c>
      <c r="G435" s="3">
        <v>5.1507816210831896</v>
      </c>
      <c r="H435" s="3">
        <v>5.2462165895690918</v>
      </c>
      <c r="I435" s="3">
        <v>5.6759132028267514</v>
      </c>
      <c r="J435" s="3">
        <v>7.9979512242152015</v>
      </c>
      <c r="K435" s="3">
        <v>9.3248468321072711</v>
      </c>
      <c r="L435" s="3">
        <v>10.161467446195671</v>
      </c>
      <c r="M435" s="3">
        <v>10.621577866987945</v>
      </c>
      <c r="N435" s="3">
        <v>11.094146992781633</v>
      </c>
      <c r="O435" s="3">
        <v>11.288205586648649</v>
      </c>
      <c r="P435" s="3">
        <v>11.479733634617379</v>
      </c>
    </row>
    <row r="436" spans="1:16" x14ac:dyDescent="0.3">
      <c r="A436" s="3" t="str">
        <f t="shared" si="6"/>
        <v>ELC</v>
      </c>
      <c r="C436" s="3" t="s">
        <v>850</v>
      </c>
      <c r="D436" s="3" t="s">
        <v>921</v>
      </c>
      <c r="E436" s="3" t="s">
        <v>922</v>
      </c>
      <c r="F436" s="3" t="s">
        <v>8</v>
      </c>
      <c r="G436" s="3">
        <v>3.2177854946434898</v>
      </c>
      <c r="H436" s="3">
        <v>3.286039615601672</v>
      </c>
      <c r="I436" s="3">
        <v>3.5590560994343656</v>
      </c>
      <c r="J436" s="3">
        <v>5.015079700892076</v>
      </c>
      <c r="K436" s="3">
        <v>5.847103683258295</v>
      </c>
      <c r="L436" s="3">
        <v>6.3717029139161756</v>
      </c>
      <c r="M436" s="3">
        <v>6.6602131044382142</v>
      </c>
      <c r="N436" s="3">
        <v>6.9565354704537459</v>
      </c>
      <c r="O436" s="3">
        <v>7.0782190476102969</v>
      </c>
      <c r="P436" s="3">
        <v>7.1983158572296571</v>
      </c>
    </row>
    <row r="437" spans="1:16" x14ac:dyDescent="0.3">
      <c r="A437" s="3" t="str">
        <f t="shared" si="6"/>
        <v>ELC</v>
      </c>
      <c r="C437" s="3" t="s">
        <v>850</v>
      </c>
      <c r="D437" s="3" t="s">
        <v>727</v>
      </c>
      <c r="E437" s="3" t="s">
        <v>923</v>
      </c>
      <c r="F437" s="3" t="s">
        <v>0</v>
      </c>
      <c r="G437" s="3">
        <v>0.18982444718727401</v>
      </c>
    </row>
    <row r="438" spans="1:16" x14ac:dyDescent="0.3">
      <c r="A438" s="3" t="str">
        <f t="shared" si="6"/>
        <v>ELC</v>
      </c>
      <c r="C438" s="3" t="s">
        <v>850</v>
      </c>
      <c r="D438" s="3" t="s">
        <v>727</v>
      </c>
      <c r="E438" s="3" t="s">
        <v>923</v>
      </c>
      <c r="F438" s="3" t="s">
        <v>1</v>
      </c>
      <c r="G438" s="3">
        <v>0.52252283835991498</v>
      </c>
      <c r="H438" s="3">
        <v>0.55619284837330696</v>
      </c>
    </row>
    <row r="439" spans="1:16" x14ac:dyDescent="0.3">
      <c r="A439" s="3" t="str">
        <f t="shared" si="6"/>
        <v>ELC</v>
      </c>
      <c r="C439" s="3" t="s">
        <v>850</v>
      </c>
      <c r="D439" s="3" t="s">
        <v>727</v>
      </c>
      <c r="E439" s="3" t="s">
        <v>923</v>
      </c>
      <c r="F439" s="3" t="s">
        <v>2</v>
      </c>
      <c r="G439" s="3">
        <v>0.92433132839007703</v>
      </c>
      <c r="H439" s="3">
        <v>1.0086513737038201</v>
      </c>
    </row>
    <row r="440" spans="1:16" x14ac:dyDescent="0.3">
      <c r="A440" s="3" t="str">
        <f t="shared" si="6"/>
        <v>ELC</v>
      </c>
      <c r="C440" s="3" t="s">
        <v>850</v>
      </c>
      <c r="D440" s="3" t="s">
        <v>727</v>
      </c>
      <c r="E440" s="3" t="s">
        <v>923</v>
      </c>
      <c r="F440" s="3" t="s">
        <v>3</v>
      </c>
      <c r="G440" s="3">
        <v>0.62607158721262901</v>
      </c>
    </row>
    <row r="441" spans="1:16" x14ac:dyDescent="0.3">
      <c r="A441" s="3" t="str">
        <f t="shared" si="6"/>
        <v>ELC</v>
      </c>
      <c r="C441" s="3" t="s">
        <v>850</v>
      </c>
      <c r="D441" s="3" t="s">
        <v>727</v>
      </c>
      <c r="E441" s="3" t="s">
        <v>923</v>
      </c>
      <c r="F441" s="3" t="s">
        <v>4</v>
      </c>
      <c r="G441" s="3">
        <v>0.94927572605923605</v>
      </c>
      <c r="H441" s="3">
        <v>1.2144308751639501</v>
      </c>
    </row>
    <row r="442" spans="1:16" x14ac:dyDescent="0.3">
      <c r="A442" s="3" t="str">
        <f t="shared" si="6"/>
        <v>ELC</v>
      </c>
      <c r="C442" s="3" t="s">
        <v>850</v>
      </c>
      <c r="D442" s="3" t="s">
        <v>727</v>
      </c>
      <c r="E442" s="3" t="s">
        <v>923</v>
      </c>
      <c r="F442" s="3" t="s">
        <v>5</v>
      </c>
      <c r="G442" s="3">
        <v>0.82743206707007799</v>
      </c>
      <c r="H442" s="3">
        <v>1.05044111184936</v>
      </c>
      <c r="I442" s="3">
        <v>1.14386716845235</v>
      </c>
    </row>
    <row r="443" spans="1:16" x14ac:dyDescent="0.3">
      <c r="A443" s="3" t="str">
        <f t="shared" si="6"/>
        <v>ELC</v>
      </c>
      <c r="C443" s="3" t="s">
        <v>850</v>
      </c>
      <c r="D443" s="3" t="s">
        <v>727</v>
      </c>
      <c r="E443" s="3" t="s">
        <v>923</v>
      </c>
      <c r="F443" s="3" t="s">
        <v>6</v>
      </c>
      <c r="G443" s="3">
        <v>2.8745009536788002</v>
      </c>
    </row>
    <row r="444" spans="1:16" x14ac:dyDescent="0.3">
      <c r="A444" s="3" t="str">
        <f t="shared" si="6"/>
        <v>ELC</v>
      </c>
      <c r="C444" s="3" t="s">
        <v>850</v>
      </c>
      <c r="D444" s="3" t="s">
        <v>727</v>
      </c>
      <c r="E444" s="3" t="s">
        <v>923</v>
      </c>
      <c r="F444" s="3" t="s">
        <v>7</v>
      </c>
      <c r="G444" s="3">
        <v>0.51507816210831903</v>
      </c>
    </row>
    <row r="445" spans="1:16" x14ac:dyDescent="0.3">
      <c r="A445" s="3" t="str">
        <f t="shared" si="6"/>
        <v>ELC</v>
      </c>
      <c r="C445" s="3" t="s">
        <v>850</v>
      </c>
      <c r="D445" s="3" t="s">
        <v>727</v>
      </c>
      <c r="E445" s="3" t="s">
        <v>923</v>
      </c>
      <c r="F445" s="3" t="s">
        <v>8</v>
      </c>
      <c r="G445" s="3">
        <v>0.321514606491071</v>
      </c>
    </row>
    <row r="446" spans="1:16" x14ac:dyDescent="0.3">
      <c r="A446" s="3" t="str">
        <f t="shared" si="6"/>
        <v>NGA</v>
      </c>
      <c r="C446" s="3" t="s">
        <v>850</v>
      </c>
      <c r="D446" s="3" t="s">
        <v>727</v>
      </c>
      <c r="E446" s="3" t="s">
        <v>924</v>
      </c>
      <c r="F446" s="3" t="s">
        <v>0</v>
      </c>
      <c r="G446" s="3">
        <v>8.1941218327495902E-3</v>
      </c>
      <c r="H446" s="3">
        <v>0.20205623988296501</v>
      </c>
      <c r="I446" s="3">
        <v>0.21820692333472699</v>
      </c>
      <c r="J446" s="3">
        <v>0.30747621876036602</v>
      </c>
      <c r="K446" s="3">
        <v>0.358487888220057</v>
      </c>
      <c r="L446" s="3">
        <v>0.390651243027475</v>
      </c>
      <c r="M446" s="3">
        <v>0.40833989958855998</v>
      </c>
      <c r="N446" s="3">
        <v>0.42650752324973201</v>
      </c>
      <c r="O446" s="3">
        <v>0.43396798418371801</v>
      </c>
      <c r="P446" s="3">
        <v>0.44133115986772098</v>
      </c>
    </row>
    <row r="447" spans="1:16" x14ac:dyDescent="0.3">
      <c r="A447" s="3" t="str">
        <f t="shared" si="6"/>
        <v>NGA</v>
      </c>
      <c r="C447" s="3" t="s">
        <v>850</v>
      </c>
      <c r="D447" s="3" t="s">
        <v>727</v>
      </c>
      <c r="E447" s="3" t="s">
        <v>924</v>
      </c>
      <c r="F447" s="3" t="s">
        <v>1</v>
      </c>
      <c r="G447" s="3">
        <v>2.25556605661607E-2</v>
      </c>
      <c r="I447" s="3">
        <v>0.60065024616222595</v>
      </c>
      <c r="J447" s="3">
        <v>0.84637858260867205</v>
      </c>
      <c r="K447" s="3">
        <v>0.98679654620879398</v>
      </c>
      <c r="L447" s="3">
        <v>1.07533144091901</v>
      </c>
      <c r="M447" s="3">
        <v>1.12402236124052</v>
      </c>
      <c r="N447" s="3">
        <v>1.1740317168443599</v>
      </c>
      <c r="O447" s="3">
        <v>1.1945678557899</v>
      </c>
      <c r="P447" s="3">
        <v>1.2148362011730101</v>
      </c>
    </row>
    <row r="448" spans="1:16" x14ac:dyDescent="0.3">
      <c r="A448" s="3" t="str">
        <f t="shared" si="6"/>
        <v>NGA</v>
      </c>
      <c r="C448" s="3" t="s">
        <v>850</v>
      </c>
      <c r="D448" s="3" t="s">
        <v>727</v>
      </c>
      <c r="E448" s="3" t="s">
        <v>924</v>
      </c>
      <c r="F448" s="3" t="s">
        <v>2</v>
      </c>
      <c r="G448" s="3">
        <v>6.4164259653141695E-2</v>
      </c>
      <c r="I448" s="3">
        <v>1.0892745163462401</v>
      </c>
      <c r="J448" s="3">
        <v>1.53490092962998</v>
      </c>
      <c r="K448" s="3">
        <v>1.78954780668383</v>
      </c>
      <c r="L448" s="3">
        <v>1.9501051447211</v>
      </c>
      <c r="M448" s="3">
        <v>2.0384057473139601</v>
      </c>
      <c r="N448" s="3">
        <v>2.1290973219636098</v>
      </c>
      <c r="O448" s="3">
        <v>2.1663394490757799</v>
      </c>
      <c r="P448" s="3">
        <v>2.2030959346601602</v>
      </c>
    </row>
    <row r="449" spans="1:16" x14ac:dyDescent="0.3">
      <c r="A449" s="3" t="str">
        <f t="shared" si="6"/>
        <v>NGA</v>
      </c>
      <c r="C449" s="3" t="s">
        <v>850</v>
      </c>
      <c r="D449" s="3" t="s">
        <v>727</v>
      </c>
      <c r="E449" s="3" t="s">
        <v>924</v>
      </c>
      <c r="F449" s="3" t="s">
        <v>3</v>
      </c>
      <c r="G449" s="3">
        <v>4.3459978743047002E-2</v>
      </c>
      <c r="H449" s="3">
        <v>0.68318355884228699</v>
      </c>
      <c r="I449" s="3">
        <v>0.73779153038872902</v>
      </c>
      <c r="J449" s="3">
        <v>1.0396248960871</v>
      </c>
      <c r="K449" s="3">
        <v>1.2121032808385099</v>
      </c>
      <c r="L449" s="3">
        <v>1.3208525835790099</v>
      </c>
      <c r="M449" s="3">
        <v>1.3806606813024001</v>
      </c>
      <c r="N449" s="3">
        <v>1.44208824125173</v>
      </c>
      <c r="O449" s="3">
        <v>1.46731321947777</v>
      </c>
      <c r="P449" s="3">
        <v>1.4922092611496001</v>
      </c>
    </row>
    <row r="450" spans="1:16" x14ac:dyDescent="0.3">
      <c r="A450" s="3" t="str">
        <f t="shared" si="6"/>
        <v>NGA</v>
      </c>
      <c r="C450" s="3" t="s">
        <v>850</v>
      </c>
      <c r="D450" s="3" t="s">
        <v>727</v>
      </c>
      <c r="E450" s="3" t="s">
        <v>924</v>
      </c>
      <c r="F450" s="3" t="s">
        <v>4</v>
      </c>
      <c r="G450" s="3">
        <v>0.240685983985199</v>
      </c>
      <c r="I450" s="3">
        <v>1.31230753564203</v>
      </c>
      <c r="J450" s="3">
        <v>1.84917761885576</v>
      </c>
      <c r="K450" s="3">
        <v>2.1559643936041599</v>
      </c>
      <c r="L450" s="3">
        <v>2.3493964453478098</v>
      </c>
      <c r="M450" s="3">
        <v>2.4557769256082</v>
      </c>
      <c r="N450" s="3">
        <v>2.5650379383703399</v>
      </c>
      <c r="O450" s="3">
        <v>2.6099055298904101</v>
      </c>
      <c r="P450" s="3">
        <v>2.6541880429688298</v>
      </c>
    </row>
    <row r="451" spans="1:16" x14ac:dyDescent="0.3">
      <c r="A451" s="3" t="str">
        <f t="shared" si="6"/>
        <v>NGA</v>
      </c>
      <c r="C451" s="3" t="s">
        <v>850</v>
      </c>
      <c r="D451" s="3" t="s">
        <v>727</v>
      </c>
      <c r="E451" s="3" t="s">
        <v>924</v>
      </c>
      <c r="F451" s="3" t="s">
        <v>5</v>
      </c>
      <c r="G451" s="3">
        <v>0.19965253062853</v>
      </c>
      <c r="J451" s="3">
        <v>1.61182764664315</v>
      </c>
      <c r="K451" s="3">
        <v>1.87923700749727</v>
      </c>
      <c r="L451" s="3">
        <v>2.0478412159671202</v>
      </c>
      <c r="M451" s="3">
        <v>2.14056729992924</v>
      </c>
      <c r="N451" s="3">
        <v>2.23580418754592</v>
      </c>
      <c r="O451" s="3">
        <v>2.2749128289835601</v>
      </c>
      <c r="P451" s="3">
        <v>2.31351148933659</v>
      </c>
    </row>
    <row r="452" spans="1:16" x14ac:dyDescent="0.3">
      <c r="A452" s="3" t="str">
        <f t="shared" si="6"/>
        <v>NGA</v>
      </c>
      <c r="C452" s="3" t="s">
        <v>850</v>
      </c>
      <c r="D452" s="3" t="s">
        <v>727</v>
      </c>
      <c r="E452" s="3" t="s">
        <v>924</v>
      </c>
      <c r="F452" s="3" t="s">
        <v>6</v>
      </c>
      <c r="G452" s="3">
        <v>0.73071126807175601</v>
      </c>
      <c r="H452" s="3">
        <v>3.6789292259291999</v>
      </c>
      <c r="I452" s="3">
        <v>3.9737972426438102</v>
      </c>
      <c r="J452" s="3">
        <v>5.5994930482302401</v>
      </c>
      <c r="K452" s="3">
        <v>6.5284737989033497</v>
      </c>
      <c r="L452" s="3">
        <v>7.1142052170208103</v>
      </c>
      <c r="M452" s="3">
        <v>7.4363358515318403</v>
      </c>
      <c r="N452" s="3">
        <v>7.7671890238640202</v>
      </c>
      <c r="O452" s="3">
        <v>7.9030525365118303</v>
      </c>
      <c r="P452" s="3">
        <v>8.0371443736681805</v>
      </c>
    </row>
    <row r="453" spans="1:16" x14ac:dyDescent="0.3">
      <c r="A453" s="3" t="str">
        <f t="shared" si="6"/>
        <v>NGA</v>
      </c>
      <c r="C453" s="3" t="s">
        <v>850</v>
      </c>
      <c r="D453" s="3" t="s">
        <v>727</v>
      </c>
      <c r="E453" s="3" t="s">
        <v>924</v>
      </c>
      <c r="F453" s="3" t="s">
        <v>7</v>
      </c>
      <c r="G453" s="3">
        <v>0.11193205531482001</v>
      </c>
      <c r="H453" s="3">
        <v>0.64011758507063499</v>
      </c>
      <c r="I453" s="3">
        <v>0.69254705566062302</v>
      </c>
      <c r="J453" s="3">
        <v>0.97587073193596496</v>
      </c>
      <c r="K453" s="3">
        <v>1.1377720178747699</v>
      </c>
      <c r="L453" s="3">
        <v>1.2398523567184501</v>
      </c>
      <c r="M453" s="3">
        <v>1.29599277074729</v>
      </c>
      <c r="N453" s="3">
        <v>1.35365333477804</v>
      </c>
      <c r="O453" s="3">
        <v>1.3773314114162201</v>
      </c>
      <c r="P453" s="3">
        <v>1.4007007232709401</v>
      </c>
    </row>
    <row r="454" spans="1:16" x14ac:dyDescent="0.3">
      <c r="A454" s="3" t="str">
        <f t="shared" si="6"/>
        <v>NGA</v>
      </c>
      <c r="C454" s="3" t="s">
        <v>850</v>
      </c>
      <c r="D454" s="3" t="s">
        <v>727</v>
      </c>
      <c r="E454" s="3" t="s">
        <v>924</v>
      </c>
      <c r="F454" s="3" t="s">
        <v>8</v>
      </c>
      <c r="G454" s="3">
        <v>7.1103777622515005E-2</v>
      </c>
      <c r="H454" s="3">
        <v>0.40094641676967901</v>
      </c>
      <c r="I454" s="3">
        <v>0.43425854739404501</v>
      </c>
      <c r="J454" s="3">
        <v>0.61191539698429998</v>
      </c>
      <c r="K454" s="3">
        <v>0.71343487739844402</v>
      </c>
      <c r="L454" s="3">
        <v>0.77744389931460101</v>
      </c>
      <c r="M454" s="3">
        <v>0.81264649594250804</v>
      </c>
      <c r="N454" s="3">
        <v>0.848802295859999</v>
      </c>
      <c r="O454" s="3">
        <v>0.86364952837934905</v>
      </c>
      <c r="P454" s="3">
        <v>0.87830315131613101</v>
      </c>
    </row>
    <row r="455" spans="1:16" x14ac:dyDescent="0.3">
      <c r="A455" s="3" t="str">
        <f t="shared" si="6"/>
        <v>NGA</v>
      </c>
      <c r="C455" s="3" t="s">
        <v>850</v>
      </c>
      <c r="D455" s="3" t="s">
        <v>713</v>
      </c>
      <c r="E455" s="3" t="s">
        <v>925</v>
      </c>
      <c r="F455" s="3" t="s">
        <v>2</v>
      </c>
      <c r="G455" s="3">
        <v>3.3709221220495502</v>
      </c>
      <c r="H455" s="3">
        <v>4.2523855926093796</v>
      </c>
      <c r="I455" s="3">
        <v>4.5922856801337604</v>
      </c>
      <c r="J455" s="3">
        <v>6.4710074951604</v>
      </c>
      <c r="K455" s="3">
        <v>7.5445763608929601</v>
      </c>
      <c r="L455" s="3">
        <v>8.2214719948623696</v>
      </c>
      <c r="M455" s="3">
        <v>8.5937395791574307</v>
      </c>
      <c r="N455" s="3">
        <v>8.9760872916233208</v>
      </c>
      <c r="O455" s="3">
        <v>9.1330968282171003</v>
      </c>
      <c r="P455" s="3">
        <v>9.2880589427879396</v>
      </c>
    </row>
    <row r="456" spans="1:16" x14ac:dyDescent="0.3">
      <c r="A456" s="3" t="str">
        <f t="shared" ref="A456:A519" si="7">RIGHT(E456,3)</f>
        <v>NGA</v>
      </c>
      <c r="C456" s="3" t="s">
        <v>850</v>
      </c>
      <c r="D456" s="3" t="s">
        <v>713</v>
      </c>
      <c r="E456" s="3" t="s">
        <v>925</v>
      </c>
      <c r="F456" s="3" t="s">
        <v>3</v>
      </c>
      <c r="G456" s="3">
        <v>2.2832057061156998</v>
      </c>
      <c r="H456" s="3">
        <v>2.8802418739198599</v>
      </c>
      <c r="I456" s="3">
        <v>3.1104642852501598</v>
      </c>
      <c r="J456" s="3">
        <v>4.3829672422940904</v>
      </c>
      <c r="K456" s="3">
        <v>5.1101209620775698</v>
      </c>
      <c r="L456" s="3">
        <v>5.5685984700017599</v>
      </c>
      <c r="M456" s="3">
        <v>5.8207441565201803</v>
      </c>
      <c r="N456" s="3">
        <v>6.0797173535312199</v>
      </c>
      <c r="O456" s="3">
        <v>6.1860636459954197</v>
      </c>
      <c r="P456" s="3">
        <v>6.2910231708404698</v>
      </c>
    </row>
    <row r="457" spans="1:16" x14ac:dyDescent="0.3">
      <c r="A457" s="3" t="str">
        <f t="shared" si="7"/>
        <v>NGA</v>
      </c>
      <c r="C457" s="3" t="s">
        <v>850</v>
      </c>
      <c r="D457" s="3" t="s">
        <v>713</v>
      </c>
      <c r="E457" s="3" t="s">
        <v>925</v>
      </c>
      <c r="F457" s="3" t="s">
        <v>4</v>
      </c>
      <c r="G457" s="3">
        <v>24.464031553846802</v>
      </c>
    </row>
    <row r="458" spans="1:16" x14ac:dyDescent="0.3">
      <c r="A458" s="3" t="str">
        <f t="shared" si="7"/>
        <v>NGA</v>
      </c>
      <c r="C458" s="3" t="s">
        <v>850</v>
      </c>
      <c r="D458" s="3" t="s">
        <v>713</v>
      </c>
      <c r="E458" s="3" t="s">
        <v>925</v>
      </c>
      <c r="F458" s="3" t="s">
        <v>5</v>
      </c>
      <c r="G458" s="3">
        <v>21.3239669379305</v>
      </c>
      <c r="H458" s="3">
        <v>22.5407864024092</v>
      </c>
      <c r="I458" s="3">
        <v>24.545560170830999</v>
      </c>
      <c r="J458" s="3">
        <v>34.587243673771603</v>
      </c>
      <c r="K458" s="3">
        <v>40.325420918572597</v>
      </c>
      <c r="L458" s="3">
        <v>43.943397601697001</v>
      </c>
      <c r="M458" s="3">
        <v>45.933151076637003</v>
      </c>
      <c r="N458" s="3">
        <v>47.976782382744503</v>
      </c>
      <c r="O458" s="3">
        <v>48.815991285737901</v>
      </c>
      <c r="P458" s="3">
        <v>49.644256810213598</v>
      </c>
    </row>
    <row r="459" spans="1:16" x14ac:dyDescent="0.3">
      <c r="A459" s="3" t="str">
        <f t="shared" si="7"/>
        <v>NGA</v>
      </c>
      <c r="C459" s="3" t="s">
        <v>850</v>
      </c>
      <c r="D459" s="3" t="s">
        <v>713</v>
      </c>
      <c r="E459" s="3" t="s">
        <v>925</v>
      </c>
      <c r="F459" s="3" t="s">
        <v>6</v>
      </c>
      <c r="G459" s="3">
        <v>74.079511465326107</v>
      </c>
      <c r="H459" s="3">
        <v>78.9439378712581</v>
      </c>
      <c r="I459" s="3">
        <v>85.271333959140193</v>
      </c>
      <c r="J459" s="3">
        <v>120.15616614597199</v>
      </c>
      <c r="K459" s="3">
        <v>140.09060743607699</v>
      </c>
      <c r="L459" s="3">
        <v>152.65946697140299</v>
      </c>
      <c r="M459" s="3">
        <v>159.57187523901399</v>
      </c>
      <c r="N459" s="3">
        <v>166.67145521924701</v>
      </c>
      <c r="O459" s="3">
        <v>169.586868928716</v>
      </c>
      <c r="P459" s="3">
        <v>172.46426531538901</v>
      </c>
    </row>
    <row r="460" spans="1:16" x14ac:dyDescent="0.3">
      <c r="A460" s="3" t="str">
        <f t="shared" si="7"/>
        <v>NGA</v>
      </c>
      <c r="C460" s="3" t="s">
        <v>850</v>
      </c>
      <c r="D460" s="3" t="s">
        <v>713</v>
      </c>
      <c r="E460" s="3" t="s">
        <v>925</v>
      </c>
      <c r="F460" s="3" t="s">
        <v>7</v>
      </c>
      <c r="G460" s="3">
        <v>6.9501776865670202</v>
      </c>
      <c r="H460" s="3">
        <v>8.7515818041334992</v>
      </c>
      <c r="I460" s="3">
        <v>9.4683888588327694</v>
      </c>
      <c r="J460" s="3">
        <v>13.3419433241391</v>
      </c>
      <c r="K460" s="3">
        <v>15.555430941311</v>
      </c>
      <c r="L460" s="3">
        <v>16.951056458903299</v>
      </c>
      <c r="M460" s="3">
        <v>17.718598918836101</v>
      </c>
      <c r="N460" s="3">
        <v>18.5069246182962</v>
      </c>
      <c r="O460" s="3">
        <v>18.830647367829499</v>
      </c>
      <c r="P460" s="3">
        <v>19.150148736285601</v>
      </c>
    </row>
    <row r="461" spans="1:16" x14ac:dyDescent="0.3">
      <c r="A461" s="3" t="str">
        <f t="shared" si="7"/>
        <v>NGA</v>
      </c>
      <c r="C461" s="3" t="s">
        <v>850</v>
      </c>
      <c r="D461" s="3" t="s">
        <v>713</v>
      </c>
      <c r="E461" s="3" t="s">
        <v>925</v>
      </c>
      <c r="F461" s="3" t="s">
        <v>8</v>
      </c>
      <c r="G461" s="3">
        <v>4.3380779697634804</v>
      </c>
      <c r="I461" s="3">
        <v>5.9371110719350702</v>
      </c>
    </row>
    <row r="462" spans="1:16" x14ac:dyDescent="0.3">
      <c r="A462" s="3" t="str">
        <f t="shared" si="7"/>
        <v>PFS</v>
      </c>
      <c r="C462" s="3" t="s">
        <v>850</v>
      </c>
      <c r="D462" s="3" t="s">
        <v>713</v>
      </c>
      <c r="E462" s="3" t="s">
        <v>926</v>
      </c>
      <c r="F462" s="3" t="s">
        <v>2</v>
      </c>
      <c r="G462" s="3">
        <v>0.79648844867873203</v>
      </c>
    </row>
    <row r="463" spans="1:16" x14ac:dyDescent="0.3">
      <c r="A463" s="3" t="str">
        <f t="shared" si="7"/>
        <v>PFS</v>
      </c>
      <c r="C463" s="3" t="s">
        <v>850</v>
      </c>
      <c r="D463" s="3" t="s">
        <v>713</v>
      </c>
      <c r="E463" s="3" t="s">
        <v>926</v>
      </c>
      <c r="F463" s="3" t="s">
        <v>3</v>
      </c>
      <c r="G463" s="3">
        <v>0.53948056497158303</v>
      </c>
    </row>
    <row r="464" spans="1:16" x14ac:dyDescent="0.3">
      <c r="A464" s="3" t="str">
        <f t="shared" si="7"/>
        <v>PFS</v>
      </c>
      <c r="C464" s="3" t="s">
        <v>850</v>
      </c>
      <c r="D464" s="3" t="s">
        <v>713</v>
      </c>
      <c r="E464" s="3" t="s">
        <v>926</v>
      </c>
      <c r="F464" s="3" t="s">
        <v>4</v>
      </c>
      <c r="G464" s="3">
        <v>1.0706437654908001</v>
      </c>
      <c r="H464" s="3">
        <v>26.059744471889399</v>
      </c>
      <c r="I464" s="3">
        <v>28.160021082096801</v>
      </c>
      <c r="J464" s="3">
        <v>39.680394509083797</v>
      </c>
      <c r="K464" s="3">
        <v>46.263548083978897</v>
      </c>
      <c r="L464" s="3">
        <v>50.414290579250299</v>
      </c>
      <c r="M464" s="3">
        <v>52.697045562739099</v>
      </c>
      <c r="N464" s="3">
        <v>55.041612167187999</v>
      </c>
      <c r="O464" s="3">
        <v>56.0043989292788</v>
      </c>
      <c r="P464" s="3">
        <v>56.954630843665001</v>
      </c>
    </row>
    <row r="465" spans="1:16" x14ac:dyDescent="0.3">
      <c r="A465" s="3" t="str">
        <f t="shared" si="7"/>
        <v>PFS</v>
      </c>
      <c r="C465" s="3" t="s">
        <v>850</v>
      </c>
      <c r="D465" s="3" t="s">
        <v>713</v>
      </c>
      <c r="E465" s="3" t="s">
        <v>926</v>
      </c>
      <c r="F465" s="3" t="s">
        <v>5</v>
      </c>
      <c r="G465" s="3">
        <v>0.715626022373268</v>
      </c>
    </row>
    <row r="466" spans="1:16" x14ac:dyDescent="0.3">
      <c r="A466" s="3" t="str">
        <f t="shared" si="7"/>
        <v>PFS</v>
      </c>
      <c r="C466" s="3" t="s">
        <v>850</v>
      </c>
      <c r="D466" s="3" t="s">
        <v>713</v>
      </c>
      <c r="E466" s="3" t="s">
        <v>926</v>
      </c>
      <c r="F466" s="3" t="s">
        <v>6</v>
      </c>
      <c r="G466" s="3">
        <v>3.2825773839617201</v>
      </c>
    </row>
    <row r="467" spans="1:16" x14ac:dyDescent="0.3">
      <c r="A467" s="3" t="str">
        <f t="shared" si="7"/>
        <v>PFS</v>
      </c>
      <c r="C467" s="3" t="s">
        <v>850</v>
      </c>
      <c r="D467" s="3" t="s">
        <v>713</v>
      </c>
      <c r="E467" s="3" t="s">
        <v>926</v>
      </c>
      <c r="F467" s="3" t="s">
        <v>7</v>
      </c>
      <c r="G467" s="3">
        <v>1.6222023538916801</v>
      </c>
    </row>
    <row r="468" spans="1:16" x14ac:dyDescent="0.3">
      <c r="A468" s="3" t="str">
        <f t="shared" si="7"/>
        <v>PFS</v>
      </c>
      <c r="C468" s="3" t="s">
        <v>850</v>
      </c>
      <c r="D468" s="3" t="s">
        <v>713</v>
      </c>
      <c r="E468" s="3" t="s">
        <v>926</v>
      </c>
      <c r="F468" s="3" t="s">
        <v>8</v>
      </c>
      <c r="G468" s="3">
        <v>1.02973567340896</v>
      </c>
      <c r="H468" s="3">
        <v>5.4816731289249798</v>
      </c>
      <c r="J468" s="3">
        <v>8.3660061507699197</v>
      </c>
      <c r="K468" s="3">
        <v>9.7539637046300793</v>
      </c>
      <c r="L468" s="3">
        <v>10.629084470824999</v>
      </c>
      <c r="M468" s="3">
        <v>11.1103685525192</v>
      </c>
      <c r="N468" s="3">
        <v>11.604684672012899</v>
      </c>
      <c r="O468" s="3">
        <v>11.807673580595599</v>
      </c>
      <c r="P468" s="3">
        <v>12.008015490971299</v>
      </c>
    </row>
    <row r="469" spans="1:16" x14ac:dyDescent="0.3">
      <c r="A469" s="3" t="str">
        <f t="shared" si="7"/>
        <v>COA</v>
      </c>
      <c r="C469" s="3" t="s">
        <v>850</v>
      </c>
      <c r="D469" s="3" t="s">
        <v>927</v>
      </c>
      <c r="E469" s="3" t="s">
        <v>870</v>
      </c>
      <c r="F469" s="3" t="s">
        <v>1</v>
      </c>
      <c r="G469" s="3">
        <v>1.9369336720371302E-2</v>
      </c>
      <c r="H469" s="3">
        <v>1.7525246729479901E-2</v>
      </c>
      <c r="I469" s="3">
        <v>1.01488867659146E-2</v>
      </c>
      <c r="J469" s="3">
        <v>1.01488867659146E-2</v>
      </c>
      <c r="L469" s="3">
        <v>1.01488867659146E-2</v>
      </c>
      <c r="M469" s="3">
        <v>1.01488867659146E-2</v>
      </c>
    </row>
    <row r="470" spans="1:16" x14ac:dyDescent="0.3">
      <c r="A470" s="3" t="str">
        <f t="shared" si="7"/>
        <v>COA</v>
      </c>
      <c r="C470" s="3" t="s">
        <v>850</v>
      </c>
      <c r="D470" s="3" t="s">
        <v>927</v>
      </c>
      <c r="E470" s="3" t="s">
        <v>870</v>
      </c>
      <c r="F470" s="3" t="s">
        <v>2</v>
      </c>
      <c r="G470" s="3">
        <v>0.43717917451411098</v>
      </c>
      <c r="H470" s="3">
        <v>0.404954919694749</v>
      </c>
      <c r="I470" s="3">
        <v>0.2760579004173</v>
      </c>
      <c r="J470" s="3">
        <v>0.2760579004173</v>
      </c>
      <c r="K470" s="3">
        <v>0.2760579004173</v>
      </c>
      <c r="L470" s="3">
        <v>0.2760579004173</v>
      </c>
      <c r="M470" s="3">
        <v>0.2760579004173</v>
      </c>
      <c r="N470" s="3">
        <v>0.2760579004173</v>
      </c>
      <c r="O470" s="3">
        <v>0.2760579004173</v>
      </c>
      <c r="P470" s="3">
        <v>0.2760579004173</v>
      </c>
    </row>
    <row r="471" spans="1:16" x14ac:dyDescent="0.3">
      <c r="A471" s="3" t="str">
        <f t="shared" si="7"/>
        <v>COA</v>
      </c>
      <c r="C471" s="3" t="s">
        <v>850</v>
      </c>
      <c r="D471" s="3" t="s">
        <v>927</v>
      </c>
      <c r="E471" s="3" t="s">
        <v>870</v>
      </c>
      <c r="F471" s="3" t="s">
        <v>4</v>
      </c>
      <c r="G471" s="3">
        <v>12.783514457174601</v>
      </c>
      <c r="H471" s="3">
        <v>12.290322127208899</v>
      </c>
      <c r="I471" s="3">
        <v>10.3175528073464</v>
      </c>
    </row>
    <row r="472" spans="1:16" x14ac:dyDescent="0.3">
      <c r="A472" s="3" t="str">
        <f t="shared" si="7"/>
        <v>COA</v>
      </c>
      <c r="C472" s="3" t="s">
        <v>850</v>
      </c>
      <c r="D472" s="3" t="s">
        <v>927</v>
      </c>
      <c r="E472" s="3" t="s">
        <v>870</v>
      </c>
      <c r="F472" s="3" t="s">
        <v>6</v>
      </c>
      <c r="G472" s="3">
        <v>13.0898367155648</v>
      </c>
      <c r="H472" s="3">
        <v>12.5992610999528</v>
      </c>
      <c r="I472" s="3">
        <v>10.636958637505099</v>
      </c>
      <c r="J472" s="3">
        <v>10.636958637505099</v>
      </c>
      <c r="K472" s="3">
        <v>10.636958637505099</v>
      </c>
      <c r="L472" s="3">
        <v>10.636958637505099</v>
      </c>
      <c r="M472" s="3">
        <v>1.1591803522486599</v>
      </c>
    </row>
    <row r="473" spans="1:16" x14ac:dyDescent="0.3">
      <c r="A473" s="3" t="str">
        <f t="shared" si="7"/>
        <v>NGA</v>
      </c>
      <c r="C473" s="3" t="s">
        <v>850</v>
      </c>
      <c r="D473" s="3" t="s">
        <v>927</v>
      </c>
      <c r="E473" s="3" t="s">
        <v>871</v>
      </c>
      <c r="F473" s="3" t="s">
        <v>5</v>
      </c>
      <c r="G473" s="3">
        <v>0.56545195731165598</v>
      </c>
      <c r="H473" s="3">
        <v>0.589744706452352</v>
      </c>
      <c r="I473" s="3">
        <v>0.49789348751926199</v>
      </c>
    </row>
    <row r="474" spans="1:16" x14ac:dyDescent="0.3">
      <c r="A474" s="3" t="str">
        <f t="shared" si="7"/>
        <v>NGA</v>
      </c>
      <c r="C474" s="3" t="s">
        <v>850</v>
      </c>
      <c r="D474" s="3" t="s">
        <v>927</v>
      </c>
      <c r="E474" s="3" t="s">
        <v>871</v>
      </c>
      <c r="F474" s="3" t="s">
        <v>6</v>
      </c>
      <c r="G474" s="3">
        <v>4.6515013976348802</v>
      </c>
      <c r="H474" s="3">
        <v>4.4690856972040001</v>
      </c>
      <c r="I474" s="3">
        <v>3.73942289548049</v>
      </c>
    </row>
    <row r="475" spans="1:16" x14ac:dyDescent="0.3">
      <c r="A475" s="3" t="str">
        <f t="shared" si="7"/>
        <v>NGA</v>
      </c>
      <c r="C475" s="3" t="s">
        <v>850</v>
      </c>
      <c r="D475" s="3" t="s">
        <v>927</v>
      </c>
      <c r="E475" s="3" t="s">
        <v>872</v>
      </c>
      <c r="F475" s="3" t="s">
        <v>0</v>
      </c>
      <c r="G475" s="3">
        <v>1.1127368669517099</v>
      </c>
      <c r="I475" s="3">
        <v>1.1127368669517099</v>
      </c>
    </row>
    <row r="476" spans="1:16" x14ac:dyDescent="0.3">
      <c r="A476" s="3" t="str">
        <f t="shared" si="7"/>
        <v>NGA</v>
      </c>
      <c r="C476" s="3" t="s">
        <v>850</v>
      </c>
      <c r="D476" s="3" t="s">
        <v>927</v>
      </c>
      <c r="E476" s="3" t="s">
        <v>872</v>
      </c>
      <c r="F476" s="3" t="s">
        <v>1</v>
      </c>
      <c r="G476" s="3">
        <v>1.0924992202947701</v>
      </c>
    </row>
    <row r="477" spans="1:16" x14ac:dyDescent="0.3">
      <c r="A477" s="3" t="str">
        <f t="shared" si="7"/>
        <v>NGA</v>
      </c>
      <c r="C477" s="3" t="s">
        <v>850</v>
      </c>
      <c r="D477" s="3" t="s">
        <v>927</v>
      </c>
      <c r="E477" s="3" t="s">
        <v>872</v>
      </c>
      <c r="F477" s="3" t="s">
        <v>3</v>
      </c>
      <c r="G477" s="3">
        <v>0.120087444057165</v>
      </c>
      <c r="I477" s="3">
        <v>0.120087444057165</v>
      </c>
    </row>
    <row r="478" spans="1:16" x14ac:dyDescent="0.3">
      <c r="A478" s="3" t="str">
        <f t="shared" si="7"/>
        <v>NGA</v>
      </c>
      <c r="C478" s="3" t="s">
        <v>850</v>
      </c>
      <c r="D478" s="3" t="s">
        <v>927</v>
      </c>
      <c r="E478" s="3" t="s">
        <v>872</v>
      </c>
      <c r="F478" s="3" t="s">
        <v>4</v>
      </c>
      <c r="G478" s="3">
        <v>9.7455289065976697E-2</v>
      </c>
      <c r="I478" s="3">
        <v>2.5743516294823499</v>
      </c>
    </row>
    <row r="479" spans="1:16" x14ac:dyDescent="0.3">
      <c r="A479" s="3" t="str">
        <f t="shared" si="7"/>
        <v>NGA</v>
      </c>
      <c r="C479" s="3" t="s">
        <v>850</v>
      </c>
      <c r="D479" s="3" t="s">
        <v>927</v>
      </c>
      <c r="E479" s="3" t="s">
        <v>872</v>
      </c>
      <c r="F479" s="3" t="s">
        <v>5</v>
      </c>
      <c r="I479" s="3">
        <v>8.7558469792395205E-2</v>
      </c>
    </row>
    <row r="480" spans="1:16" x14ac:dyDescent="0.3">
      <c r="A480" s="3" t="str">
        <f t="shared" si="7"/>
        <v>NGA</v>
      </c>
      <c r="C480" s="3" t="s">
        <v>850</v>
      </c>
      <c r="D480" s="3" t="s">
        <v>927</v>
      </c>
      <c r="E480" s="3" t="s">
        <v>872</v>
      </c>
      <c r="F480" s="3" t="s">
        <v>6</v>
      </c>
      <c r="G480" s="3">
        <v>12.8565754221069</v>
      </c>
      <c r="H480" s="3">
        <v>4.2698659756651196</v>
      </c>
      <c r="I480" s="3">
        <v>9.8321841751953798</v>
      </c>
      <c r="J480" s="3">
        <v>9.8321841751953798</v>
      </c>
    </row>
    <row r="481" spans="1:16" x14ac:dyDescent="0.3">
      <c r="A481" s="3" t="str">
        <f t="shared" si="7"/>
        <v>NGA</v>
      </c>
      <c r="C481" s="3" t="s">
        <v>850</v>
      </c>
      <c r="D481" s="3" t="s">
        <v>927</v>
      </c>
      <c r="E481" s="3" t="s">
        <v>872</v>
      </c>
      <c r="F481" s="3" t="s">
        <v>7</v>
      </c>
      <c r="G481" s="3">
        <v>0.32611448875877103</v>
      </c>
      <c r="I481" s="3">
        <v>0.33051590107476703</v>
      </c>
    </row>
    <row r="482" spans="1:16" x14ac:dyDescent="0.3">
      <c r="A482" s="3" t="str">
        <f t="shared" si="7"/>
        <v>NGA</v>
      </c>
      <c r="C482" s="3" t="s">
        <v>850</v>
      </c>
      <c r="D482" s="3" t="s">
        <v>927</v>
      </c>
      <c r="E482" s="3" t="s">
        <v>872</v>
      </c>
      <c r="F482" s="3" t="s">
        <v>8</v>
      </c>
      <c r="G482" s="3">
        <v>0.437187343642994</v>
      </c>
      <c r="I482" s="3">
        <v>0.21318583949452699</v>
      </c>
    </row>
    <row r="483" spans="1:16" x14ac:dyDescent="0.3">
      <c r="A483" s="3" t="str">
        <f t="shared" si="7"/>
        <v>COA</v>
      </c>
      <c r="C483" s="3" t="s">
        <v>850</v>
      </c>
      <c r="D483" s="3" t="s">
        <v>927</v>
      </c>
      <c r="E483" s="3" t="s">
        <v>873</v>
      </c>
      <c r="F483" s="3" t="s">
        <v>7</v>
      </c>
      <c r="G483" s="3">
        <v>1.5604144656160199</v>
      </c>
      <c r="H483" s="3">
        <v>1.5604144656160199</v>
      </c>
      <c r="I483" s="3">
        <v>1.5604144656160199</v>
      </c>
      <c r="L483" s="3">
        <v>0.30713616708265101</v>
      </c>
      <c r="M483" s="3">
        <v>0.47604970889264397</v>
      </c>
    </row>
    <row r="484" spans="1:16" x14ac:dyDescent="0.3">
      <c r="A484" s="3" t="str">
        <f t="shared" si="7"/>
        <v>NGA</v>
      </c>
      <c r="C484" s="3" t="s">
        <v>850</v>
      </c>
      <c r="D484" s="3" t="s">
        <v>927</v>
      </c>
      <c r="E484" s="3" t="s">
        <v>1192</v>
      </c>
      <c r="F484" s="3" t="s">
        <v>3</v>
      </c>
      <c r="H484" s="3">
        <v>0.14450677891011801</v>
      </c>
      <c r="I484" s="3">
        <v>0.14450677891011801</v>
      </c>
    </row>
    <row r="485" spans="1:16" x14ac:dyDescent="0.3">
      <c r="A485" s="3" t="str">
        <f t="shared" si="7"/>
        <v>NGA</v>
      </c>
      <c r="C485" s="3" t="s">
        <v>850</v>
      </c>
      <c r="D485" s="3" t="s">
        <v>927</v>
      </c>
      <c r="E485" s="3" t="s">
        <v>1192</v>
      </c>
      <c r="F485" s="3" t="s">
        <v>4</v>
      </c>
      <c r="H485" s="3">
        <v>0.87772105506003995</v>
      </c>
      <c r="I485" s="3">
        <v>1.9167741257239901</v>
      </c>
    </row>
    <row r="486" spans="1:16" x14ac:dyDescent="0.3">
      <c r="A486" s="3" t="str">
        <f t="shared" si="7"/>
        <v>NGA</v>
      </c>
      <c r="C486" s="3" t="s">
        <v>850</v>
      </c>
      <c r="D486" s="3" t="s">
        <v>927</v>
      </c>
      <c r="E486" s="3" t="s">
        <v>1192</v>
      </c>
      <c r="F486" s="3" t="s">
        <v>5</v>
      </c>
      <c r="H486" s="3">
        <v>1.83567700321281E-2</v>
      </c>
      <c r="I486" s="3">
        <v>0.27700779281938809</v>
      </c>
    </row>
    <row r="487" spans="1:16" x14ac:dyDescent="0.3">
      <c r="A487" s="3" t="str">
        <f t="shared" si="7"/>
        <v>NGA</v>
      </c>
      <c r="C487" s="3" t="s">
        <v>850</v>
      </c>
      <c r="D487" s="3" t="s">
        <v>927</v>
      </c>
      <c r="E487" s="3" t="s">
        <v>1192</v>
      </c>
      <c r="F487" s="3" t="s">
        <v>6</v>
      </c>
      <c r="H487" s="3">
        <v>9.9772889963242299</v>
      </c>
      <c r="I487" s="3">
        <v>9.9772889963242299</v>
      </c>
    </row>
    <row r="488" spans="1:16" x14ac:dyDescent="0.3">
      <c r="A488" s="3" t="str">
        <f t="shared" si="7"/>
        <v>NGA</v>
      </c>
      <c r="C488" s="3" t="s">
        <v>850</v>
      </c>
      <c r="D488" s="3" t="s">
        <v>927</v>
      </c>
      <c r="E488" s="3" t="s">
        <v>1192</v>
      </c>
      <c r="F488" s="3" t="s">
        <v>7</v>
      </c>
      <c r="H488" s="3">
        <v>0.19278380010575499</v>
      </c>
      <c r="I488" s="3">
        <v>0.19278380010575499</v>
      </c>
    </row>
    <row r="489" spans="1:16" x14ac:dyDescent="0.3">
      <c r="A489" s="3" t="str">
        <f t="shared" si="7"/>
        <v>NGA</v>
      </c>
      <c r="C489" s="3" t="s">
        <v>850</v>
      </c>
      <c r="D489" s="3" t="s">
        <v>927</v>
      </c>
      <c r="E489" s="3" t="s">
        <v>1193</v>
      </c>
      <c r="F489" s="3" t="s">
        <v>0</v>
      </c>
      <c r="H489" s="3">
        <v>1.13542597761464</v>
      </c>
      <c r="I489" s="3">
        <v>2.1952084715511102</v>
      </c>
      <c r="J489" s="3">
        <v>2.1952084715511102</v>
      </c>
      <c r="K489" s="3">
        <v>2.1952084715511102</v>
      </c>
      <c r="L489" s="3">
        <v>2.1952084715511102</v>
      </c>
      <c r="M489" s="3">
        <v>2.294607332878988</v>
      </c>
      <c r="N489" s="3">
        <v>2.3966976809344107</v>
      </c>
      <c r="O489" s="3">
        <v>2.4386206680905209</v>
      </c>
      <c r="P489" s="3">
        <v>2.4799969747772148</v>
      </c>
    </row>
    <row r="490" spans="1:16" x14ac:dyDescent="0.3">
      <c r="A490" s="3" t="str">
        <f t="shared" si="7"/>
        <v>NGA</v>
      </c>
      <c r="C490" s="3" t="s">
        <v>850</v>
      </c>
      <c r="D490" s="3" t="s">
        <v>927</v>
      </c>
      <c r="E490" s="3" t="s">
        <v>1193</v>
      </c>
      <c r="F490" s="3" t="s">
        <v>1</v>
      </c>
      <c r="J490" s="3">
        <v>0.65010202037989995</v>
      </c>
      <c r="K490" s="3">
        <v>2.19864877555831</v>
      </c>
      <c r="L490" s="3">
        <v>2.3857615620285419</v>
      </c>
      <c r="M490" s="3">
        <v>2.4942481925878028</v>
      </c>
      <c r="N490" s="3">
        <v>2.6158212719973419</v>
      </c>
      <c r="O490" s="3">
        <v>2.6615771645577597</v>
      </c>
      <c r="P490" s="3">
        <v>2.7067363951310286</v>
      </c>
    </row>
    <row r="491" spans="1:16" x14ac:dyDescent="0.3">
      <c r="A491" s="3" t="str">
        <f t="shared" si="7"/>
        <v>NGA</v>
      </c>
      <c r="C491" s="3" t="s">
        <v>850</v>
      </c>
      <c r="D491" s="3" t="s">
        <v>927</v>
      </c>
      <c r="E491" s="3" t="s">
        <v>1193</v>
      </c>
      <c r="F491" s="3" t="s">
        <v>2</v>
      </c>
      <c r="J491" s="3">
        <v>2.37603002902484</v>
      </c>
      <c r="K491" s="3">
        <v>2.8160231881061142</v>
      </c>
      <c r="L491" s="3">
        <v>3.093443163540381</v>
      </c>
      <c r="M491" s="3">
        <v>3.2460138980929041</v>
      </c>
      <c r="N491" s="3">
        <v>3.4027158882913353</v>
      </c>
      <c r="O491" s="3">
        <v>3.4670649246846792</v>
      </c>
      <c r="P491" s="3">
        <v>3.5305748424032988</v>
      </c>
    </row>
    <row r="492" spans="1:16" x14ac:dyDescent="0.3">
      <c r="A492" s="3" t="str">
        <f t="shared" si="7"/>
        <v>NGA</v>
      </c>
      <c r="C492" s="3" t="s">
        <v>850</v>
      </c>
      <c r="D492" s="3" t="s">
        <v>927</v>
      </c>
      <c r="E492" s="3" t="s">
        <v>1193</v>
      </c>
      <c r="F492" s="3" t="s">
        <v>3</v>
      </c>
      <c r="J492" s="3">
        <v>2.2008925181268801</v>
      </c>
      <c r="K492" s="3">
        <v>2.5660303557900073</v>
      </c>
      <c r="L492" s="3">
        <v>2.7962533214518843</v>
      </c>
      <c r="M492" s="3">
        <v>2.9228674447748575</v>
      </c>
      <c r="N492" s="3">
        <v>3.0529099799316266</v>
      </c>
      <c r="O492" s="3">
        <v>3.1063114192936223</v>
      </c>
      <c r="P492" s="3">
        <v>3.1590164978779418</v>
      </c>
    </row>
    <row r="493" spans="1:16" x14ac:dyDescent="0.3">
      <c r="A493" s="3" t="str">
        <f t="shared" si="7"/>
        <v>NGA</v>
      </c>
      <c r="C493" s="3" t="s">
        <v>850</v>
      </c>
      <c r="D493" s="3" t="s">
        <v>927</v>
      </c>
      <c r="E493" s="3" t="s">
        <v>1193</v>
      </c>
      <c r="F493" s="3" t="s">
        <v>4</v>
      </c>
      <c r="J493" s="3">
        <v>21.6946418187494</v>
      </c>
      <c r="K493" s="3">
        <v>25.29387919055711</v>
      </c>
      <c r="L493" s="3">
        <v>27.56323343541375</v>
      </c>
      <c r="M493" s="3">
        <v>61.170669706830452</v>
      </c>
      <c r="N493" s="3">
        <v>62.786726563165104</v>
      </c>
      <c r="O493" s="3">
        <v>63.110758150583983</v>
      </c>
      <c r="P493" s="3">
        <v>63.259700196938681</v>
      </c>
    </row>
    <row r="494" spans="1:16" x14ac:dyDescent="0.3">
      <c r="A494" s="3" t="str">
        <f t="shared" si="7"/>
        <v>NGA</v>
      </c>
      <c r="C494" s="3" t="s">
        <v>850</v>
      </c>
      <c r="D494" s="3" t="s">
        <v>927</v>
      </c>
      <c r="E494" s="3" t="s">
        <v>1193</v>
      </c>
      <c r="F494" s="3" t="s">
        <v>5</v>
      </c>
      <c r="J494" s="3">
        <v>2.9432334669082598</v>
      </c>
      <c r="K494" s="3">
        <v>3.4315289629369596</v>
      </c>
      <c r="L494" s="3">
        <v>3.7394040326216937</v>
      </c>
      <c r="M494" s="3">
        <v>3.9087239435569958</v>
      </c>
      <c r="N494" s="3">
        <v>4.0826286383308732</v>
      </c>
      <c r="O494" s="3">
        <v>4.1540418955512086</v>
      </c>
      <c r="P494" s="3">
        <v>4.2245239158624184</v>
      </c>
    </row>
    <row r="495" spans="1:16" x14ac:dyDescent="0.3">
      <c r="A495" s="3" t="str">
        <f t="shared" si="7"/>
        <v>NGA</v>
      </c>
      <c r="C495" s="3" t="s">
        <v>850</v>
      </c>
      <c r="D495" s="3" t="s">
        <v>927</v>
      </c>
      <c r="E495" s="3" t="s">
        <v>1193</v>
      </c>
      <c r="F495" s="3" t="s">
        <v>6</v>
      </c>
      <c r="J495" s="3">
        <v>34.038366976214903</v>
      </c>
      <c r="K495" s="3">
        <v>52.913588963027301</v>
      </c>
      <c r="L495" s="3">
        <v>58.615312446156558</v>
      </c>
      <c r="M495" s="3">
        <v>71.228827942385863</v>
      </c>
      <c r="N495" s="3">
        <v>173.61933776439685</v>
      </c>
      <c r="O495" s="3">
        <v>191.10567853605684</v>
      </c>
      <c r="P495" s="3">
        <v>191.55668980974306</v>
      </c>
    </row>
    <row r="496" spans="1:16" x14ac:dyDescent="0.3">
      <c r="A496" s="3" t="str">
        <f t="shared" si="7"/>
        <v>NGA</v>
      </c>
      <c r="C496" s="3" t="s">
        <v>850</v>
      </c>
      <c r="D496" s="3" t="s">
        <v>927</v>
      </c>
      <c r="E496" s="3" t="s">
        <v>1193</v>
      </c>
      <c r="F496" s="3" t="s">
        <v>7</v>
      </c>
      <c r="J496" s="3">
        <v>2.93616968331107</v>
      </c>
      <c r="K496" s="3">
        <v>3.423293266287613</v>
      </c>
      <c r="L496" s="3">
        <v>3.423293266287613</v>
      </c>
      <c r="M496" s="3">
        <v>3.423293266287613</v>
      </c>
      <c r="N496" s="3">
        <v>4.0728302973113584</v>
      </c>
      <c r="O496" s="3">
        <v>4.144072162149592</v>
      </c>
      <c r="P496" s="3">
        <v>4.2143850250546517</v>
      </c>
    </row>
    <row r="497" spans="1:16" x14ac:dyDescent="0.3">
      <c r="A497" s="3" t="str">
        <f t="shared" si="7"/>
        <v>NGA</v>
      </c>
      <c r="C497" s="3" t="s">
        <v>850</v>
      </c>
      <c r="D497" s="3" t="s">
        <v>927</v>
      </c>
      <c r="E497" s="3" t="s">
        <v>1193</v>
      </c>
      <c r="F497" s="3" t="s">
        <v>8</v>
      </c>
      <c r="H497" s="3">
        <v>0.270368544282232</v>
      </c>
      <c r="I497" s="3">
        <v>0.270368544282232</v>
      </c>
      <c r="J497" s="3">
        <v>0.270368544282232</v>
      </c>
      <c r="K497" s="3">
        <v>0.90489589193335596</v>
      </c>
      <c r="L497" s="3">
        <v>0.90489589193335596</v>
      </c>
      <c r="M497" s="3">
        <v>0.90489589193335596</v>
      </c>
      <c r="N497" s="3">
        <v>0.94515599885347101</v>
      </c>
      <c r="O497" s="3">
        <v>7.2391026577964332</v>
      </c>
      <c r="P497" s="3">
        <v>7.2391026577964332</v>
      </c>
    </row>
    <row r="498" spans="1:16" x14ac:dyDescent="0.3">
      <c r="A498" s="3" t="str">
        <f t="shared" si="7"/>
        <v>COA</v>
      </c>
      <c r="C498" s="3" t="s">
        <v>850</v>
      </c>
      <c r="D498" s="3" t="s">
        <v>927</v>
      </c>
      <c r="E498" s="3" t="s">
        <v>1194</v>
      </c>
      <c r="F498" s="3" t="s">
        <v>1</v>
      </c>
      <c r="H498" s="3">
        <v>1.2217096591368299</v>
      </c>
      <c r="I498" s="3">
        <v>1.22553724387757</v>
      </c>
      <c r="J498" s="3">
        <v>1.22553724387757</v>
      </c>
    </row>
    <row r="499" spans="1:16" x14ac:dyDescent="0.3">
      <c r="A499" s="3" t="str">
        <f t="shared" si="7"/>
        <v>COA</v>
      </c>
      <c r="C499" s="3" t="s">
        <v>850</v>
      </c>
      <c r="D499" s="3" t="s">
        <v>927</v>
      </c>
      <c r="E499" s="3" t="s">
        <v>1194</v>
      </c>
      <c r="F499" s="3" t="s">
        <v>2</v>
      </c>
      <c r="H499" s="3">
        <v>1.25489084206451</v>
      </c>
      <c r="I499" s="3">
        <v>0.174131485710288</v>
      </c>
    </row>
    <row r="500" spans="1:16" x14ac:dyDescent="0.3">
      <c r="A500" s="3" t="str">
        <f t="shared" si="7"/>
        <v>COA</v>
      </c>
      <c r="C500" s="3" t="s">
        <v>850</v>
      </c>
      <c r="D500" s="3" t="s">
        <v>927</v>
      </c>
      <c r="E500" s="3" t="s">
        <v>1194</v>
      </c>
      <c r="F500" s="3" t="s">
        <v>3</v>
      </c>
      <c r="H500" s="3">
        <v>4.4820209290707697E-3</v>
      </c>
    </row>
    <row r="501" spans="1:16" x14ac:dyDescent="0.3">
      <c r="A501" s="3" t="str">
        <f t="shared" si="7"/>
        <v>COA</v>
      </c>
      <c r="C501" s="3" t="s">
        <v>850</v>
      </c>
      <c r="D501" s="3" t="s">
        <v>927</v>
      </c>
      <c r="E501" s="3" t="s">
        <v>1194</v>
      </c>
      <c r="F501" s="3" t="s">
        <v>7</v>
      </c>
      <c r="H501" s="3">
        <v>0.17276773113736299</v>
      </c>
    </row>
    <row r="502" spans="1:16" x14ac:dyDescent="0.3">
      <c r="A502" s="3" t="str">
        <f t="shared" si="7"/>
        <v>COA</v>
      </c>
      <c r="C502" s="3" t="s">
        <v>850</v>
      </c>
      <c r="D502" s="3" t="s">
        <v>927</v>
      </c>
      <c r="E502" s="3" t="s">
        <v>1194</v>
      </c>
      <c r="F502" s="3" t="s">
        <v>8</v>
      </c>
      <c r="H502" s="3">
        <v>0.17609220738752099</v>
      </c>
      <c r="J502" s="3">
        <v>0.41100980621401501</v>
      </c>
    </row>
    <row r="503" spans="1:16" x14ac:dyDescent="0.3">
      <c r="A503" s="3" t="str">
        <f t="shared" si="7"/>
        <v>ELC</v>
      </c>
      <c r="C503" s="3" t="s">
        <v>850</v>
      </c>
      <c r="D503" s="3" t="s">
        <v>743</v>
      </c>
      <c r="E503" s="3" t="s">
        <v>928</v>
      </c>
      <c r="F503" s="3" t="s">
        <v>0</v>
      </c>
      <c r="G503" s="3">
        <v>3.4484774572354899</v>
      </c>
      <c r="H503" s="3">
        <v>3.5264969948923262</v>
      </c>
      <c r="I503" s="3">
        <v>1.4188021366454999</v>
      </c>
      <c r="J503" s="3">
        <v>3.0619645158315087</v>
      </c>
      <c r="K503" s="3">
        <v>4.0111687716232094</v>
      </c>
      <c r="L503" s="3">
        <v>4.6184819472710892</v>
      </c>
      <c r="M503" s="3">
        <v>4.963237418981322</v>
      </c>
      <c r="N503" s="3">
        <v>5.316680913054471</v>
      </c>
      <c r="O503" s="3">
        <v>7.8717798167976509</v>
      </c>
      <c r="P503" s="3">
        <v>8.0053410467715604</v>
      </c>
    </row>
    <row r="504" spans="1:16" x14ac:dyDescent="0.3">
      <c r="A504" s="3" t="str">
        <f t="shared" si="7"/>
        <v>ELC</v>
      </c>
      <c r="C504" s="3" t="s">
        <v>850</v>
      </c>
      <c r="D504" s="3" t="s">
        <v>743</v>
      </c>
      <c r="E504" s="3" t="s">
        <v>928</v>
      </c>
      <c r="F504" s="3" t="s">
        <v>1</v>
      </c>
      <c r="G504" s="3">
        <v>9.4924982302051095</v>
      </c>
      <c r="H504" s="3">
        <v>10.088826359639205</v>
      </c>
      <c r="I504" s="3">
        <v>10.566305921154424</v>
      </c>
      <c r="J504" s="3">
        <v>15.089379123688024</v>
      </c>
      <c r="K504" s="3">
        <v>17.702219088554425</v>
      </c>
      <c r="L504" s="3">
        <v>19.373947935997613</v>
      </c>
      <c r="M504" s="3">
        <v>20.322943759704199</v>
      </c>
      <c r="N504" s="3">
        <v>21.295854785968018</v>
      </c>
      <c r="O504" s="3">
        <v>21.668361445348829</v>
      </c>
      <c r="P504" s="3">
        <v>22.036010575979251</v>
      </c>
    </row>
    <row r="505" spans="1:16" x14ac:dyDescent="0.3">
      <c r="A505" s="3" t="str">
        <f t="shared" si="7"/>
        <v>ELC</v>
      </c>
      <c r="C505" s="3" t="s">
        <v>850</v>
      </c>
      <c r="D505" s="3" t="s">
        <v>743</v>
      </c>
      <c r="E505" s="3" t="s">
        <v>928</v>
      </c>
      <c r="F505" s="3" t="s">
        <v>2</v>
      </c>
      <c r="G505" s="3">
        <v>16.7920191324197</v>
      </c>
      <c r="H505" s="3">
        <v>18.280184894075571</v>
      </c>
      <c r="I505" s="3">
        <v>18.805620978371071</v>
      </c>
      <c r="J505" s="3">
        <v>27.069029199498672</v>
      </c>
      <c r="K505" s="3">
        <v>31.87124029713722</v>
      </c>
      <c r="L505" s="3">
        <v>34.968229734782433</v>
      </c>
      <c r="M505" s="3">
        <v>36.755681984255631</v>
      </c>
      <c r="N505" s="3">
        <v>38.586466759132684</v>
      </c>
      <c r="O505" s="3">
        <v>39.261420451962373</v>
      </c>
      <c r="P505" s="3">
        <v>39.927572672695867</v>
      </c>
    </row>
    <row r="506" spans="1:16" x14ac:dyDescent="0.3">
      <c r="A506" s="3" t="str">
        <f t="shared" si="7"/>
        <v>ELC</v>
      </c>
      <c r="C506" s="3" t="s">
        <v>850</v>
      </c>
      <c r="D506" s="3" t="s">
        <v>743</v>
      </c>
      <c r="E506" s="3" t="s">
        <v>928</v>
      </c>
      <c r="F506" s="3" t="s">
        <v>3</v>
      </c>
      <c r="G506" s="3">
        <v>11.373633834362799</v>
      </c>
      <c r="H506" s="3">
        <v>11.646405916188602</v>
      </c>
      <c r="I506" s="3">
        <v>12.737494243491994</v>
      </c>
      <c r="J506" s="3">
        <v>18.334497116691143</v>
      </c>
      <c r="K506" s="3">
        <v>21.587148878765642</v>
      </c>
      <c r="L506" s="3">
        <v>23.684813464238914</v>
      </c>
      <c r="M506" s="3">
        <v>24.895497374351041</v>
      </c>
      <c r="N506" s="3">
        <v>26.135531434268</v>
      </c>
      <c r="O506" s="3">
        <v>26.59269361928332</v>
      </c>
      <c r="P506" s="3">
        <v>27.043894357969048</v>
      </c>
    </row>
    <row r="507" spans="1:16" x14ac:dyDescent="0.3">
      <c r="A507" s="3" t="str">
        <f t="shared" si="7"/>
        <v>ELC</v>
      </c>
      <c r="C507" s="3" t="s">
        <v>850</v>
      </c>
      <c r="D507" s="3" t="s">
        <v>743</v>
      </c>
      <c r="E507" s="3" t="s">
        <v>928</v>
      </c>
      <c r="F507" s="3" t="s">
        <v>4</v>
      </c>
      <c r="G507" s="3">
        <v>17.245175690076099</v>
      </c>
      <c r="H507" s="3">
        <v>17.81052711544195</v>
      </c>
      <c r="I507" s="3">
        <v>20.139156495609448</v>
      </c>
      <c r="J507" s="3">
        <v>30.524399242855448</v>
      </c>
      <c r="K507" s="3">
        <v>36.760915977253028</v>
      </c>
      <c r="L507" s="3">
        <v>40.953487450493327</v>
      </c>
      <c r="M507" s="3">
        <v>43.576396519794969</v>
      </c>
      <c r="N507" s="3">
        <v>46.251245645941495</v>
      </c>
      <c r="O507" s="3">
        <v>47.060271495381727</v>
      </c>
      <c r="P507" s="3">
        <v>47.858747556718654</v>
      </c>
    </row>
    <row r="508" spans="1:16" x14ac:dyDescent="0.3">
      <c r="A508" s="3" t="str">
        <f t="shared" si="7"/>
        <v>ELC</v>
      </c>
      <c r="C508" s="3" t="s">
        <v>850</v>
      </c>
      <c r="D508" s="3" t="s">
        <v>743</v>
      </c>
      <c r="E508" s="3" t="s">
        <v>928</v>
      </c>
      <c r="F508" s="3" t="s">
        <v>5</v>
      </c>
      <c r="G508" s="3">
        <v>15.0316825517731</v>
      </c>
      <c r="H508" s="3">
        <v>18.940932285628481</v>
      </c>
      <c r="I508" s="3">
        <v>17.554208361976116</v>
      </c>
      <c r="J508" s="3">
        <v>26.606460134020317</v>
      </c>
      <c r="K508" s="3">
        <v>32.042492881093494</v>
      </c>
      <c r="L508" s="3">
        <v>35.69692961134016</v>
      </c>
      <c r="M508" s="3">
        <v>37.983176919020337</v>
      </c>
      <c r="N508" s="3">
        <v>40.314697551846301</v>
      </c>
      <c r="O508" s="3">
        <v>41.019881422600484</v>
      </c>
      <c r="P508" s="3">
        <v>41.715869616337123</v>
      </c>
    </row>
    <row r="509" spans="1:16" x14ac:dyDescent="0.3">
      <c r="A509" s="3" t="str">
        <f t="shared" si="7"/>
        <v>ELC</v>
      </c>
      <c r="C509" s="3" t="s">
        <v>850</v>
      </c>
      <c r="D509" s="3" t="s">
        <v>743</v>
      </c>
      <c r="E509" s="3" t="s">
        <v>928</v>
      </c>
      <c r="F509" s="3" t="s">
        <v>6</v>
      </c>
      <c r="G509" s="3">
        <v>52.220100658498303</v>
      </c>
      <c r="H509" s="3">
        <v>53.959308046280704</v>
      </c>
      <c r="I509" s="3">
        <v>60.983361276114401</v>
      </c>
      <c r="J509" s="3">
        <v>92.430905294827994</v>
      </c>
      <c r="K509" s="3">
        <v>111.3156958867883</v>
      </c>
      <c r="L509" s="3">
        <v>124.01121771186</v>
      </c>
      <c r="M509" s="3">
        <v>131.95364625411281</v>
      </c>
      <c r="N509" s="3">
        <v>140.0533544347638</v>
      </c>
      <c r="O509" s="3">
        <v>142.50316486594471</v>
      </c>
      <c r="P509" s="3">
        <v>144.9210294934654</v>
      </c>
    </row>
    <row r="510" spans="1:16" x14ac:dyDescent="0.3">
      <c r="A510" s="3" t="str">
        <f t="shared" si="7"/>
        <v>ELC</v>
      </c>
      <c r="C510" s="3" t="s">
        <v>850</v>
      </c>
      <c r="D510" s="3" t="s">
        <v>743</v>
      </c>
      <c r="E510" s="3" t="s">
        <v>928</v>
      </c>
      <c r="F510" s="3" t="s">
        <v>7</v>
      </c>
      <c r="G510" s="3">
        <v>9.3572532783011209</v>
      </c>
      <c r="H510" s="3">
        <v>9.6335415026655227</v>
      </c>
      <c r="I510" s="3">
        <v>10.84429181800636</v>
      </c>
      <c r="J510" s="3">
        <v>16.287993861499253</v>
      </c>
      <c r="K510" s="3">
        <v>19.540461246536342</v>
      </c>
      <c r="L510" s="3">
        <v>21.71337705782198</v>
      </c>
      <c r="M510" s="3">
        <v>23.057243505294792</v>
      </c>
      <c r="N510" s="3">
        <v>24.4285431581343</v>
      </c>
      <c r="O510" s="3">
        <v>24.85584673889376</v>
      </c>
      <c r="P510" s="3">
        <v>25.27757823288259</v>
      </c>
    </row>
    <row r="511" spans="1:16" x14ac:dyDescent="0.3">
      <c r="A511" s="3" t="str">
        <f t="shared" si="7"/>
        <v>ELC</v>
      </c>
      <c r="C511" s="3" t="s">
        <v>850</v>
      </c>
      <c r="D511" s="3" t="s">
        <v>743</v>
      </c>
      <c r="E511" s="3" t="s">
        <v>928</v>
      </c>
      <c r="F511" s="3" t="s">
        <v>8</v>
      </c>
      <c r="G511" s="3">
        <v>5.8410246465699602</v>
      </c>
      <c r="H511" s="3">
        <v>6.0327926963952896</v>
      </c>
      <c r="I511" s="3">
        <v>6.7998648956964693</v>
      </c>
      <c r="J511" s="3">
        <v>10.213314021688699</v>
      </c>
      <c r="L511" s="3">
        <v>1.36251718364228</v>
      </c>
      <c r="M511" s="3">
        <v>2.20518265539777</v>
      </c>
    </row>
    <row r="512" spans="1:16" x14ac:dyDescent="0.3">
      <c r="A512" s="3" t="str">
        <f t="shared" si="7"/>
        <v>NGA</v>
      </c>
      <c r="C512" s="3" t="s">
        <v>850</v>
      </c>
      <c r="D512" s="3" t="s">
        <v>743</v>
      </c>
      <c r="E512" s="3" t="s">
        <v>929</v>
      </c>
      <c r="F512" s="3" t="s">
        <v>0</v>
      </c>
      <c r="G512" s="3">
        <v>0.14339713207311799</v>
      </c>
      <c r="H512" s="3">
        <v>0.13861722767068099</v>
      </c>
      <c r="I512" s="3">
        <v>2.539270618935122</v>
      </c>
      <c r="J512" s="3">
        <v>2.5153710969229355</v>
      </c>
      <c r="K512" s="3">
        <v>2.491471574910749</v>
      </c>
      <c r="L512" s="3">
        <v>2.4675720528985625</v>
      </c>
      <c r="M512" s="3">
        <v>2.4436725308863765</v>
      </c>
      <c r="N512" s="3">
        <v>2.41977300887419</v>
      </c>
    </row>
    <row r="513" spans="1:16" x14ac:dyDescent="0.3">
      <c r="A513" s="3" t="str">
        <f t="shared" si="7"/>
        <v>NGA</v>
      </c>
      <c r="C513" s="3" t="s">
        <v>850</v>
      </c>
      <c r="D513" s="3" t="s">
        <v>743</v>
      </c>
      <c r="E513" s="3" t="s">
        <v>929</v>
      </c>
      <c r="F513" s="3" t="s">
        <v>1</v>
      </c>
      <c r="G513" s="3">
        <v>0.39472405990782999</v>
      </c>
      <c r="I513" s="3">
        <v>0.32893671658984303</v>
      </c>
      <c r="J513" s="3">
        <v>0.26314937327187499</v>
      </c>
      <c r="K513" s="3">
        <v>0.197362029953906</v>
      </c>
      <c r="L513" s="3">
        <v>0.13157468663593699</v>
      </c>
      <c r="M513" s="3">
        <v>6.5787343317968705E-2</v>
      </c>
    </row>
    <row r="514" spans="1:16" x14ac:dyDescent="0.3">
      <c r="A514" s="3" t="str">
        <f t="shared" si="7"/>
        <v>NGA</v>
      </c>
      <c r="C514" s="3" t="s">
        <v>850</v>
      </c>
      <c r="D514" s="3" t="s">
        <v>743</v>
      </c>
      <c r="E514" s="3" t="s">
        <v>929</v>
      </c>
      <c r="F514" s="3" t="s">
        <v>2</v>
      </c>
      <c r="G514" s="3">
        <v>1.1228745439299599</v>
      </c>
      <c r="I514" s="3">
        <v>0.93572878660829195</v>
      </c>
      <c r="J514" s="3">
        <v>0.74858302928663301</v>
      </c>
      <c r="K514" s="3">
        <v>0.56143727196497495</v>
      </c>
      <c r="L514" s="3">
        <v>0.374291514643317</v>
      </c>
      <c r="M514" s="3">
        <v>0.187145757321658</v>
      </c>
    </row>
    <row r="515" spans="1:16" x14ac:dyDescent="0.3">
      <c r="A515" s="3" t="str">
        <f t="shared" si="7"/>
        <v>NGA</v>
      </c>
      <c r="C515" s="3" t="s">
        <v>850</v>
      </c>
      <c r="D515" s="3" t="s">
        <v>743</v>
      </c>
      <c r="E515" s="3" t="s">
        <v>929</v>
      </c>
      <c r="F515" s="3" t="s">
        <v>3</v>
      </c>
      <c r="G515" s="3">
        <v>0.76054962800326098</v>
      </c>
      <c r="H515" s="3">
        <v>0.73519797373653295</v>
      </c>
      <c r="I515" s="3">
        <v>0.63379135666942499</v>
      </c>
      <c r="J515" s="3">
        <v>0.50703308533554003</v>
      </c>
      <c r="K515" s="3">
        <v>0.38027481400165503</v>
      </c>
      <c r="L515" s="3">
        <v>0.25351654266777002</v>
      </c>
      <c r="M515" s="3">
        <v>0.12675827133388501</v>
      </c>
    </row>
    <row r="516" spans="1:16" x14ac:dyDescent="0.3">
      <c r="A516" s="3" t="str">
        <f t="shared" si="7"/>
        <v>NGA</v>
      </c>
      <c r="C516" s="3" t="s">
        <v>850</v>
      </c>
      <c r="D516" s="3" t="s">
        <v>743</v>
      </c>
      <c r="E516" s="3" t="s">
        <v>929</v>
      </c>
      <c r="F516" s="3" t="s">
        <v>4</v>
      </c>
      <c r="G516" s="3">
        <v>4.2115094283892196</v>
      </c>
      <c r="H516" s="3">
        <v>4.0873715031297202</v>
      </c>
      <c r="I516" s="3">
        <v>3.5235961233876898</v>
      </c>
      <c r="J516" s="3">
        <v>2.8188768987101498</v>
      </c>
      <c r="K516" s="3">
        <v>2.11415767403262</v>
      </c>
      <c r="L516" s="3">
        <v>1.40943844935508</v>
      </c>
      <c r="M516" s="3">
        <v>0.704719224677538</v>
      </c>
    </row>
    <row r="517" spans="1:16" x14ac:dyDescent="0.3">
      <c r="A517" s="3" t="str">
        <f t="shared" si="7"/>
        <v>NGA</v>
      </c>
      <c r="C517" s="3" t="s">
        <v>850</v>
      </c>
      <c r="D517" s="3" t="s">
        <v>743</v>
      </c>
      <c r="E517" s="3" t="s">
        <v>929</v>
      </c>
      <c r="F517" s="3" t="s">
        <v>5</v>
      </c>
      <c r="G517" s="3">
        <v>3.48809889734749</v>
      </c>
      <c r="I517" s="3">
        <v>3.0713272696839802</v>
      </c>
      <c r="J517" s="3">
        <v>2.4570618157471902</v>
      </c>
      <c r="K517" s="3">
        <v>1.84279636181039</v>
      </c>
      <c r="L517" s="3">
        <v>1.22853090787359</v>
      </c>
      <c r="M517" s="3">
        <v>0.61426545393679699</v>
      </c>
    </row>
    <row r="518" spans="1:16" x14ac:dyDescent="0.3">
      <c r="A518" s="3" t="str">
        <f t="shared" si="7"/>
        <v>NGA</v>
      </c>
      <c r="C518" s="3" t="s">
        <v>850</v>
      </c>
      <c r="D518" s="3" t="s">
        <v>743</v>
      </c>
      <c r="E518" s="3" t="s">
        <v>929</v>
      </c>
      <c r="F518" s="3" t="s">
        <v>6</v>
      </c>
      <c r="G518" s="3">
        <v>12.786951899903899</v>
      </c>
      <c r="H518" s="3">
        <v>12.3769658922605</v>
      </c>
      <c r="I518" s="3">
        <v>10.6697981829832</v>
      </c>
      <c r="J518" s="3">
        <v>8.5358385463865307</v>
      </c>
      <c r="K518" s="3">
        <v>6.4018789097899003</v>
      </c>
      <c r="L518" s="3">
        <v>4.2679192731932698</v>
      </c>
      <c r="M518" s="3">
        <v>2.13395963659663</v>
      </c>
    </row>
    <row r="519" spans="1:16" x14ac:dyDescent="0.3">
      <c r="A519" s="3" t="str">
        <f t="shared" si="7"/>
        <v>NGA</v>
      </c>
      <c r="C519" s="3" t="s">
        <v>850</v>
      </c>
      <c r="D519" s="3" t="s">
        <v>743</v>
      </c>
      <c r="E519" s="3" t="s">
        <v>929</v>
      </c>
      <c r="F519" s="3" t="s">
        <v>7</v>
      </c>
      <c r="G519" s="3">
        <v>1.9580116890207799</v>
      </c>
      <c r="H519" s="3">
        <v>1.9182640087085201</v>
      </c>
      <c r="I519" s="3">
        <v>1.6536758695763101</v>
      </c>
      <c r="J519" s="3">
        <v>1.3229406956610501</v>
      </c>
      <c r="K519" s="3">
        <v>0.99220552174578502</v>
      </c>
      <c r="L519" s="3">
        <v>0.66147034783052305</v>
      </c>
      <c r="M519" s="3">
        <v>0.33073517391526203</v>
      </c>
    </row>
    <row r="520" spans="1:16" x14ac:dyDescent="0.3">
      <c r="A520" s="3" t="str">
        <f t="shared" ref="A520:A583" si="8">RIGHT(E520,3)</f>
        <v>NGA</v>
      </c>
      <c r="C520" s="3" t="s">
        <v>850</v>
      </c>
      <c r="D520" s="3" t="s">
        <v>743</v>
      </c>
      <c r="E520" s="3" t="s">
        <v>929</v>
      </c>
      <c r="F520" s="3" t="s">
        <v>8</v>
      </c>
      <c r="G520" s="3">
        <v>1.24431610839401</v>
      </c>
      <c r="H520" s="3">
        <v>1.2028389047808801</v>
      </c>
      <c r="I520" s="3">
        <v>1.03693009032834</v>
      </c>
      <c r="J520" s="3">
        <v>0.82954407226267302</v>
      </c>
      <c r="K520" s="3">
        <v>12.874917266690005</v>
      </c>
      <c r="L520" s="3">
        <v>12.667531248624337</v>
      </c>
      <c r="M520" s="3">
        <v>12.460145230558668</v>
      </c>
      <c r="N520" s="3">
        <v>15.31780920891357</v>
      </c>
      <c r="O520" s="3">
        <v>15.585748016479307</v>
      </c>
      <c r="P520" s="3">
        <v>15.850192871847609</v>
      </c>
    </row>
    <row r="521" spans="1:16" x14ac:dyDescent="0.3">
      <c r="A521" s="3" t="str">
        <f t="shared" si="8"/>
        <v>ELC</v>
      </c>
      <c r="C521" s="3" t="s">
        <v>850</v>
      </c>
      <c r="D521" s="3" t="s">
        <v>758</v>
      </c>
      <c r="E521" s="3" t="s">
        <v>930</v>
      </c>
      <c r="F521" s="3" t="s">
        <v>0</v>
      </c>
      <c r="G521" s="3">
        <v>3.1637407864545698E-2</v>
      </c>
      <c r="J521" s="3">
        <v>0.11466362797056701</v>
      </c>
      <c r="N521" s="3">
        <v>0.200721359909275</v>
      </c>
      <c r="O521" s="3">
        <v>0.56434941630690405</v>
      </c>
      <c r="P521" s="3">
        <v>0.79947483578562595</v>
      </c>
    </row>
    <row r="522" spans="1:16" x14ac:dyDescent="0.3">
      <c r="A522" s="3" t="str">
        <f t="shared" si="8"/>
        <v>ELC</v>
      </c>
      <c r="C522" s="3" t="s">
        <v>850</v>
      </c>
      <c r="D522" s="3" t="s">
        <v>758</v>
      </c>
      <c r="E522" s="3" t="s">
        <v>930</v>
      </c>
      <c r="F522" s="3" t="s">
        <v>1</v>
      </c>
      <c r="G522" s="3">
        <v>8.7087139726652399E-2</v>
      </c>
      <c r="H522" s="3">
        <v>1.00754767973253</v>
      </c>
      <c r="I522" s="3">
        <v>1.0880826023231001</v>
      </c>
      <c r="J522" s="3">
        <v>1.5332213989747601</v>
      </c>
      <c r="K522" s="3">
        <v>1.7875896344381299</v>
      </c>
      <c r="L522" s="3">
        <v>1.94797128623666</v>
      </c>
      <c r="M522" s="3">
        <v>2.0361752678906302</v>
      </c>
      <c r="N522" s="3">
        <v>2.1267676053342499</v>
      </c>
      <c r="O522" s="3">
        <v>2.1639689810904499</v>
      </c>
      <c r="P522" s="3">
        <v>2.20068524672114</v>
      </c>
    </row>
    <row r="523" spans="1:16" x14ac:dyDescent="0.3">
      <c r="A523" s="3" t="str">
        <f t="shared" si="8"/>
        <v>ELC</v>
      </c>
      <c r="C523" s="3" t="s">
        <v>850</v>
      </c>
      <c r="D523" s="3" t="s">
        <v>758</v>
      </c>
      <c r="E523" s="3" t="s">
        <v>930</v>
      </c>
      <c r="F523" s="3" t="s">
        <v>2</v>
      </c>
      <c r="G523" s="3">
        <v>0.15405522139834599</v>
      </c>
      <c r="H523" s="3">
        <v>8.5573775195410704</v>
      </c>
      <c r="I523" s="3">
        <v>9.2413826043401404</v>
      </c>
      <c r="J523" s="3">
        <v>13.022067933845999</v>
      </c>
      <c r="K523" s="3">
        <v>15.1824868039658</v>
      </c>
      <c r="L523" s="3">
        <v>16.544651959278301</v>
      </c>
      <c r="M523" s="3">
        <v>17.293792456470499</v>
      </c>
      <c r="N523" s="3">
        <v>18.0632179114411</v>
      </c>
      <c r="O523" s="3">
        <v>18.37917935227</v>
      </c>
      <c r="P523" s="3">
        <v>18.691020620360501</v>
      </c>
    </row>
    <row r="524" spans="1:16" x14ac:dyDescent="0.3">
      <c r="A524" s="3" t="str">
        <f t="shared" si="8"/>
        <v>ELC</v>
      </c>
      <c r="C524" s="3" t="s">
        <v>850</v>
      </c>
      <c r="D524" s="3" t="s">
        <v>758</v>
      </c>
      <c r="E524" s="3" t="s">
        <v>930</v>
      </c>
      <c r="F524" s="3" t="s">
        <v>3</v>
      </c>
      <c r="G524" s="3">
        <v>0.10434526453543801</v>
      </c>
      <c r="H524" s="3">
        <v>5.7961152689350497</v>
      </c>
      <c r="I524" s="3">
        <v>6.2594081769527099</v>
      </c>
      <c r="J524" s="3">
        <v>8.8201562467144896</v>
      </c>
      <c r="K524" s="3">
        <v>10.2834593172875</v>
      </c>
      <c r="L524" s="3">
        <v>11.2060861661661</v>
      </c>
      <c r="M524" s="3">
        <v>11.7134968377693</v>
      </c>
      <c r="N524" s="3">
        <v>12.234646993606001</v>
      </c>
      <c r="O524" s="3">
        <v>12.448655190323</v>
      </c>
      <c r="P524" s="3">
        <v>12.659872696075899</v>
      </c>
    </row>
    <row r="525" spans="1:16" x14ac:dyDescent="0.3">
      <c r="A525" s="3" t="str">
        <f t="shared" si="8"/>
        <v>ELC</v>
      </c>
      <c r="C525" s="3" t="s">
        <v>850</v>
      </c>
      <c r="D525" s="3" t="s">
        <v>758</v>
      </c>
      <c r="E525" s="3" t="s">
        <v>930</v>
      </c>
      <c r="F525" s="3" t="s">
        <v>4</v>
      </c>
      <c r="G525" s="3">
        <v>0.15821262100987299</v>
      </c>
      <c r="H525" s="3">
        <v>2.07724590584654</v>
      </c>
      <c r="I525" s="3">
        <v>2.24466086244386</v>
      </c>
      <c r="J525" s="3">
        <v>3.16296029399992</v>
      </c>
      <c r="K525" s="3">
        <v>3.6877094459250501</v>
      </c>
      <c r="L525" s="3">
        <v>4.0185689009679297</v>
      </c>
      <c r="M525" s="3">
        <v>4.0884308327418699</v>
      </c>
      <c r="N525" s="3">
        <v>4.3874169084358199</v>
      </c>
      <c r="O525" s="3">
        <v>4.4641615158863504</v>
      </c>
      <c r="P525" s="3">
        <v>4.53990536502089</v>
      </c>
    </row>
    <row r="526" spans="1:16" x14ac:dyDescent="0.3">
      <c r="A526" s="3" t="str">
        <f t="shared" si="8"/>
        <v>ELC</v>
      </c>
      <c r="C526" s="3" t="s">
        <v>850</v>
      </c>
      <c r="D526" s="3" t="s">
        <v>758</v>
      </c>
      <c r="E526" s="3" t="s">
        <v>930</v>
      </c>
      <c r="F526" s="3" t="s">
        <v>5</v>
      </c>
      <c r="G526" s="3">
        <v>0.13790534451167999</v>
      </c>
      <c r="H526" s="3">
        <v>1.7967465613284801</v>
      </c>
      <c r="I526" s="3">
        <v>1.95654889964745</v>
      </c>
      <c r="J526" s="3">
        <v>2.7569806140409101</v>
      </c>
      <c r="K526" s="3">
        <v>3.2143759350749499</v>
      </c>
      <c r="L526" s="3">
        <v>3.5027681432401199</v>
      </c>
      <c r="M526" s="3">
        <v>3.66137320032046</v>
      </c>
      <c r="N526" s="3">
        <v>3.8242729082685099</v>
      </c>
      <c r="O526" s="3">
        <v>3.891167012306</v>
      </c>
      <c r="P526" s="3">
        <v>3.95718880970034</v>
      </c>
    </row>
    <row r="527" spans="1:16" x14ac:dyDescent="0.3">
      <c r="A527" s="3" t="str">
        <f t="shared" si="8"/>
        <v>ELC</v>
      </c>
      <c r="C527" s="3" t="s">
        <v>850</v>
      </c>
      <c r="D527" s="3" t="s">
        <v>758</v>
      </c>
      <c r="E527" s="3" t="s">
        <v>930</v>
      </c>
      <c r="F527" s="3" t="s">
        <v>6</v>
      </c>
      <c r="G527" s="3">
        <v>0.47908349227980102</v>
      </c>
      <c r="H527" s="3">
        <v>6.0698034724738497</v>
      </c>
      <c r="I527" s="3">
        <v>6.7970554946832697</v>
      </c>
      <c r="J527" s="3">
        <v>9.5777571594447206</v>
      </c>
      <c r="K527" s="3">
        <v>11.1667495841355</v>
      </c>
      <c r="L527" s="3">
        <v>12.168624795885099</v>
      </c>
      <c r="M527" s="3">
        <v>12.719619138478301</v>
      </c>
      <c r="N527" s="3">
        <v>13.2855331083209</v>
      </c>
      <c r="O527" s="3">
        <v>13.5179233836121</v>
      </c>
      <c r="P527" s="3">
        <v>13.7472832635665</v>
      </c>
    </row>
    <row r="528" spans="1:16" x14ac:dyDescent="0.3">
      <c r="A528" s="3" t="str">
        <f t="shared" si="8"/>
        <v>ELC</v>
      </c>
      <c r="C528" s="3" t="s">
        <v>850</v>
      </c>
      <c r="D528" s="3" t="s">
        <v>758</v>
      </c>
      <c r="E528" s="3" t="s">
        <v>930</v>
      </c>
      <c r="F528" s="3" t="s">
        <v>7</v>
      </c>
      <c r="G528" s="3">
        <v>8.5846360351386403E-2</v>
      </c>
      <c r="H528" s="3">
        <v>0.85578862696286395</v>
      </c>
      <c r="I528" s="3">
        <v>0.92588284979794699</v>
      </c>
      <c r="J528" s="3">
        <v>1.30466510099792</v>
      </c>
      <c r="K528" s="3">
        <v>1.5211148321544199</v>
      </c>
      <c r="L528" s="3">
        <v>1.65758849739407</v>
      </c>
      <c r="M528" s="3">
        <v>1.73264396995005</v>
      </c>
      <c r="N528" s="3">
        <v>1.8097317676807301</v>
      </c>
      <c r="O528" s="3">
        <v>1.8413875590039499</v>
      </c>
      <c r="P528" s="3">
        <v>1.8726305552466</v>
      </c>
    </row>
    <row r="529" spans="1:16" x14ac:dyDescent="0.3">
      <c r="A529" s="3" t="str">
        <f t="shared" si="8"/>
        <v>ELC</v>
      </c>
      <c r="C529" s="3" t="s">
        <v>850</v>
      </c>
      <c r="D529" s="3" t="s">
        <v>758</v>
      </c>
      <c r="E529" s="3" t="s">
        <v>930</v>
      </c>
      <c r="F529" s="3" t="s">
        <v>8</v>
      </c>
      <c r="G529" s="3">
        <v>5.1873843254061101E-2</v>
      </c>
      <c r="L529" s="3">
        <v>1.03938348617885</v>
      </c>
      <c r="M529" s="3">
        <v>1.0864466860289199</v>
      </c>
      <c r="O529" s="3">
        <v>1.1546338693184499</v>
      </c>
      <c r="P529" s="3">
        <v>1.17422465098979</v>
      </c>
    </row>
    <row r="530" spans="1:16" x14ac:dyDescent="0.3">
      <c r="A530" s="3" t="str">
        <f t="shared" si="8"/>
        <v>OTP</v>
      </c>
      <c r="C530" s="3" t="s">
        <v>850</v>
      </c>
      <c r="D530" s="3" t="s">
        <v>758</v>
      </c>
      <c r="E530" s="3" t="s">
        <v>931</v>
      </c>
      <c r="F530" s="3" t="s">
        <v>0</v>
      </c>
      <c r="G530" s="3">
        <v>0.32707477324960399</v>
      </c>
      <c r="H530" s="3">
        <v>0.36602645335151901</v>
      </c>
      <c r="I530" s="3">
        <v>0.39528354230099</v>
      </c>
      <c r="J530" s="3">
        <v>0.44233193874878102</v>
      </c>
      <c r="K530" s="3">
        <v>0.649403603524773</v>
      </c>
      <c r="L530" s="3">
        <v>0.70766777143597104</v>
      </c>
      <c r="M530" s="3">
        <v>0.73971091065976702</v>
      </c>
      <c r="N530" s="3">
        <v>0.57190034260911304</v>
      </c>
      <c r="O530" s="3">
        <v>0.22178696933938999</v>
      </c>
    </row>
    <row r="531" spans="1:16" x14ac:dyDescent="0.3">
      <c r="A531" s="3" t="str">
        <f t="shared" si="8"/>
        <v>OTP</v>
      </c>
      <c r="C531" s="3" t="s">
        <v>850</v>
      </c>
      <c r="D531" s="3" t="s">
        <v>758</v>
      </c>
      <c r="E531" s="3" t="s">
        <v>931</v>
      </c>
      <c r="F531" s="3" t="s">
        <v>1</v>
      </c>
      <c r="G531" s="3">
        <v>0.90032680935822995</v>
      </c>
    </row>
    <row r="532" spans="1:16" x14ac:dyDescent="0.3">
      <c r="A532" s="3" t="str">
        <f t="shared" si="8"/>
        <v>OTP</v>
      </c>
      <c r="C532" s="3" t="s">
        <v>850</v>
      </c>
      <c r="D532" s="3" t="s">
        <v>758</v>
      </c>
      <c r="E532" s="3" t="s">
        <v>931</v>
      </c>
      <c r="F532" s="3" t="s">
        <v>2</v>
      </c>
      <c r="G532" s="3">
        <v>8.2323210269429392</v>
      </c>
    </row>
    <row r="533" spans="1:16" x14ac:dyDescent="0.3">
      <c r="A533" s="3" t="str">
        <f t="shared" si="8"/>
        <v>OTP</v>
      </c>
      <c r="C533" s="3" t="s">
        <v>850</v>
      </c>
      <c r="D533" s="3" t="s">
        <v>758</v>
      </c>
      <c r="E533" s="3" t="s">
        <v>931</v>
      </c>
      <c r="F533" s="3" t="s">
        <v>3</v>
      </c>
      <c r="G533" s="3">
        <v>5.5759467773951901</v>
      </c>
    </row>
    <row r="534" spans="1:16" x14ac:dyDescent="0.3">
      <c r="A534" s="3" t="str">
        <f t="shared" si="8"/>
        <v>OTP</v>
      </c>
      <c r="C534" s="3" t="s">
        <v>850</v>
      </c>
      <c r="D534" s="3" t="s">
        <v>758</v>
      </c>
      <c r="E534" s="3" t="s">
        <v>931</v>
      </c>
      <c r="F534" s="3" t="s">
        <v>4</v>
      </c>
      <c r="G534" s="3">
        <v>1.8771795456873399</v>
      </c>
      <c r="M534" s="3">
        <v>0.11209854173023701</v>
      </c>
    </row>
    <row r="535" spans="1:16" x14ac:dyDescent="0.3">
      <c r="A535" s="3" t="str">
        <f t="shared" si="8"/>
        <v>OTP</v>
      </c>
      <c r="C535" s="3" t="s">
        <v>850</v>
      </c>
      <c r="D535" s="3" t="s">
        <v>758</v>
      </c>
      <c r="E535" s="3" t="s">
        <v>931</v>
      </c>
      <c r="F535" s="3" t="s">
        <v>5</v>
      </c>
      <c r="G535" s="3">
        <v>1.61889063223706</v>
      </c>
    </row>
    <row r="536" spans="1:16" x14ac:dyDescent="0.3">
      <c r="A536" s="3" t="str">
        <f t="shared" si="8"/>
        <v>OTP</v>
      </c>
      <c r="C536" s="3" t="s">
        <v>850</v>
      </c>
      <c r="D536" s="3" t="s">
        <v>758</v>
      </c>
      <c r="E536" s="3" t="s">
        <v>931</v>
      </c>
      <c r="F536" s="3" t="s">
        <v>6</v>
      </c>
      <c r="G536" s="3">
        <v>5.6875188895381399</v>
      </c>
      <c r="H536" s="3">
        <v>0.22288953191715399</v>
      </c>
    </row>
    <row r="537" spans="1:16" x14ac:dyDescent="0.3">
      <c r="A537" s="3" t="str">
        <f t="shared" si="8"/>
        <v>OTP</v>
      </c>
      <c r="C537" s="3" t="s">
        <v>850</v>
      </c>
      <c r="D537" s="3" t="s">
        <v>758</v>
      </c>
      <c r="E537" s="3" t="s">
        <v>931</v>
      </c>
      <c r="F537" s="3" t="s">
        <v>7</v>
      </c>
      <c r="G537" s="3">
        <v>0.75241871090271295</v>
      </c>
    </row>
    <row r="538" spans="1:16" x14ac:dyDescent="0.3">
      <c r="A538" s="3" t="str">
        <f t="shared" si="8"/>
        <v>OTP</v>
      </c>
      <c r="C538" s="3" t="s">
        <v>850</v>
      </c>
      <c r="D538" s="3" t="s">
        <v>758</v>
      </c>
      <c r="E538" s="3" t="s">
        <v>931</v>
      </c>
      <c r="F538" s="3" t="s">
        <v>8</v>
      </c>
      <c r="G538" s="3">
        <v>0.47302713696798498</v>
      </c>
      <c r="H538" s="3">
        <v>0.53603492779399697</v>
      </c>
      <c r="I538" s="3">
        <v>0.58057071808179495</v>
      </c>
      <c r="J538" s="3">
        <v>0.81808444200895802</v>
      </c>
      <c r="K538" s="3">
        <v>0.95380828209689705</v>
      </c>
      <c r="N538" s="3">
        <v>1.13478424633</v>
      </c>
    </row>
    <row r="539" spans="1:16" x14ac:dyDescent="0.3">
      <c r="A539" s="3" t="str">
        <f t="shared" si="8"/>
        <v>COA</v>
      </c>
      <c r="C539" s="3" t="s">
        <v>850</v>
      </c>
      <c r="D539" s="3" t="s">
        <v>790</v>
      </c>
      <c r="E539" s="3" t="s">
        <v>932</v>
      </c>
      <c r="F539" s="3" t="s">
        <v>0</v>
      </c>
      <c r="H539" s="3">
        <v>2.21576636338227</v>
      </c>
      <c r="I539" s="3">
        <v>2.21576636338227</v>
      </c>
      <c r="J539" s="3">
        <v>3.37181105351564</v>
      </c>
      <c r="K539" s="3">
        <v>3.9312094734517338</v>
      </c>
      <c r="L539" s="3">
        <v>4.2839156297035128</v>
      </c>
      <c r="M539" s="3">
        <v>4.4778909815371151</v>
      </c>
      <c r="N539" s="3">
        <v>4.6771187283977351</v>
      </c>
      <c r="O539" s="3">
        <v>4.7589307941989549</v>
      </c>
      <c r="P539" s="3">
        <v>4.839676021457155</v>
      </c>
    </row>
    <row r="540" spans="1:16" x14ac:dyDescent="0.3">
      <c r="A540" s="3" t="str">
        <f t="shared" si="8"/>
        <v>COA</v>
      </c>
      <c r="C540" s="3" t="s">
        <v>850</v>
      </c>
      <c r="D540" s="3" t="s">
        <v>790</v>
      </c>
      <c r="E540" s="3" t="s">
        <v>932</v>
      </c>
      <c r="F540" s="3" t="s">
        <v>1</v>
      </c>
      <c r="H540" s="3">
        <v>5.50996967802533</v>
      </c>
      <c r="I540" s="3">
        <v>5.50996967802533</v>
      </c>
      <c r="J540" s="3">
        <v>9.2814614144939291</v>
      </c>
      <c r="K540" s="3">
        <v>10.821297059955759</v>
      </c>
      <c r="L540" s="3">
        <v>11.79217844326822</v>
      </c>
      <c r="M540" s="3">
        <v>12.32612732558451</v>
      </c>
      <c r="N540" s="3">
        <v>12.8745342842886</v>
      </c>
      <c r="O540" s="3">
        <v>13.099735376497602</v>
      </c>
      <c r="P540" s="3">
        <v>13.321999821126003</v>
      </c>
    </row>
    <row r="541" spans="1:16" x14ac:dyDescent="0.3">
      <c r="A541" s="3" t="str">
        <f t="shared" si="8"/>
        <v>COA</v>
      </c>
      <c r="C541" s="3" t="s">
        <v>850</v>
      </c>
      <c r="D541" s="3" t="s">
        <v>790</v>
      </c>
      <c r="E541" s="3" t="s">
        <v>932</v>
      </c>
      <c r="F541" s="3" t="s">
        <v>2</v>
      </c>
      <c r="H541" s="3">
        <v>0.83259932498654399</v>
      </c>
      <c r="I541" s="3">
        <v>0.83259932498654399</v>
      </c>
      <c r="J541" s="3">
        <v>4.8128880914816534</v>
      </c>
      <c r="K541" s="3">
        <v>5.6113675883967851</v>
      </c>
      <c r="L541" s="3">
        <v>6.1148166940180939</v>
      </c>
      <c r="M541" s="3">
        <v>6.3916950973638329</v>
      </c>
      <c r="N541" s="3">
        <v>6.6760707148404945</v>
      </c>
      <c r="O541" s="3">
        <v>6.7928484081883118</v>
      </c>
      <c r="P541" s="3">
        <v>6.9081033072757627</v>
      </c>
    </row>
    <row r="542" spans="1:16" x14ac:dyDescent="0.3">
      <c r="A542" s="3" t="str">
        <f t="shared" si="8"/>
        <v>COA</v>
      </c>
      <c r="C542" s="3" t="s">
        <v>850</v>
      </c>
      <c r="D542" s="3" t="s">
        <v>790</v>
      </c>
      <c r="E542" s="3" t="s">
        <v>932</v>
      </c>
      <c r="F542" s="3" t="s">
        <v>3</v>
      </c>
      <c r="H542" s="3">
        <v>0.112787864025852</v>
      </c>
      <c r="I542" s="3">
        <v>0.56393932012927106</v>
      </c>
      <c r="J542" s="3">
        <v>3.2598835438790612</v>
      </c>
      <c r="K542" s="3">
        <v>3.8007126931637583</v>
      </c>
      <c r="L542" s="3">
        <v>4.1417107432743183</v>
      </c>
      <c r="M542" s="3">
        <v>4.3292470693982823</v>
      </c>
      <c r="N542" s="3">
        <v>4.5218614369198065</v>
      </c>
      <c r="O542" s="3">
        <v>4.6009577453318977</v>
      </c>
      <c r="P542" s="3">
        <v>4.6790226289828771</v>
      </c>
    </row>
    <row r="543" spans="1:16" x14ac:dyDescent="0.3">
      <c r="A543" s="3" t="str">
        <f t="shared" si="8"/>
        <v>COA</v>
      </c>
      <c r="C543" s="3" t="s">
        <v>850</v>
      </c>
      <c r="D543" s="3" t="s">
        <v>790</v>
      </c>
      <c r="E543" s="3" t="s">
        <v>932</v>
      </c>
      <c r="F543" s="3" t="s">
        <v>4</v>
      </c>
      <c r="G543" s="3">
        <v>9.2651778258154696E-2</v>
      </c>
      <c r="H543" s="3">
        <v>0.55741196922973546</v>
      </c>
      <c r="I543" s="3">
        <v>2.4440362813841849</v>
      </c>
      <c r="J543" s="3">
        <v>13.681575965501558</v>
      </c>
      <c r="K543" s="3">
        <v>15.951410145372694</v>
      </c>
      <c r="L543" s="3">
        <v>17.382562719959388</v>
      </c>
      <c r="M543" s="3">
        <v>18.169643748351877</v>
      </c>
      <c r="N543" s="3">
        <v>18.978037074622929</v>
      </c>
      <c r="O543" s="3">
        <v>19.310000513673621</v>
      </c>
      <c r="P543" s="3">
        <v>19.637635112128521</v>
      </c>
    </row>
    <row r="544" spans="1:16" x14ac:dyDescent="0.3">
      <c r="A544" s="3" t="str">
        <f t="shared" si="8"/>
        <v>COA</v>
      </c>
      <c r="C544" s="3" t="s">
        <v>850</v>
      </c>
      <c r="D544" s="3" t="s">
        <v>790</v>
      </c>
      <c r="E544" s="3" t="s">
        <v>932</v>
      </c>
      <c r="F544" s="3" t="s">
        <v>5</v>
      </c>
      <c r="G544" s="3">
        <v>8.0759520439985993E-2</v>
      </c>
      <c r="H544" s="3">
        <v>0.42584503469585977</v>
      </c>
      <c r="I544" s="3">
        <v>2.1303336183419548</v>
      </c>
      <c r="J544" s="3">
        <v>11.925486316717143</v>
      </c>
      <c r="K544" s="3">
        <v>13.903977429255981</v>
      </c>
      <c r="L544" s="3">
        <v>15.15143536015551</v>
      </c>
      <c r="M544" s="3">
        <v>15.837491122876845</v>
      </c>
      <c r="N544" s="3">
        <v>16.542123657555546</v>
      </c>
      <c r="O544" s="3">
        <v>16.831478148590172</v>
      </c>
      <c r="P544" s="3">
        <v>17.117059424505353</v>
      </c>
    </row>
    <row r="545" spans="1:16" x14ac:dyDescent="0.3">
      <c r="A545" s="3" t="str">
        <f t="shared" si="8"/>
        <v>COA</v>
      </c>
      <c r="C545" s="3" t="s">
        <v>850</v>
      </c>
      <c r="D545" s="3" t="s">
        <v>790</v>
      </c>
      <c r="E545" s="3" t="s">
        <v>932</v>
      </c>
      <c r="F545" s="3" t="s">
        <v>6</v>
      </c>
      <c r="G545" s="3">
        <v>0.28055876459489698</v>
      </c>
      <c r="H545" s="3">
        <v>1.699087105531627</v>
      </c>
      <c r="I545" s="3">
        <v>7.4007840175468971</v>
      </c>
      <c r="J545" s="3">
        <v>41.429167607524846</v>
      </c>
      <c r="K545" s="3">
        <v>48.302450401574859</v>
      </c>
      <c r="L545" s="3">
        <v>52.636122197426346</v>
      </c>
      <c r="M545" s="3">
        <v>55.019481536160349</v>
      </c>
      <c r="N545" s="3">
        <v>57.467376624513996</v>
      </c>
      <c r="O545" s="3">
        <v>58.472594809223118</v>
      </c>
      <c r="P545" s="3">
        <v>59.464704835702626</v>
      </c>
    </row>
    <row r="546" spans="1:16" x14ac:dyDescent="0.3">
      <c r="A546" s="3" t="str">
        <f t="shared" si="8"/>
        <v>COA</v>
      </c>
      <c r="C546" s="3" t="s">
        <v>850</v>
      </c>
      <c r="D546" s="3" t="s">
        <v>790</v>
      </c>
      <c r="E546" s="3" t="s">
        <v>932</v>
      </c>
      <c r="F546" s="3" t="s">
        <v>7</v>
      </c>
      <c r="G546" s="3">
        <v>1.67408981552467</v>
      </c>
      <c r="H546" s="3">
        <v>2.5024128288199061</v>
      </c>
      <c r="I546" s="3">
        <v>2.9656748633509689</v>
      </c>
      <c r="J546" s="3">
        <v>9.0789433666780788</v>
      </c>
      <c r="K546" s="3">
        <v>10.585180369108425</v>
      </c>
      <c r="L546" s="3">
        <v>11.534877480502001</v>
      </c>
      <c r="M546" s="3">
        <v>12.057175796118623</v>
      </c>
      <c r="N546" s="3">
        <v>12.593616718255221</v>
      </c>
      <c r="O546" s="3">
        <v>12.813904006104833</v>
      </c>
      <c r="P546" s="3">
        <v>13.031318722935541</v>
      </c>
    </row>
    <row r="547" spans="1:16" x14ac:dyDescent="0.3">
      <c r="A547" s="3" t="str">
        <f t="shared" si="8"/>
        <v>COA</v>
      </c>
      <c r="C547" s="3" t="s">
        <v>850</v>
      </c>
      <c r="D547" s="3" t="s">
        <v>790</v>
      </c>
      <c r="E547" s="3" t="s">
        <v>932</v>
      </c>
      <c r="F547" s="3" t="s">
        <v>8</v>
      </c>
      <c r="G547" s="3">
        <v>1.0497305642335599</v>
      </c>
      <c r="H547" s="3">
        <v>1.5650662045753709</v>
      </c>
      <c r="I547" s="3">
        <v>2.1736190887610309</v>
      </c>
      <c r="J547" s="3">
        <v>5.6929110102498246</v>
      </c>
      <c r="K547" s="3">
        <v>6.6373902154680477</v>
      </c>
      <c r="L547" s="3">
        <v>7.2328935602403375</v>
      </c>
      <c r="M547" s="3">
        <v>7.5603983932941325</v>
      </c>
      <c r="N547" s="3">
        <v>7.8967712847903684</v>
      </c>
      <c r="O547" s="3">
        <v>8.034901447714379</v>
      </c>
      <c r="P547" s="3">
        <v>8.1712303777723285</v>
      </c>
    </row>
    <row r="548" spans="1:16" x14ac:dyDescent="0.3">
      <c r="A548" s="3" t="str">
        <f t="shared" si="8"/>
        <v>ELC</v>
      </c>
      <c r="C548" s="3" t="s">
        <v>850</v>
      </c>
      <c r="D548" s="3" t="s">
        <v>790</v>
      </c>
      <c r="E548" s="3" t="s">
        <v>933</v>
      </c>
      <c r="F548" s="3" t="s">
        <v>0</v>
      </c>
      <c r="G548" s="3">
        <v>0.22146185505182001</v>
      </c>
    </row>
    <row r="549" spans="1:16" x14ac:dyDescent="0.3">
      <c r="A549" s="3" t="str">
        <f t="shared" si="8"/>
        <v>ELC</v>
      </c>
      <c r="C549" s="3" t="s">
        <v>850</v>
      </c>
      <c r="D549" s="3" t="s">
        <v>790</v>
      </c>
      <c r="E549" s="3" t="s">
        <v>933</v>
      </c>
      <c r="F549" s="3" t="s">
        <v>1</v>
      </c>
      <c r="G549" s="3">
        <v>0.60960997808656703</v>
      </c>
      <c r="H549" s="3">
        <v>0.58928964548368101</v>
      </c>
      <c r="I549" s="3">
        <v>0.48472726031556401</v>
      </c>
    </row>
    <row r="550" spans="1:16" x14ac:dyDescent="0.3">
      <c r="A550" s="3" t="str">
        <f t="shared" si="8"/>
        <v>ELC</v>
      </c>
      <c r="C550" s="3" t="s">
        <v>850</v>
      </c>
      <c r="D550" s="3" t="s">
        <v>790</v>
      </c>
      <c r="E550" s="3" t="s">
        <v>933</v>
      </c>
      <c r="F550" s="3" t="s">
        <v>2</v>
      </c>
      <c r="G550" s="3">
        <v>1.07838654978842</v>
      </c>
      <c r="H550" s="3">
        <v>1.04244033146214</v>
      </c>
      <c r="I550" s="3">
        <v>0.89865545815701697</v>
      </c>
    </row>
    <row r="551" spans="1:16" x14ac:dyDescent="0.3">
      <c r="A551" s="3" t="str">
        <f t="shared" si="8"/>
        <v>ELC</v>
      </c>
      <c r="C551" s="3" t="s">
        <v>850</v>
      </c>
      <c r="D551" s="3" t="s">
        <v>790</v>
      </c>
      <c r="E551" s="3" t="s">
        <v>933</v>
      </c>
      <c r="F551" s="3" t="s">
        <v>3</v>
      </c>
      <c r="G551" s="3">
        <v>0.73041685174806703</v>
      </c>
      <c r="H551" s="3">
        <v>0.70606962335646495</v>
      </c>
      <c r="I551" s="3">
        <v>0.60868070979005595</v>
      </c>
    </row>
    <row r="552" spans="1:16" x14ac:dyDescent="0.3">
      <c r="A552" s="3" t="str">
        <f t="shared" si="8"/>
        <v>ELC</v>
      </c>
      <c r="C552" s="3" t="s">
        <v>850</v>
      </c>
      <c r="D552" s="3" t="s">
        <v>790</v>
      </c>
      <c r="E552" s="3" t="s">
        <v>933</v>
      </c>
      <c r="F552" s="3" t="s">
        <v>4</v>
      </c>
      <c r="G552" s="3">
        <v>1.1074883470691099</v>
      </c>
      <c r="H552" s="3">
        <v>1.0705720688334699</v>
      </c>
      <c r="I552" s="3">
        <v>0.92290695589092497</v>
      </c>
    </row>
    <row r="553" spans="1:16" x14ac:dyDescent="0.3">
      <c r="A553" s="3" t="str">
        <f t="shared" si="8"/>
        <v>ELC</v>
      </c>
      <c r="C553" s="3" t="s">
        <v>850</v>
      </c>
      <c r="D553" s="3" t="s">
        <v>790</v>
      </c>
      <c r="E553" s="3" t="s">
        <v>933</v>
      </c>
      <c r="F553" s="3" t="s">
        <v>5</v>
      </c>
      <c r="G553" s="3">
        <v>0.96533741158175801</v>
      </c>
      <c r="H553" s="3">
        <v>0.93315949786236596</v>
      </c>
      <c r="I553" s="3">
        <v>0.80444784298479799</v>
      </c>
    </row>
    <row r="554" spans="1:16" x14ac:dyDescent="0.3">
      <c r="A554" s="3" t="str">
        <f t="shared" si="8"/>
        <v>ELC</v>
      </c>
      <c r="C554" s="3" t="s">
        <v>850</v>
      </c>
      <c r="D554" s="3" t="s">
        <v>790</v>
      </c>
      <c r="E554" s="3" t="s">
        <v>933</v>
      </c>
      <c r="F554" s="3" t="s">
        <v>6</v>
      </c>
      <c r="G554" s="3">
        <v>3.3535844459585999</v>
      </c>
      <c r="H554" s="3">
        <v>3.24179829775998</v>
      </c>
      <c r="I554" s="3">
        <v>2.7946537049655</v>
      </c>
    </row>
    <row r="555" spans="1:16" x14ac:dyDescent="0.3">
      <c r="A555" s="3" t="str">
        <f t="shared" si="8"/>
        <v>ELC</v>
      </c>
      <c r="C555" s="3" t="s">
        <v>850</v>
      </c>
      <c r="D555" s="3" t="s">
        <v>790</v>
      </c>
      <c r="E555" s="3" t="s">
        <v>933</v>
      </c>
      <c r="F555" s="3" t="s">
        <v>7</v>
      </c>
      <c r="G555" s="3">
        <v>0.60092452245970496</v>
      </c>
      <c r="I555" s="3">
        <v>0.50077043538308696</v>
      </c>
    </row>
    <row r="556" spans="1:16" x14ac:dyDescent="0.3">
      <c r="A556" s="3" t="str">
        <f t="shared" si="8"/>
        <v>ELC</v>
      </c>
      <c r="C556" s="3" t="s">
        <v>850</v>
      </c>
      <c r="D556" s="3" t="s">
        <v>790</v>
      </c>
      <c r="E556" s="3" t="s">
        <v>933</v>
      </c>
      <c r="F556" s="3" t="s">
        <v>8</v>
      </c>
      <c r="G556" s="3">
        <v>0.36319741929538801</v>
      </c>
    </row>
    <row r="557" spans="1:16" x14ac:dyDescent="0.3">
      <c r="A557" s="3" t="str">
        <f t="shared" si="8"/>
        <v>NGA</v>
      </c>
      <c r="C557" s="3" t="s">
        <v>850</v>
      </c>
      <c r="D557" s="3" t="s">
        <v>790</v>
      </c>
      <c r="E557" s="3" t="s">
        <v>934</v>
      </c>
      <c r="F557" s="3" t="s">
        <v>0</v>
      </c>
      <c r="G557" s="3">
        <v>0.25811483773161198</v>
      </c>
    </row>
    <row r="558" spans="1:16" x14ac:dyDescent="0.3">
      <c r="A558" s="3" t="str">
        <f t="shared" si="8"/>
        <v>NGA</v>
      </c>
      <c r="C558" s="3" t="s">
        <v>850</v>
      </c>
      <c r="D558" s="3" t="s">
        <v>790</v>
      </c>
      <c r="E558" s="3" t="s">
        <v>934</v>
      </c>
      <c r="F558" s="3" t="s">
        <v>1</v>
      </c>
      <c r="G558" s="3">
        <v>0.71050330783406201</v>
      </c>
      <c r="I558" s="3">
        <v>0.59208608986171796</v>
      </c>
    </row>
    <row r="559" spans="1:16" x14ac:dyDescent="0.3">
      <c r="A559" s="3" t="str">
        <f t="shared" si="8"/>
        <v>NGA</v>
      </c>
      <c r="C559" s="3" t="s">
        <v>850</v>
      </c>
      <c r="D559" s="3" t="s">
        <v>790</v>
      </c>
      <c r="E559" s="3" t="s">
        <v>934</v>
      </c>
      <c r="F559" s="3" t="s">
        <v>2</v>
      </c>
      <c r="G559" s="3">
        <v>2.0211741790739</v>
      </c>
      <c r="H559" s="3">
        <v>1.28772224644887</v>
      </c>
      <c r="I559" s="3">
        <v>1.68431181589492</v>
      </c>
    </row>
    <row r="560" spans="1:16" x14ac:dyDescent="0.3">
      <c r="A560" s="3" t="str">
        <f t="shared" si="8"/>
        <v>NGA</v>
      </c>
      <c r="C560" s="3" t="s">
        <v>850</v>
      </c>
      <c r="D560" s="3" t="s">
        <v>790</v>
      </c>
      <c r="E560" s="3" t="s">
        <v>934</v>
      </c>
      <c r="F560" s="3" t="s">
        <v>3</v>
      </c>
      <c r="G560" s="3">
        <v>1.3689893304059599</v>
      </c>
      <c r="H560" s="3">
        <v>1.3233563527257599</v>
      </c>
      <c r="I560" s="3">
        <v>1.14082444200497</v>
      </c>
    </row>
    <row r="561" spans="1:16" x14ac:dyDescent="0.3">
      <c r="A561" s="3" t="str">
        <f t="shared" si="8"/>
        <v>NGA</v>
      </c>
      <c r="C561" s="3" t="s">
        <v>850</v>
      </c>
      <c r="D561" s="3" t="s">
        <v>790</v>
      </c>
      <c r="E561" s="3" t="s">
        <v>934</v>
      </c>
      <c r="F561" s="3" t="s">
        <v>4</v>
      </c>
      <c r="G561" s="3">
        <v>7.6040717394503803</v>
      </c>
      <c r="H561" s="3">
        <v>7.3572687056335004</v>
      </c>
      <c r="I561" s="3">
        <v>6.34247302209784</v>
      </c>
    </row>
    <row r="562" spans="1:16" x14ac:dyDescent="0.3">
      <c r="A562" s="3" t="str">
        <f t="shared" si="8"/>
        <v>NGA</v>
      </c>
      <c r="C562" s="3" t="s">
        <v>850</v>
      </c>
      <c r="D562" s="3" t="s">
        <v>790</v>
      </c>
      <c r="E562" s="3" t="s">
        <v>934</v>
      </c>
      <c r="F562" s="3" t="s">
        <v>5</v>
      </c>
      <c r="G562" s="3">
        <v>6.5530302708617603</v>
      </c>
      <c r="H562" s="3">
        <v>6.4129313391001501</v>
      </c>
      <c r="I562" s="3">
        <v>5.5283890854311704</v>
      </c>
    </row>
    <row r="563" spans="1:16" x14ac:dyDescent="0.3">
      <c r="A563" s="3" t="str">
        <f t="shared" si="8"/>
        <v>NGA</v>
      </c>
      <c r="C563" s="3" t="s">
        <v>850</v>
      </c>
      <c r="D563" s="3" t="s">
        <v>790</v>
      </c>
      <c r="E563" s="3" t="s">
        <v>934</v>
      </c>
      <c r="F563" s="3" t="s">
        <v>6</v>
      </c>
      <c r="G563" s="3">
        <v>23.039868188176602</v>
      </c>
      <c r="H563" s="3">
        <v>22.2785386060688</v>
      </c>
      <c r="I563" s="3">
        <v>19.205636729369701</v>
      </c>
    </row>
    <row r="564" spans="1:16" x14ac:dyDescent="0.3">
      <c r="A564" s="3" t="str">
        <f t="shared" si="8"/>
        <v>NGA</v>
      </c>
      <c r="C564" s="3" t="s">
        <v>850</v>
      </c>
      <c r="D564" s="3" t="s">
        <v>790</v>
      </c>
      <c r="E564" s="3" t="s">
        <v>934</v>
      </c>
      <c r="F564" s="3" t="s">
        <v>7</v>
      </c>
      <c r="G564" s="3">
        <v>3.55833025164182</v>
      </c>
      <c r="H564" s="3">
        <v>3.4528752156753302</v>
      </c>
      <c r="I564" s="3">
        <v>2.9766165652373502</v>
      </c>
    </row>
    <row r="565" spans="1:16" x14ac:dyDescent="0.3">
      <c r="A565" s="3" t="str">
        <f t="shared" si="8"/>
        <v>NGA</v>
      </c>
      <c r="C565" s="3" t="s">
        <v>850</v>
      </c>
      <c r="D565" s="3" t="s">
        <v>790</v>
      </c>
      <c r="E565" s="3" t="s">
        <v>934</v>
      </c>
      <c r="F565" s="3" t="s">
        <v>8</v>
      </c>
      <c r="G565" s="3">
        <v>2.2397689951092201</v>
      </c>
      <c r="H565" s="3">
        <v>2.16511002860558</v>
      </c>
      <c r="I565" s="3">
        <v>1.8664741625910199</v>
      </c>
    </row>
    <row r="566" spans="1:16" x14ac:dyDescent="0.3">
      <c r="A566" s="3" t="str">
        <f t="shared" si="8"/>
        <v>RFL</v>
      </c>
      <c r="C566" s="3" t="s">
        <v>850</v>
      </c>
      <c r="D566" s="3" t="s">
        <v>790</v>
      </c>
      <c r="E566" s="3" t="s">
        <v>935</v>
      </c>
      <c r="F566" s="3" t="s">
        <v>0</v>
      </c>
      <c r="G566" s="3">
        <v>1.6919122194808001</v>
      </c>
      <c r="I566" s="3">
        <v>0.17710980447215199</v>
      </c>
    </row>
    <row r="567" spans="1:16" x14ac:dyDescent="0.3">
      <c r="A567" s="3" t="str">
        <f t="shared" si="8"/>
        <v>RFL</v>
      </c>
      <c r="C567" s="3" t="s">
        <v>850</v>
      </c>
      <c r="D567" s="3" t="s">
        <v>790</v>
      </c>
      <c r="E567" s="3" t="s">
        <v>935</v>
      </c>
      <c r="F567" s="3" t="s">
        <v>1</v>
      </c>
      <c r="G567" s="3">
        <v>4.6572651114149899</v>
      </c>
    </row>
    <row r="568" spans="1:16" x14ac:dyDescent="0.3">
      <c r="A568" s="3" t="str">
        <f t="shared" si="8"/>
        <v>STM</v>
      </c>
      <c r="C568" s="3" t="s">
        <v>850</v>
      </c>
      <c r="D568" s="3" t="s">
        <v>774</v>
      </c>
      <c r="E568" s="3" t="s">
        <v>1208</v>
      </c>
      <c r="F568" s="3" t="s">
        <v>0</v>
      </c>
      <c r="G568" s="3">
        <v>1.1127368669517099</v>
      </c>
      <c r="H568" s="3">
        <v>1.13542597761464</v>
      </c>
      <c r="I568" s="3">
        <v>3.3079453385028299</v>
      </c>
      <c r="J568" s="3">
        <v>2.1952084715511102</v>
      </c>
      <c r="K568" s="3">
        <v>2.1952084715511102</v>
      </c>
      <c r="L568" s="3">
        <v>2.1952084715511102</v>
      </c>
      <c r="M568" s="3">
        <v>2.2946073328789902</v>
      </c>
      <c r="N568" s="3">
        <v>2.3966976809344098</v>
      </c>
      <c r="O568" s="3">
        <v>2.43862066809052</v>
      </c>
      <c r="P568" s="3">
        <v>2.4799969747772201</v>
      </c>
    </row>
    <row r="569" spans="1:16" x14ac:dyDescent="0.3">
      <c r="A569" s="3" t="str">
        <f t="shared" si="8"/>
        <v>STM</v>
      </c>
      <c r="C569" s="3" t="s">
        <v>850</v>
      </c>
      <c r="D569" s="3" t="s">
        <v>774</v>
      </c>
      <c r="E569" s="3" t="s">
        <v>1208</v>
      </c>
      <c r="F569" s="3" t="s">
        <v>1</v>
      </c>
      <c r="G569" s="3">
        <v>1.1118685570151401</v>
      </c>
      <c r="H569" s="3">
        <v>1.2392349058663099</v>
      </c>
      <c r="I569" s="3">
        <v>1.2356861306434801</v>
      </c>
      <c r="J569" s="3">
        <v>1.88578815102338</v>
      </c>
      <c r="K569" s="3">
        <v>2.19864877555831</v>
      </c>
      <c r="L569" s="3">
        <v>2.39591044879446</v>
      </c>
      <c r="M569" s="3">
        <v>2.50439707935372</v>
      </c>
      <c r="N569" s="3">
        <v>2.6158212719973402</v>
      </c>
      <c r="O569" s="3">
        <v>2.6615771645577602</v>
      </c>
      <c r="P569" s="3">
        <v>2.7067363951310299</v>
      </c>
    </row>
    <row r="570" spans="1:16" x14ac:dyDescent="0.3">
      <c r="A570" s="3" t="str">
        <f t="shared" si="8"/>
        <v>STM</v>
      </c>
      <c r="C570" s="3" t="s">
        <v>850</v>
      </c>
      <c r="D570" s="3" t="s">
        <v>774</v>
      </c>
      <c r="E570" s="3" t="s">
        <v>1208</v>
      </c>
      <c r="F570" s="3" t="s">
        <v>2</v>
      </c>
      <c r="G570" s="3">
        <v>0.43717917451411098</v>
      </c>
      <c r="H570" s="3">
        <v>1.6598457617592599</v>
      </c>
      <c r="I570" s="3">
        <v>0.45018938612758802</v>
      </c>
      <c r="J570" s="3">
        <v>2.65208792944214</v>
      </c>
      <c r="K570" s="3">
        <v>3.09208108852342</v>
      </c>
      <c r="L570" s="3">
        <v>3.3695010639576899</v>
      </c>
      <c r="M570" s="3">
        <v>3.5220717985102099</v>
      </c>
      <c r="N570" s="3">
        <v>3.6787737887086398</v>
      </c>
      <c r="O570" s="3">
        <v>3.7431228251019801</v>
      </c>
      <c r="P570" s="3">
        <v>3.8066327428205899</v>
      </c>
    </row>
    <row r="571" spans="1:16" x14ac:dyDescent="0.3">
      <c r="A571" s="3" t="str">
        <f t="shared" si="8"/>
        <v>STM</v>
      </c>
      <c r="C571" s="3" t="s">
        <v>850</v>
      </c>
      <c r="D571" s="3" t="s">
        <v>774</v>
      </c>
      <c r="E571" s="3" t="s">
        <v>1208</v>
      </c>
      <c r="F571" s="3" t="s">
        <v>3</v>
      </c>
      <c r="G571" s="3">
        <v>0.120087444057165</v>
      </c>
      <c r="H571" s="3">
        <v>0.148988799839188</v>
      </c>
      <c r="I571" s="3">
        <v>0.26459422296728302</v>
      </c>
      <c r="J571" s="3">
        <v>2.2008925181268801</v>
      </c>
      <c r="K571" s="3">
        <v>2.5660303557900002</v>
      </c>
      <c r="L571" s="3">
        <v>2.7962533214518799</v>
      </c>
      <c r="M571" s="3">
        <v>2.9228674447748499</v>
      </c>
      <c r="N571" s="3">
        <v>3.0529099799316199</v>
      </c>
      <c r="O571" s="3">
        <v>3.1063114192936201</v>
      </c>
      <c r="P571" s="3">
        <v>3.15901649787794</v>
      </c>
    </row>
    <row r="572" spans="1:16" x14ac:dyDescent="0.3">
      <c r="A572" s="3" t="str">
        <f t="shared" si="8"/>
        <v>STM</v>
      </c>
      <c r="C572" s="3" t="s">
        <v>850</v>
      </c>
      <c r="D572" s="3" t="s">
        <v>774</v>
      </c>
      <c r="E572" s="3" t="s">
        <v>1208</v>
      </c>
      <c r="F572" s="3" t="s">
        <v>4</v>
      </c>
      <c r="G572" s="3">
        <v>12.880969746240501</v>
      </c>
      <c r="H572" s="3">
        <v>13.168043182269001</v>
      </c>
      <c r="I572" s="3">
        <v>14.8086785625527</v>
      </c>
      <c r="J572" s="3">
        <v>21.6946418187494</v>
      </c>
      <c r="K572" s="3">
        <v>25.293879190557099</v>
      </c>
      <c r="L572" s="3">
        <v>27.5632334354138</v>
      </c>
      <c r="M572" s="3">
        <v>61.170669706830502</v>
      </c>
      <c r="N572" s="3">
        <v>62.786726563165097</v>
      </c>
      <c r="O572" s="3">
        <v>63.110758150583997</v>
      </c>
      <c r="P572" s="3">
        <v>63.259700196938702</v>
      </c>
    </row>
    <row r="573" spans="1:16" x14ac:dyDescent="0.3">
      <c r="A573" s="3" t="str">
        <f t="shared" si="8"/>
        <v>STM</v>
      </c>
      <c r="C573" s="3" t="s">
        <v>850</v>
      </c>
      <c r="D573" s="3" t="s">
        <v>774</v>
      </c>
      <c r="E573" s="3" t="s">
        <v>1208</v>
      </c>
      <c r="F573" s="3" t="s">
        <v>5</v>
      </c>
      <c r="G573" s="3">
        <v>0.56545195731165598</v>
      </c>
      <c r="H573" s="3">
        <v>0.60810147648447999</v>
      </c>
      <c r="I573" s="3">
        <v>0.86245975013104503</v>
      </c>
      <c r="J573" s="3">
        <v>2.9432334669082598</v>
      </c>
      <c r="K573" s="3">
        <v>3.4315289629369601</v>
      </c>
      <c r="L573" s="3">
        <v>3.7394040326217</v>
      </c>
      <c r="M573" s="3">
        <v>3.9087239435569998</v>
      </c>
      <c r="N573" s="3">
        <v>4.0826286383308803</v>
      </c>
      <c r="O573" s="3">
        <v>4.1540418955512104</v>
      </c>
      <c r="P573" s="3">
        <v>4.2245239158624202</v>
      </c>
    </row>
    <row r="574" spans="1:16" x14ac:dyDescent="0.3">
      <c r="A574" s="3" t="str">
        <f t="shared" si="8"/>
        <v>STM</v>
      </c>
      <c r="C574" s="3" t="s">
        <v>850</v>
      </c>
      <c r="D574" s="3" t="s">
        <v>774</v>
      </c>
      <c r="E574" s="3" t="s">
        <v>1208</v>
      </c>
      <c r="F574" s="3" t="s">
        <v>6</v>
      </c>
      <c r="G574" s="3">
        <v>30.5979135353065</v>
      </c>
      <c r="H574" s="3">
        <v>31.315501769146199</v>
      </c>
      <c r="I574" s="3">
        <v>34.185854704505203</v>
      </c>
      <c r="J574" s="3">
        <v>54.5075097889153</v>
      </c>
      <c r="K574" s="3">
        <v>63.550547600532397</v>
      </c>
      <c r="L574" s="3">
        <v>69.252271083661597</v>
      </c>
      <c r="M574" s="3">
        <v>72.388008294634503</v>
      </c>
      <c r="N574" s="3">
        <v>173.61933776439599</v>
      </c>
      <c r="O574" s="3">
        <v>191.10567853605599</v>
      </c>
      <c r="P574" s="3">
        <v>191.55668980974301</v>
      </c>
    </row>
    <row r="575" spans="1:16" x14ac:dyDescent="0.3">
      <c r="A575" s="3" t="str">
        <f t="shared" si="8"/>
        <v>STM</v>
      </c>
      <c r="C575" s="3" t="s">
        <v>850</v>
      </c>
      <c r="D575" s="3" t="s">
        <v>774</v>
      </c>
      <c r="E575" s="3" t="s">
        <v>1208</v>
      </c>
      <c r="F575" s="3" t="s">
        <v>7</v>
      </c>
      <c r="G575" s="3">
        <v>1.8865289543747901</v>
      </c>
      <c r="H575" s="3">
        <v>1.9259659968591301</v>
      </c>
      <c r="I575" s="3">
        <v>2.0837141667965402</v>
      </c>
      <c r="J575" s="3">
        <v>2.93616968331107</v>
      </c>
      <c r="K575" s="3">
        <v>3.4232932662876099</v>
      </c>
      <c r="L575" s="3">
        <v>3.7304294333702699</v>
      </c>
      <c r="M575" s="3">
        <v>3.89934297518026</v>
      </c>
      <c r="N575" s="3">
        <v>4.0728302973113601</v>
      </c>
      <c r="O575" s="3">
        <v>4.1440721621495902</v>
      </c>
      <c r="P575" s="3">
        <v>4.21438502505465</v>
      </c>
    </row>
    <row r="576" spans="1:16" x14ac:dyDescent="0.3">
      <c r="A576" s="3" t="str">
        <f t="shared" si="8"/>
        <v>STM</v>
      </c>
      <c r="C576" s="3" t="s">
        <v>850</v>
      </c>
      <c r="D576" s="3" t="s">
        <v>774</v>
      </c>
      <c r="E576" s="3" t="s">
        <v>1208</v>
      </c>
      <c r="F576" s="3" t="s">
        <v>8</v>
      </c>
      <c r="G576" s="3">
        <v>0.437187343642994</v>
      </c>
      <c r="H576" s="3">
        <v>0.44646075166975202</v>
      </c>
      <c r="I576" s="3">
        <v>0.48355438377675902</v>
      </c>
      <c r="J576" s="3">
        <v>0.68137835049624695</v>
      </c>
      <c r="K576" s="3">
        <v>0.90489589193335496</v>
      </c>
      <c r="L576" s="3">
        <v>0.90489589193335496</v>
      </c>
      <c r="M576" s="3">
        <v>0.90489589193335496</v>
      </c>
      <c r="N576" s="3">
        <v>0.94515599885347001</v>
      </c>
      <c r="O576" s="3">
        <v>7.2391026577964297</v>
      </c>
      <c r="P576" s="3">
        <v>7.2391026577964297</v>
      </c>
    </row>
    <row r="577" spans="1:16" x14ac:dyDescent="0.3">
      <c r="A577" s="3" t="str">
        <f t="shared" si="8"/>
        <v>NGA</v>
      </c>
      <c r="C577" s="3" t="s">
        <v>850</v>
      </c>
      <c r="D577" s="3" t="s">
        <v>774</v>
      </c>
      <c r="E577" s="3" t="s">
        <v>936</v>
      </c>
      <c r="F577" s="3" t="s">
        <v>1</v>
      </c>
      <c r="G577" s="3">
        <v>0.102602834125507</v>
      </c>
      <c r="I577" s="3">
        <v>0.102602834125507</v>
      </c>
    </row>
    <row r="578" spans="1:16" x14ac:dyDescent="0.3">
      <c r="A578" s="3" t="str">
        <f t="shared" si="8"/>
        <v>NGA</v>
      </c>
      <c r="C578" s="3" t="s">
        <v>850</v>
      </c>
      <c r="D578" s="3" t="s">
        <v>774</v>
      </c>
      <c r="E578" s="3" t="s">
        <v>936</v>
      </c>
      <c r="F578" s="3" t="s">
        <v>2</v>
      </c>
      <c r="G578" s="3">
        <v>1.18784029010309</v>
      </c>
      <c r="I578" s="3">
        <v>1.3489615641999</v>
      </c>
    </row>
    <row r="579" spans="1:16" x14ac:dyDescent="0.3">
      <c r="A579" s="3" t="str">
        <f t="shared" si="8"/>
        <v>NGA</v>
      </c>
      <c r="C579" s="3" t="s">
        <v>850</v>
      </c>
      <c r="D579" s="3" t="s">
        <v>774</v>
      </c>
      <c r="E579" s="3" t="s">
        <v>936</v>
      </c>
      <c r="F579" s="3" t="s">
        <v>3</v>
      </c>
      <c r="G579" s="3">
        <v>1.2973151399977001</v>
      </c>
      <c r="H579" s="3">
        <v>1.2973151399977001</v>
      </c>
      <c r="I579" s="3">
        <v>1.2973151399977001</v>
      </c>
    </row>
    <row r="580" spans="1:16" x14ac:dyDescent="0.3">
      <c r="A580" s="3" t="str">
        <f t="shared" si="8"/>
        <v>NGA</v>
      </c>
      <c r="C580" s="3" t="s">
        <v>850</v>
      </c>
      <c r="D580" s="3" t="s">
        <v>774</v>
      </c>
      <c r="E580" s="3" t="s">
        <v>936</v>
      </c>
      <c r="F580" s="3" t="s">
        <v>4</v>
      </c>
      <c r="G580" s="3">
        <v>0.58737731195898302</v>
      </c>
      <c r="H580" s="3">
        <v>0.58737731195898302</v>
      </c>
      <c r="I580" s="3">
        <v>0.58737731195898302</v>
      </c>
    </row>
    <row r="581" spans="1:16" x14ac:dyDescent="0.3">
      <c r="A581" s="3" t="str">
        <f t="shared" si="8"/>
        <v>NGA</v>
      </c>
      <c r="C581" s="3" t="s">
        <v>850</v>
      </c>
      <c r="D581" s="3" t="s">
        <v>774</v>
      </c>
      <c r="E581" s="3" t="s">
        <v>936</v>
      </c>
      <c r="F581" s="3" t="s">
        <v>5</v>
      </c>
      <c r="G581" s="3">
        <v>1.22626737829245</v>
      </c>
      <c r="H581" s="3">
        <v>1.22626737829245</v>
      </c>
      <c r="I581" s="3">
        <v>1.22626737829245</v>
      </c>
    </row>
    <row r="582" spans="1:16" x14ac:dyDescent="0.3">
      <c r="A582" s="3" t="str">
        <f t="shared" si="8"/>
        <v>NGA</v>
      </c>
      <c r="C582" s="3" t="s">
        <v>850</v>
      </c>
      <c r="D582" s="3" t="s">
        <v>774</v>
      </c>
      <c r="E582" s="3" t="s">
        <v>936</v>
      </c>
      <c r="F582" s="3" t="s">
        <v>6</v>
      </c>
      <c r="G582" s="3">
        <v>4.4965385473330004</v>
      </c>
      <c r="H582" s="3">
        <v>4.4965385473330004</v>
      </c>
      <c r="I582" s="3">
        <v>4.4965385473330004</v>
      </c>
    </row>
    <row r="583" spans="1:16" x14ac:dyDescent="0.3">
      <c r="A583" s="3" t="str">
        <f t="shared" si="8"/>
        <v>COA</v>
      </c>
      <c r="C583" s="3" t="s">
        <v>850</v>
      </c>
      <c r="D583" s="3" t="s">
        <v>774</v>
      </c>
      <c r="E583" s="3" t="s">
        <v>937</v>
      </c>
      <c r="F583" s="3" t="s">
        <v>2</v>
      </c>
      <c r="G583" s="3">
        <v>8.2958663970040203E-2</v>
      </c>
      <c r="H583" s="3">
        <v>8.2958663970040203E-2</v>
      </c>
      <c r="I583" s="3">
        <v>8.2958663970040203E-2</v>
      </c>
    </row>
    <row r="584" spans="1:16" x14ac:dyDescent="0.3">
      <c r="A584" s="3" t="str">
        <f t="shared" ref="A584:A647" si="9">RIGHT(E584,3)</f>
        <v>COA</v>
      </c>
      <c r="C584" s="3" t="s">
        <v>850</v>
      </c>
      <c r="D584" s="3" t="s">
        <v>774</v>
      </c>
      <c r="E584" s="3" t="s">
        <v>937</v>
      </c>
      <c r="F584" s="3" t="s">
        <v>4</v>
      </c>
      <c r="G584" s="3">
        <v>0.49234163617002102</v>
      </c>
      <c r="H584" s="3">
        <v>0.49234163617002102</v>
      </c>
    </row>
    <row r="585" spans="1:16" x14ac:dyDescent="0.3">
      <c r="A585" s="3" t="str">
        <f t="shared" si="9"/>
        <v>COA</v>
      </c>
      <c r="C585" s="3" t="s">
        <v>850</v>
      </c>
      <c r="D585" s="3" t="s">
        <v>774</v>
      </c>
      <c r="E585" s="3" t="s">
        <v>937</v>
      </c>
      <c r="F585" s="3" t="s">
        <v>5</v>
      </c>
      <c r="G585" s="3">
        <v>8.3760196955258007E-2</v>
      </c>
      <c r="H585" s="3">
        <v>8.3760196955258007E-2</v>
      </c>
    </row>
    <row r="586" spans="1:16" x14ac:dyDescent="0.3">
      <c r="A586" s="3" t="str">
        <f t="shared" si="9"/>
        <v>EXT</v>
      </c>
      <c r="C586" s="3" t="s">
        <v>850</v>
      </c>
      <c r="D586" s="3" t="s">
        <v>938</v>
      </c>
      <c r="E586" s="3" t="s">
        <v>939</v>
      </c>
      <c r="F586" s="3" t="s">
        <v>0</v>
      </c>
      <c r="G586" s="3">
        <v>3.3850206400124399</v>
      </c>
      <c r="H586" s="3">
        <v>3.45404244577677</v>
      </c>
      <c r="I586" s="3">
        <v>3.7301296688340799</v>
      </c>
      <c r="J586" s="3">
        <v>5.25614012851275</v>
      </c>
      <c r="K586" s="3">
        <v>6.1281571057947399</v>
      </c>
      <c r="L586" s="3">
        <v>6.6779723095605501</v>
      </c>
      <c r="M586" s="3">
        <v>6.9803503534464699</v>
      </c>
      <c r="N586" s="3">
        <v>7.2909160815869498</v>
      </c>
      <c r="O586" s="3">
        <v>7.4184486376019212</v>
      </c>
      <c r="P586" s="3">
        <v>7.5443181547372902</v>
      </c>
    </row>
    <row r="587" spans="1:16" x14ac:dyDescent="0.3">
      <c r="A587" s="3" t="str">
        <f t="shared" si="9"/>
        <v>EXT</v>
      </c>
      <c r="C587" s="3" t="s">
        <v>850</v>
      </c>
      <c r="D587" s="3" t="s">
        <v>938</v>
      </c>
      <c r="E587" s="3" t="s">
        <v>939</v>
      </c>
      <c r="F587" s="3" t="s">
        <v>1</v>
      </c>
      <c r="G587" s="3">
        <v>38.801912518547901</v>
      </c>
      <c r="H587" s="3">
        <v>39.593097670414402</v>
      </c>
      <c r="I587" s="3">
        <v>42.757838277880701</v>
      </c>
      <c r="J587" s="3">
        <v>60.250235121470702</v>
      </c>
      <c r="K587" s="3">
        <v>70.246016555482797</v>
      </c>
      <c r="L587" s="3">
        <v>76.5484541789681</v>
      </c>
      <c r="M587" s="3">
        <v>80.014561968002994</v>
      </c>
      <c r="N587" s="3">
        <v>83.5745237809749</v>
      </c>
      <c r="O587" s="3">
        <v>85.036407653488396</v>
      </c>
      <c r="P587" s="3">
        <v>86.479228395822403</v>
      </c>
    </row>
    <row r="588" spans="1:16" x14ac:dyDescent="0.3">
      <c r="A588" s="3" t="str">
        <f t="shared" si="9"/>
        <v>EXT</v>
      </c>
      <c r="C588" s="3" t="s">
        <v>850</v>
      </c>
      <c r="D588" s="3" t="s">
        <v>938</v>
      </c>
      <c r="E588" s="3" t="s">
        <v>939</v>
      </c>
      <c r="F588" s="3" t="s">
        <v>2</v>
      </c>
      <c r="G588" s="3">
        <v>126.49710861539501</v>
      </c>
      <c r="H588" s="3">
        <v>129.199220984189</v>
      </c>
      <c r="I588" s="3">
        <v>140.007670459368</v>
      </c>
      <c r="J588" s="3">
        <v>197.28534939405802</v>
      </c>
      <c r="K588" s="3">
        <v>230.01586453146601</v>
      </c>
      <c r="L588" s="3">
        <v>250.652773351436</v>
      </c>
      <c r="M588" s="3">
        <v>262.00231057429698</v>
      </c>
      <c r="N588" s="3">
        <v>273.659166496696</v>
      </c>
      <c r="O588" s="3">
        <v>278.44600707882603</v>
      </c>
      <c r="P588" s="3">
        <v>283.170426721181</v>
      </c>
    </row>
    <row r="589" spans="1:16" x14ac:dyDescent="0.3">
      <c r="A589" s="3" t="str">
        <f t="shared" si="9"/>
        <v>EXT</v>
      </c>
      <c r="C589" s="3" t="s">
        <v>850</v>
      </c>
      <c r="D589" s="3" t="s">
        <v>938</v>
      </c>
      <c r="E589" s="3" t="s">
        <v>939</v>
      </c>
      <c r="F589" s="3" t="s">
        <v>3</v>
      </c>
      <c r="G589" s="3">
        <v>49.417186409049897</v>
      </c>
      <c r="H589" s="3">
        <v>54.0551781151608</v>
      </c>
      <c r="I589" s="3">
        <v>72.607144939604296</v>
      </c>
      <c r="J589" s="3">
        <v>102.311008467725</v>
      </c>
      <c r="K589" s="3">
        <v>119.28485889129401</v>
      </c>
      <c r="L589" s="3">
        <v>129.987037028255</v>
      </c>
      <c r="M589" s="3">
        <v>135.87283950917501</v>
      </c>
      <c r="N589" s="3">
        <v>141.91801563931699</v>
      </c>
      <c r="O589" s="3">
        <v>144.400442686415</v>
      </c>
      <c r="P589" s="3">
        <v>146.850498605512</v>
      </c>
    </row>
    <row r="590" spans="1:16" x14ac:dyDescent="0.3">
      <c r="A590" s="3" t="str">
        <f t="shared" si="9"/>
        <v>EXT</v>
      </c>
      <c r="C590" s="3" t="s">
        <v>850</v>
      </c>
      <c r="D590" s="3" t="s">
        <v>938</v>
      </c>
      <c r="E590" s="3" t="s">
        <v>939</v>
      </c>
      <c r="F590" s="3" t="s">
        <v>4</v>
      </c>
      <c r="G590" s="3">
        <v>525.83729863574001</v>
      </c>
      <c r="H590" s="3">
        <v>536.73646283661196</v>
      </c>
      <c r="I590" s="3">
        <v>580.33311964009999</v>
      </c>
      <c r="J590" s="3">
        <v>817.74964112675195</v>
      </c>
      <c r="K590" s="3">
        <v>953.41793626228298</v>
      </c>
      <c r="L590" s="3">
        <v>1038.9581187103399</v>
      </c>
      <c r="M590" s="3">
        <v>1086.00205795598</v>
      </c>
      <c r="N590" s="3">
        <v>1134.3198361208899</v>
      </c>
      <c r="O590" s="3">
        <v>1154.1613356554001</v>
      </c>
      <c r="P590" s="3">
        <v>1173.7440998035399</v>
      </c>
    </row>
    <row r="591" spans="1:16" x14ac:dyDescent="0.3">
      <c r="A591" s="3" t="str">
        <f t="shared" si="9"/>
        <v>EXT</v>
      </c>
      <c r="C591" s="3" t="s">
        <v>850</v>
      </c>
      <c r="D591" s="3" t="s">
        <v>938</v>
      </c>
      <c r="E591" s="3" t="s">
        <v>939</v>
      </c>
      <c r="F591" s="3" t="s">
        <v>5</v>
      </c>
      <c r="G591" s="3">
        <v>450.84733001775697</v>
      </c>
      <c r="H591" s="3">
        <v>460.21670884839699</v>
      </c>
      <c r="I591" s="3">
        <v>497.69422417095598</v>
      </c>
      <c r="J591" s="3">
        <v>701.30285422802501</v>
      </c>
      <c r="K591" s="3">
        <v>817.65211055506097</v>
      </c>
      <c r="L591" s="3">
        <v>891.01145073080204</v>
      </c>
      <c r="M591" s="3">
        <v>931.35637686447501</v>
      </c>
      <c r="N591" s="3">
        <v>972.79374844230506</v>
      </c>
      <c r="O591" s="3">
        <v>989.80983693186295</v>
      </c>
      <c r="P591" s="3">
        <v>1006.60403371297</v>
      </c>
    </row>
    <row r="592" spans="1:16" x14ac:dyDescent="0.3">
      <c r="A592" s="3" t="str">
        <f t="shared" si="9"/>
        <v>EXT</v>
      </c>
      <c r="C592" s="3" t="s">
        <v>850</v>
      </c>
      <c r="D592" s="3" t="s">
        <v>938</v>
      </c>
      <c r="E592" s="3" t="s">
        <v>939</v>
      </c>
      <c r="F592" s="3" t="s">
        <v>6</v>
      </c>
      <c r="G592" s="3">
        <v>1603.24781610133</v>
      </c>
      <c r="H592" s="3">
        <v>1655.60221494914</v>
      </c>
      <c r="I592" s="3">
        <v>1865.0198103404</v>
      </c>
      <c r="J592" s="3">
        <v>2628.00662065602</v>
      </c>
      <c r="K592" s="3">
        <v>3064.0045837221101</v>
      </c>
      <c r="L592" s="3">
        <v>3338.9055491274503</v>
      </c>
      <c r="M592" s="3">
        <v>3490.0909212529905</v>
      </c>
      <c r="N592" s="3">
        <v>3645.3700366773705</v>
      </c>
      <c r="O592" s="3">
        <v>3709.1347753186405</v>
      </c>
      <c r="P592" s="3">
        <v>3772.0680145936203</v>
      </c>
    </row>
    <row r="593" spans="1:16" x14ac:dyDescent="0.3">
      <c r="A593" s="3" t="str">
        <f t="shared" si="9"/>
        <v>EXT</v>
      </c>
      <c r="C593" s="3" t="s">
        <v>850</v>
      </c>
      <c r="D593" s="3" t="s">
        <v>938</v>
      </c>
      <c r="E593" s="3" t="s">
        <v>939</v>
      </c>
      <c r="F593" s="3" t="s">
        <v>7</v>
      </c>
      <c r="G593" s="3">
        <v>4.38360143705063</v>
      </c>
      <c r="H593" s="3">
        <v>4.7950191762081396</v>
      </c>
      <c r="I593" s="3">
        <v>6.4406901328381796</v>
      </c>
      <c r="J593" s="3">
        <v>9.0756013511745497</v>
      </c>
      <c r="K593" s="3">
        <v>10.581283898399001</v>
      </c>
      <c r="L593" s="3">
        <v>11.530631420380899</v>
      </c>
      <c r="M593" s="3">
        <v>12.052737474740001</v>
      </c>
      <c r="N593" s="3">
        <v>12.588980929637799</v>
      </c>
      <c r="O593" s="3">
        <v>12.809187128367</v>
      </c>
      <c r="P593" s="3">
        <v>13.026521813488699</v>
      </c>
    </row>
    <row r="594" spans="1:16" x14ac:dyDescent="0.3">
      <c r="A594" s="3" t="str">
        <f t="shared" si="9"/>
        <v>EXT</v>
      </c>
      <c r="C594" s="3" t="s">
        <v>850</v>
      </c>
      <c r="D594" s="3" t="s">
        <v>938</v>
      </c>
      <c r="E594" s="3" t="s">
        <v>939</v>
      </c>
      <c r="F594" s="3" t="s">
        <v>8</v>
      </c>
      <c r="G594" s="3">
        <v>2.9185605546764299</v>
      </c>
      <c r="H594" s="3">
        <v>3.1388767254747099</v>
      </c>
      <c r="I594" s="3">
        <v>4.02014140866783</v>
      </c>
      <c r="J594" s="3">
        <v>5.66479679163524</v>
      </c>
      <c r="K594" s="3">
        <v>6.6046117231972303</v>
      </c>
      <c r="L594" s="3">
        <v>7.1971741979663708</v>
      </c>
      <c r="M594" s="3">
        <v>7.5230616611970298</v>
      </c>
      <c r="N594" s="3">
        <v>7.8577733883099512</v>
      </c>
      <c r="O594" s="3">
        <v>7.9952214008208102</v>
      </c>
      <c r="P594" s="3">
        <v>8.1308770757837294</v>
      </c>
    </row>
    <row r="595" spans="1:16" x14ac:dyDescent="0.3">
      <c r="A595" s="3" t="str">
        <f t="shared" si="9"/>
        <v>ELC</v>
      </c>
      <c r="C595" s="3" t="s">
        <v>850</v>
      </c>
      <c r="D595" s="3" t="s">
        <v>726</v>
      </c>
      <c r="E595" s="3" t="s">
        <v>940</v>
      </c>
      <c r="F595" s="3" t="s">
        <v>0</v>
      </c>
      <c r="G595" s="3">
        <v>0.10331819713068099</v>
      </c>
    </row>
    <row r="596" spans="1:16" x14ac:dyDescent="0.3">
      <c r="A596" s="3" t="str">
        <f t="shared" si="9"/>
        <v>ELC</v>
      </c>
      <c r="C596" s="3" t="s">
        <v>850</v>
      </c>
      <c r="D596" s="3" t="s">
        <v>726</v>
      </c>
      <c r="E596" s="3" t="s">
        <v>940</v>
      </c>
      <c r="F596" s="3" t="s">
        <v>1</v>
      </c>
      <c r="G596" s="3">
        <v>0.284400236212419</v>
      </c>
      <c r="H596" s="3">
        <v>0.406394415454572</v>
      </c>
      <c r="J596" s="3">
        <v>0.61842494080697097</v>
      </c>
      <c r="K596" s="3">
        <v>0.72102438343463104</v>
      </c>
      <c r="L596" s="3">
        <v>0.78571433205284902</v>
      </c>
      <c r="M596" s="3">
        <v>0.82129141320353505</v>
      </c>
      <c r="N596" s="3">
        <v>0.85783183780144101</v>
      </c>
      <c r="O596" s="3">
        <v>0.87283701488503496</v>
      </c>
      <c r="P596" s="3">
        <v>0.88764652277117195</v>
      </c>
    </row>
    <row r="597" spans="1:16" x14ac:dyDescent="0.3">
      <c r="A597" s="3" t="str">
        <f t="shared" si="9"/>
        <v>ELC</v>
      </c>
      <c r="C597" s="3" t="s">
        <v>850</v>
      </c>
      <c r="D597" s="3" t="s">
        <v>726</v>
      </c>
      <c r="E597" s="3" t="s">
        <v>940</v>
      </c>
      <c r="F597" s="3" t="s">
        <v>2</v>
      </c>
      <c r="G597" s="3">
        <v>2.6967850706066399</v>
      </c>
      <c r="H597" s="3">
        <v>3.8199373296149299</v>
      </c>
    </row>
    <row r="598" spans="1:16" x14ac:dyDescent="0.3">
      <c r="A598" s="3" t="str">
        <f t="shared" si="9"/>
        <v>ELC</v>
      </c>
      <c r="C598" s="3" t="s">
        <v>850</v>
      </c>
      <c r="D598" s="3" t="s">
        <v>726</v>
      </c>
      <c r="E598" s="3" t="s">
        <v>940</v>
      </c>
      <c r="F598" s="3" t="s">
        <v>3</v>
      </c>
      <c r="G598" s="3">
        <v>1.82659665172953</v>
      </c>
      <c r="H598" s="3">
        <v>2.0873844185802799</v>
      </c>
    </row>
    <row r="599" spans="1:16" x14ac:dyDescent="0.3">
      <c r="A599" s="3" t="str">
        <f t="shared" si="9"/>
        <v>ELC</v>
      </c>
      <c r="C599" s="3" t="s">
        <v>850</v>
      </c>
      <c r="D599" s="3" t="s">
        <v>726</v>
      </c>
      <c r="E599" s="3" t="s">
        <v>940</v>
      </c>
      <c r="F599" s="3" t="s">
        <v>4</v>
      </c>
      <c r="G599" s="3">
        <v>1.2924621068286</v>
      </c>
      <c r="H599" s="3">
        <v>2.3537778231398199</v>
      </c>
    </row>
    <row r="600" spans="1:16" x14ac:dyDescent="0.3">
      <c r="A600" s="3" t="str">
        <f t="shared" si="9"/>
        <v>ELC</v>
      </c>
      <c r="C600" s="3" t="s">
        <v>850</v>
      </c>
      <c r="D600" s="3" t="s">
        <v>726</v>
      </c>
      <c r="E600" s="3" t="s">
        <v>940</v>
      </c>
      <c r="F600" s="3" t="s">
        <v>5</v>
      </c>
      <c r="G600" s="3">
        <v>1.12656898654986</v>
      </c>
      <c r="H600" s="3">
        <v>2.0512636178861898</v>
      </c>
      <c r="I600" s="3">
        <v>2.2183072349297901</v>
      </c>
    </row>
    <row r="601" spans="1:16" x14ac:dyDescent="0.3">
      <c r="A601" s="3" t="str">
        <f t="shared" si="9"/>
        <v>ELC</v>
      </c>
      <c r="C601" s="3" t="s">
        <v>850</v>
      </c>
      <c r="D601" s="3" t="s">
        <v>726</v>
      </c>
      <c r="E601" s="3" t="s">
        <v>940</v>
      </c>
      <c r="F601" s="3" t="s">
        <v>6</v>
      </c>
      <c r="G601" s="3">
        <v>3.9137033178921699</v>
      </c>
      <c r="I601" s="3">
        <v>7.7064045691840599</v>
      </c>
    </row>
    <row r="602" spans="1:16" x14ac:dyDescent="0.3">
      <c r="A602" s="3" t="str">
        <f t="shared" si="9"/>
        <v>ELC</v>
      </c>
      <c r="C602" s="3" t="s">
        <v>850</v>
      </c>
      <c r="D602" s="3" t="s">
        <v>726</v>
      </c>
      <c r="E602" s="3" t="s">
        <v>940</v>
      </c>
      <c r="F602" s="3" t="s">
        <v>7</v>
      </c>
      <c r="G602" s="3">
        <v>0.158863994942397</v>
      </c>
    </row>
    <row r="603" spans="1:16" x14ac:dyDescent="0.3">
      <c r="A603" s="3" t="str">
        <f t="shared" si="9"/>
        <v>ELC</v>
      </c>
      <c r="C603" s="3" t="s">
        <v>850</v>
      </c>
      <c r="D603" s="3" t="s">
        <v>726</v>
      </c>
      <c r="E603" s="3" t="s">
        <v>940</v>
      </c>
      <c r="F603" s="3" t="s">
        <v>8</v>
      </c>
      <c r="G603" s="3">
        <v>7.4905694791695607E-2</v>
      </c>
    </row>
    <row r="604" spans="1:16" x14ac:dyDescent="0.3">
      <c r="A604" s="3" t="str">
        <f t="shared" si="9"/>
        <v>NGA</v>
      </c>
      <c r="C604" s="3" t="s">
        <v>850</v>
      </c>
      <c r="D604" s="3" t="s">
        <v>726</v>
      </c>
      <c r="E604" s="3" t="s">
        <v>941</v>
      </c>
      <c r="F604" s="3" t="s">
        <v>0</v>
      </c>
      <c r="G604" s="3">
        <v>4.1368382068250303E-2</v>
      </c>
      <c r="H604" s="3">
        <v>0.14763679133298199</v>
      </c>
      <c r="I604" s="3">
        <v>0.159437639869181</v>
      </c>
      <c r="J604" s="3">
        <v>0.22466419436129201</v>
      </c>
      <c r="K604" s="3">
        <v>0.26193698140280902</v>
      </c>
      <c r="L604" s="3">
        <v>0.28543783693205299</v>
      </c>
      <c r="M604" s="3">
        <v>0.29836243900908999</v>
      </c>
      <c r="N604" s="3">
        <v>0.31163700882704698</v>
      </c>
      <c r="O604" s="3">
        <v>0.31708815705586102</v>
      </c>
      <c r="P604" s="3">
        <v>0.32246822169844203</v>
      </c>
    </row>
    <row r="605" spans="1:16" x14ac:dyDescent="0.3">
      <c r="A605" s="3" t="str">
        <f t="shared" si="9"/>
        <v>NGA</v>
      </c>
      <c r="C605" s="3" t="s">
        <v>850</v>
      </c>
      <c r="D605" s="3" t="s">
        <v>726</v>
      </c>
      <c r="E605" s="3" t="s">
        <v>941</v>
      </c>
      <c r="F605" s="3" t="s">
        <v>1</v>
      </c>
      <c r="G605" s="3">
        <v>0.113873237809744</v>
      </c>
      <c r="I605" s="3">
        <v>0.43887818118421501</v>
      </c>
    </row>
    <row r="606" spans="1:16" x14ac:dyDescent="0.3">
      <c r="A606" s="3" t="str">
        <f t="shared" si="9"/>
        <v>NGA</v>
      </c>
      <c r="C606" s="3" t="s">
        <v>850</v>
      </c>
      <c r="D606" s="3" t="s">
        <v>726</v>
      </c>
      <c r="E606" s="3" t="s">
        <v>941</v>
      </c>
      <c r="F606" s="3" t="s">
        <v>2</v>
      </c>
      <c r="G606" s="3">
        <v>1.0432609111522899</v>
      </c>
      <c r="I606" s="3">
        <v>4.1395027210389497</v>
      </c>
      <c r="J606" s="3">
        <v>5.8329892780755399</v>
      </c>
      <c r="K606" s="3">
        <v>6.8007080896789898</v>
      </c>
      <c r="L606" s="3">
        <v>7.4108642327946699</v>
      </c>
      <c r="M606" s="3">
        <v>7.7464275634494797</v>
      </c>
      <c r="N606" s="3">
        <v>8.0910771576553504</v>
      </c>
      <c r="O606" s="3">
        <v>8.2326061149609906</v>
      </c>
      <c r="P606" s="3">
        <v>8.3722895187394606</v>
      </c>
    </row>
    <row r="607" spans="1:16" x14ac:dyDescent="0.3">
      <c r="A607" s="3" t="str">
        <f t="shared" si="9"/>
        <v>NGA</v>
      </c>
      <c r="C607" s="3" t="s">
        <v>850</v>
      </c>
      <c r="D607" s="3" t="s">
        <v>726</v>
      </c>
      <c r="E607" s="3" t="s">
        <v>941</v>
      </c>
      <c r="F607" s="3" t="s">
        <v>3</v>
      </c>
      <c r="G607" s="3">
        <v>8.1687966268927797E-2</v>
      </c>
      <c r="I607" s="3">
        <v>2.8037836209075802</v>
      </c>
      <c r="J607" s="3">
        <v>3.9508223332422401</v>
      </c>
      <c r="K607" s="3">
        <v>4.6062812944908202</v>
      </c>
      <c r="L607" s="3">
        <v>5.0195545583466901</v>
      </c>
      <c r="M607" s="3">
        <v>5.24683958113099</v>
      </c>
      <c r="N607" s="3">
        <v>5.4802789462691299</v>
      </c>
      <c r="O607" s="3">
        <v>5.5761398742885504</v>
      </c>
      <c r="P607" s="3">
        <v>5.6707507650209497</v>
      </c>
    </row>
    <row r="608" spans="1:16" x14ac:dyDescent="0.3">
      <c r="A608" s="3" t="str">
        <f t="shared" si="9"/>
        <v>NGA</v>
      </c>
      <c r="C608" s="3" t="s">
        <v>850</v>
      </c>
      <c r="D608" s="3" t="s">
        <v>726</v>
      </c>
      <c r="E608" s="3" t="s">
        <v>941</v>
      </c>
      <c r="F608" s="3" t="s">
        <v>4</v>
      </c>
      <c r="G608" s="3">
        <v>1.01351905488965</v>
      </c>
      <c r="I608" s="3">
        <v>2.5449644688257198</v>
      </c>
      <c r="J608" s="3">
        <v>3.5861192660402401</v>
      </c>
      <c r="K608" s="3">
        <v>4.1810723696649204</v>
      </c>
      <c r="L608" s="3">
        <v>4.5561961005355496</v>
      </c>
      <c r="M608" s="3">
        <v>4.7625002899776403</v>
      </c>
      <c r="N608" s="3">
        <v>4.9743907102909901</v>
      </c>
      <c r="O608" s="3">
        <v>5.0614026515616697</v>
      </c>
      <c r="P608" s="3">
        <v>5.14727994732824</v>
      </c>
    </row>
    <row r="609" spans="1:16" x14ac:dyDescent="0.3">
      <c r="A609" s="3" t="str">
        <f t="shared" si="9"/>
        <v>NGA</v>
      </c>
      <c r="C609" s="3" t="s">
        <v>850</v>
      </c>
      <c r="D609" s="3" t="s">
        <v>726</v>
      </c>
      <c r="E609" s="3" t="s">
        <v>941</v>
      </c>
      <c r="F609" s="3" t="s">
        <v>5</v>
      </c>
      <c r="G609" s="3">
        <v>0.88293372707543105</v>
      </c>
      <c r="J609" s="3">
        <v>3.1258252956469401</v>
      </c>
      <c r="K609" s="3">
        <v>3.6444135865174601</v>
      </c>
      <c r="L609" s="3">
        <v>3.97138855861526</v>
      </c>
      <c r="M609" s="3">
        <v>4.1512127100490401</v>
      </c>
      <c r="N609" s="3">
        <v>4.3359060753793202</v>
      </c>
      <c r="O609" s="3">
        <v>4.4117496563842096</v>
      </c>
      <c r="P609" s="3">
        <v>4.4866042285593997</v>
      </c>
    </row>
    <row r="610" spans="1:16" x14ac:dyDescent="0.3">
      <c r="A610" s="3" t="str">
        <f t="shared" si="9"/>
        <v>NGA</v>
      </c>
      <c r="C610" s="3" t="s">
        <v>850</v>
      </c>
      <c r="D610" s="3" t="s">
        <v>726</v>
      </c>
      <c r="E610" s="3" t="s">
        <v>941</v>
      </c>
      <c r="F610" s="3" t="s">
        <v>6</v>
      </c>
      <c r="G610" s="3">
        <v>2.7110393400867001</v>
      </c>
      <c r="H610" s="3">
        <v>6.84107504021949</v>
      </c>
      <c r="J610" s="3">
        <v>10.8591244537897</v>
      </c>
      <c r="K610" s="3">
        <v>12.6607014001032</v>
      </c>
      <c r="L610" s="3">
        <v>13.7966132248071</v>
      </c>
      <c r="M610" s="3">
        <v>14.421322751259501</v>
      </c>
      <c r="N610" s="3">
        <v>15.062947938279301</v>
      </c>
      <c r="O610" s="3">
        <v>15.326428717675601</v>
      </c>
      <c r="P610" s="3">
        <v>15.5864736780633</v>
      </c>
    </row>
    <row r="611" spans="1:16" x14ac:dyDescent="0.3">
      <c r="A611" s="3" t="str">
        <f t="shared" si="9"/>
        <v>NGA</v>
      </c>
      <c r="C611" s="3" t="s">
        <v>850</v>
      </c>
      <c r="D611" s="3" t="s">
        <v>726</v>
      </c>
      <c r="E611" s="3" t="s">
        <v>941</v>
      </c>
      <c r="F611" s="3" t="s">
        <v>7</v>
      </c>
      <c r="H611" s="3">
        <v>0.1616409182829</v>
      </c>
      <c r="I611" s="3">
        <v>0.21711676829431401</v>
      </c>
      <c r="J611" s="3">
        <v>0.30594007708087301</v>
      </c>
      <c r="K611" s="3">
        <v>0.356696893817602</v>
      </c>
      <c r="L611" s="3">
        <v>0.38869956149913099</v>
      </c>
      <c r="M611" s="3">
        <v>0.40629984607909903</v>
      </c>
      <c r="N611" s="3">
        <v>0.42437670485433798</v>
      </c>
      <c r="O611" s="3">
        <v>0.431799893556227</v>
      </c>
      <c r="P611" s="3">
        <v>0.43912628304224</v>
      </c>
    </row>
    <row r="612" spans="1:16" x14ac:dyDescent="0.3">
      <c r="A612" s="3" t="str">
        <f t="shared" si="9"/>
        <v>NGA</v>
      </c>
      <c r="C612" s="3" t="s">
        <v>850</v>
      </c>
      <c r="D612" s="3" t="s">
        <v>726</v>
      </c>
      <c r="E612" s="3" t="s">
        <v>941</v>
      </c>
      <c r="F612" s="3" t="s">
        <v>8</v>
      </c>
      <c r="G612" s="3">
        <v>2.3931368520199201E-2</v>
      </c>
      <c r="H612" s="3">
        <v>0.106298071200504</v>
      </c>
      <c r="I612" s="3">
        <v>0.13614210275493999</v>
      </c>
      <c r="J612" s="3">
        <v>0.191838363006295</v>
      </c>
      <c r="K612" s="3">
        <v>0.22366519892492001</v>
      </c>
      <c r="L612" s="3">
        <v>0.24373232918924401</v>
      </c>
      <c r="M612" s="3">
        <v>0.25476850926242101</v>
      </c>
      <c r="N612" s="3">
        <v>0.26610352306259299</v>
      </c>
      <c r="O612" s="3">
        <v>0.27075820048323501</v>
      </c>
      <c r="P612" s="3">
        <v>0.27535218038659698</v>
      </c>
    </row>
    <row r="613" spans="1:16" x14ac:dyDescent="0.3">
      <c r="A613" s="3" t="str">
        <f t="shared" si="9"/>
        <v>LPG</v>
      </c>
      <c r="C613" s="3" t="s">
        <v>850</v>
      </c>
      <c r="D613" s="3" t="s">
        <v>712</v>
      </c>
      <c r="E613" s="3" t="s">
        <v>942</v>
      </c>
      <c r="F613" s="3" t="s">
        <v>4</v>
      </c>
      <c r="G613" s="3">
        <v>270.26126510323701</v>
      </c>
    </row>
    <row r="614" spans="1:16" x14ac:dyDescent="0.3">
      <c r="A614" s="3" t="str">
        <f t="shared" si="9"/>
        <v>LPG</v>
      </c>
      <c r="C614" s="3" t="s">
        <v>850</v>
      </c>
      <c r="D614" s="3" t="s">
        <v>712</v>
      </c>
      <c r="E614" s="3" t="s">
        <v>942</v>
      </c>
      <c r="F614" s="3" t="s">
        <v>5</v>
      </c>
      <c r="G614" s="3">
        <v>235.48272029677301</v>
      </c>
    </row>
    <row r="615" spans="1:16" x14ac:dyDescent="0.3">
      <c r="A615" s="3" t="str">
        <f t="shared" si="9"/>
        <v>LPG</v>
      </c>
      <c r="C615" s="3" t="s">
        <v>850</v>
      </c>
      <c r="D615" s="3" t="s">
        <v>712</v>
      </c>
      <c r="E615" s="3" t="s">
        <v>942</v>
      </c>
      <c r="F615" s="3" t="s">
        <v>6</v>
      </c>
      <c r="G615" s="3">
        <v>753.86480887222604</v>
      </c>
    </row>
    <row r="616" spans="1:16" x14ac:dyDescent="0.3">
      <c r="A616" s="3" t="str">
        <f t="shared" si="9"/>
        <v>NGA</v>
      </c>
      <c r="C616" s="3" t="s">
        <v>850</v>
      </c>
      <c r="D616" s="3" t="s">
        <v>712</v>
      </c>
      <c r="E616" s="3" t="s">
        <v>943</v>
      </c>
      <c r="F616" s="3" t="s">
        <v>2</v>
      </c>
      <c r="H616" s="3">
        <v>0.80993497876309895</v>
      </c>
      <c r="I616" s="3">
        <v>0.87769189888580201</v>
      </c>
      <c r="J616" s="3">
        <v>1.2367590458715001</v>
      </c>
      <c r="K616" s="3">
        <v>1.44194286107396</v>
      </c>
      <c r="L616" s="3">
        <v>1.5713132564951899</v>
      </c>
      <c r="M616" s="3">
        <v>1.64246219314933</v>
      </c>
      <c r="N616" s="3">
        <v>1.71553767519971</v>
      </c>
      <c r="O616" s="3">
        <v>1.7455458253703999</v>
      </c>
      <c r="P616" s="3">
        <v>1.77516266588654</v>
      </c>
    </row>
    <row r="617" spans="1:16" x14ac:dyDescent="0.3">
      <c r="A617" s="3" t="str">
        <f t="shared" si="9"/>
        <v>NGA</v>
      </c>
      <c r="C617" s="3" t="s">
        <v>850</v>
      </c>
      <c r="D617" s="3" t="s">
        <v>712</v>
      </c>
      <c r="E617" s="3" t="s">
        <v>943</v>
      </c>
      <c r="F617" s="3" t="s">
        <v>3</v>
      </c>
      <c r="H617" s="3">
        <v>0.44258465750894299</v>
      </c>
      <c r="I617" s="3">
        <v>0.59448159262996003</v>
      </c>
      <c r="J617" s="3">
        <v>0.83768630908243502</v>
      </c>
      <c r="K617" s="3">
        <v>0.97666218592292398</v>
      </c>
      <c r="L617" s="3">
        <v>1.06428783087512</v>
      </c>
      <c r="M617" s="3">
        <v>1.11247869743065</v>
      </c>
      <c r="N617" s="3">
        <v>1.1619744589919201</v>
      </c>
      <c r="O617" s="3">
        <v>1.18229969262801</v>
      </c>
      <c r="P617" s="3">
        <v>1.2023598829306099</v>
      </c>
    </row>
    <row r="618" spans="1:16" x14ac:dyDescent="0.3">
      <c r="A618" s="3" t="str">
        <f t="shared" si="9"/>
        <v>NGA</v>
      </c>
      <c r="C618" s="3" t="s">
        <v>850</v>
      </c>
      <c r="D618" s="3" t="s">
        <v>712</v>
      </c>
      <c r="E618" s="3" t="s">
        <v>943</v>
      </c>
      <c r="F618" s="3" t="s">
        <v>4</v>
      </c>
      <c r="G618" s="3">
        <v>21.925311298258901</v>
      </c>
      <c r="J618" s="3">
        <v>165.014426670284</v>
      </c>
      <c r="K618" s="3">
        <v>247.289641361695</v>
      </c>
      <c r="L618" s="3">
        <v>282.23347167861698</v>
      </c>
      <c r="M618" s="3">
        <v>293.90263069317501</v>
      </c>
      <c r="N618" s="3">
        <v>297.87440333903299</v>
      </c>
      <c r="O618" s="3">
        <v>290.85458960180398</v>
      </c>
      <c r="P618" s="3">
        <v>285.99182788133601</v>
      </c>
    </row>
    <row r="619" spans="1:16" x14ac:dyDescent="0.3">
      <c r="A619" s="3" t="str">
        <f t="shared" si="9"/>
        <v>NGA</v>
      </c>
      <c r="C619" s="3" t="s">
        <v>850</v>
      </c>
      <c r="D619" s="3" t="s">
        <v>712</v>
      </c>
      <c r="E619" s="3" t="s">
        <v>943</v>
      </c>
      <c r="F619" s="3" t="s">
        <v>5</v>
      </c>
      <c r="G619" s="3">
        <v>19.1111024443716</v>
      </c>
      <c r="H619" s="3">
        <v>369.64950804785201</v>
      </c>
      <c r="I619" s="3">
        <v>399.75172910041999</v>
      </c>
      <c r="J619" s="3">
        <v>563.29170600222699</v>
      </c>
      <c r="K619" s="3">
        <v>656.74430026079403</v>
      </c>
      <c r="L619" s="3">
        <v>715.66707182754806</v>
      </c>
      <c r="M619" s="3">
        <v>748.07241872348595</v>
      </c>
      <c r="N619" s="3">
        <v>781.35522598372097</v>
      </c>
      <c r="O619" s="3">
        <v>795.02267572669803</v>
      </c>
      <c r="P619" s="3">
        <v>808.51190038724803</v>
      </c>
    </row>
    <row r="620" spans="1:16" x14ac:dyDescent="0.3">
      <c r="A620" s="3" t="str">
        <f t="shared" si="9"/>
        <v>NGA</v>
      </c>
      <c r="C620" s="3" t="s">
        <v>850</v>
      </c>
      <c r="D620" s="3" t="s">
        <v>712</v>
      </c>
      <c r="E620" s="3" t="s">
        <v>943</v>
      </c>
      <c r="F620" s="3" t="s">
        <v>6</v>
      </c>
      <c r="G620" s="3">
        <v>66.392014992509303</v>
      </c>
      <c r="H620" s="3">
        <v>1232.8010895750299</v>
      </c>
      <c r="I620" s="3">
        <v>1388.73845027883</v>
      </c>
      <c r="J620" s="3">
        <v>1956.8767159777401</v>
      </c>
      <c r="K620" s="3">
        <v>2281.53124897308</v>
      </c>
      <c r="L620" s="3">
        <v>2486.22909644929</v>
      </c>
      <c r="M620" s="3">
        <v>2598.8053480399499</v>
      </c>
      <c r="N620" s="3">
        <v>2714.4298990069301</v>
      </c>
      <c r="O620" s="3">
        <v>2761.91065166818</v>
      </c>
      <c r="P620" s="3">
        <v>2808.7722499725</v>
      </c>
    </row>
    <row r="621" spans="1:16" x14ac:dyDescent="0.3">
      <c r="A621" s="3" t="str">
        <f t="shared" si="9"/>
        <v>NGA</v>
      </c>
      <c r="C621" s="3" t="s">
        <v>850</v>
      </c>
      <c r="D621" s="3" t="s">
        <v>712</v>
      </c>
      <c r="E621" s="3" t="s">
        <v>943</v>
      </c>
      <c r="F621" s="3" t="s">
        <v>7</v>
      </c>
      <c r="G621" s="3">
        <v>0.69501776865670195</v>
      </c>
      <c r="H621" s="3">
        <v>1.2438093748894501</v>
      </c>
      <c r="I621" s="3">
        <v>1.6706900376396701</v>
      </c>
      <c r="J621" s="3">
        <v>2.35417578710853</v>
      </c>
      <c r="K621" s="3">
        <v>2.7447439994605398</v>
      </c>
      <c r="L621" s="3">
        <v>2.99100106423476</v>
      </c>
      <c r="M621" s="3">
        <v>3.1264333495362702</v>
      </c>
      <c r="N621" s="3">
        <v>3.2655328216998898</v>
      </c>
      <c r="O621" s="3">
        <v>3.3226534554915399</v>
      </c>
      <c r="P621" s="3">
        <v>3.3790292297917399</v>
      </c>
    </row>
    <row r="622" spans="1:16" x14ac:dyDescent="0.3">
      <c r="A622" s="3" t="str">
        <f t="shared" si="9"/>
        <v>NGA</v>
      </c>
      <c r="C622" s="3" t="s">
        <v>850</v>
      </c>
      <c r="D622" s="3" t="s">
        <v>712</v>
      </c>
      <c r="E622" s="3" t="s">
        <v>943</v>
      </c>
      <c r="F622" s="3" t="s">
        <v>8</v>
      </c>
      <c r="G622" s="3">
        <v>0.245672670240181</v>
      </c>
      <c r="I622" s="3">
        <v>1.04759874864972</v>
      </c>
    </row>
    <row r="623" spans="1:16" x14ac:dyDescent="0.3">
      <c r="A623" s="3" t="str">
        <f t="shared" si="9"/>
        <v>PFS</v>
      </c>
      <c r="C623" s="3" t="s">
        <v>850</v>
      </c>
      <c r="D623" s="3" t="s">
        <v>712</v>
      </c>
      <c r="E623" s="3" t="s">
        <v>944</v>
      </c>
      <c r="F623" s="3" t="s">
        <v>2</v>
      </c>
      <c r="G623" s="3">
        <v>0.79299574873243395</v>
      </c>
    </row>
    <row r="624" spans="1:16" x14ac:dyDescent="0.3">
      <c r="A624" s="3" t="str">
        <f t="shared" si="9"/>
        <v>PFS</v>
      </c>
      <c r="C624" s="3" t="s">
        <v>850</v>
      </c>
      <c r="D624" s="3" t="s">
        <v>712</v>
      </c>
      <c r="E624" s="3" t="s">
        <v>944</v>
      </c>
      <c r="F624" s="3" t="s">
        <v>3</v>
      </c>
      <c r="G624" s="3">
        <v>0.40461042372868899</v>
      </c>
    </row>
    <row r="625" spans="1:16" x14ac:dyDescent="0.3">
      <c r="A625" s="3" t="str">
        <f t="shared" si="9"/>
        <v>PFS</v>
      </c>
      <c r="C625" s="3" t="s">
        <v>850</v>
      </c>
      <c r="D625" s="3" t="s">
        <v>712</v>
      </c>
      <c r="E625" s="3" t="s">
        <v>944</v>
      </c>
      <c r="F625" s="3" t="s">
        <v>4</v>
      </c>
      <c r="G625" s="3">
        <v>123.36449883045699</v>
      </c>
      <c r="H625" s="3">
        <v>424.16430866851698</v>
      </c>
      <c r="I625" s="3">
        <v>458.61724241477401</v>
      </c>
      <c r="J625" s="3">
        <v>481.22490158277702</v>
      </c>
      <c r="K625" s="3">
        <v>506.16365985357999</v>
      </c>
      <c r="L625" s="3">
        <v>538.819284508853</v>
      </c>
      <c r="M625" s="3">
        <v>564.32732762010903</v>
      </c>
      <c r="N625" s="3">
        <v>598.53942804932603</v>
      </c>
      <c r="O625" s="3">
        <v>621.23929431833903</v>
      </c>
      <c r="P625" s="3">
        <v>641.57763892135597</v>
      </c>
    </row>
    <row r="626" spans="1:16" x14ac:dyDescent="0.3">
      <c r="A626" s="3" t="str">
        <f t="shared" si="9"/>
        <v>PFS</v>
      </c>
      <c r="C626" s="3" t="s">
        <v>850</v>
      </c>
      <c r="D626" s="3" t="s">
        <v>712</v>
      </c>
      <c r="E626" s="3" t="s">
        <v>944</v>
      </c>
      <c r="F626" s="3" t="s">
        <v>5</v>
      </c>
      <c r="G626" s="3">
        <v>107.53013004356499</v>
      </c>
    </row>
    <row r="627" spans="1:16" x14ac:dyDescent="0.3">
      <c r="A627" s="3" t="str">
        <f t="shared" si="9"/>
        <v>PFS</v>
      </c>
      <c r="C627" s="3" t="s">
        <v>850</v>
      </c>
      <c r="D627" s="3" t="s">
        <v>712</v>
      </c>
      <c r="E627" s="3" t="s">
        <v>944</v>
      </c>
      <c r="F627" s="3" t="s">
        <v>6</v>
      </c>
      <c r="G627" s="3">
        <v>373.55992553435101</v>
      </c>
    </row>
    <row r="628" spans="1:16" x14ac:dyDescent="0.3">
      <c r="A628" s="3" t="str">
        <f t="shared" si="9"/>
        <v>PFS</v>
      </c>
      <c r="C628" s="3" t="s">
        <v>850</v>
      </c>
      <c r="D628" s="3" t="s">
        <v>712</v>
      </c>
      <c r="E628" s="3" t="s">
        <v>944</v>
      </c>
      <c r="F628" s="3" t="s">
        <v>7</v>
      </c>
      <c r="G628" s="3">
        <v>0.44207144054519598</v>
      </c>
    </row>
    <row r="629" spans="1:16" x14ac:dyDescent="0.3">
      <c r="A629" s="3" t="str">
        <f t="shared" si="9"/>
        <v>PFS</v>
      </c>
      <c r="C629" s="3" t="s">
        <v>850</v>
      </c>
      <c r="D629" s="3" t="s">
        <v>712</v>
      </c>
      <c r="E629" s="3" t="s">
        <v>944</v>
      </c>
      <c r="F629" s="3" t="s">
        <v>8</v>
      </c>
      <c r="G629" s="3">
        <v>0.514867836704479</v>
      </c>
      <c r="H629" s="3">
        <v>0.817952155285671</v>
      </c>
      <c r="J629" s="3">
        <v>1.47617544434551</v>
      </c>
      <c r="K629" s="3">
        <v>1.7210795027310799</v>
      </c>
      <c r="L629" s="3">
        <v>1.8754938986342999</v>
      </c>
      <c r="M629" s="3">
        <v>1.96041611006322</v>
      </c>
      <c r="N629" s="3">
        <v>2.0476378146843199</v>
      </c>
      <c r="O629" s="3">
        <v>2.0834550537496699</v>
      </c>
      <c r="P629" s="3">
        <v>2.1188052319876798</v>
      </c>
    </row>
    <row r="630" spans="1:16" x14ac:dyDescent="0.3">
      <c r="A630" s="3" t="str">
        <f t="shared" si="9"/>
        <v>RFL</v>
      </c>
      <c r="C630" s="3" t="s">
        <v>850</v>
      </c>
      <c r="D630" s="3" t="s">
        <v>945</v>
      </c>
      <c r="E630" s="3" t="s">
        <v>875</v>
      </c>
      <c r="F630" s="3" t="s">
        <v>1</v>
      </c>
      <c r="I630" s="3">
        <v>3.1303117618592302</v>
      </c>
    </row>
    <row r="631" spans="1:16" x14ac:dyDescent="0.3">
      <c r="A631" s="3" t="str">
        <f t="shared" si="9"/>
        <v>COA</v>
      </c>
      <c r="C631" s="3" t="s">
        <v>850</v>
      </c>
      <c r="D631" s="3" t="s">
        <v>945</v>
      </c>
      <c r="E631" s="3" t="s">
        <v>876</v>
      </c>
      <c r="F631" s="3" t="s">
        <v>1</v>
      </c>
      <c r="G631" s="3">
        <v>27.450828666254299</v>
      </c>
      <c r="H631" s="3">
        <v>26.406305139854499</v>
      </c>
      <c r="I631" s="3">
        <v>22.228211034255299</v>
      </c>
      <c r="J631" s="3">
        <v>22.228211034255299</v>
      </c>
      <c r="K631" s="3">
        <v>22.228211034255299</v>
      </c>
      <c r="L631" s="3">
        <v>22.228211034255299</v>
      </c>
      <c r="M631" s="3">
        <v>22.228211034255299</v>
      </c>
      <c r="N631" s="3">
        <v>22.228211034255299</v>
      </c>
      <c r="O631" s="3">
        <v>22.228211034255299</v>
      </c>
      <c r="P631" s="3">
        <v>22.228211034255299</v>
      </c>
    </row>
    <row r="632" spans="1:16" x14ac:dyDescent="0.3">
      <c r="A632" s="3" t="str">
        <f t="shared" si="9"/>
        <v>COA</v>
      </c>
      <c r="C632" s="3" t="s">
        <v>850</v>
      </c>
      <c r="D632" s="3" t="s">
        <v>945</v>
      </c>
      <c r="E632" s="3" t="s">
        <v>876</v>
      </c>
      <c r="F632" s="3" t="s">
        <v>3</v>
      </c>
      <c r="H632" s="3">
        <v>0.41822909456798801</v>
      </c>
      <c r="I632" s="3">
        <v>2.0911454728399401</v>
      </c>
      <c r="J632" s="3">
        <v>2.0911454728399401</v>
      </c>
      <c r="K632" s="3">
        <v>2.0911454728399401</v>
      </c>
      <c r="L632" s="3">
        <v>2.0911454728399401</v>
      </c>
      <c r="M632" s="3">
        <v>2.0911454728399401</v>
      </c>
    </row>
    <row r="633" spans="1:16" x14ac:dyDescent="0.3">
      <c r="A633" s="3" t="str">
        <f t="shared" si="9"/>
        <v>COA</v>
      </c>
      <c r="C633" s="3" t="s">
        <v>850</v>
      </c>
      <c r="D633" s="3" t="s">
        <v>945</v>
      </c>
      <c r="E633" s="3" t="s">
        <v>876</v>
      </c>
      <c r="F633" s="3" t="s">
        <v>4</v>
      </c>
      <c r="G633" s="3">
        <v>8.6372815167584793</v>
      </c>
      <c r="H633" s="3">
        <v>8.0524138502468396</v>
      </c>
      <c r="I633" s="3">
        <v>5.7129431842002996</v>
      </c>
      <c r="J633" s="3">
        <v>5.7129431842002996</v>
      </c>
      <c r="K633" s="3">
        <v>5.7129431842002996</v>
      </c>
      <c r="L633" s="3">
        <v>5.7129431842002996</v>
      </c>
      <c r="M633" s="3">
        <v>4.0170175794132401</v>
      </c>
      <c r="N633" s="3">
        <v>5.2192509351957703</v>
      </c>
      <c r="O633" s="3">
        <v>5.7129431842002996</v>
      </c>
      <c r="P633" s="3">
        <v>5.7129431842002996</v>
      </c>
    </row>
    <row r="634" spans="1:16" x14ac:dyDescent="0.3">
      <c r="A634" s="3" t="str">
        <f t="shared" si="9"/>
        <v>NGA</v>
      </c>
      <c r="C634" s="3" t="s">
        <v>850</v>
      </c>
      <c r="D634" s="3" t="s">
        <v>945</v>
      </c>
      <c r="E634" s="3" t="s">
        <v>877</v>
      </c>
      <c r="F634" s="3" t="s">
        <v>2</v>
      </c>
      <c r="I634" s="3">
        <v>0.31333387647891198</v>
      </c>
    </row>
    <row r="635" spans="1:16" x14ac:dyDescent="0.3">
      <c r="A635" s="3" t="str">
        <f t="shared" si="9"/>
        <v>NGA</v>
      </c>
      <c r="C635" s="3" t="s">
        <v>850</v>
      </c>
      <c r="D635" s="3" t="s">
        <v>945</v>
      </c>
      <c r="E635" s="3" t="s">
        <v>877</v>
      </c>
      <c r="F635" s="3" t="s">
        <v>3</v>
      </c>
      <c r="G635" s="3">
        <v>0.49621128487642902</v>
      </c>
      <c r="I635" s="3">
        <v>1.8800032588734801</v>
      </c>
    </row>
    <row r="636" spans="1:16" x14ac:dyDescent="0.3">
      <c r="A636" s="3" t="str">
        <f t="shared" si="9"/>
        <v>NGA</v>
      </c>
      <c r="C636" s="3" t="s">
        <v>850</v>
      </c>
      <c r="D636" s="3" t="s">
        <v>945</v>
      </c>
      <c r="E636" s="3" t="s">
        <v>877</v>
      </c>
      <c r="F636" s="3" t="s">
        <v>4</v>
      </c>
      <c r="I636" s="3">
        <v>1.5884680955297401</v>
      </c>
    </row>
    <row r="637" spans="1:16" x14ac:dyDescent="0.3">
      <c r="A637" s="3" t="str">
        <f t="shared" si="9"/>
        <v>NGA</v>
      </c>
      <c r="C637" s="3" t="s">
        <v>850</v>
      </c>
      <c r="D637" s="3" t="s">
        <v>945</v>
      </c>
      <c r="E637" s="3" t="s">
        <v>877</v>
      </c>
      <c r="F637" s="3" t="s">
        <v>6</v>
      </c>
      <c r="H637" s="3">
        <v>0.29603073069624503</v>
      </c>
      <c r="I637" s="3">
        <v>1.4801536534812301</v>
      </c>
      <c r="O637" s="3">
        <v>1.4801536534812301</v>
      </c>
      <c r="P637" s="3">
        <v>1.4801536534812301</v>
      </c>
    </row>
    <row r="638" spans="1:16" x14ac:dyDescent="0.3">
      <c r="A638" s="3" t="str">
        <f t="shared" si="9"/>
        <v>NGA</v>
      </c>
      <c r="C638" s="3" t="s">
        <v>850</v>
      </c>
      <c r="D638" s="3" t="s">
        <v>945</v>
      </c>
      <c r="E638" s="3" t="s">
        <v>877</v>
      </c>
      <c r="F638" s="3" t="s">
        <v>7</v>
      </c>
      <c r="I638" s="3">
        <v>0.31333387647891198</v>
      </c>
    </row>
    <row r="639" spans="1:16" x14ac:dyDescent="0.3">
      <c r="A639" s="3" t="str">
        <f t="shared" si="9"/>
        <v>RFL</v>
      </c>
      <c r="C639" s="3" t="s">
        <v>850</v>
      </c>
      <c r="D639" s="3" t="s">
        <v>945</v>
      </c>
      <c r="E639" s="3" t="s">
        <v>878</v>
      </c>
      <c r="F639" s="3" t="s">
        <v>1</v>
      </c>
      <c r="I639" s="3">
        <v>1.4776855076464599</v>
      </c>
    </row>
    <row r="640" spans="1:16" x14ac:dyDescent="0.3">
      <c r="A640" s="3" t="str">
        <f t="shared" si="9"/>
        <v>NGA</v>
      </c>
      <c r="C640" s="3" t="s">
        <v>850</v>
      </c>
      <c r="D640" s="3" t="s">
        <v>945</v>
      </c>
      <c r="E640" s="3" t="s">
        <v>879</v>
      </c>
      <c r="F640" s="3" t="s">
        <v>2</v>
      </c>
      <c r="G640" s="3">
        <v>34.721378489322802</v>
      </c>
      <c r="L640" s="3">
        <v>4.0838971117223402</v>
      </c>
    </row>
    <row r="641" spans="1:16" x14ac:dyDescent="0.3">
      <c r="A641" s="3" t="str">
        <f t="shared" si="9"/>
        <v>NGA</v>
      </c>
      <c r="C641" s="3" t="s">
        <v>850</v>
      </c>
      <c r="D641" s="3" t="s">
        <v>945</v>
      </c>
      <c r="E641" s="3" t="s">
        <v>879</v>
      </c>
      <c r="F641" s="3" t="s">
        <v>3</v>
      </c>
      <c r="G641" s="3">
        <v>0.95263847781076205</v>
      </c>
      <c r="I641" s="3">
        <v>1.27347103112181</v>
      </c>
      <c r="J641" s="3">
        <v>1.27347103112181</v>
      </c>
      <c r="K641" s="3">
        <v>1.27347103112181</v>
      </c>
      <c r="L641" s="3">
        <v>1.27347103112181</v>
      </c>
    </row>
    <row r="642" spans="1:16" x14ac:dyDescent="0.3">
      <c r="A642" s="3" t="str">
        <f t="shared" si="9"/>
        <v>NGA</v>
      </c>
      <c r="C642" s="3" t="s">
        <v>850</v>
      </c>
      <c r="D642" s="3" t="s">
        <v>945</v>
      </c>
      <c r="E642" s="3" t="s">
        <v>879</v>
      </c>
      <c r="F642" s="3" t="s">
        <v>6</v>
      </c>
      <c r="G642" s="3">
        <v>43.861460027855202</v>
      </c>
      <c r="I642" s="3">
        <v>45.837901909318198</v>
      </c>
      <c r="J642" s="3">
        <v>29.4957640801785</v>
      </c>
      <c r="K642" s="3">
        <v>36.792291597461499</v>
      </c>
      <c r="L642" s="3">
        <v>41.674155781387803</v>
      </c>
    </row>
    <row r="643" spans="1:16" x14ac:dyDescent="0.3">
      <c r="A643" s="3" t="str">
        <f t="shared" si="9"/>
        <v>NGA</v>
      </c>
      <c r="C643" s="3" t="s">
        <v>850</v>
      </c>
      <c r="D643" s="3" t="s">
        <v>945</v>
      </c>
      <c r="E643" s="3" t="s">
        <v>879</v>
      </c>
      <c r="F643" s="3" t="s">
        <v>8</v>
      </c>
      <c r="I643" s="3">
        <v>0.179718290316631</v>
      </c>
    </row>
    <row r="644" spans="1:16" x14ac:dyDescent="0.3">
      <c r="A644" s="3" t="str">
        <f t="shared" si="9"/>
        <v>COA</v>
      </c>
      <c r="C644" s="3" t="s">
        <v>850</v>
      </c>
      <c r="D644" s="3" t="s">
        <v>945</v>
      </c>
      <c r="E644" s="3" t="s">
        <v>880</v>
      </c>
      <c r="F644" s="3" t="s">
        <v>4</v>
      </c>
      <c r="G644" s="3">
        <v>0.96349802877084001</v>
      </c>
      <c r="J644" s="3">
        <v>0.96349802877084001</v>
      </c>
      <c r="K644" s="3">
        <v>0.96349802877084001</v>
      </c>
      <c r="L644" s="3">
        <v>0.96349802877084001</v>
      </c>
      <c r="P644" s="3">
        <v>9.3288728903383106E-2</v>
      </c>
    </row>
    <row r="645" spans="1:16" x14ac:dyDescent="0.3">
      <c r="A645" s="3" t="str">
        <f t="shared" si="9"/>
        <v>NGA</v>
      </c>
      <c r="C645" s="3" t="s">
        <v>850</v>
      </c>
      <c r="D645" s="3" t="s">
        <v>945</v>
      </c>
      <c r="E645" s="3" t="s">
        <v>1195</v>
      </c>
      <c r="F645" s="3" t="s">
        <v>3</v>
      </c>
      <c r="I645" s="3">
        <v>0.218497003533487</v>
      </c>
    </row>
    <row r="646" spans="1:16" x14ac:dyDescent="0.3">
      <c r="A646" s="3" t="str">
        <f t="shared" si="9"/>
        <v>NGA</v>
      </c>
      <c r="C646" s="3" t="s">
        <v>850</v>
      </c>
      <c r="D646" s="3" t="s">
        <v>945</v>
      </c>
      <c r="E646" s="3" t="s">
        <v>1195</v>
      </c>
      <c r="F646" s="3" t="s">
        <v>4</v>
      </c>
      <c r="I646" s="3">
        <v>3.3377247249656401</v>
      </c>
    </row>
    <row r="647" spans="1:16" x14ac:dyDescent="0.3">
      <c r="A647" s="3" t="str">
        <f t="shared" si="9"/>
        <v>NGA</v>
      </c>
      <c r="C647" s="3" t="s">
        <v>850</v>
      </c>
      <c r="D647" s="3" t="s">
        <v>945</v>
      </c>
      <c r="E647" s="3" t="s">
        <v>1195</v>
      </c>
      <c r="F647" s="3" t="s">
        <v>5</v>
      </c>
      <c r="I647" s="3">
        <v>0.860051692144157</v>
      </c>
    </row>
    <row r="648" spans="1:16" x14ac:dyDescent="0.3">
      <c r="A648" s="3" t="str">
        <f t="shared" ref="A648:A711" si="10">RIGHT(E648,3)</f>
        <v>NGA</v>
      </c>
      <c r="C648" s="3" t="s">
        <v>850</v>
      </c>
      <c r="D648" s="3" t="s">
        <v>945</v>
      </c>
      <c r="E648" s="3" t="s">
        <v>1195</v>
      </c>
      <c r="F648" s="3" t="s">
        <v>6</v>
      </c>
      <c r="I648" s="3">
        <v>14.2569134744449</v>
      </c>
    </row>
    <row r="649" spans="1:16" x14ac:dyDescent="0.3">
      <c r="A649" s="3" t="str">
        <f t="shared" si="10"/>
        <v>NGA</v>
      </c>
      <c r="C649" s="3" t="s">
        <v>850</v>
      </c>
      <c r="D649" s="3" t="s">
        <v>945</v>
      </c>
      <c r="E649" s="3" t="s">
        <v>1195</v>
      </c>
      <c r="F649" s="3" t="s">
        <v>8</v>
      </c>
      <c r="I649" s="3">
        <v>4.2716138088747399E-2</v>
      </c>
    </row>
    <row r="650" spans="1:16" x14ac:dyDescent="0.3">
      <c r="A650" s="3" t="str">
        <f t="shared" si="10"/>
        <v>NGA</v>
      </c>
      <c r="C650" s="3" t="s">
        <v>850</v>
      </c>
      <c r="D650" s="3" t="s">
        <v>945</v>
      </c>
      <c r="E650" s="3" t="s">
        <v>1196</v>
      </c>
      <c r="F650" s="3" t="s">
        <v>0</v>
      </c>
      <c r="M650" s="3">
        <v>4.7345663311389702E-2</v>
      </c>
      <c r="N650" s="3">
        <v>4.9452139298420329E-2</v>
      </c>
      <c r="O650" s="3">
        <v>5.0317155114617075E-2</v>
      </c>
      <c r="P650" s="3">
        <v>5.1170891027244446E-2</v>
      </c>
    </row>
    <row r="651" spans="1:16" x14ac:dyDescent="0.3">
      <c r="A651" s="3" t="str">
        <f t="shared" si="10"/>
        <v>NGA</v>
      </c>
      <c r="C651" s="3" t="s">
        <v>850</v>
      </c>
      <c r="D651" s="3" t="s">
        <v>945</v>
      </c>
      <c r="E651" s="3" t="s">
        <v>1196</v>
      </c>
      <c r="F651" s="3" t="s">
        <v>2</v>
      </c>
      <c r="M651" s="3">
        <v>31.5406007883626</v>
      </c>
      <c r="N651" s="3">
        <v>31.5406007883626</v>
      </c>
      <c r="O651" s="3">
        <v>31.5406007883626</v>
      </c>
      <c r="P651" s="3">
        <v>31.552778279577364</v>
      </c>
    </row>
    <row r="652" spans="1:16" x14ac:dyDescent="0.3">
      <c r="A652" s="3" t="str">
        <f t="shared" si="10"/>
        <v>NGA</v>
      </c>
      <c r="C652" s="3" t="s">
        <v>850</v>
      </c>
      <c r="D652" s="3" t="s">
        <v>945</v>
      </c>
      <c r="E652" s="3" t="s">
        <v>1196</v>
      </c>
      <c r="F652" s="3" t="s">
        <v>3</v>
      </c>
      <c r="M652" s="3">
        <v>15.374225548017201</v>
      </c>
      <c r="N652" s="3">
        <v>18.242430250507152</v>
      </c>
      <c r="O652" s="3">
        <v>18.561526469931124</v>
      </c>
      <c r="P652" s="3">
        <v>18.876461638751131</v>
      </c>
    </row>
    <row r="653" spans="1:16" x14ac:dyDescent="0.3">
      <c r="A653" s="3" t="str">
        <f t="shared" si="10"/>
        <v>NGA</v>
      </c>
      <c r="C653" s="3" t="s">
        <v>850</v>
      </c>
      <c r="D653" s="3" t="s">
        <v>945</v>
      </c>
      <c r="E653" s="3" t="s">
        <v>1196</v>
      </c>
      <c r="F653" s="3" t="s">
        <v>4</v>
      </c>
      <c r="M653" s="3">
        <v>23.004669843114399</v>
      </c>
      <c r="N653" s="3">
        <v>23.004669843114399</v>
      </c>
      <c r="O653" s="3">
        <v>23.004669843114399</v>
      </c>
      <c r="P653" s="3">
        <v>23.398635560741315</v>
      </c>
    </row>
    <row r="654" spans="1:16" x14ac:dyDescent="0.3">
      <c r="A654" s="3" t="str">
        <f t="shared" si="10"/>
        <v>NGA</v>
      </c>
      <c r="C654" s="3" t="s">
        <v>850</v>
      </c>
      <c r="D654" s="3" t="s">
        <v>945</v>
      </c>
      <c r="E654" s="3" t="s">
        <v>1196</v>
      </c>
      <c r="F654" s="3" t="s">
        <v>5</v>
      </c>
      <c r="M654" s="3">
        <v>8.3007325211029208</v>
      </c>
      <c r="N654" s="3">
        <v>8.6700439322762755</v>
      </c>
      <c r="O654" s="3">
        <v>8.82170016464433</v>
      </c>
      <c r="P654" s="3">
        <v>8.9713787826788867</v>
      </c>
    </row>
    <row r="655" spans="1:16" x14ac:dyDescent="0.3">
      <c r="A655" s="3" t="str">
        <f t="shared" si="10"/>
        <v>NGA</v>
      </c>
      <c r="C655" s="3" t="s">
        <v>850</v>
      </c>
      <c r="D655" s="3" t="s">
        <v>945</v>
      </c>
      <c r="E655" s="3" t="s">
        <v>1196</v>
      </c>
      <c r="F655" s="3" t="s">
        <v>6</v>
      </c>
      <c r="M655" s="3">
        <v>42.694051171983503</v>
      </c>
      <c r="N655" s="3">
        <v>42.847599552515973</v>
      </c>
      <c r="O655" s="3">
        <v>43.581713274859112</v>
      </c>
      <c r="P655" s="3">
        <v>44.809397631556394</v>
      </c>
    </row>
    <row r="656" spans="1:16" x14ac:dyDescent="0.3">
      <c r="A656" s="3" t="str">
        <f t="shared" si="10"/>
        <v>NGA</v>
      </c>
      <c r="C656" s="3" t="s">
        <v>850</v>
      </c>
      <c r="D656" s="3" t="s">
        <v>945</v>
      </c>
      <c r="E656" s="3" t="s">
        <v>1196</v>
      </c>
      <c r="F656" s="3" t="s">
        <v>7</v>
      </c>
      <c r="M656" s="3">
        <v>0.71893455624373404</v>
      </c>
      <c r="N656" s="3">
        <v>0.75092097850618966</v>
      </c>
      <c r="O656" s="3">
        <v>0.76405607301042922</v>
      </c>
      <c r="P656" s="3">
        <v>0.77701988440446357</v>
      </c>
    </row>
    <row r="657" spans="1:16" x14ac:dyDescent="0.3">
      <c r="A657" s="3" t="str">
        <f t="shared" si="10"/>
        <v>NGA</v>
      </c>
      <c r="C657" s="3" t="s">
        <v>850</v>
      </c>
      <c r="D657" s="3" t="s">
        <v>945</v>
      </c>
      <c r="E657" s="3" t="s">
        <v>1196</v>
      </c>
      <c r="F657" s="3" t="s">
        <v>8</v>
      </c>
      <c r="M657" s="3">
        <v>0.41625100969303902</v>
      </c>
      <c r="N657" s="3">
        <v>0.43477060990919431</v>
      </c>
      <c r="O657" s="3">
        <v>0.44237560858719893</v>
      </c>
      <c r="P657" s="3">
        <v>0.44988143722677404</v>
      </c>
    </row>
    <row r="658" spans="1:16" x14ac:dyDescent="0.3">
      <c r="A658" s="3" t="str">
        <f t="shared" si="10"/>
        <v>COA</v>
      </c>
      <c r="C658" s="3" t="s">
        <v>850</v>
      </c>
      <c r="D658" s="3" t="s">
        <v>945</v>
      </c>
      <c r="E658" s="3" t="s">
        <v>1197</v>
      </c>
      <c r="F658" s="3" t="s">
        <v>0</v>
      </c>
      <c r="H658" s="3">
        <v>2.3427753969434102E-2</v>
      </c>
      <c r="I658" s="3">
        <v>2.53003723976758E-2</v>
      </c>
      <c r="J658" s="3">
        <v>3.5650852498998097E-2</v>
      </c>
      <c r="K658" s="3">
        <v>4.1565487168850203E-2</v>
      </c>
      <c r="L658" s="3">
        <v>4.5294721978407601E-2</v>
      </c>
    </row>
    <row r="659" spans="1:16" x14ac:dyDescent="0.3">
      <c r="A659" s="3" t="str">
        <f t="shared" si="10"/>
        <v>COA</v>
      </c>
      <c r="C659" s="3" t="s">
        <v>850</v>
      </c>
      <c r="D659" s="3" t="s">
        <v>945</v>
      </c>
      <c r="E659" s="3" t="s">
        <v>1197</v>
      </c>
      <c r="F659" s="3" t="s">
        <v>1</v>
      </c>
      <c r="H659" s="3">
        <v>3.1415548779678102</v>
      </c>
      <c r="I659" s="3">
        <v>1.85243154022639</v>
      </c>
      <c r="J659" s="3">
        <v>22.325603991935299</v>
      </c>
      <c r="K659" s="3">
        <v>29.670999479995299</v>
      </c>
      <c r="L659" s="3">
        <v>34.280382187943701</v>
      </c>
      <c r="M659" s="3">
        <v>36.799615297164301</v>
      </c>
      <c r="N659" s="3">
        <v>39.368402581941503</v>
      </c>
      <c r="O659" s="3">
        <v>40.393596247757998</v>
      </c>
      <c r="P659" s="3">
        <v>40.393596247757998</v>
      </c>
    </row>
    <row r="660" spans="1:16" x14ac:dyDescent="0.3">
      <c r="A660" s="3" t="str">
        <f t="shared" si="10"/>
        <v>COA</v>
      </c>
      <c r="C660" s="3" t="s">
        <v>850</v>
      </c>
      <c r="D660" s="3" t="s">
        <v>945</v>
      </c>
      <c r="E660" s="3" t="s">
        <v>1197</v>
      </c>
      <c r="F660" s="3" t="s">
        <v>2</v>
      </c>
      <c r="H660" s="3">
        <v>42.993210301043803</v>
      </c>
      <c r="I660" s="3">
        <v>38.903910936327897</v>
      </c>
      <c r="J660" s="3">
        <v>65.650012834455396</v>
      </c>
      <c r="K660" s="3">
        <v>76.541641358564604</v>
      </c>
      <c r="L660" s="3">
        <v>76.541641358564604</v>
      </c>
      <c r="M660" s="3">
        <v>55.645067608652298</v>
      </c>
      <c r="N660" s="3">
        <v>59.524082159227703</v>
      </c>
      <c r="O660" s="3">
        <v>61.116983743752499</v>
      </c>
      <c r="P660" s="3">
        <v>62.676936221177499</v>
      </c>
    </row>
    <row r="661" spans="1:16" x14ac:dyDescent="0.3">
      <c r="A661" s="3" t="str">
        <f t="shared" si="10"/>
        <v>COA</v>
      </c>
      <c r="C661" s="3" t="s">
        <v>850</v>
      </c>
      <c r="D661" s="3" t="s">
        <v>945</v>
      </c>
      <c r="E661" s="3" t="s">
        <v>1197</v>
      </c>
      <c r="F661" s="3" t="s">
        <v>3</v>
      </c>
      <c r="H661" s="3">
        <v>6.0430409544148498</v>
      </c>
      <c r="J661" s="3">
        <v>9.7866485234112499</v>
      </c>
      <c r="K661" s="3">
        <v>11.9685017648028</v>
      </c>
      <c r="L661" s="3">
        <v>12.2416987151357</v>
      </c>
    </row>
    <row r="662" spans="1:16" x14ac:dyDescent="0.3">
      <c r="A662" s="3" t="str">
        <f t="shared" si="10"/>
        <v>COA</v>
      </c>
      <c r="C662" s="3" t="s">
        <v>850</v>
      </c>
      <c r="D662" s="3" t="s">
        <v>945</v>
      </c>
      <c r="E662" s="3" t="s">
        <v>1197</v>
      </c>
      <c r="F662" s="3" t="s">
        <v>4</v>
      </c>
      <c r="H662" s="3">
        <v>5.0153423695097601</v>
      </c>
      <c r="J662" s="3">
        <v>13.670642874513099</v>
      </c>
      <c r="K662" s="3">
        <v>17.046314437419198</v>
      </c>
      <c r="L662" s="3">
        <v>19.174708260657301</v>
      </c>
    </row>
    <row r="663" spans="1:16" x14ac:dyDescent="0.3">
      <c r="A663" s="3" t="str">
        <f t="shared" si="10"/>
        <v>COA</v>
      </c>
      <c r="C663" s="3" t="s">
        <v>850</v>
      </c>
      <c r="D663" s="3" t="s">
        <v>945</v>
      </c>
      <c r="E663" s="3" t="s">
        <v>1197</v>
      </c>
      <c r="F663" s="3" t="s">
        <v>5</v>
      </c>
      <c r="H663" s="3">
        <v>3.8513420497672999</v>
      </c>
      <c r="J663" s="3">
        <v>6.2503758537962399</v>
      </c>
      <c r="K663" s="3">
        <v>7.2873409509284404</v>
      </c>
      <c r="L663" s="3">
        <v>7.4914946790314403</v>
      </c>
    </row>
    <row r="664" spans="1:16" x14ac:dyDescent="0.3">
      <c r="A664" s="3" t="str">
        <f t="shared" si="10"/>
        <v>COA</v>
      </c>
      <c r="C664" s="3" t="s">
        <v>850</v>
      </c>
      <c r="D664" s="3" t="s">
        <v>945</v>
      </c>
      <c r="E664" s="3" t="s">
        <v>1197</v>
      </c>
      <c r="F664" s="3" t="s">
        <v>6</v>
      </c>
      <c r="H664" s="3">
        <v>47.816577256755501</v>
      </c>
      <c r="J664" s="3">
        <v>183.896906432272</v>
      </c>
      <c r="K664" s="3">
        <v>212.00317012007301</v>
      </c>
      <c r="L664" s="3">
        <v>229.443110863583</v>
      </c>
      <c r="M664" s="3">
        <v>240.69938329033999</v>
      </c>
      <c r="N664" s="3">
        <v>253.15441239769399</v>
      </c>
      <c r="O664" s="3">
        <v>256.117806202873</v>
      </c>
      <c r="P664" s="3">
        <v>256.117806202873</v>
      </c>
    </row>
    <row r="665" spans="1:16" x14ac:dyDescent="0.3">
      <c r="A665" s="3" t="str">
        <f t="shared" si="10"/>
        <v>COA</v>
      </c>
      <c r="C665" s="3" t="s">
        <v>850</v>
      </c>
      <c r="D665" s="3" t="s">
        <v>945</v>
      </c>
      <c r="E665" s="3" t="s">
        <v>1197</v>
      </c>
      <c r="F665" s="3" t="s">
        <v>7</v>
      </c>
      <c r="H665" s="3">
        <v>0.28601842451577703</v>
      </c>
      <c r="J665" s="3">
        <v>0.54135116140430695</v>
      </c>
      <c r="K665" s="3">
        <v>0.63116372192853698</v>
      </c>
      <c r="L665" s="3">
        <v>0.68779141674621302</v>
      </c>
    </row>
    <row r="666" spans="1:16" x14ac:dyDescent="0.3">
      <c r="A666" s="3" t="str">
        <f t="shared" si="10"/>
        <v>COA</v>
      </c>
      <c r="C666" s="3" t="s">
        <v>850</v>
      </c>
      <c r="D666" s="3" t="s">
        <v>945</v>
      </c>
      <c r="E666" s="3" t="s">
        <v>1197</v>
      </c>
      <c r="F666" s="3" t="s">
        <v>8</v>
      </c>
      <c r="H666" s="3">
        <v>0.17367405254962801</v>
      </c>
      <c r="J666" s="3">
        <v>0.31343321248929801</v>
      </c>
      <c r="K666" s="3">
        <v>0.36543317364939598</v>
      </c>
      <c r="L666" s="3">
        <v>0.398219656006848</v>
      </c>
    </row>
    <row r="667" spans="1:16" x14ac:dyDescent="0.3">
      <c r="A667" s="3" t="str">
        <f t="shared" si="10"/>
        <v>ELC</v>
      </c>
      <c r="C667" s="3" t="s">
        <v>850</v>
      </c>
      <c r="D667" s="3" t="s">
        <v>742</v>
      </c>
      <c r="E667" s="3" t="s">
        <v>946</v>
      </c>
      <c r="F667" s="3" t="s">
        <v>0</v>
      </c>
      <c r="G667" s="3">
        <v>0.78636627816129401</v>
      </c>
      <c r="H667" s="3">
        <v>0.80919143100406377</v>
      </c>
      <c r="I667" s="3">
        <v>3.3417793718785202E-3</v>
      </c>
      <c r="J667" s="3">
        <v>0.43589721400593601</v>
      </c>
      <c r="K667" s="3">
        <v>0.69210352786248186</v>
      </c>
      <c r="L667" s="3">
        <v>0.8614282427399278</v>
      </c>
      <c r="M667" s="3">
        <v>0.96403161135472681</v>
      </c>
      <c r="N667" s="3">
        <v>1.0688427862525549</v>
      </c>
      <c r="O667" s="3">
        <v>2.0003821597425531</v>
      </c>
      <c r="P667" s="3">
        <v>2.0343228323593001</v>
      </c>
    </row>
    <row r="668" spans="1:16" x14ac:dyDescent="0.3">
      <c r="A668" s="3" t="str">
        <f t="shared" si="10"/>
        <v>ELC</v>
      </c>
      <c r="C668" s="3" t="s">
        <v>850</v>
      </c>
      <c r="D668" s="3" t="s">
        <v>742</v>
      </c>
      <c r="E668" s="3" t="s">
        <v>946</v>
      </c>
      <c r="F668" s="3" t="s">
        <v>1</v>
      </c>
      <c r="G668" s="3">
        <v>2.16460179783896</v>
      </c>
      <c r="H668" s="3">
        <v>2.5637795685668459</v>
      </c>
      <c r="I668" s="3">
        <v>2.478751630121534</v>
      </c>
      <c r="J668" s="3">
        <v>3.9013952151867239</v>
      </c>
      <c r="K668" s="3">
        <v>4.5486539981621643</v>
      </c>
      <c r="L668" s="3">
        <v>4.9567569696892591</v>
      </c>
      <c r="M668" s="3">
        <v>5.181198522758705</v>
      </c>
      <c r="N668" s="3">
        <v>5.4117174237285486</v>
      </c>
      <c r="O668" s="3">
        <v>5.5063790749882351</v>
      </c>
      <c r="P668" s="3">
        <v>5.5998063276647638</v>
      </c>
    </row>
    <row r="669" spans="1:16" x14ac:dyDescent="0.3">
      <c r="A669" s="3" t="str">
        <f t="shared" si="10"/>
        <v>ELC</v>
      </c>
      <c r="C669" s="3" t="s">
        <v>850</v>
      </c>
      <c r="D669" s="3" t="s">
        <v>742</v>
      </c>
      <c r="E669" s="3" t="s">
        <v>946</v>
      </c>
      <c r="F669" s="3" t="s">
        <v>2</v>
      </c>
      <c r="G669" s="3">
        <v>20.5255308151728</v>
      </c>
      <c r="H669" s="3">
        <v>24.164789561121381</v>
      </c>
      <c r="I669" s="3">
        <v>23.487953000928322</v>
      </c>
      <c r="J669" s="3">
        <v>34.740568764426015</v>
      </c>
      <c r="K669" s="3">
        <v>41.402003226944522</v>
      </c>
      <c r="L669" s="3">
        <v>45.801508790281034</v>
      </c>
      <c r="M669" s="3">
        <v>48.463949853456654</v>
      </c>
      <c r="N669" s="3">
        <v>51.183870301151543</v>
      </c>
      <c r="O669" s="3">
        <v>52.079177520875142</v>
      </c>
      <c r="P669" s="3">
        <v>52.962809833719405</v>
      </c>
    </row>
    <row r="670" spans="1:16" x14ac:dyDescent="0.3">
      <c r="A670" s="3" t="str">
        <f t="shared" si="10"/>
        <v>ELC</v>
      </c>
      <c r="C670" s="3" t="s">
        <v>850</v>
      </c>
      <c r="D670" s="3" t="s">
        <v>742</v>
      </c>
      <c r="E670" s="3" t="s">
        <v>946</v>
      </c>
      <c r="F670" s="3" t="s">
        <v>3</v>
      </c>
      <c r="G670" s="3">
        <v>12.071741559515599</v>
      </c>
      <c r="H670" s="3">
        <v>13.2047206159901</v>
      </c>
      <c r="I670" s="3">
        <v>15.908949057562481</v>
      </c>
      <c r="J670" s="3">
        <v>23.530613275756991</v>
      </c>
      <c r="K670" s="3">
        <v>28.04256123096226</v>
      </c>
      <c r="L670" s="3">
        <v>31.022450959233687</v>
      </c>
      <c r="M670" s="3">
        <v>32.825785598107686</v>
      </c>
      <c r="N670" s="3">
        <v>34.668052390845688</v>
      </c>
      <c r="O670" s="3">
        <v>35.27446525913134</v>
      </c>
      <c r="P670" s="3">
        <v>35.87297043538485</v>
      </c>
    </row>
    <row r="671" spans="1:16" x14ac:dyDescent="0.3">
      <c r="A671" s="3" t="str">
        <f t="shared" si="10"/>
        <v>ELC</v>
      </c>
      <c r="C671" s="3" t="s">
        <v>850</v>
      </c>
      <c r="D671" s="3" t="s">
        <v>742</v>
      </c>
      <c r="E671" s="3" t="s">
        <v>946</v>
      </c>
      <c r="F671" s="3" t="s">
        <v>4</v>
      </c>
      <c r="G671" s="3">
        <v>9.8370727019732396</v>
      </c>
      <c r="H671" s="3">
        <v>10.18880204862481</v>
      </c>
      <c r="I671" s="3">
        <v>11.674748283138278</v>
      </c>
      <c r="J671" s="3">
        <v>18.02832637195484</v>
      </c>
      <c r="K671" s="3">
        <v>21.88095837842177</v>
      </c>
      <c r="L671" s="3">
        <v>24.501453850059178</v>
      </c>
      <c r="M671" s="3">
        <v>26.175721244068761</v>
      </c>
      <c r="N671" s="3">
        <v>27.881299281702692</v>
      </c>
      <c r="O671" s="3">
        <v>28.368998402447403</v>
      </c>
      <c r="P671" s="3">
        <v>28.850337871784767</v>
      </c>
    </row>
    <row r="672" spans="1:16" x14ac:dyDescent="0.3">
      <c r="A672" s="3" t="str">
        <f t="shared" si="10"/>
        <v>ELC</v>
      </c>
      <c r="C672" s="3" t="s">
        <v>850</v>
      </c>
      <c r="D672" s="3" t="s">
        <v>742</v>
      </c>
      <c r="E672" s="3" t="s">
        <v>946</v>
      </c>
      <c r="F672" s="3" t="s">
        <v>5</v>
      </c>
      <c r="G672" s="3">
        <v>8.5744417309628407</v>
      </c>
      <c r="H672" s="3">
        <v>11.319502573829711</v>
      </c>
      <c r="I672" s="3">
        <v>10.176243676367999</v>
      </c>
      <c r="J672" s="3">
        <v>15.714312445012119</v>
      </c>
      <c r="K672" s="3">
        <v>19.07244241427286</v>
      </c>
      <c r="L672" s="3">
        <v>21.35658592002325</v>
      </c>
      <c r="M672" s="3">
        <v>22.815953828232981</v>
      </c>
      <c r="N672" s="3">
        <v>24.302613523079778</v>
      </c>
      <c r="O672" s="3">
        <v>24.727714345220541</v>
      </c>
      <c r="P672" s="3">
        <v>25.147271804810902</v>
      </c>
    </row>
    <row r="673" spans="1:16" x14ac:dyDescent="0.3">
      <c r="A673" s="3" t="str">
        <f t="shared" si="10"/>
        <v>ELC</v>
      </c>
      <c r="C673" s="3" t="s">
        <v>850</v>
      </c>
      <c r="D673" s="3" t="s">
        <v>742</v>
      </c>
      <c r="E673" s="3" t="s">
        <v>946</v>
      </c>
      <c r="F673" s="3" t="s">
        <v>6</v>
      </c>
      <c r="G673" s="3">
        <v>29.787630808401499</v>
      </c>
      <c r="H673" s="3">
        <v>29.24745381387855</v>
      </c>
      <c r="I673" s="3">
        <v>35.35229454687115</v>
      </c>
      <c r="J673" s="3">
        <v>54.591558518566053</v>
      </c>
      <c r="K673" s="3">
        <v>66.25770995671175</v>
      </c>
      <c r="L673" s="3">
        <v>74.192829886095211</v>
      </c>
      <c r="M673" s="3">
        <v>79.262677443214031</v>
      </c>
      <c r="N673" s="3">
        <v>84.427336731516903</v>
      </c>
      <c r="O673" s="3">
        <v>85.904137990839956</v>
      </c>
      <c r="P673" s="3">
        <v>87.361681595581032</v>
      </c>
    </row>
    <row r="674" spans="1:16" x14ac:dyDescent="0.3">
      <c r="A674" s="3" t="str">
        <f t="shared" si="10"/>
        <v>ELC</v>
      </c>
      <c r="C674" s="3" t="s">
        <v>850</v>
      </c>
      <c r="D674" s="3" t="s">
        <v>742</v>
      </c>
      <c r="E674" s="3" t="s">
        <v>946</v>
      </c>
      <c r="F674" s="3" t="s">
        <v>7</v>
      </c>
      <c r="G674" s="3">
        <v>1.20913151706158</v>
      </c>
      <c r="H674" s="3">
        <v>0.97490166992874105</v>
      </c>
      <c r="I674" s="3">
        <v>1.363729930053686</v>
      </c>
      <c r="J674" s="3">
        <v>1.9808298937742339</v>
      </c>
      <c r="K674" s="3">
        <v>2.341792476447464</v>
      </c>
      <c r="L674" s="3">
        <v>2.576564323802037</v>
      </c>
      <c r="M674" s="3">
        <v>2.7144270920734841</v>
      </c>
      <c r="N674" s="3">
        <v>2.85549657732036</v>
      </c>
      <c r="O674" s="3">
        <v>2.905444865453485</v>
      </c>
      <c r="P674" s="3">
        <v>2.9547418222895185</v>
      </c>
    </row>
    <row r="675" spans="1:16" x14ac:dyDescent="0.3">
      <c r="A675" s="3" t="str">
        <f t="shared" si="10"/>
        <v>ELC</v>
      </c>
      <c r="C675" s="3" t="s">
        <v>850</v>
      </c>
      <c r="D675" s="3" t="s">
        <v>742</v>
      </c>
      <c r="E675" s="3" t="s">
        <v>946</v>
      </c>
      <c r="F675" s="3" t="s">
        <v>8</v>
      </c>
      <c r="G675" s="3">
        <v>0.59191970167742103</v>
      </c>
      <c r="H675" s="3">
        <v>0.64455991735339802</v>
      </c>
      <c r="I675" s="3">
        <v>0.85512078005730396</v>
      </c>
      <c r="J675" s="3">
        <v>1.242070564410338</v>
      </c>
      <c r="K675" s="3">
        <v>0.72017853839286794</v>
      </c>
      <c r="L675" s="3">
        <v>0.86739117985586001</v>
      </c>
      <c r="M675" s="3">
        <v>0.95383741480833839</v>
      </c>
      <c r="N675" s="3">
        <v>1.0422944073609846</v>
      </c>
      <c r="O675" s="3">
        <v>1.0736142590190461</v>
      </c>
      <c r="P675" s="3">
        <v>1.0957680578876785</v>
      </c>
    </row>
    <row r="676" spans="1:16" x14ac:dyDescent="0.3">
      <c r="A676" s="3" t="str">
        <f t="shared" si="10"/>
        <v>NGA</v>
      </c>
      <c r="C676" s="3" t="s">
        <v>850</v>
      </c>
      <c r="D676" s="3" t="s">
        <v>742</v>
      </c>
      <c r="E676" s="3" t="s">
        <v>947</v>
      </c>
      <c r="F676" s="3" t="s">
        <v>0</v>
      </c>
      <c r="G676" s="3">
        <v>0.126403389652987</v>
      </c>
      <c r="H676" s="3">
        <v>0.122189943331221</v>
      </c>
      <c r="I676" s="3">
        <v>1.002486421047416</v>
      </c>
      <c r="J676" s="3">
        <v>0.98141918943858464</v>
      </c>
      <c r="K676" s="3">
        <v>0.96035195782975347</v>
      </c>
      <c r="L676" s="3">
        <v>0.93928472622092229</v>
      </c>
      <c r="M676" s="3">
        <v>0.91821749461209112</v>
      </c>
      <c r="N676" s="3">
        <v>0.89715026300325995</v>
      </c>
    </row>
    <row r="677" spans="1:16" x14ac:dyDescent="0.3">
      <c r="A677" s="3" t="str">
        <f t="shared" si="10"/>
        <v>NGA</v>
      </c>
      <c r="C677" s="3" t="s">
        <v>850</v>
      </c>
      <c r="D677" s="3" t="s">
        <v>742</v>
      </c>
      <c r="E677" s="3" t="s">
        <v>947</v>
      </c>
      <c r="F677" s="3" t="s">
        <v>1</v>
      </c>
      <c r="G677" s="3">
        <v>0.34794600441866802</v>
      </c>
      <c r="I677" s="3">
        <v>0.28995500368221699</v>
      </c>
    </row>
    <row r="678" spans="1:16" x14ac:dyDescent="0.3">
      <c r="A678" s="3" t="str">
        <f t="shared" si="10"/>
        <v>NGA</v>
      </c>
      <c r="C678" s="3" t="s">
        <v>850</v>
      </c>
      <c r="D678" s="3" t="s">
        <v>742</v>
      </c>
      <c r="E678" s="3" t="s">
        <v>947</v>
      </c>
      <c r="F678" s="3" t="s">
        <v>2</v>
      </c>
      <c r="G678" s="3">
        <v>3.1338688816366602</v>
      </c>
      <c r="I678" s="3">
        <v>2.69839601744152</v>
      </c>
      <c r="J678" s="3">
        <v>2.15871681395322</v>
      </c>
      <c r="K678" s="3">
        <v>1.61903761046491</v>
      </c>
      <c r="L678" s="3">
        <v>1.07935840697661</v>
      </c>
      <c r="M678" s="3">
        <v>0.539679203488305</v>
      </c>
    </row>
    <row r="679" spans="1:16" x14ac:dyDescent="0.3">
      <c r="A679" s="3" t="str">
        <f t="shared" si="10"/>
        <v>NGA</v>
      </c>
      <c r="C679" s="3" t="s">
        <v>850</v>
      </c>
      <c r="D679" s="3" t="s">
        <v>742</v>
      </c>
      <c r="E679" s="3" t="s">
        <v>947</v>
      </c>
      <c r="F679" s="3" t="s">
        <v>3</v>
      </c>
      <c r="I679" s="3">
        <v>1.82768778432544</v>
      </c>
      <c r="J679" s="3">
        <v>1.4621502274603499</v>
      </c>
      <c r="K679" s="3">
        <v>1.0966126705952699</v>
      </c>
      <c r="L679" s="3">
        <v>0.73107511373017697</v>
      </c>
      <c r="M679" s="3">
        <v>0.36553755686508799</v>
      </c>
    </row>
    <row r="680" spans="1:16" x14ac:dyDescent="0.3">
      <c r="A680" s="3" t="str">
        <f t="shared" si="10"/>
        <v>NGA</v>
      </c>
      <c r="C680" s="3" t="s">
        <v>850</v>
      </c>
      <c r="D680" s="3" t="s">
        <v>742</v>
      </c>
      <c r="E680" s="3" t="s">
        <v>947</v>
      </c>
      <c r="F680" s="3" t="s">
        <v>4</v>
      </c>
      <c r="G680" s="3">
        <v>3.0878772370866701</v>
      </c>
      <c r="H680" s="3">
        <v>3.0040466340946801</v>
      </c>
      <c r="I680" s="3">
        <v>2.5896953742195499</v>
      </c>
      <c r="J680" s="3">
        <v>2.07175629937564</v>
      </c>
      <c r="K680" s="3">
        <v>1.5538172245317301</v>
      </c>
      <c r="L680" s="3">
        <v>1.03587814968782</v>
      </c>
      <c r="M680" s="3">
        <v>0.51793907484391</v>
      </c>
    </row>
    <row r="681" spans="1:16" x14ac:dyDescent="0.3">
      <c r="A681" s="3" t="str">
        <f t="shared" si="10"/>
        <v>NGA</v>
      </c>
      <c r="C681" s="3" t="s">
        <v>850</v>
      </c>
      <c r="D681" s="3" t="s">
        <v>742</v>
      </c>
      <c r="E681" s="3" t="s">
        <v>947</v>
      </c>
      <c r="F681" s="3" t="s">
        <v>5</v>
      </c>
      <c r="G681" s="3">
        <v>2.68875608139831</v>
      </c>
      <c r="H681" s="3">
        <v>0.17776375823253401</v>
      </c>
      <c r="I681" s="3">
        <v>2.2572967344985999</v>
      </c>
      <c r="J681" s="3">
        <v>1.80583738759888</v>
      </c>
      <c r="K681" s="3">
        <v>1.3543780406991599</v>
      </c>
      <c r="L681" s="3">
        <v>0.90291869379944001</v>
      </c>
      <c r="M681" s="3">
        <v>0.45145934689972</v>
      </c>
    </row>
    <row r="682" spans="1:16" x14ac:dyDescent="0.3">
      <c r="A682" s="3" t="str">
        <f t="shared" si="10"/>
        <v>NGA</v>
      </c>
      <c r="C682" s="3" t="s">
        <v>850</v>
      </c>
      <c r="D682" s="3" t="s">
        <v>742</v>
      </c>
      <c r="E682" s="3" t="s">
        <v>947</v>
      </c>
      <c r="F682" s="3" t="s">
        <v>6</v>
      </c>
      <c r="G682" s="3">
        <v>7.3438378414670797</v>
      </c>
      <c r="H682" s="3">
        <v>9.0965508519301501</v>
      </c>
      <c r="I682" s="3">
        <v>7.8418541826984098</v>
      </c>
      <c r="J682" s="3">
        <v>6.2734833461587298</v>
      </c>
      <c r="K682" s="3">
        <v>4.7051125096190498</v>
      </c>
      <c r="L682" s="3">
        <v>3.13674167307936</v>
      </c>
      <c r="M682" s="3">
        <v>1.56837083653968</v>
      </c>
    </row>
    <row r="683" spans="1:16" x14ac:dyDescent="0.3">
      <c r="A683" s="3" t="str">
        <f t="shared" si="10"/>
        <v>NGA</v>
      </c>
      <c r="C683" s="3" t="s">
        <v>850</v>
      </c>
      <c r="D683" s="3" t="s">
        <v>742</v>
      </c>
      <c r="E683" s="3" t="s">
        <v>947</v>
      </c>
      <c r="F683" s="3" t="s">
        <v>7</v>
      </c>
      <c r="H683" s="3">
        <v>0.112728927208226</v>
      </c>
      <c r="I683" s="3">
        <v>9.7180109662264105E-2</v>
      </c>
      <c r="J683" s="3">
        <v>7.7744087729811298E-2</v>
      </c>
      <c r="K683" s="3">
        <v>5.8308065797358498E-2</v>
      </c>
      <c r="L683" s="3">
        <v>3.8872043864905698E-2</v>
      </c>
      <c r="M683" s="3">
        <v>1.94360219324528E-2</v>
      </c>
    </row>
    <row r="684" spans="1:16" x14ac:dyDescent="0.3">
      <c r="A684" s="3" t="str">
        <f t="shared" si="10"/>
        <v>NGA</v>
      </c>
      <c r="C684" s="3" t="s">
        <v>850</v>
      </c>
      <c r="D684" s="3" t="s">
        <v>742</v>
      </c>
      <c r="E684" s="3" t="s">
        <v>947</v>
      </c>
      <c r="F684" s="3" t="s">
        <v>8</v>
      </c>
      <c r="G684" s="3">
        <v>7.3123626033942096E-2</v>
      </c>
      <c r="H684" s="3">
        <v>7.0686171832810701E-2</v>
      </c>
      <c r="I684" s="3">
        <v>6.0936355028285101E-2</v>
      </c>
      <c r="J684" s="3">
        <v>4.8749084022628099E-2</v>
      </c>
      <c r="K684" s="3">
        <v>0.78479381916149804</v>
      </c>
      <c r="L684" s="3">
        <v>0.77260654815584096</v>
      </c>
      <c r="M684" s="3">
        <v>0.76041927715018398</v>
      </c>
      <c r="N684" s="3">
        <v>0.74823200614452701</v>
      </c>
      <c r="O684" s="3">
        <v>0.74823200614452701</v>
      </c>
      <c r="P684" s="3">
        <v>0.7569896445444193</v>
      </c>
    </row>
    <row r="685" spans="1:16" x14ac:dyDescent="0.3">
      <c r="A685" s="3" t="str">
        <f t="shared" si="10"/>
        <v>DST</v>
      </c>
      <c r="C685" s="3" t="s">
        <v>850</v>
      </c>
      <c r="D685" s="3" t="s">
        <v>757</v>
      </c>
      <c r="E685" s="3" t="s">
        <v>948</v>
      </c>
      <c r="F685" s="3" t="s">
        <v>4</v>
      </c>
      <c r="G685" s="3">
        <v>2.6967092187061699</v>
      </c>
    </row>
    <row r="686" spans="1:16" x14ac:dyDescent="0.3">
      <c r="A686" s="3" t="str">
        <f t="shared" si="10"/>
        <v>DST</v>
      </c>
      <c r="C686" s="3" t="s">
        <v>850</v>
      </c>
      <c r="D686" s="3" t="s">
        <v>757</v>
      </c>
      <c r="E686" s="3" t="s">
        <v>948</v>
      </c>
      <c r="F686" s="3" t="s">
        <v>5</v>
      </c>
      <c r="G686" s="3">
        <v>2.35057488763991</v>
      </c>
    </row>
    <row r="687" spans="1:16" x14ac:dyDescent="0.3">
      <c r="A687" s="3" t="str">
        <f t="shared" si="10"/>
        <v>DST</v>
      </c>
      <c r="C687" s="3" t="s">
        <v>850</v>
      </c>
      <c r="D687" s="3" t="s">
        <v>757</v>
      </c>
      <c r="E687" s="3" t="s">
        <v>948</v>
      </c>
      <c r="F687" s="3" t="s">
        <v>6</v>
      </c>
      <c r="G687" s="3">
        <v>8.1659027068407308</v>
      </c>
    </row>
    <row r="688" spans="1:16" x14ac:dyDescent="0.3">
      <c r="A688" s="3" t="str">
        <f t="shared" si="10"/>
        <v>LPG</v>
      </c>
      <c r="C688" s="3" t="s">
        <v>850</v>
      </c>
      <c r="D688" s="3" t="s">
        <v>757</v>
      </c>
      <c r="E688" s="3" t="s">
        <v>949</v>
      </c>
      <c r="F688" s="3" t="s">
        <v>4</v>
      </c>
      <c r="G688" s="3">
        <v>3.14526135115474</v>
      </c>
    </row>
    <row r="689" spans="1:16" x14ac:dyDescent="0.3">
      <c r="A689" s="3" t="str">
        <f t="shared" si="10"/>
        <v>LPG</v>
      </c>
      <c r="C689" s="3" t="s">
        <v>850</v>
      </c>
      <c r="D689" s="3" t="s">
        <v>757</v>
      </c>
      <c r="E689" s="3" t="s">
        <v>949</v>
      </c>
      <c r="F689" s="3" t="s">
        <v>5</v>
      </c>
      <c r="G689" s="3">
        <v>2.7341389274413301</v>
      </c>
    </row>
    <row r="690" spans="1:16" x14ac:dyDescent="0.3">
      <c r="A690" s="3" t="str">
        <f t="shared" si="10"/>
        <v>LPG</v>
      </c>
      <c r="C690" s="3" t="s">
        <v>850</v>
      </c>
      <c r="D690" s="3" t="s">
        <v>757</v>
      </c>
      <c r="E690" s="3" t="s">
        <v>949</v>
      </c>
      <c r="F690" s="3" t="s">
        <v>6</v>
      </c>
      <c r="G690" s="3">
        <v>4.17002698913325</v>
      </c>
    </row>
    <row r="691" spans="1:16" x14ac:dyDescent="0.3">
      <c r="A691" s="3" t="str">
        <f t="shared" si="10"/>
        <v>NGA</v>
      </c>
      <c r="C691" s="3" t="s">
        <v>850</v>
      </c>
      <c r="D691" s="3" t="s">
        <v>757</v>
      </c>
      <c r="E691" s="3" t="s">
        <v>950</v>
      </c>
      <c r="F691" s="3" t="s">
        <v>0</v>
      </c>
      <c r="G691" s="3">
        <v>1.37894606894168E-2</v>
      </c>
      <c r="I691" s="3">
        <v>0.37561596435514499</v>
      </c>
      <c r="J691" s="3">
        <v>0.52928190664593999</v>
      </c>
      <c r="K691" s="3">
        <v>0.61709212423502802</v>
      </c>
      <c r="L691" s="3">
        <v>0.67245732231517097</v>
      </c>
      <c r="M691" s="3">
        <v>0.68384485992823096</v>
      </c>
    </row>
    <row r="692" spans="1:16" x14ac:dyDescent="0.3">
      <c r="A692" s="3" t="str">
        <f t="shared" si="10"/>
        <v>NGA</v>
      </c>
      <c r="C692" s="3" t="s">
        <v>850</v>
      </c>
      <c r="D692" s="3" t="s">
        <v>757</v>
      </c>
      <c r="E692" s="3" t="s">
        <v>950</v>
      </c>
      <c r="F692" s="3" t="s">
        <v>1</v>
      </c>
      <c r="G692" s="3">
        <v>3.7957745936581098E-2</v>
      </c>
      <c r="H692" s="3">
        <v>0.957416519679818</v>
      </c>
      <c r="I692" s="3">
        <v>1.03394437721984</v>
      </c>
      <c r="J692" s="3">
        <v>1.45693501680707</v>
      </c>
      <c r="K692" s="3">
        <v>1.6986470028632501</v>
      </c>
      <c r="L692" s="3">
        <v>1.8510487660494901</v>
      </c>
      <c r="M692" s="3">
        <v>1.93486410386007</v>
      </c>
      <c r="N692" s="3">
        <v>2.0209489633358499</v>
      </c>
      <c r="O692" s="3">
        <v>2.0562993615554901</v>
      </c>
      <c r="P692" s="3">
        <v>2.0911887866049299</v>
      </c>
    </row>
    <row r="693" spans="1:16" x14ac:dyDescent="0.3">
      <c r="A693" s="3" t="str">
        <f t="shared" si="10"/>
        <v>NGA</v>
      </c>
      <c r="C693" s="3" t="s">
        <v>850</v>
      </c>
      <c r="D693" s="3" t="s">
        <v>757</v>
      </c>
      <c r="E693" s="3" t="s">
        <v>950</v>
      </c>
      <c r="F693" s="3" t="s">
        <v>2</v>
      </c>
      <c r="G693" s="3">
        <v>0.35324456955598099</v>
      </c>
      <c r="H693" s="3">
        <v>4.6378732282535804</v>
      </c>
      <c r="I693" s="3">
        <v>5.0258648746273504</v>
      </c>
      <c r="J693" s="3">
        <v>7.0819656133478404</v>
      </c>
      <c r="K693" s="3">
        <v>8.2568951426931392</v>
      </c>
      <c r="L693" s="3">
        <v>8.9976996630374408</v>
      </c>
      <c r="M693" s="3">
        <v>9.3860534977793399</v>
      </c>
      <c r="O693" s="3">
        <v>0.14673530182007599</v>
      </c>
    </row>
    <row r="694" spans="1:16" x14ac:dyDescent="0.3">
      <c r="A694" s="3" t="str">
        <f t="shared" si="10"/>
        <v>NGA</v>
      </c>
      <c r="C694" s="3" t="s">
        <v>850</v>
      </c>
      <c r="D694" s="3" t="s">
        <v>757</v>
      </c>
      <c r="E694" s="3" t="s">
        <v>950</v>
      </c>
      <c r="F694" s="3" t="s">
        <v>3</v>
      </c>
      <c r="G694" s="3">
        <v>0.23926094631169401</v>
      </c>
      <c r="H694" s="3">
        <v>2.5343411361628498</v>
      </c>
      <c r="I694" s="3">
        <v>3.4041377832065298</v>
      </c>
      <c r="J694" s="3">
        <v>4.7967837029351701</v>
      </c>
      <c r="K694" s="3">
        <v>5.5925914103093</v>
      </c>
      <c r="L694" s="3">
        <v>6.0943559265830096</v>
      </c>
      <c r="M694" s="3">
        <v>6.3512465927069499</v>
      </c>
    </row>
    <row r="695" spans="1:16" x14ac:dyDescent="0.3">
      <c r="A695" s="3" t="str">
        <f t="shared" si="10"/>
        <v>NGA</v>
      </c>
      <c r="C695" s="3" t="s">
        <v>850</v>
      </c>
      <c r="D695" s="3" t="s">
        <v>757</v>
      </c>
      <c r="E695" s="3" t="s">
        <v>950</v>
      </c>
      <c r="F695" s="3" t="s">
        <v>4</v>
      </c>
      <c r="G695" s="3">
        <v>0.33901466717056</v>
      </c>
      <c r="H695" s="3">
        <v>35.202681628958999</v>
      </c>
      <c r="I695" s="3">
        <v>38.062035028259103</v>
      </c>
      <c r="J695" s="3">
        <v>53.633360619182596</v>
      </c>
      <c r="K695" s="3">
        <v>62.531373203532702</v>
      </c>
      <c r="L695" s="3">
        <v>68.141656867302899</v>
      </c>
      <c r="M695" s="3">
        <v>71.208044281413606</v>
      </c>
      <c r="N695" s="3">
        <v>72.977897787039197</v>
      </c>
      <c r="O695" s="3">
        <v>74.188920107158594</v>
      </c>
      <c r="P695" s="3">
        <v>75.473285637457593</v>
      </c>
    </row>
    <row r="696" spans="1:16" x14ac:dyDescent="0.3">
      <c r="A696" s="3" t="str">
        <f t="shared" si="10"/>
        <v>NGA</v>
      </c>
      <c r="C696" s="3" t="s">
        <v>850</v>
      </c>
      <c r="D696" s="3" t="s">
        <v>757</v>
      </c>
      <c r="E696" s="3" t="s">
        <v>950</v>
      </c>
      <c r="F696" s="3" t="s">
        <v>5</v>
      </c>
      <c r="G696" s="3">
        <v>0.29550066342527198</v>
      </c>
      <c r="H696" s="3">
        <v>30.678333089734799</v>
      </c>
      <c r="I696" s="3">
        <v>33.1766076554674</v>
      </c>
      <c r="J696" s="3">
        <v>46.749286032281802</v>
      </c>
      <c r="K696" s="3">
        <v>54.505200086935503</v>
      </c>
      <c r="L696" s="3">
        <v>59.395379495645102</v>
      </c>
      <c r="M696" s="3">
        <v>62.065736180616703</v>
      </c>
      <c r="N696" s="3">
        <v>44.1233184501409</v>
      </c>
      <c r="O696" s="3">
        <v>45.053914708340102</v>
      </c>
      <c r="P696" s="3">
        <v>46.1734263490942</v>
      </c>
    </row>
    <row r="697" spans="1:16" x14ac:dyDescent="0.3">
      <c r="A697" s="3" t="str">
        <f t="shared" si="10"/>
        <v>NGA</v>
      </c>
      <c r="C697" s="3" t="s">
        <v>850</v>
      </c>
      <c r="D697" s="3" t="s">
        <v>757</v>
      </c>
      <c r="E697" s="3" t="s">
        <v>950</v>
      </c>
      <c r="F697" s="3" t="s">
        <v>6</v>
      </c>
      <c r="G697" s="3">
        <v>1.0265700020987001</v>
      </c>
      <c r="H697" s="3">
        <v>102.313899074566</v>
      </c>
      <c r="I697" s="3">
        <v>115.255613289389</v>
      </c>
      <c r="J697" s="3">
        <v>162.40713000094101</v>
      </c>
      <c r="K697" s="3">
        <v>189.351193730181</v>
      </c>
      <c r="L697" s="3">
        <v>206.33968853649299</v>
      </c>
      <c r="M697" s="3">
        <v>215.682732877418</v>
      </c>
      <c r="N697" s="3">
        <v>225.27876482305399</v>
      </c>
      <c r="O697" s="3">
        <v>229.219336401753</v>
      </c>
      <c r="P697" s="3">
        <v>233.10852248369699</v>
      </c>
    </row>
    <row r="698" spans="1:16" x14ac:dyDescent="0.3">
      <c r="A698" s="3" t="str">
        <f t="shared" si="10"/>
        <v>NGA</v>
      </c>
      <c r="C698" s="3" t="s">
        <v>850</v>
      </c>
      <c r="D698" s="3" t="s">
        <v>757</v>
      </c>
      <c r="E698" s="3" t="s">
        <v>950</v>
      </c>
      <c r="F698" s="3" t="s">
        <v>7</v>
      </c>
      <c r="H698" s="3">
        <v>0.47459795417247602</v>
      </c>
      <c r="I698" s="3">
        <v>0.63748198874172102</v>
      </c>
      <c r="J698" s="3">
        <v>0.89827833338479901</v>
      </c>
      <c r="K698" s="3">
        <v>1.0473066960014901</v>
      </c>
      <c r="L698" s="3">
        <v>1.1412705312175999</v>
      </c>
      <c r="M698" s="3">
        <v>1.1738858928593401</v>
      </c>
    </row>
    <row r="699" spans="1:16" x14ac:dyDescent="0.3">
      <c r="A699" s="3" t="str">
        <f t="shared" si="10"/>
        <v>NGA</v>
      </c>
      <c r="C699" s="3" t="s">
        <v>850</v>
      </c>
      <c r="D699" s="3" t="s">
        <v>757</v>
      </c>
      <c r="E699" s="3" t="s">
        <v>950</v>
      </c>
      <c r="F699" s="3" t="s">
        <v>8</v>
      </c>
      <c r="H699" s="3">
        <v>0.31210443283887401</v>
      </c>
      <c r="I699" s="3">
        <v>0.39973024238299398</v>
      </c>
      <c r="J699" s="3">
        <v>0.56326142898568399</v>
      </c>
      <c r="K699" s="3">
        <v>0.65670900015281897</v>
      </c>
      <c r="L699" s="3">
        <v>0.71562860461146505</v>
      </c>
      <c r="M699" s="3">
        <v>0.72897093438113703</v>
      </c>
      <c r="N699" s="3">
        <v>1.7618622429318099E-2</v>
      </c>
    </row>
    <row r="700" spans="1:16" x14ac:dyDescent="0.3">
      <c r="A700" s="3" t="str">
        <f t="shared" si="10"/>
        <v>OTP</v>
      </c>
      <c r="C700" s="3" t="s">
        <v>850</v>
      </c>
      <c r="D700" s="3" t="s">
        <v>757</v>
      </c>
      <c r="E700" s="3" t="s">
        <v>951</v>
      </c>
      <c r="F700" s="3" t="s">
        <v>0</v>
      </c>
      <c r="G700" s="3">
        <v>0.32707477324960399</v>
      </c>
      <c r="H700" s="3">
        <v>0.34781458002224602</v>
      </c>
    </row>
    <row r="701" spans="1:16" x14ac:dyDescent="0.3">
      <c r="A701" s="3" t="str">
        <f t="shared" si="10"/>
        <v>OTP</v>
      </c>
      <c r="C701" s="3" t="s">
        <v>850</v>
      </c>
      <c r="D701" s="3" t="s">
        <v>757</v>
      </c>
      <c r="E701" s="3" t="s">
        <v>951</v>
      </c>
      <c r="F701" s="3" t="s">
        <v>1</v>
      </c>
      <c r="G701" s="3">
        <v>0.90032680935823195</v>
      </c>
    </row>
    <row r="702" spans="1:16" x14ac:dyDescent="0.3">
      <c r="A702" s="3" t="str">
        <f t="shared" si="10"/>
        <v>OTP</v>
      </c>
      <c r="C702" s="3" t="s">
        <v>850</v>
      </c>
      <c r="D702" s="3" t="s">
        <v>757</v>
      </c>
      <c r="E702" s="3" t="s">
        <v>951</v>
      </c>
      <c r="F702" s="3" t="s">
        <v>2</v>
      </c>
      <c r="G702" s="3">
        <v>4.1876307471041798</v>
      </c>
    </row>
    <row r="703" spans="1:16" x14ac:dyDescent="0.3">
      <c r="A703" s="3" t="str">
        <f t="shared" si="10"/>
        <v>OTP</v>
      </c>
      <c r="C703" s="3" t="s">
        <v>850</v>
      </c>
      <c r="D703" s="3" t="s">
        <v>757</v>
      </c>
      <c r="E703" s="3" t="s">
        <v>951</v>
      </c>
      <c r="F703" s="3" t="s">
        <v>3</v>
      </c>
      <c r="G703" s="3">
        <v>2.0776310280902401</v>
      </c>
    </row>
    <row r="704" spans="1:16" x14ac:dyDescent="0.3">
      <c r="A704" s="3" t="str">
        <f t="shared" si="10"/>
        <v>OTP</v>
      </c>
      <c r="C704" s="3" t="s">
        <v>850</v>
      </c>
      <c r="D704" s="3" t="s">
        <v>757</v>
      </c>
      <c r="E704" s="3" t="s">
        <v>951</v>
      </c>
      <c r="F704" s="3" t="s">
        <v>4</v>
      </c>
      <c r="G704" s="3">
        <v>28.306858042102501</v>
      </c>
    </row>
    <row r="705" spans="1:16" x14ac:dyDescent="0.3">
      <c r="A705" s="3" t="str">
        <f t="shared" si="10"/>
        <v>OTP</v>
      </c>
      <c r="C705" s="3" t="s">
        <v>850</v>
      </c>
      <c r="D705" s="3" t="s">
        <v>757</v>
      </c>
      <c r="E705" s="3" t="s">
        <v>951</v>
      </c>
      <c r="F705" s="3" t="s">
        <v>5</v>
      </c>
      <c r="G705" s="3">
        <v>24.673549969795101</v>
      </c>
    </row>
    <row r="706" spans="1:16" x14ac:dyDescent="0.3">
      <c r="A706" s="3" t="str">
        <f t="shared" si="10"/>
        <v>OTP</v>
      </c>
      <c r="C706" s="3" t="s">
        <v>850</v>
      </c>
      <c r="D706" s="3" t="s">
        <v>757</v>
      </c>
      <c r="E706" s="3" t="s">
        <v>951</v>
      </c>
      <c r="F706" s="3" t="s">
        <v>6</v>
      </c>
      <c r="G706" s="3">
        <v>85.715970822787696</v>
      </c>
    </row>
    <row r="707" spans="1:16" x14ac:dyDescent="0.3">
      <c r="A707" s="3" t="str">
        <f t="shared" si="10"/>
        <v>OTP</v>
      </c>
      <c r="C707" s="3" t="s">
        <v>850</v>
      </c>
      <c r="D707" s="3" t="s">
        <v>757</v>
      </c>
      <c r="E707" s="3" t="s">
        <v>951</v>
      </c>
      <c r="F707" s="3" t="s">
        <v>7</v>
      </c>
      <c r="G707" s="3">
        <v>0.43387694553016498</v>
      </c>
    </row>
    <row r="708" spans="1:16" x14ac:dyDescent="0.3">
      <c r="A708" s="3" t="str">
        <f t="shared" si="10"/>
        <v>OTP</v>
      </c>
      <c r="C708" s="3" t="s">
        <v>850</v>
      </c>
      <c r="D708" s="3" t="s">
        <v>757</v>
      </c>
      <c r="E708" s="3" t="s">
        <v>951</v>
      </c>
      <c r="F708" s="3" t="s">
        <v>8</v>
      </c>
      <c r="G708" s="3">
        <v>0.29019798045284401</v>
      </c>
    </row>
    <row r="709" spans="1:16" x14ac:dyDescent="0.3">
      <c r="A709" s="3" t="str">
        <f t="shared" si="10"/>
        <v>STM</v>
      </c>
      <c r="C709" s="3" t="s">
        <v>850</v>
      </c>
      <c r="D709" s="3" t="s">
        <v>757</v>
      </c>
      <c r="E709" s="3" t="s">
        <v>1209</v>
      </c>
      <c r="F709" s="3" t="s">
        <v>0</v>
      </c>
      <c r="M709" s="3">
        <v>1.9061275333845398E-2</v>
      </c>
      <c r="N709" s="3">
        <v>0.73417943024852295</v>
      </c>
      <c r="O709" s="3">
        <v>0.74702168193067697</v>
      </c>
      <c r="P709" s="3">
        <v>0.75969646920596701</v>
      </c>
    </row>
    <row r="710" spans="1:16" x14ac:dyDescent="0.3">
      <c r="A710" s="3" t="str">
        <f t="shared" si="10"/>
        <v>STM</v>
      </c>
      <c r="C710" s="3" t="s">
        <v>850</v>
      </c>
      <c r="D710" s="3" t="s">
        <v>757</v>
      </c>
      <c r="E710" s="3" t="s">
        <v>1209</v>
      </c>
      <c r="F710" s="3" t="s">
        <v>2</v>
      </c>
      <c r="M710" s="3">
        <v>1.9061275333845398E-2</v>
      </c>
      <c r="N710" s="3">
        <v>9.82356172346066</v>
      </c>
      <c r="O710" s="3">
        <v>9.8486599637832004</v>
      </c>
      <c r="P710" s="3">
        <v>10.1649880790228</v>
      </c>
    </row>
    <row r="711" spans="1:16" x14ac:dyDescent="0.3">
      <c r="A711" s="3" t="str">
        <f t="shared" si="10"/>
        <v>STM</v>
      </c>
      <c r="C711" s="3" t="s">
        <v>850</v>
      </c>
      <c r="D711" s="3" t="s">
        <v>757</v>
      </c>
      <c r="E711" s="3" t="s">
        <v>1209</v>
      </c>
      <c r="F711" s="3" t="s">
        <v>3</v>
      </c>
      <c r="M711" s="3">
        <v>1.9061275333845398E-2</v>
      </c>
      <c r="N711" s="3">
        <v>6.6537319372267101</v>
      </c>
      <c r="O711" s="3">
        <v>6.7701188811302302</v>
      </c>
      <c r="P711" s="3">
        <v>6.8849881261901302</v>
      </c>
    </row>
    <row r="712" spans="1:16" x14ac:dyDescent="0.3">
      <c r="A712" s="3" t="str">
        <f t="shared" ref="A712:A775" si="11">RIGHT(E712,3)</f>
        <v>STM</v>
      </c>
      <c r="C712" s="3" t="s">
        <v>850</v>
      </c>
      <c r="D712" s="3" t="s">
        <v>757</v>
      </c>
      <c r="E712" s="3" t="s">
        <v>1209</v>
      </c>
      <c r="F712" s="3" t="s">
        <v>4</v>
      </c>
      <c r="M712" s="3">
        <v>1.9061275333845398E-2</v>
      </c>
      <c r="N712" s="3">
        <v>1.4182031324767901</v>
      </c>
      <c r="O712" s="3">
        <v>1.5085158985990399</v>
      </c>
      <c r="P712" s="3">
        <v>1.5085158985990399</v>
      </c>
    </row>
    <row r="713" spans="1:16" x14ac:dyDescent="0.3">
      <c r="A713" s="3" t="str">
        <f t="shared" si="11"/>
        <v>STM</v>
      </c>
      <c r="C713" s="3" t="s">
        <v>850</v>
      </c>
      <c r="D713" s="3" t="s">
        <v>757</v>
      </c>
      <c r="E713" s="3" t="s">
        <v>1209</v>
      </c>
      <c r="F713" s="3" t="s">
        <v>5</v>
      </c>
      <c r="M713" s="3">
        <v>1.9061275333845398E-2</v>
      </c>
      <c r="N713" s="3">
        <v>20.723720061352399</v>
      </c>
      <c r="O713" s="3">
        <v>20.927426883702601</v>
      </c>
      <c r="P713" s="3">
        <v>20.927426883702601</v>
      </c>
    </row>
    <row r="714" spans="1:16" x14ac:dyDescent="0.3">
      <c r="A714" s="3" t="str">
        <f t="shared" si="11"/>
        <v>STM</v>
      </c>
      <c r="C714" s="3" t="s">
        <v>850</v>
      </c>
      <c r="D714" s="3" t="s">
        <v>757</v>
      </c>
      <c r="E714" s="3" t="s">
        <v>1209</v>
      </c>
      <c r="F714" s="3" t="s">
        <v>7</v>
      </c>
      <c r="M714" s="3">
        <v>1.9061275333845398E-2</v>
      </c>
      <c r="N714" s="3">
        <v>1.2460230866161299</v>
      </c>
      <c r="O714" s="3">
        <v>1.2678184971395201</v>
      </c>
      <c r="P714" s="3">
        <v>1.2893296930574201</v>
      </c>
    </row>
    <row r="715" spans="1:16" x14ac:dyDescent="0.3">
      <c r="A715" s="3" t="str">
        <f t="shared" si="11"/>
        <v>STM</v>
      </c>
      <c r="C715" s="3" t="s">
        <v>850</v>
      </c>
      <c r="D715" s="3" t="s">
        <v>757</v>
      </c>
      <c r="E715" s="3" t="s">
        <v>1209</v>
      </c>
      <c r="F715" s="3" t="s">
        <v>8</v>
      </c>
      <c r="M715" s="3">
        <v>1.9061275333845398E-2</v>
      </c>
      <c r="N715" s="3">
        <v>0.76369460558984803</v>
      </c>
      <c r="O715" s="3">
        <v>0.79497994313460096</v>
      </c>
      <c r="P715" s="3">
        <v>0.80846844274723695</v>
      </c>
    </row>
    <row r="716" spans="1:16" x14ac:dyDescent="0.3">
      <c r="A716" s="3" t="str">
        <f t="shared" si="11"/>
        <v>NGA</v>
      </c>
      <c r="C716" s="3" t="s">
        <v>850</v>
      </c>
      <c r="D716" s="3" t="s">
        <v>952</v>
      </c>
      <c r="E716" s="3" t="s">
        <v>881</v>
      </c>
      <c r="F716" s="3" t="s">
        <v>0</v>
      </c>
      <c r="M716" s="3">
        <v>1.9061275333845398E-2</v>
      </c>
      <c r="N716" s="3">
        <v>0.73417943024852239</v>
      </c>
      <c r="O716" s="3">
        <v>0.74702168193067719</v>
      </c>
      <c r="P716" s="3">
        <v>0.7596964692059669</v>
      </c>
    </row>
    <row r="717" spans="1:16" x14ac:dyDescent="0.3">
      <c r="A717" s="3" t="str">
        <f t="shared" si="11"/>
        <v>NGA</v>
      </c>
      <c r="C717" s="3" t="s">
        <v>850</v>
      </c>
      <c r="D717" s="3" t="s">
        <v>952</v>
      </c>
      <c r="E717" s="3" t="s">
        <v>881</v>
      </c>
      <c r="F717" s="3" t="s">
        <v>2</v>
      </c>
      <c r="M717" s="3">
        <v>1.9061275333845398E-2</v>
      </c>
      <c r="N717" s="3">
        <v>9.8235617234606654</v>
      </c>
      <c r="O717" s="3">
        <v>9.8486599637831986</v>
      </c>
      <c r="P717" s="3">
        <v>10.164988079022752</v>
      </c>
    </row>
    <row r="718" spans="1:16" x14ac:dyDescent="0.3">
      <c r="A718" s="3" t="str">
        <f t="shared" si="11"/>
        <v>NGA</v>
      </c>
      <c r="C718" s="3" t="s">
        <v>850</v>
      </c>
      <c r="D718" s="3" t="s">
        <v>952</v>
      </c>
      <c r="E718" s="3" t="s">
        <v>881</v>
      </c>
      <c r="F718" s="3" t="s">
        <v>3</v>
      </c>
      <c r="M718" s="3">
        <v>1.9061275333845398E-2</v>
      </c>
      <c r="N718" s="3">
        <v>6.6537319372267154</v>
      </c>
      <c r="O718" s="3">
        <v>6.7701188811302311</v>
      </c>
      <c r="P718" s="3">
        <v>6.8849881261901267</v>
      </c>
    </row>
    <row r="719" spans="1:16" x14ac:dyDescent="0.3">
      <c r="A719" s="3" t="str">
        <f t="shared" si="11"/>
        <v>NGA</v>
      </c>
      <c r="C719" s="3" t="s">
        <v>850</v>
      </c>
      <c r="D719" s="3" t="s">
        <v>952</v>
      </c>
      <c r="E719" s="3" t="s">
        <v>881</v>
      </c>
      <c r="F719" s="3" t="s">
        <v>4</v>
      </c>
      <c r="M719" s="3">
        <v>1.9061275333845398E-2</v>
      </c>
      <c r="N719" s="3">
        <v>1.4182031324767954</v>
      </c>
      <c r="O719" s="3">
        <v>1.5085158985990421</v>
      </c>
      <c r="P719" s="3">
        <v>1.5085158985990421</v>
      </c>
    </row>
    <row r="720" spans="1:16" x14ac:dyDescent="0.3">
      <c r="A720" s="3" t="str">
        <f t="shared" si="11"/>
        <v>NGA</v>
      </c>
      <c r="C720" s="3" t="s">
        <v>850</v>
      </c>
      <c r="D720" s="3" t="s">
        <v>952</v>
      </c>
      <c r="E720" s="3" t="s">
        <v>881</v>
      </c>
      <c r="F720" s="3" t="s">
        <v>5</v>
      </c>
      <c r="M720" s="3">
        <v>1.9061275333845398E-2</v>
      </c>
      <c r="N720" s="3">
        <v>20.723720061352346</v>
      </c>
      <c r="O720" s="3">
        <v>20.927426883702633</v>
      </c>
      <c r="P720" s="3">
        <v>20.927426883702633</v>
      </c>
    </row>
    <row r="721" spans="1:16" x14ac:dyDescent="0.3">
      <c r="A721" s="3" t="str">
        <f t="shared" si="11"/>
        <v>NGA</v>
      </c>
      <c r="C721" s="3" t="s">
        <v>850</v>
      </c>
      <c r="D721" s="3" t="s">
        <v>952</v>
      </c>
      <c r="E721" s="3" t="s">
        <v>881</v>
      </c>
      <c r="F721" s="3" t="s">
        <v>7</v>
      </c>
      <c r="M721" s="3">
        <v>1.9061275333845398E-2</v>
      </c>
      <c r="N721" s="3">
        <v>1.2460230866161355</v>
      </c>
      <c r="O721" s="3">
        <v>1.2678184971395239</v>
      </c>
      <c r="P721" s="3">
        <v>1.2893296930574192</v>
      </c>
    </row>
    <row r="722" spans="1:16" x14ac:dyDescent="0.3">
      <c r="A722" s="3" t="str">
        <f t="shared" si="11"/>
        <v>NGA</v>
      </c>
      <c r="C722" s="3" t="s">
        <v>850</v>
      </c>
      <c r="D722" s="3" t="s">
        <v>952</v>
      </c>
      <c r="E722" s="3" t="s">
        <v>881</v>
      </c>
      <c r="F722" s="3" t="s">
        <v>8</v>
      </c>
      <c r="M722" s="3">
        <v>1.9061275333845398E-2</v>
      </c>
      <c r="N722" s="3">
        <v>0.76369460558984736</v>
      </c>
      <c r="O722" s="3">
        <v>0.79497994313460052</v>
      </c>
      <c r="P722" s="3">
        <v>0.80846844274723606</v>
      </c>
    </row>
    <row r="723" spans="1:16" x14ac:dyDescent="0.3">
      <c r="A723" s="3" t="str">
        <f t="shared" si="11"/>
        <v>COA</v>
      </c>
      <c r="C723" s="3" t="s">
        <v>850</v>
      </c>
      <c r="D723" s="3" t="s">
        <v>789</v>
      </c>
      <c r="E723" s="3" t="s">
        <v>953</v>
      </c>
      <c r="F723" s="3" t="s">
        <v>0</v>
      </c>
      <c r="H723" s="3">
        <v>2.00378194611682</v>
      </c>
      <c r="I723" s="3">
        <v>2.00378194611682</v>
      </c>
      <c r="J723" s="3">
        <v>3.0492267715619903</v>
      </c>
      <c r="K723" s="3">
        <v>3.5551070272958083</v>
      </c>
      <c r="L723" s="3">
        <v>3.8740694593740601</v>
      </c>
      <c r="M723" s="3">
        <v>4.0494870098970868</v>
      </c>
      <c r="N723" s="3">
        <v>4.229654453957143</v>
      </c>
      <c r="O723" s="3">
        <v>4.3036394837582028</v>
      </c>
      <c r="P723" s="3">
        <v>4.3766597404463328</v>
      </c>
    </row>
    <row r="724" spans="1:16" x14ac:dyDescent="0.3">
      <c r="A724" s="3" t="str">
        <f t="shared" si="11"/>
        <v>COA</v>
      </c>
      <c r="C724" s="3" t="s">
        <v>850</v>
      </c>
      <c r="D724" s="3" t="s">
        <v>789</v>
      </c>
      <c r="E724" s="3" t="s">
        <v>953</v>
      </c>
      <c r="F724" s="3" t="s">
        <v>1</v>
      </c>
      <c r="H724" s="3">
        <v>5.22554396869121</v>
      </c>
      <c r="I724" s="3">
        <v>5.22554396869121</v>
      </c>
      <c r="J724" s="3">
        <v>8.393495416887621</v>
      </c>
      <c r="K724" s="3">
        <v>9.786013562010881</v>
      </c>
      <c r="L724" s="3">
        <v>10.664009825449408</v>
      </c>
      <c r="M724" s="3">
        <v>11.146875324364871</v>
      </c>
      <c r="N724" s="3">
        <v>11.64281568212833</v>
      </c>
      <c r="O724" s="3">
        <v>11.84647157756552</v>
      </c>
      <c r="P724" s="3">
        <v>12.047471777212131</v>
      </c>
    </row>
    <row r="725" spans="1:16" x14ac:dyDescent="0.3">
      <c r="A725" s="3" t="str">
        <f t="shared" si="11"/>
        <v>COA</v>
      </c>
      <c r="C725" s="3" t="s">
        <v>850</v>
      </c>
      <c r="D725" s="3" t="s">
        <v>789</v>
      </c>
      <c r="E725" s="3" t="s">
        <v>953</v>
      </c>
      <c r="F725" s="3" t="s">
        <v>2</v>
      </c>
      <c r="G725" s="3">
        <v>1.5393299548192401</v>
      </c>
      <c r="H725" s="3">
        <v>15.428601690009369</v>
      </c>
      <c r="I725" s="3">
        <v>15.223357696033469</v>
      </c>
      <c r="J725" s="3">
        <v>80.584337043928485</v>
      </c>
      <c r="K725" s="3">
        <v>93.953636242045917</v>
      </c>
      <c r="L725" s="3">
        <v>102.38310969763222</v>
      </c>
      <c r="M725" s="3">
        <v>107.01900859062516</v>
      </c>
      <c r="N725" s="3">
        <v>111.7804366916386</v>
      </c>
      <c r="O725" s="3">
        <v>113.7356978199013</v>
      </c>
      <c r="P725" s="3">
        <v>115.66546212305821</v>
      </c>
    </row>
    <row r="726" spans="1:16" x14ac:dyDescent="0.3">
      <c r="A726" s="3" t="str">
        <f t="shared" si="11"/>
        <v>COA</v>
      </c>
      <c r="C726" s="3" t="s">
        <v>850</v>
      </c>
      <c r="D726" s="3" t="s">
        <v>789</v>
      </c>
      <c r="E726" s="3" t="s">
        <v>953</v>
      </c>
      <c r="F726" s="3" t="s">
        <v>3</v>
      </c>
      <c r="G726" s="3">
        <v>1.04262478015991</v>
      </c>
      <c r="H726" s="3">
        <v>1.00787062082125</v>
      </c>
      <c r="I726" s="3">
        <v>10.311142144301661</v>
      </c>
      <c r="J726" s="3">
        <v>54.581687591874847</v>
      </c>
      <c r="K726" s="3">
        <v>63.637031830248908</v>
      </c>
      <c r="L726" s="3">
        <v>69.346514635400538</v>
      </c>
      <c r="M726" s="3">
        <v>72.486519186742655</v>
      </c>
      <c r="N726" s="3">
        <v>75.711547655476352</v>
      </c>
      <c r="O726" s="3">
        <v>77.035892509305683</v>
      </c>
      <c r="P726" s="3">
        <v>78.342967757234277</v>
      </c>
    </row>
    <row r="727" spans="1:16" x14ac:dyDescent="0.3">
      <c r="A727" s="3" t="str">
        <f t="shared" si="11"/>
        <v>COA</v>
      </c>
      <c r="C727" s="3" t="s">
        <v>850</v>
      </c>
      <c r="D727" s="3" t="s">
        <v>789</v>
      </c>
      <c r="E727" s="3" t="s">
        <v>953</v>
      </c>
      <c r="F727" s="3" t="s">
        <v>4</v>
      </c>
      <c r="G727" s="3">
        <v>0.59451557715649295</v>
      </c>
      <c r="H727" s="3">
        <v>3.0715289967428268</v>
      </c>
      <c r="I727" s="3">
        <v>13.269918787770161</v>
      </c>
      <c r="J727" s="3">
        <v>73.843666229652783</v>
      </c>
      <c r="K727" s="3">
        <v>86.094658220466002</v>
      </c>
      <c r="L727" s="3">
        <v>93.819028081655389</v>
      </c>
      <c r="M727" s="3">
        <v>98.067146054530966</v>
      </c>
      <c r="N727" s="3">
        <v>102.43029304271164</v>
      </c>
      <c r="O727" s="3">
        <v>104.22200164817593</v>
      </c>
      <c r="P727" s="3">
        <v>105.99034617183322</v>
      </c>
    </row>
    <row r="728" spans="1:16" x14ac:dyDescent="0.3">
      <c r="A728" s="3" t="str">
        <f t="shared" si="11"/>
        <v>COA</v>
      </c>
      <c r="C728" s="3" t="s">
        <v>850</v>
      </c>
      <c r="D728" s="3" t="s">
        <v>789</v>
      </c>
      <c r="E728" s="3" t="s">
        <v>953</v>
      </c>
      <c r="F728" s="3" t="s">
        <v>5</v>
      </c>
      <c r="G728" s="3">
        <v>0.51820692282324399</v>
      </c>
      <c r="H728" s="3">
        <v>2.669118177020966</v>
      </c>
      <c r="I728" s="3">
        <v>11.566667124206743</v>
      </c>
      <c r="J728" s="3">
        <v>64.365511211462106</v>
      </c>
      <c r="K728" s="3">
        <v>75.044035214913762</v>
      </c>
      <c r="L728" s="3">
        <v>81.776948683153904</v>
      </c>
      <c r="M728" s="3">
        <v>85.479802278753553</v>
      </c>
      <c r="N728" s="3">
        <v>89.282920416355097</v>
      </c>
      <c r="O728" s="3">
        <v>90.844655446872707</v>
      </c>
      <c r="P728" s="3">
        <v>92.386025276875387</v>
      </c>
    </row>
    <row r="729" spans="1:16" x14ac:dyDescent="0.3">
      <c r="A729" s="3" t="str">
        <f t="shared" si="11"/>
        <v>COA</v>
      </c>
      <c r="C729" s="3" t="s">
        <v>850</v>
      </c>
      <c r="D729" s="3" t="s">
        <v>789</v>
      </c>
      <c r="E729" s="3" t="s">
        <v>953</v>
      </c>
      <c r="F729" s="3" t="s">
        <v>6</v>
      </c>
      <c r="G729" s="3">
        <v>1.80025207281725</v>
      </c>
      <c r="H729" s="3">
        <v>3.4035343027936698</v>
      </c>
      <c r="I729" s="3">
        <v>40.182628885957499</v>
      </c>
      <c r="J729" s="3">
        <v>223.60593784637729</v>
      </c>
      <c r="K729" s="3">
        <v>260.7031554348805</v>
      </c>
      <c r="L729" s="3">
        <v>284.09331271271537</v>
      </c>
      <c r="M729" s="3">
        <v>296.95703484228375</v>
      </c>
      <c r="N729" s="3">
        <v>310.16907622738381</v>
      </c>
      <c r="O729" s="3">
        <v>315.59454740897888</v>
      </c>
      <c r="P729" s="3">
        <v>320.94926983592592</v>
      </c>
    </row>
    <row r="730" spans="1:16" x14ac:dyDescent="0.3">
      <c r="A730" s="3" t="str">
        <f t="shared" si="11"/>
        <v>COA</v>
      </c>
      <c r="C730" s="3" t="s">
        <v>850</v>
      </c>
      <c r="D730" s="3" t="s">
        <v>789</v>
      </c>
      <c r="E730" s="3" t="s">
        <v>953</v>
      </c>
      <c r="F730" s="3" t="s">
        <v>7</v>
      </c>
      <c r="I730" s="3">
        <v>0.50467141282518702</v>
      </c>
      <c r="J730" s="3">
        <v>2.9172820106919972</v>
      </c>
      <c r="K730" s="3">
        <v>3.4012720449460163</v>
      </c>
      <c r="L730" s="3">
        <v>3.7064324790162493</v>
      </c>
      <c r="M730" s="3">
        <v>3.8742594406817772</v>
      </c>
      <c r="N730" s="3">
        <v>4.0466307606408911</v>
      </c>
      <c r="O730" s="3">
        <v>4.117414343715792</v>
      </c>
      <c r="P730" s="3">
        <v>4.1872749009033221</v>
      </c>
    </row>
    <row r="731" spans="1:16" x14ac:dyDescent="0.3">
      <c r="A731" s="3" t="str">
        <f t="shared" si="11"/>
        <v>COA</v>
      </c>
      <c r="C731" s="3" t="s">
        <v>850</v>
      </c>
      <c r="D731" s="3" t="s">
        <v>789</v>
      </c>
      <c r="E731" s="3" t="s">
        <v>953</v>
      </c>
      <c r="F731" s="3" t="s">
        <v>8</v>
      </c>
      <c r="I731" s="3">
        <v>0.40407623306510199</v>
      </c>
      <c r="J731" s="3">
        <v>1.8292686943754919</v>
      </c>
      <c r="K731" s="3">
        <v>2.132752490184648</v>
      </c>
      <c r="L731" s="3">
        <v>2.3241019815128179</v>
      </c>
      <c r="M731" s="3">
        <v>2.4293371305048437</v>
      </c>
      <c r="N731" s="3">
        <v>2.5374217991291657</v>
      </c>
      <c r="O731" s="3">
        <v>2.5818063297025331</v>
      </c>
      <c r="P731" s="3">
        <v>2.6256120810033527</v>
      </c>
    </row>
    <row r="732" spans="1:16" x14ac:dyDescent="0.3">
      <c r="A732" s="3" t="str">
        <f t="shared" si="11"/>
        <v>ELC</v>
      </c>
      <c r="C732" s="3" t="s">
        <v>850</v>
      </c>
      <c r="D732" s="3" t="s">
        <v>789</v>
      </c>
      <c r="E732" s="3" t="s">
        <v>954</v>
      </c>
      <c r="F732" s="3" t="s">
        <v>0</v>
      </c>
      <c r="G732" s="3">
        <v>0.109058096971272</v>
      </c>
    </row>
    <row r="733" spans="1:16" x14ac:dyDescent="0.3">
      <c r="A733" s="3" t="str">
        <f t="shared" si="11"/>
        <v>ELC</v>
      </c>
      <c r="C733" s="3" t="s">
        <v>850</v>
      </c>
      <c r="D733" s="3" t="s">
        <v>789</v>
      </c>
      <c r="E733" s="3" t="s">
        <v>954</v>
      </c>
      <c r="F733" s="3" t="s">
        <v>1</v>
      </c>
      <c r="G733" s="3">
        <v>0.30020024933533102</v>
      </c>
      <c r="H733" s="3">
        <v>0.29019357435748699</v>
      </c>
    </row>
    <row r="734" spans="1:16" x14ac:dyDescent="0.3">
      <c r="A734" s="3" t="str">
        <f t="shared" si="11"/>
        <v>ELC</v>
      </c>
      <c r="C734" s="3" t="s">
        <v>850</v>
      </c>
      <c r="D734" s="3" t="s">
        <v>789</v>
      </c>
      <c r="E734" s="3" t="s">
        <v>954</v>
      </c>
      <c r="F734" s="3" t="s">
        <v>2</v>
      </c>
      <c r="G734" s="3">
        <v>2.8466064634181198</v>
      </c>
      <c r="H734" s="3">
        <v>2.7517195813041799</v>
      </c>
      <c r="I734" s="3">
        <v>2.37217205284843</v>
      </c>
    </row>
    <row r="735" spans="1:16" x14ac:dyDescent="0.3">
      <c r="A735" s="3" t="str">
        <f t="shared" si="11"/>
        <v>ELC</v>
      </c>
      <c r="C735" s="3" t="s">
        <v>850</v>
      </c>
      <c r="D735" s="3" t="s">
        <v>789</v>
      </c>
      <c r="E735" s="3" t="s">
        <v>954</v>
      </c>
      <c r="F735" s="3" t="s">
        <v>3</v>
      </c>
      <c r="G735" s="3">
        <v>1.92807424349228</v>
      </c>
      <c r="H735" s="3">
        <v>0.52013935481899498</v>
      </c>
      <c r="I735" s="3">
        <v>1.6067285362435699</v>
      </c>
    </row>
    <row r="736" spans="1:16" x14ac:dyDescent="0.3">
      <c r="A736" s="3" t="str">
        <f t="shared" si="11"/>
        <v>ELC</v>
      </c>
      <c r="C736" s="3" t="s">
        <v>850</v>
      </c>
      <c r="D736" s="3" t="s">
        <v>789</v>
      </c>
      <c r="E736" s="3" t="s">
        <v>954</v>
      </c>
      <c r="F736" s="3" t="s">
        <v>4</v>
      </c>
      <c r="G736" s="3">
        <v>1.36426555720797</v>
      </c>
      <c r="H736" s="3">
        <v>1.3187900386343701</v>
      </c>
      <c r="I736" s="3">
        <v>1.1368879643399701</v>
      </c>
    </row>
    <row r="737" spans="1:16" x14ac:dyDescent="0.3">
      <c r="A737" s="3" t="str">
        <f t="shared" si="11"/>
        <v>ELC</v>
      </c>
      <c r="C737" s="3" t="s">
        <v>850</v>
      </c>
      <c r="D737" s="3" t="s">
        <v>789</v>
      </c>
      <c r="E737" s="3" t="s">
        <v>954</v>
      </c>
      <c r="F737" s="3" t="s">
        <v>5</v>
      </c>
      <c r="G737" s="3">
        <v>1.1891561524693</v>
      </c>
      <c r="H737" s="3">
        <v>1.14951761405366</v>
      </c>
      <c r="I737" s="3">
        <v>0.99096346039108296</v>
      </c>
    </row>
    <row r="738" spans="1:16" x14ac:dyDescent="0.3">
      <c r="A738" s="3" t="str">
        <f t="shared" si="11"/>
        <v>ELC</v>
      </c>
      <c r="C738" s="3" t="s">
        <v>850</v>
      </c>
      <c r="D738" s="3" t="s">
        <v>789</v>
      </c>
      <c r="E738" s="3" t="s">
        <v>954</v>
      </c>
      <c r="F738" s="3" t="s">
        <v>6</v>
      </c>
      <c r="G738" s="3">
        <v>4.1311312799972901</v>
      </c>
      <c r="H738" s="3">
        <v>3.99342690399738</v>
      </c>
      <c r="I738" s="3">
        <v>3.4426093999977398</v>
      </c>
    </row>
    <row r="739" spans="1:16" x14ac:dyDescent="0.3">
      <c r="A739" s="3" t="str">
        <f t="shared" si="11"/>
        <v>ELC</v>
      </c>
      <c r="C739" s="3" t="s">
        <v>850</v>
      </c>
      <c r="D739" s="3" t="s">
        <v>789</v>
      </c>
      <c r="E739" s="3" t="s">
        <v>954</v>
      </c>
      <c r="F739" s="3" t="s">
        <v>7</v>
      </c>
      <c r="G739" s="3">
        <v>0.167689772439197</v>
      </c>
      <c r="I739" s="3">
        <v>0.13974147703266401</v>
      </c>
    </row>
    <row r="740" spans="1:16" x14ac:dyDescent="0.3">
      <c r="A740" s="3" t="str">
        <f t="shared" si="11"/>
        <v>NGA</v>
      </c>
      <c r="C740" s="3" t="s">
        <v>850</v>
      </c>
      <c r="D740" s="3" t="s">
        <v>789</v>
      </c>
      <c r="E740" s="3" t="s">
        <v>955</v>
      </c>
      <c r="F740" s="3" t="s">
        <v>0</v>
      </c>
      <c r="G740" s="3">
        <v>1.8546824627265599</v>
      </c>
      <c r="I740" s="3">
        <v>0.16016554567596</v>
      </c>
    </row>
    <row r="741" spans="1:16" x14ac:dyDescent="0.3">
      <c r="A741" s="3" t="str">
        <f t="shared" si="11"/>
        <v>NGA</v>
      </c>
      <c r="C741" s="3" t="s">
        <v>850</v>
      </c>
      <c r="D741" s="3" t="s">
        <v>789</v>
      </c>
      <c r="E741" s="3" t="s">
        <v>955</v>
      </c>
      <c r="F741" s="3" t="s">
        <v>1</v>
      </c>
      <c r="G741" s="3">
        <v>5.1053168284701602</v>
      </c>
      <c r="I741" s="3">
        <v>0.73107543533035002</v>
      </c>
    </row>
    <row r="742" spans="1:16" x14ac:dyDescent="0.3">
      <c r="A742" s="3" t="str">
        <f t="shared" si="11"/>
        <v>NGA</v>
      </c>
      <c r="C742" s="3" t="s">
        <v>850</v>
      </c>
      <c r="D742" s="3" t="s">
        <v>789</v>
      </c>
      <c r="E742" s="3" t="s">
        <v>955</v>
      </c>
      <c r="F742" s="3" t="s">
        <v>2</v>
      </c>
      <c r="G742" s="3">
        <v>47.2838184168494</v>
      </c>
      <c r="H742" s="3">
        <v>34.593154314078603</v>
      </c>
      <c r="I742" s="3">
        <v>39.592828837732903</v>
      </c>
    </row>
    <row r="743" spans="1:16" x14ac:dyDescent="0.3">
      <c r="A743" s="3" t="str">
        <f t="shared" si="11"/>
        <v>NGA</v>
      </c>
      <c r="C743" s="3" t="s">
        <v>850</v>
      </c>
      <c r="D743" s="3" t="s">
        <v>789</v>
      </c>
      <c r="E743" s="3" t="s">
        <v>955</v>
      </c>
      <c r="F743" s="3" t="s">
        <v>3</v>
      </c>
      <c r="G743" s="3">
        <v>23.392773203279098</v>
      </c>
      <c r="H743" s="3">
        <v>27.309774821834399</v>
      </c>
      <c r="I743" s="3">
        <v>26.817164399102399</v>
      </c>
    </row>
    <row r="744" spans="1:16" x14ac:dyDescent="0.3">
      <c r="A744" s="3" t="str">
        <f t="shared" si="11"/>
        <v>NGA</v>
      </c>
      <c r="C744" s="3" t="s">
        <v>850</v>
      </c>
      <c r="D744" s="3" t="s">
        <v>789</v>
      </c>
      <c r="E744" s="3" t="s">
        <v>955</v>
      </c>
      <c r="F744" s="3" t="s">
        <v>4</v>
      </c>
      <c r="G744" s="3">
        <v>45.524888706269799</v>
      </c>
      <c r="H744" s="3">
        <v>44.077556976625601</v>
      </c>
      <c r="I744" s="3">
        <v>37.997893945366897</v>
      </c>
    </row>
    <row r="745" spans="1:16" x14ac:dyDescent="0.3">
      <c r="A745" s="3" t="str">
        <f t="shared" si="11"/>
        <v>NGA</v>
      </c>
      <c r="C745" s="3" t="s">
        <v>850</v>
      </c>
      <c r="D745" s="3" t="s">
        <v>789</v>
      </c>
      <c r="E745" s="3" t="s">
        <v>955</v>
      </c>
      <c r="F745" s="3" t="s">
        <v>5</v>
      </c>
      <c r="G745" s="3">
        <v>39.671363248100299</v>
      </c>
      <c r="H745" s="3">
        <v>38.420011256342399</v>
      </c>
      <c r="I745" s="3">
        <v>33.1206993589158</v>
      </c>
    </row>
    <row r="746" spans="1:16" x14ac:dyDescent="0.3">
      <c r="A746" s="3" t="str">
        <f t="shared" si="11"/>
        <v>NGA</v>
      </c>
      <c r="C746" s="3" t="s">
        <v>850</v>
      </c>
      <c r="D746" s="3" t="s">
        <v>789</v>
      </c>
      <c r="E746" s="3" t="s">
        <v>955</v>
      </c>
      <c r="F746" s="3" t="s">
        <v>6</v>
      </c>
      <c r="G746" s="3">
        <v>130.48217386646101</v>
      </c>
      <c r="H746" s="3">
        <v>133.47120977286599</v>
      </c>
      <c r="I746" s="3">
        <v>115.061387735229</v>
      </c>
    </row>
    <row r="747" spans="1:16" x14ac:dyDescent="0.3">
      <c r="A747" s="3" t="str">
        <f t="shared" si="11"/>
        <v>NGA</v>
      </c>
      <c r="C747" s="3" t="s">
        <v>850</v>
      </c>
      <c r="D747" s="3" t="s">
        <v>789</v>
      </c>
      <c r="E747" s="3" t="s">
        <v>955</v>
      </c>
      <c r="F747" s="3" t="s">
        <v>7</v>
      </c>
      <c r="G747" s="3">
        <v>1.2413850777575199</v>
      </c>
      <c r="H747" s="3">
        <v>1.5413219072105699</v>
      </c>
      <c r="I747" s="3">
        <v>1.42589724540812</v>
      </c>
    </row>
    <row r="748" spans="1:16" x14ac:dyDescent="0.3">
      <c r="A748" s="3" t="str">
        <f t="shared" si="11"/>
        <v>NGA</v>
      </c>
      <c r="C748" s="3" t="s">
        <v>850</v>
      </c>
      <c r="D748" s="3" t="s">
        <v>789</v>
      </c>
      <c r="E748" s="3" t="s">
        <v>955</v>
      </c>
      <c r="F748" s="3" t="s">
        <v>8</v>
      </c>
      <c r="G748" s="3">
        <v>0.94245771766997699</v>
      </c>
      <c r="H748" s="3">
        <v>1.0136019244138199</v>
      </c>
      <c r="I748" s="3">
        <v>0.89410251832410803</v>
      </c>
    </row>
    <row r="749" spans="1:16" x14ac:dyDescent="0.3">
      <c r="A749" s="3" t="str">
        <f t="shared" si="11"/>
        <v>STM</v>
      </c>
      <c r="C749" s="3" t="s">
        <v>850</v>
      </c>
      <c r="D749" s="3" t="s">
        <v>773</v>
      </c>
      <c r="E749" s="3" t="s">
        <v>1210</v>
      </c>
      <c r="F749" s="3" t="s">
        <v>0</v>
      </c>
      <c r="H749" s="3">
        <v>2.3427753969434102E-2</v>
      </c>
      <c r="I749" s="3">
        <v>2.53003723976758E-2</v>
      </c>
      <c r="J749" s="3">
        <v>3.5650852498998097E-2</v>
      </c>
      <c r="K749" s="3">
        <v>4.1565487168850203E-2</v>
      </c>
      <c r="L749" s="3">
        <v>4.5294721978407601E-2</v>
      </c>
      <c r="M749" s="3">
        <v>4.7345663311389702E-2</v>
      </c>
      <c r="N749" s="3">
        <v>4.9452139298420301E-2</v>
      </c>
      <c r="O749" s="3">
        <v>5.0317155114617103E-2</v>
      </c>
      <c r="P749" s="3">
        <v>5.1170891027244397E-2</v>
      </c>
    </row>
    <row r="750" spans="1:16" x14ac:dyDescent="0.3">
      <c r="A750" s="3" t="str">
        <f t="shared" si="11"/>
        <v>STM</v>
      </c>
      <c r="C750" s="3" t="s">
        <v>850</v>
      </c>
      <c r="D750" s="3" t="s">
        <v>773</v>
      </c>
      <c r="E750" s="3" t="s">
        <v>1210</v>
      </c>
      <c r="F750" s="3" t="s">
        <v>1</v>
      </c>
      <c r="G750" s="3">
        <v>27.450828666254299</v>
      </c>
      <c r="H750" s="3">
        <v>29.547860017822401</v>
      </c>
      <c r="I750" s="3">
        <v>28.688639843987399</v>
      </c>
      <c r="J750" s="3">
        <v>44.553815026190598</v>
      </c>
      <c r="K750" s="3">
        <v>51.899210514250598</v>
      </c>
      <c r="L750" s="3">
        <v>56.508593222199003</v>
      </c>
      <c r="M750" s="3">
        <v>59.027826331419597</v>
      </c>
      <c r="N750" s="3">
        <v>61.596613616196798</v>
      </c>
      <c r="O750" s="3">
        <v>62.6218072820133</v>
      </c>
      <c r="P750" s="3">
        <v>62.6218072820133</v>
      </c>
    </row>
    <row r="751" spans="1:16" x14ac:dyDescent="0.3">
      <c r="A751" s="3" t="str">
        <f t="shared" si="11"/>
        <v>STM</v>
      </c>
      <c r="C751" s="3" t="s">
        <v>850</v>
      </c>
      <c r="D751" s="3" t="s">
        <v>773</v>
      </c>
      <c r="E751" s="3" t="s">
        <v>1210</v>
      </c>
      <c r="F751" s="3" t="s">
        <v>2</v>
      </c>
      <c r="G751" s="3">
        <v>34.721378489322802</v>
      </c>
      <c r="H751" s="3">
        <v>42.993210301043803</v>
      </c>
      <c r="I751" s="3">
        <v>39.217244812806797</v>
      </c>
      <c r="J751" s="3">
        <v>65.650012834455396</v>
      </c>
      <c r="K751" s="3">
        <v>76.541641358564604</v>
      </c>
      <c r="L751" s="3">
        <v>80.625538470286898</v>
      </c>
      <c r="M751" s="3">
        <v>87.185668397014894</v>
      </c>
      <c r="N751" s="3">
        <v>91.064682947590299</v>
      </c>
      <c r="O751" s="3">
        <v>92.657584532115095</v>
      </c>
      <c r="P751" s="3">
        <v>94.229714500754795</v>
      </c>
    </row>
    <row r="752" spans="1:16" x14ac:dyDescent="0.3">
      <c r="A752" s="3" t="str">
        <f t="shared" si="11"/>
        <v>STM</v>
      </c>
      <c r="C752" s="3" t="s">
        <v>850</v>
      </c>
      <c r="D752" s="3" t="s">
        <v>773</v>
      </c>
      <c r="E752" s="3" t="s">
        <v>1210</v>
      </c>
      <c r="F752" s="3" t="s">
        <v>3</v>
      </c>
      <c r="G752" s="3">
        <v>1.4488497626871899</v>
      </c>
      <c r="H752" s="3">
        <v>6.4612700489828399</v>
      </c>
      <c r="I752" s="3">
        <v>5.4631167663687199</v>
      </c>
      <c r="J752" s="3">
        <v>13.151265027373</v>
      </c>
      <c r="K752" s="3">
        <v>15.333118268764499</v>
      </c>
      <c r="L752" s="3">
        <v>15.6063152190974</v>
      </c>
      <c r="M752" s="3">
        <v>17.465371020857202</v>
      </c>
      <c r="N752" s="3">
        <v>18.242430250507201</v>
      </c>
      <c r="O752" s="3">
        <v>18.561526469931199</v>
      </c>
      <c r="P752" s="3">
        <v>18.876461638751199</v>
      </c>
    </row>
    <row r="753" spans="1:16" x14ac:dyDescent="0.3">
      <c r="A753" s="3" t="str">
        <f t="shared" si="11"/>
        <v>STM</v>
      </c>
      <c r="C753" s="3" t="s">
        <v>850</v>
      </c>
      <c r="D753" s="3" t="s">
        <v>773</v>
      </c>
      <c r="E753" s="3" t="s">
        <v>1210</v>
      </c>
      <c r="F753" s="3" t="s">
        <v>4</v>
      </c>
      <c r="G753" s="3">
        <v>9.6007795455293206</v>
      </c>
      <c r="H753" s="3">
        <v>13.0677562197566</v>
      </c>
      <c r="I753" s="3">
        <v>10.6391360046957</v>
      </c>
      <c r="J753" s="3">
        <v>20.347084087484198</v>
      </c>
      <c r="K753" s="3">
        <v>23.7227556503904</v>
      </c>
      <c r="L753" s="3">
        <v>25.851149473628499</v>
      </c>
      <c r="M753" s="3">
        <v>27.021687422527599</v>
      </c>
      <c r="N753" s="3">
        <v>28.223920778310202</v>
      </c>
      <c r="O753" s="3">
        <v>28.717613027314702</v>
      </c>
      <c r="P753" s="3">
        <v>29.204867473844999</v>
      </c>
    </row>
    <row r="754" spans="1:16" x14ac:dyDescent="0.3">
      <c r="A754" s="3" t="str">
        <f t="shared" si="11"/>
        <v>STM</v>
      </c>
      <c r="C754" s="3" t="s">
        <v>850</v>
      </c>
      <c r="D754" s="3" t="s">
        <v>773</v>
      </c>
      <c r="E754" s="3" t="s">
        <v>1210</v>
      </c>
      <c r="F754" s="3" t="s">
        <v>5</v>
      </c>
      <c r="H754" s="3">
        <v>3.8513420497672999</v>
      </c>
      <c r="I754" s="3">
        <v>0.860051692144157</v>
      </c>
      <c r="J754" s="3">
        <v>6.2503758537962399</v>
      </c>
      <c r="K754" s="3">
        <v>7.2873409509284404</v>
      </c>
      <c r="L754" s="3">
        <v>7.4914946790314403</v>
      </c>
      <c r="M754" s="3">
        <v>8.3007325211029208</v>
      </c>
      <c r="N754" s="3">
        <v>8.6700439322762701</v>
      </c>
      <c r="O754" s="3">
        <v>8.8217001646443194</v>
      </c>
      <c r="P754" s="3">
        <v>8.9713787826788796</v>
      </c>
    </row>
    <row r="755" spans="1:16" x14ac:dyDescent="0.3">
      <c r="A755" s="3" t="str">
        <f t="shared" si="11"/>
        <v>STM</v>
      </c>
      <c r="C755" s="3" t="s">
        <v>850</v>
      </c>
      <c r="D755" s="3" t="s">
        <v>773</v>
      </c>
      <c r="E755" s="3" t="s">
        <v>1210</v>
      </c>
      <c r="F755" s="3" t="s">
        <v>6</v>
      </c>
      <c r="G755" s="3">
        <v>43.861460027855202</v>
      </c>
      <c r="H755" s="3">
        <v>48.112607987451803</v>
      </c>
      <c r="I755" s="3">
        <v>61.574969037244401</v>
      </c>
      <c r="J755" s="3">
        <v>213.39267051245099</v>
      </c>
      <c r="K755" s="3">
        <v>248.79546171753401</v>
      </c>
      <c r="L755" s="3">
        <v>271.11726664497098</v>
      </c>
      <c r="M755" s="3">
        <v>283.39343446232402</v>
      </c>
      <c r="N755" s="3">
        <v>296.00201195020998</v>
      </c>
      <c r="O755" s="3">
        <v>301.17967313121301</v>
      </c>
      <c r="P755" s="3">
        <v>302.40735748791002</v>
      </c>
    </row>
    <row r="756" spans="1:16" x14ac:dyDescent="0.3">
      <c r="A756" s="3" t="str">
        <f t="shared" si="11"/>
        <v>STM</v>
      </c>
      <c r="C756" s="3" t="s">
        <v>850</v>
      </c>
      <c r="D756" s="3" t="s">
        <v>773</v>
      </c>
      <c r="E756" s="3" t="s">
        <v>1210</v>
      </c>
      <c r="F756" s="3" t="s">
        <v>7</v>
      </c>
      <c r="H756" s="3">
        <v>0.28601842451577703</v>
      </c>
      <c r="I756" s="3">
        <v>0.31333387647891198</v>
      </c>
      <c r="J756" s="3">
        <v>0.54135116140430695</v>
      </c>
      <c r="K756" s="3">
        <v>0.63116372192853698</v>
      </c>
      <c r="L756" s="3">
        <v>0.68779141674621302</v>
      </c>
      <c r="M756" s="3">
        <v>0.71893455624373404</v>
      </c>
      <c r="N756" s="3">
        <v>0.75092097850619</v>
      </c>
      <c r="O756" s="3">
        <v>0.76405607301042899</v>
      </c>
      <c r="P756" s="3">
        <v>0.77701988440446401</v>
      </c>
    </row>
    <row r="757" spans="1:16" x14ac:dyDescent="0.3">
      <c r="A757" s="3" t="str">
        <f t="shared" si="11"/>
        <v>STM</v>
      </c>
      <c r="C757" s="3" t="s">
        <v>850</v>
      </c>
      <c r="D757" s="3" t="s">
        <v>773</v>
      </c>
      <c r="E757" s="3" t="s">
        <v>1210</v>
      </c>
      <c r="F757" s="3" t="s">
        <v>8</v>
      </c>
      <c r="H757" s="3">
        <v>0.17367405254962801</v>
      </c>
      <c r="I757" s="3">
        <v>0.222434428405379</v>
      </c>
      <c r="J757" s="3">
        <v>0.31343321248929801</v>
      </c>
      <c r="K757" s="3">
        <v>0.36543317364939598</v>
      </c>
      <c r="L757" s="3">
        <v>0.398219656006848</v>
      </c>
      <c r="M757" s="3">
        <v>0.41625100969303902</v>
      </c>
      <c r="N757" s="3">
        <v>0.43477060990919397</v>
      </c>
      <c r="O757" s="3">
        <v>0.44237560858719799</v>
      </c>
      <c r="P757" s="3">
        <v>0.44988143722677398</v>
      </c>
    </row>
    <row r="758" spans="1:16" x14ac:dyDescent="0.3">
      <c r="A758" s="3" t="str">
        <f t="shared" si="11"/>
        <v>RFL</v>
      </c>
      <c r="C758" s="3" t="s">
        <v>850</v>
      </c>
      <c r="D758" s="3" t="s">
        <v>773</v>
      </c>
      <c r="E758" s="3" t="s">
        <v>956</v>
      </c>
      <c r="F758" s="3" t="s">
        <v>5</v>
      </c>
      <c r="G758" s="3">
        <v>0.30609920653454198</v>
      </c>
      <c r="I758" s="3">
        <v>0.31323427776792601</v>
      </c>
    </row>
    <row r="759" spans="1:16" x14ac:dyDescent="0.3">
      <c r="A759" s="3" t="str">
        <f t="shared" si="11"/>
        <v>RFL</v>
      </c>
      <c r="C759" s="3" t="s">
        <v>850</v>
      </c>
      <c r="D759" s="3" t="s">
        <v>773</v>
      </c>
      <c r="E759" s="3" t="s">
        <v>956</v>
      </c>
      <c r="F759" s="3" t="s">
        <v>6</v>
      </c>
      <c r="I759" s="3">
        <v>3.5422307885953299</v>
      </c>
    </row>
    <row r="760" spans="1:16" x14ac:dyDescent="0.3">
      <c r="A760" s="3" t="str">
        <f t="shared" si="11"/>
        <v>ELC</v>
      </c>
      <c r="C760" s="3" t="s">
        <v>850</v>
      </c>
      <c r="D760" s="3" t="s">
        <v>773</v>
      </c>
      <c r="E760" s="3" t="s">
        <v>957</v>
      </c>
      <c r="F760" s="3" t="s">
        <v>0</v>
      </c>
      <c r="G760" s="3">
        <v>2.2959599362373601E-2</v>
      </c>
    </row>
    <row r="761" spans="1:16" x14ac:dyDescent="0.3">
      <c r="A761" s="3" t="str">
        <f t="shared" si="11"/>
        <v>ELC</v>
      </c>
      <c r="C761" s="3" t="s">
        <v>850</v>
      </c>
      <c r="D761" s="3" t="s">
        <v>773</v>
      </c>
      <c r="E761" s="3" t="s">
        <v>957</v>
      </c>
      <c r="F761" s="3" t="s">
        <v>1</v>
      </c>
      <c r="G761" s="3">
        <v>6.3200052491648603E-2</v>
      </c>
      <c r="H761" s="3">
        <v>0.60190960584209963</v>
      </c>
      <c r="I761" s="3">
        <v>1.3261695055916867</v>
      </c>
      <c r="J761" s="3">
        <v>1.3261695055916867</v>
      </c>
      <c r="K761" s="3">
        <v>1.5924670947612576</v>
      </c>
      <c r="L761" s="3">
        <v>1.7823310635281155</v>
      </c>
      <c r="M761" s="3">
        <v>1.9025062723961985</v>
      </c>
      <c r="N761" s="3">
        <v>2.0445962577839736</v>
      </c>
      <c r="O761" s="3">
        <v>2.1326133424808345</v>
      </c>
      <c r="P761" s="3">
        <v>2.2165908027346157</v>
      </c>
    </row>
    <row r="762" spans="1:16" x14ac:dyDescent="0.3">
      <c r="A762" s="3" t="str">
        <f t="shared" si="11"/>
        <v>ELC</v>
      </c>
      <c r="C762" s="3" t="s">
        <v>850</v>
      </c>
      <c r="D762" s="3" t="s">
        <v>773</v>
      </c>
      <c r="E762" s="3" t="s">
        <v>957</v>
      </c>
      <c r="F762" s="3" t="s">
        <v>2</v>
      </c>
      <c r="G762" s="3">
        <v>0.71914268549510396</v>
      </c>
      <c r="I762" s="3">
        <v>0.71914268549510396</v>
      </c>
    </row>
    <row r="763" spans="1:16" x14ac:dyDescent="0.3">
      <c r="A763" s="3" t="str">
        <f t="shared" si="11"/>
        <v>ELC</v>
      </c>
      <c r="C763" s="3" t="s">
        <v>850</v>
      </c>
      <c r="D763" s="3" t="s">
        <v>773</v>
      </c>
      <c r="E763" s="3" t="s">
        <v>957</v>
      </c>
      <c r="F763" s="3" t="s">
        <v>3</v>
      </c>
      <c r="G763" s="3">
        <v>0.48709244046120698</v>
      </c>
      <c r="H763" s="3">
        <v>0.48709244046120698</v>
      </c>
      <c r="I763" s="3">
        <v>0.48709244046120698</v>
      </c>
    </row>
    <row r="764" spans="1:16" x14ac:dyDescent="0.3">
      <c r="A764" s="3" t="str">
        <f t="shared" si="11"/>
        <v>ELC</v>
      </c>
      <c r="C764" s="3" t="s">
        <v>850</v>
      </c>
      <c r="D764" s="3" t="s">
        <v>773</v>
      </c>
      <c r="E764" s="3" t="s">
        <v>957</v>
      </c>
      <c r="F764" s="3" t="s">
        <v>4</v>
      </c>
      <c r="G764" s="3">
        <v>0.287213801517467</v>
      </c>
      <c r="H764" s="3">
        <v>0.287213801517467</v>
      </c>
      <c r="I764" s="3">
        <v>0.287213801517467</v>
      </c>
    </row>
    <row r="765" spans="1:16" x14ac:dyDescent="0.3">
      <c r="A765" s="3" t="str">
        <f t="shared" si="11"/>
        <v>ELC</v>
      </c>
      <c r="C765" s="3" t="s">
        <v>850</v>
      </c>
      <c r="D765" s="3" t="s">
        <v>773</v>
      </c>
      <c r="E765" s="3" t="s">
        <v>957</v>
      </c>
      <c r="F765" s="3" t="s">
        <v>5</v>
      </c>
      <c r="G765" s="3">
        <v>0.250348663677747</v>
      </c>
      <c r="H765" s="3">
        <v>0.250348663677747</v>
      </c>
      <c r="I765" s="3">
        <v>0.250348663677747</v>
      </c>
    </row>
    <row r="766" spans="1:16" x14ac:dyDescent="0.3">
      <c r="A766" s="3" t="str">
        <f t="shared" si="11"/>
        <v>ELC</v>
      </c>
      <c r="C766" s="3" t="s">
        <v>850</v>
      </c>
      <c r="D766" s="3" t="s">
        <v>773</v>
      </c>
      <c r="E766" s="3" t="s">
        <v>957</v>
      </c>
      <c r="F766" s="3" t="s">
        <v>6</v>
      </c>
      <c r="G766" s="3">
        <v>0.86971184842048199</v>
      </c>
      <c r="H766" s="3">
        <v>0.86971184842048199</v>
      </c>
      <c r="I766" s="3">
        <v>0.86971184842048199</v>
      </c>
    </row>
    <row r="767" spans="1:16" x14ac:dyDescent="0.3">
      <c r="A767" s="3" t="str">
        <f t="shared" si="11"/>
        <v>ELC</v>
      </c>
      <c r="C767" s="3" t="s">
        <v>850</v>
      </c>
      <c r="D767" s="3" t="s">
        <v>773</v>
      </c>
      <c r="E767" s="3" t="s">
        <v>957</v>
      </c>
      <c r="F767" s="3" t="s">
        <v>7</v>
      </c>
      <c r="G767" s="3">
        <v>0.10590932996159801</v>
      </c>
      <c r="I767" s="3">
        <v>7.0847286701637605E-2</v>
      </c>
    </row>
    <row r="768" spans="1:16" x14ac:dyDescent="0.3">
      <c r="A768" s="3" t="str">
        <f t="shared" si="11"/>
        <v>ELC</v>
      </c>
      <c r="C768" s="3" t="s">
        <v>850</v>
      </c>
      <c r="D768" s="3" t="s">
        <v>773</v>
      </c>
      <c r="E768" s="3" t="s">
        <v>957</v>
      </c>
      <c r="F768" s="3" t="s">
        <v>8</v>
      </c>
      <c r="G768" s="3">
        <v>2.21366579154821E-2</v>
      </c>
    </row>
    <row r="769" spans="1:16" x14ac:dyDescent="0.3">
      <c r="A769" s="3" t="str">
        <f t="shared" si="11"/>
        <v>NGA</v>
      </c>
      <c r="C769" s="3" t="s">
        <v>850</v>
      </c>
      <c r="D769" s="3" t="s">
        <v>773</v>
      </c>
      <c r="E769" s="3" t="s">
        <v>958</v>
      </c>
      <c r="F769" s="3" t="s">
        <v>1</v>
      </c>
      <c r="G769" s="3">
        <v>2.0332608904218001</v>
      </c>
      <c r="I769" s="3">
        <v>2.5448803320722702</v>
      </c>
    </row>
    <row r="770" spans="1:16" x14ac:dyDescent="0.3">
      <c r="A770" s="3" t="str">
        <f t="shared" si="11"/>
        <v>NGA</v>
      </c>
      <c r="C770" s="3" t="s">
        <v>850</v>
      </c>
      <c r="D770" s="3" t="s">
        <v>773</v>
      </c>
      <c r="E770" s="3" t="s">
        <v>958</v>
      </c>
      <c r="F770" s="3" t="s">
        <v>2</v>
      </c>
      <c r="G770" s="3">
        <v>3.87013502759739</v>
      </c>
      <c r="I770" s="3">
        <v>3.87013502759739</v>
      </c>
    </row>
    <row r="771" spans="1:16" x14ac:dyDescent="0.3">
      <c r="A771" s="3" t="str">
        <f t="shared" si="11"/>
        <v>NGA</v>
      </c>
      <c r="C771" s="3" t="s">
        <v>850</v>
      </c>
      <c r="D771" s="3" t="s">
        <v>773</v>
      </c>
      <c r="E771" s="3" t="s">
        <v>958</v>
      </c>
      <c r="F771" s="3" t="s">
        <v>3</v>
      </c>
      <c r="G771" s="3">
        <v>2.28037802950637</v>
      </c>
      <c r="I771" s="3">
        <v>2.28037802950637</v>
      </c>
    </row>
    <row r="772" spans="1:16" x14ac:dyDescent="0.3">
      <c r="A772" s="3" t="str">
        <f t="shared" si="11"/>
        <v>NGA</v>
      </c>
      <c r="C772" s="3" t="s">
        <v>850</v>
      </c>
      <c r="D772" s="3" t="s">
        <v>773</v>
      </c>
      <c r="E772" s="3" t="s">
        <v>958</v>
      </c>
      <c r="F772" s="3" t="s">
        <v>4</v>
      </c>
      <c r="G772" s="3">
        <v>3.1957858361941698</v>
      </c>
      <c r="I772" s="3">
        <v>3.51338356719336</v>
      </c>
    </row>
    <row r="773" spans="1:16" x14ac:dyDescent="0.3">
      <c r="A773" s="3" t="str">
        <f t="shared" si="11"/>
        <v>NGA</v>
      </c>
      <c r="C773" s="3" t="s">
        <v>850</v>
      </c>
      <c r="D773" s="3" t="s">
        <v>773</v>
      </c>
      <c r="E773" s="3" t="s">
        <v>958</v>
      </c>
      <c r="F773" s="3" t="s">
        <v>5</v>
      </c>
      <c r="G773" s="3">
        <v>3.0120751921690498</v>
      </c>
      <c r="I773" s="3">
        <v>3.0120751921690498</v>
      </c>
    </row>
    <row r="774" spans="1:16" x14ac:dyDescent="0.3">
      <c r="A774" s="3" t="str">
        <f t="shared" si="11"/>
        <v>NGA</v>
      </c>
      <c r="C774" s="3" t="s">
        <v>850</v>
      </c>
      <c r="D774" s="3" t="s">
        <v>773</v>
      </c>
      <c r="E774" s="3" t="s">
        <v>958</v>
      </c>
      <c r="F774" s="3" t="s">
        <v>6</v>
      </c>
      <c r="G774" s="3">
        <v>85.451655777984598</v>
      </c>
      <c r="H774" s="3">
        <v>85.451655777984598</v>
      </c>
      <c r="I774" s="3">
        <v>85.451655777984598</v>
      </c>
      <c r="P774" s="3">
        <v>3.8824595399473201</v>
      </c>
    </row>
    <row r="775" spans="1:16" x14ac:dyDescent="0.3">
      <c r="A775" s="3" t="str">
        <f t="shared" si="11"/>
        <v>COA</v>
      </c>
      <c r="C775" s="3" t="s">
        <v>850</v>
      </c>
      <c r="D775" s="3" t="s">
        <v>773</v>
      </c>
      <c r="E775" s="3" t="s">
        <v>959</v>
      </c>
      <c r="F775" s="3" t="s">
        <v>2</v>
      </c>
      <c r="G775" s="3">
        <v>2.7833808339319499</v>
      </c>
      <c r="I775" s="3">
        <v>2.7833808339319499</v>
      </c>
      <c r="L775" s="3">
        <v>2.7833808339319499</v>
      </c>
    </row>
    <row r="776" spans="1:16" x14ac:dyDescent="0.3">
      <c r="A776" s="3" t="str">
        <f t="shared" ref="A776:A839" si="12">RIGHT(E776,3)</f>
        <v>COA</v>
      </c>
      <c r="C776" s="3" t="s">
        <v>850</v>
      </c>
      <c r="D776" s="3" t="s">
        <v>773</v>
      </c>
      <c r="E776" s="3" t="s">
        <v>959</v>
      </c>
      <c r="F776" s="3" t="s">
        <v>3</v>
      </c>
      <c r="G776" s="3">
        <v>1.10248278498839</v>
      </c>
      <c r="I776" s="3">
        <v>1.10248278498839</v>
      </c>
      <c r="L776" s="3">
        <v>1.10248278498839</v>
      </c>
    </row>
    <row r="777" spans="1:16" x14ac:dyDescent="0.3">
      <c r="A777" s="3" t="str">
        <f t="shared" si="12"/>
        <v>COA</v>
      </c>
      <c r="C777" s="3" t="s">
        <v>850</v>
      </c>
      <c r="D777" s="3" t="s">
        <v>773</v>
      </c>
      <c r="E777" s="3" t="s">
        <v>959</v>
      </c>
      <c r="F777" s="3" t="s">
        <v>5</v>
      </c>
      <c r="G777" s="3">
        <v>0.44966287298528701</v>
      </c>
      <c r="L777" s="3">
        <v>0.44966287298528701</v>
      </c>
    </row>
    <row r="778" spans="1:16" x14ac:dyDescent="0.3">
      <c r="A778" s="3" t="str">
        <f t="shared" si="12"/>
        <v>COA</v>
      </c>
      <c r="C778" s="3" t="s">
        <v>850</v>
      </c>
      <c r="D778" s="3" t="s">
        <v>773</v>
      </c>
      <c r="E778" s="3" t="s">
        <v>1211</v>
      </c>
      <c r="F778" s="3" t="s">
        <v>1</v>
      </c>
      <c r="P778" s="3">
        <v>1.0147168968215301</v>
      </c>
    </row>
    <row r="779" spans="1:16" x14ac:dyDescent="0.3">
      <c r="A779" s="3" t="str">
        <f t="shared" si="12"/>
        <v>EXT</v>
      </c>
      <c r="C779" s="3" t="s">
        <v>850</v>
      </c>
      <c r="D779" s="3" t="s">
        <v>960</v>
      </c>
      <c r="E779" s="3" t="s">
        <v>961</v>
      </c>
      <c r="F779" s="3" t="s">
        <v>0</v>
      </c>
      <c r="G779" s="3">
        <v>6.4516205644494198</v>
      </c>
      <c r="H779" s="3">
        <v>6.9386402138877097</v>
      </c>
      <c r="I779" s="3">
        <v>8.8867188116408506</v>
      </c>
      <c r="J779" s="3">
        <v>12.5223098132335</v>
      </c>
      <c r="K779" s="3">
        <v>14.5998165929119</v>
      </c>
      <c r="L779" s="3">
        <v>15.909704867053</v>
      </c>
      <c r="M779" s="3">
        <v>16.630095011470697</v>
      </c>
      <c r="N779" s="3">
        <v>17.369991621922797</v>
      </c>
      <c r="O779" s="3">
        <v>17.673827162575495</v>
      </c>
      <c r="P779" s="3">
        <v>17.973700653592395</v>
      </c>
    </row>
    <row r="780" spans="1:16" x14ac:dyDescent="0.3">
      <c r="A780" s="3" t="str">
        <f t="shared" si="12"/>
        <v>EXT</v>
      </c>
      <c r="C780" s="3" t="s">
        <v>850</v>
      </c>
      <c r="D780" s="3" t="s">
        <v>960</v>
      </c>
      <c r="E780" s="3" t="s">
        <v>961</v>
      </c>
      <c r="F780" s="3" t="s">
        <v>1</v>
      </c>
      <c r="G780" s="3">
        <v>15.074995015753601</v>
      </c>
      <c r="H780" s="3">
        <v>16.2129755765312</v>
      </c>
      <c r="I780" s="3">
        <v>20.764897819641398</v>
      </c>
      <c r="J780" s="3">
        <v>29.259897747307697</v>
      </c>
      <c r="K780" s="3">
        <v>34.114244656891898</v>
      </c>
      <c r="L780" s="3">
        <v>37.174957698926995</v>
      </c>
      <c r="M780" s="3">
        <v>38.858236764707193</v>
      </c>
      <c r="N780" s="3">
        <v>40.587095057490195</v>
      </c>
      <c r="O780" s="3">
        <v>41.29704369988049</v>
      </c>
      <c r="P780" s="3">
        <v>41.997734532094995</v>
      </c>
    </row>
    <row r="781" spans="1:16" x14ac:dyDescent="0.3">
      <c r="A781" s="3" t="str">
        <f t="shared" si="12"/>
        <v>EXT</v>
      </c>
      <c r="C781" s="3" t="s">
        <v>850</v>
      </c>
      <c r="D781" s="3" t="s">
        <v>960</v>
      </c>
      <c r="E781" s="3" t="s">
        <v>961</v>
      </c>
      <c r="F781" s="3" t="s">
        <v>2</v>
      </c>
      <c r="G781" s="3">
        <v>116.246770524673</v>
      </c>
      <c r="H781" s="3">
        <v>118.617084584517</v>
      </c>
      <c r="I781" s="3">
        <v>128.09834082389401</v>
      </c>
      <c r="J781" s="3">
        <v>180.50386699045401</v>
      </c>
      <c r="K781" s="3">
        <v>210.450259710631</v>
      </c>
      <c r="L781" s="3">
        <v>229.33175220956801</v>
      </c>
      <c r="M781" s="3">
        <v>239.71587532651802</v>
      </c>
      <c r="N781" s="3">
        <v>250.38117600599702</v>
      </c>
      <c r="O781" s="3">
        <v>254.76083845125805</v>
      </c>
      <c r="P781" s="3">
        <v>259.08338960546104</v>
      </c>
    </row>
    <row r="782" spans="1:16" x14ac:dyDescent="0.3">
      <c r="A782" s="3" t="str">
        <f t="shared" si="12"/>
        <v>EXT</v>
      </c>
      <c r="C782" s="3" t="s">
        <v>850</v>
      </c>
      <c r="D782" s="3" t="s">
        <v>960</v>
      </c>
      <c r="E782" s="3" t="s">
        <v>961</v>
      </c>
      <c r="F782" s="3" t="s">
        <v>3</v>
      </c>
      <c r="G782" s="3">
        <v>69.492713422491505</v>
      </c>
      <c r="H782" s="3">
        <v>70.909695201328006</v>
      </c>
      <c r="I782" s="3">
        <v>76.577622316674393</v>
      </c>
      <c r="J782" s="3">
        <v>107.90582348054799</v>
      </c>
      <c r="K782" s="3">
        <v>125.807878547953</v>
      </c>
      <c r="L782" s="3">
        <v>137.09529876010399</v>
      </c>
      <c r="M782" s="3">
        <v>143.30296275500999</v>
      </c>
      <c r="N782" s="3">
        <v>149.67871564980899</v>
      </c>
      <c r="O782" s="3">
        <v>152.29689270386501</v>
      </c>
      <c r="P782" s="3">
        <v>154.88092843455499</v>
      </c>
    </row>
    <row r="783" spans="1:16" x14ac:dyDescent="0.3">
      <c r="A783" s="3" t="str">
        <f t="shared" si="12"/>
        <v>EXT</v>
      </c>
      <c r="C783" s="3" t="s">
        <v>850</v>
      </c>
      <c r="D783" s="3" t="s">
        <v>960</v>
      </c>
      <c r="E783" s="3" t="s">
        <v>961</v>
      </c>
      <c r="F783" s="3" t="s">
        <v>4</v>
      </c>
      <c r="G783" s="3">
        <v>249.51357634785199</v>
      </c>
      <c r="H783" s="3">
        <v>254.60694799161499</v>
      </c>
      <c r="I783" s="3">
        <v>274.98043456667</v>
      </c>
      <c r="J783" s="3">
        <v>387.47599279397502</v>
      </c>
      <c r="K783" s="3">
        <v>451.75997985372402</v>
      </c>
      <c r="L783" s="3">
        <v>492.29166027386901</v>
      </c>
      <c r="M783" s="3">
        <v>514.58258667406596</v>
      </c>
      <c r="N783" s="3">
        <v>537.477098786905</v>
      </c>
      <c r="O783" s="3">
        <v>546.878637282309</v>
      </c>
      <c r="P783" s="3">
        <v>556.15757865793103</v>
      </c>
    </row>
    <row r="784" spans="1:16" x14ac:dyDescent="0.3">
      <c r="A784" s="3" t="str">
        <f t="shared" si="12"/>
        <v>EXT</v>
      </c>
      <c r="C784" s="3" t="s">
        <v>850</v>
      </c>
      <c r="D784" s="3" t="s">
        <v>960</v>
      </c>
      <c r="E784" s="3" t="s">
        <v>961</v>
      </c>
      <c r="F784" s="3" t="s">
        <v>5</v>
      </c>
      <c r="G784" s="3">
        <v>179.60705342220299</v>
      </c>
      <c r="H784" s="3">
        <v>193.171105637648</v>
      </c>
      <c r="I784" s="3">
        <v>247.42731449942698</v>
      </c>
      <c r="J784" s="3">
        <v>348.65078484981399</v>
      </c>
      <c r="K784" s="3">
        <v>406.49349758162896</v>
      </c>
      <c r="L784" s="3">
        <v>442.96389175461496</v>
      </c>
      <c r="M784" s="3">
        <v>463.02126080196689</v>
      </c>
      <c r="N784" s="3">
        <v>483.62173609680491</v>
      </c>
      <c r="O784" s="3">
        <v>492.08123768187789</v>
      </c>
      <c r="P784" s="3">
        <v>500.43042641447192</v>
      </c>
    </row>
    <row r="785" spans="1:16" x14ac:dyDescent="0.3">
      <c r="A785" s="3" t="str">
        <f t="shared" si="12"/>
        <v>EXT</v>
      </c>
      <c r="C785" s="3" t="s">
        <v>850</v>
      </c>
      <c r="D785" s="3" t="s">
        <v>960</v>
      </c>
      <c r="E785" s="3" t="s">
        <v>961</v>
      </c>
      <c r="F785" s="3" t="s">
        <v>6</v>
      </c>
      <c r="G785" s="3">
        <v>753.48383041050295</v>
      </c>
      <c r="H785" s="3">
        <v>768.85332339927095</v>
      </c>
      <c r="I785" s="3">
        <v>830.33129535434296</v>
      </c>
      <c r="J785" s="3">
        <v>1170.0230364474401</v>
      </c>
      <c r="K785" s="3">
        <v>1364.1350514712601</v>
      </c>
      <c r="L785" s="3">
        <v>1486.5245689625101</v>
      </c>
      <c r="M785" s="3">
        <v>1553.83428073051</v>
      </c>
      <c r="N785" s="3">
        <v>1622.9665807398501</v>
      </c>
      <c r="O785" s="3">
        <v>1651.3554792064399</v>
      </c>
      <c r="P785" s="3">
        <v>1679.37418324289</v>
      </c>
    </row>
    <row r="786" spans="1:16" x14ac:dyDescent="0.3">
      <c r="A786" s="3" t="str">
        <f t="shared" si="12"/>
        <v>EXT</v>
      </c>
      <c r="C786" s="3" t="s">
        <v>850</v>
      </c>
      <c r="D786" s="3" t="s">
        <v>960</v>
      </c>
      <c r="E786" s="3" t="s">
        <v>961</v>
      </c>
      <c r="F786" s="3" t="s">
        <v>7</v>
      </c>
      <c r="G786" s="3">
        <v>0.91116270172091895</v>
      </c>
      <c r="H786" s="3">
        <v>0.92974164161702899</v>
      </c>
      <c r="I786" s="3">
        <v>1.00405740120147</v>
      </c>
      <c r="J786" s="3">
        <v>1.41482116342482</v>
      </c>
      <c r="K786" s="3">
        <v>1.6495462742778599</v>
      </c>
      <c r="L786" s="3">
        <v>1.7975427445471399</v>
      </c>
      <c r="M786" s="3">
        <v>1.8789353340491</v>
      </c>
      <c r="N786" s="3">
        <v>1.9625318429062399</v>
      </c>
      <c r="O786" s="3">
        <v>1.9968604100418099</v>
      </c>
      <c r="P786" s="3">
        <v>2.0307413287995</v>
      </c>
    </row>
    <row r="787" spans="1:16" x14ac:dyDescent="0.3">
      <c r="A787" s="3" t="str">
        <f t="shared" si="12"/>
        <v>EXT</v>
      </c>
      <c r="C787" s="3" t="s">
        <v>850</v>
      </c>
      <c r="D787" s="3" t="s">
        <v>960</v>
      </c>
      <c r="E787" s="3" t="s">
        <v>961</v>
      </c>
      <c r="F787" s="3" t="s">
        <v>8</v>
      </c>
      <c r="G787" s="3">
        <v>0.88598721170823502</v>
      </c>
      <c r="H787" s="3">
        <v>0.90405281417852901</v>
      </c>
      <c r="I787" s="3">
        <v>0.97631522405970494</v>
      </c>
      <c r="J787" s="3">
        <v>1.3757295544264898</v>
      </c>
      <c r="K787" s="3">
        <v>1.6039691938342597</v>
      </c>
      <c r="L787" s="3">
        <v>1.7478765111431098</v>
      </c>
      <c r="M787" s="3">
        <v>1.8270202176297197</v>
      </c>
      <c r="N787" s="3">
        <v>1.9083069490235696</v>
      </c>
      <c r="O787" s="3">
        <v>1.9416870154166999</v>
      </c>
      <c r="P787" s="3">
        <v>1.9746318019883398</v>
      </c>
    </row>
    <row r="788" spans="1:16" x14ac:dyDescent="0.3">
      <c r="A788" s="3" t="str">
        <f t="shared" si="12"/>
        <v>ELC</v>
      </c>
      <c r="C788" s="3" t="s">
        <v>850</v>
      </c>
      <c r="D788" s="3" t="s">
        <v>962</v>
      </c>
      <c r="E788" s="3" t="s">
        <v>963</v>
      </c>
      <c r="F788" s="3" t="s">
        <v>0</v>
      </c>
      <c r="G788" s="3">
        <v>0.112138043227203</v>
      </c>
      <c r="H788" s="3">
        <v>9.6482491922163696E-2</v>
      </c>
      <c r="I788" s="3">
        <v>0.12357072128377</v>
      </c>
      <c r="J788" s="3">
        <v>0.17412398080303759</v>
      </c>
      <c r="K788" s="3">
        <v>0.20301192208688368</v>
      </c>
      <c r="L788" s="3">
        <v>0.22122605063844153</v>
      </c>
      <c r="M788" s="3">
        <v>0.23124314824648151</v>
      </c>
      <c r="N788" s="3">
        <v>0.24153148523191839</v>
      </c>
      <c r="O788" s="3">
        <v>0.24575634906590377</v>
      </c>
      <c r="P788" s="3">
        <v>0.24992612020013849</v>
      </c>
    </row>
    <row r="789" spans="1:16" x14ac:dyDescent="0.3">
      <c r="A789" s="3" t="str">
        <f t="shared" si="12"/>
        <v>ELC</v>
      </c>
      <c r="C789" s="3" t="s">
        <v>850</v>
      </c>
      <c r="D789" s="3" t="s">
        <v>962</v>
      </c>
      <c r="E789" s="3" t="s">
        <v>963</v>
      </c>
      <c r="F789" s="3" t="s">
        <v>1</v>
      </c>
      <c r="G789" s="3">
        <v>0.246942644125905</v>
      </c>
      <c r="H789" s="3">
        <v>0.26558383958557902</v>
      </c>
      <c r="I789" s="3">
        <v>0.34014862142428021</v>
      </c>
      <c r="J789" s="3">
        <v>0.47930473668634621</v>
      </c>
      <c r="K789" s="3">
        <v>0.55882351994991819</v>
      </c>
      <c r="L789" s="3">
        <v>0.60896088787083313</v>
      </c>
      <c r="M789" s="3">
        <v>0.63653458742238556</v>
      </c>
      <c r="N789" s="3">
        <v>0.66485491772383409</v>
      </c>
      <c r="O789" s="3">
        <v>0.67648454644094136</v>
      </c>
      <c r="P789" s="3">
        <v>0.68796252349108433</v>
      </c>
    </row>
    <row r="790" spans="1:16" x14ac:dyDescent="0.3">
      <c r="A790" s="3" t="str">
        <f t="shared" si="12"/>
        <v>ELC</v>
      </c>
      <c r="C790" s="3" t="s">
        <v>850</v>
      </c>
      <c r="D790" s="3" t="s">
        <v>962</v>
      </c>
      <c r="E790" s="3" t="s">
        <v>963</v>
      </c>
      <c r="F790" s="3" t="s">
        <v>2</v>
      </c>
      <c r="G790" s="3">
        <v>1.0035423189574499</v>
      </c>
      <c r="H790" s="3">
        <v>1.0240049129507072</v>
      </c>
      <c r="I790" s="3">
        <v>1.1058552889237301</v>
      </c>
      <c r="J790" s="3">
        <v>1.5582649603323031</v>
      </c>
      <c r="K790" s="3">
        <v>1.8167880337835232</v>
      </c>
      <c r="L790" s="3">
        <v>1.979789351430788</v>
      </c>
      <c r="M790" s="3">
        <v>2.0694340524929302</v>
      </c>
      <c r="N790" s="3">
        <v>2.1615061206282871</v>
      </c>
      <c r="O790" s="3">
        <v>2.1993151417884524</v>
      </c>
      <c r="P790" s="3">
        <v>2.2366311290586722</v>
      </c>
    </row>
    <row r="791" spans="1:16" x14ac:dyDescent="0.3">
      <c r="A791" s="3" t="str">
        <f t="shared" si="12"/>
        <v>ELC</v>
      </c>
      <c r="C791" s="3" t="s">
        <v>850</v>
      </c>
      <c r="D791" s="3" t="s">
        <v>962</v>
      </c>
      <c r="E791" s="3" t="s">
        <v>963</v>
      </c>
      <c r="F791" s="3" t="s">
        <v>3</v>
      </c>
      <c r="G791" s="3">
        <v>0.67972307458088299</v>
      </c>
      <c r="H791" s="3">
        <v>0.69358287604640068</v>
      </c>
      <c r="I791" s="3">
        <v>0.74902208190847475</v>
      </c>
      <c r="J791" s="3">
        <v>1.0554499096252228</v>
      </c>
      <c r="K791" s="3">
        <v>1.2305537343636948</v>
      </c>
      <c r="L791" s="3">
        <v>1.3409584026063157</v>
      </c>
      <c r="M791" s="3">
        <v>1.4016768901825527</v>
      </c>
      <c r="N791" s="3">
        <v>1.4640394911947352</v>
      </c>
      <c r="O791" s="3">
        <v>1.4896484402389398</v>
      </c>
      <c r="P791" s="3">
        <v>1.514923445706263</v>
      </c>
    </row>
    <row r="792" spans="1:16" x14ac:dyDescent="0.3">
      <c r="A792" s="3" t="str">
        <f t="shared" si="12"/>
        <v>ELC</v>
      </c>
      <c r="C792" s="3" t="s">
        <v>850</v>
      </c>
      <c r="D792" s="3" t="s">
        <v>962</v>
      </c>
      <c r="E792" s="3" t="s">
        <v>963</v>
      </c>
      <c r="F792" s="3" t="s">
        <v>4</v>
      </c>
      <c r="G792" s="3">
        <v>1.86065667462495</v>
      </c>
      <c r="H792" s="3">
        <v>1.898638639710895</v>
      </c>
      <c r="I792" s="3">
        <v>2.0505665000546918</v>
      </c>
      <c r="J792" s="3">
        <v>2.8894611780319921</v>
      </c>
      <c r="K792" s="3">
        <v>3.3688356126618491</v>
      </c>
      <c r="L792" s="3">
        <v>3.671085866180599</v>
      </c>
      <c r="M792" s="3">
        <v>3.8373123360873023</v>
      </c>
      <c r="N792" s="3">
        <v>4.0080398267455566</v>
      </c>
      <c r="O792" s="3">
        <v>4.0781483779885939</v>
      </c>
      <c r="P792" s="3">
        <v>4.1473427058352534</v>
      </c>
    </row>
    <row r="793" spans="1:16" x14ac:dyDescent="0.3">
      <c r="A793" s="3" t="str">
        <f t="shared" si="12"/>
        <v>ELC</v>
      </c>
      <c r="C793" s="3" t="s">
        <v>850</v>
      </c>
      <c r="D793" s="3" t="s">
        <v>962</v>
      </c>
      <c r="E793" s="3" t="s">
        <v>963</v>
      </c>
      <c r="F793" s="3" t="s">
        <v>5</v>
      </c>
      <c r="G793" s="3">
        <v>1.2974468527288501</v>
      </c>
      <c r="H793" s="3">
        <v>1.3954309603785899</v>
      </c>
      <c r="I793" s="3">
        <v>1.7873673909776562</v>
      </c>
      <c r="J793" s="3">
        <v>2.518586296505136</v>
      </c>
      <c r="K793" s="3">
        <v>2.9364309421203352</v>
      </c>
      <c r="L793" s="3">
        <v>3.1998860639316642</v>
      </c>
      <c r="M793" s="3">
        <v>3.3447766450567511</v>
      </c>
      <c r="N793" s="3">
        <v>3.4935905213869631</v>
      </c>
      <c r="O793" s="3">
        <v>3.554700335829533</v>
      </c>
      <c r="P793" s="3">
        <v>3.6150132714160828</v>
      </c>
    </row>
    <row r="794" spans="1:16" x14ac:dyDescent="0.3">
      <c r="A794" s="3" t="str">
        <f t="shared" si="12"/>
        <v>ELC</v>
      </c>
      <c r="C794" s="3" t="s">
        <v>850</v>
      </c>
      <c r="D794" s="3" t="s">
        <v>962</v>
      </c>
      <c r="E794" s="3" t="s">
        <v>963</v>
      </c>
      <c r="F794" s="3" t="s">
        <v>6</v>
      </c>
      <c r="G794" s="3">
        <v>5.6346438339088802</v>
      </c>
      <c r="H794" s="3">
        <v>5.7495787739888344</v>
      </c>
      <c r="I794" s="3">
        <v>6.2093185343087649</v>
      </c>
      <c r="J794" s="3">
        <v>8.7495747377327948</v>
      </c>
      <c r="K794" s="3">
        <v>10.201168022681863</v>
      </c>
      <c r="L794" s="3">
        <v>11.116411737588724</v>
      </c>
      <c r="M794" s="3">
        <v>11.619761958348093</v>
      </c>
      <c r="N794" s="3">
        <v>12.136741715908842</v>
      </c>
      <c r="O794" s="3">
        <v>12.349037355496868</v>
      </c>
      <c r="P794" s="3">
        <v>12.558564636058579</v>
      </c>
    </row>
    <row r="795" spans="1:16" x14ac:dyDescent="0.3">
      <c r="A795" s="3" t="str">
        <f t="shared" si="12"/>
        <v>ELC</v>
      </c>
      <c r="C795" s="3" t="s">
        <v>850</v>
      </c>
      <c r="D795" s="3" t="s">
        <v>962</v>
      </c>
      <c r="E795" s="3" t="s">
        <v>963</v>
      </c>
      <c r="F795" s="3" t="s">
        <v>7</v>
      </c>
      <c r="G795" s="3">
        <v>8.6212777743130201E-2</v>
      </c>
      <c r="H795" s="3">
        <v>8.7970687733235242E-2</v>
      </c>
      <c r="I795" s="3">
        <v>9.5002327693655422E-2</v>
      </c>
      <c r="J795" s="3">
        <v>0.13386814701506614</v>
      </c>
      <c r="K795" s="3">
        <v>0.15607746679350332</v>
      </c>
      <c r="L795" s="3">
        <v>0.17008065938906813</v>
      </c>
      <c r="M795" s="3">
        <v>0.17778189783464676</v>
      </c>
      <c r="N795" s="3">
        <v>0.1856916676535717</v>
      </c>
      <c r="O795" s="3">
        <v>0.188939782532626</v>
      </c>
      <c r="P795" s="3">
        <v>0.19214554162820008</v>
      </c>
    </row>
    <row r="796" spans="1:16" x14ac:dyDescent="0.3">
      <c r="A796" s="3" t="str">
        <f t="shared" si="12"/>
        <v>ELC</v>
      </c>
      <c r="C796" s="3" t="s">
        <v>850</v>
      </c>
      <c r="D796" s="3" t="s">
        <v>962</v>
      </c>
      <c r="E796" s="3" t="s">
        <v>963</v>
      </c>
      <c r="F796" s="3" t="s">
        <v>8</v>
      </c>
      <c r="G796" s="3">
        <v>5.4059338385059198E-2</v>
      </c>
      <c r="H796" s="3">
        <v>5.5161628016524071E-2</v>
      </c>
      <c r="I796" s="3">
        <v>5.9570786542361968E-2</v>
      </c>
      <c r="J796" s="3">
        <v>8.3941425481395271E-2</v>
      </c>
      <c r="K796" s="3">
        <v>9.7867680552097866E-2</v>
      </c>
      <c r="L796" s="3">
        <v>0.10664832011402417</v>
      </c>
      <c r="M796" s="3">
        <v>0.11147734738831035</v>
      </c>
      <c r="N796" s="3">
        <v>0.11643713333168029</v>
      </c>
      <c r="O796" s="3">
        <v>0.11847384930298981</v>
      </c>
      <c r="P796" s="3">
        <v>0.1204840062688745</v>
      </c>
    </row>
    <row r="797" spans="1:16" x14ac:dyDescent="0.3">
      <c r="A797" s="3" t="str">
        <f t="shared" si="12"/>
        <v>ELC</v>
      </c>
      <c r="C797" s="3" t="s">
        <v>850</v>
      </c>
      <c r="D797" s="3" t="s">
        <v>728</v>
      </c>
      <c r="E797" s="3" t="s">
        <v>964</v>
      </c>
      <c r="F797" s="3" t="s">
        <v>0</v>
      </c>
      <c r="G797" s="3">
        <v>0.12459782580800299</v>
      </c>
    </row>
    <row r="798" spans="1:16" x14ac:dyDescent="0.3">
      <c r="A798" s="3" t="str">
        <f t="shared" si="12"/>
        <v>ELC</v>
      </c>
      <c r="C798" s="3" t="s">
        <v>850</v>
      </c>
      <c r="D798" s="3" t="s">
        <v>728</v>
      </c>
      <c r="E798" s="3" t="s">
        <v>964</v>
      </c>
      <c r="F798" s="3" t="s">
        <v>1</v>
      </c>
      <c r="G798" s="3">
        <v>0.30134380418833201</v>
      </c>
      <c r="H798" s="3">
        <v>0.32409163202633401</v>
      </c>
    </row>
    <row r="799" spans="1:16" x14ac:dyDescent="0.3">
      <c r="A799" s="3" t="str">
        <f t="shared" si="12"/>
        <v>ELC</v>
      </c>
      <c r="C799" s="3" t="s">
        <v>850</v>
      </c>
      <c r="D799" s="3" t="s">
        <v>728</v>
      </c>
      <c r="E799" s="3" t="s">
        <v>964</v>
      </c>
      <c r="F799" s="3" t="s">
        <v>2</v>
      </c>
      <c r="G799" s="3">
        <v>1.1150470210638399</v>
      </c>
      <c r="H799" s="3">
        <v>1.23282062841337</v>
      </c>
    </row>
    <row r="800" spans="1:16" x14ac:dyDescent="0.3">
      <c r="A800" s="3" t="str">
        <f t="shared" si="12"/>
        <v>ELC</v>
      </c>
      <c r="C800" s="3" t="s">
        <v>850</v>
      </c>
      <c r="D800" s="3" t="s">
        <v>728</v>
      </c>
      <c r="E800" s="3" t="s">
        <v>964</v>
      </c>
      <c r="F800" s="3" t="s">
        <v>3</v>
      </c>
      <c r="G800" s="3">
        <v>0.75524786064542604</v>
      </c>
      <c r="H800" s="3">
        <v>0.83501872529143095</v>
      </c>
    </row>
    <row r="801" spans="1:16" x14ac:dyDescent="0.3">
      <c r="A801" s="3" t="str">
        <f t="shared" si="12"/>
        <v>ELC</v>
      </c>
      <c r="C801" s="3" t="s">
        <v>850</v>
      </c>
      <c r="D801" s="3" t="s">
        <v>728</v>
      </c>
      <c r="E801" s="3" t="s">
        <v>964</v>
      </c>
      <c r="F801" s="3" t="s">
        <v>4</v>
      </c>
      <c r="G801" s="3">
        <v>2.0676105547269099</v>
      </c>
      <c r="H801" s="3">
        <v>2.70855885995908</v>
      </c>
    </row>
    <row r="802" spans="1:16" x14ac:dyDescent="0.3">
      <c r="A802" s="3" t="str">
        <f t="shared" si="12"/>
        <v>ELC</v>
      </c>
      <c r="C802" s="3" t="s">
        <v>850</v>
      </c>
      <c r="D802" s="3" t="s">
        <v>728</v>
      </c>
      <c r="E802" s="3" t="s">
        <v>964</v>
      </c>
      <c r="F802" s="3" t="s">
        <v>5</v>
      </c>
      <c r="G802" s="3">
        <v>1.8022237672670101</v>
      </c>
      <c r="H802" s="3">
        <v>1.99069312724519</v>
      </c>
      <c r="I802" s="3">
        <v>2.5498215835171401</v>
      </c>
    </row>
    <row r="803" spans="1:16" x14ac:dyDescent="0.3">
      <c r="A803" s="3" t="str">
        <f t="shared" si="12"/>
        <v>ELC</v>
      </c>
      <c r="C803" s="3" t="s">
        <v>850</v>
      </c>
      <c r="D803" s="3" t="s">
        <v>728</v>
      </c>
      <c r="E803" s="3" t="s">
        <v>964</v>
      </c>
      <c r="F803" s="3" t="s">
        <v>6</v>
      </c>
      <c r="G803" s="3">
        <v>6.2609296205979197</v>
      </c>
    </row>
    <row r="804" spans="1:16" x14ac:dyDescent="0.3">
      <c r="A804" s="3" t="str">
        <f t="shared" si="12"/>
        <v>ELC</v>
      </c>
      <c r="C804" s="3" t="s">
        <v>850</v>
      </c>
      <c r="D804" s="3" t="s">
        <v>728</v>
      </c>
      <c r="E804" s="3" t="s">
        <v>964</v>
      </c>
      <c r="F804" s="3" t="s">
        <v>7</v>
      </c>
      <c r="G804" s="3">
        <v>9.5791975270144603E-2</v>
      </c>
    </row>
    <row r="805" spans="1:16" x14ac:dyDescent="0.3">
      <c r="A805" s="3" t="str">
        <f t="shared" si="12"/>
        <v>ELC</v>
      </c>
      <c r="C805" s="3" t="s">
        <v>850</v>
      </c>
      <c r="D805" s="3" t="s">
        <v>728</v>
      </c>
      <c r="E805" s="3" t="s">
        <v>964</v>
      </c>
      <c r="F805" s="3" t="s">
        <v>8</v>
      </c>
      <c r="G805" s="3">
        <v>6.0065931538960601E-2</v>
      </c>
    </row>
    <row r="806" spans="1:16" x14ac:dyDescent="0.3">
      <c r="A806" s="3" t="str">
        <f t="shared" si="12"/>
        <v>NGA</v>
      </c>
      <c r="C806" s="3" t="s">
        <v>850</v>
      </c>
      <c r="D806" s="3" t="s">
        <v>728</v>
      </c>
      <c r="E806" s="3" t="s">
        <v>965</v>
      </c>
      <c r="F806" s="3" t="s">
        <v>0</v>
      </c>
      <c r="H806" s="3">
        <v>0.11773746594602399</v>
      </c>
      <c r="I806" s="3">
        <v>0.15079319884078801</v>
      </c>
      <c r="J806" s="3">
        <v>0.21248327910831</v>
      </c>
      <c r="K806" s="3">
        <v>0.24773519824326501</v>
      </c>
      <c r="L806" s="3">
        <v>0.26996187685979101</v>
      </c>
      <c r="M806" s="3">
        <v>0.282185728721497</v>
      </c>
      <c r="N806" s="3">
        <v>0.294740573661046</v>
      </c>
      <c r="O806" s="3">
        <v>0.29989616978911499</v>
      </c>
      <c r="P806" s="3">
        <v>0.30498453636359901</v>
      </c>
    </row>
    <row r="807" spans="1:16" x14ac:dyDescent="0.3">
      <c r="A807" s="3" t="str">
        <f t="shared" si="12"/>
        <v>NGA</v>
      </c>
      <c r="C807" s="3" t="s">
        <v>850</v>
      </c>
      <c r="D807" s="3" t="s">
        <v>728</v>
      </c>
      <c r="E807" s="3" t="s">
        <v>965</v>
      </c>
      <c r="F807" s="3" t="s">
        <v>1</v>
      </c>
      <c r="I807" s="3">
        <v>0.41508294337833701</v>
      </c>
      <c r="J807" s="3">
        <v>0.58489497927668399</v>
      </c>
      <c r="K807" s="3">
        <v>0.68193165246001197</v>
      </c>
      <c r="L807" s="3">
        <v>0.74311422072300903</v>
      </c>
      <c r="M807" s="3">
        <v>0.77676237229206202</v>
      </c>
      <c r="N807" s="3">
        <v>0.81132163644474298</v>
      </c>
      <c r="O807" s="3">
        <v>0.82551325803086295</v>
      </c>
      <c r="P807" s="3">
        <v>0.83951981927474895</v>
      </c>
    </row>
    <row r="808" spans="1:16" x14ac:dyDescent="0.3">
      <c r="A808" s="3" t="str">
        <f t="shared" si="12"/>
        <v>NGA</v>
      </c>
      <c r="C808" s="3" t="s">
        <v>850</v>
      </c>
      <c r="D808" s="3" t="s">
        <v>728</v>
      </c>
      <c r="E808" s="3" t="s">
        <v>965</v>
      </c>
      <c r="F808" s="3" t="s">
        <v>2</v>
      </c>
      <c r="G808" s="3">
        <v>9.3138268527710205E-2</v>
      </c>
      <c r="I808" s="3">
        <v>1.3313619837005699</v>
      </c>
      <c r="J808" s="3">
        <v>1.8760273152360001</v>
      </c>
      <c r="K808" s="3">
        <v>2.1872685737892601</v>
      </c>
      <c r="L808" s="3">
        <v>2.38350922098991</v>
      </c>
      <c r="M808" s="3">
        <v>2.4914343249612299</v>
      </c>
      <c r="N808" s="3">
        <v>2.6022817862013099</v>
      </c>
      <c r="O808" s="3">
        <v>2.64780084635118</v>
      </c>
      <c r="P808" s="3">
        <v>2.69272633283517</v>
      </c>
    </row>
    <row r="809" spans="1:16" x14ac:dyDescent="0.3">
      <c r="A809" s="3" t="str">
        <f t="shared" si="12"/>
        <v>NGA</v>
      </c>
      <c r="C809" s="3" t="s">
        <v>850</v>
      </c>
      <c r="D809" s="3" t="s">
        <v>728</v>
      </c>
      <c r="E809" s="3" t="s">
        <v>965</v>
      </c>
      <c r="F809" s="3" t="s">
        <v>3</v>
      </c>
      <c r="G809" s="3">
        <v>6.3084763889742004E-2</v>
      </c>
      <c r="I809" s="3">
        <v>0.90176312831648697</v>
      </c>
      <c r="J809" s="3">
        <v>1.2706779082666499</v>
      </c>
      <c r="K809" s="3">
        <v>1.48148901329311</v>
      </c>
      <c r="L809" s="3">
        <v>1.6144074697978099</v>
      </c>
      <c r="M809" s="3">
        <v>1.6875077089307899</v>
      </c>
      <c r="N809" s="3">
        <v>1.7625873301288899</v>
      </c>
      <c r="O809" s="3">
        <v>1.79341847190799</v>
      </c>
      <c r="P809" s="3">
        <v>1.8238475721293701</v>
      </c>
    </row>
    <row r="810" spans="1:16" x14ac:dyDescent="0.3">
      <c r="A810" s="3" t="str">
        <f t="shared" si="12"/>
        <v>NGA</v>
      </c>
      <c r="C810" s="3" t="s">
        <v>850</v>
      </c>
      <c r="D810" s="3" t="s">
        <v>728</v>
      </c>
      <c r="E810" s="3" t="s">
        <v>965</v>
      </c>
      <c r="F810" s="3" t="s">
        <v>4</v>
      </c>
      <c r="G810" s="3">
        <v>0.58676401449854299</v>
      </c>
      <c r="I810" s="3">
        <v>2.92529602289361</v>
      </c>
      <c r="J810" s="3">
        <v>4.1220459283700501</v>
      </c>
      <c r="K810" s="3">
        <v>4.8059116440453202</v>
      </c>
      <c r="L810" s="3">
        <v>5.2370956434491003</v>
      </c>
      <c r="M810" s="3">
        <v>5.47423090890124</v>
      </c>
      <c r="N810" s="3">
        <v>5.7177872380463199</v>
      </c>
      <c r="O810" s="3">
        <v>5.8178026562815397</v>
      </c>
      <c r="P810" s="3">
        <v>5.9165138622098299</v>
      </c>
    </row>
    <row r="811" spans="1:16" x14ac:dyDescent="0.3">
      <c r="A811" s="3" t="str">
        <f t="shared" si="12"/>
        <v>NGA</v>
      </c>
      <c r="C811" s="3" t="s">
        <v>850</v>
      </c>
      <c r="D811" s="3" t="s">
        <v>728</v>
      </c>
      <c r="E811" s="3" t="s">
        <v>965</v>
      </c>
      <c r="F811" s="3" t="s">
        <v>5</v>
      </c>
      <c r="G811" s="3">
        <v>4.8687245910194799E-2</v>
      </c>
      <c r="J811" s="3">
        <v>3.5929634451183801</v>
      </c>
      <c r="K811" s="3">
        <v>4.1890520284308002</v>
      </c>
      <c r="L811" s="3">
        <v>4.5648916903120398</v>
      </c>
      <c r="M811" s="3">
        <v>4.7715896153531299</v>
      </c>
      <c r="N811" s="3">
        <v>4.9838844326967999</v>
      </c>
      <c r="O811" s="3">
        <v>5.0710624379669502</v>
      </c>
      <c r="P811" s="3">
        <v>5.1571036322396901</v>
      </c>
    </row>
    <row r="812" spans="1:16" x14ac:dyDescent="0.3">
      <c r="A812" s="3" t="str">
        <f t="shared" si="12"/>
        <v>NGA</v>
      </c>
      <c r="C812" s="3" t="s">
        <v>850</v>
      </c>
      <c r="D812" s="3" t="s">
        <v>728</v>
      </c>
      <c r="E812" s="3" t="s">
        <v>965</v>
      </c>
      <c r="F812" s="3" t="s">
        <v>6</v>
      </c>
      <c r="G812" s="3">
        <v>1.77733746184778</v>
      </c>
      <c r="H812" s="3">
        <v>8.2022309056616294</v>
      </c>
      <c r="I812" s="3">
        <v>8.8580861985253794</v>
      </c>
      <c r="J812" s="3">
        <v>12.4819634874643</v>
      </c>
      <c r="K812" s="3">
        <v>14.552776632615799</v>
      </c>
      <c r="L812" s="3">
        <v>15.8584445049447</v>
      </c>
      <c r="M812" s="3">
        <v>16.576513584328801</v>
      </c>
      <c r="N812" s="3">
        <v>17.314026280780499</v>
      </c>
      <c r="O812" s="3">
        <v>17.616882876822601</v>
      </c>
      <c r="P812" s="3">
        <v>17.9157901887768</v>
      </c>
    </row>
    <row r="813" spans="1:16" x14ac:dyDescent="0.3">
      <c r="A813" s="3" t="str">
        <f t="shared" si="12"/>
        <v>NGA</v>
      </c>
      <c r="C813" s="3" t="s">
        <v>850</v>
      </c>
      <c r="D813" s="3" t="s">
        <v>728</v>
      </c>
      <c r="E813" s="3" t="s">
        <v>965</v>
      </c>
      <c r="F813" s="3" t="s">
        <v>7</v>
      </c>
      <c r="G813" s="3">
        <v>5.64802267441497E-3</v>
      </c>
      <c r="H813" s="3">
        <v>0.103508396509727</v>
      </c>
      <c r="I813" s="3">
        <v>0.11178199077039599</v>
      </c>
      <c r="J813" s="3">
        <v>0.15751243508834001</v>
      </c>
      <c r="K813" s="3">
        <v>0.18364444720593201</v>
      </c>
      <c r="L813" s="3">
        <v>0.200120935555996</v>
      </c>
      <c r="M813" s="3">
        <v>0.209182395266964</v>
      </c>
      <c r="N813" s="3">
        <v>0.21848921793499501</v>
      </c>
      <c r="O813" s="3">
        <v>0.22231102689742899</v>
      </c>
      <c r="P813" s="3">
        <v>0.226082999040986</v>
      </c>
    </row>
    <row r="814" spans="1:16" x14ac:dyDescent="0.3">
      <c r="A814" s="3" t="str">
        <f t="shared" si="12"/>
        <v>NGA</v>
      </c>
      <c r="C814" s="3" t="s">
        <v>850</v>
      </c>
      <c r="D814" s="3" t="s">
        <v>728</v>
      </c>
      <c r="E814" s="3" t="s">
        <v>965</v>
      </c>
      <c r="F814" s="3" t="s">
        <v>8</v>
      </c>
      <c r="G814" s="3">
        <v>3.5415674677881002E-3</v>
      </c>
      <c r="H814" s="3">
        <v>6.4904479116619604E-2</v>
      </c>
      <c r="I814" s="3">
        <v>7.0092399556102997E-2</v>
      </c>
      <c r="J814" s="3">
        <v>9.8767471031573698E-2</v>
      </c>
      <c r="K814" s="3">
        <v>0.115153432866101</v>
      </c>
      <c r="L814" s="3">
        <v>0.12548494151749301</v>
      </c>
      <c r="M814" s="3">
        <v>0.13116688947928301</v>
      </c>
      <c r="N814" s="3">
        <v>0.13700269119071801</v>
      </c>
      <c r="O814" s="3">
        <v>0.13939913948239499</v>
      </c>
      <c r="P814" s="3">
        <v>0.141764337818715</v>
      </c>
    </row>
    <row r="815" spans="1:16" x14ac:dyDescent="0.3">
      <c r="A815" s="3" t="str">
        <f t="shared" si="12"/>
        <v>LPG</v>
      </c>
      <c r="C815" s="3" t="s">
        <v>850</v>
      </c>
      <c r="D815" s="3" t="s">
        <v>714</v>
      </c>
      <c r="E815" s="3" t="s">
        <v>966</v>
      </c>
      <c r="F815" s="3" t="s">
        <v>0</v>
      </c>
      <c r="G815" s="3">
        <v>1.63889942088319</v>
      </c>
    </row>
    <row r="816" spans="1:16" x14ac:dyDescent="0.3">
      <c r="A816" s="3" t="str">
        <f t="shared" si="12"/>
        <v>LPG</v>
      </c>
      <c r="C816" s="3" t="s">
        <v>850</v>
      </c>
      <c r="D816" s="3" t="s">
        <v>714</v>
      </c>
      <c r="E816" s="3" t="s">
        <v>966</v>
      </c>
      <c r="F816" s="3" t="s">
        <v>1</v>
      </c>
      <c r="G816" s="3">
        <v>4.5113387125602902</v>
      </c>
    </row>
    <row r="817" spans="1:16" x14ac:dyDescent="0.3">
      <c r="A817" s="3" t="str">
        <f t="shared" si="12"/>
        <v>LPG</v>
      </c>
      <c r="C817" s="3" t="s">
        <v>850</v>
      </c>
      <c r="D817" s="3" t="s">
        <v>714</v>
      </c>
      <c r="E817" s="3" t="s">
        <v>966</v>
      </c>
      <c r="F817" s="3" t="s">
        <v>2</v>
      </c>
      <c r="G817" s="3">
        <v>64.624567323621307</v>
      </c>
    </row>
    <row r="818" spans="1:16" x14ac:dyDescent="0.3">
      <c r="A818" s="3" t="str">
        <f t="shared" si="12"/>
        <v>LPG</v>
      </c>
      <c r="C818" s="3" t="s">
        <v>850</v>
      </c>
      <c r="D818" s="3" t="s">
        <v>714</v>
      </c>
      <c r="E818" s="3" t="s">
        <v>966</v>
      </c>
      <c r="F818" s="3" t="s">
        <v>3</v>
      </c>
      <c r="G818" s="3">
        <v>43.771756073331602</v>
      </c>
    </row>
    <row r="819" spans="1:16" x14ac:dyDescent="0.3">
      <c r="A819" s="3" t="str">
        <f t="shared" si="12"/>
        <v>LPG</v>
      </c>
      <c r="C819" s="3" t="s">
        <v>850</v>
      </c>
      <c r="D819" s="3" t="s">
        <v>714</v>
      </c>
      <c r="E819" s="3" t="s">
        <v>966</v>
      </c>
      <c r="F819" s="3" t="s">
        <v>4</v>
      </c>
      <c r="G819" s="3">
        <v>135.753576430262</v>
      </c>
    </row>
    <row r="820" spans="1:16" x14ac:dyDescent="0.3">
      <c r="A820" s="3" t="str">
        <f t="shared" si="12"/>
        <v>LPG</v>
      </c>
      <c r="C820" s="3" t="s">
        <v>850</v>
      </c>
      <c r="D820" s="3" t="s">
        <v>714</v>
      </c>
      <c r="E820" s="3" t="s">
        <v>966</v>
      </c>
      <c r="F820" s="3" t="s">
        <v>5</v>
      </c>
      <c r="G820" s="3">
        <v>84.683265815391294</v>
      </c>
    </row>
    <row r="821" spans="1:16" x14ac:dyDescent="0.3">
      <c r="A821" s="3" t="str">
        <f t="shared" si="12"/>
        <v>LPG</v>
      </c>
      <c r="C821" s="3" t="s">
        <v>850</v>
      </c>
      <c r="D821" s="3" t="s">
        <v>714</v>
      </c>
      <c r="E821" s="3" t="s">
        <v>966</v>
      </c>
      <c r="F821" s="3" t="s">
        <v>6</v>
      </c>
      <c r="G821" s="3">
        <v>411.11584201016001</v>
      </c>
    </row>
    <row r="822" spans="1:16" x14ac:dyDescent="0.3">
      <c r="A822" s="3" t="str">
        <f t="shared" si="12"/>
        <v>NGA</v>
      </c>
      <c r="C822" s="3" t="s">
        <v>850</v>
      </c>
      <c r="D822" s="3" t="s">
        <v>714</v>
      </c>
      <c r="E822" s="3" t="s">
        <v>967</v>
      </c>
      <c r="F822" s="3" t="s">
        <v>2</v>
      </c>
      <c r="H822" s="3">
        <v>91.193205480916006</v>
      </c>
      <c r="I822" s="3">
        <v>98.482426519211401</v>
      </c>
      <c r="J822" s="3">
        <v>138.77196771626799</v>
      </c>
      <c r="K822" s="3">
        <v>161.794853115188</v>
      </c>
      <c r="L822" s="3">
        <v>176.311006764328</v>
      </c>
      <c r="M822" s="3">
        <v>184.29435483311701</v>
      </c>
      <c r="N822" s="3">
        <v>192.49387313847899</v>
      </c>
      <c r="O822" s="3">
        <v>195.86097205771799</v>
      </c>
      <c r="P822" s="3">
        <v>199.184163628205</v>
      </c>
    </row>
    <row r="823" spans="1:16" x14ac:dyDescent="0.3">
      <c r="A823" s="3" t="str">
        <f t="shared" si="12"/>
        <v>NGA</v>
      </c>
      <c r="C823" s="3" t="s">
        <v>850</v>
      </c>
      <c r="D823" s="3" t="s">
        <v>714</v>
      </c>
      <c r="E823" s="3" t="s">
        <v>967</v>
      </c>
      <c r="F823" s="3" t="s">
        <v>3</v>
      </c>
      <c r="H823" s="3">
        <v>61.7673264389786</v>
      </c>
      <c r="I823" s="3">
        <v>66.704489169292799</v>
      </c>
      <c r="J823" s="3">
        <v>93.9935534155981</v>
      </c>
      <c r="K823" s="3">
        <v>109.58750112807201</v>
      </c>
      <c r="L823" s="3">
        <v>119.419637155711</v>
      </c>
      <c r="M823" s="3">
        <v>124.82694862853801</v>
      </c>
      <c r="N823" s="3">
        <v>130.38067734263299</v>
      </c>
      <c r="O823" s="3">
        <v>132.66129350257799</v>
      </c>
      <c r="P823" s="3">
        <v>134.91217017119601</v>
      </c>
    </row>
    <row r="824" spans="1:16" x14ac:dyDescent="0.3">
      <c r="A824" s="3" t="str">
        <f t="shared" si="12"/>
        <v>NGA</v>
      </c>
      <c r="C824" s="3" t="s">
        <v>850</v>
      </c>
      <c r="D824" s="3" t="s">
        <v>714</v>
      </c>
      <c r="E824" s="3" t="s">
        <v>967</v>
      </c>
      <c r="F824" s="3" t="s">
        <v>4</v>
      </c>
      <c r="G824" s="3">
        <v>4.1542695091437896</v>
      </c>
      <c r="H824" s="3">
        <v>196.92905900278799</v>
      </c>
      <c r="I824" s="3">
        <v>199.82792568449301</v>
      </c>
      <c r="J824" s="3">
        <v>299.69835171034401</v>
      </c>
      <c r="K824" s="3">
        <v>349.41963850350999</v>
      </c>
      <c r="L824" s="3">
        <v>380.76939446226601</v>
      </c>
      <c r="M824" s="3">
        <v>398.01060172278397</v>
      </c>
      <c r="N824" s="3">
        <v>415.718660211658</v>
      </c>
      <c r="O824" s="3">
        <v>422.99040257251198</v>
      </c>
      <c r="P824" s="3">
        <v>430.16732059481001</v>
      </c>
    </row>
    <row r="825" spans="1:16" x14ac:dyDescent="0.3">
      <c r="A825" s="3" t="str">
        <f t="shared" si="12"/>
        <v>NGA</v>
      </c>
      <c r="C825" s="3" t="s">
        <v>850</v>
      </c>
      <c r="D825" s="3" t="s">
        <v>714</v>
      </c>
      <c r="E825" s="3" t="s">
        <v>967</v>
      </c>
      <c r="F825" s="3" t="s">
        <v>5</v>
      </c>
      <c r="G825" s="3">
        <v>3.6210509894598899</v>
      </c>
      <c r="H825" s="3">
        <v>144.735759708628</v>
      </c>
      <c r="I825" s="3">
        <v>185.387872676547</v>
      </c>
      <c r="J825" s="3">
        <v>261.23076767446099</v>
      </c>
      <c r="K825" s="3">
        <v>304.57011153342899</v>
      </c>
      <c r="L825" s="3">
        <v>331.89599026708402</v>
      </c>
      <c r="M825" s="3">
        <v>346.92421375445298</v>
      </c>
      <c r="N825" s="3">
        <v>362.359366089037</v>
      </c>
      <c r="O825" s="3">
        <v>368.697748760867</v>
      </c>
      <c r="P825" s="3">
        <v>374.95347820950099</v>
      </c>
    </row>
    <row r="826" spans="1:16" x14ac:dyDescent="0.3">
      <c r="A826" s="3" t="str">
        <f t="shared" si="12"/>
        <v>NGA</v>
      </c>
      <c r="C826" s="3" t="s">
        <v>850</v>
      </c>
      <c r="D826" s="3" t="s">
        <v>714</v>
      </c>
      <c r="E826" s="3" t="s">
        <v>967</v>
      </c>
      <c r="F826" s="3" t="s">
        <v>6</v>
      </c>
      <c r="G826" s="3">
        <v>12.5795396827912</v>
      </c>
      <c r="H826" s="3">
        <v>596.35315217035202</v>
      </c>
      <c r="I826" s="3">
        <v>644.03790717973902</v>
      </c>
      <c r="J826" s="3">
        <v>907.51630338601296</v>
      </c>
      <c r="K826" s="3">
        <v>1058.0772862296501</v>
      </c>
      <c r="L826" s="3">
        <v>1153.00745343739</v>
      </c>
      <c r="M826" s="3">
        <v>1205.2155372979801</v>
      </c>
      <c r="N826" s="3">
        <v>1258.8372929341299</v>
      </c>
      <c r="O826" s="3">
        <v>1280.8568492941699</v>
      </c>
      <c r="P826" s="3">
        <v>1302.58926816178</v>
      </c>
    </row>
    <row r="827" spans="1:16" x14ac:dyDescent="0.3">
      <c r="A827" s="3" t="str">
        <f t="shared" si="12"/>
        <v>PFS</v>
      </c>
      <c r="C827" s="3" t="s">
        <v>850</v>
      </c>
      <c r="D827" s="3" t="s">
        <v>714</v>
      </c>
      <c r="E827" s="3" t="s">
        <v>968</v>
      </c>
      <c r="F827" s="3" t="s">
        <v>0</v>
      </c>
      <c r="G827" s="3">
        <v>0.86751689162946199</v>
      </c>
      <c r="H827" s="3">
        <v>2.69562055688385</v>
      </c>
      <c r="I827" s="3">
        <v>3.4524375343686202</v>
      </c>
      <c r="J827" s="3">
        <v>4.8648430689146602</v>
      </c>
      <c r="K827" s="3">
        <v>5.6719421271932902</v>
      </c>
      <c r="L827" s="3">
        <v>6.1808259502698402</v>
      </c>
      <c r="M827" s="3">
        <v>6.4606932473783099</v>
      </c>
      <c r="N827" s="3">
        <v>6.7481386908113601</v>
      </c>
      <c r="O827" s="3">
        <v>6.8661769957311103</v>
      </c>
      <c r="P827" s="3">
        <v>6.98267606787378</v>
      </c>
    </row>
    <row r="828" spans="1:16" x14ac:dyDescent="0.3">
      <c r="A828" s="3" t="str">
        <f t="shared" si="12"/>
        <v>PFS</v>
      </c>
      <c r="C828" s="3" t="s">
        <v>850</v>
      </c>
      <c r="D828" s="3" t="s">
        <v>714</v>
      </c>
      <c r="E828" s="3" t="s">
        <v>968</v>
      </c>
      <c r="F828" s="3" t="s">
        <v>1</v>
      </c>
      <c r="G828" s="3">
        <v>2.38798213431481</v>
      </c>
      <c r="H828" s="3">
        <v>7.4201364755440897</v>
      </c>
      <c r="I828" s="3">
        <v>9.5033989902199298</v>
      </c>
      <c r="J828" s="3">
        <v>13.391276235545901</v>
      </c>
      <c r="K828" s="3">
        <v>15.612948401689801</v>
      </c>
      <c r="L828" s="3">
        <v>17.013734357184202</v>
      </c>
      <c r="M828" s="3">
        <v>17.784114867261302</v>
      </c>
      <c r="N828" s="3">
        <v>18.575355464569999</v>
      </c>
      <c r="O828" s="3">
        <v>18.900275205076401</v>
      </c>
      <c r="P828" s="3">
        <v>19.220957955608601</v>
      </c>
    </row>
    <row r="829" spans="1:16" x14ac:dyDescent="0.3">
      <c r="A829" s="3" t="str">
        <f t="shared" si="12"/>
        <v>PFS</v>
      </c>
      <c r="C829" s="3" t="s">
        <v>850</v>
      </c>
      <c r="D829" s="3" t="s">
        <v>714</v>
      </c>
      <c r="E829" s="3" t="s">
        <v>968</v>
      </c>
      <c r="F829" s="3" t="s">
        <v>2</v>
      </c>
      <c r="G829" s="3">
        <v>24.746332897721</v>
      </c>
    </row>
    <row r="830" spans="1:16" x14ac:dyDescent="0.3">
      <c r="A830" s="3" t="str">
        <f t="shared" si="12"/>
        <v>PFS</v>
      </c>
      <c r="C830" s="3" t="s">
        <v>850</v>
      </c>
      <c r="D830" s="3" t="s">
        <v>714</v>
      </c>
      <c r="E830" s="3" t="s">
        <v>968</v>
      </c>
      <c r="F830" s="3" t="s">
        <v>3</v>
      </c>
      <c r="G830" s="3">
        <v>16.761279683068501</v>
      </c>
    </row>
    <row r="831" spans="1:16" x14ac:dyDescent="0.3">
      <c r="A831" s="3" t="str">
        <f t="shared" si="12"/>
        <v>PFS</v>
      </c>
      <c r="C831" s="3" t="s">
        <v>850</v>
      </c>
      <c r="D831" s="3" t="s">
        <v>714</v>
      </c>
      <c r="E831" s="3" t="s">
        <v>968</v>
      </c>
      <c r="F831" s="3" t="s">
        <v>4</v>
      </c>
      <c r="G831" s="3">
        <v>53.0816784478898</v>
      </c>
      <c r="I831" s="3">
        <v>12.859271780264701</v>
      </c>
    </row>
    <row r="832" spans="1:16" x14ac:dyDescent="0.3">
      <c r="A832" s="3" t="str">
        <f t="shared" si="12"/>
        <v>PFS</v>
      </c>
      <c r="C832" s="3" t="s">
        <v>850</v>
      </c>
      <c r="D832" s="3" t="s">
        <v>714</v>
      </c>
      <c r="E832" s="3" t="s">
        <v>968</v>
      </c>
      <c r="F832" s="3" t="s">
        <v>5</v>
      </c>
      <c r="G832" s="3">
        <v>46.268414661796498</v>
      </c>
    </row>
    <row r="833" spans="1:16" x14ac:dyDescent="0.3">
      <c r="A833" s="3" t="str">
        <f t="shared" si="12"/>
        <v>PFS</v>
      </c>
      <c r="C833" s="3" t="s">
        <v>850</v>
      </c>
      <c r="D833" s="3" t="s">
        <v>714</v>
      </c>
      <c r="E833" s="3" t="s">
        <v>968</v>
      </c>
      <c r="F833" s="3" t="s">
        <v>6</v>
      </c>
      <c r="G833" s="3">
        <v>160.73658172505401</v>
      </c>
    </row>
    <row r="834" spans="1:16" x14ac:dyDescent="0.3">
      <c r="A834" s="3" t="str">
        <f t="shared" si="12"/>
        <v>COA</v>
      </c>
      <c r="C834" s="3" t="s">
        <v>850</v>
      </c>
      <c r="D834" s="3" t="s">
        <v>969</v>
      </c>
      <c r="E834" s="3" t="s">
        <v>883</v>
      </c>
      <c r="F834" s="3" t="s">
        <v>0</v>
      </c>
      <c r="G834" s="3">
        <v>4.5694074357359102E-2</v>
      </c>
      <c r="H834" s="3">
        <v>4.2325987353985801E-2</v>
      </c>
      <c r="I834" s="3">
        <v>2.88536393404927E-2</v>
      </c>
      <c r="J834" s="3">
        <v>2.88536393404927E-2</v>
      </c>
      <c r="K834" s="3">
        <v>2.88536393404927E-2</v>
      </c>
      <c r="L834" s="3">
        <v>2.88536393404927E-2</v>
      </c>
      <c r="M834" s="3">
        <v>2.88536393404927E-2</v>
      </c>
      <c r="N834" s="3">
        <v>2.88536393404927E-2</v>
      </c>
      <c r="O834" s="3">
        <v>2.88536393404927E-2</v>
      </c>
      <c r="P834" s="3">
        <v>2.88536393404927E-2</v>
      </c>
    </row>
    <row r="835" spans="1:16" x14ac:dyDescent="0.3">
      <c r="A835" s="3" t="str">
        <f t="shared" si="12"/>
        <v>COA</v>
      </c>
      <c r="C835" s="3" t="s">
        <v>850</v>
      </c>
      <c r="D835" s="3" t="s">
        <v>969</v>
      </c>
      <c r="E835" s="3" t="s">
        <v>883</v>
      </c>
      <c r="F835" s="3" t="s">
        <v>4</v>
      </c>
      <c r="G835" s="3">
        <v>1.81897733357845</v>
      </c>
      <c r="H835" s="3">
        <v>1.7173565607203101</v>
      </c>
      <c r="I835" s="3">
        <v>1.31087346928772</v>
      </c>
      <c r="J835" s="3">
        <v>1.31087346928772</v>
      </c>
      <c r="K835" s="3">
        <v>1.31087346928772</v>
      </c>
      <c r="L835" s="3">
        <v>1.31087346928772</v>
      </c>
      <c r="M835" s="3">
        <v>1.31087346928772</v>
      </c>
      <c r="N835" s="3">
        <v>1.31087346928772</v>
      </c>
      <c r="O835" s="3">
        <v>1.31087346928772</v>
      </c>
      <c r="P835" s="3">
        <v>1.31087346928772</v>
      </c>
    </row>
    <row r="836" spans="1:16" x14ac:dyDescent="0.3">
      <c r="A836" s="3" t="str">
        <f t="shared" si="12"/>
        <v>COA</v>
      </c>
      <c r="C836" s="3" t="s">
        <v>850</v>
      </c>
      <c r="D836" s="3" t="s">
        <v>969</v>
      </c>
      <c r="E836" s="3" t="s">
        <v>883</v>
      </c>
      <c r="F836" s="3" t="s">
        <v>5</v>
      </c>
      <c r="G836" s="3">
        <v>1.40595266379803</v>
      </c>
      <c r="H836" s="3">
        <v>1.2227009534564699</v>
      </c>
      <c r="I836" s="3">
        <v>0.489694112090239</v>
      </c>
      <c r="J836" s="3">
        <v>0.489694112090239</v>
      </c>
      <c r="K836" s="3">
        <v>0.489694112090239</v>
      </c>
      <c r="L836" s="3">
        <v>0.489694112090239</v>
      </c>
      <c r="M836" s="3">
        <v>0.489694112090239</v>
      </c>
      <c r="N836" s="3">
        <v>0.489694112090239</v>
      </c>
      <c r="O836" s="3">
        <v>0.489694112090239</v>
      </c>
      <c r="P836" s="3">
        <v>0.489694112090239</v>
      </c>
    </row>
    <row r="837" spans="1:16" x14ac:dyDescent="0.3">
      <c r="A837" s="3" t="str">
        <f t="shared" si="12"/>
        <v>COA</v>
      </c>
      <c r="C837" s="3" t="s">
        <v>850</v>
      </c>
      <c r="D837" s="3" t="s">
        <v>969</v>
      </c>
      <c r="E837" s="3" t="s">
        <v>883</v>
      </c>
      <c r="F837" s="3" t="s">
        <v>6</v>
      </c>
      <c r="G837" s="3">
        <v>0.139065545380616</v>
      </c>
      <c r="H837" s="3">
        <v>0.111252436304493</v>
      </c>
    </row>
    <row r="838" spans="1:16" x14ac:dyDescent="0.3">
      <c r="A838" s="3" t="str">
        <f t="shared" si="12"/>
        <v>NGA</v>
      </c>
      <c r="C838" s="3" t="s">
        <v>850</v>
      </c>
      <c r="D838" s="3" t="s">
        <v>969</v>
      </c>
      <c r="E838" s="3" t="s">
        <v>884</v>
      </c>
      <c r="F838" s="3" t="s">
        <v>0</v>
      </c>
      <c r="I838" s="3">
        <v>0.32755890098810297</v>
      </c>
    </row>
    <row r="839" spans="1:16" x14ac:dyDescent="0.3">
      <c r="A839" s="3" t="str">
        <f t="shared" si="12"/>
        <v>NGA</v>
      </c>
      <c r="C839" s="3" t="s">
        <v>850</v>
      </c>
      <c r="D839" s="3" t="s">
        <v>969</v>
      </c>
      <c r="E839" s="3" t="s">
        <v>884</v>
      </c>
      <c r="F839" s="3" t="s">
        <v>1</v>
      </c>
      <c r="I839" s="3">
        <v>9.5958056251768495E-2</v>
      </c>
    </row>
    <row r="840" spans="1:16" x14ac:dyDescent="0.3">
      <c r="A840" s="3" t="str">
        <f t="shared" ref="A840:A903" si="13">RIGHT(E840,3)</f>
        <v>NGA</v>
      </c>
      <c r="C840" s="3" t="s">
        <v>850</v>
      </c>
      <c r="D840" s="3" t="s">
        <v>969</v>
      </c>
      <c r="E840" s="3" t="s">
        <v>884</v>
      </c>
      <c r="F840" s="3" t="s">
        <v>4</v>
      </c>
      <c r="G840" s="3">
        <v>7.0176040032919298</v>
      </c>
      <c r="I840" s="3">
        <v>2.2441894079122902</v>
      </c>
    </row>
    <row r="841" spans="1:16" x14ac:dyDescent="0.3">
      <c r="A841" s="3" t="str">
        <f t="shared" si="13"/>
        <v>NGA</v>
      </c>
      <c r="C841" s="3" t="s">
        <v>850</v>
      </c>
      <c r="D841" s="3" t="s">
        <v>969</v>
      </c>
      <c r="E841" s="3" t="s">
        <v>884</v>
      </c>
      <c r="F841" s="3" t="s">
        <v>5</v>
      </c>
      <c r="I841" s="3">
        <v>1.78160182551684</v>
      </c>
    </row>
    <row r="842" spans="1:16" x14ac:dyDescent="0.3">
      <c r="A842" s="3" t="str">
        <f t="shared" si="13"/>
        <v>NGA</v>
      </c>
      <c r="C842" s="3" t="s">
        <v>850</v>
      </c>
      <c r="D842" s="3" t="s">
        <v>969</v>
      </c>
      <c r="E842" s="3" t="s">
        <v>884</v>
      </c>
      <c r="F842" s="3" t="s">
        <v>6</v>
      </c>
      <c r="G842" s="3">
        <v>9.1540475529309209</v>
      </c>
      <c r="H842" s="3">
        <v>8.8109758545437202</v>
      </c>
      <c r="I842" s="3">
        <v>7.4386890609949301</v>
      </c>
      <c r="L842" s="3">
        <v>5.9753179438246802</v>
      </c>
    </row>
    <row r="843" spans="1:16" x14ac:dyDescent="0.3">
      <c r="A843" s="3" t="str">
        <f t="shared" si="13"/>
        <v>NGA</v>
      </c>
      <c r="C843" s="3" t="s">
        <v>850</v>
      </c>
      <c r="D843" s="3" t="s">
        <v>969</v>
      </c>
      <c r="E843" s="3" t="s">
        <v>885</v>
      </c>
      <c r="F843" s="3" t="s">
        <v>0</v>
      </c>
      <c r="G843" s="3">
        <v>2.6000518614736099</v>
      </c>
      <c r="I843" s="3">
        <v>0.42473231818038398</v>
      </c>
    </row>
    <row r="844" spans="1:16" x14ac:dyDescent="0.3">
      <c r="A844" s="3" t="str">
        <f t="shared" si="13"/>
        <v>NGA</v>
      </c>
      <c r="C844" s="3" t="s">
        <v>850</v>
      </c>
      <c r="D844" s="3" t="s">
        <v>969</v>
      </c>
      <c r="E844" s="3" t="s">
        <v>885</v>
      </c>
      <c r="F844" s="3" t="s">
        <v>1</v>
      </c>
      <c r="G844" s="3">
        <v>1.6689897191554901</v>
      </c>
    </row>
    <row r="845" spans="1:16" x14ac:dyDescent="0.3">
      <c r="A845" s="3" t="str">
        <f t="shared" si="13"/>
        <v>NGA</v>
      </c>
      <c r="C845" s="3" t="s">
        <v>850</v>
      </c>
      <c r="D845" s="3" t="s">
        <v>969</v>
      </c>
      <c r="E845" s="3" t="s">
        <v>885</v>
      </c>
      <c r="F845" s="3" t="s">
        <v>2</v>
      </c>
      <c r="G845" s="3">
        <v>1.3701612761968101</v>
      </c>
      <c r="L845" s="3">
        <v>0.211487431346189</v>
      </c>
    </row>
    <row r="846" spans="1:16" x14ac:dyDescent="0.3">
      <c r="A846" s="3" t="str">
        <f t="shared" si="13"/>
        <v>NGA</v>
      </c>
      <c r="C846" s="3" t="s">
        <v>850</v>
      </c>
      <c r="D846" s="3" t="s">
        <v>969</v>
      </c>
      <c r="E846" s="3" t="s">
        <v>885</v>
      </c>
      <c r="F846" s="3" t="s">
        <v>4</v>
      </c>
      <c r="I846" s="3">
        <v>2.57975677783931</v>
      </c>
      <c r="J846" s="3">
        <v>2.57975677783931</v>
      </c>
      <c r="K846" s="3">
        <v>2.57975677783931</v>
      </c>
      <c r="L846" s="3">
        <v>2.57975677783931</v>
      </c>
      <c r="M846" s="3">
        <v>2.57975677783931</v>
      </c>
    </row>
    <row r="847" spans="1:16" x14ac:dyDescent="0.3">
      <c r="A847" s="3" t="str">
        <f t="shared" si="13"/>
        <v>NGA</v>
      </c>
      <c r="C847" s="3" t="s">
        <v>850</v>
      </c>
      <c r="D847" s="3" t="s">
        <v>969</v>
      </c>
      <c r="E847" s="3" t="s">
        <v>885</v>
      </c>
      <c r="F847" s="3" t="s">
        <v>5</v>
      </c>
      <c r="G847" s="3">
        <v>6.9580503873568604</v>
      </c>
      <c r="I847" s="3">
        <v>1.0383253421179</v>
      </c>
      <c r="J847" s="3">
        <v>1.0383253421179</v>
      </c>
      <c r="L847" s="3">
        <v>1.0383253421179</v>
      </c>
    </row>
    <row r="848" spans="1:16" x14ac:dyDescent="0.3">
      <c r="A848" s="3" t="str">
        <f t="shared" si="13"/>
        <v>NGA</v>
      </c>
      <c r="C848" s="3" t="s">
        <v>850</v>
      </c>
      <c r="D848" s="3" t="s">
        <v>969</v>
      </c>
      <c r="E848" s="3" t="s">
        <v>885</v>
      </c>
      <c r="F848" s="3" t="s">
        <v>6</v>
      </c>
      <c r="G848" s="3">
        <v>32.951547059406799</v>
      </c>
      <c r="I848" s="3">
        <v>15.4742589130478</v>
      </c>
      <c r="J848" s="3">
        <v>15.4742589130478</v>
      </c>
      <c r="K848" s="3">
        <v>15.4742589130478</v>
      </c>
      <c r="L848" s="3">
        <v>15.4742589130478</v>
      </c>
      <c r="M848" s="3">
        <v>15.4742589130478</v>
      </c>
    </row>
    <row r="849" spans="1:16" x14ac:dyDescent="0.3">
      <c r="A849" s="3" t="str">
        <f t="shared" si="13"/>
        <v>COA</v>
      </c>
      <c r="C849" s="3" t="s">
        <v>850</v>
      </c>
      <c r="D849" s="3" t="s">
        <v>969</v>
      </c>
      <c r="E849" s="3" t="s">
        <v>886</v>
      </c>
      <c r="F849" s="3" t="s">
        <v>4</v>
      </c>
      <c r="G849" s="3">
        <v>8.6748337645058293E-2</v>
      </c>
      <c r="J849" s="3">
        <v>8.6748337645058293E-2</v>
      </c>
      <c r="K849" s="3">
        <v>8.6748337645058293E-2</v>
      </c>
      <c r="L849" s="3">
        <v>8.6748337645058293E-2</v>
      </c>
      <c r="M849" s="3">
        <v>8.6748337645058293E-2</v>
      </c>
      <c r="N849" s="3">
        <v>8.6748337645058293E-2</v>
      </c>
      <c r="O849" s="3">
        <v>8.6748337645058293E-2</v>
      </c>
      <c r="P849" s="3">
        <v>8.6748337645058293E-2</v>
      </c>
    </row>
    <row r="850" spans="1:16" x14ac:dyDescent="0.3">
      <c r="A850" s="3" t="str">
        <f t="shared" si="13"/>
        <v>COA</v>
      </c>
      <c r="C850" s="3" t="s">
        <v>850</v>
      </c>
      <c r="D850" s="3" t="s">
        <v>969</v>
      </c>
      <c r="E850" s="3" t="s">
        <v>886</v>
      </c>
      <c r="F850" s="3" t="s">
        <v>5</v>
      </c>
      <c r="G850" s="3">
        <v>0.66416373941448104</v>
      </c>
      <c r="J850" s="3">
        <v>0.66416373941448104</v>
      </c>
      <c r="K850" s="3">
        <v>0.66416373941448104</v>
      </c>
      <c r="L850" s="3">
        <v>0.66416373941448104</v>
      </c>
      <c r="M850" s="3">
        <v>0.66416373941448104</v>
      </c>
      <c r="N850" s="3">
        <v>0.66416373941448104</v>
      </c>
      <c r="O850" s="3">
        <v>0.66416373941448104</v>
      </c>
      <c r="P850" s="3">
        <v>0.66416373941448104</v>
      </c>
    </row>
    <row r="851" spans="1:16" x14ac:dyDescent="0.3">
      <c r="A851" s="3" t="str">
        <f t="shared" si="13"/>
        <v>COA</v>
      </c>
      <c r="C851" s="3" t="s">
        <v>850</v>
      </c>
      <c r="D851" s="3" t="s">
        <v>969</v>
      </c>
      <c r="E851" s="3" t="s">
        <v>887</v>
      </c>
      <c r="F851" s="3" t="s">
        <v>4</v>
      </c>
      <c r="G851" s="3">
        <v>0.117221311339616</v>
      </c>
      <c r="J851" s="3">
        <v>0.117221311339616</v>
      </c>
      <c r="K851" s="3">
        <v>0.117221311339616</v>
      </c>
      <c r="L851" s="3">
        <v>0.117221311339616</v>
      </c>
      <c r="M851" s="3">
        <v>0.117221311339616</v>
      </c>
      <c r="N851" s="3">
        <v>0.117221311339616</v>
      </c>
      <c r="O851" s="3">
        <v>0.117221311339616</v>
      </c>
      <c r="P851" s="3">
        <v>0.117221311339616</v>
      </c>
    </row>
    <row r="852" spans="1:16" x14ac:dyDescent="0.3">
      <c r="A852" s="3" t="str">
        <f t="shared" si="13"/>
        <v>NGA</v>
      </c>
      <c r="C852" s="3" t="s">
        <v>850</v>
      </c>
      <c r="D852" s="3" t="s">
        <v>969</v>
      </c>
      <c r="E852" s="3" t="s">
        <v>888</v>
      </c>
      <c r="F852" s="3" t="s">
        <v>1</v>
      </c>
      <c r="G852" s="3">
        <v>8.8859049185964004E-3</v>
      </c>
    </row>
    <row r="853" spans="1:16" x14ac:dyDescent="0.3">
      <c r="A853" s="3" t="str">
        <f t="shared" si="13"/>
        <v>NGA</v>
      </c>
      <c r="C853" s="3" t="s">
        <v>850</v>
      </c>
      <c r="D853" s="3" t="s">
        <v>969</v>
      </c>
      <c r="E853" s="3" t="s">
        <v>889</v>
      </c>
      <c r="F853" s="3" t="s">
        <v>1</v>
      </c>
      <c r="G853" s="3">
        <v>1.46839779954451E-2</v>
      </c>
    </row>
    <row r="854" spans="1:16" x14ac:dyDescent="0.3">
      <c r="A854" s="3" t="str">
        <f t="shared" si="13"/>
        <v>NGA</v>
      </c>
      <c r="C854" s="3" t="s">
        <v>850</v>
      </c>
      <c r="D854" s="3" t="s">
        <v>969</v>
      </c>
      <c r="E854" s="3" t="s">
        <v>889</v>
      </c>
      <c r="F854" s="3" t="s">
        <v>8</v>
      </c>
      <c r="G854" s="3">
        <v>3.2085814744734202E-2</v>
      </c>
      <c r="I854" s="3">
        <v>3.2085814744734202E-2</v>
      </c>
    </row>
    <row r="855" spans="1:16" x14ac:dyDescent="0.3">
      <c r="A855" s="3" t="str">
        <f t="shared" si="13"/>
        <v>NGA</v>
      </c>
      <c r="C855" s="3" t="s">
        <v>850</v>
      </c>
      <c r="D855" s="3" t="s">
        <v>969</v>
      </c>
      <c r="E855" s="3" t="s">
        <v>1198</v>
      </c>
      <c r="F855" s="3" t="s">
        <v>3</v>
      </c>
      <c r="I855" s="3">
        <v>7.69988970306536E-3</v>
      </c>
    </row>
    <row r="856" spans="1:16" x14ac:dyDescent="0.3">
      <c r="A856" s="3" t="str">
        <f t="shared" si="13"/>
        <v>NGA</v>
      </c>
      <c r="C856" s="3" t="s">
        <v>850</v>
      </c>
      <c r="D856" s="3" t="s">
        <v>969</v>
      </c>
      <c r="E856" s="3" t="s">
        <v>1198</v>
      </c>
      <c r="F856" s="3" t="s">
        <v>4</v>
      </c>
      <c r="I856" s="3">
        <v>6.5282112584094998</v>
      </c>
    </row>
    <row r="857" spans="1:16" x14ac:dyDescent="0.3">
      <c r="A857" s="3" t="str">
        <f t="shared" si="13"/>
        <v>NGA</v>
      </c>
      <c r="C857" s="3" t="s">
        <v>850</v>
      </c>
      <c r="D857" s="3" t="s">
        <v>969</v>
      </c>
      <c r="E857" s="3" t="s">
        <v>1198</v>
      </c>
      <c r="F857" s="3" t="s">
        <v>5</v>
      </c>
      <c r="I857" s="3">
        <v>16.193747918842199</v>
      </c>
    </row>
    <row r="858" spans="1:16" x14ac:dyDescent="0.3">
      <c r="A858" s="3" t="str">
        <f t="shared" si="13"/>
        <v>NGA</v>
      </c>
      <c r="C858" s="3" t="s">
        <v>850</v>
      </c>
      <c r="D858" s="3" t="s">
        <v>969</v>
      </c>
      <c r="E858" s="3" t="s">
        <v>1198</v>
      </c>
      <c r="F858" s="3" t="s">
        <v>6</v>
      </c>
      <c r="I858" s="3">
        <v>25.4064195119362</v>
      </c>
    </row>
    <row r="859" spans="1:16" x14ac:dyDescent="0.3">
      <c r="A859" s="3" t="str">
        <f t="shared" si="13"/>
        <v>NGA</v>
      </c>
      <c r="C859" s="3" t="s">
        <v>850</v>
      </c>
      <c r="D859" s="3" t="s">
        <v>969</v>
      </c>
      <c r="E859" s="3" t="s">
        <v>1198</v>
      </c>
      <c r="F859" s="3" t="s">
        <v>7</v>
      </c>
      <c r="I859" s="3">
        <v>9.7661666116943911E-4</v>
      </c>
    </row>
    <row r="860" spans="1:16" x14ac:dyDescent="0.3">
      <c r="A860" s="3" t="str">
        <f t="shared" si="13"/>
        <v>NGA</v>
      </c>
      <c r="C860" s="3" t="s">
        <v>850</v>
      </c>
      <c r="D860" s="3" t="s">
        <v>969</v>
      </c>
      <c r="E860" s="3" t="s">
        <v>1198</v>
      </c>
      <c r="F860" s="3" t="s">
        <v>8</v>
      </c>
      <c r="I860" s="3">
        <v>0.119143437655894</v>
      </c>
    </row>
    <row r="861" spans="1:16" x14ac:dyDescent="0.3">
      <c r="A861" s="3" t="str">
        <f t="shared" si="13"/>
        <v>NGA</v>
      </c>
      <c r="C861" s="3" t="s">
        <v>850</v>
      </c>
      <c r="D861" s="3" t="s">
        <v>969</v>
      </c>
      <c r="E861" s="3" t="s">
        <v>1199</v>
      </c>
      <c r="F861" s="3" t="s">
        <v>0</v>
      </c>
      <c r="M861" s="3">
        <v>0.72948830853772395</v>
      </c>
      <c r="N861" s="3">
        <v>0.72948830853772395</v>
      </c>
      <c r="O861" s="3">
        <v>0.72948830853772395</v>
      </c>
      <c r="P861" s="3">
        <v>0.73860231754557493</v>
      </c>
    </row>
    <row r="862" spans="1:16" x14ac:dyDescent="0.3">
      <c r="A862" s="3" t="str">
        <f t="shared" si="13"/>
        <v>NGA</v>
      </c>
      <c r="C862" s="3" t="s">
        <v>850</v>
      </c>
      <c r="D862" s="3" t="s">
        <v>969</v>
      </c>
      <c r="E862" s="3" t="s">
        <v>1199</v>
      </c>
      <c r="F862" s="3" t="s">
        <v>1</v>
      </c>
      <c r="M862" s="3">
        <v>3.01085436405228</v>
      </c>
      <c r="N862" s="3">
        <v>3.01085436405228</v>
      </c>
      <c r="O862" s="3">
        <v>3.01085436405228</v>
      </c>
      <c r="P862" s="3">
        <v>3.01085436405228</v>
      </c>
    </row>
    <row r="863" spans="1:16" x14ac:dyDescent="0.3">
      <c r="A863" s="3" t="str">
        <f t="shared" si="13"/>
        <v>NGA</v>
      </c>
      <c r="C863" s="3" t="s">
        <v>850</v>
      </c>
      <c r="D863" s="3" t="s">
        <v>969</v>
      </c>
      <c r="E863" s="3" t="s">
        <v>1199</v>
      </c>
      <c r="F863" s="3" t="s">
        <v>2</v>
      </c>
      <c r="M863" s="3">
        <v>3.4488162183320998</v>
      </c>
      <c r="N863" s="3">
        <v>3.4488162183320998</v>
      </c>
      <c r="O863" s="3">
        <v>3.4488162183320998</v>
      </c>
      <c r="P863" s="3">
        <v>3.4488162183320998</v>
      </c>
    </row>
    <row r="864" spans="1:16" x14ac:dyDescent="0.3">
      <c r="A864" s="3" t="str">
        <f t="shared" si="13"/>
        <v>NGA</v>
      </c>
      <c r="C864" s="3" t="s">
        <v>850</v>
      </c>
      <c r="D864" s="3" t="s">
        <v>969</v>
      </c>
      <c r="E864" s="3" t="s">
        <v>1199</v>
      </c>
      <c r="F864" s="3" t="s">
        <v>3</v>
      </c>
      <c r="M864" s="3">
        <v>0.140591701952789</v>
      </c>
      <c r="N864" s="3">
        <v>0.140591701952789</v>
      </c>
      <c r="O864" s="3">
        <v>0.140591701952789</v>
      </c>
      <c r="P864" s="3">
        <v>0.140591701952789</v>
      </c>
    </row>
    <row r="865" spans="1:16" x14ac:dyDescent="0.3">
      <c r="A865" s="3" t="str">
        <f t="shared" si="13"/>
        <v>NGA</v>
      </c>
      <c r="C865" s="3" t="s">
        <v>850</v>
      </c>
      <c r="D865" s="3" t="s">
        <v>969</v>
      </c>
      <c r="E865" s="3" t="s">
        <v>1199</v>
      </c>
      <c r="F865" s="3" t="s">
        <v>4</v>
      </c>
      <c r="M865" s="3">
        <v>27.238904195732999</v>
      </c>
      <c r="N865" s="3">
        <v>27.238904195732999</v>
      </c>
      <c r="O865" s="3">
        <v>27.238904195732999</v>
      </c>
      <c r="P865" s="3">
        <v>27.238904195732999</v>
      </c>
    </row>
    <row r="866" spans="1:16" x14ac:dyDescent="0.3">
      <c r="A866" s="3" t="str">
        <f t="shared" si="13"/>
        <v>NGA</v>
      </c>
      <c r="C866" s="3" t="s">
        <v>850</v>
      </c>
      <c r="D866" s="3" t="s">
        <v>969</v>
      </c>
      <c r="E866" s="3" t="s">
        <v>1199</v>
      </c>
      <c r="F866" s="3" t="s">
        <v>5</v>
      </c>
      <c r="M866" s="3">
        <v>7.7977104555055901</v>
      </c>
      <c r="N866" s="3">
        <v>7.7977104555055901</v>
      </c>
      <c r="O866" s="3">
        <v>7.7977104555055901</v>
      </c>
      <c r="P866" s="3">
        <v>7.7977104555055901</v>
      </c>
    </row>
    <row r="867" spans="1:16" x14ac:dyDescent="0.3">
      <c r="A867" s="3" t="str">
        <f t="shared" si="13"/>
        <v>NGA</v>
      </c>
      <c r="C867" s="3" t="s">
        <v>850</v>
      </c>
      <c r="D867" s="3" t="s">
        <v>969</v>
      </c>
      <c r="E867" s="3" t="s">
        <v>1199</v>
      </c>
      <c r="F867" s="3" t="s">
        <v>6</v>
      </c>
      <c r="M867" s="3">
        <v>34.720221472082301</v>
      </c>
      <c r="N867" s="3">
        <v>34.720221472082301</v>
      </c>
      <c r="O867" s="3">
        <v>34.720221472082301</v>
      </c>
      <c r="P867" s="3">
        <v>34.720221472082301</v>
      </c>
    </row>
    <row r="868" spans="1:16" x14ac:dyDescent="0.3">
      <c r="A868" s="3" t="str">
        <f t="shared" si="13"/>
        <v>NGA</v>
      </c>
      <c r="C868" s="3" t="s">
        <v>850</v>
      </c>
      <c r="D868" s="3" t="s">
        <v>969</v>
      </c>
      <c r="E868" s="3" t="s">
        <v>1199</v>
      </c>
      <c r="F868" s="3" t="s">
        <v>8</v>
      </c>
      <c r="M868" s="3">
        <v>0.66122855509855005</v>
      </c>
      <c r="N868" s="3">
        <v>0.69064755518929388</v>
      </c>
      <c r="O868" s="3">
        <v>0.70272834819707908</v>
      </c>
      <c r="P868" s="3">
        <v>0.70576734174943367</v>
      </c>
    </row>
    <row r="869" spans="1:16" x14ac:dyDescent="0.3">
      <c r="A869" s="3" t="str">
        <f t="shared" si="13"/>
        <v>COA</v>
      </c>
      <c r="C869" s="3" t="s">
        <v>850</v>
      </c>
      <c r="D869" s="3" t="s">
        <v>969</v>
      </c>
      <c r="E869" s="3" t="s">
        <v>1200</v>
      </c>
      <c r="F869" s="3" t="s">
        <v>0</v>
      </c>
      <c r="H869" s="3">
        <v>2.81654224742607</v>
      </c>
      <c r="I869" s="3">
        <v>2.88037344174418</v>
      </c>
      <c r="J869" s="3">
        <v>5.1306059446101004</v>
      </c>
      <c r="K869" s="3">
        <v>5.9865831904219</v>
      </c>
      <c r="L869" s="3">
        <v>6.5262851871557297</v>
      </c>
      <c r="M869" s="3">
        <v>6.0936130323655799</v>
      </c>
      <c r="N869" s="3">
        <v>6.3984662675007904</v>
      </c>
      <c r="O869" s="3">
        <v>6.5236530114438898</v>
      </c>
      <c r="P869" s="3">
        <v>6.5262851871557297</v>
      </c>
    </row>
    <row r="870" spans="1:16" x14ac:dyDescent="0.3">
      <c r="A870" s="3" t="str">
        <f t="shared" si="13"/>
        <v>COA</v>
      </c>
      <c r="C870" s="3" t="s">
        <v>850</v>
      </c>
      <c r="D870" s="3" t="s">
        <v>969</v>
      </c>
      <c r="E870" s="3" t="s">
        <v>1200</v>
      </c>
      <c r="F870" s="3" t="s">
        <v>1</v>
      </c>
      <c r="H870" s="3">
        <v>4.9484383315761598</v>
      </c>
      <c r="I870" s="3">
        <v>3.62231929686159</v>
      </c>
      <c r="J870" s="3">
        <v>8.9924482315543308</v>
      </c>
      <c r="K870" s="3">
        <v>10.484335307149401</v>
      </c>
      <c r="L870" s="3">
        <v>11.4249846498039</v>
      </c>
      <c r="M870" s="3">
        <v>8.9314526629182094</v>
      </c>
      <c r="N870" s="3">
        <v>9.4627829099275402</v>
      </c>
      <c r="O870" s="3">
        <v>9.6809715197747597</v>
      </c>
      <c r="P870" s="3">
        <v>9.8963149256003504</v>
      </c>
    </row>
    <row r="871" spans="1:16" x14ac:dyDescent="0.3">
      <c r="A871" s="3" t="str">
        <f t="shared" si="13"/>
        <v>COA</v>
      </c>
      <c r="C871" s="3" t="s">
        <v>850</v>
      </c>
      <c r="D871" s="3" t="s">
        <v>969</v>
      </c>
      <c r="E871" s="3" t="s">
        <v>1200</v>
      </c>
      <c r="F871" s="3" t="s">
        <v>2</v>
      </c>
      <c r="H871" s="3">
        <v>14.039875328001401</v>
      </c>
      <c r="I871" s="3">
        <v>5.5742630422018404</v>
      </c>
      <c r="J871" s="3">
        <v>20.950172235428099</v>
      </c>
      <c r="K871" s="3">
        <v>24.494717456610701</v>
      </c>
      <c r="L871" s="3">
        <v>24.494717456610701</v>
      </c>
      <c r="M871" s="3">
        <v>24.494717456610701</v>
      </c>
      <c r="N871" s="3">
        <v>21.547508716508201</v>
      </c>
      <c r="O871" s="3">
        <v>21.694398418784498</v>
      </c>
      <c r="P871" s="3">
        <v>22.206028590074698</v>
      </c>
    </row>
    <row r="872" spans="1:16" x14ac:dyDescent="0.3">
      <c r="A872" s="3" t="str">
        <f t="shared" si="13"/>
        <v>COA</v>
      </c>
      <c r="C872" s="3" t="s">
        <v>850</v>
      </c>
      <c r="D872" s="3" t="s">
        <v>969</v>
      </c>
      <c r="E872" s="3" t="s">
        <v>1200</v>
      </c>
      <c r="F872" s="3" t="s">
        <v>3</v>
      </c>
      <c r="H872" s="3">
        <v>1.5399779406127499E-3</v>
      </c>
      <c r="J872" s="3">
        <v>0.11727221218058</v>
      </c>
      <c r="K872" s="3">
        <v>0.13672819270707701</v>
      </c>
      <c r="L872" s="3">
        <v>0.14899537806736299</v>
      </c>
    </row>
    <row r="873" spans="1:16" x14ac:dyDescent="0.3">
      <c r="A873" s="3" t="str">
        <f t="shared" si="13"/>
        <v>COA</v>
      </c>
      <c r="C873" s="3" t="s">
        <v>850</v>
      </c>
      <c r="D873" s="3" t="s">
        <v>969</v>
      </c>
      <c r="E873" s="3" t="s">
        <v>1200</v>
      </c>
      <c r="F873" s="3" t="s">
        <v>4</v>
      </c>
      <c r="H873" s="3">
        <v>16.281540095901399</v>
      </c>
      <c r="J873" s="3">
        <v>23.6118525479644</v>
      </c>
      <c r="K873" s="3">
        <v>28.208475986603101</v>
      </c>
      <c r="L873" s="3">
        <v>29.305218426809599</v>
      </c>
      <c r="M873" s="3">
        <v>5.4465491302298803</v>
      </c>
      <c r="N873" s="3">
        <v>7.8619034669349697</v>
      </c>
      <c r="O873" s="3">
        <v>8.5341600300985192</v>
      </c>
      <c r="P873" s="3">
        <v>9.1976502920403203</v>
      </c>
    </row>
    <row r="874" spans="1:16" x14ac:dyDescent="0.3">
      <c r="A874" s="3" t="str">
        <f t="shared" si="13"/>
        <v>COA</v>
      </c>
      <c r="C874" s="3" t="s">
        <v>850</v>
      </c>
      <c r="D874" s="3" t="s">
        <v>969</v>
      </c>
      <c r="E874" s="3" t="s">
        <v>1200</v>
      </c>
      <c r="F874" s="3" t="s">
        <v>5</v>
      </c>
      <c r="H874" s="3">
        <v>18.021755457266199</v>
      </c>
      <c r="J874" s="3">
        <v>32.8670430935817</v>
      </c>
      <c r="K874" s="3">
        <v>38.695462199692798</v>
      </c>
      <c r="L874" s="3">
        <v>38.695462199692798</v>
      </c>
      <c r="M874" s="3">
        <v>37.593243129228199</v>
      </c>
      <c r="N874" s="3">
        <v>38.695462199692798</v>
      </c>
      <c r="O874" s="3">
        <v>38.695462199692798</v>
      </c>
      <c r="P874" s="3">
        <v>37.699580883192603</v>
      </c>
    </row>
    <row r="875" spans="1:16" x14ac:dyDescent="0.3">
      <c r="A875" s="3" t="str">
        <f t="shared" si="13"/>
        <v>COA</v>
      </c>
      <c r="C875" s="3" t="s">
        <v>850</v>
      </c>
      <c r="D875" s="3" t="s">
        <v>969</v>
      </c>
      <c r="E875" s="3" t="s">
        <v>1200</v>
      </c>
      <c r="F875" s="3" t="s">
        <v>6</v>
      </c>
      <c r="H875" s="3">
        <v>35.161799018045798</v>
      </c>
      <c r="J875" s="3">
        <v>65.130963035427598</v>
      </c>
      <c r="K875" s="3">
        <v>78.503727131909301</v>
      </c>
      <c r="L875" s="3">
        <v>80.960067295862501</v>
      </c>
      <c r="M875" s="3">
        <v>56.837113963835399</v>
      </c>
      <c r="N875" s="3">
        <v>77.0740349890592</v>
      </c>
      <c r="O875" s="3">
        <v>79.029802858998096</v>
      </c>
      <c r="P875" s="3">
        <v>80.960067295862501</v>
      </c>
    </row>
    <row r="876" spans="1:16" x14ac:dyDescent="0.3">
      <c r="A876" s="3" t="str">
        <f t="shared" si="13"/>
        <v>COA</v>
      </c>
      <c r="C876" s="3" t="s">
        <v>850</v>
      </c>
      <c r="D876" s="3" t="s">
        <v>969</v>
      </c>
      <c r="E876" s="3" t="s">
        <v>1200</v>
      </c>
      <c r="F876" s="3" t="s">
        <v>7</v>
      </c>
      <c r="H876" s="3">
        <v>9.7745208592483201E-3</v>
      </c>
      <c r="J876" s="3">
        <v>1.48742385572295E-2</v>
      </c>
      <c r="K876" s="3">
        <v>1.7341940754833599E-2</v>
      </c>
      <c r="L876" s="3">
        <v>1.8897851043229701E-2</v>
      </c>
      <c r="M876" s="3">
        <v>4.6033694696889704E-3</v>
      </c>
    </row>
    <row r="877" spans="1:16" x14ac:dyDescent="0.3">
      <c r="A877" s="3" t="str">
        <f t="shared" si="13"/>
        <v>COA</v>
      </c>
      <c r="C877" s="3" t="s">
        <v>850</v>
      </c>
      <c r="D877" s="3" t="s">
        <v>969</v>
      </c>
      <c r="E877" s="3" t="s">
        <v>1200</v>
      </c>
      <c r="F877" s="3" t="s">
        <v>8</v>
      </c>
      <c r="H877" s="3">
        <v>0.32719152764909298</v>
      </c>
      <c r="J877" s="3">
        <v>0.49789906904257297</v>
      </c>
      <c r="K877" s="3">
        <v>0.58050273457705304</v>
      </c>
      <c r="L877" s="3">
        <v>0.63258515083826405</v>
      </c>
      <c r="P877" s="3">
        <v>8.8842645553508497E-3</v>
      </c>
    </row>
    <row r="878" spans="1:16" x14ac:dyDescent="0.3">
      <c r="A878" s="3" t="str">
        <f t="shared" si="13"/>
        <v>NGA</v>
      </c>
      <c r="C878" s="3" t="s">
        <v>850</v>
      </c>
      <c r="D878" s="3" t="s">
        <v>969</v>
      </c>
      <c r="E878" s="3" t="s">
        <v>1201</v>
      </c>
      <c r="F878" s="3" t="s">
        <v>2</v>
      </c>
      <c r="M878" s="3">
        <v>1.5150174734160599E-2</v>
      </c>
      <c r="N878" s="3">
        <v>4.5962363535299309</v>
      </c>
      <c r="O878" s="3">
        <v>4.5962363535299309</v>
      </c>
      <c r="P878" s="3">
        <v>4.5962363535299406</v>
      </c>
    </row>
    <row r="879" spans="1:16" x14ac:dyDescent="0.3">
      <c r="A879" s="3" t="str">
        <f t="shared" si="13"/>
        <v>NGA</v>
      </c>
      <c r="C879" s="3" t="s">
        <v>850</v>
      </c>
      <c r="D879" s="3" t="s">
        <v>969</v>
      </c>
      <c r="E879" s="3" t="s">
        <v>1201</v>
      </c>
      <c r="F879" s="3" t="s">
        <v>3</v>
      </c>
      <c r="M879" s="3">
        <v>1.5150174734160599E-2</v>
      </c>
      <c r="N879" s="3">
        <v>2.2079352624399189E-2</v>
      </c>
      <c r="O879" s="3">
        <v>7.0809936247873386</v>
      </c>
      <c r="P879" s="3">
        <v>7.0809936247873386</v>
      </c>
    </row>
    <row r="880" spans="1:16" x14ac:dyDescent="0.3">
      <c r="A880" s="3" t="str">
        <f t="shared" si="13"/>
        <v>NGA</v>
      </c>
      <c r="C880" s="3" t="s">
        <v>850</v>
      </c>
      <c r="D880" s="3" t="s">
        <v>969</v>
      </c>
      <c r="E880" s="3" t="s">
        <v>1201</v>
      </c>
      <c r="F880" s="3" t="s">
        <v>4</v>
      </c>
      <c r="M880" s="3">
        <v>1.5150174734160599E-2</v>
      </c>
      <c r="N880" s="3">
        <v>1.5150174734160599E-2</v>
      </c>
      <c r="O880" s="3">
        <v>1.5150174734160599E-2</v>
      </c>
      <c r="P880" s="3">
        <v>1.5150174734160599E-2</v>
      </c>
    </row>
    <row r="881" spans="1:16" x14ac:dyDescent="0.3">
      <c r="A881" s="3" t="str">
        <f t="shared" si="13"/>
        <v>NGA</v>
      </c>
      <c r="C881" s="3" t="s">
        <v>850</v>
      </c>
      <c r="D881" s="3" t="s">
        <v>969</v>
      </c>
      <c r="E881" s="3" t="s">
        <v>1201</v>
      </c>
      <c r="F881" s="3" t="s">
        <v>5</v>
      </c>
      <c r="M881" s="3">
        <v>1.5150174734160599E-2</v>
      </c>
      <c r="N881" s="3">
        <v>1.5150174734160599E-2</v>
      </c>
      <c r="O881" s="3">
        <v>1.5150174734160599E-2</v>
      </c>
      <c r="P881" s="3">
        <v>1.5150174734160599E-2</v>
      </c>
    </row>
    <row r="882" spans="1:16" x14ac:dyDescent="0.3">
      <c r="A882" s="3" t="str">
        <f t="shared" si="13"/>
        <v>NGA</v>
      </c>
      <c r="C882" s="3" t="s">
        <v>850</v>
      </c>
      <c r="D882" s="3" t="s">
        <v>969</v>
      </c>
      <c r="E882" s="3" t="s">
        <v>1201</v>
      </c>
      <c r="F882" s="3" t="s">
        <v>6</v>
      </c>
      <c r="M882" s="3">
        <v>1.5150174734160599E-2</v>
      </c>
      <c r="N882" s="3">
        <v>1.5150174734160599E-2</v>
      </c>
      <c r="O882" s="3">
        <v>1.5150174734160599E-2</v>
      </c>
      <c r="P882" s="3">
        <v>1.5150174734160599E-2</v>
      </c>
    </row>
    <row r="883" spans="1:16" x14ac:dyDescent="0.3">
      <c r="A883" s="3" t="str">
        <f t="shared" si="13"/>
        <v>NGA</v>
      </c>
      <c r="C883" s="3" t="s">
        <v>850</v>
      </c>
      <c r="D883" s="3" t="s">
        <v>969</v>
      </c>
      <c r="E883" s="3" t="s">
        <v>1201</v>
      </c>
      <c r="F883" s="3" t="s">
        <v>7</v>
      </c>
      <c r="M883" s="3">
        <v>1.5150174734160599E-2</v>
      </c>
      <c r="N883" s="3">
        <v>2.063240751706345E-2</v>
      </c>
      <c r="O883" s="3">
        <v>1.1378894895266334</v>
      </c>
      <c r="P883" s="3">
        <v>1.1442123575001244</v>
      </c>
    </row>
    <row r="884" spans="1:16" x14ac:dyDescent="0.3">
      <c r="A884" s="3" t="str">
        <f t="shared" si="13"/>
        <v>ELC</v>
      </c>
      <c r="C884" s="3" t="s">
        <v>850</v>
      </c>
      <c r="D884" s="3" t="s">
        <v>744</v>
      </c>
      <c r="E884" s="3" t="s">
        <v>970</v>
      </c>
      <c r="F884" s="3" t="s">
        <v>0</v>
      </c>
      <c r="G884" s="3">
        <v>0.66659836807281603</v>
      </c>
      <c r="H884" s="3">
        <v>0.57142027109381899</v>
      </c>
      <c r="I884" s="3">
        <v>0.73990389475946794</v>
      </c>
      <c r="J884" s="3">
        <v>1.0527007070500241</v>
      </c>
      <c r="K884" s="3">
        <v>1.2328651625805702</v>
      </c>
      <c r="L884" s="3">
        <v>1.3476858773492981</v>
      </c>
      <c r="M884" s="3">
        <v>1.4123253983474409</v>
      </c>
      <c r="N884" s="3">
        <v>1.4786254127424181</v>
      </c>
      <c r="O884" s="3">
        <v>1.5044894984300821</v>
      </c>
      <c r="P884" s="3">
        <v>1.5300163135303131</v>
      </c>
    </row>
    <row r="885" spans="1:16" x14ac:dyDescent="0.3">
      <c r="A885" s="3" t="str">
        <f t="shared" si="13"/>
        <v>ELC</v>
      </c>
      <c r="C885" s="3" t="s">
        <v>850</v>
      </c>
      <c r="D885" s="3" t="s">
        <v>744</v>
      </c>
      <c r="E885" s="3" t="s">
        <v>970</v>
      </c>
      <c r="F885" s="3" t="s">
        <v>1</v>
      </c>
      <c r="G885" s="3">
        <v>1.5117518477715901</v>
      </c>
      <c r="H885" s="3">
        <v>1.6258709047719999</v>
      </c>
      <c r="I885" s="3">
        <v>2.036706488189318</v>
      </c>
      <c r="J885" s="3">
        <v>2.897730874720108</v>
      </c>
      <c r="K885" s="3">
        <v>3.3936630060674378</v>
      </c>
      <c r="L885" s="3">
        <v>3.7097258034176779</v>
      </c>
      <c r="M885" s="3">
        <v>3.8876566573337308</v>
      </c>
      <c r="N885" s="3">
        <v>4.0701582909130245</v>
      </c>
      <c r="O885" s="3">
        <v>4.1413534170696078</v>
      </c>
      <c r="P885" s="3">
        <v>4.2116201507706768</v>
      </c>
    </row>
    <row r="886" spans="1:16" x14ac:dyDescent="0.3">
      <c r="A886" s="3" t="str">
        <f t="shared" si="13"/>
        <v>ELC</v>
      </c>
      <c r="C886" s="3" t="s">
        <v>850</v>
      </c>
      <c r="D886" s="3" t="s">
        <v>744</v>
      </c>
      <c r="E886" s="3" t="s">
        <v>970</v>
      </c>
      <c r="F886" s="3" t="s">
        <v>2</v>
      </c>
      <c r="G886" s="3">
        <v>5.9655015626915304</v>
      </c>
      <c r="H886" s="3">
        <v>6.2415760775510059</v>
      </c>
      <c r="I886" s="3">
        <v>6.6143506529275857</v>
      </c>
      <c r="J886" s="3">
        <v>9.3971301266177161</v>
      </c>
      <c r="K886" s="3">
        <v>10.998120395721656</v>
      </c>
      <c r="L886" s="3">
        <v>12.016880737633505</v>
      </c>
      <c r="M886" s="3">
        <v>12.588513436487034</v>
      </c>
      <c r="N886" s="3">
        <v>13.17494156851085</v>
      </c>
      <c r="O886" s="3">
        <v>13.40539737883396</v>
      </c>
      <c r="P886" s="3">
        <v>13.632848019461029</v>
      </c>
    </row>
    <row r="887" spans="1:16" x14ac:dyDescent="0.3">
      <c r="A887" s="3" t="str">
        <f t="shared" si="13"/>
        <v>ELC</v>
      </c>
      <c r="C887" s="3" t="s">
        <v>850</v>
      </c>
      <c r="D887" s="3" t="s">
        <v>744</v>
      </c>
      <c r="E887" s="3" t="s">
        <v>970</v>
      </c>
      <c r="F887" s="3" t="s">
        <v>3</v>
      </c>
      <c r="G887" s="3">
        <v>4.0405760544530303</v>
      </c>
      <c r="H887" s="3">
        <v>4.1284722378471495</v>
      </c>
      <c r="I887" s="3">
        <v>4.4800569714236724</v>
      </c>
      <c r="J887" s="3">
        <v>6.3648996771127031</v>
      </c>
      <c r="K887" s="3">
        <v>7.4492884542795226</v>
      </c>
      <c r="L887" s="3">
        <v>8.1393190576573033</v>
      </c>
      <c r="M887" s="3">
        <v>8.5264994767146209</v>
      </c>
      <c r="N887" s="3">
        <v>8.9237011944598699</v>
      </c>
      <c r="O887" s="3">
        <v>9.0797943945060897</v>
      </c>
      <c r="P887" s="3">
        <v>9.2338521216610587</v>
      </c>
    </row>
    <row r="888" spans="1:16" x14ac:dyDescent="0.3">
      <c r="A888" s="3" t="str">
        <f t="shared" si="13"/>
        <v>ELC</v>
      </c>
      <c r="C888" s="3" t="s">
        <v>850</v>
      </c>
      <c r="D888" s="3" t="s">
        <v>744</v>
      </c>
      <c r="E888" s="3" t="s">
        <v>970</v>
      </c>
      <c r="F888" s="3" t="s">
        <v>4</v>
      </c>
      <c r="G888" s="3">
        <v>11.061716467788999</v>
      </c>
      <c r="H888" s="3">
        <v>11.33752194028518</v>
      </c>
      <c r="I888" s="3">
        <v>12.445724166876181</v>
      </c>
      <c r="J888" s="3">
        <v>18.021524379569669</v>
      </c>
      <c r="K888" s="3">
        <v>21.275873443314889</v>
      </c>
      <c r="L888" s="3">
        <v>23.38651741296465</v>
      </c>
      <c r="M888" s="3">
        <v>24.618844863326473</v>
      </c>
      <c r="N888" s="3">
        <v>25.880235766966571</v>
      </c>
      <c r="O888" s="3">
        <v>26.332932325354712</v>
      </c>
      <c r="P888" s="3">
        <v>26.779725669686901</v>
      </c>
    </row>
    <row r="889" spans="1:16" x14ac:dyDescent="0.3">
      <c r="A889" s="3" t="str">
        <f t="shared" si="13"/>
        <v>ELC</v>
      </c>
      <c r="C889" s="3" t="s">
        <v>850</v>
      </c>
      <c r="D889" s="3" t="s">
        <v>744</v>
      </c>
      <c r="E889" s="3" t="s">
        <v>970</v>
      </c>
      <c r="F889" s="3" t="s">
        <v>5</v>
      </c>
      <c r="G889" s="3">
        <v>8.3777187590961493</v>
      </c>
      <c r="H889" s="3">
        <v>9.0104100288959508</v>
      </c>
      <c r="I889" s="3">
        <v>10.84826145964233</v>
      </c>
      <c r="J889" s="3">
        <v>15.708383517868061</v>
      </c>
      <c r="K889" s="3">
        <v>18.54502275645979</v>
      </c>
      <c r="L889" s="3">
        <v>20.384756413093189</v>
      </c>
      <c r="M889" s="3">
        <v>21.458909287298699</v>
      </c>
      <c r="N889" s="3">
        <v>22.558395194428307</v>
      </c>
      <c r="O889" s="3">
        <v>22.952986184990753</v>
      </c>
      <c r="P889" s="3">
        <v>23.342431664639392</v>
      </c>
    </row>
    <row r="890" spans="1:16" x14ac:dyDescent="0.3">
      <c r="A890" s="3" t="str">
        <f t="shared" si="13"/>
        <v>ELC</v>
      </c>
      <c r="C890" s="3" t="s">
        <v>850</v>
      </c>
      <c r="D890" s="3" t="s">
        <v>744</v>
      </c>
      <c r="E890" s="3" t="s">
        <v>970</v>
      </c>
      <c r="F890" s="3" t="s">
        <v>6</v>
      </c>
      <c r="G890" s="3">
        <v>33.495973470198898</v>
      </c>
      <c r="H890" s="3">
        <v>34.333159891213342</v>
      </c>
      <c r="I890" s="3">
        <v>37.686885911877269</v>
      </c>
      <c r="J890" s="3">
        <v>54.570961411675668</v>
      </c>
      <c r="K890" s="3">
        <v>64.425452820798071</v>
      </c>
      <c r="L890" s="3">
        <v>70.816691885575779</v>
      </c>
      <c r="M890" s="3">
        <v>74.548301505485341</v>
      </c>
      <c r="N890" s="3">
        <v>78.367918141557794</v>
      </c>
      <c r="O890" s="3">
        <v>79.738728173976611</v>
      </c>
      <c r="P890" s="3">
        <v>81.091662689338037</v>
      </c>
    </row>
    <row r="891" spans="1:16" x14ac:dyDescent="0.3">
      <c r="A891" s="3" t="str">
        <f t="shared" si="13"/>
        <v>ELC</v>
      </c>
      <c r="C891" s="3" t="s">
        <v>850</v>
      </c>
      <c r="D891" s="3" t="s">
        <v>744</v>
      </c>
      <c r="E891" s="3" t="s">
        <v>970</v>
      </c>
      <c r="F891" s="3" t="s">
        <v>7</v>
      </c>
      <c r="G891" s="3">
        <v>0.51248706769527397</v>
      </c>
      <c r="H891" s="3">
        <v>0.52342994405091459</v>
      </c>
      <c r="I891" s="3">
        <v>0.56720144947347562</v>
      </c>
      <c r="J891" s="3">
        <v>0.80390440204473967</v>
      </c>
      <c r="K891" s="3">
        <v>0.93982050140423457</v>
      </c>
      <c r="L891" s="3">
        <v>1.0260821260234976</v>
      </c>
      <c r="M891" s="3">
        <v>1.0742112410945641</v>
      </c>
      <c r="N891" s="3">
        <v>1.1236021591549861</v>
      </c>
      <c r="O891" s="3">
        <v>1.143256185301692</v>
      </c>
      <c r="P891" s="3">
        <v>1.1626539207360991</v>
      </c>
    </row>
    <row r="892" spans="1:16" x14ac:dyDescent="0.3">
      <c r="A892" s="3" t="str">
        <f t="shared" si="13"/>
        <v>ELC</v>
      </c>
      <c r="C892" s="3" t="s">
        <v>850</v>
      </c>
      <c r="D892" s="3" t="s">
        <v>744</v>
      </c>
      <c r="E892" s="3" t="s">
        <v>970</v>
      </c>
      <c r="F892" s="3" t="s">
        <v>8</v>
      </c>
      <c r="G892" s="3">
        <v>0.32135273373343898</v>
      </c>
      <c r="H892" s="3">
        <v>0.3282144156244689</v>
      </c>
      <c r="I892" s="3">
        <v>0.35566114318859132</v>
      </c>
      <c r="J892" s="3">
        <v>0.50408467557864434</v>
      </c>
      <c r="K892" s="3">
        <v>0.56960995271721326</v>
      </c>
      <c r="L892" s="3">
        <v>0.62369992031844634</v>
      </c>
      <c r="M892" s="3">
        <v>0.65387906760856562</v>
      </c>
      <c r="N892" s="3">
        <v>0.68484942284445305</v>
      </c>
      <c r="O892" s="3">
        <v>0.69717339242190446</v>
      </c>
      <c r="P892" s="3">
        <v>0.70933665604944651</v>
      </c>
    </row>
    <row r="893" spans="1:16" x14ac:dyDescent="0.3">
      <c r="A893" s="3" t="str">
        <f t="shared" si="13"/>
        <v>NGA</v>
      </c>
      <c r="C893" s="3" t="s">
        <v>850</v>
      </c>
      <c r="D893" s="3" t="s">
        <v>744</v>
      </c>
      <c r="E893" s="3" t="s">
        <v>971</v>
      </c>
      <c r="F893" s="3" t="s">
        <v>0</v>
      </c>
      <c r="H893" s="3">
        <v>1.9233424857426101E-2</v>
      </c>
      <c r="I893" s="3">
        <v>1.6580538670194898E-2</v>
      </c>
      <c r="J893" s="3">
        <v>1.32644309361559E-2</v>
      </c>
      <c r="K893" s="3">
        <v>9.9483232021169501E-3</v>
      </c>
      <c r="L893" s="3">
        <v>6.6322154680779699E-3</v>
      </c>
      <c r="M893" s="3">
        <v>3.3161077340389802E-3</v>
      </c>
    </row>
    <row r="894" spans="1:16" x14ac:dyDescent="0.3">
      <c r="A894" s="3" t="str">
        <f t="shared" si="13"/>
        <v>NGA</v>
      </c>
      <c r="C894" s="3" t="s">
        <v>850</v>
      </c>
      <c r="D894" s="3" t="s">
        <v>744</v>
      </c>
      <c r="E894" s="3" t="s">
        <v>971</v>
      </c>
      <c r="F894" s="3" t="s">
        <v>1</v>
      </c>
      <c r="I894" s="3">
        <v>4.5640644584305001E-2</v>
      </c>
      <c r="J894" s="3">
        <v>3.6512515667443998E-2</v>
      </c>
      <c r="K894" s="3">
        <v>2.7384386750582999E-2</v>
      </c>
      <c r="L894" s="3">
        <v>1.8256257833721999E-2</v>
      </c>
      <c r="M894" s="3">
        <v>9.1281289168609996E-3</v>
      </c>
    </row>
    <row r="895" spans="1:16" x14ac:dyDescent="0.3">
      <c r="A895" s="3" t="str">
        <f t="shared" si="13"/>
        <v>NGA</v>
      </c>
      <c r="C895" s="3" t="s">
        <v>850</v>
      </c>
      <c r="D895" s="3" t="s">
        <v>744</v>
      </c>
      <c r="E895" s="3" t="s">
        <v>971</v>
      </c>
      <c r="F895" s="3" t="s">
        <v>2</v>
      </c>
      <c r="G895" s="3">
        <v>0.15134968635752899</v>
      </c>
      <c r="I895" s="3">
        <v>0.12612473863127399</v>
      </c>
      <c r="J895" s="3">
        <v>0.10089979090501899</v>
      </c>
      <c r="K895" s="3">
        <v>7.5674843178764495E-2</v>
      </c>
      <c r="L895" s="3">
        <v>5.0449895452509698E-2</v>
      </c>
      <c r="M895" s="3">
        <v>2.52249477262548E-2</v>
      </c>
    </row>
    <row r="896" spans="1:16" x14ac:dyDescent="0.3">
      <c r="A896" s="3" t="str">
        <f t="shared" si="13"/>
        <v>NGA</v>
      </c>
      <c r="C896" s="3" t="s">
        <v>850</v>
      </c>
      <c r="D896" s="3" t="s">
        <v>744</v>
      </c>
      <c r="E896" s="3" t="s">
        <v>971</v>
      </c>
      <c r="F896" s="3" t="s">
        <v>3</v>
      </c>
      <c r="G896" s="3">
        <v>0.10251274132083101</v>
      </c>
      <c r="H896" s="3">
        <v>9.9095649943470004E-2</v>
      </c>
      <c r="I896" s="3">
        <v>8.5427284434025794E-2</v>
      </c>
      <c r="J896" s="3">
        <v>6.8341827547220693E-2</v>
      </c>
      <c r="K896" s="3">
        <v>5.1256370660415503E-2</v>
      </c>
      <c r="L896" s="3">
        <v>3.4170913773610298E-2</v>
      </c>
      <c r="M896" s="3">
        <v>1.7085456886805201E-2</v>
      </c>
    </row>
    <row r="897" spans="1:16" x14ac:dyDescent="0.3">
      <c r="A897" s="3" t="str">
        <f t="shared" si="13"/>
        <v>NGA</v>
      </c>
      <c r="C897" s="3" t="s">
        <v>850</v>
      </c>
      <c r="D897" s="3" t="s">
        <v>744</v>
      </c>
      <c r="E897" s="3" t="s">
        <v>971</v>
      </c>
      <c r="F897" s="3" t="s">
        <v>4</v>
      </c>
      <c r="G897" s="3">
        <v>0.95269344384452903</v>
      </c>
      <c r="H897" s="3">
        <v>0.92214057706289998</v>
      </c>
      <c r="I897" s="3">
        <v>0.79494877333008696</v>
      </c>
      <c r="J897" s="3">
        <v>0.63595901866406901</v>
      </c>
      <c r="K897" s="3">
        <v>0.47696926399805201</v>
      </c>
      <c r="L897" s="3">
        <v>0.317979509332035</v>
      </c>
      <c r="M897" s="3">
        <v>0.158989754666017</v>
      </c>
    </row>
    <row r="898" spans="1:16" x14ac:dyDescent="0.3">
      <c r="A898" s="3" t="str">
        <f t="shared" si="13"/>
        <v>NGA</v>
      </c>
      <c r="C898" s="3" t="s">
        <v>850</v>
      </c>
      <c r="D898" s="3" t="s">
        <v>744</v>
      </c>
      <c r="E898" s="3" t="s">
        <v>971</v>
      </c>
      <c r="F898" s="3" t="s">
        <v>5</v>
      </c>
      <c r="I898" s="3">
        <v>0.69291364845274805</v>
      </c>
      <c r="J898" s="3">
        <v>0.55433091876219898</v>
      </c>
      <c r="K898" s="3">
        <v>0.41574818907164901</v>
      </c>
      <c r="L898" s="3">
        <v>0.27716545938109899</v>
      </c>
      <c r="M898" s="3">
        <v>0.13858272969054999</v>
      </c>
    </row>
    <row r="899" spans="1:16" x14ac:dyDescent="0.3">
      <c r="A899" s="3" t="str">
        <f t="shared" si="13"/>
        <v>NGA</v>
      </c>
      <c r="C899" s="3" t="s">
        <v>850</v>
      </c>
      <c r="D899" s="3" t="s">
        <v>744</v>
      </c>
      <c r="E899" s="3" t="s">
        <v>971</v>
      </c>
      <c r="F899" s="3" t="s">
        <v>6</v>
      </c>
      <c r="G899" s="3">
        <v>2.8873752957870602</v>
      </c>
      <c r="H899" s="3">
        <v>2.79233303394069</v>
      </c>
      <c r="I899" s="3">
        <v>2.4071836499488701</v>
      </c>
      <c r="J899" s="3">
        <v>1.92574691995909</v>
      </c>
      <c r="K899" s="3">
        <v>1.44431018996932</v>
      </c>
      <c r="L899" s="3">
        <v>0.96287345997954699</v>
      </c>
      <c r="M899" s="3">
        <v>0.48143672998977299</v>
      </c>
    </row>
    <row r="900" spans="1:16" x14ac:dyDescent="0.3">
      <c r="A900" s="3" t="str">
        <f t="shared" si="13"/>
        <v>NGA</v>
      </c>
      <c r="C900" s="3" t="s">
        <v>850</v>
      </c>
      <c r="D900" s="3" t="s">
        <v>744</v>
      </c>
      <c r="E900" s="3" t="s">
        <v>971</v>
      </c>
      <c r="F900" s="3" t="s">
        <v>7</v>
      </c>
      <c r="G900" s="3">
        <v>9.1780368459243294E-3</v>
      </c>
      <c r="H900" s="3">
        <v>8.8721022843935207E-3</v>
      </c>
      <c r="I900" s="3">
        <v>7.6483640382702797E-3</v>
      </c>
      <c r="J900" s="3">
        <v>6.1186912306162196E-3</v>
      </c>
      <c r="K900" s="3">
        <v>4.5890184229621604E-3</v>
      </c>
      <c r="L900" s="3">
        <v>3.0593456153081098E-3</v>
      </c>
      <c r="M900" s="3">
        <v>1.5296728076540499E-3</v>
      </c>
    </row>
    <row r="901" spans="1:16" x14ac:dyDescent="0.3">
      <c r="A901" s="3" t="str">
        <f t="shared" si="13"/>
        <v>NGA</v>
      </c>
      <c r="C901" s="3" t="s">
        <v>850</v>
      </c>
      <c r="D901" s="3" t="s">
        <v>744</v>
      </c>
      <c r="E901" s="3" t="s">
        <v>971</v>
      </c>
      <c r="F901" s="3" t="s">
        <v>8</v>
      </c>
      <c r="G901" s="3">
        <v>5.7550471351556698E-3</v>
      </c>
      <c r="H901" s="3">
        <v>5.5632122306504802E-3</v>
      </c>
      <c r="I901" s="3">
        <v>4.7958726126297296E-3</v>
      </c>
      <c r="J901" s="3">
        <v>3.8366980901037798E-3</v>
      </c>
      <c r="K901" s="3">
        <v>2.257783130860553E-2</v>
      </c>
      <c r="L901" s="3">
        <v>2.161865678607959E-2</v>
      </c>
      <c r="M901" s="3">
        <v>2.0659482263553648E-2</v>
      </c>
      <c r="N901" s="3">
        <v>1.9700307741027701E-2</v>
      </c>
      <c r="O901" s="3">
        <v>1.9700307741027701E-2</v>
      </c>
      <c r="P901" s="3">
        <v>1.9700307741027701E-2</v>
      </c>
    </row>
    <row r="902" spans="1:16" x14ac:dyDescent="0.3">
      <c r="A902" s="3" t="str">
        <f t="shared" si="13"/>
        <v>DST</v>
      </c>
      <c r="C902" s="3" t="s">
        <v>850</v>
      </c>
      <c r="D902" s="3" t="s">
        <v>759</v>
      </c>
      <c r="E902" s="3" t="s">
        <v>972</v>
      </c>
      <c r="F902" s="3" t="s">
        <v>4</v>
      </c>
      <c r="G902" s="3">
        <v>2.69576790764207</v>
      </c>
    </row>
    <row r="903" spans="1:16" x14ac:dyDescent="0.3">
      <c r="A903" s="3" t="str">
        <f t="shared" si="13"/>
        <v>DST</v>
      </c>
      <c r="C903" s="3" t="s">
        <v>850</v>
      </c>
      <c r="D903" s="3" t="s">
        <v>759</v>
      </c>
      <c r="E903" s="3" t="s">
        <v>972</v>
      </c>
      <c r="F903" s="3" t="s">
        <v>5</v>
      </c>
      <c r="G903" s="3">
        <v>0.76619856327223401</v>
      </c>
    </row>
    <row r="904" spans="1:16" x14ac:dyDescent="0.3">
      <c r="A904" s="3" t="str">
        <f t="shared" ref="A904:A967" si="14">RIGHT(E904,3)</f>
        <v>DST</v>
      </c>
      <c r="C904" s="3" t="s">
        <v>850</v>
      </c>
      <c r="D904" s="3" t="s">
        <v>759</v>
      </c>
      <c r="E904" s="3" t="s">
        <v>972</v>
      </c>
      <c r="F904" s="3" t="s">
        <v>6</v>
      </c>
      <c r="G904" s="3">
        <v>8.1649613957765705</v>
      </c>
    </row>
    <row r="905" spans="1:16" x14ac:dyDescent="0.3">
      <c r="A905" s="3" t="str">
        <f t="shared" si="14"/>
        <v>ELC</v>
      </c>
      <c r="C905" s="3" t="s">
        <v>850</v>
      </c>
      <c r="D905" s="3" t="s">
        <v>759</v>
      </c>
      <c r="E905" s="3" t="s">
        <v>973</v>
      </c>
      <c r="F905" s="3" t="s">
        <v>0</v>
      </c>
      <c r="G905" s="3">
        <v>1.2459782580800299E-2</v>
      </c>
    </row>
    <row r="906" spans="1:16" x14ac:dyDescent="0.3">
      <c r="A906" s="3" t="str">
        <f t="shared" si="14"/>
        <v>ELC</v>
      </c>
      <c r="C906" s="3" t="s">
        <v>850</v>
      </c>
      <c r="D906" s="3" t="s">
        <v>759</v>
      </c>
      <c r="E906" s="3" t="s">
        <v>973</v>
      </c>
      <c r="F906" s="3" t="s">
        <v>1</v>
      </c>
      <c r="G906" s="3">
        <v>3.4297589461931302E-2</v>
      </c>
      <c r="H906" s="3">
        <v>0.804141827468137</v>
      </c>
      <c r="I906" s="3">
        <v>1.0299110611161599</v>
      </c>
    </row>
    <row r="907" spans="1:16" x14ac:dyDescent="0.3">
      <c r="A907" s="3" t="str">
        <f t="shared" si="14"/>
        <v>ELC</v>
      </c>
      <c r="C907" s="3" t="s">
        <v>850</v>
      </c>
      <c r="D907" s="3" t="s">
        <v>759</v>
      </c>
      <c r="E907" s="3" t="s">
        <v>973</v>
      </c>
      <c r="F907" s="3" t="s">
        <v>2</v>
      </c>
      <c r="G907" s="3">
        <v>0.111504702106384</v>
      </c>
      <c r="H907" s="3">
        <v>2.1671559151220801</v>
      </c>
      <c r="J907" s="3">
        <v>1.95516896487467</v>
      </c>
      <c r="K907" s="3">
        <v>3.84496488653713</v>
      </c>
      <c r="L907" s="3">
        <v>4.1899332213999596</v>
      </c>
      <c r="M907" s="3">
        <v>4.3605917820836604</v>
      </c>
    </row>
    <row r="908" spans="1:16" x14ac:dyDescent="0.3">
      <c r="A908" s="3" t="str">
        <f t="shared" si="14"/>
        <v>ELC</v>
      </c>
      <c r="C908" s="3" t="s">
        <v>850</v>
      </c>
      <c r="D908" s="3" t="s">
        <v>759</v>
      </c>
      <c r="E908" s="3" t="s">
        <v>973</v>
      </c>
      <c r="F908" s="3" t="s">
        <v>3</v>
      </c>
      <c r="G908" s="3">
        <v>7.5524786064542604E-2</v>
      </c>
      <c r="H908" s="3">
        <v>1.46786623134463</v>
      </c>
      <c r="I908" s="3">
        <v>1.5851951634563599</v>
      </c>
      <c r="J908" s="3">
        <v>2.2337046295689702</v>
      </c>
      <c r="K908" s="3">
        <v>2.6042861421605501</v>
      </c>
      <c r="L908" s="3">
        <v>2.83794139792455</v>
      </c>
      <c r="M908" s="3">
        <v>2.9473818786310502</v>
      </c>
    </row>
    <row r="909" spans="1:16" x14ac:dyDescent="0.3">
      <c r="A909" s="3" t="str">
        <f t="shared" si="14"/>
        <v>ELC</v>
      </c>
      <c r="C909" s="3" t="s">
        <v>850</v>
      </c>
      <c r="D909" s="3" t="s">
        <v>759</v>
      </c>
      <c r="E909" s="3" t="s">
        <v>973</v>
      </c>
      <c r="F909" s="3" t="s">
        <v>4</v>
      </c>
      <c r="G909" s="3">
        <v>0.206761055472691</v>
      </c>
      <c r="H909" s="3">
        <v>9.2685751047329799</v>
      </c>
      <c r="I909" s="3">
        <v>10.0102406089767</v>
      </c>
      <c r="K909" s="3">
        <v>5.1151006584384904</v>
      </c>
      <c r="L909" s="3">
        <v>5.4264891383336096</v>
      </c>
      <c r="M909" s="3">
        <v>5.53546169987015</v>
      </c>
      <c r="N909" s="3">
        <v>8.8464429496653505</v>
      </c>
      <c r="O909" s="3">
        <v>9.5713273049591105</v>
      </c>
      <c r="P909" s="3">
        <v>9.8220457266235499</v>
      </c>
    </row>
    <row r="910" spans="1:16" x14ac:dyDescent="0.3">
      <c r="A910" s="3" t="str">
        <f t="shared" si="14"/>
        <v>ELC</v>
      </c>
      <c r="C910" s="3" t="s">
        <v>850</v>
      </c>
      <c r="D910" s="3" t="s">
        <v>759</v>
      </c>
      <c r="E910" s="3" t="s">
        <v>973</v>
      </c>
      <c r="F910" s="3" t="s">
        <v>5</v>
      </c>
      <c r="G910" s="3">
        <v>0.18022237672670099</v>
      </c>
      <c r="H910" s="3">
        <v>6.8120685996931103</v>
      </c>
      <c r="I910" s="3">
        <v>8.7253827856097601</v>
      </c>
      <c r="J910" s="3">
        <v>9.9248465535111094</v>
      </c>
      <c r="K910" s="3">
        <v>14.334760789998599</v>
      </c>
      <c r="L910" s="3">
        <v>15.620868389497801</v>
      </c>
      <c r="M910" s="3">
        <v>16.3091187663331</v>
      </c>
    </row>
    <row r="911" spans="1:16" x14ac:dyDescent="0.3">
      <c r="A911" s="3" t="str">
        <f t="shared" si="14"/>
        <v>ELC</v>
      </c>
      <c r="C911" s="3" t="s">
        <v>850</v>
      </c>
      <c r="D911" s="3" t="s">
        <v>759</v>
      </c>
      <c r="E911" s="3" t="s">
        <v>973</v>
      </c>
      <c r="F911" s="3" t="s">
        <v>6</v>
      </c>
      <c r="G911" s="3">
        <v>0.62609296205979204</v>
      </c>
      <c r="H911" s="3">
        <v>22.647357754254699</v>
      </c>
      <c r="I911" s="3">
        <v>30.3120003884545</v>
      </c>
      <c r="J911" s="3">
        <v>42.712756864307401</v>
      </c>
      <c r="K911" s="3">
        <v>49.798992813410997</v>
      </c>
      <c r="L911" s="3">
        <v>54.266933649188204</v>
      </c>
      <c r="M911" s="3">
        <v>56.152267914314798</v>
      </c>
      <c r="O911" s="3">
        <v>0.24135906421967199</v>
      </c>
      <c r="P911" s="3">
        <v>0.14516751443422399</v>
      </c>
    </row>
    <row r="912" spans="1:16" x14ac:dyDescent="0.3">
      <c r="A912" s="3" t="str">
        <f t="shared" si="14"/>
        <v>ELC</v>
      </c>
      <c r="C912" s="3" t="s">
        <v>850</v>
      </c>
      <c r="D912" s="3" t="s">
        <v>759</v>
      </c>
      <c r="E912" s="3" t="s">
        <v>973</v>
      </c>
      <c r="F912" s="3" t="s">
        <v>7</v>
      </c>
      <c r="G912" s="3">
        <v>9.5791975270144592E-3</v>
      </c>
      <c r="H912" s="3">
        <v>9.7745208592483201E-3</v>
      </c>
      <c r="I912" s="3">
        <v>1.0555814188184E-2</v>
      </c>
      <c r="J912" s="3">
        <v>1.48742385572295E-2</v>
      </c>
      <c r="K912" s="3">
        <v>1.7341940754833599E-2</v>
      </c>
      <c r="L912" s="3">
        <v>1.8897851043229701E-2</v>
      </c>
      <c r="M912" s="3">
        <v>6.9226887000416897E-4</v>
      </c>
    </row>
    <row r="913" spans="1:16" x14ac:dyDescent="0.3">
      <c r="A913" s="3" t="str">
        <f t="shared" si="14"/>
        <v>ELC</v>
      </c>
      <c r="C913" s="3" t="s">
        <v>850</v>
      </c>
      <c r="D913" s="3" t="s">
        <v>759</v>
      </c>
      <c r="E913" s="3" t="s">
        <v>973</v>
      </c>
      <c r="F913" s="3" t="s">
        <v>8</v>
      </c>
      <c r="G913" s="3">
        <v>6.0065931538986197E-3</v>
      </c>
    </row>
    <row r="914" spans="1:16" x14ac:dyDescent="0.3">
      <c r="A914" s="3" t="str">
        <f t="shared" si="14"/>
        <v>OTP</v>
      </c>
      <c r="C914" s="3" t="s">
        <v>850</v>
      </c>
      <c r="D914" s="3" t="s">
        <v>759</v>
      </c>
      <c r="E914" s="3" t="s">
        <v>974</v>
      </c>
      <c r="F914" s="3" t="s">
        <v>0</v>
      </c>
      <c r="G914" s="3">
        <v>0.25916786208352299</v>
      </c>
      <c r="H914" s="3">
        <v>0.29213226035904</v>
      </c>
    </row>
    <row r="915" spans="1:16" x14ac:dyDescent="0.3">
      <c r="A915" s="3" t="str">
        <f t="shared" si="14"/>
        <v>OTP</v>
      </c>
      <c r="C915" s="3" t="s">
        <v>850</v>
      </c>
      <c r="D915" s="3" t="s">
        <v>759</v>
      </c>
      <c r="E915" s="3" t="s">
        <v>974</v>
      </c>
      <c r="F915" s="3" t="s">
        <v>1</v>
      </c>
      <c r="G915" s="3">
        <v>0.71340192959420101</v>
      </c>
    </row>
    <row r="916" spans="1:16" x14ac:dyDescent="0.3">
      <c r="A916" s="3" t="str">
        <f t="shared" si="14"/>
        <v>OTP</v>
      </c>
      <c r="C916" s="3" t="s">
        <v>850</v>
      </c>
      <c r="D916" s="3" t="s">
        <v>759</v>
      </c>
      <c r="E916" s="3" t="s">
        <v>974</v>
      </c>
      <c r="F916" s="3" t="s">
        <v>2</v>
      </c>
      <c r="G916" s="3">
        <v>2.0123451399193901</v>
      </c>
    </row>
    <row r="917" spans="1:16" x14ac:dyDescent="0.3">
      <c r="A917" s="3" t="str">
        <f t="shared" si="14"/>
        <v>OTP</v>
      </c>
      <c r="C917" s="3" t="s">
        <v>850</v>
      </c>
      <c r="D917" s="3" t="s">
        <v>759</v>
      </c>
      <c r="E917" s="3" t="s">
        <v>974</v>
      </c>
      <c r="F917" s="3" t="s">
        <v>3</v>
      </c>
      <c r="G917" s="3">
        <v>1.36300921225216</v>
      </c>
    </row>
    <row r="918" spans="1:16" x14ac:dyDescent="0.3">
      <c r="A918" s="3" t="str">
        <f t="shared" si="14"/>
        <v>OTP</v>
      </c>
      <c r="C918" s="3" t="s">
        <v>850</v>
      </c>
      <c r="D918" s="3" t="s">
        <v>759</v>
      </c>
      <c r="E918" s="3" t="s">
        <v>974</v>
      </c>
      <c r="F918" s="3" t="s">
        <v>4</v>
      </c>
      <c r="G918" s="3">
        <v>4.8848117860265301</v>
      </c>
    </row>
    <row r="919" spans="1:16" x14ac:dyDescent="0.3">
      <c r="A919" s="3" t="str">
        <f t="shared" si="14"/>
        <v>OTP</v>
      </c>
      <c r="C919" s="3" t="s">
        <v>850</v>
      </c>
      <c r="D919" s="3" t="s">
        <v>759</v>
      </c>
      <c r="E919" s="3" t="s">
        <v>974</v>
      </c>
      <c r="F919" s="3" t="s">
        <v>5</v>
      </c>
      <c r="G919" s="3">
        <v>4.2578249947876596</v>
      </c>
    </row>
    <row r="920" spans="1:16" x14ac:dyDescent="0.3">
      <c r="A920" s="3" t="str">
        <f t="shared" si="14"/>
        <v>OTP</v>
      </c>
      <c r="C920" s="3" t="s">
        <v>850</v>
      </c>
      <c r="D920" s="3" t="s">
        <v>759</v>
      </c>
      <c r="E920" s="3" t="s">
        <v>974</v>
      </c>
      <c r="F920" s="3" t="s">
        <v>6</v>
      </c>
      <c r="G920" s="3">
        <v>14.791694080038599</v>
      </c>
    </row>
    <row r="921" spans="1:16" x14ac:dyDescent="0.3">
      <c r="A921" s="3" t="str">
        <f t="shared" si="14"/>
        <v>OTP</v>
      </c>
      <c r="C921" s="3" t="s">
        <v>850</v>
      </c>
      <c r="D921" s="3" t="s">
        <v>759</v>
      </c>
      <c r="E921" s="3" t="s">
        <v>974</v>
      </c>
      <c r="F921" s="3" t="s">
        <v>8</v>
      </c>
      <c r="H921" s="3">
        <v>6.1290697796137798E-3</v>
      </c>
    </row>
    <row r="922" spans="1:16" x14ac:dyDescent="0.3">
      <c r="A922" s="3" t="str">
        <f t="shared" si="14"/>
        <v>RFL</v>
      </c>
      <c r="C922" s="3" t="s">
        <v>850</v>
      </c>
      <c r="D922" s="3" t="s">
        <v>759</v>
      </c>
      <c r="E922" s="3" t="s">
        <v>975</v>
      </c>
      <c r="F922" s="3" t="s">
        <v>0</v>
      </c>
      <c r="I922" s="3">
        <v>0.37415072313790698</v>
      </c>
      <c r="J922" s="3">
        <v>0.52721722958598205</v>
      </c>
      <c r="K922" s="3">
        <v>0.61468490808591103</v>
      </c>
      <c r="L922" s="3">
        <v>0.66983413193192498</v>
      </c>
      <c r="M922" s="3">
        <v>0.68110289169744997</v>
      </c>
      <c r="N922" s="3">
        <v>0.73131546794624103</v>
      </c>
      <c r="O922" s="3">
        <v>0.74410762325797397</v>
      </c>
      <c r="P922" s="3">
        <v>0.75673296742514795</v>
      </c>
    </row>
    <row r="923" spans="1:16" x14ac:dyDescent="0.3">
      <c r="A923" s="3" t="str">
        <f t="shared" si="14"/>
        <v>RFL</v>
      </c>
      <c r="C923" s="3" t="s">
        <v>850</v>
      </c>
      <c r="D923" s="3" t="s">
        <v>759</v>
      </c>
      <c r="E923" s="3" t="s">
        <v>975</v>
      </c>
      <c r="F923" s="3" t="s">
        <v>1</v>
      </c>
      <c r="J923" s="3">
        <v>1.45125165550178</v>
      </c>
      <c r="K923" s="3">
        <v>1.6920207466911801</v>
      </c>
      <c r="L923" s="3">
        <v>1.8438280054734799</v>
      </c>
      <c r="M923" s="3">
        <v>1.9082551124977001</v>
      </c>
      <c r="N923" s="3">
        <v>1.99400416333846</v>
      </c>
      <c r="O923" s="3">
        <v>2.0292166631047999</v>
      </c>
      <c r="P923" s="3">
        <v>2.0639699879122899</v>
      </c>
    </row>
    <row r="924" spans="1:16" x14ac:dyDescent="0.3">
      <c r="A924" s="3" t="str">
        <f t="shared" si="14"/>
        <v>RFL</v>
      </c>
      <c r="C924" s="3" t="s">
        <v>850</v>
      </c>
      <c r="D924" s="3" t="s">
        <v>759</v>
      </c>
      <c r="E924" s="3" t="s">
        <v>975</v>
      </c>
      <c r="F924" s="3" t="s">
        <v>2</v>
      </c>
      <c r="I924" s="3">
        <v>2.3403802075073301</v>
      </c>
      <c r="J924" s="3">
        <v>1.34266982808646</v>
      </c>
    </row>
    <row r="925" spans="1:16" x14ac:dyDescent="0.3">
      <c r="A925" s="3" t="str">
        <f t="shared" si="14"/>
        <v>RFL</v>
      </c>
      <c r="C925" s="3" t="s">
        <v>850</v>
      </c>
      <c r="D925" s="3" t="s">
        <v>759</v>
      </c>
      <c r="E925" s="3" t="s">
        <v>975</v>
      </c>
      <c r="F925" s="3" t="s">
        <v>4</v>
      </c>
      <c r="G925" s="3">
        <v>1.29581797953081</v>
      </c>
      <c r="J925" s="3">
        <v>14.105468718827799</v>
      </c>
      <c r="K925" s="3">
        <v>11.3305279295323</v>
      </c>
      <c r="L925" s="3">
        <v>12.4946330567776</v>
      </c>
      <c r="M925" s="3">
        <v>13.1780661776004</v>
      </c>
      <c r="N925" s="3">
        <v>0.382635778292789</v>
      </c>
    </row>
    <row r="926" spans="1:16" x14ac:dyDescent="0.3">
      <c r="A926" s="3" t="str">
        <f t="shared" si="14"/>
        <v>RFL</v>
      </c>
      <c r="C926" s="3" t="s">
        <v>850</v>
      </c>
      <c r="D926" s="3" t="s">
        <v>759</v>
      </c>
      <c r="E926" s="3" t="s">
        <v>975</v>
      </c>
      <c r="F926" s="3" t="s">
        <v>5</v>
      </c>
      <c r="G926" s="3">
        <v>1.1294941184273399</v>
      </c>
      <c r="J926" s="3">
        <v>2.3701240420855401</v>
      </c>
    </row>
    <row r="927" spans="1:16" x14ac:dyDescent="0.3">
      <c r="A927" s="3" t="str">
        <f t="shared" si="14"/>
        <v>RFL</v>
      </c>
      <c r="C927" s="3" t="s">
        <v>850</v>
      </c>
      <c r="D927" s="3" t="s">
        <v>759</v>
      </c>
      <c r="E927" s="3" t="s">
        <v>975</v>
      </c>
      <c r="F927" s="3" t="s">
        <v>6</v>
      </c>
      <c r="G927" s="3">
        <v>3.9238652329376298</v>
      </c>
      <c r="H927" s="3">
        <v>5.4203332600863101</v>
      </c>
      <c r="M927" s="3">
        <v>0.552806808377593</v>
      </c>
    </row>
    <row r="928" spans="1:16" x14ac:dyDescent="0.3">
      <c r="A928" s="3" t="str">
        <f t="shared" si="14"/>
        <v>RFL</v>
      </c>
      <c r="C928" s="3" t="s">
        <v>850</v>
      </c>
      <c r="D928" s="3" t="s">
        <v>759</v>
      </c>
      <c r="E928" s="3" t="s">
        <v>975</v>
      </c>
      <c r="F928" s="3" t="s">
        <v>8</v>
      </c>
      <c r="I928" s="3">
        <v>6.6189762824846697E-3</v>
      </c>
      <c r="J928" s="3">
        <v>9.3268250534919196E-3</v>
      </c>
      <c r="K928" s="3">
        <v>1.0874186728010901E-2</v>
      </c>
      <c r="L928" s="3">
        <v>1.1849813346002699E-2</v>
      </c>
      <c r="O928" s="3">
        <v>2.26301774589948E-4</v>
      </c>
      <c r="P928" s="3">
        <v>4.4965254857712999E-4</v>
      </c>
    </row>
    <row r="929" spans="1:16" x14ac:dyDescent="0.3">
      <c r="A929" s="3" t="str">
        <f t="shared" si="14"/>
        <v>STM</v>
      </c>
      <c r="C929" s="3" t="s">
        <v>850</v>
      </c>
      <c r="D929" s="3" t="s">
        <v>759</v>
      </c>
      <c r="E929" s="3" t="s">
        <v>1522</v>
      </c>
      <c r="F929" s="3" t="s">
        <v>0</v>
      </c>
      <c r="M929" s="3">
        <v>1.9061275333845398E-2</v>
      </c>
    </row>
    <row r="930" spans="1:16" x14ac:dyDescent="0.3">
      <c r="A930" s="3" t="str">
        <f t="shared" si="14"/>
        <v>STM</v>
      </c>
      <c r="C930" s="3" t="s">
        <v>850</v>
      </c>
      <c r="D930" s="3" t="s">
        <v>759</v>
      </c>
      <c r="E930" s="3" t="s">
        <v>1522</v>
      </c>
      <c r="F930" s="3" t="s">
        <v>1</v>
      </c>
      <c r="M930" s="3">
        <v>1.9061275333845398E-2</v>
      </c>
      <c r="N930" s="3">
        <v>1.9061275333845398E-2</v>
      </c>
      <c r="O930" s="3">
        <v>1.9061275333845398E-2</v>
      </c>
      <c r="P930" s="3">
        <v>1.9061275333845398E-2</v>
      </c>
    </row>
    <row r="931" spans="1:16" x14ac:dyDescent="0.3">
      <c r="A931" s="3" t="str">
        <f t="shared" si="14"/>
        <v>STM</v>
      </c>
      <c r="C931" s="3" t="s">
        <v>850</v>
      </c>
      <c r="D931" s="3" t="s">
        <v>759</v>
      </c>
      <c r="E931" s="3" t="s">
        <v>1522</v>
      </c>
      <c r="F931" s="3" t="s">
        <v>2</v>
      </c>
      <c r="M931" s="3">
        <v>1.9061275333845398E-2</v>
      </c>
      <c r="N931" s="3">
        <v>4.5745100591306098</v>
      </c>
      <c r="O931" s="3">
        <v>4.6545272961730699</v>
      </c>
      <c r="P931" s="3">
        <v>4.7335010994414697</v>
      </c>
    </row>
    <row r="932" spans="1:16" x14ac:dyDescent="0.3">
      <c r="A932" s="3" t="str">
        <f t="shared" si="14"/>
        <v>STM</v>
      </c>
      <c r="C932" s="3" t="s">
        <v>850</v>
      </c>
      <c r="D932" s="3" t="s">
        <v>759</v>
      </c>
      <c r="E932" s="3" t="s">
        <v>1522</v>
      </c>
      <c r="F932" s="3" t="s">
        <v>3</v>
      </c>
      <c r="M932" s="3">
        <v>1.9061275333845398E-2</v>
      </c>
      <c r="N932" s="3">
        <v>3.09842443448093</v>
      </c>
      <c r="O932" s="3">
        <v>3.1526220117574799</v>
      </c>
      <c r="P932" s="3">
        <v>3.2061128465283599</v>
      </c>
    </row>
    <row r="933" spans="1:16" x14ac:dyDescent="0.3">
      <c r="A933" s="3" t="str">
        <f t="shared" si="14"/>
        <v>STM</v>
      </c>
      <c r="C933" s="3" t="s">
        <v>850</v>
      </c>
      <c r="D933" s="3" t="s">
        <v>759</v>
      </c>
      <c r="E933" s="3" t="s">
        <v>1522</v>
      </c>
      <c r="F933" s="3" t="s">
        <v>4</v>
      </c>
      <c r="M933" s="3">
        <v>1.9061275333845398E-2</v>
      </c>
      <c r="N933" s="3">
        <v>10.336949993867901</v>
      </c>
      <c r="O933" s="3">
        <v>10.336949993867901</v>
      </c>
      <c r="P933" s="3">
        <v>10.4240171892527</v>
      </c>
    </row>
    <row r="934" spans="1:16" x14ac:dyDescent="0.3">
      <c r="A934" s="3" t="str">
        <f t="shared" si="14"/>
        <v>STM</v>
      </c>
      <c r="C934" s="3" t="s">
        <v>850</v>
      </c>
      <c r="D934" s="3" t="s">
        <v>759</v>
      </c>
      <c r="E934" s="3" t="s">
        <v>1522</v>
      </c>
      <c r="F934" s="3" t="s">
        <v>5</v>
      </c>
      <c r="M934" s="3">
        <v>1.9061275333845398E-2</v>
      </c>
      <c r="N934" s="3">
        <v>17.0546440251468</v>
      </c>
      <c r="O934" s="3">
        <v>17.352963512041601</v>
      </c>
      <c r="P934" s="3">
        <v>17.647392879262298</v>
      </c>
    </row>
    <row r="935" spans="1:16" x14ac:dyDescent="0.3">
      <c r="A935" s="3" t="str">
        <f t="shared" si="14"/>
        <v>STM</v>
      </c>
      <c r="C935" s="3" t="s">
        <v>850</v>
      </c>
      <c r="D935" s="3" t="s">
        <v>759</v>
      </c>
      <c r="E935" s="3" t="s">
        <v>1522</v>
      </c>
      <c r="F935" s="3" t="s">
        <v>6</v>
      </c>
      <c r="M935" s="3">
        <v>1.9061275333845398E-2</v>
      </c>
      <c r="N935" s="3">
        <v>59.2478735910355</v>
      </c>
      <c r="O935" s="3">
        <v>60.042877128299899</v>
      </c>
      <c r="P935" s="3">
        <v>61.161916994641402</v>
      </c>
    </row>
    <row r="936" spans="1:16" x14ac:dyDescent="0.3">
      <c r="A936" s="3" t="str">
        <f t="shared" si="14"/>
        <v>STM</v>
      </c>
      <c r="C936" s="3" t="s">
        <v>850</v>
      </c>
      <c r="D936" s="3" t="s">
        <v>759</v>
      </c>
      <c r="E936" s="3" t="s">
        <v>1522</v>
      </c>
      <c r="F936" s="3" t="s">
        <v>7</v>
      </c>
      <c r="M936" s="3">
        <v>1.9061275333845398E-2</v>
      </c>
      <c r="N936" s="3">
        <v>2.0632407517063401E-2</v>
      </c>
      <c r="O936" s="3">
        <v>2.0993309170291699E-2</v>
      </c>
      <c r="P936" s="3">
        <v>2.1349504625355498E-2</v>
      </c>
    </row>
    <row r="937" spans="1:16" x14ac:dyDescent="0.3">
      <c r="A937" s="3" t="str">
        <f t="shared" si="14"/>
        <v>STM</v>
      </c>
      <c r="C937" s="3" t="s">
        <v>850</v>
      </c>
      <c r="D937" s="3" t="s">
        <v>759</v>
      </c>
      <c r="E937" s="3" t="s">
        <v>1522</v>
      </c>
      <c r="F937" s="3" t="s">
        <v>8</v>
      </c>
      <c r="M937" s="3">
        <v>1.23863719320345E-2</v>
      </c>
      <c r="N937" s="3">
        <v>1.29374592590756E-2</v>
      </c>
      <c r="O937" s="3">
        <v>1.29374592590756E-2</v>
      </c>
      <c r="P937" s="3">
        <v>1.29374592590756E-2</v>
      </c>
    </row>
    <row r="938" spans="1:16" x14ac:dyDescent="0.3">
      <c r="A938" s="3" t="str">
        <f t="shared" si="14"/>
        <v>NGA</v>
      </c>
      <c r="C938" s="3" t="s">
        <v>850</v>
      </c>
      <c r="D938" s="3" t="s">
        <v>1259</v>
      </c>
      <c r="E938" s="3" t="s">
        <v>1273</v>
      </c>
      <c r="F938" s="3" t="s">
        <v>0</v>
      </c>
      <c r="M938" s="3">
        <v>1.9061275333845398E-2</v>
      </c>
    </row>
    <row r="939" spans="1:16" x14ac:dyDescent="0.3">
      <c r="A939" s="3" t="str">
        <f t="shared" si="14"/>
        <v>NGA</v>
      </c>
      <c r="C939" s="3" t="s">
        <v>850</v>
      </c>
      <c r="D939" s="3" t="s">
        <v>1259</v>
      </c>
      <c r="E939" s="3" t="s">
        <v>1273</v>
      </c>
      <c r="F939" s="3" t="s">
        <v>1</v>
      </c>
      <c r="M939" s="3">
        <v>1.9061275333845398E-2</v>
      </c>
      <c r="N939" s="3">
        <v>1.9061275333845398E-2</v>
      </c>
      <c r="O939" s="3">
        <v>1.9061275333845398E-2</v>
      </c>
      <c r="P939" s="3">
        <v>1.9061275333845398E-2</v>
      </c>
    </row>
    <row r="940" spans="1:16" x14ac:dyDescent="0.3">
      <c r="A940" s="3" t="str">
        <f t="shared" si="14"/>
        <v>NGA</v>
      </c>
      <c r="C940" s="3" t="s">
        <v>850</v>
      </c>
      <c r="D940" s="3" t="s">
        <v>1259</v>
      </c>
      <c r="E940" s="3" t="s">
        <v>1273</v>
      </c>
      <c r="F940" s="3" t="s">
        <v>2</v>
      </c>
      <c r="M940" s="3">
        <v>1.9061275333845398E-2</v>
      </c>
      <c r="N940" s="3">
        <v>4.5745100591306054</v>
      </c>
      <c r="O940" s="3">
        <v>4.6545272961730699</v>
      </c>
      <c r="P940" s="3">
        <v>4.7335010994414706</v>
      </c>
    </row>
    <row r="941" spans="1:16" x14ac:dyDescent="0.3">
      <c r="A941" s="3" t="str">
        <f t="shared" si="14"/>
        <v>NGA</v>
      </c>
      <c r="C941" s="3" t="s">
        <v>850</v>
      </c>
      <c r="D941" s="3" t="s">
        <v>1259</v>
      </c>
      <c r="E941" s="3" t="s">
        <v>1273</v>
      </c>
      <c r="F941" s="3" t="s">
        <v>3</v>
      </c>
      <c r="M941" s="3">
        <v>1.9061275333845398E-2</v>
      </c>
      <c r="N941" s="3">
        <v>3.0984244344809353</v>
      </c>
      <c r="O941" s="3">
        <v>3.1526220117574799</v>
      </c>
      <c r="P941" s="3">
        <v>3.2061128465283613</v>
      </c>
    </row>
    <row r="942" spans="1:16" x14ac:dyDescent="0.3">
      <c r="A942" s="3" t="str">
        <f t="shared" si="14"/>
        <v>NGA</v>
      </c>
      <c r="C942" s="3" t="s">
        <v>850</v>
      </c>
      <c r="D942" s="3" t="s">
        <v>1259</v>
      </c>
      <c r="E942" s="3" t="s">
        <v>1273</v>
      </c>
      <c r="F942" s="3" t="s">
        <v>4</v>
      </c>
      <c r="M942" s="3">
        <v>1.9061275333845398E-2</v>
      </c>
      <c r="N942" s="3">
        <v>10.336949993867945</v>
      </c>
      <c r="O942" s="3">
        <v>10.336949993867945</v>
      </c>
      <c r="P942" s="3">
        <v>10.424017189252734</v>
      </c>
    </row>
    <row r="943" spans="1:16" x14ac:dyDescent="0.3">
      <c r="A943" s="3" t="str">
        <f t="shared" si="14"/>
        <v>NGA</v>
      </c>
      <c r="C943" s="3" t="s">
        <v>850</v>
      </c>
      <c r="D943" s="3" t="s">
        <v>1259</v>
      </c>
      <c r="E943" s="3" t="s">
        <v>1273</v>
      </c>
      <c r="F943" s="3" t="s">
        <v>5</v>
      </c>
      <c r="M943" s="3">
        <v>1.9061275333845398E-2</v>
      </c>
      <c r="N943" s="3">
        <v>17.054644025146747</v>
      </c>
      <c r="O943" s="3">
        <v>17.352963512041576</v>
      </c>
      <c r="P943" s="3">
        <v>17.64739287926227</v>
      </c>
    </row>
    <row r="944" spans="1:16" x14ac:dyDescent="0.3">
      <c r="A944" s="3" t="str">
        <f t="shared" si="14"/>
        <v>NGA</v>
      </c>
      <c r="C944" s="3" t="s">
        <v>850</v>
      </c>
      <c r="D944" s="3" t="s">
        <v>1259</v>
      </c>
      <c r="E944" s="3" t="s">
        <v>1273</v>
      </c>
      <c r="F944" s="3" t="s">
        <v>6</v>
      </c>
      <c r="M944" s="3">
        <v>1.9061275333845398E-2</v>
      </c>
      <c r="N944" s="3">
        <v>59.24787359103555</v>
      </c>
      <c r="O944" s="3">
        <v>60.042877128299956</v>
      </c>
      <c r="P944" s="3">
        <v>61.161916994641395</v>
      </c>
    </row>
    <row r="945" spans="1:16" x14ac:dyDescent="0.3">
      <c r="A945" s="3" t="str">
        <f t="shared" si="14"/>
        <v>NGA</v>
      </c>
      <c r="C945" s="3" t="s">
        <v>850</v>
      </c>
      <c r="D945" s="3" t="s">
        <v>1259</v>
      </c>
      <c r="E945" s="3" t="s">
        <v>1273</v>
      </c>
      <c r="F945" s="3" t="s">
        <v>7</v>
      </c>
      <c r="M945" s="3">
        <v>1.9061275333845398E-2</v>
      </c>
      <c r="N945" s="3">
        <v>2.063240751706345E-2</v>
      </c>
      <c r="O945" s="3">
        <v>2.0993309170291706E-2</v>
      </c>
      <c r="P945" s="3">
        <v>2.1349504625355502E-2</v>
      </c>
    </row>
    <row r="946" spans="1:16" x14ac:dyDescent="0.3">
      <c r="A946" s="3" t="str">
        <f t="shared" si="14"/>
        <v>NGA</v>
      </c>
      <c r="C946" s="3" t="s">
        <v>850</v>
      </c>
      <c r="D946" s="3" t="s">
        <v>1259</v>
      </c>
      <c r="E946" s="3" t="s">
        <v>1273</v>
      </c>
      <c r="F946" s="3" t="s">
        <v>8</v>
      </c>
      <c r="M946" s="3">
        <v>1.23863719320345E-2</v>
      </c>
      <c r="N946" s="3">
        <v>1.29374592590756E-2</v>
      </c>
      <c r="O946" s="3">
        <v>1.29374592590756E-2</v>
      </c>
      <c r="P946" s="3">
        <v>1.29374592590756E-2</v>
      </c>
    </row>
    <row r="947" spans="1:16" x14ac:dyDescent="0.3">
      <c r="A947" s="3" t="str">
        <f t="shared" si="14"/>
        <v>ELC</v>
      </c>
      <c r="C947" s="3" t="s">
        <v>850</v>
      </c>
      <c r="D947" s="3" t="s">
        <v>791</v>
      </c>
      <c r="E947" s="3" t="s">
        <v>976</v>
      </c>
      <c r="F947" s="3" t="s">
        <v>0</v>
      </c>
      <c r="G947" s="3">
        <v>9.3448369356002203E-2</v>
      </c>
    </row>
    <row r="948" spans="1:16" x14ac:dyDescent="0.3">
      <c r="A948" s="3" t="str">
        <f t="shared" si="14"/>
        <v>ELC</v>
      </c>
      <c r="C948" s="3" t="s">
        <v>850</v>
      </c>
      <c r="D948" s="3" t="s">
        <v>791</v>
      </c>
      <c r="E948" s="3" t="s">
        <v>976</v>
      </c>
      <c r="F948" s="3" t="s">
        <v>1</v>
      </c>
      <c r="G948" s="3">
        <v>0.257231920964484</v>
      </c>
      <c r="H948" s="3">
        <v>0.24865752359900101</v>
      </c>
      <c r="I948" s="3">
        <v>0.21435993413707</v>
      </c>
    </row>
    <row r="949" spans="1:16" x14ac:dyDescent="0.3">
      <c r="A949" s="3" t="str">
        <f t="shared" si="14"/>
        <v>ELC</v>
      </c>
      <c r="C949" s="3" t="s">
        <v>850</v>
      </c>
      <c r="D949" s="3" t="s">
        <v>791</v>
      </c>
      <c r="E949" s="3" t="s">
        <v>976</v>
      </c>
      <c r="F949" s="3" t="s">
        <v>2</v>
      </c>
      <c r="G949" s="3">
        <v>0.83628526579787699</v>
      </c>
      <c r="H949" s="3">
        <v>0.80840909027128105</v>
      </c>
      <c r="I949" s="3">
        <v>0.69690438816489697</v>
      </c>
    </row>
    <row r="950" spans="1:16" x14ac:dyDescent="0.3">
      <c r="A950" s="3" t="str">
        <f t="shared" si="14"/>
        <v>ELC</v>
      </c>
      <c r="C950" s="3" t="s">
        <v>850</v>
      </c>
      <c r="D950" s="3" t="s">
        <v>791</v>
      </c>
      <c r="E950" s="3" t="s">
        <v>976</v>
      </c>
      <c r="F950" s="3" t="s">
        <v>3</v>
      </c>
      <c r="G950" s="3">
        <v>0.56643589548406903</v>
      </c>
      <c r="H950" s="3">
        <v>0.54755469896793296</v>
      </c>
      <c r="I950" s="3">
        <v>0.47202991290339102</v>
      </c>
    </row>
    <row r="951" spans="1:16" x14ac:dyDescent="0.3">
      <c r="A951" s="3" t="str">
        <f t="shared" si="14"/>
        <v>ELC</v>
      </c>
      <c r="C951" s="3" t="s">
        <v>850</v>
      </c>
      <c r="D951" s="3" t="s">
        <v>791</v>
      </c>
      <c r="E951" s="3" t="s">
        <v>976</v>
      </c>
      <c r="F951" s="3" t="s">
        <v>4</v>
      </c>
      <c r="G951" s="3">
        <v>1.55070791604518</v>
      </c>
      <c r="H951" s="3">
        <v>1.49901765217701</v>
      </c>
      <c r="I951" s="3">
        <v>1.29225659670432</v>
      </c>
    </row>
    <row r="952" spans="1:16" x14ac:dyDescent="0.3">
      <c r="A952" s="3" t="str">
        <f t="shared" si="14"/>
        <v>ELC</v>
      </c>
      <c r="C952" s="3" t="s">
        <v>850</v>
      </c>
      <c r="D952" s="3" t="s">
        <v>791</v>
      </c>
      <c r="E952" s="3" t="s">
        <v>976</v>
      </c>
      <c r="F952" s="3" t="s">
        <v>5</v>
      </c>
      <c r="G952" s="3">
        <v>1.3516678254502501</v>
      </c>
      <c r="H952" s="3">
        <v>1.3066122312685799</v>
      </c>
      <c r="I952" s="3">
        <v>1.12638985454188</v>
      </c>
    </row>
    <row r="953" spans="1:16" x14ac:dyDescent="0.3">
      <c r="A953" s="3" t="str">
        <f t="shared" si="14"/>
        <v>ELC</v>
      </c>
      <c r="C953" s="3" t="s">
        <v>850</v>
      </c>
      <c r="D953" s="3" t="s">
        <v>791</v>
      </c>
      <c r="E953" s="3" t="s">
        <v>976</v>
      </c>
      <c r="F953" s="3" t="s">
        <v>6</v>
      </c>
      <c r="G953" s="3">
        <v>4.6956972154484404</v>
      </c>
      <c r="H953" s="3">
        <v>4.5391739749334903</v>
      </c>
      <c r="I953" s="3">
        <v>3.9130810128736999</v>
      </c>
    </row>
    <row r="954" spans="1:16" x14ac:dyDescent="0.3">
      <c r="A954" s="3" t="str">
        <f t="shared" si="14"/>
        <v>ELC</v>
      </c>
      <c r="C954" s="3" t="s">
        <v>850</v>
      </c>
      <c r="D954" s="3" t="s">
        <v>791</v>
      </c>
      <c r="E954" s="3" t="s">
        <v>976</v>
      </c>
      <c r="F954" s="3" t="s">
        <v>7</v>
      </c>
      <c r="G954" s="3">
        <v>7.1843981452608494E-2</v>
      </c>
      <c r="H954" s="3">
        <v>6.9449182070854903E-2</v>
      </c>
    </row>
    <row r="955" spans="1:16" x14ac:dyDescent="0.3">
      <c r="A955" s="3" t="str">
        <f t="shared" si="14"/>
        <v>ELC</v>
      </c>
      <c r="C955" s="3" t="s">
        <v>850</v>
      </c>
      <c r="D955" s="3" t="s">
        <v>791</v>
      </c>
      <c r="E955" s="3" t="s">
        <v>976</v>
      </c>
      <c r="F955" s="3" t="s">
        <v>8</v>
      </c>
      <c r="G955" s="3">
        <v>4.5049448654220399E-2</v>
      </c>
    </row>
    <row r="956" spans="1:16" x14ac:dyDescent="0.3">
      <c r="A956" s="3" t="str">
        <f t="shared" si="14"/>
        <v>NGA</v>
      </c>
      <c r="C956" s="3" t="s">
        <v>850</v>
      </c>
      <c r="D956" s="3" t="s">
        <v>791</v>
      </c>
      <c r="E956" s="3" t="s">
        <v>977</v>
      </c>
      <c r="F956" s="3" t="s">
        <v>0</v>
      </c>
      <c r="G956" s="3">
        <v>0.17354254061893701</v>
      </c>
      <c r="H956" s="3">
        <v>0.28714550804533839</v>
      </c>
      <c r="I956" s="3">
        <v>0.3677639003269384</v>
      </c>
      <c r="J956" s="3">
        <v>0.51821753288567041</v>
      </c>
      <c r="K956" s="3">
        <v>0.6041921217574614</v>
      </c>
      <c r="L956" s="3">
        <v>0.65839993803939711</v>
      </c>
      <c r="M956" s="3">
        <v>0.68821223376783836</v>
      </c>
      <c r="N956" s="3">
        <v>0.71883177615080507</v>
      </c>
      <c r="O956" s="3">
        <v>0.731405566979205</v>
      </c>
      <c r="P956" s="3">
        <v>0.74381539416047804</v>
      </c>
    </row>
    <row r="957" spans="1:16" x14ac:dyDescent="0.3">
      <c r="A957" s="3" t="str">
        <f t="shared" si="14"/>
        <v>NGA</v>
      </c>
      <c r="C957" s="3" t="s">
        <v>850</v>
      </c>
      <c r="D957" s="3" t="s">
        <v>791</v>
      </c>
      <c r="E957" s="3" t="s">
        <v>977</v>
      </c>
      <c r="F957" s="3" t="s">
        <v>1</v>
      </c>
      <c r="G957" s="3">
        <v>0.47770422747990898</v>
      </c>
      <c r="H957" s="3">
        <v>0.54175745249797003</v>
      </c>
      <c r="I957" s="3">
        <v>0.7979703525702071</v>
      </c>
      <c r="J957" s="3">
        <v>1.426478518355125</v>
      </c>
      <c r="K957" s="3">
        <v>1.6631376361335728</v>
      </c>
      <c r="L957" s="3">
        <v>1.812353516620175</v>
      </c>
      <c r="M957" s="3">
        <v>1.8944167366788738</v>
      </c>
      <c r="N957" s="3">
        <v>1.9787020351865208</v>
      </c>
      <c r="O957" s="3">
        <v>2.0133134509970336</v>
      </c>
      <c r="P957" s="3">
        <v>2.0474735300511151</v>
      </c>
    </row>
    <row r="958" spans="1:16" x14ac:dyDescent="0.3">
      <c r="A958" s="3" t="str">
        <f t="shared" si="14"/>
        <v>NGA</v>
      </c>
      <c r="C958" s="3" t="s">
        <v>850</v>
      </c>
      <c r="D958" s="3" t="s">
        <v>791</v>
      </c>
      <c r="E958" s="3" t="s">
        <v>977</v>
      </c>
      <c r="F958" s="3" t="s">
        <v>2</v>
      </c>
      <c r="G958" s="3">
        <v>1.8278385198563101</v>
      </c>
      <c r="H958" s="3">
        <v>1.9100371512911369</v>
      </c>
      <c r="I958" s="3">
        <v>2.238831677030471</v>
      </c>
      <c r="J958" s="3">
        <v>4.1367570323148204</v>
      </c>
      <c r="K958" s="3">
        <v>4.8230633854313734</v>
      </c>
      <c r="L958" s="3">
        <v>5.2557862305309078</v>
      </c>
      <c r="M958" s="3">
        <v>5.4937678042483151</v>
      </c>
      <c r="N958" s="3">
        <v>5.7381933576904469</v>
      </c>
      <c r="O958" s="3">
        <v>5.8385657193560103</v>
      </c>
      <c r="P958" s="3">
        <v>5.9376292141322011</v>
      </c>
    </row>
    <row r="959" spans="1:16" x14ac:dyDescent="0.3">
      <c r="A959" s="3" t="str">
        <f t="shared" si="14"/>
        <v>NGA</v>
      </c>
      <c r="C959" s="3" t="s">
        <v>850</v>
      </c>
      <c r="D959" s="3" t="s">
        <v>791</v>
      </c>
      <c r="E959" s="3" t="s">
        <v>977</v>
      </c>
      <c r="F959" s="3" t="s">
        <v>3</v>
      </c>
      <c r="G959" s="3">
        <v>1.2380384913361899</v>
      </c>
      <c r="H959" s="3">
        <v>1.2937135789032623</v>
      </c>
      <c r="I959" s="3">
        <v>1.5164139291715864</v>
      </c>
      <c r="J959" s="3">
        <v>2.8019239006485135</v>
      </c>
      <c r="K959" s="3">
        <v>3.2667755124165305</v>
      </c>
      <c r="L959" s="3">
        <v>3.5598689845662532</v>
      </c>
      <c r="M959" s="3">
        <v>3.721059563104935</v>
      </c>
      <c r="N959" s="3">
        <v>3.8866148023343237</v>
      </c>
      <c r="O959" s="3">
        <v>3.9545993895166038</v>
      </c>
      <c r="P959" s="3">
        <v>4.021697450032824</v>
      </c>
    </row>
    <row r="960" spans="1:16" x14ac:dyDescent="0.3">
      <c r="A960" s="3" t="str">
        <f t="shared" si="14"/>
        <v>NGA</v>
      </c>
      <c r="C960" s="3" t="s">
        <v>850</v>
      </c>
      <c r="D960" s="3" t="s">
        <v>791</v>
      </c>
      <c r="E960" s="3" t="s">
        <v>977</v>
      </c>
      <c r="F960" s="3" t="s">
        <v>4</v>
      </c>
      <c r="G960" s="3">
        <v>11.5192877455087</v>
      </c>
      <c r="H960" s="3">
        <v>11.837778502805101</v>
      </c>
      <c r="I960" s="3">
        <v>13.111741531991141</v>
      </c>
      <c r="J960" s="3">
        <v>20.29672941609104</v>
      </c>
      <c r="K960" s="3">
        <v>23.66404691550829</v>
      </c>
      <c r="L960" s="3">
        <v>25.787173420289129</v>
      </c>
      <c r="M960" s="3">
        <v>26.954814538688328</v>
      </c>
      <c r="N960" s="3">
        <v>28.154072624633251</v>
      </c>
      <c r="O960" s="3">
        <v>28.646543091152299</v>
      </c>
      <c r="P960" s="3">
        <v>29.132591687378262</v>
      </c>
    </row>
    <row r="961" spans="1:16" x14ac:dyDescent="0.3">
      <c r="A961" s="3" t="str">
        <f t="shared" si="14"/>
        <v>NGA</v>
      </c>
      <c r="C961" s="3" t="s">
        <v>850</v>
      </c>
      <c r="D961" s="3" t="s">
        <v>791</v>
      </c>
      <c r="E961" s="3" t="s">
        <v>977</v>
      </c>
      <c r="F961" s="3" t="s">
        <v>5</v>
      </c>
      <c r="G961" s="3">
        <v>7.7621170912005102</v>
      </c>
      <c r="H961" s="3">
        <v>8.4954521940894097</v>
      </c>
      <c r="I961" s="3">
        <v>11.42879260564497</v>
      </c>
      <c r="J961" s="3">
        <v>17.691556114298351</v>
      </c>
      <c r="K961" s="3">
        <v>20.626663799597154</v>
      </c>
      <c r="L961" s="3">
        <v>22.477277803807407</v>
      </c>
      <c r="M961" s="3">
        <v>23.495047117475441</v>
      </c>
      <c r="N961" s="3">
        <v>24.540375223697367</v>
      </c>
      <c r="O961" s="3">
        <v>24.969634968676228</v>
      </c>
      <c r="P961" s="3">
        <v>25.39329711828298</v>
      </c>
    </row>
    <row r="962" spans="1:16" x14ac:dyDescent="0.3">
      <c r="A962" s="3" t="str">
        <f t="shared" si="14"/>
        <v>NGA</v>
      </c>
      <c r="C962" s="3" t="s">
        <v>850</v>
      </c>
      <c r="D962" s="3" t="s">
        <v>791</v>
      </c>
      <c r="E962" s="3" t="s">
        <v>977</v>
      </c>
      <c r="F962" s="3" t="s">
        <v>6</v>
      </c>
      <c r="G962" s="3">
        <v>34.884291649737698</v>
      </c>
      <c r="H962" s="3">
        <v>35.848163816410164</v>
      </c>
      <c r="I962" s="3">
        <v>39.703652483100129</v>
      </c>
      <c r="J962" s="3">
        <v>61.460507691812325</v>
      </c>
      <c r="K962" s="3">
        <v>71.657078717173121</v>
      </c>
      <c r="L962" s="3">
        <v>78.086116135109521</v>
      </c>
      <c r="M962" s="3">
        <v>81.621849132650979</v>
      </c>
      <c r="N962" s="3">
        <v>85.253321440561891</v>
      </c>
      <c r="O962" s="3">
        <v>86.744570807638993</v>
      </c>
      <c r="P962" s="3">
        <v>88.216374115183697</v>
      </c>
    </row>
    <row r="963" spans="1:16" x14ac:dyDescent="0.3">
      <c r="A963" s="3" t="str">
        <f t="shared" si="14"/>
        <v>NGA</v>
      </c>
      <c r="C963" s="3" t="s">
        <v>850</v>
      </c>
      <c r="D963" s="3" t="s">
        <v>791</v>
      </c>
      <c r="E963" s="3" t="s">
        <v>977</v>
      </c>
      <c r="F963" s="3" t="s">
        <v>7</v>
      </c>
      <c r="G963" s="3">
        <v>0.110842444985393</v>
      </c>
      <c r="H963" s="3">
        <v>0.11696228724940752</v>
      </c>
      <c r="I963" s="3">
        <v>0.20131164084930492</v>
      </c>
      <c r="J963" s="3">
        <v>0.28366901093159891</v>
      </c>
      <c r="K963" s="3">
        <v>0.33073095894156018</v>
      </c>
      <c r="L963" s="3">
        <v>0.36040397587681</v>
      </c>
      <c r="M963" s="3">
        <v>0.37672303863757112</v>
      </c>
      <c r="N963" s="3">
        <v>0.39348398312855987</v>
      </c>
      <c r="O963" s="3">
        <v>0.40036679696947958</v>
      </c>
      <c r="P963" s="3">
        <v>0.40715985814350364</v>
      </c>
    </row>
    <row r="964" spans="1:16" x14ac:dyDescent="0.3">
      <c r="A964" s="3" t="str">
        <f t="shared" si="14"/>
        <v>NGA</v>
      </c>
      <c r="C964" s="3" t="s">
        <v>850</v>
      </c>
      <c r="D964" s="3" t="s">
        <v>791</v>
      </c>
      <c r="E964" s="3" t="s">
        <v>977</v>
      </c>
      <c r="F964" s="3" t="s">
        <v>8</v>
      </c>
      <c r="G964" s="3">
        <v>6.9503261555341506E-2</v>
      </c>
      <c r="H964" s="3">
        <v>0.11688848176155839</v>
      </c>
      <c r="I964" s="3">
        <v>0.1262315679695441</v>
      </c>
      <c r="J964" s="3">
        <v>0.17787339014871059</v>
      </c>
      <c r="K964" s="3">
        <v>0.20738337508517879</v>
      </c>
      <c r="L964" s="3">
        <v>0.22598970822280068</v>
      </c>
      <c r="M964" s="3">
        <v>0.23622250385942298</v>
      </c>
      <c r="N964" s="3">
        <v>0.24673237946732129</v>
      </c>
      <c r="O964" s="3">
        <v>0.25104821723763832</v>
      </c>
      <c r="P964" s="3">
        <v>0.25530777599783827</v>
      </c>
    </row>
    <row r="965" spans="1:16" x14ac:dyDescent="0.3">
      <c r="A965" s="3" t="str">
        <f t="shared" si="14"/>
        <v>STM</v>
      </c>
      <c r="C965" s="3" t="s">
        <v>850</v>
      </c>
      <c r="D965" s="3" t="s">
        <v>775</v>
      </c>
      <c r="E965" s="3" t="s">
        <v>1212</v>
      </c>
      <c r="F965" s="3" t="s">
        <v>0</v>
      </c>
      <c r="G965" s="3">
        <v>2.6457459358309698</v>
      </c>
      <c r="H965" s="3">
        <v>2.8588682347800498</v>
      </c>
      <c r="I965" s="3">
        <v>3.6615183002531602</v>
      </c>
      <c r="J965" s="3">
        <v>5.1594595839505901</v>
      </c>
      <c r="K965" s="3">
        <v>6.0154368297624004</v>
      </c>
      <c r="L965" s="3">
        <v>6.55513882649623</v>
      </c>
      <c r="M965" s="3">
        <v>6.8519549802438</v>
      </c>
      <c r="N965" s="3">
        <v>7.1568082153790096</v>
      </c>
      <c r="O965" s="3">
        <v>7.2819949593221001</v>
      </c>
      <c r="P965" s="3">
        <v>7.2937411440417996</v>
      </c>
    </row>
    <row r="966" spans="1:16" x14ac:dyDescent="0.3">
      <c r="A966" s="3" t="str">
        <f t="shared" si="14"/>
        <v>STM</v>
      </c>
      <c r="C966" s="3" t="s">
        <v>850</v>
      </c>
      <c r="D966" s="3" t="s">
        <v>775</v>
      </c>
      <c r="E966" s="3" t="s">
        <v>1212</v>
      </c>
      <c r="F966" s="3" t="s">
        <v>1</v>
      </c>
      <c r="G966" s="3">
        <v>1.6925596020695299</v>
      </c>
      <c r="H966" s="3">
        <v>4.9484383315761598</v>
      </c>
      <c r="I966" s="3">
        <v>3.7182773531133599</v>
      </c>
      <c r="J966" s="3">
        <v>8.9924482315543308</v>
      </c>
      <c r="K966" s="3">
        <v>10.484335307149401</v>
      </c>
      <c r="L966" s="3">
        <v>11.4249846498039</v>
      </c>
      <c r="M966" s="3">
        <v>11.9423070269705</v>
      </c>
      <c r="N966" s="3">
        <v>12.473637273979801</v>
      </c>
      <c r="O966" s="3">
        <v>12.691825883827001</v>
      </c>
      <c r="P966" s="3">
        <v>12.9071692896526</v>
      </c>
    </row>
    <row r="967" spans="1:16" x14ac:dyDescent="0.3">
      <c r="A967" s="3" t="str">
        <f t="shared" si="14"/>
        <v>STM</v>
      </c>
      <c r="C967" s="3" t="s">
        <v>850</v>
      </c>
      <c r="D967" s="3" t="s">
        <v>775</v>
      </c>
      <c r="E967" s="3" t="s">
        <v>1212</v>
      </c>
      <c r="F967" s="3" t="s">
        <v>2</v>
      </c>
      <c r="G967" s="3">
        <v>1.3701612761968101</v>
      </c>
      <c r="H967" s="3">
        <v>14.039875328001401</v>
      </c>
      <c r="I967" s="3">
        <v>5.5742630422018404</v>
      </c>
      <c r="J967" s="3">
        <v>20.950172235428099</v>
      </c>
      <c r="K967" s="3">
        <v>24.494717456610701</v>
      </c>
      <c r="L967" s="3">
        <v>24.706204887956801</v>
      </c>
      <c r="M967" s="3">
        <v>27.958683849676898</v>
      </c>
      <c r="N967" s="3">
        <v>29.592561288370199</v>
      </c>
      <c r="O967" s="3">
        <v>29.739450990646599</v>
      </c>
      <c r="P967" s="3">
        <v>30.251081161936799</v>
      </c>
    </row>
    <row r="968" spans="1:16" x14ac:dyDescent="0.3">
      <c r="A968" s="3" t="str">
        <f t="shared" ref="A968:A1031" si="15">RIGHT(E968,3)</f>
        <v>STM</v>
      </c>
      <c r="C968" s="3" t="s">
        <v>850</v>
      </c>
      <c r="D968" s="3" t="s">
        <v>775</v>
      </c>
      <c r="E968" s="3" t="s">
        <v>1212</v>
      </c>
      <c r="F968" s="3" t="s">
        <v>3</v>
      </c>
      <c r="H968" s="3">
        <v>1.5399779406127499E-3</v>
      </c>
      <c r="I968" s="3">
        <v>7.69988970306536E-3</v>
      </c>
      <c r="J968" s="3">
        <v>0.11727221218058</v>
      </c>
      <c r="K968" s="3">
        <v>0.13672819270707701</v>
      </c>
      <c r="L968" s="3">
        <v>0.14899537806736299</v>
      </c>
      <c r="M968" s="3">
        <v>0.15574187668695</v>
      </c>
      <c r="N968" s="3">
        <v>0.162671054577188</v>
      </c>
      <c r="O968" s="3">
        <v>7.2215853267401204</v>
      </c>
      <c r="P968" s="3">
        <v>7.2215853267401204</v>
      </c>
    </row>
    <row r="969" spans="1:16" x14ac:dyDescent="0.3">
      <c r="A969" s="3" t="str">
        <f t="shared" si="15"/>
        <v>STM</v>
      </c>
      <c r="C969" s="3" t="s">
        <v>850</v>
      </c>
      <c r="D969" s="3" t="s">
        <v>775</v>
      </c>
      <c r="E969" s="3" t="s">
        <v>1212</v>
      </c>
      <c r="F969" s="3" t="s">
        <v>4</v>
      </c>
      <c r="G969" s="3">
        <v>9.0405509858550506</v>
      </c>
      <c r="H969" s="3">
        <v>17.998896656621699</v>
      </c>
      <c r="I969" s="3">
        <v>12.6630309134488</v>
      </c>
      <c r="J969" s="3">
        <v>27.706452444076099</v>
      </c>
      <c r="K969" s="3">
        <v>32.303075882714801</v>
      </c>
      <c r="L969" s="3">
        <v>33.399818322921298</v>
      </c>
      <c r="M969" s="3">
        <v>36.795203396808702</v>
      </c>
      <c r="N969" s="3">
        <v>36.630800955674502</v>
      </c>
      <c r="O969" s="3">
        <v>37.303057518838102</v>
      </c>
      <c r="P969" s="3">
        <v>37.966547780779898</v>
      </c>
    </row>
    <row r="970" spans="1:16" x14ac:dyDescent="0.3">
      <c r="A970" s="3" t="str">
        <f t="shared" si="15"/>
        <v>STM</v>
      </c>
      <c r="C970" s="3" t="s">
        <v>850</v>
      </c>
      <c r="D970" s="3" t="s">
        <v>775</v>
      </c>
      <c r="E970" s="3" t="s">
        <v>1212</v>
      </c>
      <c r="F970" s="3" t="s">
        <v>5</v>
      </c>
      <c r="G970" s="3">
        <v>9.0281667905693705</v>
      </c>
      <c r="H970" s="3">
        <v>19.244456410722702</v>
      </c>
      <c r="I970" s="3">
        <v>19.503369198567199</v>
      </c>
      <c r="J970" s="3">
        <v>35.059226287204297</v>
      </c>
      <c r="K970" s="3">
        <v>39.849320051197502</v>
      </c>
      <c r="L970" s="3">
        <v>40.887645393315402</v>
      </c>
      <c r="M970" s="3">
        <v>46.5599616109726</v>
      </c>
      <c r="N970" s="3">
        <v>47.662180681437199</v>
      </c>
      <c r="O970" s="3">
        <v>47.662180681437199</v>
      </c>
      <c r="P970" s="3">
        <v>46.666299364937103</v>
      </c>
    </row>
    <row r="971" spans="1:16" x14ac:dyDescent="0.3">
      <c r="A971" s="3" t="str">
        <f t="shared" si="15"/>
        <v>STM</v>
      </c>
      <c r="C971" s="3" t="s">
        <v>850</v>
      </c>
      <c r="D971" s="3" t="s">
        <v>775</v>
      </c>
      <c r="E971" s="3" t="s">
        <v>1212</v>
      </c>
      <c r="F971" s="3" t="s">
        <v>6</v>
      </c>
      <c r="G971" s="3">
        <v>42.2446601577184</v>
      </c>
      <c r="H971" s="3">
        <v>44.084027308894001</v>
      </c>
      <c r="I971" s="3">
        <v>48.319367485978901</v>
      </c>
      <c r="J971" s="3">
        <v>80.605221948475304</v>
      </c>
      <c r="K971" s="3">
        <v>93.977986044957007</v>
      </c>
      <c r="L971" s="3">
        <v>102.409644152735</v>
      </c>
      <c r="M971" s="3">
        <v>107.0467445237</v>
      </c>
      <c r="N971" s="3">
        <v>111.809406635876</v>
      </c>
      <c r="O971" s="3">
        <v>113.765174505814</v>
      </c>
      <c r="P971" s="3">
        <v>115.695438942679</v>
      </c>
    </row>
    <row r="972" spans="1:16" x14ac:dyDescent="0.3">
      <c r="A972" s="3" t="str">
        <f t="shared" si="15"/>
        <v>STM</v>
      </c>
      <c r="C972" s="3" t="s">
        <v>850</v>
      </c>
      <c r="D972" s="3" t="s">
        <v>775</v>
      </c>
      <c r="E972" s="3" t="s">
        <v>1212</v>
      </c>
      <c r="F972" s="3" t="s">
        <v>7</v>
      </c>
      <c r="H972" s="3">
        <v>9.7745208592483201E-3</v>
      </c>
      <c r="I972" s="3">
        <v>9.7661666116943911E-4</v>
      </c>
      <c r="J972" s="3">
        <v>1.48742385572295E-2</v>
      </c>
      <c r="K972" s="3">
        <v>1.7341940754833599E-2</v>
      </c>
      <c r="L972" s="3">
        <v>1.8897851043229701E-2</v>
      </c>
      <c r="M972" s="3">
        <v>1.9753544203849598E-2</v>
      </c>
      <c r="N972" s="3">
        <v>2.0632407517063401E-2</v>
      </c>
      <c r="O972" s="3">
        <v>1.13788948952663</v>
      </c>
      <c r="P972" s="3">
        <v>1.14421235750012</v>
      </c>
    </row>
    <row r="973" spans="1:16" x14ac:dyDescent="0.3">
      <c r="A973" s="3" t="str">
        <f t="shared" si="15"/>
        <v>STM</v>
      </c>
      <c r="C973" s="3" t="s">
        <v>850</v>
      </c>
      <c r="D973" s="3" t="s">
        <v>775</v>
      </c>
      <c r="E973" s="3" t="s">
        <v>1212</v>
      </c>
      <c r="F973" s="3" t="s">
        <v>8</v>
      </c>
      <c r="G973" s="3">
        <v>3.2085814744734202E-2</v>
      </c>
      <c r="H973" s="3">
        <v>0.32719152764909298</v>
      </c>
      <c r="I973" s="3">
        <v>0.15122925240062801</v>
      </c>
      <c r="J973" s="3">
        <v>0.49789906904257297</v>
      </c>
      <c r="K973" s="3">
        <v>0.58050273457705304</v>
      </c>
      <c r="L973" s="3">
        <v>0.63258515083826405</v>
      </c>
      <c r="M973" s="3">
        <v>0.66122855509855005</v>
      </c>
      <c r="N973" s="3">
        <v>0.69064755518929399</v>
      </c>
      <c r="O973" s="3">
        <v>0.70272834819707897</v>
      </c>
      <c r="P973" s="3">
        <v>0.71465160630478497</v>
      </c>
    </row>
    <row r="974" spans="1:16" x14ac:dyDescent="0.3">
      <c r="A974" s="3" t="str">
        <f t="shared" si="15"/>
        <v>COA</v>
      </c>
      <c r="C974" s="3" t="s">
        <v>850</v>
      </c>
      <c r="D974" s="3" t="s">
        <v>775</v>
      </c>
      <c r="E974" s="3" t="s">
        <v>978</v>
      </c>
      <c r="F974" s="3" t="s">
        <v>2</v>
      </c>
      <c r="G974" s="3">
        <v>0.41480902039110801</v>
      </c>
      <c r="I974" s="3">
        <v>0.41480902039110801</v>
      </c>
      <c r="J974" s="3">
        <v>0.41480902039110801</v>
      </c>
      <c r="K974" s="3">
        <v>0.41480902039110801</v>
      </c>
      <c r="L974" s="3">
        <v>0.41480902039110801</v>
      </c>
      <c r="M974" s="3">
        <v>0.41480902039110801</v>
      </c>
      <c r="N974" s="3">
        <v>4.3308686986041102E-2</v>
      </c>
      <c r="O974" s="3">
        <v>0.41480902039110801</v>
      </c>
      <c r="P974" s="3">
        <v>0.41480902039110801</v>
      </c>
    </row>
    <row r="975" spans="1:16" x14ac:dyDescent="0.3">
      <c r="A975" s="3" t="str">
        <f t="shared" si="15"/>
        <v>ELC</v>
      </c>
      <c r="C975" s="3" t="s">
        <v>850</v>
      </c>
      <c r="D975" s="3" t="s">
        <v>775</v>
      </c>
      <c r="E975" s="3" t="s">
        <v>979</v>
      </c>
      <c r="F975" s="3" t="s">
        <v>0</v>
      </c>
      <c r="G975" s="3">
        <v>1.2459782580800299E-2</v>
      </c>
    </row>
    <row r="976" spans="1:16" x14ac:dyDescent="0.3">
      <c r="A976" s="3" t="str">
        <f t="shared" si="15"/>
        <v>ELC</v>
      </c>
      <c r="C976" s="3" t="s">
        <v>850</v>
      </c>
      <c r="D976" s="3" t="s">
        <v>775</v>
      </c>
      <c r="E976" s="3" t="s">
        <v>979</v>
      </c>
      <c r="F976" s="3" t="s">
        <v>1</v>
      </c>
      <c r="G976" s="3">
        <v>3.4297589461931302E-2</v>
      </c>
      <c r="H976" s="3">
        <v>3.4297589461931302E-2</v>
      </c>
      <c r="I976" s="3">
        <v>3.4297589461931302E-2</v>
      </c>
    </row>
    <row r="977" spans="1:9" x14ac:dyDescent="0.3">
      <c r="A977" s="3" t="str">
        <f t="shared" si="15"/>
        <v>ELC</v>
      </c>
      <c r="C977" s="3" t="s">
        <v>850</v>
      </c>
      <c r="D977" s="3" t="s">
        <v>775</v>
      </c>
      <c r="E977" s="3" t="s">
        <v>979</v>
      </c>
      <c r="F977" s="3" t="s">
        <v>2</v>
      </c>
      <c r="G977" s="3">
        <v>0.111504702106384</v>
      </c>
      <c r="I977" s="3">
        <v>0.111504702106384</v>
      </c>
    </row>
    <row r="978" spans="1:9" x14ac:dyDescent="0.3">
      <c r="A978" s="3" t="str">
        <f t="shared" si="15"/>
        <v>ELC</v>
      </c>
      <c r="C978" s="3" t="s">
        <v>850</v>
      </c>
      <c r="D978" s="3" t="s">
        <v>775</v>
      </c>
      <c r="E978" s="3" t="s">
        <v>979</v>
      </c>
      <c r="F978" s="3" t="s">
        <v>3</v>
      </c>
      <c r="G978" s="3">
        <v>7.5524786064542604E-2</v>
      </c>
      <c r="H978" s="3">
        <v>7.5524786064542604E-2</v>
      </c>
      <c r="I978" s="3">
        <v>7.5524786064542604E-2</v>
      </c>
    </row>
    <row r="979" spans="1:9" x14ac:dyDescent="0.3">
      <c r="A979" s="3" t="str">
        <f t="shared" si="15"/>
        <v>ELC</v>
      </c>
      <c r="C979" s="3" t="s">
        <v>850</v>
      </c>
      <c r="D979" s="3" t="s">
        <v>775</v>
      </c>
      <c r="E979" s="3" t="s">
        <v>979</v>
      </c>
      <c r="F979" s="3" t="s">
        <v>4</v>
      </c>
      <c r="G979" s="3">
        <v>0.206761055472691</v>
      </c>
      <c r="H979" s="3">
        <v>0.206761055472691</v>
      </c>
      <c r="I979" s="3">
        <v>0.206761055472691</v>
      </c>
    </row>
    <row r="980" spans="1:9" x14ac:dyDescent="0.3">
      <c r="A980" s="3" t="str">
        <f t="shared" si="15"/>
        <v>ELC</v>
      </c>
      <c r="C980" s="3" t="s">
        <v>850</v>
      </c>
      <c r="D980" s="3" t="s">
        <v>775</v>
      </c>
      <c r="E980" s="3" t="s">
        <v>979</v>
      </c>
      <c r="F980" s="3" t="s">
        <v>5</v>
      </c>
      <c r="G980" s="3">
        <v>0.18022237672670099</v>
      </c>
      <c r="H980" s="3">
        <v>0.18022237672670099</v>
      </c>
      <c r="I980" s="3">
        <v>0.18022237672670099</v>
      </c>
    </row>
    <row r="981" spans="1:9" x14ac:dyDescent="0.3">
      <c r="A981" s="3" t="str">
        <f t="shared" si="15"/>
        <v>ELC</v>
      </c>
      <c r="C981" s="3" t="s">
        <v>850</v>
      </c>
      <c r="D981" s="3" t="s">
        <v>775</v>
      </c>
      <c r="E981" s="3" t="s">
        <v>979</v>
      </c>
      <c r="F981" s="3" t="s">
        <v>6</v>
      </c>
      <c r="G981" s="3">
        <v>0.62609296205979204</v>
      </c>
      <c r="H981" s="3">
        <v>0.62609296205979204</v>
      </c>
      <c r="I981" s="3">
        <v>0.62609296205979204</v>
      </c>
    </row>
    <row r="982" spans="1:9" x14ac:dyDescent="0.3">
      <c r="A982" s="3" t="str">
        <f t="shared" si="15"/>
        <v>ELC</v>
      </c>
      <c r="C982" s="3" t="s">
        <v>850</v>
      </c>
      <c r="D982" s="3" t="s">
        <v>775</v>
      </c>
      <c r="E982" s="3" t="s">
        <v>979</v>
      </c>
      <c r="F982" s="3" t="s">
        <v>7</v>
      </c>
      <c r="G982" s="3">
        <v>9.5791975270144592E-3</v>
      </c>
      <c r="I982" s="3">
        <v>9.5791975270144592E-3</v>
      </c>
    </row>
    <row r="983" spans="1:9" x14ac:dyDescent="0.3">
      <c r="A983" s="3" t="str">
        <f t="shared" si="15"/>
        <v>ELC</v>
      </c>
      <c r="C983" s="3" t="s">
        <v>850</v>
      </c>
      <c r="D983" s="3" t="s">
        <v>775</v>
      </c>
      <c r="E983" s="3" t="s">
        <v>979</v>
      </c>
      <c r="F983" s="3" t="s">
        <v>8</v>
      </c>
      <c r="G983" s="3">
        <v>6.0065931538960601E-3</v>
      </c>
    </row>
    <row r="984" spans="1:9" x14ac:dyDescent="0.3">
      <c r="A984" s="3" t="str">
        <f t="shared" si="15"/>
        <v>LPG</v>
      </c>
      <c r="C984" s="3" t="s">
        <v>850</v>
      </c>
      <c r="D984" s="3" t="s">
        <v>775</v>
      </c>
      <c r="E984" s="3" t="s">
        <v>980</v>
      </c>
      <c r="F984" s="3" t="s">
        <v>1</v>
      </c>
      <c r="G984" s="3">
        <v>0.27703917231418201</v>
      </c>
    </row>
    <row r="985" spans="1:9" x14ac:dyDescent="0.3">
      <c r="A985" s="3" t="str">
        <f t="shared" si="15"/>
        <v>LPG</v>
      </c>
      <c r="C985" s="3" t="s">
        <v>850</v>
      </c>
      <c r="D985" s="3" t="s">
        <v>775</v>
      </c>
      <c r="E985" s="3" t="s">
        <v>980</v>
      </c>
      <c r="F985" s="3" t="s">
        <v>2</v>
      </c>
      <c r="G985" s="3">
        <v>2.8013142162609301</v>
      </c>
    </row>
    <row r="986" spans="1:9" x14ac:dyDescent="0.3">
      <c r="A986" s="3" t="str">
        <f t="shared" si="15"/>
        <v>LPG</v>
      </c>
      <c r="C986" s="3" t="s">
        <v>850</v>
      </c>
      <c r="D986" s="3" t="s">
        <v>775</v>
      </c>
      <c r="E986" s="3" t="s">
        <v>980</v>
      </c>
      <c r="F986" s="3" t="s">
        <v>6</v>
      </c>
      <c r="G986" s="3">
        <v>0.78053210690443098</v>
      </c>
    </row>
    <row r="987" spans="1:9" x14ac:dyDescent="0.3">
      <c r="A987" s="3" t="str">
        <f t="shared" si="15"/>
        <v>LPG</v>
      </c>
      <c r="C987" s="3" t="s">
        <v>850</v>
      </c>
      <c r="D987" s="3" t="s">
        <v>775</v>
      </c>
      <c r="E987" s="3" t="s">
        <v>980</v>
      </c>
      <c r="F987" s="3" t="s">
        <v>8</v>
      </c>
      <c r="G987" s="3">
        <v>8.0445656678373001E-2</v>
      </c>
    </row>
    <row r="988" spans="1:9" x14ac:dyDescent="0.3">
      <c r="A988" s="3" t="str">
        <f t="shared" si="15"/>
        <v>NGA</v>
      </c>
      <c r="C988" s="3" t="s">
        <v>850</v>
      </c>
      <c r="D988" s="3" t="s">
        <v>775</v>
      </c>
      <c r="E988" s="3" t="s">
        <v>981</v>
      </c>
      <c r="F988" s="3" t="s">
        <v>1</v>
      </c>
      <c r="G988" s="3">
        <v>2.6291038414464998</v>
      </c>
      <c r="I988" s="3">
        <v>2.6291038414464998</v>
      </c>
    </row>
    <row r="989" spans="1:9" x14ac:dyDescent="0.3">
      <c r="A989" s="3" t="str">
        <f t="shared" si="15"/>
        <v>NGA</v>
      </c>
      <c r="C989" s="3" t="s">
        <v>850</v>
      </c>
      <c r="D989" s="3" t="s">
        <v>775</v>
      </c>
      <c r="E989" s="3" t="s">
        <v>981</v>
      </c>
      <c r="F989" s="3" t="s">
        <v>2</v>
      </c>
      <c r="G989" s="3">
        <v>7.0381457236429501</v>
      </c>
      <c r="I989" s="3">
        <v>7.0381457236429501</v>
      </c>
    </row>
    <row r="990" spans="1:9" x14ac:dyDescent="0.3">
      <c r="A990" s="3" t="str">
        <f t="shared" si="15"/>
        <v>NGA</v>
      </c>
      <c r="C990" s="3" t="s">
        <v>850</v>
      </c>
      <c r="D990" s="3" t="s">
        <v>775</v>
      </c>
      <c r="E990" s="3" t="s">
        <v>981</v>
      </c>
      <c r="F990" s="3" t="s">
        <v>4</v>
      </c>
      <c r="G990" s="3">
        <v>6.7926709321640599</v>
      </c>
      <c r="I990" s="3">
        <v>6.7926709321640599</v>
      </c>
    </row>
    <row r="991" spans="1:9" x14ac:dyDescent="0.3">
      <c r="A991" s="3" t="str">
        <f t="shared" si="15"/>
        <v>NGA</v>
      </c>
      <c r="C991" s="3" t="s">
        <v>850</v>
      </c>
      <c r="D991" s="3" t="s">
        <v>775</v>
      </c>
      <c r="E991" s="3" t="s">
        <v>981</v>
      </c>
      <c r="F991" s="3" t="s">
        <v>5</v>
      </c>
      <c r="G991" s="3">
        <v>5.1969209191993402</v>
      </c>
      <c r="I991" s="3">
        <v>5.1969209191993402</v>
      </c>
    </row>
    <row r="992" spans="1:9" x14ac:dyDescent="0.3">
      <c r="A992" s="3" t="str">
        <f t="shared" si="15"/>
        <v>NGA</v>
      </c>
      <c r="C992" s="3" t="s">
        <v>850</v>
      </c>
      <c r="D992" s="3" t="s">
        <v>775</v>
      </c>
      <c r="E992" s="3" t="s">
        <v>981</v>
      </c>
      <c r="F992" s="3" t="s">
        <v>6</v>
      </c>
      <c r="G992" s="3">
        <v>8.2577195474762206</v>
      </c>
      <c r="H992" s="3">
        <v>8.2577195474762206</v>
      </c>
      <c r="I992" s="3">
        <v>8.2577195474762206</v>
      </c>
    </row>
    <row r="993" spans="1:16" x14ac:dyDescent="0.3">
      <c r="A993" s="3" t="str">
        <f t="shared" si="15"/>
        <v>NGA</v>
      </c>
      <c r="C993" s="3" t="s">
        <v>850</v>
      </c>
      <c r="D993" s="3" t="s">
        <v>775</v>
      </c>
      <c r="E993" s="3" t="s">
        <v>981</v>
      </c>
      <c r="F993" s="3" t="s">
        <v>8</v>
      </c>
      <c r="G993" s="3">
        <v>0.202115225507362</v>
      </c>
      <c r="I993" s="3">
        <v>0.202115225507362</v>
      </c>
    </row>
    <row r="994" spans="1:16" x14ac:dyDescent="0.3">
      <c r="A994" s="3" t="str">
        <f t="shared" si="15"/>
        <v>COA</v>
      </c>
      <c r="C994" s="3" t="s">
        <v>850</v>
      </c>
      <c r="D994" s="3" t="s">
        <v>775</v>
      </c>
      <c r="E994" s="3" t="s">
        <v>982</v>
      </c>
      <c r="F994" s="3" t="s">
        <v>2</v>
      </c>
      <c r="G994" s="3">
        <v>1.0151007310928499</v>
      </c>
      <c r="I994" s="3">
        <v>1.0151007310928499</v>
      </c>
      <c r="L994" s="3">
        <v>1.0151007310928499</v>
      </c>
    </row>
    <row r="995" spans="1:16" x14ac:dyDescent="0.3">
      <c r="A995" s="3" t="str">
        <f t="shared" si="15"/>
        <v>COA</v>
      </c>
      <c r="C995" s="3" t="s">
        <v>850</v>
      </c>
      <c r="D995" s="3" t="s">
        <v>775</v>
      </c>
      <c r="E995" s="3" t="s">
        <v>982</v>
      </c>
      <c r="F995" s="3" t="s">
        <v>4</v>
      </c>
      <c r="G995" s="3">
        <v>1.25154989737151</v>
      </c>
      <c r="L995" s="3">
        <v>1.25154989737151</v>
      </c>
      <c r="N995" s="3">
        <v>1.25154989737151</v>
      </c>
      <c r="O995" s="3">
        <v>1.25154989737151</v>
      </c>
      <c r="P995" s="3">
        <v>1.25154989737151</v>
      </c>
    </row>
    <row r="996" spans="1:16" x14ac:dyDescent="0.3">
      <c r="A996" s="3" t="str">
        <f t="shared" si="15"/>
        <v>COA</v>
      </c>
      <c r="C996" s="3" t="s">
        <v>850</v>
      </c>
      <c r="D996" s="3" t="s">
        <v>775</v>
      </c>
      <c r="E996" s="3" t="s">
        <v>982</v>
      </c>
      <c r="F996" s="3" t="s">
        <v>5</v>
      </c>
      <c r="G996" s="3">
        <v>1.5491497101015499</v>
      </c>
      <c r="L996" s="3">
        <v>1.5491497101015499</v>
      </c>
      <c r="P996" s="3">
        <v>1.5491497101015499</v>
      </c>
    </row>
    <row r="997" spans="1:16" x14ac:dyDescent="0.3">
      <c r="A997" s="3" t="str">
        <f t="shared" si="15"/>
        <v>COA</v>
      </c>
      <c r="C997" s="3" t="s">
        <v>850</v>
      </c>
      <c r="D997" s="3" t="s">
        <v>775</v>
      </c>
      <c r="E997" s="3" t="s">
        <v>983</v>
      </c>
      <c r="F997" s="3" t="s">
        <v>2</v>
      </c>
      <c r="G997" s="3">
        <v>1.00828214836163</v>
      </c>
      <c r="I997" s="3">
        <v>1.00828214836163</v>
      </c>
      <c r="L997" s="3">
        <v>1.00828214836163</v>
      </c>
    </row>
    <row r="998" spans="1:16" x14ac:dyDescent="0.3">
      <c r="A998" s="3" t="str">
        <f t="shared" si="15"/>
        <v>COA</v>
      </c>
      <c r="C998" s="3" t="s">
        <v>850</v>
      </c>
      <c r="D998" s="3" t="s">
        <v>775</v>
      </c>
      <c r="E998" s="3" t="s">
        <v>983</v>
      </c>
      <c r="F998" s="3" t="s">
        <v>4</v>
      </c>
      <c r="G998" s="3">
        <v>0.549923543983309</v>
      </c>
      <c r="L998" s="3">
        <v>0.549923543983309</v>
      </c>
      <c r="N998" s="3">
        <v>0.549923543983309</v>
      </c>
      <c r="O998" s="3">
        <v>0.549923543983309</v>
      </c>
      <c r="P998" s="3">
        <v>0.549923543983309</v>
      </c>
    </row>
    <row r="999" spans="1:16" x14ac:dyDescent="0.3">
      <c r="A999" s="3" t="str">
        <f t="shared" si="15"/>
        <v>COA</v>
      </c>
      <c r="C999" s="3" t="s">
        <v>850</v>
      </c>
      <c r="D999" s="3" t="s">
        <v>775</v>
      </c>
      <c r="E999" s="3" t="s">
        <v>983</v>
      </c>
      <c r="F999" s="3" t="s">
        <v>5</v>
      </c>
      <c r="G999" s="3">
        <v>2.1062605640914098</v>
      </c>
      <c r="K999" s="3">
        <v>1.0263874913237601</v>
      </c>
      <c r="L999" s="3">
        <v>2.1062605640914098</v>
      </c>
      <c r="N999" s="3">
        <v>0.96929992897434403</v>
      </c>
      <c r="O999" s="3">
        <v>1.8199608000686001</v>
      </c>
      <c r="P999" s="3">
        <v>2.1062605640914098</v>
      </c>
    </row>
    <row r="1000" spans="1:16" x14ac:dyDescent="0.3">
      <c r="A1000" s="3" t="str">
        <f t="shared" si="15"/>
        <v>COA</v>
      </c>
      <c r="C1000" s="3" t="s">
        <v>850</v>
      </c>
      <c r="D1000" s="3" t="s">
        <v>775</v>
      </c>
      <c r="E1000" s="3" t="s">
        <v>1213</v>
      </c>
      <c r="F1000" s="3" t="s">
        <v>0</v>
      </c>
      <c r="P1000" s="3">
        <v>0.11180810999714701</v>
      </c>
    </row>
    <row r="1001" spans="1:16" x14ac:dyDescent="0.3">
      <c r="A1001" s="3" t="str">
        <f t="shared" si="15"/>
        <v>EXT</v>
      </c>
      <c r="C1001" s="3" t="s">
        <v>850</v>
      </c>
      <c r="D1001" s="3" t="s">
        <v>984</v>
      </c>
      <c r="E1001" s="3" t="s">
        <v>985</v>
      </c>
      <c r="F1001" s="3" t="s">
        <v>0</v>
      </c>
      <c r="G1001" s="3">
        <v>15.3409620814066</v>
      </c>
      <c r="H1001" s="3">
        <v>15.4186432163552</v>
      </c>
      <c r="I1001" s="3">
        <v>15.729367756149401</v>
      </c>
      <c r="J1001" s="3">
        <v>15.729367756149401</v>
      </c>
      <c r="K1001" s="3">
        <v>15.9695591259248</v>
      </c>
      <c r="L1001" s="3">
        <v>17.046844954788099</v>
      </c>
      <c r="M1001" s="3">
        <v>18.4008979327124</v>
      </c>
      <c r="N1001" s="3">
        <v>19.928038514779299</v>
      </c>
      <c r="O1001" s="3">
        <v>29.626638213117999</v>
      </c>
      <c r="P1001" s="3">
        <v>31.703440865948298</v>
      </c>
    </row>
    <row r="1002" spans="1:16" x14ac:dyDescent="0.3">
      <c r="A1002" s="3" t="str">
        <f t="shared" si="15"/>
        <v>EXT</v>
      </c>
      <c r="C1002" s="3" t="s">
        <v>850</v>
      </c>
      <c r="D1002" s="3" t="s">
        <v>984</v>
      </c>
      <c r="E1002" s="3" t="s">
        <v>985</v>
      </c>
      <c r="F1002" s="3" t="s">
        <v>1</v>
      </c>
      <c r="G1002" s="3">
        <v>59.384487281307102</v>
      </c>
      <c r="H1002" s="3">
        <v>59.698048462683097</v>
      </c>
      <c r="I1002" s="3">
        <v>60.952293188187099</v>
      </c>
      <c r="J1002" s="3">
        <v>60.952293188187099</v>
      </c>
      <c r="K1002" s="3">
        <v>61.883049911456901</v>
      </c>
      <c r="L1002" s="3">
        <v>66.057600516816706</v>
      </c>
      <c r="M1002" s="3">
        <v>71.304641299527702</v>
      </c>
      <c r="N1002" s="3">
        <v>77.222407476832103</v>
      </c>
      <c r="O1002" s="3">
        <v>114.80509366565801</v>
      </c>
      <c r="P1002" s="3">
        <v>122.852835072164</v>
      </c>
    </row>
    <row r="1003" spans="1:16" x14ac:dyDescent="0.3">
      <c r="A1003" s="3" t="str">
        <f t="shared" si="15"/>
        <v>EXT</v>
      </c>
      <c r="C1003" s="3" t="s">
        <v>850</v>
      </c>
      <c r="D1003" s="3" t="s">
        <v>984</v>
      </c>
      <c r="E1003" s="3" t="s">
        <v>985</v>
      </c>
      <c r="F1003" s="3" t="s">
        <v>2</v>
      </c>
      <c r="G1003" s="3">
        <v>66.207520796153204</v>
      </c>
      <c r="H1003" s="3">
        <v>66.542771957735098</v>
      </c>
      <c r="I1003" s="3">
        <v>67.883776604062803</v>
      </c>
      <c r="J1003" s="3">
        <v>67.883776604062803</v>
      </c>
      <c r="K1003" s="3">
        <v>68.920378808349099</v>
      </c>
      <c r="L1003" s="3">
        <v>73.569658530141794</v>
      </c>
      <c r="M1003" s="3">
        <v>79.413391812271797</v>
      </c>
      <c r="N1003" s="3">
        <v>86.004125255801497</v>
      </c>
      <c r="O1003" s="3">
        <v>127.860707510156</v>
      </c>
      <c r="P1003" s="3">
        <v>136.82363656878499</v>
      </c>
    </row>
    <row r="1004" spans="1:16" x14ac:dyDescent="0.3">
      <c r="A1004" s="3" t="str">
        <f t="shared" si="15"/>
        <v>EXT</v>
      </c>
      <c r="C1004" s="3" t="s">
        <v>850</v>
      </c>
      <c r="D1004" s="3" t="s">
        <v>984</v>
      </c>
      <c r="E1004" s="3" t="s">
        <v>985</v>
      </c>
      <c r="F1004" s="3" t="s">
        <v>3</v>
      </c>
      <c r="G1004" s="3">
        <v>36.143704422857702</v>
      </c>
      <c r="H1004" s="3">
        <v>36.326723190905902</v>
      </c>
      <c r="I1004" s="3">
        <v>37.058798263098701</v>
      </c>
      <c r="J1004" s="3">
        <v>37.058798263098701</v>
      </c>
      <c r="K1004" s="3">
        <v>37.6246953579493</v>
      </c>
      <c r="L1004" s="3">
        <v>40.162808702519996</v>
      </c>
      <c r="M1004" s="3">
        <v>43.352992626271394</v>
      </c>
      <c r="N1004" s="3">
        <v>46.950975433182691</v>
      </c>
      <c r="O1004" s="3">
        <v>69.801127786875796</v>
      </c>
      <c r="P1004" s="3">
        <v>74.694128684093698</v>
      </c>
    </row>
    <row r="1005" spans="1:16" x14ac:dyDescent="0.3">
      <c r="A1005" s="3" t="str">
        <f t="shared" si="15"/>
        <v>EXT</v>
      </c>
      <c r="C1005" s="3" t="s">
        <v>850</v>
      </c>
      <c r="D1005" s="3" t="s">
        <v>984</v>
      </c>
      <c r="E1005" s="3" t="s">
        <v>985</v>
      </c>
      <c r="F1005" s="3" t="s">
        <v>4</v>
      </c>
      <c r="G1005" s="3">
        <v>35.204482039176099</v>
      </c>
      <c r="H1005" s="3">
        <v>35.405259182754698</v>
      </c>
      <c r="I1005" s="3">
        <v>36.208367757069503</v>
      </c>
      <c r="J1005" s="3">
        <v>36.208367757069503</v>
      </c>
      <c r="K1005" s="3">
        <v>36.761278565928897</v>
      </c>
      <c r="L1005" s="3">
        <v>39.241146929087698</v>
      </c>
      <c r="M1005" s="3">
        <v>42.358122064217795</v>
      </c>
      <c r="N1005" s="3">
        <v>45.873537856477398</v>
      </c>
      <c r="O1005" s="3">
        <v>68.199321705529997</v>
      </c>
      <c r="P1005" s="3">
        <v>72.980037331124095</v>
      </c>
    </row>
    <row r="1006" spans="1:16" x14ac:dyDescent="0.3">
      <c r="A1006" s="3" t="str">
        <f t="shared" si="15"/>
        <v>EXT</v>
      </c>
      <c r="C1006" s="3" t="s">
        <v>850</v>
      </c>
      <c r="D1006" s="3" t="s">
        <v>984</v>
      </c>
      <c r="E1006" s="3" t="s">
        <v>985</v>
      </c>
      <c r="F1006" s="3" t="s">
        <v>5</v>
      </c>
      <c r="G1006" s="3">
        <v>12.192140015214299</v>
      </c>
      <c r="H1006" s="3">
        <v>13.338160783866599</v>
      </c>
      <c r="I1006" s="3">
        <v>17.922243858476097</v>
      </c>
      <c r="J1006" s="3">
        <v>17.922243858476097</v>
      </c>
      <c r="K1006" s="3">
        <v>18.195920993409395</v>
      </c>
      <c r="L1006" s="3">
        <v>19.423394317797996</v>
      </c>
      <c r="M1006" s="3">
        <v>20.966219690303195</v>
      </c>
      <c r="N1006" s="3">
        <v>22.706263304407095</v>
      </c>
      <c r="O1006" s="3">
        <v>33.756972498450395</v>
      </c>
      <c r="P1006" s="3">
        <v>36.123308143149394</v>
      </c>
    </row>
    <row r="1007" spans="1:16" x14ac:dyDescent="0.3">
      <c r="A1007" s="3" t="str">
        <f t="shared" si="15"/>
        <v>EXT</v>
      </c>
      <c r="C1007" s="3" t="s">
        <v>850</v>
      </c>
      <c r="D1007" s="3" t="s">
        <v>984</v>
      </c>
      <c r="E1007" s="3" t="s">
        <v>985</v>
      </c>
      <c r="F1007" s="3" t="s">
        <v>6</v>
      </c>
      <c r="G1007" s="3">
        <v>57.883031679194403</v>
      </c>
      <c r="H1007" s="3">
        <v>58.188329905768299</v>
      </c>
      <c r="I1007" s="3">
        <v>59.409522812063798</v>
      </c>
      <c r="J1007" s="3">
        <v>59.409522812063798</v>
      </c>
      <c r="K1007" s="3">
        <v>60.3167210468023</v>
      </c>
      <c r="L1007" s="3">
        <v>64.385609130364998</v>
      </c>
      <c r="M1007" s="3">
        <v>69.499841471285507</v>
      </c>
      <c r="N1007" s="3">
        <v>75.267822400593104</v>
      </c>
      <c r="O1007" s="3">
        <v>111.89924897514601</v>
      </c>
      <c r="P1007" s="3">
        <v>119.74329309009401</v>
      </c>
    </row>
    <row r="1008" spans="1:16" x14ac:dyDescent="0.3">
      <c r="A1008" s="3" t="str">
        <f t="shared" si="15"/>
        <v>EXT</v>
      </c>
      <c r="C1008" s="3" t="s">
        <v>850</v>
      </c>
      <c r="D1008" s="3" t="s">
        <v>984</v>
      </c>
      <c r="E1008" s="3" t="s">
        <v>985</v>
      </c>
      <c r="F1008" s="3" t="s">
        <v>7</v>
      </c>
      <c r="G1008" s="3">
        <v>9.0587780592370404</v>
      </c>
      <c r="H1008" s="3">
        <v>9.1046484653533195</v>
      </c>
      <c r="I1008" s="3">
        <v>9.2881300898184591</v>
      </c>
      <c r="J1008" s="3">
        <v>9.2881300898184591</v>
      </c>
      <c r="K1008" s="3">
        <v>9.4299621534786908</v>
      </c>
      <c r="L1008" s="3">
        <v>10.066095218553</v>
      </c>
      <c r="M1008" s="3">
        <v>10.865658201785401</v>
      </c>
      <c r="N1008" s="3">
        <v>11.7674287377393</v>
      </c>
      <c r="O1008" s="3">
        <v>17.494413895933398</v>
      </c>
      <c r="P1008" s="3">
        <v>18.7207577331056</v>
      </c>
    </row>
    <row r="1009" spans="1:16" x14ac:dyDescent="0.3">
      <c r="A1009" s="3" t="str">
        <f t="shared" si="15"/>
        <v>EXT</v>
      </c>
      <c r="C1009" s="3" t="s">
        <v>850</v>
      </c>
      <c r="D1009" s="3" t="s">
        <v>984</v>
      </c>
      <c r="E1009" s="3" t="s">
        <v>985</v>
      </c>
      <c r="F1009" s="3" t="s">
        <v>8</v>
      </c>
      <c r="G1009" s="3">
        <v>7.7108109384975503</v>
      </c>
      <c r="H1009" s="3">
        <v>7.7498557221231001</v>
      </c>
      <c r="I1009" s="3">
        <v>7.9060348566252987</v>
      </c>
      <c r="J1009" s="3">
        <v>7.9060348566252987</v>
      </c>
      <c r="K1009" s="3">
        <v>8.026761981271628</v>
      </c>
      <c r="L1009" s="3">
        <v>8.5682369754087979</v>
      </c>
      <c r="M1009" s="3">
        <v>9.2488231380027077</v>
      </c>
      <c r="N1009" s="3">
        <v>10.016408133150899</v>
      </c>
      <c r="O1009" s="3">
        <v>14.891204657985398</v>
      </c>
      <c r="P1009" s="3">
        <v>15.935065696658699</v>
      </c>
    </row>
    <row r="1010" spans="1:16" x14ac:dyDescent="0.3">
      <c r="A1010" s="3" t="str">
        <f t="shared" si="15"/>
        <v>COA</v>
      </c>
      <c r="C1010" s="3" t="s">
        <v>850</v>
      </c>
      <c r="D1010" s="3" t="s">
        <v>730</v>
      </c>
      <c r="E1010" s="3" t="s">
        <v>986</v>
      </c>
      <c r="F1010" s="3" t="s">
        <v>0</v>
      </c>
      <c r="G1010" s="3">
        <v>0.160735096592347</v>
      </c>
      <c r="H1010" s="3">
        <v>3.58586328827597</v>
      </c>
      <c r="I1010" s="3">
        <v>3.65812747549269</v>
      </c>
      <c r="J1010" s="3">
        <v>3.65812747549269</v>
      </c>
      <c r="K1010" s="3">
        <v>3.7139879946676002</v>
      </c>
      <c r="L1010" s="3">
        <v>3.9645288269895498</v>
      </c>
      <c r="M1010" s="3">
        <v>4.2794364875267101</v>
      </c>
      <c r="N1010" s="3">
        <v>4.6345985645284902</v>
      </c>
      <c r="O1010" s="3">
        <v>6.8901700903723997</v>
      </c>
      <c r="P1010" s="3">
        <v>7.3731652725865402</v>
      </c>
    </row>
    <row r="1011" spans="1:16" x14ac:dyDescent="0.3">
      <c r="A1011" s="3" t="str">
        <f t="shared" si="15"/>
        <v>COA</v>
      </c>
      <c r="C1011" s="3" t="s">
        <v>850</v>
      </c>
      <c r="D1011" s="3" t="s">
        <v>730</v>
      </c>
      <c r="E1011" s="3" t="s">
        <v>986</v>
      </c>
      <c r="F1011" s="3" t="s">
        <v>1</v>
      </c>
      <c r="G1011" s="3">
        <v>0.44244964302531897</v>
      </c>
      <c r="H1011" s="3">
        <v>9.8623873006963994</v>
      </c>
      <c r="I1011" s="3">
        <v>10.069594195583599</v>
      </c>
      <c r="J1011" s="3">
        <v>10.069594195583599</v>
      </c>
      <c r="K1011" s="3">
        <v>10.223359411097301</v>
      </c>
      <c r="L1011" s="3">
        <v>10.9130140302454</v>
      </c>
      <c r="M1011" s="3">
        <v>11.779848871823001</v>
      </c>
      <c r="N1011" s="3">
        <v>12.7574905786875</v>
      </c>
      <c r="O1011" s="3">
        <v>18.966320122360599</v>
      </c>
      <c r="P1011" s="3">
        <v>20.295843359563701</v>
      </c>
    </row>
    <row r="1012" spans="1:16" x14ac:dyDescent="0.3">
      <c r="A1012" s="3" t="str">
        <f t="shared" si="15"/>
        <v>COA</v>
      </c>
      <c r="C1012" s="3" t="s">
        <v>850</v>
      </c>
      <c r="D1012" s="3" t="s">
        <v>730</v>
      </c>
      <c r="E1012" s="3" t="s">
        <v>986</v>
      </c>
      <c r="F1012" s="3" t="s">
        <v>2</v>
      </c>
      <c r="G1012" s="3">
        <v>0.25384333598227599</v>
      </c>
      <c r="H1012" s="3">
        <v>11.010620554804801</v>
      </c>
      <c r="I1012" s="3">
        <v>11.2325123228892</v>
      </c>
      <c r="J1012" s="3">
        <v>11.2325123228892</v>
      </c>
      <c r="K1012" s="3">
        <v>11.40403558833</v>
      </c>
      <c r="L1012" s="3">
        <v>12.173337097174899</v>
      </c>
      <c r="M1012" s="3">
        <v>13.1402810326317</v>
      </c>
      <c r="N1012" s="3">
        <v>14.2308287057984</v>
      </c>
      <c r="O1012" s="3">
        <v>21.156704069337401</v>
      </c>
      <c r="P1012" s="3">
        <v>22.639771396122001</v>
      </c>
    </row>
    <row r="1013" spans="1:16" x14ac:dyDescent="0.3">
      <c r="A1013" s="3" t="str">
        <f t="shared" si="15"/>
        <v>COA</v>
      </c>
      <c r="C1013" s="3" t="s">
        <v>850</v>
      </c>
      <c r="D1013" s="3" t="s">
        <v>730</v>
      </c>
      <c r="E1013" s="3" t="s">
        <v>986</v>
      </c>
      <c r="F1013" s="3" t="s">
        <v>3</v>
      </c>
      <c r="G1013" s="3">
        <v>0.17193412727725299</v>
      </c>
      <c r="H1013" s="3">
        <v>7.4577551092518499</v>
      </c>
      <c r="I1013" s="3">
        <v>4.2443673001997997</v>
      </c>
      <c r="J1013" s="3">
        <v>7.6080476798564201</v>
      </c>
      <c r="K1013" s="3">
        <v>7.72422446597208</v>
      </c>
      <c r="L1013" s="3">
        <v>8.2452906701506894</v>
      </c>
      <c r="M1013" s="3">
        <v>8.9002247893603794</v>
      </c>
      <c r="N1013" s="3">
        <v>9.6388786591363491</v>
      </c>
      <c r="O1013" s="3">
        <v>14.3299387244053</v>
      </c>
      <c r="P1013" s="3">
        <v>15.3344554888003</v>
      </c>
    </row>
    <row r="1014" spans="1:16" x14ac:dyDescent="0.3">
      <c r="A1014" s="3" t="str">
        <f t="shared" si="15"/>
        <v>COA</v>
      </c>
      <c r="C1014" s="3" t="s">
        <v>850</v>
      </c>
      <c r="D1014" s="3" t="s">
        <v>730</v>
      </c>
      <c r="E1014" s="3" t="s">
        <v>986</v>
      </c>
      <c r="F1014" s="3" t="s">
        <v>4</v>
      </c>
      <c r="G1014" s="3">
        <v>8.6897886673591399E-2</v>
      </c>
      <c r="H1014" s="3">
        <v>2.5174886460308099</v>
      </c>
      <c r="J1014" s="3">
        <v>2.5745936288507698</v>
      </c>
      <c r="K1014" s="3">
        <v>2.6139083158690601</v>
      </c>
      <c r="L1014" s="3">
        <v>2.7902391941625302</v>
      </c>
      <c r="M1014" s="3">
        <v>3.0118715079424199</v>
      </c>
      <c r="N1014" s="3">
        <v>3.2618349186721298</v>
      </c>
      <c r="O1014" s="3">
        <v>4.8493083237843502</v>
      </c>
      <c r="P1014" s="3">
        <v>5.1892407966751897</v>
      </c>
    </row>
    <row r="1015" spans="1:16" x14ac:dyDescent="0.3">
      <c r="A1015" s="3" t="str">
        <f t="shared" si="15"/>
        <v>COA</v>
      </c>
      <c r="C1015" s="3" t="s">
        <v>850</v>
      </c>
      <c r="D1015" s="3" t="s">
        <v>730</v>
      </c>
      <c r="E1015" s="3" t="s">
        <v>986</v>
      </c>
      <c r="F1015" s="3" t="s">
        <v>5</v>
      </c>
      <c r="J1015" s="3">
        <v>2.2441333636845902</v>
      </c>
      <c r="K1015" s="3">
        <v>2.2784018400110599</v>
      </c>
      <c r="L1015" s="3">
        <v>2.4320998848566302</v>
      </c>
      <c r="M1015" s="3">
        <v>2.6252847293503399</v>
      </c>
      <c r="N1015" s="3">
        <v>2.8431642515525901</v>
      </c>
      <c r="O1015" s="3">
        <v>4.2268785559977902</v>
      </c>
      <c r="P1015" s="3">
        <v>4.5231792207961696</v>
      </c>
    </row>
    <row r="1016" spans="1:16" x14ac:dyDescent="0.3">
      <c r="A1016" s="3" t="str">
        <f t="shared" si="15"/>
        <v>COA</v>
      </c>
      <c r="C1016" s="3" t="s">
        <v>850</v>
      </c>
      <c r="D1016" s="3" t="s">
        <v>730</v>
      </c>
      <c r="E1016" s="3" t="s">
        <v>986</v>
      </c>
      <c r="F1016" s="3" t="s">
        <v>6</v>
      </c>
      <c r="G1016" s="3">
        <v>0.26313541077560898</v>
      </c>
      <c r="H1016" s="3">
        <v>7.6358713017996704</v>
      </c>
      <c r="J1016" s="3">
        <v>7.7961246014259604</v>
      </c>
      <c r="K1016" s="3">
        <v>7.91517336905516</v>
      </c>
      <c r="L1016" s="3">
        <v>8.4491207395644405</v>
      </c>
      <c r="M1016" s="3">
        <v>9.1202453452372794</v>
      </c>
      <c r="N1016" s="3">
        <v>9.8771593195471308</v>
      </c>
      <c r="O1016" s="3">
        <v>14.684186078651299</v>
      </c>
      <c r="P1016" s="3">
        <v>15.713535287408099</v>
      </c>
    </row>
    <row r="1017" spans="1:16" x14ac:dyDescent="0.3">
      <c r="A1017" s="3" t="str">
        <f t="shared" si="15"/>
        <v>COA</v>
      </c>
      <c r="C1017" s="3" t="s">
        <v>850</v>
      </c>
      <c r="D1017" s="3" t="s">
        <v>730</v>
      </c>
      <c r="E1017" s="3" t="s">
        <v>986</v>
      </c>
      <c r="F1017" s="3" t="s">
        <v>7</v>
      </c>
      <c r="H1017" s="3">
        <v>2.2479420696849899</v>
      </c>
      <c r="I1017" s="3">
        <v>2.2932437707027602</v>
      </c>
      <c r="J1017" s="3">
        <v>2.2932437707027602</v>
      </c>
      <c r="K1017" s="3">
        <v>2.3282621751963899</v>
      </c>
      <c r="L1017" s="3">
        <v>2.4853237338430398</v>
      </c>
      <c r="M1017" s="3">
        <v>2.6827362176100502</v>
      </c>
      <c r="N1017" s="3">
        <v>2.9053837951290702</v>
      </c>
      <c r="O1017" s="3">
        <v>4.31937917546212</v>
      </c>
      <c r="P1017" s="3">
        <v>4.6221640566103401</v>
      </c>
    </row>
    <row r="1018" spans="1:16" x14ac:dyDescent="0.3">
      <c r="A1018" s="3" t="str">
        <f t="shared" si="15"/>
        <v>COA</v>
      </c>
      <c r="C1018" s="3" t="s">
        <v>850</v>
      </c>
      <c r="D1018" s="3" t="s">
        <v>730</v>
      </c>
      <c r="E1018" s="3" t="s">
        <v>986</v>
      </c>
      <c r="F1018" s="3" t="s">
        <v>8</v>
      </c>
      <c r="H1018" s="3">
        <v>1.40956206488552</v>
      </c>
      <c r="J1018" s="3">
        <v>1.43796829478378</v>
      </c>
      <c r="K1018" s="3">
        <v>1.45992642938729</v>
      </c>
      <c r="L1018" s="3">
        <v>1.5584111803538201</v>
      </c>
      <c r="M1018" s="3">
        <v>1.6821977992375601</v>
      </c>
      <c r="N1018" s="3">
        <v>1.82180797128858</v>
      </c>
      <c r="O1018" s="3">
        <v>2.70844747811543</v>
      </c>
      <c r="P1018" s="3">
        <v>2.8983073895619902</v>
      </c>
    </row>
    <row r="1019" spans="1:16" x14ac:dyDescent="0.3">
      <c r="A1019" s="3" t="str">
        <f t="shared" si="15"/>
        <v>DST</v>
      </c>
      <c r="C1019" s="3" t="s">
        <v>850</v>
      </c>
      <c r="D1019" s="3" t="s">
        <v>730</v>
      </c>
      <c r="E1019" s="3" t="s">
        <v>987</v>
      </c>
      <c r="F1019" s="3" t="s">
        <v>0</v>
      </c>
      <c r="G1019" s="3">
        <v>6.08792374324836E-2</v>
      </c>
    </row>
    <row r="1020" spans="1:16" x14ac:dyDescent="0.3">
      <c r="A1020" s="3" t="str">
        <f t="shared" si="15"/>
        <v>DST</v>
      </c>
      <c r="C1020" s="3" t="s">
        <v>850</v>
      </c>
      <c r="D1020" s="3" t="s">
        <v>730</v>
      </c>
      <c r="E1020" s="3" t="s">
        <v>987</v>
      </c>
      <c r="F1020" s="3" t="s">
        <v>1</v>
      </c>
      <c r="G1020" s="3">
        <v>0.15722018322072301</v>
      </c>
    </row>
    <row r="1021" spans="1:16" x14ac:dyDescent="0.3">
      <c r="A1021" s="3" t="str">
        <f t="shared" si="15"/>
        <v>DST</v>
      </c>
      <c r="C1021" s="3" t="s">
        <v>850</v>
      </c>
      <c r="D1021" s="3" t="s">
        <v>730</v>
      </c>
      <c r="E1021" s="3" t="s">
        <v>987</v>
      </c>
      <c r="F1021" s="3" t="s">
        <v>2</v>
      </c>
      <c r="G1021" s="3">
        <v>0.13620464864353499</v>
      </c>
    </row>
    <row r="1022" spans="1:16" x14ac:dyDescent="0.3">
      <c r="A1022" s="3" t="str">
        <f t="shared" si="15"/>
        <v>DST</v>
      </c>
      <c r="C1022" s="3" t="s">
        <v>850</v>
      </c>
      <c r="D1022" s="3" t="s">
        <v>730</v>
      </c>
      <c r="E1022" s="3" t="s">
        <v>987</v>
      </c>
      <c r="F1022" s="3" t="s">
        <v>3</v>
      </c>
      <c r="G1022" s="3">
        <v>9.2254647162647502E-2</v>
      </c>
    </row>
    <row r="1023" spans="1:16" x14ac:dyDescent="0.3">
      <c r="A1023" s="3" t="str">
        <f t="shared" si="15"/>
        <v>DST</v>
      </c>
      <c r="C1023" s="3" t="s">
        <v>850</v>
      </c>
      <c r="D1023" s="3" t="s">
        <v>730</v>
      </c>
      <c r="E1023" s="3" t="s">
        <v>987</v>
      </c>
      <c r="F1023" s="3" t="s">
        <v>4</v>
      </c>
      <c r="G1023" s="3">
        <v>8.5446826970955E-2</v>
      </c>
    </row>
    <row r="1024" spans="1:16" x14ac:dyDescent="0.3">
      <c r="A1024" s="3" t="str">
        <f t="shared" si="15"/>
        <v>DST</v>
      </c>
      <c r="C1024" s="3" t="s">
        <v>850</v>
      </c>
      <c r="D1024" s="3" t="s">
        <v>730</v>
      </c>
      <c r="E1024" s="3" t="s">
        <v>987</v>
      </c>
      <c r="F1024" s="3" t="s">
        <v>6</v>
      </c>
      <c r="G1024" s="3">
        <v>0.27457426618648401</v>
      </c>
    </row>
    <row r="1025" spans="1:9" x14ac:dyDescent="0.3">
      <c r="A1025" s="3" t="str">
        <f t="shared" si="15"/>
        <v>DST</v>
      </c>
      <c r="C1025" s="3" t="s">
        <v>850</v>
      </c>
      <c r="D1025" s="3" t="s">
        <v>730</v>
      </c>
      <c r="E1025" s="3" t="s">
        <v>987</v>
      </c>
      <c r="F1025" s="3" t="s">
        <v>7</v>
      </c>
      <c r="G1025" s="3">
        <v>0.14041358351430899</v>
      </c>
    </row>
    <row r="1026" spans="1:9" x14ac:dyDescent="0.3">
      <c r="A1026" s="3" t="str">
        <f t="shared" si="15"/>
        <v>DST</v>
      </c>
      <c r="C1026" s="3" t="s">
        <v>850</v>
      </c>
      <c r="D1026" s="3" t="s">
        <v>730</v>
      </c>
      <c r="E1026" s="3" t="s">
        <v>987</v>
      </c>
      <c r="F1026" s="3" t="s">
        <v>8</v>
      </c>
      <c r="G1026" s="3">
        <v>8.8045712291922901E-2</v>
      </c>
    </row>
    <row r="1027" spans="1:9" x14ac:dyDescent="0.3">
      <c r="A1027" s="3" t="str">
        <f t="shared" si="15"/>
        <v>ELC</v>
      </c>
      <c r="C1027" s="3" t="s">
        <v>850</v>
      </c>
      <c r="D1027" s="3" t="s">
        <v>730</v>
      </c>
      <c r="E1027" s="3" t="s">
        <v>988</v>
      </c>
      <c r="F1027" s="3" t="s">
        <v>0</v>
      </c>
      <c r="G1027" s="3">
        <v>2.1069324105257499</v>
      </c>
    </row>
    <row r="1028" spans="1:9" x14ac:dyDescent="0.3">
      <c r="A1028" s="3" t="str">
        <f t="shared" si="15"/>
        <v>ELC</v>
      </c>
      <c r="C1028" s="3" t="s">
        <v>850</v>
      </c>
      <c r="D1028" s="3" t="s">
        <v>730</v>
      </c>
      <c r="E1028" s="3" t="s">
        <v>988</v>
      </c>
      <c r="F1028" s="3" t="s">
        <v>1</v>
      </c>
      <c r="G1028" s="3">
        <v>5.7996760675103198</v>
      </c>
    </row>
    <row r="1029" spans="1:9" x14ac:dyDescent="0.3">
      <c r="A1029" s="3" t="str">
        <f t="shared" si="15"/>
        <v>ELC</v>
      </c>
      <c r="C1029" s="3" t="s">
        <v>850</v>
      </c>
      <c r="D1029" s="3" t="s">
        <v>730</v>
      </c>
      <c r="E1029" s="3" t="s">
        <v>988</v>
      </c>
      <c r="F1029" s="3" t="s">
        <v>2</v>
      </c>
      <c r="G1029" s="3">
        <v>7.5944936447893197</v>
      </c>
    </row>
    <row r="1030" spans="1:9" x14ac:dyDescent="0.3">
      <c r="A1030" s="3" t="str">
        <f t="shared" si="15"/>
        <v>ELC</v>
      </c>
      <c r="C1030" s="3" t="s">
        <v>850</v>
      </c>
      <c r="D1030" s="3" t="s">
        <v>730</v>
      </c>
      <c r="E1030" s="3" t="s">
        <v>988</v>
      </c>
      <c r="F1030" s="3" t="s">
        <v>3</v>
      </c>
      <c r="G1030" s="3">
        <v>5.1439311253799103</v>
      </c>
    </row>
    <row r="1031" spans="1:9" x14ac:dyDescent="0.3">
      <c r="A1031" s="3" t="str">
        <f t="shared" si="15"/>
        <v>ELC</v>
      </c>
      <c r="C1031" s="3" t="s">
        <v>850</v>
      </c>
      <c r="D1031" s="3" t="s">
        <v>730</v>
      </c>
      <c r="E1031" s="3" t="s">
        <v>988</v>
      </c>
      <c r="F1031" s="3" t="s">
        <v>4</v>
      </c>
      <c r="G1031" s="3">
        <v>2.3308676866812799</v>
      </c>
    </row>
    <row r="1032" spans="1:9" x14ac:dyDescent="0.3">
      <c r="A1032" s="3" t="str">
        <f t="shared" ref="A1032:A1095" si="16">RIGHT(E1032,3)</f>
        <v>ELC</v>
      </c>
      <c r="C1032" s="3" t="s">
        <v>850</v>
      </c>
      <c r="D1032" s="3" t="s">
        <v>730</v>
      </c>
      <c r="E1032" s="3" t="s">
        <v>988</v>
      </c>
      <c r="F1032" s="3" t="s">
        <v>5</v>
      </c>
      <c r="G1032" s="3">
        <v>1.5266385391757999</v>
      </c>
      <c r="H1032" s="3">
        <v>1.6701375040775499</v>
      </c>
      <c r="I1032" s="3">
        <v>2.2441333636845902</v>
      </c>
    </row>
    <row r="1033" spans="1:9" x14ac:dyDescent="0.3">
      <c r="A1033" s="3" t="str">
        <f t="shared" si="16"/>
        <v>ELC</v>
      </c>
      <c r="C1033" s="3" t="s">
        <v>850</v>
      </c>
      <c r="D1033" s="3" t="s">
        <v>730</v>
      </c>
      <c r="E1033" s="3" t="s">
        <v>988</v>
      </c>
      <c r="F1033" s="3" t="s">
        <v>6</v>
      </c>
      <c r="G1033" s="3">
        <v>7.0580982999309896</v>
      </c>
    </row>
    <row r="1034" spans="1:9" x14ac:dyDescent="0.3">
      <c r="A1034" s="3" t="str">
        <f t="shared" si="16"/>
        <v>ELC</v>
      </c>
      <c r="C1034" s="3" t="s">
        <v>850</v>
      </c>
      <c r="D1034" s="3" t="s">
        <v>730</v>
      </c>
      <c r="E1034" s="3" t="s">
        <v>988</v>
      </c>
      <c r="F1034" s="3" t="s">
        <v>7</v>
      </c>
      <c r="G1034" s="3">
        <v>1.6198293674558299</v>
      </c>
    </row>
    <row r="1035" spans="1:9" x14ac:dyDescent="0.3">
      <c r="A1035" s="3" t="str">
        <f t="shared" si="16"/>
        <v>ELC</v>
      </c>
      <c r="C1035" s="3" t="s">
        <v>850</v>
      </c>
      <c r="D1035" s="3" t="s">
        <v>730</v>
      </c>
      <c r="E1035" s="3" t="s">
        <v>988</v>
      </c>
      <c r="F1035" s="3" t="s">
        <v>8</v>
      </c>
      <c r="G1035" s="3">
        <v>1.0157067918895299</v>
      </c>
    </row>
    <row r="1036" spans="1:9" x14ac:dyDescent="0.3">
      <c r="A1036" s="3" t="str">
        <f t="shared" si="16"/>
        <v>NGA</v>
      </c>
      <c r="C1036" s="3" t="s">
        <v>850</v>
      </c>
      <c r="D1036" s="3" t="s">
        <v>730</v>
      </c>
      <c r="E1036" s="3" t="s">
        <v>989</v>
      </c>
      <c r="F1036" s="3" t="s">
        <v>0</v>
      </c>
      <c r="G1036" s="3">
        <v>1.2392504969211999</v>
      </c>
    </row>
    <row r="1037" spans="1:9" x14ac:dyDescent="0.3">
      <c r="A1037" s="3" t="str">
        <f t="shared" si="16"/>
        <v>NGA</v>
      </c>
      <c r="C1037" s="3" t="s">
        <v>850</v>
      </c>
      <c r="D1037" s="3" t="s">
        <v>730</v>
      </c>
      <c r="E1037" s="3" t="s">
        <v>989</v>
      </c>
      <c r="F1037" s="3" t="s">
        <v>1</v>
      </c>
      <c r="G1037" s="3">
        <v>3.4112396832182501</v>
      </c>
    </row>
    <row r="1038" spans="1:9" x14ac:dyDescent="0.3">
      <c r="A1038" s="3" t="str">
        <f t="shared" si="16"/>
        <v>NGA</v>
      </c>
      <c r="C1038" s="3" t="s">
        <v>850</v>
      </c>
      <c r="D1038" s="3" t="s">
        <v>730</v>
      </c>
      <c r="E1038" s="3" t="s">
        <v>989</v>
      </c>
      <c r="F1038" s="3" t="s">
        <v>2</v>
      </c>
      <c r="G1038" s="3">
        <v>2.9706059833685199</v>
      </c>
    </row>
    <row r="1039" spans="1:9" x14ac:dyDescent="0.3">
      <c r="A1039" s="3" t="str">
        <f t="shared" si="16"/>
        <v>NGA</v>
      </c>
      <c r="C1039" s="3" t="s">
        <v>850</v>
      </c>
      <c r="D1039" s="3" t="s">
        <v>730</v>
      </c>
      <c r="E1039" s="3" t="s">
        <v>989</v>
      </c>
      <c r="F1039" s="3" t="s">
        <v>3</v>
      </c>
      <c r="G1039" s="3">
        <v>2.0120620667808899</v>
      </c>
      <c r="I1039" s="3">
        <v>3.3636803796566199</v>
      </c>
    </row>
    <row r="1040" spans="1:9" x14ac:dyDescent="0.3">
      <c r="A1040" s="3" t="str">
        <f t="shared" si="16"/>
        <v>NGA</v>
      </c>
      <c r="C1040" s="3" t="s">
        <v>850</v>
      </c>
      <c r="D1040" s="3" t="s">
        <v>730</v>
      </c>
      <c r="E1040" s="3" t="s">
        <v>989</v>
      </c>
      <c r="F1040" s="3" t="s">
        <v>4</v>
      </c>
      <c r="I1040" s="3">
        <v>2.5745936288507698</v>
      </c>
    </row>
    <row r="1041" spans="1:16" x14ac:dyDescent="0.3">
      <c r="A1041" s="3" t="str">
        <f t="shared" si="16"/>
        <v>NGA</v>
      </c>
      <c r="C1041" s="3" t="s">
        <v>850</v>
      </c>
      <c r="D1041" s="3" t="s">
        <v>730</v>
      </c>
      <c r="E1041" s="3" t="s">
        <v>989</v>
      </c>
      <c r="F1041" s="3" t="s">
        <v>6</v>
      </c>
      <c r="I1041" s="3">
        <v>7.7961246014259604</v>
      </c>
    </row>
    <row r="1042" spans="1:16" x14ac:dyDescent="0.3">
      <c r="A1042" s="3" t="str">
        <f t="shared" si="16"/>
        <v>NGA</v>
      </c>
      <c r="C1042" s="3" t="s">
        <v>850</v>
      </c>
      <c r="D1042" s="3" t="s">
        <v>730</v>
      </c>
      <c r="E1042" s="3" t="s">
        <v>989</v>
      </c>
      <c r="F1042" s="3" t="s">
        <v>7</v>
      </c>
      <c r="G1042" s="3">
        <v>0.47637369346040698</v>
      </c>
    </row>
    <row r="1043" spans="1:16" x14ac:dyDescent="0.3">
      <c r="A1043" s="3" t="str">
        <f t="shared" si="16"/>
        <v>NGA</v>
      </c>
      <c r="C1043" s="3" t="s">
        <v>850</v>
      </c>
      <c r="D1043" s="3" t="s">
        <v>730</v>
      </c>
      <c r="E1043" s="3" t="s">
        <v>989</v>
      </c>
      <c r="F1043" s="3" t="s">
        <v>8</v>
      </c>
      <c r="G1043" s="3">
        <v>0.29870800322950097</v>
      </c>
      <c r="I1043" s="3">
        <v>1.43796829478378</v>
      </c>
    </row>
    <row r="1044" spans="1:16" x14ac:dyDescent="0.3">
      <c r="A1044" s="3" t="str">
        <f t="shared" si="16"/>
        <v>BIO</v>
      </c>
      <c r="C1044" s="3" t="s">
        <v>850</v>
      </c>
      <c r="D1044" s="3" t="s">
        <v>716</v>
      </c>
      <c r="E1044" s="3" t="s">
        <v>990</v>
      </c>
      <c r="F1044" s="3" t="s">
        <v>2</v>
      </c>
      <c r="G1044" s="3">
        <v>0.33006779775559603</v>
      </c>
      <c r="H1044" s="3">
        <v>4.55313048504315</v>
      </c>
      <c r="J1044" s="3">
        <v>4.64488754529392</v>
      </c>
      <c r="K1044" s="3">
        <v>4.7158161369101004</v>
      </c>
      <c r="L1044" s="3">
        <v>5.0339390015276502</v>
      </c>
      <c r="M1044" s="3">
        <v>5.4337912975850999</v>
      </c>
      <c r="N1044" s="3">
        <v>5.8847564208833596</v>
      </c>
      <c r="O1044" s="3">
        <v>8.7487561470003392</v>
      </c>
      <c r="P1044" s="3">
        <v>9.3620366631477996</v>
      </c>
    </row>
    <row r="1045" spans="1:16" x14ac:dyDescent="0.3">
      <c r="A1045" s="3" t="str">
        <f t="shared" si="16"/>
        <v>BIO</v>
      </c>
      <c r="C1045" s="3" t="s">
        <v>850</v>
      </c>
      <c r="D1045" s="3" t="s">
        <v>716</v>
      </c>
      <c r="E1045" s="3" t="s">
        <v>990</v>
      </c>
      <c r="F1045" s="3" t="s">
        <v>3</v>
      </c>
      <c r="G1045" s="3">
        <v>0.22356276768044001</v>
      </c>
      <c r="H1045" s="3">
        <v>3.08394354059392</v>
      </c>
      <c r="J1045" s="3">
        <v>3.1460927792756999</v>
      </c>
      <c r="K1045" s="3">
        <v>3.1941344008977199</v>
      </c>
      <c r="L1045" s="3">
        <v>3.3902015189487398</v>
      </c>
      <c r="M1045" s="3">
        <v>3.6804360490371901</v>
      </c>
      <c r="P1045" s="3">
        <v>6.3411300398619099</v>
      </c>
    </row>
    <row r="1046" spans="1:16" x14ac:dyDescent="0.3">
      <c r="A1046" s="3" t="str">
        <f t="shared" si="16"/>
        <v>BIO</v>
      </c>
      <c r="C1046" s="3" t="s">
        <v>850</v>
      </c>
      <c r="D1046" s="3" t="s">
        <v>716</v>
      </c>
      <c r="E1046" s="3" t="s">
        <v>990</v>
      </c>
      <c r="F1046" s="3" t="s">
        <v>4</v>
      </c>
      <c r="G1046" s="3">
        <v>0.225983431654636</v>
      </c>
      <c r="H1046" s="3">
        <v>4.9369657073500699</v>
      </c>
      <c r="J1046" s="3">
        <v>6.5958369290028704</v>
      </c>
      <c r="K1046" s="3">
        <v>6.6965570044281897</v>
      </c>
      <c r="L1046" s="3">
        <v>7.1482980892108596</v>
      </c>
      <c r="M1046" s="3">
        <v>7.7160966666283901</v>
      </c>
      <c r="O1046" s="3">
        <v>12.423415704798099</v>
      </c>
      <c r="P1046" s="3">
        <v>13.2942867940975</v>
      </c>
    </row>
    <row r="1047" spans="1:16" x14ac:dyDescent="0.3">
      <c r="A1047" s="3" t="str">
        <f t="shared" si="16"/>
        <v>BIO</v>
      </c>
      <c r="C1047" s="3" t="s">
        <v>850</v>
      </c>
      <c r="D1047" s="3" t="s">
        <v>716</v>
      </c>
      <c r="E1047" s="3" t="s">
        <v>990</v>
      </c>
      <c r="F1047" s="3" t="s">
        <v>5</v>
      </c>
      <c r="H1047" s="3">
        <v>4.2787158728519596</v>
      </c>
      <c r="J1047" s="3">
        <v>5.74923263536754</v>
      </c>
      <c r="K1047" s="3">
        <v>5.8370248520194901</v>
      </c>
      <c r="L1047" s="3">
        <v>6.2307830081602198</v>
      </c>
      <c r="M1047" s="3">
        <v>6.7257021741041099</v>
      </c>
      <c r="N1047" s="3">
        <v>7.2838864958980398</v>
      </c>
      <c r="O1047" s="3">
        <v>4.46737644956188</v>
      </c>
      <c r="P1047" s="3">
        <v>11.5879073911726</v>
      </c>
    </row>
    <row r="1048" spans="1:16" x14ac:dyDescent="0.3">
      <c r="A1048" s="3" t="str">
        <f t="shared" si="16"/>
        <v>BIO</v>
      </c>
      <c r="C1048" s="3" t="s">
        <v>850</v>
      </c>
      <c r="D1048" s="3" t="s">
        <v>716</v>
      </c>
      <c r="E1048" s="3" t="s">
        <v>990</v>
      </c>
      <c r="F1048" s="3" t="s">
        <v>6</v>
      </c>
      <c r="G1048" s="3">
        <v>0.68430022171063498</v>
      </c>
      <c r="J1048" s="3">
        <v>14.1701712532332</v>
      </c>
      <c r="K1048" s="3">
        <v>20.277838110854798</v>
      </c>
      <c r="L1048" s="3">
        <v>18.507525368160699</v>
      </c>
      <c r="M1048" s="3">
        <v>23.365105224988302</v>
      </c>
      <c r="P1048" s="3">
        <v>5.5298086833951103</v>
      </c>
    </row>
    <row r="1049" spans="1:16" x14ac:dyDescent="0.3">
      <c r="A1049" s="3" t="str">
        <f t="shared" si="16"/>
        <v>NGA</v>
      </c>
      <c r="C1049" s="3" t="s">
        <v>850</v>
      </c>
      <c r="D1049" s="3" t="s">
        <v>716</v>
      </c>
      <c r="E1049" s="3" t="s">
        <v>991</v>
      </c>
      <c r="F1049" s="3" t="s">
        <v>2</v>
      </c>
      <c r="G1049" s="3">
        <v>4.0226956024782003</v>
      </c>
      <c r="I1049" s="3">
        <v>4.64488754529392</v>
      </c>
    </row>
    <row r="1050" spans="1:16" x14ac:dyDescent="0.3">
      <c r="A1050" s="3" t="str">
        <f t="shared" si="16"/>
        <v>NGA</v>
      </c>
      <c r="C1050" s="3" t="s">
        <v>850</v>
      </c>
      <c r="D1050" s="3" t="s">
        <v>716</v>
      </c>
      <c r="E1050" s="3" t="s">
        <v>991</v>
      </c>
      <c r="F1050" s="3" t="s">
        <v>3</v>
      </c>
      <c r="G1050" s="3">
        <v>2.7246673820991201</v>
      </c>
      <c r="I1050" s="3">
        <v>3.1460927792756999</v>
      </c>
      <c r="L1050" s="3">
        <v>1.9405062391717E-2</v>
      </c>
      <c r="N1050" s="3">
        <v>3.9858854499707701</v>
      </c>
      <c r="O1050" s="3">
        <v>5.9257405638611402</v>
      </c>
    </row>
    <row r="1051" spans="1:16" x14ac:dyDescent="0.3">
      <c r="A1051" s="3" t="str">
        <f t="shared" si="16"/>
        <v>NGA</v>
      </c>
      <c r="C1051" s="3" t="s">
        <v>850</v>
      </c>
      <c r="D1051" s="3" t="s">
        <v>716</v>
      </c>
      <c r="E1051" s="3" t="s">
        <v>991</v>
      </c>
      <c r="F1051" s="3" t="s">
        <v>4</v>
      </c>
      <c r="G1051" s="3">
        <v>4.9575045286959503</v>
      </c>
      <c r="H1051" s="3">
        <v>1.51257428752961</v>
      </c>
      <c r="I1051" s="3">
        <v>6.5958369290028704</v>
      </c>
      <c r="N1051" s="3">
        <v>8.3564765218859804</v>
      </c>
    </row>
    <row r="1052" spans="1:16" x14ac:dyDescent="0.3">
      <c r="A1052" s="3" t="str">
        <f t="shared" si="16"/>
        <v>NGA</v>
      </c>
      <c r="C1052" s="3" t="s">
        <v>850</v>
      </c>
      <c r="D1052" s="3" t="s">
        <v>716</v>
      </c>
      <c r="E1052" s="3" t="s">
        <v>991</v>
      </c>
      <c r="F1052" s="3" t="s">
        <v>5</v>
      </c>
      <c r="G1052" s="3">
        <v>3.9110866822230999</v>
      </c>
      <c r="I1052" s="3">
        <v>5.74923263536754</v>
      </c>
      <c r="O1052" s="3">
        <v>6.3614399359215401</v>
      </c>
    </row>
    <row r="1053" spans="1:16" x14ac:dyDescent="0.3">
      <c r="A1053" s="3" t="str">
        <f t="shared" si="16"/>
        <v>NGA</v>
      </c>
      <c r="C1053" s="3" t="s">
        <v>850</v>
      </c>
      <c r="D1053" s="3" t="s">
        <v>716</v>
      </c>
      <c r="E1053" s="3" t="s">
        <v>991</v>
      </c>
      <c r="F1053" s="3" t="s">
        <v>6</v>
      </c>
      <c r="G1053" s="3">
        <v>15.011814907309899</v>
      </c>
      <c r="H1053" s="3">
        <v>19.562295716549599</v>
      </c>
      <c r="I1053" s="3">
        <v>19.9728477430228</v>
      </c>
      <c r="J1053" s="3">
        <v>5.8026764897896799</v>
      </c>
      <c r="L1053" s="3">
        <v>3.13822950636649</v>
      </c>
      <c r="N1053" s="3">
        <v>25.304238876173301</v>
      </c>
      <c r="O1053" s="3">
        <v>37.619333678360498</v>
      </c>
      <c r="P1053" s="3">
        <v>34.7266089401271</v>
      </c>
    </row>
    <row r="1054" spans="1:16" x14ac:dyDescent="0.3">
      <c r="A1054" s="3" t="str">
        <f t="shared" si="16"/>
        <v>OTP</v>
      </c>
      <c r="C1054" s="3" t="s">
        <v>850</v>
      </c>
      <c r="D1054" s="3" t="s">
        <v>716</v>
      </c>
      <c r="E1054" s="3" t="s">
        <v>992</v>
      </c>
      <c r="F1054" s="3" t="s">
        <v>2</v>
      </c>
      <c r="G1054" s="3">
        <v>1.20582013420061E-2</v>
      </c>
    </row>
    <row r="1055" spans="1:16" x14ac:dyDescent="0.3">
      <c r="A1055" s="3" t="str">
        <f t="shared" si="16"/>
        <v>OTP</v>
      </c>
      <c r="C1055" s="3" t="s">
        <v>850</v>
      </c>
      <c r="D1055" s="3" t="s">
        <v>716</v>
      </c>
      <c r="E1055" s="3" t="s">
        <v>992</v>
      </c>
      <c r="F1055" s="3" t="s">
        <v>3</v>
      </c>
      <c r="G1055" s="3">
        <v>8.1673064855087608E-3</v>
      </c>
    </row>
    <row r="1056" spans="1:16" x14ac:dyDescent="0.3">
      <c r="A1056" s="3" t="str">
        <f t="shared" si="16"/>
        <v>OTP</v>
      </c>
      <c r="C1056" s="3" t="s">
        <v>850</v>
      </c>
      <c r="D1056" s="3" t="s">
        <v>716</v>
      </c>
      <c r="E1056" s="3" t="s">
        <v>992</v>
      </c>
      <c r="F1056" s="3" t="s">
        <v>4</v>
      </c>
      <c r="G1056" s="3">
        <v>8.2557393886294999E-3</v>
      </c>
    </row>
    <row r="1057" spans="1:16" x14ac:dyDescent="0.3">
      <c r="A1057" s="3" t="str">
        <f t="shared" si="16"/>
        <v>OTP</v>
      </c>
      <c r="C1057" s="3" t="s">
        <v>850</v>
      </c>
      <c r="D1057" s="3" t="s">
        <v>716</v>
      </c>
      <c r="E1057" s="3" t="s">
        <v>992</v>
      </c>
      <c r="F1057" s="3" t="s">
        <v>6</v>
      </c>
      <c r="G1057" s="3">
        <v>2.49991968555386E-2</v>
      </c>
    </row>
    <row r="1058" spans="1:16" x14ac:dyDescent="0.3">
      <c r="A1058" s="3" t="str">
        <f t="shared" si="16"/>
        <v>PTC</v>
      </c>
      <c r="C1058" s="3" t="s">
        <v>850</v>
      </c>
      <c r="D1058" s="3" t="s">
        <v>716</v>
      </c>
      <c r="E1058" s="3" t="s">
        <v>993</v>
      </c>
      <c r="F1058" s="3" t="s">
        <v>2</v>
      </c>
      <c r="G1058" s="3">
        <v>0.165369618404655</v>
      </c>
    </row>
    <row r="1059" spans="1:16" x14ac:dyDescent="0.3">
      <c r="A1059" s="3" t="str">
        <f t="shared" si="16"/>
        <v>PTC</v>
      </c>
      <c r="C1059" s="3" t="s">
        <v>850</v>
      </c>
      <c r="D1059" s="3" t="s">
        <v>716</v>
      </c>
      <c r="E1059" s="3" t="s">
        <v>993</v>
      </c>
      <c r="F1059" s="3" t="s">
        <v>3</v>
      </c>
      <c r="G1059" s="3">
        <v>0.112008774658402</v>
      </c>
    </row>
    <row r="1060" spans="1:16" x14ac:dyDescent="0.3">
      <c r="A1060" s="3" t="str">
        <f t="shared" si="16"/>
        <v>PTC</v>
      </c>
      <c r="C1060" s="3" t="s">
        <v>850</v>
      </c>
      <c r="D1060" s="3" t="s">
        <v>716</v>
      </c>
      <c r="E1060" s="3" t="s">
        <v>993</v>
      </c>
      <c r="F1060" s="3" t="s">
        <v>4</v>
      </c>
      <c r="G1060" s="3">
        <v>9.3221568758348597E-2</v>
      </c>
    </row>
    <row r="1061" spans="1:16" x14ac:dyDescent="0.3">
      <c r="A1061" s="3" t="str">
        <f t="shared" si="16"/>
        <v>PTC</v>
      </c>
      <c r="C1061" s="3" t="s">
        <v>850</v>
      </c>
      <c r="D1061" s="3" t="s">
        <v>716</v>
      </c>
      <c r="E1061" s="3" t="s">
        <v>993</v>
      </c>
      <c r="F1061" s="3" t="s">
        <v>6</v>
      </c>
      <c r="G1061" s="3">
        <v>0.32284612830453002</v>
      </c>
    </row>
    <row r="1062" spans="1:16" x14ac:dyDescent="0.3">
      <c r="A1062" s="3" t="str">
        <f t="shared" si="16"/>
        <v>RFL</v>
      </c>
      <c r="C1062" s="3" t="s">
        <v>850</v>
      </c>
      <c r="D1062" s="3" t="s">
        <v>716</v>
      </c>
      <c r="E1062" s="3" t="s">
        <v>994</v>
      </c>
      <c r="F1062" s="3" t="s">
        <v>4</v>
      </c>
      <c r="G1062" s="3">
        <v>1.1280004928513301</v>
      </c>
    </row>
    <row r="1063" spans="1:16" x14ac:dyDescent="0.3">
      <c r="A1063" s="3" t="str">
        <f t="shared" si="16"/>
        <v>RFL</v>
      </c>
      <c r="C1063" s="3" t="s">
        <v>850</v>
      </c>
      <c r="D1063" s="3" t="s">
        <v>716</v>
      </c>
      <c r="E1063" s="3" t="s">
        <v>994</v>
      </c>
      <c r="F1063" s="3" t="s">
        <v>6</v>
      </c>
      <c r="G1063" s="3">
        <v>3.4156972557507199</v>
      </c>
    </row>
    <row r="1064" spans="1:16" x14ac:dyDescent="0.3">
      <c r="A1064" s="3" t="str">
        <f t="shared" si="16"/>
        <v>COA</v>
      </c>
      <c r="C1064" s="3" t="s">
        <v>850</v>
      </c>
      <c r="D1064" s="3" t="s">
        <v>995</v>
      </c>
      <c r="E1064" s="3" t="s">
        <v>891</v>
      </c>
      <c r="F1064" s="3" t="s">
        <v>1</v>
      </c>
      <c r="G1064" s="3">
        <v>17.0558071294572</v>
      </c>
      <c r="H1064" s="3">
        <v>16.412491976548999</v>
      </c>
      <c r="I1064" s="3">
        <v>13.839231364916101</v>
      </c>
      <c r="J1064" s="3">
        <v>13.839231364916101</v>
      </c>
      <c r="K1064" s="3">
        <v>13.839231364916101</v>
      </c>
      <c r="L1064" s="3">
        <v>13.839231364916101</v>
      </c>
      <c r="M1064" s="3">
        <v>13.839231364916101</v>
      </c>
      <c r="N1064" s="3">
        <v>13.4873722256663</v>
      </c>
      <c r="O1064" s="3">
        <v>13.839231364916101</v>
      </c>
      <c r="P1064" s="3">
        <v>13.839231364916101</v>
      </c>
    </row>
    <row r="1065" spans="1:16" x14ac:dyDescent="0.3">
      <c r="A1065" s="3" t="str">
        <f t="shared" si="16"/>
        <v>COA</v>
      </c>
      <c r="C1065" s="3" t="s">
        <v>850</v>
      </c>
      <c r="D1065" s="3" t="s">
        <v>995</v>
      </c>
      <c r="E1065" s="3" t="s">
        <v>891</v>
      </c>
      <c r="F1065" s="3" t="s">
        <v>2</v>
      </c>
      <c r="G1065" s="3">
        <v>1.4093233508135301</v>
      </c>
      <c r="H1065" s="3">
        <v>1.2849422791751699</v>
      </c>
      <c r="I1065" s="3">
        <v>0.78741799262170797</v>
      </c>
      <c r="J1065" s="3">
        <v>0.78741799262170797</v>
      </c>
      <c r="K1065" s="3">
        <v>0.78741799262170797</v>
      </c>
      <c r="L1065" s="3">
        <v>0.78741799262170797</v>
      </c>
      <c r="M1065" s="3">
        <v>0.78741799262170797</v>
      </c>
      <c r="N1065" s="3">
        <v>0.78741799262170797</v>
      </c>
      <c r="O1065" s="3">
        <v>0.78741799262170797</v>
      </c>
      <c r="P1065" s="3">
        <v>0.78741799262170797</v>
      </c>
    </row>
    <row r="1066" spans="1:16" x14ac:dyDescent="0.3">
      <c r="A1066" s="3" t="str">
        <f t="shared" si="16"/>
        <v>COA</v>
      </c>
      <c r="C1066" s="3" t="s">
        <v>850</v>
      </c>
      <c r="D1066" s="3" t="s">
        <v>995</v>
      </c>
      <c r="E1066" s="3" t="s">
        <v>891</v>
      </c>
      <c r="F1066" s="3" t="s">
        <v>4</v>
      </c>
      <c r="G1066" s="3">
        <v>13.2898973981694</v>
      </c>
      <c r="H1066" s="3">
        <v>12.932354155326999</v>
      </c>
      <c r="I1066" s="3">
        <v>11.502181183957401</v>
      </c>
      <c r="J1066" s="3">
        <v>11.502181183957401</v>
      </c>
      <c r="K1066" s="3">
        <v>11.502181183957401</v>
      </c>
      <c r="L1066" s="3">
        <v>11.502181183957401</v>
      </c>
      <c r="M1066" s="3">
        <v>11.502181183957401</v>
      </c>
      <c r="N1066" s="3">
        <v>11.502181183957401</v>
      </c>
      <c r="O1066" s="3">
        <v>11.502181183957401</v>
      </c>
      <c r="P1066" s="3">
        <v>11.502181183957401</v>
      </c>
    </row>
    <row r="1067" spans="1:16" x14ac:dyDescent="0.3">
      <c r="A1067" s="3" t="str">
        <f t="shared" si="16"/>
        <v>COA</v>
      </c>
      <c r="C1067" s="3" t="s">
        <v>850</v>
      </c>
      <c r="D1067" s="3" t="s">
        <v>995</v>
      </c>
      <c r="E1067" s="3" t="s">
        <v>891</v>
      </c>
      <c r="F1067" s="3" t="s">
        <v>5</v>
      </c>
      <c r="G1067" s="3">
        <v>7.6806316757471599E-2</v>
      </c>
      <c r="H1067" s="3">
        <v>0.48915145513591302</v>
      </c>
      <c r="I1067" s="3">
        <v>2.1385320086496802</v>
      </c>
      <c r="J1067" s="3">
        <v>2.1385320086496802</v>
      </c>
      <c r="K1067" s="3">
        <v>2.1385320086496802</v>
      </c>
      <c r="L1067" s="3">
        <v>2.1385320086496802</v>
      </c>
      <c r="M1067" s="3">
        <v>2.1385320086496802</v>
      </c>
      <c r="N1067" s="3">
        <v>2.1385320086496802</v>
      </c>
      <c r="O1067" s="3">
        <v>2.1385320086496802</v>
      </c>
      <c r="P1067" s="3">
        <v>2.1385320086496802</v>
      </c>
    </row>
    <row r="1068" spans="1:16" x14ac:dyDescent="0.3">
      <c r="A1068" s="3" t="str">
        <f t="shared" si="16"/>
        <v>COA</v>
      </c>
      <c r="C1068" s="3" t="s">
        <v>850</v>
      </c>
      <c r="D1068" s="3" t="s">
        <v>995</v>
      </c>
      <c r="E1068" s="3" t="s">
        <v>891</v>
      </c>
      <c r="F1068" s="3" t="s">
        <v>6</v>
      </c>
      <c r="G1068" s="3">
        <v>9.0627316095247101E-2</v>
      </c>
      <c r="H1068" s="3">
        <v>7.2501852876197703E-2</v>
      </c>
    </row>
    <row r="1069" spans="1:16" x14ac:dyDescent="0.3">
      <c r="A1069" s="3" t="str">
        <f t="shared" si="16"/>
        <v>COA</v>
      </c>
      <c r="C1069" s="3" t="s">
        <v>850</v>
      </c>
      <c r="D1069" s="3" t="s">
        <v>995</v>
      </c>
      <c r="E1069" s="3" t="s">
        <v>891</v>
      </c>
      <c r="F1069" s="3" t="s">
        <v>7</v>
      </c>
      <c r="G1069" s="3">
        <v>0.78331873607902902</v>
      </c>
      <c r="H1069" s="3">
        <v>0.62885949833608901</v>
      </c>
    </row>
    <row r="1070" spans="1:16" x14ac:dyDescent="0.3">
      <c r="A1070" s="3" t="str">
        <f t="shared" si="16"/>
        <v>COA</v>
      </c>
      <c r="C1070" s="3" t="s">
        <v>850</v>
      </c>
      <c r="D1070" s="3" t="s">
        <v>995</v>
      </c>
      <c r="E1070" s="3" t="s">
        <v>891</v>
      </c>
      <c r="F1070" s="3" t="s">
        <v>8</v>
      </c>
      <c r="G1070" s="3">
        <v>2.8298677425124001</v>
      </c>
      <c r="H1070" s="3">
        <v>2.6101086276212002</v>
      </c>
      <c r="I1070" s="3">
        <v>2.29958453881415</v>
      </c>
      <c r="J1070" s="3">
        <v>2.29958453881415</v>
      </c>
      <c r="K1070" s="3">
        <v>2.29958453881415</v>
      </c>
      <c r="L1070" s="3">
        <v>2.29958453881415</v>
      </c>
      <c r="M1070" s="3">
        <v>2.29958453881415</v>
      </c>
      <c r="N1070" s="3">
        <v>1.6150449744089901</v>
      </c>
      <c r="O1070" s="3">
        <v>2.29958453881415</v>
      </c>
      <c r="P1070" s="3">
        <v>2.29958453881415</v>
      </c>
    </row>
    <row r="1071" spans="1:16" x14ac:dyDescent="0.3">
      <c r="A1071" s="3" t="str">
        <f t="shared" si="16"/>
        <v>NGA</v>
      </c>
      <c r="C1071" s="3" t="s">
        <v>850</v>
      </c>
      <c r="D1071" s="3" t="s">
        <v>995</v>
      </c>
      <c r="E1071" s="3" t="s">
        <v>892</v>
      </c>
      <c r="F1071" s="3" t="s">
        <v>0</v>
      </c>
      <c r="G1071" s="3">
        <v>0.63760642276608404</v>
      </c>
      <c r="I1071" s="3">
        <v>0.58008925330942496</v>
      </c>
    </row>
    <row r="1072" spans="1:16" x14ac:dyDescent="0.3">
      <c r="A1072" s="3" t="str">
        <f t="shared" si="16"/>
        <v>NGA</v>
      </c>
      <c r="C1072" s="3" t="s">
        <v>850</v>
      </c>
      <c r="D1072" s="3" t="s">
        <v>995</v>
      </c>
      <c r="E1072" s="3" t="s">
        <v>892</v>
      </c>
      <c r="F1072" s="3" t="s">
        <v>1</v>
      </c>
      <c r="I1072" s="3">
        <v>1.6440676514413499</v>
      </c>
    </row>
    <row r="1073" spans="1:16" x14ac:dyDescent="0.3">
      <c r="A1073" s="3" t="str">
        <f t="shared" si="16"/>
        <v>NGA</v>
      </c>
      <c r="C1073" s="3" t="s">
        <v>850</v>
      </c>
      <c r="D1073" s="3" t="s">
        <v>995</v>
      </c>
      <c r="E1073" s="3" t="s">
        <v>892</v>
      </c>
      <c r="F1073" s="3" t="s">
        <v>2</v>
      </c>
      <c r="I1073" s="3">
        <v>7.8847948091912701E-2</v>
      </c>
    </row>
    <row r="1074" spans="1:16" x14ac:dyDescent="0.3">
      <c r="A1074" s="3" t="str">
        <f t="shared" si="16"/>
        <v>NGA</v>
      </c>
      <c r="C1074" s="3" t="s">
        <v>850</v>
      </c>
      <c r="D1074" s="3" t="s">
        <v>995</v>
      </c>
      <c r="E1074" s="3" t="s">
        <v>892</v>
      </c>
      <c r="F1074" s="3" t="s">
        <v>3</v>
      </c>
      <c r="G1074" s="3">
        <v>0.115262377840123</v>
      </c>
      <c r="I1074" s="3">
        <v>7.2782721315611795E-2</v>
      </c>
    </row>
    <row r="1075" spans="1:16" x14ac:dyDescent="0.3">
      <c r="A1075" s="3" t="str">
        <f t="shared" si="16"/>
        <v>NGA</v>
      </c>
      <c r="C1075" s="3" t="s">
        <v>850</v>
      </c>
      <c r="D1075" s="3" t="s">
        <v>995</v>
      </c>
      <c r="E1075" s="3" t="s">
        <v>892</v>
      </c>
      <c r="F1075" s="3" t="s">
        <v>4</v>
      </c>
      <c r="G1075" s="3">
        <v>2.6982043368492499</v>
      </c>
      <c r="I1075" s="3">
        <v>3.2787234166746999</v>
      </c>
      <c r="P1075" s="3">
        <v>2.4178357384286899</v>
      </c>
    </row>
    <row r="1076" spans="1:16" x14ac:dyDescent="0.3">
      <c r="A1076" s="3" t="str">
        <f t="shared" si="16"/>
        <v>NGA</v>
      </c>
      <c r="C1076" s="3" t="s">
        <v>850</v>
      </c>
      <c r="D1076" s="3" t="s">
        <v>995</v>
      </c>
      <c r="E1076" s="3" t="s">
        <v>892</v>
      </c>
      <c r="F1076" s="3" t="s">
        <v>6</v>
      </c>
      <c r="G1076" s="3">
        <v>1.1133590005708001</v>
      </c>
      <c r="H1076" s="3">
        <v>0.92785491014181098</v>
      </c>
      <c r="I1076" s="3">
        <v>0.185838548425862</v>
      </c>
      <c r="P1076" s="3">
        <v>0.185838548425862</v>
      </c>
    </row>
    <row r="1077" spans="1:16" x14ac:dyDescent="0.3">
      <c r="A1077" s="3" t="str">
        <f t="shared" si="16"/>
        <v>RFL</v>
      </c>
      <c r="C1077" s="3" t="s">
        <v>850</v>
      </c>
      <c r="D1077" s="3" t="s">
        <v>995</v>
      </c>
      <c r="E1077" s="3" t="s">
        <v>893</v>
      </c>
      <c r="F1077" s="3" t="s">
        <v>1</v>
      </c>
      <c r="I1077" s="3">
        <v>8.4073182810722902E-2</v>
      </c>
    </row>
    <row r="1078" spans="1:16" x14ac:dyDescent="0.3">
      <c r="A1078" s="3" t="str">
        <f t="shared" si="16"/>
        <v>NGA</v>
      </c>
      <c r="C1078" s="3" t="s">
        <v>850</v>
      </c>
      <c r="D1078" s="3" t="s">
        <v>995</v>
      </c>
      <c r="E1078" s="3" t="s">
        <v>895</v>
      </c>
      <c r="F1078" s="3" t="s">
        <v>0</v>
      </c>
      <c r="G1078" s="3">
        <v>8.7704901813060704E-2</v>
      </c>
      <c r="I1078" s="3">
        <v>8.7704901813060704E-2</v>
      </c>
    </row>
    <row r="1079" spans="1:16" x14ac:dyDescent="0.3">
      <c r="A1079" s="3" t="str">
        <f t="shared" si="16"/>
        <v>NGA</v>
      </c>
      <c r="C1079" s="3" t="s">
        <v>850</v>
      </c>
      <c r="D1079" s="3" t="s">
        <v>995</v>
      </c>
      <c r="E1079" s="3" t="s">
        <v>895</v>
      </c>
      <c r="F1079" s="3" t="s">
        <v>3</v>
      </c>
      <c r="G1079" s="3">
        <v>0.54818477613513805</v>
      </c>
      <c r="I1079" s="3">
        <v>0.59066443265964896</v>
      </c>
      <c r="J1079" s="3">
        <v>0.59066443265964896</v>
      </c>
      <c r="K1079" s="3">
        <v>0.59066443265964896</v>
      </c>
      <c r="L1079" s="3">
        <v>0.59066443265964896</v>
      </c>
    </row>
    <row r="1080" spans="1:16" x14ac:dyDescent="0.3">
      <c r="A1080" s="3" t="str">
        <f t="shared" si="16"/>
        <v>NGA</v>
      </c>
      <c r="C1080" s="3" t="s">
        <v>850</v>
      </c>
      <c r="D1080" s="3" t="s">
        <v>995</v>
      </c>
      <c r="E1080" s="3" t="s">
        <v>895</v>
      </c>
      <c r="F1080" s="3" t="s">
        <v>4</v>
      </c>
      <c r="I1080" s="3">
        <v>1.14664716531543</v>
      </c>
      <c r="J1080" s="3">
        <v>1.14664716531543</v>
      </c>
      <c r="K1080" s="3">
        <v>1.14664716531543</v>
      </c>
      <c r="L1080" s="3">
        <v>1.14664716531543</v>
      </c>
    </row>
    <row r="1081" spans="1:16" x14ac:dyDescent="0.3">
      <c r="A1081" s="3" t="str">
        <f t="shared" si="16"/>
        <v>NGA</v>
      </c>
      <c r="C1081" s="3" t="s">
        <v>850</v>
      </c>
      <c r="D1081" s="3" t="s">
        <v>995</v>
      </c>
      <c r="E1081" s="3" t="s">
        <v>895</v>
      </c>
      <c r="F1081" s="3" t="s">
        <v>5</v>
      </c>
      <c r="G1081" s="3">
        <v>0.64929682790257903</v>
      </c>
      <c r="I1081" s="3">
        <v>0.43303443855241602</v>
      </c>
      <c r="J1081" s="3">
        <v>0.58831118790801695</v>
      </c>
    </row>
    <row r="1082" spans="1:16" x14ac:dyDescent="0.3">
      <c r="A1082" s="3" t="str">
        <f t="shared" si="16"/>
        <v>NGA</v>
      </c>
      <c r="C1082" s="3" t="s">
        <v>850</v>
      </c>
      <c r="D1082" s="3" t="s">
        <v>995</v>
      </c>
      <c r="E1082" s="3" t="s">
        <v>895</v>
      </c>
      <c r="F1082" s="3" t="s">
        <v>6</v>
      </c>
      <c r="G1082" s="3">
        <v>6.47229395891123</v>
      </c>
      <c r="I1082" s="3">
        <v>7.44688220618663</v>
      </c>
      <c r="J1082" s="3">
        <v>7.44688220618663</v>
      </c>
      <c r="K1082" s="3">
        <v>7.44688220618663</v>
      </c>
      <c r="L1082" s="3">
        <v>7.44688220618663</v>
      </c>
      <c r="M1082" s="3">
        <v>2.5944487112549401</v>
      </c>
    </row>
    <row r="1083" spans="1:16" x14ac:dyDescent="0.3">
      <c r="A1083" s="3" t="str">
        <f t="shared" si="16"/>
        <v>NGA</v>
      </c>
      <c r="C1083" s="3" t="s">
        <v>850</v>
      </c>
      <c r="D1083" s="3" t="s">
        <v>995</v>
      </c>
      <c r="E1083" s="3" t="s">
        <v>895</v>
      </c>
      <c r="F1083" s="3" t="s">
        <v>8</v>
      </c>
      <c r="I1083" s="3">
        <v>1.70862405884958E-2</v>
      </c>
    </row>
    <row r="1084" spans="1:16" x14ac:dyDescent="0.3">
      <c r="A1084" s="3" t="str">
        <f t="shared" si="16"/>
        <v>COA</v>
      </c>
      <c r="C1084" s="3" t="s">
        <v>850</v>
      </c>
      <c r="D1084" s="3" t="s">
        <v>995</v>
      </c>
      <c r="E1084" s="3" t="s">
        <v>896</v>
      </c>
      <c r="F1084" s="3" t="s">
        <v>2</v>
      </c>
      <c r="G1084" s="3">
        <v>0.17591623230915501</v>
      </c>
      <c r="I1084" s="3">
        <v>0.17591623230915501</v>
      </c>
      <c r="J1084" s="3">
        <v>0.17591623230915501</v>
      </c>
      <c r="K1084" s="3">
        <v>0.17591623230915501</v>
      </c>
      <c r="L1084" s="3">
        <v>0.17591623230915501</v>
      </c>
      <c r="M1084" s="3">
        <v>0.17591623230915501</v>
      </c>
      <c r="N1084" s="3">
        <v>0.17591623230915501</v>
      </c>
      <c r="O1084" s="3">
        <v>0.17591623230915501</v>
      </c>
      <c r="P1084" s="3">
        <v>0.17591623230915501</v>
      </c>
    </row>
    <row r="1085" spans="1:16" x14ac:dyDescent="0.3">
      <c r="A1085" s="3" t="str">
        <f t="shared" si="16"/>
        <v>NGA</v>
      </c>
      <c r="C1085" s="3" t="s">
        <v>850</v>
      </c>
      <c r="D1085" s="3" t="s">
        <v>995</v>
      </c>
      <c r="E1085" s="3" t="s">
        <v>897</v>
      </c>
      <c r="F1085" s="3" t="s">
        <v>1</v>
      </c>
      <c r="I1085" s="3">
        <v>3.7340193290880401E-4</v>
      </c>
      <c r="K1085" s="3">
        <v>3.7340193290880401E-4</v>
      </c>
      <c r="L1085" s="3">
        <v>3.7340193290880401E-4</v>
      </c>
    </row>
    <row r="1086" spans="1:16" x14ac:dyDescent="0.3">
      <c r="A1086" s="3" t="str">
        <f t="shared" si="16"/>
        <v>NGA</v>
      </c>
      <c r="C1086" s="3" t="s">
        <v>850</v>
      </c>
      <c r="D1086" s="3" t="s">
        <v>995</v>
      </c>
      <c r="E1086" s="3" t="s">
        <v>898</v>
      </c>
      <c r="F1086" s="3" t="s">
        <v>4</v>
      </c>
      <c r="I1086" s="3">
        <v>1.18884759986847E-3</v>
      </c>
      <c r="J1086" s="3">
        <v>1.18884759986847E-3</v>
      </c>
    </row>
    <row r="1087" spans="1:16" x14ac:dyDescent="0.3">
      <c r="A1087" s="3" t="str">
        <f t="shared" si="16"/>
        <v>NGA</v>
      </c>
      <c r="C1087" s="3" t="s">
        <v>850</v>
      </c>
      <c r="D1087" s="3" t="s">
        <v>995</v>
      </c>
      <c r="E1087" s="3" t="s">
        <v>898</v>
      </c>
      <c r="F1087" s="3" t="s">
        <v>8</v>
      </c>
      <c r="I1087" s="3">
        <v>7.6453748176238696E-4</v>
      </c>
    </row>
    <row r="1088" spans="1:16" x14ac:dyDescent="0.3">
      <c r="A1088" s="3" t="str">
        <f t="shared" si="16"/>
        <v>NGA</v>
      </c>
      <c r="C1088" s="3" t="s">
        <v>850</v>
      </c>
      <c r="D1088" s="3" t="s">
        <v>995</v>
      </c>
      <c r="E1088" s="3" t="s">
        <v>899</v>
      </c>
      <c r="F1088" s="3" t="s">
        <v>0</v>
      </c>
      <c r="G1088" s="3">
        <v>1.0110845011984801E-2</v>
      </c>
      <c r="I1088" s="3">
        <v>1.0110845011984801E-2</v>
      </c>
    </row>
    <row r="1089" spans="1:16" x14ac:dyDescent="0.3">
      <c r="A1089" s="3" t="str">
        <f t="shared" si="16"/>
        <v>NGA</v>
      </c>
      <c r="C1089" s="3" t="s">
        <v>850</v>
      </c>
      <c r="D1089" s="3" t="s">
        <v>995</v>
      </c>
      <c r="E1089" s="3" t="s">
        <v>899</v>
      </c>
      <c r="F1089" s="3" t="s">
        <v>8</v>
      </c>
      <c r="I1089" s="3">
        <v>5.6450741918563597E-3</v>
      </c>
    </row>
    <row r="1090" spans="1:16" x14ac:dyDescent="0.3">
      <c r="A1090" s="3" t="str">
        <f t="shared" si="16"/>
        <v>RFL</v>
      </c>
      <c r="C1090" s="3" t="s">
        <v>850</v>
      </c>
      <c r="D1090" s="3" t="s">
        <v>995</v>
      </c>
      <c r="E1090" s="3" t="s">
        <v>900</v>
      </c>
      <c r="F1090" s="3" t="s">
        <v>8</v>
      </c>
      <c r="I1090" s="3">
        <v>6.5620779971160802E-3</v>
      </c>
    </row>
    <row r="1091" spans="1:16" x14ac:dyDescent="0.3">
      <c r="A1091" s="3" t="str">
        <f t="shared" si="16"/>
        <v>NGA</v>
      </c>
      <c r="C1091" s="3" t="s">
        <v>850</v>
      </c>
      <c r="D1091" s="3" t="s">
        <v>995</v>
      </c>
      <c r="E1091" s="3" t="s">
        <v>1202</v>
      </c>
      <c r="F1091" s="3" t="s">
        <v>3</v>
      </c>
      <c r="I1091" s="3">
        <v>5.7975771610358197E-2</v>
      </c>
    </row>
    <row r="1092" spans="1:16" x14ac:dyDescent="0.3">
      <c r="A1092" s="3" t="str">
        <f t="shared" si="16"/>
        <v>NGA</v>
      </c>
      <c r="C1092" s="3" t="s">
        <v>850</v>
      </c>
      <c r="D1092" s="3" t="s">
        <v>995</v>
      </c>
      <c r="E1092" s="3" t="s">
        <v>1202</v>
      </c>
      <c r="F1092" s="3" t="s">
        <v>4</v>
      </c>
      <c r="I1092" s="3">
        <v>3.4872277571371399</v>
      </c>
    </row>
    <row r="1093" spans="1:16" x14ac:dyDescent="0.3">
      <c r="A1093" s="3" t="str">
        <f t="shared" si="16"/>
        <v>NGA</v>
      </c>
      <c r="C1093" s="3" t="s">
        <v>850</v>
      </c>
      <c r="D1093" s="3" t="s">
        <v>995</v>
      </c>
      <c r="E1093" s="3" t="s">
        <v>1202</v>
      </c>
      <c r="F1093" s="3" t="s">
        <v>6</v>
      </c>
      <c r="I1093" s="3">
        <v>0.37570647328573498</v>
      </c>
    </row>
    <row r="1094" spans="1:16" x14ac:dyDescent="0.3">
      <c r="A1094" s="3" t="str">
        <f t="shared" si="16"/>
        <v>NGA</v>
      </c>
      <c r="C1094" s="3" t="s">
        <v>850</v>
      </c>
      <c r="D1094" s="3" t="s">
        <v>995</v>
      </c>
      <c r="E1094" s="3" t="s">
        <v>1202</v>
      </c>
      <c r="F1094" s="3" t="s">
        <v>7</v>
      </c>
      <c r="I1094" s="3">
        <v>8.2161026329363507E-2</v>
      </c>
    </row>
    <row r="1095" spans="1:16" x14ac:dyDescent="0.3">
      <c r="A1095" s="3" t="str">
        <f t="shared" si="16"/>
        <v>NGA</v>
      </c>
      <c r="C1095" s="3" t="s">
        <v>850</v>
      </c>
      <c r="D1095" s="3" t="s">
        <v>995</v>
      </c>
      <c r="E1095" s="3" t="s">
        <v>1203</v>
      </c>
      <c r="F1095" s="3" t="s">
        <v>0</v>
      </c>
      <c r="M1095" s="3">
        <v>1.0003200330364601</v>
      </c>
      <c r="N1095" s="3">
        <v>1.0833393141112557</v>
      </c>
      <c r="O1095" s="3">
        <v>1.6105800828023458</v>
      </c>
      <c r="P1095" s="3">
        <v>1.7234804046174117</v>
      </c>
    </row>
    <row r="1096" spans="1:16" x14ac:dyDescent="0.3">
      <c r="A1096" s="3" t="str">
        <f t="shared" ref="A1096:A1159" si="17">RIGHT(E1096,3)</f>
        <v>NGA</v>
      </c>
      <c r="C1096" s="3" t="s">
        <v>850</v>
      </c>
      <c r="D1096" s="3" t="s">
        <v>995</v>
      </c>
      <c r="E1096" s="3" t="s">
        <v>1203</v>
      </c>
      <c r="F1096" s="3" t="s">
        <v>1</v>
      </c>
      <c r="M1096" s="3">
        <v>8.9020636753405</v>
      </c>
      <c r="N1096" s="3">
        <v>11.141284761367601</v>
      </c>
      <c r="O1096" s="3">
        <v>16.63614479575752</v>
      </c>
      <c r="P1096" s="3">
        <v>18.114161822495198</v>
      </c>
    </row>
    <row r="1097" spans="1:16" x14ac:dyDescent="0.3">
      <c r="A1097" s="3" t="str">
        <f t="shared" si="17"/>
        <v>NGA</v>
      </c>
      <c r="C1097" s="3" t="s">
        <v>850</v>
      </c>
      <c r="D1097" s="3" t="s">
        <v>995</v>
      </c>
      <c r="E1097" s="3" t="s">
        <v>1203</v>
      </c>
      <c r="F1097" s="3" t="s">
        <v>2</v>
      </c>
      <c r="M1097" s="3">
        <v>12.0155223908663</v>
      </c>
      <c r="N1097" s="3">
        <v>12.0155223908663</v>
      </c>
      <c r="O1097" s="3">
        <v>17.729415699750419</v>
      </c>
      <c r="P1097" s="3">
        <v>19.000893663342598</v>
      </c>
    </row>
    <row r="1098" spans="1:16" x14ac:dyDescent="0.3">
      <c r="A1098" s="3" t="str">
        <f t="shared" si="17"/>
        <v>NGA</v>
      </c>
      <c r="C1098" s="3" t="s">
        <v>850</v>
      </c>
      <c r="D1098" s="3" t="s">
        <v>995</v>
      </c>
      <c r="E1098" s="3" t="s">
        <v>1203</v>
      </c>
      <c r="F1098" s="3" t="s">
        <v>3</v>
      </c>
      <c r="M1098" s="3">
        <v>2.74662891235756</v>
      </c>
      <c r="N1098" s="3">
        <v>2.9745791184441259</v>
      </c>
      <c r="O1098" s="3">
        <v>4.422250554819116</v>
      </c>
      <c r="P1098" s="3">
        <v>4.7322466339443707</v>
      </c>
    </row>
    <row r="1099" spans="1:16" x14ac:dyDescent="0.3">
      <c r="A1099" s="3" t="str">
        <f t="shared" si="17"/>
        <v>NGA</v>
      </c>
      <c r="C1099" s="3" t="s">
        <v>850</v>
      </c>
      <c r="D1099" s="3" t="s">
        <v>995</v>
      </c>
      <c r="E1099" s="3" t="s">
        <v>1203</v>
      </c>
      <c r="F1099" s="3" t="s">
        <v>4</v>
      </c>
      <c r="M1099" s="3">
        <v>1.4418873437819</v>
      </c>
      <c r="N1099" s="3">
        <v>1.4418873437819</v>
      </c>
      <c r="O1099" s="3">
        <v>1.4418873437819</v>
      </c>
      <c r="P1099" s="3">
        <v>1.7779940076895131</v>
      </c>
    </row>
    <row r="1100" spans="1:16" x14ac:dyDescent="0.3">
      <c r="A1100" s="3" t="str">
        <f t="shared" si="17"/>
        <v>NGA</v>
      </c>
      <c r="C1100" s="3" t="s">
        <v>850</v>
      </c>
      <c r="D1100" s="3" t="s">
        <v>995</v>
      </c>
      <c r="E1100" s="3" t="s">
        <v>1203</v>
      </c>
      <c r="F1100" s="3" t="s">
        <v>5</v>
      </c>
      <c r="M1100" s="3">
        <v>2.1398806847520002</v>
      </c>
      <c r="N1100" s="3">
        <v>2.1398806847520002</v>
      </c>
      <c r="O1100" s="3">
        <v>2.8890968533356012</v>
      </c>
      <c r="P1100" s="3">
        <v>3.4590271940406141</v>
      </c>
    </row>
    <row r="1101" spans="1:16" x14ac:dyDescent="0.3">
      <c r="A1101" s="3" t="str">
        <f t="shared" si="17"/>
        <v>NGA</v>
      </c>
      <c r="C1101" s="3" t="s">
        <v>850</v>
      </c>
      <c r="D1101" s="3" t="s">
        <v>995</v>
      </c>
      <c r="E1101" s="3" t="s">
        <v>1203</v>
      </c>
      <c r="F1101" s="3" t="s">
        <v>6</v>
      </c>
      <c r="M1101" s="3">
        <v>8.0598231948445704</v>
      </c>
      <c r="N1101" s="3">
        <v>8.0598231948445704</v>
      </c>
      <c r="O1101" s="3">
        <v>10.84250690552977</v>
      </c>
      <c r="P1101" s="3">
        <v>12.363442337345591</v>
      </c>
    </row>
    <row r="1102" spans="1:16" x14ac:dyDescent="0.3">
      <c r="A1102" s="3" t="str">
        <f t="shared" si="17"/>
        <v>NGA</v>
      </c>
      <c r="C1102" s="3" t="s">
        <v>850</v>
      </c>
      <c r="D1102" s="3" t="s">
        <v>995</v>
      </c>
      <c r="E1102" s="3" t="s">
        <v>1203</v>
      </c>
      <c r="F1102" s="3" t="s">
        <v>7</v>
      </c>
      <c r="M1102" s="3">
        <v>1.08348115313153</v>
      </c>
      <c r="N1102" s="3">
        <v>1.1734022018163512</v>
      </c>
      <c r="O1102" s="3">
        <v>1.7444748757338613</v>
      </c>
      <c r="P1102" s="3">
        <v>1.8667611109677984</v>
      </c>
    </row>
    <row r="1103" spans="1:16" x14ac:dyDescent="0.3">
      <c r="A1103" s="3" t="str">
        <f t="shared" si="17"/>
        <v>NGA</v>
      </c>
      <c r="C1103" s="3" t="s">
        <v>850</v>
      </c>
      <c r="D1103" s="3" t="s">
        <v>995</v>
      </c>
      <c r="E1103" s="3" t="s">
        <v>1203</v>
      </c>
      <c r="F1103" s="3" t="s">
        <v>8</v>
      </c>
      <c r="M1103" s="3">
        <v>0.81536804010045505</v>
      </c>
      <c r="N1103" s="3">
        <v>1.7584259937640909</v>
      </c>
      <c r="O1103" s="3">
        <v>2.5679083166271779</v>
      </c>
      <c r="P1103" s="3">
        <v>2.7275711684407398</v>
      </c>
    </row>
    <row r="1104" spans="1:16" x14ac:dyDescent="0.3">
      <c r="A1104" s="3" t="str">
        <f t="shared" si="17"/>
        <v>COA</v>
      </c>
      <c r="C1104" s="3" t="s">
        <v>850</v>
      </c>
      <c r="D1104" s="3" t="s">
        <v>995</v>
      </c>
      <c r="E1104" s="3" t="s">
        <v>1204</v>
      </c>
      <c r="F1104" s="3" t="s">
        <v>0</v>
      </c>
      <c r="H1104" s="3">
        <v>0.83819701342630604</v>
      </c>
      <c r="J1104" s="3">
        <v>0.85508879680822503</v>
      </c>
      <c r="K1104" s="3">
        <v>0.86814621606175302</v>
      </c>
      <c r="L1104" s="3">
        <v>0.92671023830995303</v>
      </c>
    </row>
    <row r="1105" spans="1:16" x14ac:dyDescent="0.3">
      <c r="A1105" s="3" t="str">
        <f t="shared" si="17"/>
        <v>COA</v>
      </c>
      <c r="C1105" s="3" t="s">
        <v>850</v>
      </c>
      <c r="D1105" s="3" t="s">
        <v>995</v>
      </c>
      <c r="E1105" s="3" t="s">
        <v>1204</v>
      </c>
      <c r="F1105" s="3" t="s">
        <v>1</v>
      </c>
      <c r="H1105" s="3">
        <v>2.1974895555876799</v>
      </c>
      <c r="I1105" s="3">
        <v>1.65914291714815</v>
      </c>
      <c r="J1105" s="3">
        <v>5.6003739330067104</v>
      </c>
      <c r="K1105" s="3">
        <v>5.8968481537365003</v>
      </c>
      <c r="L1105" s="3">
        <v>7.2282437718447197</v>
      </c>
      <c r="O1105" s="3">
        <v>6.1395826918340299</v>
      </c>
      <c r="P1105" s="3">
        <v>7.2282437718447197</v>
      </c>
    </row>
    <row r="1106" spans="1:16" x14ac:dyDescent="0.3">
      <c r="A1106" s="3" t="str">
        <f t="shared" si="17"/>
        <v>COA</v>
      </c>
      <c r="C1106" s="3" t="s">
        <v>850</v>
      </c>
      <c r="D1106" s="3" t="s">
        <v>995</v>
      </c>
      <c r="E1106" s="3" t="s">
        <v>1204</v>
      </c>
      <c r="F1106" s="3" t="s">
        <v>2</v>
      </c>
      <c r="H1106" s="3">
        <v>9.8965649899726493</v>
      </c>
      <c r="I1106" s="3">
        <v>0.76413990462805803</v>
      </c>
      <c r="J1106" s="3">
        <v>9.8965649899726493</v>
      </c>
      <c r="K1106" s="3">
        <v>9.8965649899726493</v>
      </c>
      <c r="L1106" s="3">
        <v>9.8965649899726493</v>
      </c>
      <c r="M1106" s="3">
        <v>6.4086330771800499</v>
      </c>
      <c r="N1106" s="3">
        <v>8.0176535936144901</v>
      </c>
      <c r="O1106" s="3">
        <v>9.8965649899726493</v>
      </c>
      <c r="P1106" s="3">
        <v>9.8965649899726493</v>
      </c>
    </row>
    <row r="1107" spans="1:16" x14ac:dyDescent="0.3">
      <c r="A1107" s="3" t="str">
        <f t="shared" si="17"/>
        <v>COA</v>
      </c>
      <c r="C1107" s="3" t="s">
        <v>850</v>
      </c>
      <c r="D1107" s="3" t="s">
        <v>995</v>
      </c>
      <c r="E1107" s="3" t="s">
        <v>1204</v>
      </c>
      <c r="F1107" s="3" t="s">
        <v>3</v>
      </c>
      <c r="H1107" s="3">
        <v>1.6884868939073701</v>
      </c>
      <c r="J1107" s="3">
        <v>1.6884868939073701</v>
      </c>
      <c r="K1107" s="3">
        <v>1.6884868939073701</v>
      </c>
      <c r="L1107" s="3">
        <v>1.6884868939073701</v>
      </c>
    </row>
    <row r="1108" spans="1:16" x14ac:dyDescent="0.3">
      <c r="A1108" s="3" t="str">
        <f t="shared" si="17"/>
        <v>COA</v>
      </c>
      <c r="C1108" s="3" t="s">
        <v>850</v>
      </c>
      <c r="D1108" s="3" t="s">
        <v>995</v>
      </c>
      <c r="E1108" s="3" t="s">
        <v>1204</v>
      </c>
      <c r="F1108" s="3" t="s">
        <v>4</v>
      </c>
      <c r="H1108" s="3">
        <v>7.29027122650752</v>
      </c>
      <c r="J1108" s="3">
        <v>5.3583216975594601</v>
      </c>
      <c r="K1108" s="3">
        <v>8.1696600419171297</v>
      </c>
      <c r="L1108" s="3">
        <v>9.9561259939159008</v>
      </c>
      <c r="M1108" s="3">
        <v>8.6068506991721403</v>
      </c>
      <c r="N1108" s="3">
        <v>10.631914177183001</v>
      </c>
      <c r="O1108" s="3">
        <v>23.492734109274299</v>
      </c>
      <c r="P1108" s="3">
        <v>23.492734109274299</v>
      </c>
    </row>
    <row r="1109" spans="1:16" x14ac:dyDescent="0.3">
      <c r="A1109" s="3" t="str">
        <f t="shared" si="17"/>
        <v>COA</v>
      </c>
      <c r="C1109" s="3" t="s">
        <v>850</v>
      </c>
      <c r="D1109" s="3" t="s">
        <v>995</v>
      </c>
      <c r="E1109" s="3" t="s">
        <v>1204</v>
      </c>
      <c r="F1109" s="3" t="s">
        <v>5</v>
      </c>
      <c r="H1109" s="3">
        <v>2.7105840232164802</v>
      </c>
      <c r="J1109" s="3">
        <v>1.8152449731859699</v>
      </c>
      <c r="K1109" s="3">
        <v>2.4729149805992798</v>
      </c>
      <c r="L1109" s="3">
        <v>2.78399723734162</v>
      </c>
      <c r="M1109" s="3">
        <v>1.0351194274401401</v>
      </c>
      <c r="N1109" s="3">
        <v>1.4761039144758701</v>
      </c>
      <c r="O1109" s="3">
        <v>3.5275022165966998</v>
      </c>
      <c r="P1109" s="3">
        <v>3.5275022165966998</v>
      </c>
    </row>
    <row r="1110" spans="1:16" x14ac:dyDescent="0.3">
      <c r="A1110" s="3" t="str">
        <f t="shared" si="17"/>
        <v>COA</v>
      </c>
      <c r="C1110" s="3" t="s">
        <v>850</v>
      </c>
      <c r="D1110" s="3" t="s">
        <v>995</v>
      </c>
      <c r="E1110" s="3" t="s">
        <v>1204</v>
      </c>
      <c r="F1110" s="3" t="s">
        <v>6</v>
      </c>
      <c r="H1110" s="3">
        <v>6.7423529030234501</v>
      </c>
      <c r="J1110" s="3">
        <v>5.4799481670610604</v>
      </c>
      <c r="K1110" s="3">
        <v>5.6773440918267202</v>
      </c>
      <c r="L1110" s="3">
        <v>6.5626874437726999</v>
      </c>
      <c r="M1110" s="3">
        <v>4.4680960097134603</v>
      </c>
      <c r="N1110" s="3">
        <v>8.3175911771595299</v>
      </c>
      <c r="O1110" s="3">
        <v>13.505485502545801</v>
      </c>
      <c r="P1110" s="3">
        <v>13.505485502545801</v>
      </c>
    </row>
    <row r="1111" spans="1:16" x14ac:dyDescent="0.3">
      <c r="A1111" s="3" t="str">
        <f t="shared" si="17"/>
        <v>COA</v>
      </c>
      <c r="C1111" s="3" t="s">
        <v>850</v>
      </c>
      <c r="D1111" s="3" t="s">
        <v>995</v>
      </c>
      <c r="E1111" s="3" t="s">
        <v>1204</v>
      </c>
      <c r="F1111" s="3" t="s">
        <v>7</v>
      </c>
      <c r="H1111" s="3">
        <v>0.2790206166925</v>
      </c>
      <c r="J1111" s="3">
        <v>0.92617618861769402</v>
      </c>
      <c r="K1111" s="3">
        <v>0.94031913007892698</v>
      </c>
      <c r="L1111" s="3">
        <v>1.00375184387242</v>
      </c>
    </row>
    <row r="1112" spans="1:16" x14ac:dyDescent="0.3">
      <c r="A1112" s="3" t="str">
        <f t="shared" si="17"/>
        <v>COA</v>
      </c>
      <c r="C1112" s="3" t="s">
        <v>850</v>
      </c>
      <c r="D1112" s="3" t="s">
        <v>995</v>
      </c>
      <c r="E1112" s="3" t="s">
        <v>1204</v>
      </c>
      <c r="F1112" s="3" t="s">
        <v>8</v>
      </c>
      <c r="J1112" s="3">
        <v>0.36312435919078601</v>
      </c>
      <c r="K1112" s="3">
        <v>0.40378458835192399</v>
      </c>
      <c r="L1112" s="3">
        <v>0.58615037740836595</v>
      </c>
      <c r="O1112" s="3">
        <v>0.14778267317622301</v>
      </c>
      <c r="P1112" s="3">
        <v>0.33968645702286498</v>
      </c>
    </row>
    <row r="1113" spans="1:16" x14ac:dyDescent="0.3">
      <c r="A1113" s="3" t="str">
        <f t="shared" si="17"/>
        <v>RFL</v>
      </c>
      <c r="C1113" s="3" t="s">
        <v>850</v>
      </c>
      <c r="D1113" s="3" t="s">
        <v>995</v>
      </c>
      <c r="E1113" s="3" t="s">
        <v>1205</v>
      </c>
      <c r="F1113" s="3" t="s">
        <v>0</v>
      </c>
      <c r="I1113" s="3">
        <v>0.177183796673754</v>
      </c>
    </row>
    <row r="1114" spans="1:16" x14ac:dyDescent="0.3">
      <c r="A1114" s="3" t="str">
        <f t="shared" si="17"/>
        <v>RFL</v>
      </c>
      <c r="C1114" s="3" t="s">
        <v>850</v>
      </c>
      <c r="D1114" s="3" t="s">
        <v>995</v>
      </c>
      <c r="E1114" s="3" t="s">
        <v>1205</v>
      </c>
      <c r="F1114" s="3" t="s">
        <v>8</v>
      </c>
      <c r="I1114" s="3">
        <v>0.20044652364940199</v>
      </c>
    </row>
    <row r="1115" spans="1:16" x14ac:dyDescent="0.3">
      <c r="A1115" s="3" t="str">
        <f t="shared" si="17"/>
        <v>DST</v>
      </c>
      <c r="C1115" s="3" t="s">
        <v>850</v>
      </c>
      <c r="D1115" s="3" t="s">
        <v>746</v>
      </c>
      <c r="E1115" s="3" t="s">
        <v>996</v>
      </c>
      <c r="F1115" s="3" t="s">
        <v>0</v>
      </c>
      <c r="G1115" s="3">
        <v>2.0293079144161199E-2</v>
      </c>
      <c r="I1115" s="3">
        <v>1.6910899286801E-2</v>
      </c>
    </row>
    <row r="1116" spans="1:16" x14ac:dyDescent="0.3">
      <c r="A1116" s="3" t="str">
        <f t="shared" si="17"/>
        <v>DST</v>
      </c>
      <c r="C1116" s="3" t="s">
        <v>850</v>
      </c>
      <c r="D1116" s="3" t="s">
        <v>746</v>
      </c>
      <c r="E1116" s="3" t="s">
        <v>996</v>
      </c>
      <c r="F1116" s="3" t="s">
        <v>1</v>
      </c>
      <c r="G1116" s="3">
        <v>4.2805074441140803E-2</v>
      </c>
    </row>
    <row r="1117" spans="1:16" x14ac:dyDescent="0.3">
      <c r="A1117" s="3" t="str">
        <f t="shared" si="17"/>
        <v>DST</v>
      </c>
      <c r="C1117" s="3" t="s">
        <v>850</v>
      </c>
      <c r="D1117" s="3" t="s">
        <v>746</v>
      </c>
      <c r="E1117" s="3" t="s">
        <v>996</v>
      </c>
      <c r="F1117" s="3" t="s">
        <v>2</v>
      </c>
      <c r="G1117" s="3">
        <v>4.5401549547838399E-2</v>
      </c>
    </row>
    <row r="1118" spans="1:16" x14ac:dyDescent="0.3">
      <c r="A1118" s="3" t="str">
        <f t="shared" si="17"/>
        <v>DST</v>
      </c>
      <c r="C1118" s="3" t="s">
        <v>850</v>
      </c>
      <c r="D1118" s="3" t="s">
        <v>746</v>
      </c>
      <c r="E1118" s="3" t="s">
        <v>996</v>
      </c>
      <c r="F1118" s="3" t="s">
        <v>3</v>
      </c>
      <c r="G1118" s="3">
        <v>3.0751549054215802E-2</v>
      </c>
    </row>
    <row r="1119" spans="1:16" x14ac:dyDescent="0.3">
      <c r="A1119" s="3" t="str">
        <f t="shared" si="17"/>
        <v>DST</v>
      </c>
      <c r="C1119" s="3" t="s">
        <v>850</v>
      </c>
      <c r="D1119" s="3" t="s">
        <v>746</v>
      </c>
      <c r="E1119" s="3" t="s">
        <v>996</v>
      </c>
      <c r="F1119" s="3" t="s">
        <v>4</v>
      </c>
      <c r="G1119" s="3">
        <v>2.07889078327597E-2</v>
      </c>
    </row>
    <row r="1120" spans="1:16" x14ac:dyDescent="0.3">
      <c r="A1120" s="3" t="str">
        <f t="shared" si="17"/>
        <v>DST</v>
      </c>
      <c r="C1120" s="3" t="s">
        <v>850</v>
      </c>
      <c r="D1120" s="3" t="s">
        <v>746</v>
      </c>
      <c r="E1120" s="3" t="s">
        <v>996</v>
      </c>
      <c r="F1120" s="3" t="s">
        <v>6</v>
      </c>
      <c r="G1120" s="3">
        <v>8.3831387571258603E-2</v>
      </c>
    </row>
    <row r="1121" spans="1:16" x14ac:dyDescent="0.3">
      <c r="A1121" s="3" t="str">
        <f t="shared" si="17"/>
        <v>DST</v>
      </c>
      <c r="C1121" s="3" t="s">
        <v>850</v>
      </c>
      <c r="D1121" s="3" t="s">
        <v>746</v>
      </c>
      <c r="E1121" s="3" t="s">
        <v>996</v>
      </c>
      <c r="F1121" s="3" t="s">
        <v>7</v>
      </c>
      <c r="G1121" s="3">
        <v>4.6804527838102801E-2</v>
      </c>
    </row>
    <row r="1122" spans="1:16" x14ac:dyDescent="0.3">
      <c r="A1122" s="3" t="str">
        <f t="shared" si="17"/>
        <v>DST</v>
      </c>
      <c r="C1122" s="3" t="s">
        <v>850</v>
      </c>
      <c r="D1122" s="3" t="s">
        <v>746</v>
      </c>
      <c r="E1122" s="3" t="s">
        <v>996</v>
      </c>
      <c r="F1122" s="3" t="s">
        <v>8</v>
      </c>
      <c r="G1122" s="3">
        <v>2.93485707639718E-2</v>
      </c>
      <c r="J1122" s="3">
        <v>1.95657138426505E-2</v>
      </c>
      <c r="K1122" s="3">
        <v>1.4674285381987799E-2</v>
      </c>
    </row>
    <row r="1123" spans="1:16" x14ac:dyDescent="0.3">
      <c r="A1123" s="3" t="str">
        <f t="shared" si="17"/>
        <v>ELC</v>
      </c>
      <c r="C1123" s="3" t="s">
        <v>850</v>
      </c>
      <c r="D1123" s="3" t="s">
        <v>746</v>
      </c>
      <c r="E1123" s="3" t="s">
        <v>997</v>
      </c>
      <c r="F1123" s="3" t="s">
        <v>0</v>
      </c>
      <c r="G1123" s="3">
        <v>2.96531228148068</v>
      </c>
      <c r="H1123" s="3">
        <v>3.0587157508599159</v>
      </c>
      <c r="I1123" s="3">
        <v>0.18513198579603499</v>
      </c>
      <c r="J1123" s="3">
        <v>0.45376564226995297</v>
      </c>
      <c r="K1123" s="3">
        <v>0.77588075415825297</v>
      </c>
      <c r="L1123" s="3">
        <v>1.3433212919251269</v>
      </c>
      <c r="M1123" s="3">
        <v>1.9918733673153319</v>
      </c>
      <c r="N1123" s="3">
        <v>2.691151844893001</v>
      </c>
      <c r="O1123" s="3">
        <v>8.6826134829552206</v>
      </c>
      <c r="P1123" s="3">
        <v>9.2912574534654304</v>
      </c>
    </row>
    <row r="1124" spans="1:16" x14ac:dyDescent="0.3">
      <c r="A1124" s="3" t="str">
        <f t="shared" si="17"/>
        <v>ELC</v>
      </c>
      <c r="C1124" s="3" t="s">
        <v>850</v>
      </c>
      <c r="D1124" s="3" t="s">
        <v>746</v>
      </c>
      <c r="E1124" s="3" t="s">
        <v>997</v>
      </c>
      <c r="F1124" s="3" t="s">
        <v>1</v>
      </c>
      <c r="G1124" s="3">
        <v>8.1625070579774892</v>
      </c>
      <c r="H1124" s="3">
        <v>10.312942886715771</v>
      </c>
      <c r="I1124" s="3">
        <v>9.2246086123187698</v>
      </c>
      <c r="J1124" s="3">
        <v>9.9175166729724697</v>
      </c>
      <c r="K1124" s="3">
        <v>10.804191203236931</v>
      </c>
      <c r="L1124" s="3">
        <v>12.366164093388019</v>
      </c>
      <c r="M1124" s="3">
        <v>14.1514097573607</v>
      </c>
      <c r="N1124" s="3">
        <v>16.07628814010878</v>
      </c>
      <c r="O1124" s="3">
        <v>23.900313730506468</v>
      </c>
      <c r="P1124" s="3">
        <v>25.57570580847154</v>
      </c>
    </row>
    <row r="1125" spans="1:16" x14ac:dyDescent="0.3">
      <c r="A1125" s="3" t="str">
        <f t="shared" si="17"/>
        <v>ELC</v>
      </c>
      <c r="C1125" s="3" t="s">
        <v>850</v>
      </c>
      <c r="D1125" s="3" t="s">
        <v>746</v>
      </c>
      <c r="E1125" s="3" t="s">
        <v>997</v>
      </c>
      <c r="F1125" s="3" t="s">
        <v>2</v>
      </c>
      <c r="G1125" s="3">
        <v>10.688546611185</v>
      </c>
      <c r="H1125" s="3">
        <v>13.12591908651274</v>
      </c>
      <c r="I1125" s="3">
        <v>11.700779538354739</v>
      </c>
      <c r="J1125" s="3">
        <v>12.304183878726469</v>
      </c>
      <c r="K1125" s="3">
        <v>13.132332715811129</v>
      </c>
      <c r="L1125" s="3">
        <v>14.743741888539288</v>
      </c>
      <c r="M1125" s="3">
        <v>16.614119123610898</v>
      </c>
      <c r="N1125" s="3">
        <v>18.646452579327271</v>
      </c>
      <c r="O1125" s="3">
        <v>27.721328625297915</v>
      </c>
      <c r="P1125" s="3">
        <v>29.664570663589863</v>
      </c>
    </row>
    <row r="1126" spans="1:16" x14ac:dyDescent="0.3">
      <c r="A1126" s="3" t="str">
        <f t="shared" si="17"/>
        <v>ELC</v>
      </c>
      <c r="C1126" s="3" t="s">
        <v>850</v>
      </c>
      <c r="D1126" s="3" t="s">
        <v>746</v>
      </c>
      <c r="E1126" s="3" t="s">
        <v>997</v>
      </c>
      <c r="F1126" s="3" t="s">
        <v>3</v>
      </c>
      <c r="G1126" s="3">
        <v>7.2396067690532098</v>
      </c>
      <c r="H1126" s="3">
        <v>7.4013298943297734</v>
      </c>
      <c r="I1126" s="3">
        <v>7.9252161992191734</v>
      </c>
      <c r="J1126" s="3">
        <v>8.3339163065340429</v>
      </c>
      <c r="K1126" s="3">
        <v>8.8948412053848838</v>
      </c>
      <c r="L1126" s="3">
        <v>9.9862869537141634</v>
      </c>
      <c r="M1126" s="3">
        <v>11.253137928339443</v>
      </c>
      <c r="N1126" s="3">
        <v>12.629685702157539</v>
      </c>
      <c r="O1126" s="3">
        <v>18.776315027979759</v>
      </c>
      <c r="P1126" s="3">
        <v>20.092519066385361</v>
      </c>
    </row>
    <row r="1127" spans="1:16" x14ac:dyDescent="0.3">
      <c r="A1127" s="3" t="str">
        <f t="shared" si="17"/>
        <v>ELC</v>
      </c>
      <c r="C1127" s="3" t="s">
        <v>850</v>
      </c>
      <c r="D1127" s="3" t="s">
        <v>746</v>
      </c>
      <c r="E1127" s="3" t="s">
        <v>997</v>
      </c>
      <c r="F1127" s="3" t="s">
        <v>4</v>
      </c>
      <c r="G1127" s="3">
        <v>3.2804804479217999</v>
      </c>
      <c r="H1127" s="3">
        <v>3.3200970558949674</v>
      </c>
      <c r="I1127" s="3">
        <v>3.395407856456635</v>
      </c>
      <c r="J1127" s="3">
        <v>3.3954078564566341</v>
      </c>
      <c r="K1127" s="3">
        <v>3.4472565815059562</v>
      </c>
      <c r="L1127" s="3">
        <v>3.6798040572646133</v>
      </c>
      <c r="M1127" s="3">
        <v>3.9720956604986304</v>
      </c>
      <c r="N1127" s="3">
        <v>4.301750686094735</v>
      </c>
      <c r="O1127" s="3">
        <v>6.3953314404446857</v>
      </c>
      <c r="P1127" s="3">
        <v>6.8436388456150796</v>
      </c>
    </row>
    <row r="1128" spans="1:16" x14ac:dyDescent="0.3">
      <c r="A1128" s="3" t="str">
        <f t="shared" si="17"/>
        <v>ELC</v>
      </c>
      <c r="C1128" s="3" t="s">
        <v>850</v>
      </c>
      <c r="D1128" s="3" t="s">
        <v>746</v>
      </c>
      <c r="E1128" s="3" t="s">
        <v>997</v>
      </c>
      <c r="F1128" s="3" t="s">
        <v>5</v>
      </c>
      <c r="G1128" s="3">
        <v>2.01335093499815</v>
      </c>
      <c r="H1128" s="3">
        <v>2.2025992526203302</v>
      </c>
      <c r="I1128" s="3">
        <v>2.9595925231091114</v>
      </c>
      <c r="J1128" s="3">
        <v>2.9595925231091171</v>
      </c>
      <c r="K1128" s="3">
        <v>3.0047862392916693</v>
      </c>
      <c r="L1128" s="3">
        <v>3.2074852373559262</v>
      </c>
      <c r="M1128" s="3">
        <v>3.4622599448638782</v>
      </c>
      <c r="N1128" s="3">
        <v>3.7496023173285908</v>
      </c>
      <c r="O1128" s="3">
        <v>5.5744628963947545</v>
      </c>
      <c r="P1128" s="3">
        <v>5.9652281006024603</v>
      </c>
    </row>
    <row r="1129" spans="1:16" x14ac:dyDescent="0.3">
      <c r="A1129" s="3" t="str">
        <f t="shared" si="17"/>
        <v>ELC</v>
      </c>
      <c r="C1129" s="3" t="s">
        <v>850</v>
      </c>
      <c r="D1129" s="3" t="s">
        <v>746</v>
      </c>
      <c r="E1129" s="3" t="s">
        <v>997</v>
      </c>
      <c r="F1129" s="3" t="s">
        <v>6</v>
      </c>
      <c r="G1129" s="3">
        <v>9.9336198295325104</v>
      </c>
      <c r="H1129" s="3">
        <v>10.070287255622311</v>
      </c>
      <c r="I1129" s="3">
        <v>10.281631409696503</v>
      </c>
      <c r="J1129" s="3">
        <v>10.281631409696493</v>
      </c>
      <c r="K1129" s="3">
        <v>10.438634486368484</v>
      </c>
      <c r="L1129" s="3">
        <v>11.142811283998013</v>
      </c>
      <c r="M1129" s="3">
        <v>12.027899219129804</v>
      </c>
      <c r="N1129" s="3">
        <v>13.02612729917856</v>
      </c>
      <c r="O1129" s="3">
        <v>19.365697257387943</v>
      </c>
      <c r="P1129" s="3">
        <v>20.723216498981945</v>
      </c>
    </row>
    <row r="1130" spans="1:16" x14ac:dyDescent="0.3">
      <c r="A1130" s="3" t="str">
        <f t="shared" si="17"/>
        <v>ELC</v>
      </c>
      <c r="C1130" s="3" t="s">
        <v>850</v>
      </c>
      <c r="D1130" s="3" t="s">
        <v>746</v>
      </c>
      <c r="E1130" s="3" t="s">
        <v>997</v>
      </c>
      <c r="F1130" s="3" t="s">
        <v>7</v>
      </c>
      <c r="G1130" s="3">
        <v>2.2797598504933898</v>
      </c>
      <c r="H1130" s="3">
        <v>2.3606377992836509</v>
      </c>
      <c r="I1130" s="3">
        <v>2.4969314830923102</v>
      </c>
      <c r="J1130" s="3">
        <v>2.5936948895764576</v>
      </c>
      <c r="K1130" s="3">
        <v>2.7359750695251277</v>
      </c>
      <c r="L1130" s="3">
        <v>3.0368864230182835</v>
      </c>
      <c r="M1130" s="3">
        <v>3.3902457376434754</v>
      </c>
      <c r="N1130" s="3">
        <v>3.7764055199734354</v>
      </c>
      <c r="O1130" s="3">
        <v>5.6143107111770956</v>
      </c>
      <c r="P1130" s="3">
        <v>6.0078692139985233</v>
      </c>
    </row>
    <row r="1131" spans="1:16" x14ac:dyDescent="0.3">
      <c r="A1131" s="3" t="str">
        <f t="shared" si="17"/>
        <v>ELC</v>
      </c>
      <c r="C1131" s="3" t="s">
        <v>850</v>
      </c>
      <c r="D1131" s="3" t="s">
        <v>746</v>
      </c>
      <c r="E1131" s="3" t="s">
        <v>997</v>
      </c>
      <c r="F1131" s="3" t="s">
        <v>8</v>
      </c>
      <c r="G1131" s="3">
        <v>1.4295132626593401</v>
      </c>
      <c r="H1131" s="3">
        <v>1.4802274203050887</v>
      </c>
      <c r="I1131" s="3">
        <v>1.5656897678321777</v>
      </c>
      <c r="J1131" s="3">
        <v>1.6067991171455158</v>
      </c>
      <c r="K1131" s="3">
        <v>1.7009066988804689</v>
      </c>
      <c r="L1131" s="3">
        <v>1.9042661085355927</v>
      </c>
      <c r="M1131" s="3">
        <v>2.1258384932898888</v>
      </c>
      <c r="N1131" s="3">
        <v>2.3679782652605432</v>
      </c>
      <c r="O1131" s="3">
        <v>3.5204285313565267</v>
      </c>
      <c r="P1131" s="3">
        <v>3.76720763806542</v>
      </c>
    </row>
    <row r="1132" spans="1:16" x14ac:dyDescent="0.3">
      <c r="A1132" s="3" t="str">
        <f t="shared" si="17"/>
        <v>NGA</v>
      </c>
      <c r="C1132" s="3" t="s">
        <v>850</v>
      </c>
      <c r="D1132" s="3" t="s">
        <v>746</v>
      </c>
      <c r="E1132" s="3" t="s">
        <v>998</v>
      </c>
      <c r="F1132" s="3" t="s">
        <v>0</v>
      </c>
      <c r="G1132" s="3">
        <v>1.51033654312271</v>
      </c>
      <c r="H1132" s="3">
        <v>1.4599919916852899</v>
      </c>
      <c r="I1132" s="3">
        <v>4.4077282126528798</v>
      </c>
      <c r="J1132" s="3">
        <v>4.1560054554657597</v>
      </c>
      <c r="K1132" s="3">
        <v>3.9042826982786449</v>
      </c>
      <c r="L1132" s="3">
        <v>3.652559941091527</v>
      </c>
      <c r="M1132" s="3">
        <v>3.4008371839044078</v>
      </c>
      <c r="N1132" s="3">
        <v>3.1491144267172899</v>
      </c>
    </row>
    <row r="1133" spans="1:16" x14ac:dyDescent="0.3">
      <c r="A1133" s="3" t="str">
        <f t="shared" si="17"/>
        <v>NGA</v>
      </c>
      <c r="C1133" s="3" t="s">
        <v>850</v>
      </c>
      <c r="D1133" s="3" t="s">
        <v>746</v>
      </c>
      <c r="E1133" s="3" t="s">
        <v>998</v>
      </c>
      <c r="F1133" s="3" t="s">
        <v>1</v>
      </c>
      <c r="G1133" s="3">
        <v>4.1574483639222404</v>
      </c>
      <c r="H1133" s="3">
        <v>2.1150952934743898</v>
      </c>
      <c r="I1133" s="3">
        <v>3.4645403032685298</v>
      </c>
      <c r="J1133" s="3">
        <v>2.7716322426148299</v>
      </c>
      <c r="K1133" s="3">
        <v>2.0787241819611202</v>
      </c>
      <c r="L1133" s="3">
        <v>1.3858161213074101</v>
      </c>
      <c r="M1133" s="3">
        <v>0.69290806065370703</v>
      </c>
    </row>
    <row r="1134" spans="1:16" x14ac:dyDescent="0.3">
      <c r="A1134" s="3" t="str">
        <f t="shared" si="17"/>
        <v>NGA</v>
      </c>
      <c r="C1134" s="3" t="s">
        <v>850</v>
      </c>
      <c r="D1134" s="3" t="s">
        <v>746</v>
      </c>
      <c r="E1134" s="3" t="s">
        <v>998</v>
      </c>
      <c r="F1134" s="3" t="s">
        <v>2</v>
      </c>
      <c r="G1134" s="3">
        <v>3.6204260422303798</v>
      </c>
      <c r="H1134" s="3">
        <v>1.30114052390051</v>
      </c>
      <c r="I1134" s="3">
        <v>3.01702170185865</v>
      </c>
      <c r="J1134" s="3">
        <v>2.4136173614869199</v>
      </c>
      <c r="K1134" s="3">
        <v>1.8102130211151899</v>
      </c>
      <c r="L1134" s="3">
        <v>1.2068086807434599</v>
      </c>
      <c r="M1134" s="3">
        <v>0.60340434037172996</v>
      </c>
    </row>
    <row r="1135" spans="1:16" x14ac:dyDescent="0.3">
      <c r="A1135" s="3" t="str">
        <f t="shared" si="17"/>
        <v>NGA</v>
      </c>
      <c r="C1135" s="3" t="s">
        <v>850</v>
      </c>
      <c r="D1135" s="3" t="s">
        <v>746</v>
      </c>
      <c r="E1135" s="3" t="s">
        <v>998</v>
      </c>
      <c r="F1135" s="3" t="s">
        <v>3</v>
      </c>
      <c r="G1135" s="3">
        <v>2.4522006438892099</v>
      </c>
      <c r="H1135" s="3">
        <v>2.3704606224262399</v>
      </c>
      <c r="I1135" s="3">
        <v>2.0435005365743399</v>
      </c>
      <c r="J1135" s="3">
        <v>1.63480042925947</v>
      </c>
      <c r="K1135" s="3">
        <v>1.2261003219446001</v>
      </c>
      <c r="L1135" s="3">
        <v>0.817400214629737</v>
      </c>
      <c r="M1135" s="3">
        <v>0.408700107314868</v>
      </c>
    </row>
    <row r="1136" spans="1:16" x14ac:dyDescent="0.3">
      <c r="A1136" s="3" t="str">
        <f t="shared" si="17"/>
        <v>NGA</v>
      </c>
      <c r="C1136" s="3" t="s">
        <v>850</v>
      </c>
      <c r="D1136" s="3" t="s">
        <v>746</v>
      </c>
      <c r="E1136" s="3" t="s">
        <v>998</v>
      </c>
      <c r="F1136" s="3" t="s">
        <v>7</v>
      </c>
      <c r="G1136" s="3">
        <v>0.58058043890487099</v>
      </c>
      <c r="H1136" s="3">
        <v>0.561227757608042</v>
      </c>
      <c r="I1136" s="3">
        <v>0.48381703242072599</v>
      </c>
      <c r="J1136" s="3">
        <v>0.38705362593658099</v>
      </c>
      <c r="K1136" s="3">
        <v>0.29029021945243499</v>
      </c>
      <c r="L1136" s="3">
        <v>0.19352681296829</v>
      </c>
      <c r="M1136" s="3">
        <v>9.6763406484145206E-2</v>
      </c>
    </row>
    <row r="1137" spans="1:16" x14ac:dyDescent="0.3">
      <c r="A1137" s="3" t="str">
        <f t="shared" si="17"/>
        <v>NGA</v>
      </c>
      <c r="C1137" s="3" t="s">
        <v>850</v>
      </c>
      <c r="D1137" s="3" t="s">
        <v>746</v>
      </c>
      <c r="E1137" s="3" t="s">
        <v>998</v>
      </c>
      <c r="F1137" s="3" t="s">
        <v>8</v>
      </c>
      <c r="G1137" s="3">
        <v>0.36405037893595399</v>
      </c>
      <c r="H1137" s="3">
        <v>0.35191536630475601</v>
      </c>
      <c r="I1137" s="3">
        <v>0.30337531577996202</v>
      </c>
      <c r="J1137" s="3">
        <v>0.24270025262396899</v>
      </c>
      <c r="K1137" s="3">
        <v>0.18202518946797699</v>
      </c>
      <c r="L1137" s="3">
        <v>0.121350126311985</v>
      </c>
      <c r="M1137" s="3">
        <v>6.0675063155992297E-2</v>
      </c>
    </row>
    <row r="1138" spans="1:16" x14ac:dyDescent="0.3">
      <c r="A1138" s="3" t="str">
        <f t="shared" si="17"/>
        <v>BIO</v>
      </c>
      <c r="C1138" s="3" t="s">
        <v>850</v>
      </c>
      <c r="D1138" s="3" t="s">
        <v>760</v>
      </c>
      <c r="E1138" s="3" t="s">
        <v>999</v>
      </c>
      <c r="F1138" s="3" t="s">
        <v>3</v>
      </c>
      <c r="G1138" s="3">
        <v>1.34829</v>
      </c>
      <c r="J1138" s="3">
        <v>1.34829</v>
      </c>
      <c r="K1138" s="3">
        <v>1.34829</v>
      </c>
      <c r="L1138" s="3">
        <v>1.34829</v>
      </c>
      <c r="M1138" s="3">
        <v>1.34829</v>
      </c>
    </row>
    <row r="1139" spans="1:16" x14ac:dyDescent="0.3">
      <c r="A1139" s="3" t="str">
        <f t="shared" si="17"/>
        <v>BIO</v>
      </c>
      <c r="C1139" s="3" t="s">
        <v>850</v>
      </c>
      <c r="D1139" s="3" t="s">
        <v>760</v>
      </c>
      <c r="E1139" s="3" t="s">
        <v>1000</v>
      </c>
      <c r="F1139" s="3" t="s">
        <v>0</v>
      </c>
      <c r="G1139" s="3">
        <v>0.29506005894062398</v>
      </c>
      <c r="H1139" s="3">
        <v>0.28915885776181099</v>
      </c>
      <c r="I1139" s="3">
        <v>0.26555405304656199</v>
      </c>
      <c r="J1139" s="3">
        <v>0.236048047152499</v>
      </c>
      <c r="K1139" s="3">
        <v>0.206542041258437</v>
      </c>
      <c r="L1139" s="3">
        <v>0.17703603536437401</v>
      </c>
      <c r="M1139" s="3">
        <v>0.14753002947031199</v>
      </c>
      <c r="N1139" s="3">
        <v>0.11802402357625</v>
      </c>
      <c r="O1139" s="3">
        <v>8.85180176821872E-2</v>
      </c>
      <c r="P1139" s="3">
        <v>5.9012011788124798E-2</v>
      </c>
    </row>
    <row r="1140" spans="1:16" x14ac:dyDescent="0.3">
      <c r="A1140" s="3" t="str">
        <f t="shared" si="17"/>
        <v>BIO</v>
      </c>
      <c r="C1140" s="3" t="s">
        <v>850</v>
      </c>
      <c r="D1140" s="3" t="s">
        <v>760</v>
      </c>
      <c r="E1140" s="3" t="s">
        <v>1000</v>
      </c>
      <c r="F1140" s="3" t="s">
        <v>1</v>
      </c>
      <c r="G1140" s="3">
        <v>0.81220107193144597</v>
      </c>
      <c r="H1140" s="3">
        <v>0.79595705049281695</v>
      </c>
      <c r="J1140" s="3">
        <v>0.649760857545157</v>
      </c>
      <c r="K1140" s="3">
        <v>0.56854075035201201</v>
      </c>
      <c r="L1140" s="3">
        <v>0.48732064315886803</v>
      </c>
      <c r="M1140" s="3">
        <v>0.40610053596572299</v>
      </c>
      <c r="O1140" s="3">
        <v>0.24366032157943401</v>
      </c>
      <c r="P1140" s="3">
        <v>0.162440214386289</v>
      </c>
    </row>
    <row r="1141" spans="1:16" x14ac:dyDescent="0.3">
      <c r="A1141" s="3" t="str">
        <f t="shared" si="17"/>
        <v>BIO</v>
      </c>
      <c r="C1141" s="3" t="s">
        <v>850</v>
      </c>
      <c r="D1141" s="3" t="s">
        <v>760</v>
      </c>
      <c r="E1141" s="3" t="s">
        <v>1000</v>
      </c>
      <c r="F1141" s="3" t="s">
        <v>2</v>
      </c>
      <c r="G1141" s="3">
        <v>2.0663802388018002</v>
      </c>
      <c r="J1141" s="3">
        <v>1.6531041910414399</v>
      </c>
      <c r="K1141" s="3">
        <v>1.44646616716126</v>
      </c>
      <c r="L1141" s="3">
        <v>1.23982814328108</v>
      </c>
      <c r="M1141" s="3">
        <v>1.0331901194009001</v>
      </c>
    </row>
    <row r="1142" spans="1:16" x14ac:dyDescent="0.3">
      <c r="A1142" s="3" t="str">
        <f t="shared" si="17"/>
        <v>BIO</v>
      </c>
      <c r="C1142" s="3" t="s">
        <v>850</v>
      </c>
      <c r="D1142" s="3" t="s">
        <v>760</v>
      </c>
      <c r="E1142" s="3" t="s">
        <v>1000</v>
      </c>
      <c r="F1142" s="3" t="s">
        <v>3</v>
      </c>
      <c r="G1142" s="3">
        <v>0.29887700113517701</v>
      </c>
      <c r="H1142" s="3">
        <v>0.292899461112474</v>
      </c>
      <c r="J1142" s="3">
        <v>0.239101600908142</v>
      </c>
      <c r="K1142" s="3">
        <v>0.20921390079462401</v>
      </c>
      <c r="L1142" s="3">
        <v>0.179326200681106</v>
      </c>
      <c r="M1142" s="3">
        <v>0.14943850056758901</v>
      </c>
    </row>
    <row r="1143" spans="1:16" x14ac:dyDescent="0.3">
      <c r="A1143" s="3" t="str">
        <f t="shared" si="17"/>
        <v>BIO</v>
      </c>
      <c r="C1143" s="3" t="s">
        <v>850</v>
      </c>
      <c r="D1143" s="3" t="s">
        <v>760</v>
      </c>
      <c r="E1143" s="3" t="s">
        <v>1000</v>
      </c>
      <c r="F1143" s="3" t="s">
        <v>4</v>
      </c>
      <c r="G1143" s="3">
        <v>0.90393372661854199</v>
      </c>
      <c r="H1143" s="3">
        <v>0.88585505208617099</v>
      </c>
      <c r="J1143" s="3">
        <v>0.72314698129483401</v>
      </c>
      <c r="K1143" s="3">
        <v>0.63275360863297903</v>
      </c>
      <c r="L1143" s="3">
        <v>0.54236023597112504</v>
      </c>
      <c r="M1143" s="3">
        <v>0.45196686330927099</v>
      </c>
      <c r="N1143" s="3">
        <v>0.36157349064741701</v>
      </c>
      <c r="O1143" s="3">
        <v>0.27118011798556302</v>
      </c>
      <c r="P1143" s="3">
        <v>0.180786745323708</v>
      </c>
    </row>
    <row r="1144" spans="1:16" x14ac:dyDescent="0.3">
      <c r="A1144" s="3" t="str">
        <f t="shared" si="17"/>
        <v>BIO</v>
      </c>
      <c r="C1144" s="3" t="s">
        <v>850</v>
      </c>
      <c r="D1144" s="3" t="s">
        <v>760</v>
      </c>
      <c r="E1144" s="3" t="s">
        <v>1000</v>
      </c>
      <c r="F1144" s="3" t="s">
        <v>5</v>
      </c>
      <c r="G1144" s="3">
        <v>0.78790991002720201</v>
      </c>
      <c r="J1144" s="3">
        <v>0.63032792802176196</v>
      </c>
      <c r="K1144" s="3">
        <v>0.55153693701904105</v>
      </c>
      <c r="L1144" s="3">
        <v>0.47274594601632097</v>
      </c>
      <c r="M1144" s="3">
        <v>0.393954955013601</v>
      </c>
      <c r="N1144" s="3">
        <v>0.31516396401088098</v>
      </c>
      <c r="O1144" s="3">
        <v>0.23637297300816101</v>
      </c>
      <c r="P1144" s="3">
        <v>0.15758198200543999</v>
      </c>
    </row>
    <row r="1145" spans="1:16" x14ac:dyDescent="0.3">
      <c r="A1145" s="3" t="str">
        <f t="shared" si="17"/>
        <v>BIO</v>
      </c>
      <c r="C1145" s="3" t="s">
        <v>850</v>
      </c>
      <c r="D1145" s="3" t="s">
        <v>760</v>
      </c>
      <c r="E1145" s="3" t="s">
        <v>1000</v>
      </c>
      <c r="F1145" s="3" t="s">
        <v>6</v>
      </c>
      <c r="G1145" s="3">
        <v>2.7372008868425399</v>
      </c>
      <c r="H1145" s="3">
        <v>2.6824568691056898</v>
      </c>
      <c r="J1145" s="3">
        <v>2.1897607094740299</v>
      </c>
      <c r="K1145" s="3">
        <v>1.91604062078978</v>
      </c>
      <c r="L1145" s="3">
        <v>1.6423205321055201</v>
      </c>
      <c r="M1145" s="3">
        <v>1.36860044342127</v>
      </c>
      <c r="N1145" s="3">
        <v>1.0948803547370201</v>
      </c>
      <c r="O1145" s="3">
        <v>0.82116026605276204</v>
      </c>
      <c r="P1145" s="3">
        <v>0.54744017736850803</v>
      </c>
    </row>
    <row r="1146" spans="1:16" x14ac:dyDescent="0.3">
      <c r="A1146" s="3" t="str">
        <f t="shared" si="17"/>
        <v>BIO</v>
      </c>
      <c r="C1146" s="3" t="s">
        <v>850</v>
      </c>
      <c r="D1146" s="3" t="s">
        <v>760</v>
      </c>
      <c r="E1146" s="3" t="s">
        <v>1000</v>
      </c>
      <c r="F1146" s="3" t="s">
        <v>7</v>
      </c>
      <c r="G1146" s="3">
        <v>0.113422468192989</v>
      </c>
      <c r="H1146" s="3">
        <v>0.11115401882912899</v>
      </c>
      <c r="J1146" s="3">
        <v>9.0737974554391199E-2</v>
      </c>
      <c r="K1146" s="3">
        <v>7.9395727735092306E-2</v>
      </c>
      <c r="L1146" s="3">
        <v>6.8053480915793399E-2</v>
      </c>
      <c r="M1146" s="3">
        <v>5.6711234096494499E-2</v>
      </c>
    </row>
    <row r="1147" spans="1:16" x14ac:dyDescent="0.3">
      <c r="A1147" s="3" t="str">
        <f t="shared" si="17"/>
        <v>BIO</v>
      </c>
      <c r="C1147" s="3" t="s">
        <v>850</v>
      </c>
      <c r="D1147" s="3" t="s">
        <v>760</v>
      </c>
      <c r="E1147" s="3" t="s">
        <v>1000</v>
      </c>
      <c r="F1147" s="3" t="s">
        <v>8</v>
      </c>
      <c r="G1147" s="3">
        <v>7.1121053619022503E-2</v>
      </c>
      <c r="H1147" s="3">
        <v>6.9698632546642006E-2</v>
      </c>
      <c r="I1147" s="3">
        <v>6.4008948257120293E-2</v>
      </c>
      <c r="J1147" s="3">
        <v>5.6896842895218E-2</v>
      </c>
      <c r="K1147" s="3">
        <v>4.9784737533315797E-2</v>
      </c>
      <c r="L1147" s="3">
        <v>4.2672632171413503E-2</v>
      </c>
      <c r="M1147" s="3">
        <v>3.55605268095113E-2</v>
      </c>
    </row>
    <row r="1148" spans="1:16" x14ac:dyDescent="0.3">
      <c r="A1148" s="3" t="str">
        <f t="shared" si="17"/>
        <v>ELC</v>
      </c>
      <c r="C1148" s="3" t="s">
        <v>850</v>
      </c>
      <c r="D1148" s="3" t="s">
        <v>760</v>
      </c>
      <c r="E1148" s="3" t="s">
        <v>1001</v>
      </c>
      <c r="F1148" s="3" t="s">
        <v>0</v>
      </c>
      <c r="G1148" s="3">
        <v>7.80345337231763E-2</v>
      </c>
    </row>
    <row r="1149" spans="1:16" x14ac:dyDescent="0.3">
      <c r="A1149" s="3" t="str">
        <f t="shared" si="17"/>
        <v>ELC</v>
      </c>
      <c r="C1149" s="3" t="s">
        <v>850</v>
      </c>
      <c r="D1149" s="3" t="s">
        <v>760</v>
      </c>
      <c r="E1149" s="3" t="s">
        <v>1001</v>
      </c>
      <c r="F1149" s="3" t="s">
        <v>1</v>
      </c>
      <c r="G1149" s="3">
        <v>0.21480281731519699</v>
      </c>
      <c r="H1149" s="3">
        <v>0.82227518716039005</v>
      </c>
      <c r="I1149" s="3">
        <v>1.6522309913978299</v>
      </c>
      <c r="P1149" s="3">
        <v>0.235956413830339</v>
      </c>
    </row>
    <row r="1150" spans="1:16" x14ac:dyDescent="0.3">
      <c r="A1150" s="3" t="str">
        <f t="shared" si="17"/>
        <v>ELC</v>
      </c>
      <c r="C1150" s="3" t="s">
        <v>850</v>
      </c>
      <c r="D1150" s="3" t="s">
        <v>760</v>
      </c>
      <c r="E1150" s="3" t="s">
        <v>1001</v>
      </c>
      <c r="F1150" s="3" t="s">
        <v>2</v>
      </c>
      <c r="G1150" s="3">
        <v>0.28127754239960401</v>
      </c>
      <c r="H1150" s="3">
        <v>4.4538765431548004</v>
      </c>
      <c r="I1150" s="3">
        <v>4.5436333862020701</v>
      </c>
    </row>
    <row r="1151" spans="1:16" x14ac:dyDescent="0.3">
      <c r="A1151" s="3" t="str">
        <f t="shared" si="17"/>
        <v>ELC</v>
      </c>
      <c r="C1151" s="3" t="s">
        <v>850</v>
      </c>
      <c r="D1151" s="3" t="s">
        <v>760</v>
      </c>
      <c r="E1151" s="3" t="s">
        <v>1001</v>
      </c>
      <c r="F1151" s="3" t="s">
        <v>3</v>
      </c>
      <c r="G1151" s="3">
        <v>0.19051596760666301</v>
      </c>
      <c r="H1151" s="3">
        <v>2.68141190009508</v>
      </c>
      <c r="I1151" s="3">
        <v>3.0342512350309301</v>
      </c>
    </row>
    <row r="1152" spans="1:16" x14ac:dyDescent="0.3">
      <c r="A1152" s="3" t="str">
        <f t="shared" si="17"/>
        <v>ELC</v>
      </c>
      <c r="C1152" s="3" t="s">
        <v>850</v>
      </c>
      <c r="D1152" s="3" t="s">
        <v>760</v>
      </c>
      <c r="E1152" s="3" t="s">
        <v>1001</v>
      </c>
      <c r="F1152" s="3" t="s">
        <v>4</v>
      </c>
      <c r="G1152" s="3">
        <v>8.63284328400475E-2</v>
      </c>
      <c r="H1152" s="3">
        <v>0.594119626079187</v>
      </c>
      <c r="I1152" s="3">
        <v>1.51354540695647</v>
      </c>
      <c r="N1152" s="3">
        <v>0.58883806115590498</v>
      </c>
      <c r="O1152" s="3">
        <v>0.61831343196357702</v>
      </c>
      <c r="P1152" s="3">
        <v>0.90854542274900696</v>
      </c>
    </row>
    <row r="1153" spans="1:16" x14ac:dyDescent="0.3">
      <c r="A1153" s="3" t="str">
        <f t="shared" si="17"/>
        <v>ELC</v>
      </c>
      <c r="C1153" s="3" t="s">
        <v>850</v>
      </c>
      <c r="D1153" s="3" t="s">
        <v>760</v>
      </c>
      <c r="E1153" s="3" t="s">
        <v>1001</v>
      </c>
      <c r="F1153" s="3" t="s">
        <v>5</v>
      </c>
      <c r="G1153" s="3">
        <v>7.52478038475657E-2</v>
      </c>
      <c r="H1153" s="3">
        <v>0.98183609248294201</v>
      </c>
      <c r="I1153" s="3">
        <v>1.3192752856763399</v>
      </c>
      <c r="P1153" s="3">
        <v>0.25297945525519799</v>
      </c>
    </row>
    <row r="1154" spans="1:16" x14ac:dyDescent="0.3">
      <c r="A1154" s="3" t="str">
        <f t="shared" si="17"/>
        <v>ELC</v>
      </c>
      <c r="C1154" s="3" t="s">
        <v>850</v>
      </c>
      <c r="D1154" s="3" t="s">
        <v>760</v>
      </c>
      <c r="E1154" s="3" t="s">
        <v>1001</v>
      </c>
      <c r="F1154" s="3" t="s">
        <v>6</v>
      </c>
      <c r="G1154" s="3">
        <v>0.26141104814559202</v>
      </c>
      <c r="I1154" s="3">
        <v>4.5831654558299197</v>
      </c>
      <c r="P1154" s="3">
        <v>0.643747646831208</v>
      </c>
    </row>
    <row r="1155" spans="1:16" x14ac:dyDescent="0.3">
      <c r="A1155" s="3" t="str">
        <f t="shared" si="17"/>
        <v>ELC</v>
      </c>
      <c r="C1155" s="3" t="s">
        <v>850</v>
      </c>
      <c r="D1155" s="3" t="s">
        <v>760</v>
      </c>
      <c r="E1155" s="3" t="s">
        <v>1001</v>
      </c>
      <c r="F1155" s="3" t="s">
        <v>7</v>
      </c>
      <c r="G1155" s="3">
        <v>5.9993680276141798E-2</v>
      </c>
      <c r="H1155" s="3">
        <v>0.124419182991584</v>
      </c>
      <c r="I1155" s="3">
        <v>0.24032059584860899</v>
      </c>
    </row>
    <row r="1156" spans="1:16" x14ac:dyDescent="0.3">
      <c r="A1156" s="3" t="str">
        <f t="shared" si="17"/>
        <v>ELC</v>
      </c>
      <c r="C1156" s="3" t="s">
        <v>850</v>
      </c>
      <c r="D1156" s="3" t="s">
        <v>760</v>
      </c>
      <c r="E1156" s="3" t="s">
        <v>1001</v>
      </c>
      <c r="F1156" s="3" t="s">
        <v>8</v>
      </c>
      <c r="G1156" s="3">
        <v>3.7618770069982599E-2</v>
      </c>
    </row>
    <row r="1157" spans="1:16" x14ac:dyDescent="0.3">
      <c r="A1157" s="3" t="str">
        <f t="shared" si="17"/>
        <v>OTP</v>
      </c>
      <c r="C1157" s="3" t="s">
        <v>850</v>
      </c>
      <c r="D1157" s="3" t="s">
        <v>760</v>
      </c>
      <c r="E1157" s="3" t="s">
        <v>1002</v>
      </c>
      <c r="F1157" s="3" t="s">
        <v>0</v>
      </c>
      <c r="G1157" s="3">
        <v>1.0779281174605001E-2</v>
      </c>
      <c r="H1157" s="3">
        <v>9.6658815822570895E-2</v>
      </c>
    </row>
    <row r="1158" spans="1:16" x14ac:dyDescent="0.3">
      <c r="A1158" s="3" t="str">
        <f t="shared" si="17"/>
        <v>OTP</v>
      </c>
      <c r="C1158" s="3" t="s">
        <v>850</v>
      </c>
      <c r="D1158" s="3" t="s">
        <v>760</v>
      </c>
      <c r="E1158" s="3" t="s">
        <v>1002</v>
      </c>
      <c r="F1158" s="3" t="s">
        <v>1</v>
      </c>
      <c r="G1158" s="3">
        <v>2.9671734480424702E-2</v>
      </c>
    </row>
    <row r="1159" spans="1:16" x14ac:dyDescent="0.3">
      <c r="A1159" s="3" t="str">
        <f t="shared" si="17"/>
        <v>OTP</v>
      </c>
      <c r="C1159" s="3" t="s">
        <v>850</v>
      </c>
      <c r="D1159" s="3" t="s">
        <v>760</v>
      </c>
      <c r="E1159" s="3" t="s">
        <v>1002</v>
      </c>
      <c r="F1159" s="3" t="s">
        <v>2</v>
      </c>
      <c r="G1159" s="3">
        <v>0.11254321252539</v>
      </c>
    </row>
    <row r="1160" spans="1:16" x14ac:dyDescent="0.3">
      <c r="A1160" s="3" t="str">
        <f t="shared" ref="A1160:A1223" si="18">RIGHT(E1160,3)</f>
        <v>OTP</v>
      </c>
      <c r="C1160" s="3" t="s">
        <v>850</v>
      </c>
      <c r="D1160" s="3" t="s">
        <v>760</v>
      </c>
      <c r="E1160" s="3" t="s">
        <v>1002</v>
      </c>
      <c r="F1160" s="3" t="s">
        <v>3</v>
      </c>
      <c r="G1160" s="3">
        <v>7.6228193864748495E-2</v>
      </c>
    </row>
    <row r="1161" spans="1:16" x14ac:dyDescent="0.3">
      <c r="A1161" s="3" t="str">
        <f t="shared" si="18"/>
        <v>OTP</v>
      </c>
      <c r="C1161" s="3" t="s">
        <v>850</v>
      </c>
      <c r="D1161" s="3" t="s">
        <v>760</v>
      </c>
      <c r="E1161" s="3" t="s">
        <v>1002</v>
      </c>
      <c r="F1161" s="3" t="s">
        <v>4</v>
      </c>
      <c r="G1161" s="3">
        <v>3.3022957554518E-2</v>
      </c>
    </row>
    <row r="1162" spans="1:16" x14ac:dyDescent="0.3">
      <c r="A1162" s="3" t="str">
        <f t="shared" si="18"/>
        <v>OTP</v>
      </c>
      <c r="C1162" s="3" t="s">
        <v>850</v>
      </c>
      <c r="D1162" s="3" t="s">
        <v>760</v>
      </c>
      <c r="E1162" s="3" t="s">
        <v>1002</v>
      </c>
      <c r="F1162" s="3" t="s">
        <v>5</v>
      </c>
      <c r="G1162" s="3">
        <v>2.8784317643446401E-2</v>
      </c>
    </row>
    <row r="1163" spans="1:16" x14ac:dyDescent="0.3">
      <c r="A1163" s="3" t="str">
        <f t="shared" si="18"/>
        <v>OTP</v>
      </c>
      <c r="C1163" s="3" t="s">
        <v>850</v>
      </c>
      <c r="D1163" s="3" t="s">
        <v>760</v>
      </c>
      <c r="E1163" s="3" t="s">
        <v>1002</v>
      </c>
      <c r="F1163" s="3" t="s">
        <v>6</v>
      </c>
      <c r="G1163" s="3">
        <v>9.9996787422154398E-2</v>
      </c>
      <c r="H1163" s="3">
        <v>1.80649929369988</v>
      </c>
    </row>
    <row r="1164" spans="1:16" x14ac:dyDescent="0.3">
      <c r="A1164" s="3" t="str">
        <f t="shared" si="18"/>
        <v>OTP</v>
      </c>
      <c r="C1164" s="3" t="s">
        <v>850</v>
      </c>
      <c r="D1164" s="3" t="s">
        <v>760</v>
      </c>
      <c r="E1164" s="3" t="s">
        <v>1002</v>
      </c>
      <c r="F1164" s="3" t="s">
        <v>7</v>
      </c>
      <c r="G1164" s="3">
        <v>4.1436061544878802E-3</v>
      </c>
    </row>
    <row r="1165" spans="1:16" x14ac:dyDescent="0.3">
      <c r="A1165" s="3" t="str">
        <f t="shared" si="18"/>
        <v>OTP</v>
      </c>
      <c r="C1165" s="3" t="s">
        <v>850</v>
      </c>
      <c r="D1165" s="3" t="s">
        <v>760</v>
      </c>
      <c r="E1165" s="3" t="s">
        <v>1002</v>
      </c>
      <c r="F1165" s="3" t="s">
        <v>8</v>
      </c>
      <c r="G1165" s="3">
        <v>2.5982297880170701E-3</v>
      </c>
      <c r="I1165" s="3">
        <v>8.6683011240908506E-2</v>
      </c>
    </row>
    <row r="1166" spans="1:16" x14ac:dyDescent="0.3">
      <c r="A1166" s="3" t="str">
        <f t="shared" si="18"/>
        <v>PTC</v>
      </c>
      <c r="C1166" s="3" t="s">
        <v>850</v>
      </c>
      <c r="D1166" s="3" t="s">
        <v>760</v>
      </c>
      <c r="E1166" s="3" t="s">
        <v>1003</v>
      </c>
      <c r="F1166" s="3" t="s">
        <v>1</v>
      </c>
      <c r="G1166" s="3">
        <v>0.55305692548998497</v>
      </c>
    </row>
    <row r="1167" spans="1:16" x14ac:dyDescent="0.3">
      <c r="A1167" s="3" t="str">
        <f t="shared" si="18"/>
        <v>PTC</v>
      </c>
      <c r="C1167" s="3" t="s">
        <v>850</v>
      </c>
      <c r="D1167" s="3" t="s">
        <v>760</v>
      </c>
      <c r="E1167" s="3" t="s">
        <v>1003</v>
      </c>
      <c r="F1167" s="3" t="s">
        <v>2</v>
      </c>
      <c r="G1167" s="3">
        <v>1.5434497717767801</v>
      </c>
    </row>
    <row r="1168" spans="1:16" x14ac:dyDescent="0.3">
      <c r="A1168" s="3" t="str">
        <f t="shared" si="18"/>
        <v>PTC</v>
      </c>
      <c r="C1168" s="3" t="s">
        <v>850</v>
      </c>
      <c r="D1168" s="3" t="s">
        <v>760</v>
      </c>
      <c r="E1168" s="3" t="s">
        <v>1003</v>
      </c>
      <c r="F1168" s="3" t="s">
        <v>3</v>
      </c>
      <c r="G1168" s="3">
        <v>1.0454152301451201</v>
      </c>
    </row>
    <row r="1169" spans="1:16" x14ac:dyDescent="0.3">
      <c r="A1169" s="3" t="str">
        <f t="shared" si="18"/>
        <v>PTC</v>
      </c>
      <c r="C1169" s="3" t="s">
        <v>850</v>
      </c>
      <c r="D1169" s="3" t="s">
        <v>760</v>
      </c>
      <c r="E1169" s="3" t="s">
        <v>1003</v>
      </c>
      <c r="F1169" s="3" t="s">
        <v>4</v>
      </c>
      <c r="G1169" s="3">
        <v>0.44829687895447701</v>
      </c>
    </row>
    <row r="1170" spans="1:16" x14ac:dyDescent="0.3">
      <c r="A1170" s="3" t="str">
        <f t="shared" si="18"/>
        <v>PTC</v>
      </c>
      <c r="C1170" s="3" t="s">
        <v>850</v>
      </c>
      <c r="D1170" s="3" t="s">
        <v>760</v>
      </c>
      <c r="E1170" s="3" t="s">
        <v>1003</v>
      </c>
      <c r="F1170" s="3" t="s">
        <v>5</v>
      </c>
      <c r="G1170" s="3">
        <v>5.5342626663836799E-3</v>
      </c>
    </row>
    <row r="1171" spans="1:16" x14ac:dyDescent="0.3">
      <c r="A1171" s="3" t="str">
        <f t="shared" si="18"/>
        <v>PTC</v>
      </c>
      <c r="C1171" s="3" t="s">
        <v>850</v>
      </c>
      <c r="D1171" s="3" t="s">
        <v>760</v>
      </c>
      <c r="E1171" s="3" t="s">
        <v>1003</v>
      </c>
      <c r="F1171" s="3" t="s">
        <v>6</v>
      </c>
      <c r="G1171" s="3">
        <v>1.3667951171392001</v>
      </c>
    </row>
    <row r="1172" spans="1:16" x14ac:dyDescent="0.3">
      <c r="A1172" s="3" t="str">
        <f t="shared" si="18"/>
        <v>PTC</v>
      </c>
      <c r="C1172" s="3" t="s">
        <v>850</v>
      </c>
      <c r="D1172" s="3" t="s">
        <v>760</v>
      </c>
      <c r="E1172" s="3" t="s">
        <v>1003</v>
      </c>
      <c r="F1172" s="3" t="s">
        <v>7</v>
      </c>
      <c r="G1172" s="3">
        <v>5.6826598690119703E-2</v>
      </c>
    </row>
    <row r="1173" spans="1:16" x14ac:dyDescent="0.3">
      <c r="A1173" s="3" t="str">
        <f t="shared" si="18"/>
        <v>PTC</v>
      </c>
      <c r="C1173" s="3" t="s">
        <v>850</v>
      </c>
      <c r="D1173" s="3" t="s">
        <v>760</v>
      </c>
      <c r="E1173" s="3" t="s">
        <v>1003</v>
      </c>
      <c r="F1173" s="3" t="s">
        <v>8</v>
      </c>
      <c r="G1173" s="3">
        <v>3.5632865664234001E-2</v>
      </c>
    </row>
    <row r="1174" spans="1:16" x14ac:dyDescent="0.3">
      <c r="A1174" s="3" t="str">
        <f t="shared" si="18"/>
        <v>BIO</v>
      </c>
      <c r="C1174" s="3" t="s">
        <v>850</v>
      </c>
      <c r="D1174" s="3" t="s">
        <v>760</v>
      </c>
      <c r="E1174" s="3" t="s">
        <v>1214</v>
      </c>
      <c r="F1174" s="3" t="s">
        <v>0</v>
      </c>
      <c r="I1174" s="3">
        <v>0.128038819521724</v>
      </c>
      <c r="J1174" s="3">
        <v>0.15754482541578699</v>
      </c>
      <c r="K1174" s="3">
        <v>0.193061092666925</v>
      </c>
      <c r="L1174" s="3">
        <v>0.24952380976087901</v>
      </c>
      <c r="M1174" s="3">
        <v>0.29385074140209699</v>
      </c>
      <c r="N1174" s="3">
        <v>0.36157008541817798</v>
      </c>
      <c r="O1174" s="3">
        <v>0.63376224210597898</v>
      </c>
      <c r="P1174" s="3">
        <v>0.71523567190144699</v>
      </c>
    </row>
    <row r="1175" spans="1:16" x14ac:dyDescent="0.3">
      <c r="A1175" s="3" t="str">
        <f t="shared" si="18"/>
        <v>BIO</v>
      </c>
      <c r="C1175" s="3" t="s">
        <v>850</v>
      </c>
      <c r="D1175" s="3" t="s">
        <v>760</v>
      </c>
      <c r="E1175" s="3" t="s">
        <v>1214</v>
      </c>
      <c r="F1175" s="3" t="s">
        <v>1</v>
      </c>
      <c r="J1175" s="3">
        <v>1.00247013385267</v>
      </c>
      <c r="K1175" s="3">
        <v>1.1089202204805499</v>
      </c>
      <c r="L1175" s="3">
        <v>1.30329967779099</v>
      </c>
      <c r="M1175" s="3">
        <v>1.5076898013845901</v>
      </c>
    </row>
    <row r="1176" spans="1:16" x14ac:dyDescent="0.3">
      <c r="A1176" s="3" t="str">
        <f t="shared" si="18"/>
        <v>BIO</v>
      </c>
      <c r="C1176" s="3" t="s">
        <v>850</v>
      </c>
      <c r="D1176" s="3" t="s">
        <v>760</v>
      </c>
      <c r="E1176" s="3" t="s">
        <v>1214</v>
      </c>
      <c r="F1176" s="3" t="s">
        <v>2</v>
      </c>
      <c r="J1176" s="3">
        <v>2.4627426282712102</v>
      </c>
      <c r="K1176" s="3">
        <v>2.7387630674975099</v>
      </c>
      <c r="L1176" s="3">
        <v>3.2565891781711001</v>
      </c>
      <c r="M1176" s="3">
        <v>3.8353018205792502</v>
      </c>
    </row>
    <row r="1177" spans="1:16" x14ac:dyDescent="0.3">
      <c r="A1177" s="3" t="str">
        <f t="shared" si="18"/>
        <v>BIO</v>
      </c>
      <c r="C1177" s="3" t="s">
        <v>850</v>
      </c>
      <c r="D1177" s="3" t="s">
        <v>760</v>
      </c>
      <c r="E1177" s="3" t="s">
        <v>1214</v>
      </c>
      <c r="F1177" s="3" t="s">
        <v>3</v>
      </c>
      <c r="J1177" s="3">
        <v>1.44685963412279</v>
      </c>
      <c r="K1177" s="3">
        <v>1.5230811075756501</v>
      </c>
      <c r="L1177" s="3">
        <v>1.7607810927972001</v>
      </c>
      <c r="M1177" s="3">
        <v>2.0328091745193602</v>
      </c>
    </row>
    <row r="1178" spans="1:16" x14ac:dyDescent="0.3">
      <c r="A1178" s="3" t="str">
        <f t="shared" si="18"/>
        <v>BIO</v>
      </c>
      <c r="C1178" s="3" t="s">
        <v>850</v>
      </c>
      <c r="D1178" s="3" t="s">
        <v>760</v>
      </c>
      <c r="E1178" s="3" t="s">
        <v>1214</v>
      </c>
      <c r="F1178" s="3" t="s">
        <v>4</v>
      </c>
      <c r="J1178" s="3">
        <v>0.79039842566163998</v>
      </c>
      <c r="K1178" s="3">
        <v>0.90390401428474298</v>
      </c>
      <c r="L1178" s="3">
        <v>1.09795832510592</v>
      </c>
      <c r="M1178" s="3">
        <v>1.29958305067461</v>
      </c>
    </row>
    <row r="1179" spans="1:16" x14ac:dyDescent="0.3">
      <c r="A1179" s="3" t="str">
        <f t="shared" si="18"/>
        <v>BIO</v>
      </c>
      <c r="C1179" s="3" t="s">
        <v>850</v>
      </c>
      <c r="D1179" s="3" t="s">
        <v>760</v>
      </c>
      <c r="E1179" s="3" t="s">
        <v>1214</v>
      </c>
      <c r="F1179" s="3" t="s">
        <v>5</v>
      </c>
      <c r="J1179" s="3">
        <v>0.68894735765458004</v>
      </c>
      <c r="K1179" s="3">
        <v>0.787884011400386</v>
      </c>
      <c r="L1179" s="3">
        <v>0.95703060929476202</v>
      </c>
      <c r="M1179" s="3">
        <v>1.13032932894178</v>
      </c>
    </row>
    <row r="1180" spans="1:16" x14ac:dyDescent="0.3">
      <c r="A1180" s="3" t="str">
        <f t="shared" si="18"/>
        <v>BIO</v>
      </c>
      <c r="C1180" s="3" t="s">
        <v>850</v>
      </c>
      <c r="D1180" s="3" t="s">
        <v>760</v>
      </c>
      <c r="E1180" s="3" t="s">
        <v>1214</v>
      </c>
      <c r="F1180" s="3" t="s">
        <v>6</v>
      </c>
      <c r="J1180" s="3">
        <v>2.3934047463558801</v>
      </c>
      <c r="K1180" s="3">
        <v>2.7371109149518702</v>
      </c>
      <c r="L1180" s="3">
        <v>3.3247265952101399</v>
      </c>
      <c r="M1180" s="3">
        <v>3.97392439639493</v>
      </c>
    </row>
    <row r="1181" spans="1:16" x14ac:dyDescent="0.3">
      <c r="A1181" s="3" t="str">
        <f t="shared" si="18"/>
        <v>BIO</v>
      </c>
      <c r="C1181" s="3" t="s">
        <v>850</v>
      </c>
      <c r="D1181" s="3" t="s">
        <v>760</v>
      </c>
      <c r="E1181" s="3" t="s">
        <v>1214</v>
      </c>
      <c r="F1181" s="3" t="s">
        <v>7</v>
      </c>
      <c r="J1181" s="3">
        <v>0.14958262129421801</v>
      </c>
      <c r="K1181" s="3">
        <v>0.16459462356694499</v>
      </c>
      <c r="L1181" s="3">
        <v>0.192396144293835</v>
      </c>
      <c r="M1181" s="3">
        <v>0.205364966906561</v>
      </c>
    </row>
    <row r="1182" spans="1:16" x14ac:dyDescent="0.3">
      <c r="A1182" s="3" t="str">
        <f t="shared" si="18"/>
        <v>BIO</v>
      </c>
      <c r="C1182" s="3" t="s">
        <v>850</v>
      </c>
      <c r="D1182" s="3" t="s">
        <v>760</v>
      </c>
      <c r="E1182" s="3" t="s">
        <v>1214</v>
      </c>
      <c r="F1182" s="3" t="s">
        <v>8</v>
      </c>
      <c r="H1182" s="3">
        <v>7.8016494665968703E-2</v>
      </c>
      <c r="J1182" s="3">
        <v>9.3795116602810799E-2</v>
      </c>
      <c r="K1182" s="3">
        <v>0.10320832578065101</v>
      </c>
      <c r="L1182" s="3">
        <v>0.12064114555444801</v>
      </c>
      <c r="M1182" s="3">
        <v>0.121664200510475</v>
      </c>
    </row>
    <row r="1183" spans="1:16" x14ac:dyDescent="0.3">
      <c r="A1183" s="3" t="str">
        <f t="shared" si="18"/>
        <v>STM</v>
      </c>
      <c r="C1183" s="3" t="s">
        <v>850</v>
      </c>
      <c r="D1183" s="3" t="s">
        <v>760</v>
      </c>
      <c r="E1183" s="3" t="s">
        <v>1215</v>
      </c>
      <c r="F1183" s="3" t="s">
        <v>0</v>
      </c>
      <c r="M1183" s="3">
        <v>1.9061275333845398E-2</v>
      </c>
      <c r="N1183" s="3">
        <v>1.9061275333845398E-2</v>
      </c>
      <c r="O1183" s="3">
        <v>1.9061275333845398E-2</v>
      </c>
      <c r="P1183" s="3">
        <v>1.9061275333845398E-2</v>
      </c>
    </row>
    <row r="1184" spans="1:16" x14ac:dyDescent="0.3">
      <c r="A1184" s="3" t="str">
        <f t="shared" si="18"/>
        <v>STM</v>
      </c>
      <c r="C1184" s="3" t="s">
        <v>850</v>
      </c>
      <c r="D1184" s="3" t="s">
        <v>760</v>
      </c>
      <c r="E1184" s="3" t="s">
        <v>1215</v>
      </c>
      <c r="F1184" s="3" t="s">
        <v>1</v>
      </c>
      <c r="M1184" s="3">
        <v>1.9061275333845398E-2</v>
      </c>
      <c r="N1184" s="3">
        <v>2.0932642266575199</v>
      </c>
      <c r="O1184" s="3">
        <v>2.8683560407761099</v>
      </c>
      <c r="P1184" s="3">
        <v>2.9317694881035599</v>
      </c>
    </row>
    <row r="1185" spans="1:16" x14ac:dyDescent="0.3">
      <c r="A1185" s="3" t="str">
        <f t="shared" si="18"/>
        <v>STM</v>
      </c>
      <c r="C1185" s="3" t="s">
        <v>850</v>
      </c>
      <c r="D1185" s="3" t="s">
        <v>760</v>
      </c>
      <c r="E1185" s="3" t="s">
        <v>1215</v>
      </c>
      <c r="F1185" s="3" t="s">
        <v>2</v>
      </c>
      <c r="G1185" s="3">
        <v>0.42778656688941202</v>
      </c>
      <c r="J1185" s="3">
        <v>0.42778656688941202</v>
      </c>
      <c r="K1185" s="3">
        <v>0.42778656688941202</v>
      </c>
      <c r="L1185" s="3">
        <v>0.42778656688941202</v>
      </c>
      <c r="M1185" s="3">
        <v>0.44684784222325702</v>
      </c>
      <c r="N1185" s="3">
        <v>5.7564742919735599</v>
      </c>
      <c r="O1185" s="3">
        <v>8.5580415305266406</v>
      </c>
      <c r="P1185" s="3">
        <v>9.1579531109691192</v>
      </c>
    </row>
    <row r="1186" spans="1:16" x14ac:dyDescent="0.3">
      <c r="A1186" s="3" t="str">
        <f t="shared" si="18"/>
        <v>STM</v>
      </c>
      <c r="C1186" s="3" t="s">
        <v>850</v>
      </c>
      <c r="D1186" s="3" t="s">
        <v>760</v>
      </c>
      <c r="E1186" s="3" t="s">
        <v>1215</v>
      </c>
      <c r="F1186" s="3" t="s">
        <v>3</v>
      </c>
      <c r="M1186" s="3">
        <v>1.9061275333845398E-2</v>
      </c>
      <c r="N1186" s="3">
        <v>3.84418982457662</v>
      </c>
      <c r="O1186" s="3">
        <v>5.71508435568387</v>
      </c>
      <c r="P1186" s="3">
        <v>6.1157070070172397</v>
      </c>
    </row>
    <row r="1187" spans="1:16" x14ac:dyDescent="0.3">
      <c r="A1187" s="3" t="str">
        <f t="shared" si="18"/>
        <v>STM</v>
      </c>
      <c r="C1187" s="3" t="s">
        <v>850</v>
      </c>
      <c r="D1187" s="3" t="s">
        <v>760</v>
      </c>
      <c r="E1187" s="3" t="s">
        <v>1215</v>
      </c>
      <c r="F1187" s="3" t="s">
        <v>4</v>
      </c>
      <c r="M1187" s="3">
        <v>1.9061275333845398E-2</v>
      </c>
      <c r="N1187" s="3">
        <v>0.96714747735117801</v>
      </c>
      <c r="O1187" s="3">
        <v>1.96130521616752</v>
      </c>
      <c r="P1187" s="3">
        <v>1.96130521616752</v>
      </c>
    </row>
    <row r="1188" spans="1:16" x14ac:dyDescent="0.3">
      <c r="A1188" s="3" t="str">
        <f t="shared" si="18"/>
        <v>STM</v>
      </c>
      <c r="C1188" s="3" t="s">
        <v>850</v>
      </c>
      <c r="D1188" s="3" t="s">
        <v>760</v>
      </c>
      <c r="E1188" s="3" t="s">
        <v>1215</v>
      </c>
      <c r="F1188" s="3" t="s">
        <v>5</v>
      </c>
      <c r="M1188" s="3">
        <v>1.9061275333845398E-2</v>
      </c>
      <c r="N1188" s="3">
        <v>1.3562680421659901</v>
      </c>
      <c r="O1188" s="3">
        <v>2.24851339993333</v>
      </c>
      <c r="P1188" s="3">
        <v>2.24851339993333</v>
      </c>
    </row>
    <row r="1189" spans="1:16" x14ac:dyDescent="0.3">
      <c r="A1189" s="3" t="str">
        <f t="shared" si="18"/>
        <v>STM</v>
      </c>
      <c r="C1189" s="3" t="s">
        <v>850</v>
      </c>
      <c r="D1189" s="3" t="s">
        <v>760</v>
      </c>
      <c r="E1189" s="3" t="s">
        <v>1215</v>
      </c>
      <c r="F1189" s="3" t="s">
        <v>6</v>
      </c>
      <c r="M1189" s="3">
        <v>1.9061275333845398E-2</v>
      </c>
      <c r="N1189" s="3">
        <v>4.7116783791750798</v>
      </c>
      <c r="O1189" s="3">
        <v>7.81134085769063</v>
      </c>
      <c r="P1189" s="3">
        <v>8.0464444354284304</v>
      </c>
    </row>
    <row r="1190" spans="1:16" x14ac:dyDescent="0.3">
      <c r="A1190" s="3" t="str">
        <f t="shared" si="18"/>
        <v>STM</v>
      </c>
      <c r="C1190" s="3" t="s">
        <v>850</v>
      </c>
      <c r="D1190" s="3" t="s">
        <v>760</v>
      </c>
      <c r="E1190" s="3" t="s">
        <v>1215</v>
      </c>
      <c r="F1190" s="3" t="s">
        <v>7</v>
      </c>
      <c r="M1190" s="3">
        <v>1.9061275333845398E-2</v>
      </c>
      <c r="N1190" s="3">
        <v>0.30446984037826202</v>
      </c>
      <c r="O1190" s="3">
        <v>0.45264955710531801</v>
      </c>
      <c r="P1190" s="3">
        <v>0.48437991389559998</v>
      </c>
    </row>
    <row r="1191" spans="1:16" x14ac:dyDescent="0.3">
      <c r="A1191" s="3" t="str">
        <f t="shared" si="18"/>
        <v>STM</v>
      </c>
      <c r="C1191" s="3" t="s">
        <v>850</v>
      </c>
      <c r="D1191" s="3" t="s">
        <v>760</v>
      </c>
      <c r="E1191" s="3" t="s">
        <v>1215</v>
      </c>
      <c r="F1191" s="3" t="s">
        <v>8</v>
      </c>
      <c r="M1191" s="3">
        <v>1.9061275333845398E-2</v>
      </c>
      <c r="N1191" s="3">
        <v>0.19091645762877199</v>
      </c>
      <c r="O1191" s="3">
        <v>0.28383188916976798</v>
      </c>
      <c r="P1191" s="3">
        <v>0.30372826810231301</v>
      </c>
    </row>
    <row r="1192" spans="1:16" x14ac:dyDescent="0.3">
      <c r="A1192" s="3" t="str">
        <f t="shared" si="18"/>
        <v>DST</v>
      </c>
      <c r="C1192" s="3" t="s">
        <v>850</v>
      </c>
      <c r="D1192" s="3" t="s">
        <v>793</v>
      </c>
      <c r="E1192" s="3" t="s">
        <v>1004</v>
      </c>
      <c r="F1192" s="3" t="s">
        <v>0</v>
      </c>
      <c r="G1192" s="3">
        <v>2.0293079144161199E-2</v>
      </c>
    </row>
    <row r="1193" spans="1:16" x14ac:dyDescent="0.3">
      <c r="A1193" s="3" t="str">
        <f t="shared" si="18"/>
        <v>DST</v>
      </c>
      <c r="C1193" s="3" t="s">
        <v>850</v>
      </c>
      <c r="D1193" s="3" t="s">
        <v>793</v>
      </c>
      <c r="E1193" s="3" t="s">
        <v>1004</v>
      </c>
      <c r="F1193" s="3" t="s">
        <v>1</v>
      </c>
      <c r="G1193" s="3">
        <v>3.8265306473187898E-2</v>
      </c>
    </row>
    <row r="1194" spans="1:16" x14ac:dyDescent="0.3">
      <c r="A1194" s="3" t="str">
        <f t="shared" si="18"/>
        <v>DST</v>
      </c>
      <c r="C1194" s="3" t="s">
        <v>850</v>
      </c>
      <c r="D1194" s="3" t="s">
        <v>793</v>
      </c>
      <c r="E1194" s="3" t="s">
        <v>1004</v>
      </c>
      <c r="F1194" s="3" t="s">
        <v>2</v>
      </c>
      <c r="G1194" s="3">
        <v>4.5401549547896998E-2</v>
      </c>
    </row>
    <row r="1195" spans="1:16" x14ac:dyDescent="0.3">
      <c r="A1195" s="3" t="str">
        <f t="shared" si="18"/>
        <v>DST</v>
      </c>
      <c r="C1195" s="3" t="s">
        <v>850</v>
      </c>
      <c r="D1195" s="3" t="s">
        <v>793</v>
      </c>
      <c r="E1195" s="3" t="s">
        <v>1004</v>
      </c>
      <c r="F1195" s="3" t="s">
        <v>3</v>
      </c>
      <c r="G1195" s="3">
        <v>3.0751549054187401E-2</v>
      </c>
    </row>
    <row r="1196" spans="1:16" x14ac:dyDescent="0.3">
      <c r="A1196" s="3" t="str">
        <f t="shared" si="18"/>
        <v>DST</v>
      </c>
      <c r="C1196" s="3" t="s">
        <v>850</v>
      </c>
      <c r="D1196" s="3" t="s">
        <v>793</v>
      </c>
      <c r="E1196" s="3" t="s">
        <v>1004</v>
      </c>
      <c r="F1196" s="3" t="s">
        <v>4</v>
      </c>
      <c r="G1196" s="3">
        <v>2.7230361013214101E-2</v>
      </c>
    </row>
    <row r="1197" spans="1:16" x14ac:dyDescent="0.3">
      <c r="A1197" s="3" t="str">
        <f t="shared" si="18"/>
        <v>DST</v>
      </c>
      <c r="C1197" s="3" t="s">
        <v>850</v>
      </c>
      <c r="D1197" s="3" t="s">
        <v>793</v>
      </c>
      <c r="E1197" s="3" t="s">
        <v>1004</v>
      </c>
      <c r="F1197" s="3" t="s">
        <v>6</v>
      </c>
      <c r="G1197" s="3">
        <v>9.0272840751726993E-2</v>
      </c>
    </row>
    <row r="1198" spans="1:16" x14ac:dyDescent="0.3">
      <c r="A1198" s="3" t="str">
        <f t="shared" si="18"/>
        <v>DST</v>
      </c>
      <c r="C1198" s="3" t="s">
        <v>850</v>
      </c>
      <c r="D1198" s="3" t="s">
        <v>793</v>
      </c>
      <c r="E1198" s="3" t="s">
        <v>1004</v>
      </c>
      <c r="F1198" s="3" t="s">
        <v>7</v>
      </c>
      <c r="G1198" s="3">
        <v>4.6804527838103301E-2</v>
      </c>
    </row>
    <row r="1199" spans="1:16" x14ac:dyDescent="0.3">
      <c r="A1199" s="3" t="str">
        <f t="shared" si="18"/>
        <v>DST</v>
      </c>
      <c r="C1199" s="3" t="s">
        <v>850</v>
      </c>
      <c r="D1199" s="3" t="s">
        <v>793</v>
      </c>
      <c r="E1199" s="3" t="s">
        <v>1004</v>
      </c>
      <c r="F1199" s="3" t="s">
        <v>8</v>
      </c>
      <c r="G1199" s="3">
        <v>2.93485707639747E-2</v>
      </c>
    </row>
    <row r="1200" spans="1:16" x14ac:dyDescent="0.3">
      <c r="A1200" s="3" t="str">
        <f t="shared" si="18"/>
        <v>ELC</v>
      </c>
      <c r="C1200" s="3" t="s">
        <v>850</v>
      </c>
      <c r="D1200" s="3" t="s">
        <v>793</v>
      </c>
      <c r="E1200" s="3" t="s">
        <v>1005</v>
      </c>
      <c r="F1200" s="3" t="s">
        <v>0</v>
      </c>
      <c r="G1200" s="3">
        <v>1.09248347212448</v>
      </c>
    </row>
    <row r="1201" spans="1:16" x14ac:dyDescent="0.3">
      <c r="A1201" s="3" t="str">
        <f t="shared" si="18"/>
        <v>ELC</v>
      </c>
      <c r="C1201" s="3" t="s">
        <v>850</v>
      </c>
      <c r="D1201" s="3" t="s">
        <v>793</v>
      </c>
      <c r="E1201" s="3" t="s">
        <v>1005</v>
      </c>
      <c r="F1201" s="3" t="s">
        <v>1</v>
      </c>
      <c r="G1201" s="3">
        <v>3.00723944241276</v>
      </c>
      <c r="H1201" s="3">
        <v>2.9069981276656698</v>
      </c>
      <c r="I1201" s="3">
        <v>2.5060328686773001</v>
      </c>
    </row>
    <row r="1202" spans="1:16" x14ac:dyDescent="0.3">
      <c r="A1202" s="3" t="str">
        <f t="shared" si="18"/>
        <v>ELC</v>
      </c>
      <c r="C1202" s="3" t="s">
        <v>850</v>
      </c>
      <c r="D1202" s="3" t="s">
        <v>793</v>
      </c>
      <c r="E1202" s="3" t="s">
        <v>1005</v>
      </c>
      <c r="F1202" s="3" t="s">
        <v>2</v>
      </c>
      <c r="G1202" s="3">
        <v>3.9378855935944599</v>
      </c>
      <c r="H1202" s="3">
        <v>3.8066227404746402</v>
      </c>
      <c r="I1202" s="3">
        <v>3.2815713279953802</v>
      </c>
    </row>
    <row r="1203" spans="1:16" x14ac:dyDescent="0.3">
      <c r="A1203" s="3" t="str">
        <f t="shared" si="18"/>
        <v>ELC</v>
      </c>
      <c r="C1203" s="3" t="s">
        <v>850</v>
      </c>
      <c r="D1203" s="3" t="s">
        <v>793</v>
      </c>
      <c r="E1203" s="3" t="s">
        <v>1005</v>
      </c>
      <c r="F1203" s="3" t="s">
        <v>3</v>
      </c>
      <c r="G1203" s="3">
        <v>2.6672235464932901</v>
      </c>
      <c r="H1203" s="3">
        <v>2.57831609494351</v>
      </c>
      <c r="I1203" s="3">
        <v>2.2226862887444101</v>
      </c>
    </row>
    <row r="1204" spans="1:16" x14ac:dyDescent="0.3">
      <c r="A1204" s="3" t="str">
        <f t="shared" si="18"/>
        <v>ELC</v>
      </c>
      <c r="C1204" s="3" t="s">
        <v>850</v>
      </c>
      <c r="D1204" s="3" t="s">
        <v>793</v>
      </c>
      <c r="E1204" s="3" t="s">
        <v>1005</v>
      </c>
      <c r="F1204" s="3" t="s">
        <v>4</v>
      </c>
      <c r="G1204" s="3">
        <v>1.20859805976066</v>
      </c>
      <c r="H1204" s="3">
        <v>1.16831145776864</v>
      </c>
      <c r="I1204" s="3">
        <v>1.00716504980055</v>
      </c>
    </row>
    <row r="1205" spans="1:16" x14ac:dyDescent="0.3">
      <c r="A1205" s="3" t="str">
        <f t="shared" si="18"/>
        <v>ELC</v>
      </c>
      <c r="C1205" s="3" t="s">
        <v>850</v>
      </c>
      <c r="D1205" s="3" t="s">
        <v>793</v>
      </c>
      <c r="E1205" s="3" t="s">
        <v>1005</v>
      </c>
      <c r="F1205" s="3" t="s">
        <v>5</v>
      </c>
      <c r="G1205" s="3">
        <v>0.75369684758536204</v>
      </c>
      <c r="H1205" s="3">
        <v>0.82454185424725501</v>
      </c>
      <c r="I1205" s="3">
        <v>0.87789104488826697</v>
      </c>
    </row>
    <row r="1206" spans="1:16" x14ac:dyDescent="0.3">
      <c r="A1206" s="3" t="str">
        <f t="shared" si="18"/>
        <v>ELC</v>
      </c>
      <c r="C1206" s="3" t="s">
        <v>850</v>
      </c>
      <c r="D1206" s="3" t="s">
        <v>793</v>
      </c>
      <c r="E1206" s="3" t="s">
        <v>1005</v>
      </c>
      <c r="F1206" s="3" t="s">
        <v>6</v>
      </c>
      <c r="G1206" s="3">
        <v>3.65975467403829</v>
      </c>
      <c r="H1206" s="3">
        <v>3.5377628515703501</v>
      </c>
      <c r="I1206" s="3">
        <v>3.0497955616985801</v>
      </c>
    </row>
    <row r="1207" spans="1:16" x14ac:dyDescent="0.3">
      <c r="A1207" s="3" t="str">
        <f t="shared" si="18"/>
        <v>ELC</v>
      </c>
      <c r="C1207" s="3" t="s">
        <v>850</v>
      </c>
      <c r="D1207" s="3" t="s">
        <v>793</v>
      </c>
      <c r="E1207" s="3" t="s">
        <v>1005</v>
      </c>
      <c r="F1207" s="3" t="s">
        <v>7</v>
      </c>
      <c r="G1207" s="3">
        <v>0.839911523865986</v>
      </c>
      <c r="H1207" s="3">
        <v>0.81191447307045295</v>
      </c>
    </row>
    <row r="1208" spans="1:16" x14ac:dyDescent="0.3">
      <c r="A1208" s="3" t="str">
        <f t="shared" si="18"/>
        <v>ELC</v>
      </c>
      <c r="C1208" s="3" t="s">
        <v>850</v>
      </c>
      <c r="D1208" s="3" t="s">
        <v>793</v>
      </c>
      <c r="E1208" s="3" t="s">
        <v>1005</v>
      </c>
      <c r="F1208" s="3" t="s">
        <v>8</v>
      </c>
      <c r="G1208" s="3">
        <v>0.52666278097975605</v>
      </c>
      <c r="H1208" s="3">
        <v>0.50910735494709702</v>
      </c>
    </row>
    <row r="1209" spans="1:16" x14ac:dyDescent="0.3">
      <c r="A1209" s="3" t="str">
        <f t="shared" si="18"/>
        <v>NGA</v>
      </c>
      <c r="C1209" s="3" t="s">
        <v>850</v>
      </c>
      <c r="D1209" s="3" t="s">
        <v>793</v>
      </c>
      <c r="E1209" s="3" t="s">
        <v>1006</v>
      </c>
      <c r="F1209" s="3" t="s">
        <v>0</v>
      </c>
      <c r="G1209" s="3">
        <v>4.9182754096559904</v>
      </c>
      <c r="H1209" s="3">
        <v>6.0900574985233398</v>
      </c>
      <c r="I1209" s="3">
        <v>6.1891849853416421</v>
      </c>
      <c r="J1209" s="3">
        <v>6.1939054909822069</v>
      </c>
      <c r="K1209" s="3">
        <v>6.3076583288331909</v>
      </c>
      <c r="L1209" s="3">
        <v>6.7331648113466809</v>
      </c>
      <c r="M1209" s="3">
        <v>7.2679888147232292</v>
      </c>
      <c r="N1209" s="3">
        <v>2.5997556224420402</v>
      </c>
      <c r="O1209" s="3">
        <v>3.533221028569014</v>
      </c>
      <c r="P1209" s="3">
        <v>4.3535167829584953</v>
      </c>
    </row>
    <row r="1210" spans="1:16" x14ac:dyDescent="0.3">
      <c r="A1210" s="3" t="str">
        <f t="shared" si="18"/>
        <v>NGA</v>
      </c>
      <c r="C1210" s="3" t="s">
        <v>850</v>
      </c>
      <c r="D1210" s="3" t="s">
        <v>793</v>
      </c>
      <c r="E1210" s="3" t="s">
        <v>1006</v>
      </c>
      <c r="F1210" s="3" t="s">
        <v>1</v>
      </c>
      <c r="G1210" s="3">
        <v>13.5383574927724</v>
      </c>
      <c r="H1210" s="3">
        <v>13.842805449710616</v>
      </c>
      <c r="I1210" s="3">
        <v>14.530711099736434</v>
      </c>
      <c r="J1210" s="3">
        <v>17.049737932270126</v>
      </c>
      <c r="K1210" s="3">
        <v>17.362861223743405</v>
      </c>
      <c r="L1210" s="3">
        <v>18.534137412232248</v>
      </c>
      <c r="M1210" s="3">
        <v>20.006327956749452</v>
      </c>
      <c r="N1210" s="3">
        <v>21.666707544344348</v>
      </c>
      <c r="O1210" s="3">
        <v>32.211484597927694</v>
      </c>
      <c r="P1210" s="3">
        <v>34.469482828552522</v>
      </c>
    </row>
    <row r="1211" spans="1:16" x14ac:dyDescent="0.3">
      <c r="A1211" s="3" t="str">
        <f t="shared" si="18"/>
        <v>NGA</v>
      </c>
      <c r="C1211" s="3" t="s">
        <v>850</v>
      </c>
      <c r="D1211" s="3" t="s">
        <v>793</v>
      </c>
      <c r="E1211" s="3" t="s">
        <v>1006</v>
      </c>
      <c r="F1211" s="3" t="s">
        <v>2</v>
      </c>
      <c r="G1211" s="3">
        <v>11.7895924964938</v>
      </c>
      <c r="H1211" s="3">
        <v>12.046125109858599</v>
      </c>
      <c r="I1211" s="3">
        <v>12.890649365126279</v>
      </c>
      <c r="J1211" s="3">
        <v>16.17222069312167</v>
      </c>
      <c r="K1211" s="3">
        <v>16.419174537726878</v>
      </c>
      <c r="L1211" s="3">
        <v>17.526790841448946</v>
      </c>
      <c r="M1211" s="3">
        <v>18.918966542891738</v>
      </c>
      <c r="N1211" s="3">
        <v>20.489103048407269</v>
      </c>
      <c r="O1211" s="3">
        <v>30.460762250949429</v>
      </c>
      <c r="P1211" s="3">
        <v>32.596036303811502</v>
      </c>
    </row>
    <row r="1212" spans="1:16" x14ac:dyDescent="0.3">
      <c r="A1212" s="3" t="str">
        <f t="shared" si="18"/>
        <v>NGA</v>
      </c>
      <c r="C1212" s="3" t="s">
        <v>850</v>
      </c>
      <c r="D1212" s="3" t="s">
        <v>793</v>
      </c>
      <c r="E1212" s="3" t="s">
        <v>1006</v>
      </c>
      <c r="F1212" s="3" t="s">
        <v>3</v>
      </c>
      <c r="G1212" s="3">
        <v>7.98537132753665</v>
      </c>
      <c r="H1212" s="3">
        <v>8.1591269663299375</v>
      </c>
      <c r="I1212" s="3">
        <v>8.7311433252863075</v>
      </c>
      <c r="J1212" s="3">
        <v>10.953829614030717</v>
      </c>
      <c r="K1212" s="3">
        <v>11.121097324981857</v>
      </c>
      <c r="L1212" s="3">
        <v>11.871312184086147</v>
      </c>
      <c r="M1212" s="3">
        <v>12.814265889441156</v>
      </c>
      <c r="N1212" s="3">
        <v>13.877756678897285</v>
      </c>
      <c r="O1212" s="3">
        <v>20.631798560126619</v>
      </c>
      <c r="P1212" s="3">
        <v>22.07807044808456</v>
      </c>
    </row>
    <row r="1213" spans="1:16" x14ac:dyDescent="0.3">
      <c r="A1213" s="3" t="str">
        <f t="shared" si="18"/>
        <v>NGA</v>
      </c>
      <c r="C1213" s="3" t="s">
        <v>850</v>
      </c>
      <c r="D1213" s="3" t="s">
        <v>793</v>
      </c>
      <c r="E1213" s="3" t="s">
        <v>1006</v>
      </c>
      <c r="F1213" s="3" t="s">
        <v>4</v>
      </c>
      <c r="H1213" s="3">
        <v>7.45651025006622E-2</v>
      </c>
      <c r="I1213" s="3">
        <v>0.26390406845045622</v>
      </c>
      <c r="J1213" s="3">
        <v>1.2710691182510061</v>
      </c>
      <c r="K1213" s="3">
        <v>1.2904786607911047</v>
      </c>
      <c r="L1213" s="3">
        <v>1.3775326841838988</v>
      </c>
      <c r="M1213" s="3">
        <v>1.4869518897996119</v>
      </c>
      <c r="N1213" s="3">
        <v>1.6103580726281836</v>
      </c>
      <c r="O1213" s="3">
        <v>2.3940889102530667</v>
      </c>
      <c r="P1213" s="3">
        <v>2.5619125480265867</v>
      </c>
    </row>
    <row r="1214" spans="1:16" x14ac:dyDescent="0.3">
      <c r="A1214" s="3" t="str">
        <f t="shared" si="18"/>
        <v>NGA</v>
      </c>
      <c r="C1214" s="3" t="s">
        <v>850</v>
      </c>
      <c r="D1214" s="3" t="s">
        <v>793</v>
      </c>
      <c r="E1214" s="3" t="s">
        <v>1006</v>
      </c>
      <c r="F1214" s="3" t="s">
        <v>5</v>
      </c>
      <c r="I1214" s="3">
        <v>0.23003083600658</v>
      </c>
      <c r="J1214" s="3">
        <v>1.107921880894847</v>
      </c>
      <c r="K1214" s="3">
        <v>1.1248401244187911</v>
      </c>
      <c r="L1214" s="3">
        <v>1.2007203861228355</v>
      </c>
      <c r="M1214" s="3">
        <v>1.2960951618538246</v>
      </c>
      <c r="N1214" s="3">
        <v>1.4036616255734506</v>
      </c>
      <c r="O1214" s="3">
        <v>2.0867972090509688</v>
      </c>
      <c r="P1214" s="3">
        <v>2.2330799546159716</v>
      </c>
    </row>
    <row r="1215" spans="1:16" x14ac:dyDescent="0.3">
      <c r="A1215" s="3" t="str">
        <f t="shared" si="18"/>
        <v>NGA</v>
      </c>
      <c r="C1215" s="3" t="s">
        <v>850</v>
      </c>
      <c r="D1215" s="3" t="s">
        <v>793</v>
      </c>
      <c r="E1215" s="3" t="s">
        <v>1006</v>
      </c>
      <c r="F1215" s="3" t="s">
        <v>6</v>
      </c>
      <c r="H1215" s="3">
        <v>0.23204380602984501</v>
      </c>
      <c r="I1215" s="3">
        <v>0.79912766714231398</v>
      </c>
      <c r="J1215" s="3">
        <v>3.8489232288408939</v>
      </c>
      <c r="K1215" s="3">
        <v>3.9076972467688651</v>
      </c>
      <c r="L1215" s="3">
        <v>4.171305455000395</v>
      </c>
      <c r="M1215" s="3">
        <v>4.5026376509671531</v>
      </c>
      <c r="N1215" s="3">
        <v>4.8763237997778823</v>
      </c>
      <c r="O1215" s="3">
        <v>7.2495384289273073</v>
      </c>
      <c r="P1215" s="3">
        <v>7.7577250322363867</v>
      </c>
    </row>
    <row r="1216" spans="1:16" x14ac:dyDescent="0.3">
      <c r="A1216" s="3" t="str">
        <f t="shared" si="18"/>
        <v>NGA</v>
      </c>
      <c r="C1216" s="3" t="s">
        <v>850</v>
      </c>
      <c r="D1216" s="3" t="s">
        <v>793</v>
      </c>
      <c r="E1216" s="3" t="s">
        <v>1006</v>
      </c>
      <c r="F1216" s="3" t="s">
        <v>7</v>
      </c>
      <c r="G1216" s="3">
        <v>1.8906080959209901</v>
      </c>
      <c r="H1216" s="3">
        <v>1.979473048856885</v>
      </c>
      <c r="I1216" s="3">
        <v>2.8476410191363648</v>
      </c>
      <c r="J1216" s="3">
        <v>2.8476410191363599</v>
      </c>
      <c r="K1216" s="3">
        <v>2.8911252079237642</v>
      </c>
      <c r="L1216" s="3">
        <v>3.0861567796413336</v>
      </c>
      <c r="M1216" s="3">
        <v>3.3312942105792898</v>
      </c>
      <c r="N1216" s="3">
        <v>3.6077673804421693</v>
      </c>
      <c r="O1216" s="3">
        <v>5.3635995764549929</v>
      </c>
      <c r="P1216" s="3">
        <v>5.7395834376333328</v>
      </c>
    </row>
    <row r="1217" spans="1:16" x14ac:dyDescent="0.3">
      <c r="A1217" s="3" t="str">
        <f t="shared" si="18"/>
        <v>NGA</v>
      </c>
      <c r="C1217" s="3" t="s">
        <v>850</v>
      </c>
      <c r="D1217" s="3" t="s">
        <v>793</v>
      </c>
      <c r="E1217" s="3" t="s">
        <v>1006</v>
      </c>
      <c r="F1217" s="3" t="s">
        <v>8</v>
      </c>
      <c r="G1217" s="3">
        <v>1.18549738781708</v>
      </c>
      <c r="H1217" s="3">
        <v>1.2412197608468389</v>
      </c>
      <c r="I1217" s="3">
        <v>1.0831534424712259</v>
      </c>
      <c r="J1217" s="3">
        <v>0.34084450303008601</v>
      </c>
      <c r="K1217" s="3">
        <v>0.36811106997753001</v>
      </c>
      <c r="L1217" s="3">
        <v>0.4904047485626859</v>
      </c>
      <c r="M1217" s="3">
        <v>0.64411708305449589</v>
      </c>
      <c r="N1217" s="3">
        <v>0.81747835310358208</v>
      </c>
      <c r="O1217" s="3">
        <v>2.6209122912849923</v>
      </c>
      <c r="P1217" s="3">
        <v>3.598980236651232</v>
      </c>
    </row>
    <row r="1218" spans="1:16" x14ac:dyDescent="0.3">
      <c r="A1218" s="3" t="str">
        <f t="shared" si="18"/>
        <v>RFL</v>
      </c>
      <c r="C1218" s="3" t="s">
        <v>850</v>
      </c>
      <c r="D1218" s="3" t="s">
        <v>793</v>
      </c>
      <c r="E1218" s="3" t="s">
        <v>1007</v>
      </c>
      <c r="F1218" s="3" t="s">
        <v>0</v>
      </c>
      <c r="G1218" s="3">
        <v>2.83230338434056E-2</v>
      </c>
      <c r="I1218" s="3">
        <v>2.3602528202838001E-2</v>
      </c>
      <c r="J1218" s="3">
        <v>1.8882022562270399E-2</v>
      </c>
      <c r="N1218" s="3">
        <v>5.27142335775895</v>
      </c>
      <c r="O1218" s="3">
        <v>8.1687119932970091</v>
      </c>
      <c r="P1218" s="3">
        <v>8.1687119932970091</v>
      </c>
    </row>
    <row r="1219" spans="1:16" x14ac:dyDescent="0.3">
      <c r="A1219" s="3" t="str">
        <f t="shared" si="18"/>
        <v>RFL</v>
      </c>
      <c r="C1219" s="3" t="s">
        <v>850</v>
      </c>
      <c r="D1219" s="3" t="s">
        <v>793</v>
      </c>
      <c r="E1219" s="3" t="s">
        <v>1007</v>
      </c>
      <c r="F1219" s="3" t="s">
        <v>1</v>
      </c>
      <c r="G1219" s="3">
        <v>7.7963783138109699E-2</v>
      </c>
      <c r="I1219" s="3">
        <v>6.4969819281758101E-2</v>
      </c>
      <c r="J1219" s="3">
        <v>5.1975855425406503E-2</v>
      </c>
    </row>
    <row r="1220" spans="1:16" x14ac:dyDescent="0.3">
      <c r="A1220" s="3" t="str">
        <f t="shared" si="18"/>
        <v>RFL</v>
      </c>
      <c r="C1220" s="3" t="s">
        <v>850</v>
      </c>
      <c r="D1220" s="3" t="s">
        <v>793</v>
      </c>
      <c r="E1220" s="3" t="s">
        <v>1007</v>
      </c>
      <c r="F1220" s="3" t="s">
        <v>8</v>
      </c>
      <c r="I1220" s="3">
        <v>0.70244717825520298</v>
      </c>
      <c r="J1220" s="3">
        <v>1.4447561176963428</v>
      </c>
      <c r="K1220" s="3">
        <v>1.4447561176963428</v>
      </c>
      <c r="L1220" s="3">
        <v>1.4447561176963428</v>
      </c>
      <c r="M1220" s="3">
        <v>1.4447561176963428</v>
      </c>
      <c r="N1220" s="3">
        <v>1.4447561176963428</v>
      </c>
      <c r="O1220" s="3">
        <v>0.74230893944113996</v>
      </c>
    </row>
    <row r="1221" spans="1:16" x14ac:dyDescent="0.3">
      <c r="A1221" s="3" t="str">
        <f t="shared" si="18"/>
        <v>BIO</v>
      </c>
      <c r="C1221" s="3" t="s">
        <v>850</v>
      </c>
      <c r="D1221" s="3" t="s">
        <v>1008</v>
      </c>
      <c r="E1221" s="3" t="s">
        <v>894</v>
      </c>
      <c r="F1221" s="3" t="s">
        <v>2</v>
      </c>
      <c r="G1221" s="3">
        <v>0.42778656688941202</v>
      </c>
      <c r="J1221" s="3">
        <v>0.42778656688941202</v>
      </c>
      <c r="K1221" s="3">
        <v>0.42778656688941202</v>
      </c>
      <c r="L1221" s="3">
        <v>0.42778656688941202</v>
      </c>
      <c r="M1221" s="3">
        <v>0.42778656688941202</v>
      </c>
    </row>
    <row r="1222" spans="1:16" x14ac:dyDescent="0.3">
      <c r="A1222" s="3" t="str">
        <f t="shared" si="18"/>
        <v>NGA</v>
      </c>
      <c r="C1222" s="3" t="s">
        <v>850</v>
      </c>
      <c r="D1222" s="3" t="s">
        <v>1008</v>
      </c>
      <c r="E1222" s="3" t="s">
        <v>901</v>
      </c>
      <c r="F1222" s="3" t="s">
        <v>0</v>
      </c>
      <c r="M1222" s="3">
        <v>1.9061275333845398E-2</v>
      </c>
      <c r="N1222" s="3">
        <v>1.9061275333845398E-2</v>
      </c>
      <c r="O1222" s="3">
        <v>1.9061275333845398E-2</v>
      </c>
      <c r="P1222" s="3">
        <v>1.9061275333845398E-2</v>
      </c>
    </row>
    <row r="1223" spans="1:16" x14ac:dyDescent="0.3">
      <c r="A1223" s="3" t="str">
        <f t="shared" si="18"/>
        <v>NGA</v>
      </c>
      <c r="C1223" s="3" t="s">
        <v>850</v>
      </c>
      <c r="D1223" s="3" t="s">
        <v>1008</v>
      </c>
      <c r="E1223" s="3" t="s">
        <v>901</v>
      </c>
      <c r="F1223" s="3" t="s">
        <v>1</v>
      </c>
      <c r="M1223" s="3">
        <v>1.9061275333845398E-2</v>
      </c>
      <c r="N1223" s="3">
        <v>2.0932642266575252</v>
      </c>
      <c r="O1223" s="3">
        <v>2.8683560407761073</v>
      </c>
      <c r="P1223" s="3">
        <v>2.931769488103567</v>
      </c>
    </row>
    <row r="1224" spans="1:16" x14ac:dyDescent="0.3">
      <c r="A1224" s="3" t="str">
        <f t="shared" ref="A1224:A1287" si="19">RIGHT(E1224,3)</f>
        <v>NGA</v>
      </c>
      <c r="C1224" s="3" t="s">
        <v>850</v>
      </c>
      <c r="D1224" s="3" t="s">
        <v>1008</v>
      </c>
      <c r="E1224" s="3" t="s">
        <v>901</v>
      </c>
      <c r="F1224" s="3" t="s">
        <v>2</v>
      </c>
      <c r="M1224" s="3">
        <v>1.9061275333845398E-2</v>
      </c>
      <c r="N1224" s="3">
        <v>5.7564742919735652</v>
      </c>
      <c r="O1224" s="3">
        <v>8.5580415305266353</v>
      </c>
      <c r="P1224" s="3">
        <v>9.1579531109691139</v>
      </c>
    </row>
    <row r="1225" spans="1:16" x14ac:dyDescent="0.3">
      <c r="A1225" s="3" t="str">
        <f t="shared" si="19"/>
        <v>NGA</v>
      </c>
      <c r="C1225" s="3" t="s">
        <v>850</v>
      </c>
      <c r="D1225" s="3" t="s">
        <v>1008</v>
      </c>
      <c r="E1225" s="3" t="s">
        <v>901</v>
      </c>
      <c r="F1225" s="3" t="s">
        <v>3</v>
      </c>
      <c r="M1225" s="3">
        <v>1.9061275333845398E-2</v>
      </c>
      <c r="N1225" s="3">
        <v>3.8441898245766151</v>
      </c>
      <c r="O1225" s="3">
        <v>5.7150843556838655</v>
      </c>
      <c r="P1225" s="3">
        <v>6.1157070070172308</v>
      </c>
    </row>
    <row r="1226" spans="1:16" x14ac:dyDescent="0.3">
      <c r="A1226" s="3" t="str">
        <f t="shared" si="19"/>
        <v>NGA</v>
      </c>
      <c r="C1226" s="3" t="s">
        <v>850</v>
      </c>
      <c r="D1226" s="3" t="s">
        <v>1008</v>
      </c>
      <c r="E1226" s="3" t="s">
        <v>901</v>
      </c>
      <c r="F1226" s="3" t="s">
        <v>4</v>
      </c>
      <c r="M1226" s="3">
        <v>1.9061275333845398E-2</v>
      </c>
      <c r="N1226" s="3">
        <v>0.96714747735117834</v>
      </c>
      <c r="O1226" s="3">
        <v>1.9613052161675153</v>
      </c>
      <c r="P1226" s="3">
        <v>1.9613052161675153</v>
      </c>
    </row>
    <row r="1227" spans="1:16" x14ac:dyDescent="0.3">
      <c r="A1227" s="3" t="str">
        <f t="shared" si="19"/>
        <v>NGA</v>
      </c>
      <c r="C1227" s="3" t="s">
        <v>850</v>
      </c>
      <c r="D1227" s="3" t="s">
        <v>1008</v>
      </c>
      <c r="E1227" s="3" t="s">
        <v>901</v>
      </c>
      <c r="F1227" s="3" t="s">
        <v>5</v>
      </c>
      <c r="M1227" s="3">
        <v>1.9061275333845398E-2</v>
      </c>
      <c r="N1227" s="3">
        <v>1.3562680421659954</v>
      </c>
      <c r="O1227" s="3">
        <v>2.2485133999333295</v>
      </c>
      <c r="P1227" s="3">
        <v>2.2485133999333295</v>
      </c>
    </row>
    <row r="1228" spans="1:16" x14ac:dyDescent="0.3">
      <c r="A1228" s="3" t="str">
        <f t="shared" si="19"/>
        <v>NGA</v>
      </c>
      <c r="C1228" s="3" t="s">
        <v>850</v>
      </c>
      <c r="D1228" s="3" t="s">
        <v>1008</v>
      </c>
      <c r="E1228" s="3" t="s">
        <v>901</v>
      </c>
      <c r="F1228" s="3" t="s">
        <v>6</v>
      </c>
      <c r="M1228" s="3">
        <v>1.9061275333845398E-2</v>
      </c>
      <c r="N1228" s="3">
        <v>4.7116783791750851</v>
      </c>
      <c r="O1228" s="3">
        <v>7.8113408576906354</v>
      </c>
      <c r="P1228" s="3">
        <v>8.0464444354284321</v>
      </c>
    </row>
    <row r="1229" spans="1:16" x14ac:dyDescent="0.3">
      <c r="A1229" s="3" t="str">
        <f t="shared" si="19"/>
        <v>NGA</v>
      </c>
      <c r="C1229" s="3" t="s">
        <v>850</v>
      </c>
      <c r="D1229" s="3" t="s">
        <v>1008</v>
      </c>
      <c r="E1229" s="3" t="s">
        <v>901</v>
      </c>
      <c r="F1229" s="3" t="s">
        <v>7</v>
      </c>
      <c r="M1229" s="3">
        <v>1.9061275333845398E-2</v>
      </c>
      <c r="N1229" s="3">
        <v>0.30446984037826136</v>
      </c>
      <c r="O1229" s="3">
        <v>0.45264955710531735</v>
      </c>
      <c r="P1229" s="3">
        <v>0.48437991389559937</v>
      </c>
    </row>
    <row r="1230" spans="1:16" x14ac:dyDescent="0.3">
      <c r="A1230" s="3" t="str">
        <f t="shared" si="19"/>
        <v>NGA</v>
      </c>
      <c r="C1230" s="3" t="s">
        <v>850</v>
      </c>
      <c r="D1230" s="3" t="s">
        <v>1008</v>
      </c>
      <c r="E1230" s="3" t="s">
        <v>901</v>
      </c>
      <c r="F1230" s="3" t="s">
        <v>8</v>
      </c>
      <c r="M1230" s="3">
        <v>1.9061275333845398E-2</v>
      </c>
      <c r="N1230" s="3">
        <v>0.19091645762877241</v>
      </c>
      <c r="O1230" s="3">
        <v>0.28383188916976781</v>
      </c>
      <c r="P1230" s="3">
        <v>0.3037282681023129</v>
      </c>
    </row>
    <row r="1231" spans="1:16" x14ac:dyDescent="0.3">
      <c r="A1231" s="3" t="str">
        <f t="shared" si="19"/>
        <v>STM</v>
      </c>
      <c r="C1231" s="3" t="s">
        <v>850</v>
      </c>
      <c r="D1231" s="3" t="s">
        <v>777</v>
      </c>
      <c r="E1231" s="3" t="s">
        <v>1216</v>
      </c>
      <c r="F1231" s="3" t="s">
        <v>0</v>
      </c>
      <c r="G1231" s="3">
        <v>0.73542216959112905</v>
      </c>
      <c r="H1231" s="3">
        <v>0.83819701342630604</v>
      </c>
      <c r="I1231" s="3">
        <v>0.85508879680822503</v>
      </c>
      <c r="J1231" s="3">
        <v>0.85508879680822503</v>
      </c>
      <c r="K1231" s="3">
        <v>0.86814621606175302</v>
      </c>
      <c r="L1231" s="3">
        <v>0.92671023830995303</v>
      </c>
      <c r="M1231" s="3">
        <v>1.0003200330364601</v>
      </c>
      <c r="N1231" s="3">
        <v>1.0833393141112599</v>
      </c>
      <c r="O1231" s="3">
        <v>1.61058008280235</v>
      </c>
      <c r="P1231" s="3">
        <v>1.7234804046174099</v>
      </c>
    </row>
    <row r="1232" spans="1:16" x14ac:dyDescent="0.3">
      <c r="A1232" s="3" t="str">
        <f t="shared" si="19"/>
        <v>STM</v>
      </c>
      <c r="C1232" s="3" t="s">
        <v>850</v>
      </c>
      <c r="D1232" s="3" t="s">
        <v>777</v>
      </c>
      <c r="E1232" s="3" t="s">
        <v>1216</v>
      </c>
      <c r="F1232" s="3" t="s">
        <v>1</v>
      </c>
      <c r="G1232" s="3">
        <v>17.0558071294572</v>
      </c>
      <c r="H1232" s="3">
        <v>18.6099815321367</v>
      </c>
      <c r="I1232" s="3">
        <v>17.2268885182493</v>
      </c>
      <c r="J1232" s="3">
        <v>19.439605297922899</v>
      </c>
      <c r="K1232" s="3">
        <v>19.736452920585599</v>
      </c>
      <c r="L1232" s="3">
        <v>21.067848538693799</v>
      </c>
      <c r="M1232" s="3">
        <v>22.741295040256599</v>
      </c>
      <c r="N1232" s="3">
        <v>24.628656987033899</v>
      </c>
      <c r="O1232" s="3">
        <v>36.614958852507698</v>
      </c>
      <c r="P1232" s="3">
        <v>39.181636959256103</v>
      </c>
    </row>
    <row r="1233" spans="1:16" x14ac:dyDescent="0.3">
      <c r="A1233" s="3" t="str">
        <f t="shared" si="19"/>
        <v>STM</v>
      </c>
      <c r="C1233" s="3" t="s">
        <v>850</v>
      </c>
      <c r="D1233" s="3" t="s">
        <v>777</v>
      </c>
      <c r="E1233" s="3" t="s">
        <v>1216</v>
      </c>
      <c r="F1233" s="3" t="s">
        <v>2</v>
      </c>
      <c r="G1233" s="3">
        <v>1.58523958312269</v>
      </c>
      <c r="H1233" s="3">
        <v>11.181507269147801</v>
      </c>
      <c r="I1233" s="3">
        <v>1.80632207765083</v>
      </c>
      <c r="J1233" s="3">
        <v>10.8598992149035</v>
      </c>
      <c r="K1233" s="3">
        <v>10.8598992149035</v>
      </c>
      <c r="L1233" s="3">
        <v>10.8598992149035</v>
      </c>
      <c r="M1233" s="3">
        <v>19.387489692977201</v>
      </c>
      <c r="N1233" s="3">
        <v>20.996510209411699</v>
      </c>
      <c r="O1233" s="3">
        <v>28.589314914654</v>
      </c>
      <c r="P1233" s="3">
        <v>29.860792878246102</v>
      </c>
    </row>
    <row r="1234" spans="1:16" x14ac:dyDescent="0.3">
      <c r="A1234" s="3" t="str">
        <f t="shared" si="19"/>
        <v>STM</v>
      </c>
      <c r="C1234" s="3" t="s">
        <v>850</v>
      </c>
      <c r="D1234" s="3" t="s">
        <v>777</v>
      </c>
      <c r="E1234" s="3" t="s">
        <v>1216</v>
      </c>
      <c r="F1234" s="3" t="s">
        <v>3</v>
      </c>
      <c r="G1234" s="3">
        <v>0.66344715397526099</v>
      </c>
      <c r="H1234" s="3">
        <v>1.6884868939073701</v>
      </c>
      <c r="I1234" s="3">
        <v>0.72142292558561905</v>
      </c>
      <c r="J1234" s="3">
        <v>2.2791513265670198</v>
      </c>
      <c r="K1234" s="3">
        <v>2.2791513265670198</v>
      </c>
      <c r="L1234" s="3">
        <v>2.2791513265670198</v>
      </c>
      <c r="M1234" s="3">
        <v>2.74662891235756</v>
      </c>
      <c r="N1234" s="3">
        <v>2.9745791184441202</v>
      </c>
      <c r="O1234" s="3">
        <v>4.4222505548191098</v>
      </c>
      <c r="P1234" s="3">
        <v>4.7322466339443601</v>
      </c>
    </row>
    <row r="1235" spans="1:16" x14ac:dyDescent="0.3">
      <c r="A1235" s="3" t="str">
        <f t="shared" si="19"/>
        <v>STM</v>
      </c>
      <c r="C1235" s="3" t="s">
        <v>850</v>
      </c>
      <c r="D1235" s="3" t="s">
        <v>777</v>
      </c>
      <c r="E1235" s="3" t="s">
        <v>1216</v>
      </c>
      <c r="F1235" s="3" t="s">
        <v>4</v>
      </c>
      <c r="G1235" s="3">
        <v>15.988101735018599</v>
      </c>
      <c r="H1235" s="3">
        <v>20.222625381834501</v>
      </c>
      <c r="I1235" s="3">
        <v>19.415968370684599</v>
      </c>
      <c r="J1235" s="3">
        <v>18.0083388944322</v>
      </c>
      <c r="K1235" s="3">
        <v>20.818488391190002</v>
      </c>
      <c r="L1235" s="3">
        <v>22.604954343188702</v>
      </c>
      <c r="M1235" s="3">
        <v>21.5509192269115</v>
      </c>
      <c r="N1235" s="3">
        <v>23.5759827049223</v>
      </c>
      <c r="O1235" s="3">
        <v>36.436802637013599</v>
      </c>
      <c r="P1235" s="3">
        <v>39.190745039349899</v>
      </c>
    </row>
    <row r="1236" spans="1:16" x14ac:dyDescent="0.3">
      <c r="A1236" s="3" t="str">
        <f t="shared" si="19"/>
        <v>STM</v>
      </c>
      <c r="C1236" s="3" t="s">
        <v>850</v>
      </c>
      <c r="D1236" s="3" t="s">
        <v>777</v>
      </c>
      <c r="E1236" s="3" t="s">
        <v>1216</v>
      </c>
      <c r="F1236" s="3" t="s">
        <v>5</v>
      </c>
      <c r="G1236" s="3">
        <v>0.72610314466005099</v>
      </c>
      <c r="H1236" s="3">
        <v>3.1997354783523999</v>
      </c>
      <c r="I1236" s="3">
        <v>2.5715664472021</v>
      </c>
      <c r="J1236" s="3">
        <v>4.5420881697436704</v>
      </c>
      <c r="K1236" s="3">
        <v>4.61144698924896</v>
      </c>
      <c r="L1236" s="3">
        <v>4.9225292459913002</v>
      </c>
      <c r="M1236" s="3">
        <v>5.3135321208418196</v>
      </c>
      <c r="N1236" s="3">
        <v>5.7545166078775498</v>
      </c>
      <c r="O1236" s="3">
        <v>8.5551310785819705</v>
      </c>
      <c r="P1236" s="3">
        <v>9.1250614192869808</v>
      </c>
    </row>
    <row r="1237" spans="1:16" x14ac:dyDescent="0.3">
      <c r="A1237" s="3" t="str">
        <f t="shared" si="19"/>
        <v>STM</v>
      </c>
      <c r="C1237" s="3" t="s">
        <v>850</v>
      </c>
      <c r="D1237" s="3" t="s">
        <v>777</v>
      </c>
      <c r="E1237" s="3" t="s">
        <v>1216</v>
      </c>
      <c r="F1237" s="3" t="s">
        <v>6</v>
      </c>
      <c r="G1237" s="3">
        <v>7.6762802755772697</v>
      </c>
      <c r="H1237" s="3">
        <v>7.7427096660414598</v>
      </c>
      <c r="I1237" s="3">
        <v>8.0084272278982294</v>
      </c>
      <c r="J1237" s="3">
        <v>12.9268303732477</v>
      </c>
      <c r="K1237" s="3">
        <v>13.124226298013401</v>
      </c>
      <c r="L1237" s="3">
        <v>14.0095696499593</v>
      </c>
      <c r="M1237" s="3">
        <v>15.122367915812999</v>
      </c>
      <c r="N1237" s="3">
        <v>16.3774143720041</v>
      </c>
      <c r="O1237" s="3">
        <v>24.347992408075601</v>
      </c>
      <c r="P1237" s="3">
        <v>26.054766388317201</v>
      </c>
    </row>
    <row r="1238" spans="1:16" x14ac:dyDescent="0.3">
      <c r="A1238" s="3" t="str">
        <f t="shared" si="19"/>
        <v>STM</v>
      </c>
      <c r="C1238" s="3" t="s">
        <v>850</v>
      </c>
      <c r="D1238" s="3" t="s">
        <v>777</v>
      </c>
      <c r="E1238" s="3" t="s">
        <v>1216</v>
      </c>
      <c r="F1238" s="3" t="s">
        <v>7</v>
      </c>
      <c r="G1238" s="3">
        <v>0.78331873607902902</v>
      </c>
      <c r="H1238" s="3">
        <v>0.90788011502858801</v>
      </c>
      <c r="I1238" s="3">
        <v>8.2161026329363507E-2</v>
      </c>
      <c r="J1238" s="3">
        <v>0.92617618861769402</v>
      </c>
      <c r="K1238" s="3">
        <v>0.94031913007892698</v>
      </c>
      <c r="L1238" s="3">
        <v>1.00375184387242</v>
      </c>
      <c r="M1238" s="3">
        <v>1.08348115313153</v>
      </c>
      <c r="N1238" s="3">
        <v>1.1734022018163499</v>
      </c>
      <c r="O1238" s="3">
        <v>1.74447487573386</v>
      </c>
      <c r="P1238" s="3">
        <v>1.8667611109678</v>
      </c>
    </row>
    <row r="1239" spans="1:16" x14ac:dyDescent="0.3">
      <c r="A1239" s="3" t="str">
        <f t="shared" si="19"/>
        <v>STM</v>
      </c>
      <c r="C1239" s="3" t="s">
        <v>850</v>
      </c>
      <c r="D1239" s="3" t="s">
        <v>777</v>
      </c>
      <c r="E1239" s="3" t="s">
        <v>1216</v>
      </c>
      <c r="F1239" s="3" t="s">
        <v>8</v>
      </c>
      <c r="G1239" s="3">
        <v>2.8298677425124001</v>
      </c>
      <c r="H1239" s="3">
        <v>2.6101086276212002</v>
      </c>
      <c r="I1239" s="3">
        <v>2.5300889927227801</v>
      </c>
      <c r="J1239" s="3">
        <v>2.6627088980049298</v>
      </c>
      <c r="K1239" s="3">
        <v>2.70336912716607</v>
      </c>
      <c r="L1239" s="3">
        <v>2.8857349162225101</v>
      </c>
      <c r="M1239" s="3">
        <v>3.1149525789146</v>
      </c>
      <c r="N1239" s="3">
        <v>3.3734709681730801</v>
      </c>
      <c r="O1239" s="3">
        <v>5.0152755286175497</v>
      </c>
      <c r="P1239" s="3">
        <v>5.3668421642777497</v>
      </c>
    </row>
    <row r="1240" spans="1:16" x14ac:dyDescent="0.3">
      <c r="A1240" s="3" t="str">
        <f t="shared" si="19"/>
        <v>RFL</v>
      </c>
      <c r="C1240" s="3" t="s">
        <v>850</v>
      </c>
      <c r="D1240" s="3" t="s">
        <v>777</v>
      </c>
      <c r="E1240" s="3" t="s">
        <v>1009</v>
      </c>
      <c r="F1240" s="3" t="s">
        <v>5</v>
      </c>
      <c r="G1240" s="3">
        <v>1.5841689933850302E-2</v>
      </c>
      <c r="I1240" s="3">
        <v>1.5841689933850302E-2</v>
      </c>
    </row>
    <row r="1241" spans="1:16" x14ac:dyDescent="0.3">
      <c r="A1241" s="3" t="str">
        <f t="shared" si="19"/>
        <v>ELC</v>
      </c>
      <c r="C1241" s="3" t="s">
        <v>850</v>
      </c>
      <c r="D1241" s="3" t="s">
        <v>777</v>
      </c>
      <c r="E1241" s="3" t="s">
        <v>1010</v>
      </c>
      <c r="F1241" s="3" t="s">
        <v>0</v>
      </c>
      <c r="G1241" s="3">
        <v>9.8551897989694298E-2</v>
      </c>
    </row>
    <row r="1242" spans="1:16" x14ac:dyDescent="0.3">
      <c r="A1242" s="3" t="str">
        <f t="shared" si="19"/>
        <v>ELC</v>
      </c>
      <c r="C1242" s="3" t="s">
        <v>850</v>
      </c>
      <c r="D1242" s="3" t="s">
        <v>777</v>
      </c>
      <c r="E1242" s="3" t="s">
        <v>1010</v>
      </c>
      <c r="F1242" s="3" t="s">
        <v>1</v>
      </c>
      <c r="G1242" s="3">
        <v>0.42960563463039397</v>
      </c>
      <c r="H1242" s="3">
        <v>0.42960563463039397</v>
      </c>
      <c r="I1242" s="3">
        <v>0.42960563463039397</v>
      </c>
    </row>
    <row r="1243" spans="1:16" x14ac:dyDescent="0.3">
      <c r="A1243" s="3" t="str">
        <f t="shared" si="19"/>
        <v>ELC</v>
      </c>
      <c r="C1243" s="3" t="s">
        <v>850</v>
      </c>
      <c r="D1243" s="3" t="s">
        <v>777</v>
      </c>
      <c r="E1243" s="3" t="s">
        <v>1010</v>
      </c>
      <c r="F1243" s="3" t="s">
        <v>2</v>
      </c>
      <c r="G1243" s="3">
        <v>0.56255508479920902</v>
      </c>
      <c r="H1243" s="3">
        <v>0.56255508479920902</v>
      </c>
      <c r="I1243" s="3">
        <v>0.56255508479920902</v>
      </c>
    </row>
    <row r="1244" spans="1:16" x14ac:dyDescent="0.3">
      <c r="A1244" s="3" t="str">
        <f t="shared" si="19"/>
        <v>ELC</v>
      </c>
      <c r="C1244" s="3" t="s">
        <v>850</v>
      </c>
      <c r="D1244" s="3" t="s">
        <v>777</v>
      </c>
      <c r="E1244" s="3" t="s">
        <v>1010</v>
      </c>
      <c r="F1244" s="3" t="s">
        <v>3</v>
      </c>
      <c r="G1244" s="3">
        <v>0.38103193521332701</v>
      </c>
      <c r="H1244" s="3">
        <v>0.38103193521332701</v>
      </c>
      <c r="I1244" s="3">
        <v>0.38103193521332701</v>
      </c>
    </row>
    <row r="1245" spans="1:16" x14ac:dyDescent="0.3">
      <c r="A1245" s="3" t="str">
        <f t="shared" si="19"/>
        <v>ELC</v>
      </c>
      <c r="C1245" s="3" t="s">
        <v>850</v>
      </c>
      <c r="D1245" s="3" t="s">
        <v>777</v>
      </c>
      <c r="E1245" s="3" t="s">
        <v>1010</v>
      </c>
      <c r="F1245" s="3" t="s">
        <v>4</v>
      </c>
      <c r="G1245" s="3">
        <v>0.172656865680095</v>
      </c>
      <c r="H1245" s="3">
        <v>0.172656865680095</v>
      </c>
      <c r="I1245" s="3">
        <v>0.172656865680095</v>
      </c>
    </row>
    <row r="1246" spans="1:16" x14ac:dyDescent="0.3">
      <c r="A1246" s="3" t="str">
        <f t="shared" si="19"/>
        <v>ELC</v>
      </c>
      <c r="C1246" s="3" t="s">
        <v>850</v>
      </c>
      <c r="D1246" s="3" t="s">
        <v>777</v>
      </c>
      <c r="E1246" s="3" t="s">
        <v>1010</v>
      </c>
      <c r="F1246" s="3" t="s">
        <v>5</v>
      </c>
      <c r="G1246" s="3">
        <v>0.18059472923415801</v>
      </c>
      <c r="H1246" s="3">
        <v>0.18059472923415801</v>
      </c>
      <c r="I1246" s="3">
        <v>0.18059472923415801</v>
      </c>
      <c r="P1246" s="3">
        <v>2.9777219481257299E-2</v>
      </c>
    </row>
    <row r="1247" spans="1:16" x14ac:dyDescent="0.3">
      <c r="A1247" s="3" t="str">
        <f t="shared" si="19"/>
        <v>ELC</v>
      </c>
      <c r="C1247" s="3" t="s">
        <v>850</v>
      </c>
      <c r="D1247" s="3" t="s">
        <v>777</v>
      </c>
      <c r="E1247" s="3" t="s">
        <v>1010</v>
      </c>
      <c r="F1247" s="3" t="s">
        <v>6</v>
      </c>
      <c r="G1247" s="3">
        <v>0.52282209629118503</v>
      </c>
      <c r="H1247" s="3">
        <v>0.52282209629118503</v>
      </c>
      <c r="I1247" s="3">
        <v>0.52282209629118503</v>
      </c>
    </row>
    <row r="1248" spans="1:16" x14ac:dyDescent="0.3">
      <c r="A1248" s="3" t="str">
        <f t="shared" si="19"/>
        <v>ELC</v>
      </c>
      <c r="C1248" s="3" t="s">
        <v>850</v>
      </c>
      <c r="D1248" s="3" t="s">
        <v>777</v>
      </c>
      <c r="E1248" s="3" t="s">
        <v>1010</v>
      </c>
      <c r="F1248" s="3" t="s">
        <v>7</v>
      </c>
      <c r="G1248" s="3">
        <v>0.119987360552284</v>
      </c>
      <c r="I1248" s="3">
        <v>0.119987360552284</v>
      </c>
    </row>
    <row r="1249" spans="1:16" x14ac:dyDescent="0.3">
      <c r="A1249" s="3" t="str">
        <f t="shared" si="19"/>
        <v>NGA</v>
      </c>
      <c r="C1249" s="3" t="s">
        <v>850</v>
      </c>
      <c r="D1249" s="3" t="s">
        <v>777</v>
      </c>
      <c r="E1249" s="3" t="s">
        <v>1011</v>
      </c>
      <c r="F1249" s="3" t="s">
        <v>1</v>
      </c>
      <c r="G1249" s="3">
        <v>1.4541698698905099</v>
      </c>
      <c r="I1249" s="3">
        <v>1.7831111450432</v>
      </c>
    </row>
    <row r="1250" spans="1:16" x14ac:dyDescent="0.3">
      <c r="A1250" s="3" t="str">
        <f t="shared" si="19"/>
        <v>NGA</v>
      </c>
      <c r="C1250" s="3" t="s">
        <v>850</v>
      </c>
      <c r="D1250" s="3" t="s">
        <v>777</v>
      </c>
      <c r="E1250" s="3" t="s">
        <v>1011</v>
      </c>
      <c r="F1250" s="3" t="s">
        <v>2</v>
      </c>
      <c r="G1250" s="3">
        <v>6.4663150878421396</v>
      </c>
      <c r="I1250" s="3">
        <v>6.6544632212597801</v>
      </c>
    </row>
    <row r="1251" spans="1:16" x14ac:dyDescent="0.3">
      <c r="A1251" s="3" t="str">
        <f t="shared" si="19"/>
        <v>NGA</v>
      </c>
      <c r="C1251" s="3" t="s">
        <v>850</v>
      </c>
      <c r="D1251" s="3" t="s">
        <v>777</v>
      </c>
      <c r="E1251" s="3" t="s">
        <v>1011</v>
      </c>
      <c r="F1251" s="3" t="s">
        <v>3</v>
      </c>
      <c r="G1251" s="3">
        <v>0.98004187975898605</v>
      </c>
      <c r="I1251" s="3">
        <v>0.98004187975898605</v>
      </c>
    </row>
    <row r="1252" spans="1:16" x14ac:dyDescent="0.3">
      <c r="A1252" s="3" t="str">
        <f t="shared" si="19"/>
        <v>NGA</v>
      </c>
      <c r="C1252" s="3" t="s">
        <v>850</v>
      </c>
      <c r="D1252" s="3" t="s">
        <v>777</v>
      </c>
      <c r="E1252" s="3" t="s">
        <v>1011</v>
      </c>
      <c r="F1252" s="3" t="s">
        <v>4</v>
      </c>
      <c r="G1252" s="3">
        <v>1.2692895811870899</v>
      </c>
      <c r="I1252" s="3">
        <v>1.2692895811870899</v>
      </c>
    </row>
    <row r="1253" spans="1:16" x14ac:dyDescent="0.3">
      <c r="A1253" s="3" t="str">
        <f t="shared" si="19"/>
        <v>NGA</v>
      </c>
      <c r="C1253" s="3" t="s">
        <v>850</v>
      </c>
      <c r="D1253" s="3" t="s">
        <v>777</v>
      </c>
      <c r="E1253" s="3" t="s">
        <v>1011</v>
      </c>
      <c r="F1253" s="3" t="s">
        <v>5</v>
      </c>
      <c r="G1253" s="3">
        <v>1.77408530337356</v>
      </c>
      <c r="I1253" s="3">
        <v>1.77408530337356</v>
      </c>
    </row>
    <row r="1254" spans="1:16" x14ac:dyDescent="0.3">
      <c r="A1254" s="3" t="str">
        <f t="shared" si="19"/>
        <v>NGA</v>
      </c>
      <c r="C1254" s="3" t="s">
        <v>850</v>
      </c>
      <c r="D1254" s="3" t="s">
        <v>777</v>
      </c>
      <c r="E1254" s="3" t="s">
        <v>1011</v>
      </c>
      <c r="F1254" s="3" t="s">
        <v>6</v>
      </c>
      <c r="G1254" s="3">
        <v>4.3955810490582703</v>
      </c>
      <c r="H1254" s="3">
        <v>4.3955810490582703</v>
      </c>
      <c r="I1254" s="3">
        <v>4.3955810490582703</v>
      </c>
    </row>
    <row r="1255" spans="1:16" x14ac:dyDescent="0.3">
      <c r="A1255" s="3" t="str">
        <f t="shared" si="19"/>
        <v>NGA</v>
      </c>
      <c r="C1255" s="3" t="s">
        <v>850</v>
      </c>
      <c r="D1255" s="3" t="s">
        <v>777</v>
      </c>
      <c r="E1255" s="3" t="s">
        <v>1011</v>
      </c>
      <c r="F1255" s="3" t="s">
        <v>7</v>
      </c>
      <c r="I1255" s="3">
        <v>0.72402780173604697</v>
      </c>
    </row>
    <row r="1256" spans="1:16" x14ac:dyDescent="0.3">
      <c r="A1256" s="3" t="str">
        <f t="shared" si="19"/>
        <v>NGA</v>
      </c>
      <c r="C1256" s="3" t="s">
        <v>850</v>
      </c>
      <c r="D1256" s="3" t="s">
        <v>777</v>
      </c>
      <c r="E1256" s="3" t="s">
        <v>1011</v>
      </c>
      <c r="F1256" s="3" t="s">
        <v>8</v>
      </c>
      <c r="I1256" s="3">
        <v>0.13261990528215301</v>
      </c>
    </row>
    <row r="1257" spans="1:16" x14ac:dyDescent="0.3">
      <c r="A1257" s="3" t="str">
        <f t="shared" si="19"/>
        <v>COA</v>
      </c>
      <c r="C1257" s="3" t="s">
        <v>850</v>
      </c>
      <c r="D1257" s="3" t="s">
        <v>777</v>
      </c>
      <c r="E1257" s="3" t="s">
        <v>1012</v>
      </c>
      <c r="F1257" s="3" t="s">
        <v>2</v>
      </c>
      <c r="G1257" s="3">
        <v>4.5012745600388699</v>
      </c>
      <c r="H1257" s="3">
        <v>4.5012745600388699</v>
      </c>
      <c r="I1257" s="3">
        <v>4.5012745600388699</v>
      </c>
      <c r="J1257" s="3">
        <v>4.5012745600388699</v>
      </c>
      <c r="K1257" s="3">
        <v>4.5012745600388699</v>
      </c>
      <c r="L1257" s="3">
        <v>4.5012745600388699</v>
      </c>
      <c r="O1257" s="3">
        <v>2.62579997239034</v>
      </c>
      <c r="P1257" s="3">
        <v>3.5424755528985501</v>
      </c>
    </row>
    <row r="1258" spans="1:16" x14ac:dyDescent="0.3">
      <c r="A1258" s="3" t="str">
        <f t="shared" si="19"/>
        <v>COA</v>
      </c>
      <c r="C1258" s="3" t="s">
        <v>850</v>
      </c>
      <c r="D1258" s="3" t="s">
        <v>777</v>
      </c>
      <c r="E1258" s="3" t="s">
        <v>1012</v>
      </c>
      <c r="F1258" s="3" t="s">
        <v>4</v>
      </c>
      <c r="G1258" s="3">
        <v>2.8495759231195699</v>
      </c>
      <c r="J1258" s="3">
        <v>2.8495759231195699</v>
      </c>
      <c r="K1258" s="3">
        <v>0.35793198922689701</v>
      </c>
      <c r="M1258" s="3">
        <v>2.8495759231195699</v>
      </c>
      <c r="N1258" s="3">
        <v>2.8495759231195699</v>
      </c>
      <c r="O1258" s="3">
        <v>2.8495759231195699</v>
      </c>
      <c r="P1258" s="3">
        <v>2.8495759231195699</v>
      </c>
    </row>
    <row r="1259" spans="1:16" x14ac:dyDescent="0.3">
      <c r="A1259" s="3" t="str">
        <f t="shared" si="19"/>
        <v>COA</v>
      </c>
      <c r="C1259" s="3" t="s">
        <v>850</v>
      </c>
      <c r="D1259" s="3" t="s">
        <v>777</v>
      </c>
      <c r="E1259" s="3" t="s">
        <v>1013</v>
      </c>
      <c r="F1259" s="3" t="s">
        <v>2</v>
      </c>
      <c r="G1259" s="3">
        <v>3.0481064725938398</v>
      </c>
      <c r="I1259" s="3">
        <v>3.0481064725938398</v>
      </c>
      <c r="J1259" s="3">
        <v>1.21154764140014</v>
      </c>
      <c r="K1259" s="3">
        <v>1.46461723196525</v>
      </c>
      <c r="L1259" s="3">
        <v>2.5996633574235899</v>
      </c>
    </row>
    <row r="1260" spans="1:16" x14ac:dyDescent="0.3">
      <c r="A1260" s="3" t="str">
        <f t="shared" si="19"/>
        <v>COA</v>
      </c>
      <c r="C1260" s="3" t="s">
        <v>850</v>
      </c>
      <c r="D1260" s="3" t="s">
        <v>777</v>
      </c>
      <c r="E1260" s="3" t="s">
        <v>1013</v>
      </c>
      <c r="F1260" s="3" t="s">
        <v>3</v>
      </c>
      <c r="G1260" s="3">
        <v>0.26536347855347597</v>
      </c>
      <c r="H1260" s="3">
        <v>0.23196077270242799</v>
      </c>
      <c r="I1260" s="3">
        <v>0.26536347855347597</v>
      </c>
      <c r="J1260" s="3">
        <v>6.8708892544392594E-2</v>
      </c>
      <c r="K1260" s="3">
        <v>0.10456130383084999</v>
      </c>
      <c r="L1260" s="3">
        <v>0.26536347855347597</v>
      </c>
    </row>
    <row r="1261" spans="1:16" x14ac:dyDescent="0.3">
      <c r="A1261" s="3" t="str">
        <f t="shared" si="19"/>
        <v>EXT</v>
      </c>
      <c r="C1261" s="3" t="s">
        <v>850</v>
      </c>
      <c r="D1261" s="3" t="s">
        <v>1527</v>
      </c>
      <c r="E1261" s="3" t="s">
        <v>1528</v>
      </c>
      <c r="F1261" s="3" t="s">
        <v>0</v>
      </c>
      <c r="G1261" s="3">
        <v>18.944490616260701</v>
      </c>
      <c r="H1261" s="3">
        <v>19.121659308209601</v>
      </c>
      <c r="I1261" s="3">
        <v>19.830334076004899</v>
      </c>
      <c r="J1261" s="3">
        <v>22.583591412476299</v>
      </c>
      <c r="K1261" s="3">
        <v>24.737308190816798</v>
      </c>
      <c r="L1261" s="3">
        <v>26.945540312050696</v>
      </c>
      <c r="M1261" s="3">
        <v>29.434311826891296</v>
      </c>
      <c r="N1261" s="3">
        <v>32.268452011317194</v>
      </c>
      <c r="O1261" s="3">
        <v>35.165176398022695</v>
      </c>
      <c r="P1261" s="3">
        <v>38.430383772880695</v>
      </c>
    </row>
    <row r="1262" spans="1:16" x14ac:dyDescent="0.3">
      <c r="A1262" s="3" t="str">
        <f t="shared" si="19"/>
        <v>EXT</v>
      </c>
      <c r="C1262" s="3" t="s">
        <v>850</v>
      </c>
      <c r="D1262" s="3" t="s">
        <v>1527</v>
      </c>
      <c r="E1262" s="3" t="s">
        <v>1528</v>
      </c>
      <c r="F1262" s="3" t="s">
        <v>1</v>
      </c>
      <c r="G1262" s="3">
        <v>50.907888561102602</v>
      </c>
      <c r="H1262" s="3">
        <v>51.383978639687498</v>
      </c>
      <c r="I1262" s="3">
        <v>53.288338954027296</v>
      </c>
      <c r="J1262" s="3">
        <v>60.686928892614389</v>
      </c>
      <c r="K1262" s="3">
        <v>66.474425424710404</v>
      </c>
      <c r="L1262" s="3">
        <v>72.408416315356604</v>
      </c>
      <c r="M1262" s="3">
        <v>79.096276416635902</v>
      </c>
      <c r="N1262" s="3">
        <v>86.712215826031098</v>
      </c>
      <c r="O1262" s="3">
        <v>94.496332340837597</v>
      </c>
      <c r="P1262" s="3">
        <v>103.270641269761</v>
      </c>
    </row>
    <row r="1263" spans="1:16" x14ac:dyDescent="0.3">
      <c r="A1263" s="3" t="str">
        <f t="shared" si="19"/>
        <v>EXT</v>
      </c>
      <c r="C1263" s="3" t="s">
        <v>850</v>
      </c>
      <c r="D1263" s="3" t="s">
        <v>1527</v>
      </c>
      <c r="E1263" s="3" t="s">
        <v>1528</v>
      </c>
      <c r="F1263" s="3" t="s">
        <v>2</v>
      </c>
      <c r="G1263" s="3">
        <v>220.61976241913399</v>
      </c>
      <c r="H1263" s="3">
        <v>230.917891266802</v>
      </c>
      <c r="I1263" s="3">
        <v>272.110406657471</v>
      </c>
      <c r="J1263" s="3">
        <v>309.89040424038899</v>
      </c>
      <c r="K1263" s="3">
        <v>339.44354974631199</v>
      </c>
      <c r="L1263" s="3">
        <v>369.744750835513</v>
      </c>
      <c r="M1263" s="3">
        <v>403.89549314702299</v>
      </c>
      <c r="N1263" s="3">
        <v>442.78535930624099</v>
      </c>
      <c r="O1263" s="3">
        <v>482.534001352308</v>
      </c>
      <c r="P1263" s="3">
        <v>527.33894024986705</v>
      </c>
    </row>
    <row r="1264" spans="1:16" x14ac:dyDescent="0.3">
      <c r="A1264" s="3" t="str">
        <f t="shared" si="19"/>
        <v>EXT</v>
      </c>
      <c r="C1264" s="3" t="s">
        <v>850</v>
      </c>
      <c r="D1264" s="3" t="s">
        <v>1527</v>
      </c>
      <c r="E1264" s="3" t="s">
        <v>1528</v>
      </c>
      <c r="F1264" s="3" t="s">
        <v>3</v>
      </c>
      <c r="G1264" s="3">
        <v>201.13365450638</v>
      </c>
      <c r="H1264" s="3">
        <v>213.67948319903599</v>
      </c>
      <c r="I1264" s="3">
        <v>263.86279796966198</v>
      </c>
      <c r="J1264" s="3">
        <v>300.49769184222197</v>
      </c>
      <c r="K1264" s="3">
        <v>329.15508777861999</v>
      </c>
      <c r="L1264" s="3">
        <v>358.53786589229298</v>
      </c>
      <c r="M1264" s="3">
        <v>391.65350645064598</v>
      </c>
      <c r="N1264" s="3">
        <v>429.364629018458</v>
      </c>
      <c r="O1264" s="3">
        <v>467.90849815820792</v>
      </c>
      <c r="P1264" s="3">
        <v>511.35540886475502</v>
      </c>
    </row>
    <row r="1265" spans="1:16" x14ac:dyDescent="0.3">
      <c r="A1265" s="3" t="str">
        <f t="shared" si="19"/>
        <v>EXT</v>
      </c>
      <c r="C1265" s="3" t="s">
        <v>850</v>
      </c>
      <c r="D1265" s="3" t="s">
        <v>1527</v>
      </c>
      <c r="E1265" s="3" t="s">
        <v>1528</v>
      </c>
      <c r="F1265" s="3" t="s">
        <v>4</v>
      </c>
      <c r="G1265" s="3">
        <v>71.962547155943895</v>
      </c>
      <c r="H1265" s="3">
        <v>76.401915814917999</v>
      </c>
      <c r="I1265" s="3">
        <v>94.159390450814101</v>
      </c>
      <c r="J1265" s="3">
        <v>107.23254552539601</v>
      </c>
      <c r="K1265" s="3">
        <v>117.458931943042</v>
      </c>
      <c r="L1265" s="3">
        <v>127.94417085593</v>
      </c>
      <c r="M1265" s="3">
        <v>139.761481038933</v>
      </c>
      <c r="N1265" s="3">
        <v>153.21868812353901</v>
      </c>
      <c r="O1265" s="3">
        <v>166.97306066768201</v>
      </c>
      <c r="P1265" s="3">
        <v>182.477082684344</v>
      </c>
    </row>
    <row r="1266" spans="1:16" x14ac:dyDescent="0.3">
      <c r="A1266" s="3" t="str">
        <f t="shared" si="19"/>
        <v>EXT</v>
      </c>
      <c r="C1266" s="3" t="s">
        <v>850</v>
      </c>
      <c r="D1266" s="3" t="s">
        <v>1527</v>
      </c>
      <c r="E1266" s="3" t="s">
        <v>1528</v>
      </c>
      <c r="F1266" s="3" t="s">
        <v>5</v>
      </c>
      <c r="G1266" s="3">
        <v>48.287694773388203</v>
      </c>
      <c r="H1266" s="3">
        <v>48.739280825160101</v>
      </c>
      <c r="I1266" s="3">
        <v>50.545625032247401</v>
      </c>
      <c r="J1266" s="3">
        <v>57.563414667720998</v>
      </c>
      <c r="K1266" s="3">
        <v>63.0530327591974</v>
      </c>
      <c r="L1266" s="3">
        <v>68.681605245987399</v>
      </c>
      <c r="M1266" s="3">
        <v>75.025245816939105</v>
      </c>
      <c r="N1266" s="3">
        <v>82.249198096399496</v>
      </c>
      <c r="O1266" s="3">
        <v>89.6326715220615</v>
      </c>
      <c r="P1266" s="3">
        <v>97.955372843659703</v>
      </c>
    </row>
    <row r="1267" spans="1:16" x14ac:dyDescent="0.3">
      <c r="A1267" s="3" t="str">
        <f t="shared" si="19"/>
        <v>EXT</v>
      </c>
      <c r="C1267" s="3" t="s">
        <v>850</v>
      </c>
      <c r="D1267" s="3" t="s">
        <v>1527</v>
      </c>
      <c r="E1267" s="3" t="s">
        <v>1528</v>
      </c>
      <c r="F1267" s="3" t="s">
        <v>6</v>
      </c>
      <c r="G1267" s="3">
        <v>115.923431068301</v>
      </c>
      <c r="H1267" s="3">
        <v>117.007545867934</v>
      </c>
      <c r="I1267" s="3">
        <v>121.344005066465</v>
      </c>
      <c r="J1267" s="3">
        <v>138.19149088821501</v>
      </c>
      <c r="K1267" s="3">
        <v>151.37032179751901</v>
      </c>
      <c r="L1267" s="3">
        <v>164.88273811284401</v>
      </c>
      <c r="M1267" s="3">
        <v>180.11180597164002</v>
      </c>
      <c r="N1267" s="3">
        <v>197.45422287596202</v>
      </c>
      <c r="O1267" s="3">
        <v>215.17959942833502</v>
      </c>
      <c r="P1267" s="3">
        <v>235.15976409521502</v>
      </c>
    </row>
    <row r="1268" spans="1:16" x14ac:dyDescent="0.3">
      <c r="A1268" s="3" t="str">
        <f t="shared" si="19"/>
        <v>EXT</v>
      </c>
      <c r="C1268" s="3" t="s">
        <v>850</v>
      </c>
      <c r="D1268" s="3" t="s">
        <v>1527</v>
      </c>
      <c r="E1268" s="3" t="s">
        <v>1528</v>
      </c>
      <c r="F1268" s="3" t="s">
        <v>7</v>
      </c>
      <c r="G1268" s="3">
        <v>87.170969595435807</v>
      </c>
      <c r="H1268" s="3">
        <v>87.986191655081996</v>
      </c>
      <c r="I1268" s="3">
        <v>91.247079893666395</v>
      </c>
      <c r="J1268" s="3">
        <v>103.91588775065699</v>
      </c>
      <c r="K1268" s="3">
        <v>113.82597631438699</v>
      </c>
      <c r="L1268" s="3">
        <v>123.98691117396699</v>
      </c>
      <c r="M1268" s="3">
        <v>135.43871689651999</v>
      </c>
      <c r="N1268" s="3">
        <v>148.47969819552299</v>
      </c>
      <c r="O1268" s="3">
        <v>161.80865375071298</v>
      </c>
      <c r="P1268" s="3">
        <v>176.83314285216397</v>
      </c>
    </row>
    <row r="1269" spans="1:16" x14ac:dyDescent="0.3">
      <c r="A1269" s="3" t="str">
        <f t="shared" si="19"/>
        <v>EXT</v>
      </c>
      <c r="C1269" s="3" t="s">
        <v>850</v>
      </c>
      <c r="D1269" s="3" t="s">
        <v>1527</v>
      </c>
      <c r="E1269" s="3" t="s">
        <v>1528</v>
      </c>
      <c r="F1269" s="3" t="s">
        <v>8</v>
      </c>
      <c r="G1269" s="3">
        <v>83.104746857157593</v>
      </c>
      <c r="H1269" s="3">
        <v>86.952202374650795</v>
      </c>
      <c r="I1269" s="3">
        <v>102.342024444624</v>
      </c>
      <c r="J1269" s="3">
        <v>116.551262097985</v>
      </c>
      <c r="K1269" s="3">
        <v>127.66634136648901</v>
      </c>
      <c r="L1269" s="3">
        <v>139.06276791505502</v>
      </c>
      <c r="M1269" s="3">
        <v>151.90702531549402</v>
      </c>
      <c r="N1269" s="3">
        <v>166.53368984481102</v>
      </c>
      <c r="O1269" s="3">
        <v>181.48334408953002</v>
      </c>
      <c r="P1269" s="3">
        <v>198.33469574572001</v>
      </c>
    </row>
    <row r="1270" spans="1:16" x14ac:dyDescent="0.3">
      <c r="A1270" s="3" t="str">
        <f t="shared" si="19"/>
        <v>ELC</v>
      </c>
      <c r="C1270" s="3" t="s">
        <v>850</v>
      </c>
      <c r="D1270" s="3" t="s">
        <v>854</v>
      </c>
      <c r="E1270" s="3" t="s">
        <v>855</v>
      </c>
      <c r="F1270" s="3" t="s">
        <v>0</v>
      </c>
      <c r="G1270" s="3">
        <v>2.6212304315165202E-2</v>
      </c>
      <c r="H1270" s="3">
        <v>2.6457441530121799E-2</v>
      </c>
      <c r="I1270" s="3">
        <v>2.7437990389957999E-2</v>
      </c>
      <c r="J1270" s="3">
        <v>3.1247500005356098E-2</v>
      </c>
      <c r="K1270" s="3">
        <v>3.42274629268252E-2</v>
      </c>
      <c r="L1270" s="3">
        <v>3.7282855311491302E-2</v>
      </c>
      <c r="M1270" s="3">
        <v>4.0726412472216603E-2</v>
      </c>
      <c r="N1270" s="3">
        <v>4.4647834614981001E-2</v>
      </c>
      <c r="O1270" s="3">
        <v>4.8655850595959699E-2</v>
      </c>
      <c r="P1270" s="3">
        <v>5.3173713392884299E-2</v>
      </c>
    </row>
    <row r="1271" spans="1:16" x14ac:dyDescent="0.3">
      <c r="A1271" s="3" t="str">
        <f t="shared" si="19"/>
        <v>ELC</v>
      </c>
      <c r="C1271" s="3" t="s">
        <v>850</v>
      </c>
      <c r="D1271" s="3" t="s">
        <v>854</v>
      </c>
      <c r="E1271" s="3" t="s">
        <v>855</v>
      </c>
      <c r="F1271" s="3" t="s">
        <v>1</v>
      </c>
      <c r="G1271" s="3">
        <v>7.2153654883030105E-2</v>
      </c>
      <c r="H1271" s="3">
        <v>7.2828435161577498E-2</v>
      </c>
      <c r="I1271" s="3">
        <v>7.5527556275760299E-2</v>
      </c>
      <c r="J1271" s="3">
        <v>8.6013854571341405E-2</v>
      </c>
      <c r="K1271" s="3">
        <v>9.4216689912125201E-2</v>
      </c>
      <c r="L1271" s="3">
        <v>0.102627157187515</v>
      </c>
      <c r="M1271" s="3">
        <v>0.112106111496816</v>
      </c>
      <c r="N1271" s="3">
        <v>0.12290046732825</v>
      </c>
      <c r="O1271" s="3">
        <v>0.133933186862567</v>
      </c>
      <c r="P1271" s="3">
        <v>0.14636934314775199</v>
      </c>
    </row>
    <row r="1272" spans="1:16" x14ac:dyDescent="0.3">
      <c r="A1272" s="3" t="str">
        <f t="shared" si="19"/>
        <v>ELC</v>
      </c>
      <c r="C1272" s="3" t="s">
        <v>850</v>
      </c>
      <c r="D1272" s="3" t="s">
        <v>854</v>
      </c>
      <c r="E1272" s="3" t="s">
        <v>855</v>
      </c>
      <c r="F1272" s="3" t="s">
        <v>2</v>
      </c>
      <c r="G1272" s="3">
        <v>0.23433733629430301</v>
      </c>
      <c r="H1272" s="3">
        <v>0.245275776516127</v>
      </c>
      <c r="I1272" s="3">
        <v>0.28902953740349602</v>
      </c>
      <c r="J1272" s="3">
        <v>0.32915859883348098</v>
      </c>
      <c r="K1272" s="3">
        <v>0.36054928351667498</v>
      </c>
      <c r="L1272" s="3">
        <v>0.39273453597047497</v>
      </c>
      <c r="M1272" s="3">
        <v>0.429008684297011</v>
      </c>
      <c r="N1272" s="3">
        <v>0.47031662309932198</v>
      </c>
      <c r="O1272" s="3">
        <v>0.51253673428180901</v>
      </c>
      <c r="P1272" s="3">
        <v>0.56012752995194603</v>
      </c>
    </row>
    <row r="1273" spans="1:16" x14ac:dyDescent="0.3">
      <c r="A1273" s="3" t="str">
        <f t="shared" si="19"/>
        <v>ELC</v>
      </c>
      <c r="C1273" s="3" t="s">
        <v>850</v>
      </c>
      <c r="D1273" s="3" t="s">
        <v>854</v>
      </c>
      <c r="E1273" s="3" t="s">
        <v>855</v>
      </c>
      <c r="F1273" s="3" t="s">
        <v>3</v>
      </c>
      <c r="G1273" s="3">
        <v>0.14922621754948301</v>
      </c>
      <c r="H1273" s="3">
        <v>0.158534289669095</v>
      </c>
      <c r="I1273" s="3">
        <v>0.195766578147616</v>
      </c>
      <c r="J1273" s="3">
        <v>0.222946945631812</v>
      </c>
      <c r="K1273" s="3">
        <v>0.244208602766781</v>
      </c>
      <c r="L1273" s="3">
        <v>0.26600843954571501</v>
      </c>
      <c r="M1273" s="3">
        <v>0.29057778272391499</v>
      </c>
      <c r="N1273" s="3">
        <v>0.31855663188343197</v>
      </c>
      <c r="O1273" s="3">
        <v>0.34715331708541403</v>
      </c>
      <c r="P1273" s="3">
        <v>0.37938769459354998</v>
      </c>
    </row>
    <row r="1274" spans="1:16" x14ac:dyDescent="0.3">
      <c r="A1274" s="3" t="str">
        <f t="shared" si="19"/>
        <v>ELC</v>
      </c>
      <c r="C1274" s="3" t="s">
        <v>850</v>
      </c>
      <c r="D1274" s="3" t="s">
        <v>854</v>
      </c>
      <c r="E1274" s="3" t="s">
        <v>855</v>
      </c>
      <c r="F1274" s="3" t="s">
        <v>4</v>
      </c>
      <c r="G1274" s="3">
        <v>5.2866092602380697E-2</v>
      </c>
      <c r="H1274" s="3">
        <v>5.6127401212161497E-2</v>
      </c>
      <c r="I1274" s="3">
        <v>6.9172635651285203E-2</v>
      </c>
      <c r="J1274" s="3">
        <v>7.8776612359897399E-2</v>
      </c>
      <c r="K1274" s="3">
        <v>8.6289257655391097E-2</v>
      </c>
      <c r="L1274" s="3">
        <v>9.3992064646448298E-2</v>
      </c>
      <c r="M1274" s="3">
        <v>0.102673455719113</v>
      </c>
      <c r="N1274" s="3">
        <v>0.11255956987183099</v>
      </c>
      <c r="O1274" s="3">
        <v>0.122663991704346</v>
      </c>
      <c r="P1274" s="3">
        <v>0.134053764524176</v>
      </c>
    </row>
    <row r="1275" spans="1:16" x14ac:dyDescent="0.3">
      <c r="A1275" s="3" t="str">
        <f t="shared" si="19"/>
        <v>ELC</v>
      </c>
      <c r="C1275" s="3" t="s">
        <v>850</v>
      </c>
      <c r="D1275" s="3" t="s">
        <v>854</v>
      </c>
      <c r="E1275" s="3" t="s">
        <v>855</v>
      </c>
      <c r="F1275" s="3" t="s">
        <v>5</v>
      </c>
      <c r="G1275" s="3">
        <v>5.7600625243914301E-2</v>
      </c>
      <c r="H1275" s="3">
        <v>5.8139305730849203E-2</v>
      </c>
      <c r="I1275" s="3">
        <v>6.0294027678588102E-2</v>
      </c>
      <c r="J1275" s="3">
        <v>6.8665292298509095E-2</v>
      </c>
      <c r="K1275" s="3">
        <v>7.5213656967870607E-2</v>
      </c>
      <c r="L1275" s="3">
        <v>8.1927775253930704E-2</v>
      </c>
      <c r="M1275" s="3">
        <v>8.94948721079913E-2</v>
      </c>
      <c r="N1275" s="3">
        <v>9.8112060606670298E-2</v>
      </c>
      <c r="O1275" s="3">
        <v>0.106919536047066</v>
      </c>
      <c r="P1275" s="3">
        <v>0.116847382097541</v>
      </c>
    </row>
    <row r="1276" spans="1:16" x14ac:dyDescent="0.3">
      <c r="A1276" s="3" t="str">
        <f t="shared" si="19"/>
        <v>ELC</v>
      </c>
      <c r="C1276" s="3" t="s">
        <v>850</v>
      </c>
      <c r="D1276" s="3" t="s">
        <v>854</v>
      </c>
      <c r="E1276" s="3" t="s">
        <v>855</v>
      </c>
      <c r="F1276" s="3" t="s">
        <v>6</v>
      </c>
      <c r="G1276" s="3">
        <v>0.20010470803050101</v>
      </c>
      <c r="H1276" s="3">
        <v>0.20197608531335201</v>
      </c>
      <c r="I1276" s="3">
        <v>0.209461594444802</v>
      </c>
      <c r="J1276" s="3">
        <v>0.23854338748989301</v>
      </c>
      <c r="K1276" s="3">
        <v>0.26129242180494699</v>
      </c>
      <c r="L1276" s="3">
        <v>0.28461728457553598</v>
      </c>
      <c r="M1276" s="3">
        <v>0.31090539690431801</v>
      </c>
      <c r="N1276" s="3">
        <v>0.34084153008465301</v>
      </c>
      <c r="O1276" s="3">
        <v>0.371438720549568</v>
      </c>
      <c r="P1276" s="3">
        <v>0.40592808115787798</v>
      </c>
    </row>
    <row r="1277" spans="1:16" x14ac:dyDescent="0.3">
      <c r="A1277" s="3" t="str">
        <f t="shared" si="19"/>
        <v>ELC</v>
      </c>
      <c r="C1277" s="3" t="s">
        <v>850</v>
      </c>
      <c r="D1277" s="3" t="s">
        <v>854</v>
      </c>
      <c r="E1277" s="3" t="s">
        <v>855</v>
      </c>
      <c r="F1277" s="3" t="s">
        <v>7</v>
      </c>
      <c r="G1277" s="3">
        <v>0.10328035823296799</v>
      </c>
      <c r="H1277" s="3">
        <v>0.104246235138438</v>
      </c>
      <c r="I1277" s="3">
        <v>0.108109742760316</v>
      </c>
      <c r="J1277" s="3">
        <v>0.12311977442482901</v>
      </c>
      <c r="K1277" s="3">
        <v>0.134861269348342</v>
      </c>
      <c r="L1277" s="3">
        <v>0.14689996751988299</v>
      </c>
      <c r="M1277" s="3">
        <v>0.16046809235466</v>
      </c>
      <c r="N1277" s="3">
        <v>0.175919075939235</v>
      </c>
      <c r="O1277" s="3">
        <v>0.191711252061633</v>
      </c>
      <c r="P1277" s="3">
        <v>0.209512300092495</v>
      </c>
    </row>
    <row r="1278" spans="1:16" x14ac:dyDescent="0.3">
      <c r="A1278" s="3" t="str">
        <f t="shared" si="19"/>
        <v>ELC</v>
      </c>
      <c r="C1278" s="3" t="s">
        <v>850</v>
      </c>
      <c r="D1278" s="3" t="s">
        <v>854</v>
      </c>
      <c r="E1278" s="3" t="s">
        <v>855</v>
      </c>
      <c r="F1278" s="3" t="s">
        <v>8</v>
      </c>
      <c r="G1278" s="3">
        <v>6.4761488730613395E-2</v>
      </c>
      <c r="H1278" s="3">
        <v>5.7595758895621102E-2</v>
      </c>
      <c r="I1278" s="3">
        <v>6.7789732793616705E-2</v>
      </c>
      <c r="J1278" s="3">
        <v>7.7201706310356499E-2</v>
      </c>
      <c r="K1278" s="3">
        <v>8.4564158418184696E-2</v>
      </c>
      <c r="L1278" s="3">
        <v>9.2112970499261204E-2</v>
      </c>
      <c r="M1278" s="3">
        <v>0.100620802759114</v>
      </c>
      <c r="N1278" s="3">
        <v>0.11030927321379699</v>
      </c>
      <c r="O1278" s="3">
        <v>0.120211686930013</v>
      </c>
      <c r="P1278" s="3">
        <v>0.13137375483109201</v>
      </c>
    </row>
    <row r="1279" spans="1:16" x14ac:dyDescent="0.3">
      <c r="A1279" s="3" t="str">
        <f t="shared" si="19"/>
        <v>COA</v>
      </c>
      <c r="C1279" s="3" t="s">
        <v>850</v>
      </c>
      <c r="D1279" s="3" t="s">
        <v>710</v>
      </c>
      <c r="E1279" s="3" t="s">
        <v>809</v>
      </c>
      <c r="F1279" s="3" t="s">
        <v>0</v>
      </c>
      <c r="G1279" s="3">
        <v>1.4201578664394001E-3</v>
      </c>
      <c r="H1279" s="3">
        <v>3.3372788056596199</v>
      </c>
      <c r="I1279" s="3">
        <v>3.4609629088301901</v>
      </c>
      <c r="J1279" s="3">
        <v>3.9414853994483501</v>
      </c>
      <c r="K1279" s="3">
        <v>4.3173708412867304</v>
      </c>
      <c r="L1279" s="3">
        <v>4.7027707763753499</v>
      </c>
      <c r="M1279" s="3">
        <v>5.1371328939474896</v>
      </c>
      <c r="N1279" s="3">
        <v>5.6317717648373202</v>
      </c>
      <c r="O1279" s="3">
        <v>6.1373333767126601</v>
      </c>
      <c r="P1279" s="3">
        <v>6.7072058544384197</v>
      </c>
    </row>
    <row r="1280" spans="1:16" x14ac:dyDescent="0.3">
      <c r="A1280" s="3" t="str">
        <f t="shared" si="19"/>
        <v>COA</v>
      </c>
      <c r="C1280" s="3" t="s">
        <v>850</v>
      </c>
      <c r="D1280" s="3" t="s">
        <v>710</v>
      </c>
      <c r="E1280" s="3" t="s">
        <v>809</v>
      </c>
      <c r="F1280" s="3" t="s">
        <v>1</v>
      </c>
      <c r="G1280" s="3">
        <v>3.9092168068266698E-3</v>
      </c>
      <c r="H1280" s="3">
        <v>9.1864057542138404</v>
      </c>
      <c r="I1280" s="3">
        <v>9.5268664778261591</v>
      </c>
      <c r="J1280" s="3">
        <v>10.849583226980499</v>
      </c>
      <c r="K1280" s="3">
        <v>11.8842693850484</v>
      </c>
      <c r="L1280" s="3">
        <v>12.9451457419676</v>
      </c>
      <c r="M1280" s="3">
        <v>14.140798514373101</v>
      </c>
      <c r="N1280" s="3">
        <v>15.5023729090848</v>
      </c>
      <c r="O1280" s="3">
        <v>16.8940139348706</v>
      </c>
      <c r="P1280" s="3">
        <v>18.462681137523798</v>
      </c>
    </row>
    <row r="1281" spans="1:16" x14ac:dyDescent="0.3">
      <c r="A1281" s="3" t="str">
        <f t="shared" si="19"/>
        <v>COA</v>
      </c>
      <c r="C1281" s="3" t="s">
        <v>850</v>
      </c>
      <c r="D1281" s="3" t="s">
        <v>710</v>
      </c>
      <c r="E1281" s="3" t="s">
        <v>809</v>
      </c>
      <c r="F1281" s="3" t="s">
        <v>2</v>
      </c>
      <c r="G1281" s="3">
        <v>0.46070969593762301</v>
      </c>
      <c r="H1281" s="3">
        <v>27.119959463412599</v>
      </c>
      <c r="I1281" s="3">
        <v>31.957780134051799</v>
      </c>
      <c r="J1281" s="3">
        <v>36.394820492231503</v>
      </c>
      <c r="K1281" s="3">
        <v>39.865665058410897</v>
      </c>
      <c r="L1281" s="3">
        <v>43.424364389691299</v>
      </c>
      <c r="M1281" s="3">
        <v>47.435169884461303</v>
      </c>
      <c r="N1281" s="3">
        <v>52.002557833439901</v>
      </c>
      <c r="O1281" s="3">
        <v>56.670804001379899</v>
      </c>
      <c r="P1281" s="3">
        <v>61.932882742860102</v>
      </c>
    </row>
    <row r="1282" spans="1:16" x14ac:dyDescent="0.3">
      <c r="A1282" s="3" t="str">
        <f t="shared" si="19"/>
        <v>COA</v>
      </c>
      <c r="C1282" s="3" t="s">
        <v>850</v>
      </c>
      <c r="D1282" s="3" t="s">
        <v>710</v>
      </c>
      <c r="E1282" s="3" t="s">
        <v>809</v>
      </c>
      <c r="F1282" s="3" t="s">
        <v>3</v>
      </c>
      <c r="G1282" s="3">
        <v>0.31204963168595801</v>
      </c>
      <c r="H1282" s="3">
        <v>17.529018032091699</v>
      </c>
      <c r="I1282" s="3">
        <v>21.6457643680282</v>
      </c>
      <c r="J1282" s="3">
        <v>24.651077305338699</v>
      </c>
      <c r="K1282" s="3">
        <v>27.0019628587917</v>
      </c>
      <c r="L1282" s="3">
        <v>29.412354533633799</v>
      </c>
      <c r="M1282" s="3">
        <v>32.128968463062499</v>
      </c>
      <c r="N1282" s="3">
        <v>35.22256892299</v>
      </c>
      <c r="O1282" s="3">
        <v>38.384483052798799</v>
      </c>
      <c r="P1282" s="3">
        <v>41.948614104652499</v>
      </c>
    </row>
    <row r="1283" spans="1:16" x14ac:dyDescent="0.3">
      <c r="A1283" s="3" t="str">
        <f t="shared" si="19"/>
        <v>COA</v>
      </c>
      <c r="C1283" s="3" t="s">
        <v>850</v>
      </c>
      <c r="D1283" s="3" t="s">
        <v>710</v>
      </c>
      <c r="E1283" s="3" t="s">
        <v>809</v>
      </c>
      <c r="F1283" s="3" t="s">
        <v>4</v>
      </c>
      <c r="G1283" s="3">
        <v>1.7402946331757301E-2</v>
      </c>
      <c r="H1283" s="3">
        <v>6.0220314515751303</v>
      </c>
      <c r="J1283" s="3">
        <v>8.4521147787802899</v>
      </c>
      <c r="K1283" s="3">
        <v>9.2581628992516496</v>
      </c>
      <c r="L1283" s="3">
        <v>10.0846138833297</v>
      </c>
      <c r="M1283" s="3">
        <v>11.0160592906341</v>
      </c>
      <c r="N1283" s="3">
        <v>12.0767620681689</v>
      </c>
      <c r="O1283" s="3">
        <v>13.1608875534271</v>
      </c>
      <c r="P1283" s="3">
        <v>14.382921153166</v>
      </c>
    </row>
    <row r="1284" spans="1:16" x14ac:dyDescent="0.3">
      <c r="A1284" s="3" t="str">
        <f t="shared" si="19"/>
        <v>COA</v>
      </c>
      <c r="C1284" s="3" t="s">
        <v>850</v>
      </c>
      <c r="D1284" s="3" t="s">
        <v>710</v>
      </c>
      <c r="E1284" s="3" t="s">
        <v>809</v>
      </c>
      <c r="F1284" s="3" t="s">
        <v>5</v>
      </c>
      <c r="G1284" s="3">
        <v>1.51692026469209E-2</v>
      </c>
      <c r="J1284" s="3">
        <v>7.36724916748092</v>
      </c>
      <c r="K1284" s="3">
        <v>8.0698375137017493</v>
      </c>
      <c r="L1284" s="3">
        <v>8.7902099274436107</v>
      </c>
      <c r="M1284" s="3">
        <v>9.6021002745489099</v>
      </c>
      <c r="N1284" s="3">
        <v>10.5266572474802</v>
      </c>
      <c r="O1284" s="3">
        <v>11.4716305219518</v>
      </c>
      <c r="P1284" s="3">
        <v>12.536810805933801</v>
      </c>
    </row>
    <row r="1285" spans="1:16" x14ac:dyDescent="0.3">
      <c r="A1285" s="3" t="str">
        <f t="shared" si="19"/>
        <v>COA</v>
      </c>
      <c r="C1285" s="3" t="s">
        <v>850</v>
      </c>
      <c r="D1285" s="3" t="s">
        <v>710</v>
      </c>
      <c r="E1285" s="3" t="s">
        <v>809</v>
      </c>
      <c r="F1285" s="3" t="s">
        <v>6</v>
      </c>
      <c r="G1285" s="3">
        <v>5.2697845793579001E-2</v>
      </c>
      <c r="H1285" s="3">
        <v>21.6704552848507</v>
      </c>
      <c r="J1285" s="3">
        <v>25.593840993981701</v>
      </c>
      <c r="K1285" s="3">
        <v>28.0346345668084</v>
      </c>
      <c r="L1285" s="3">
        <v>30.5372100321723</v>
      </c>
      <c r="M1285" s="3">
        <v>33.357719014015998</v>
      </c>
      <c r="N1285" s="3">
        <v>36.569632119864202</v>
      </c>
      <c r="O1285" s="3">
        <v>39.852471505444399</v>
      </c>
      <c r="P1285" s="3">
        <v>43.552910325743099</v>
      </c>
    </row>
    <row r="1286" spans="1:16" x14ac:dyDescent="0.3">
      <c r="A1286" s="3" t="str">
        <f t="shared" si="19"/>
        <v>COA</v>
      </c>
      <c r="C1286" s="3" t="s">
        <v>850</v>
      </c>
      <c r="D1286" s="3" t="s">
        <v>710</v>
      </c>
      <c r="E1286" s="3" t="s">
        <v>809</v>
      </c>
      <c r="F1286" s="3" t="s">
        <v>7</v>
      </c>
      <c r="G1286" s="3">
        <v>6.5509840002164602E-2</v>
      </c>
      <c r="H1286" s="3">
        <v>16.645016751668301</v>
      </c>
      <c r="I1286" s="3">
        <v>17.261903769228098</v>
      </c>
      <c r="J1286" s="3">
        <v>19.6585584605679</v>
      </c>
      <c r="K1286" s="3">
        <v>21.533325251253</v>
      </c>
      <c r="L1286" s="3">
        <v>23.4555465426726</v>
      </c>
      <c r="M1286" s="3">
        <v>25.621971688517998</v>
      </c>
      <c r="N1286" s="3">
        <v>28.089033259168001</v>
      </c>
      <c r="O1286" s="3">
        <v>30.6105731090584</v>
      </c>
      <c r="P1286" s="3">
        <v>33.452869929442002</v>
      </c>
    </row>
    <row r="1287" spans="1:16" x14ac:dyDescent="0.3">
      <c r="A1287" s="3" t="str">
        <f t="shared" si="19"/>
        <v>COA</v>
      </c>
      <c r="C1287" s="3" t="s">
        <v>850</v>
      </c>
      <c r="D1287" s="3" t="s">
        <v>710</v>
      </c>
      <c r="E1287" s="3" t="s">
        <v>809</v>
      </c>
      <c r="F1287" s="3" t="s">
        <v>8</v>
      </c>
      <c r="G1287" s="3">
        <v>4.1077653463156803E-2</v>
      </c>
      <c r="H1287" s="3">
        <v>9.19632608667564</v>
      </c>
      <c r="J1287" s="3">
        <v>12.3268115446739</v>
      </c>
      <c r="K1287" s="3">
        <v>13.5023757125829</v>
      </c>
      <c r="L1287" s="3">
        <v>14.707696013866199</v>
      </c>
      <c r="M1287" s="3">
        <v>16.0661432546468</v>
      </c>
      <c r="N1287" s="3">
        <v>17.613103226890399</v>
      </c>
      <c r="O1287" s="3">
        <v>19.194223561544099</v>
      </c>
      <c r="P1287" s="3">
        <v>20.976473126239998</v>
      </c>
    </row>
    <row r="1288" spans="1:16" x14ac:dyDescent="0.3">
      <c r="A1288" s="3" t="str">
        <f t="shared" ref="A1288:A1351" si="20">RIGHT(E1288,3)</f>
        <v>DST</v>
      </c>
      <c r="C1288" s="3" t="s">
        <v>850</v>
      </c>
      <c r="D1288" s="3" t="s">
        <v>710</v>
      </c>
      <c r="E1288" s="3" t="s">
        <v>814</v>
      </c>
      <c r="F1288" s="3" t="s">
        <v>0</v>
      </c>
      <c r="G1288" s="3">
        <v>0.34728213132666502</v>
      </c>
    </row>
    <row r="1289" spans="1:16" x14ac:dyDescent="0.3">
      <c r="A1289" s="3" t="str">
        <f t="shared" si="20"/>
        <v>DST</v>
      </c>
      <c r="C1289" s="3" t="s">
        <v>850</v>
      </c>
      <c r="D1289" s="3" t="s">
        <v>710</v>
      </c>
      <c r="E1289" s="3" t="s">
        <v>814</v>
      </c>
      <c r="F1289" s="3" t="s">
        <v>1</v>
      </c>
      <c r="G1289" s="3">
        <v>0.955950867558509</v>
      </c>
    </row>
    <row r="1290" spans="1:16" x14ac:dyDescent="0.3">
      <c r="A1290" s="3" t="str">
        <f t="shared" si="20"/>
        <v>DST</v>
      </c>
      <c r="C1290" s="3" t="s">
        <v>850</v>
      </c>
      <c r="D1290" s="3" t="s">
        <v>710</v>
      </c>
      <c r="E1290" s="3" t="s">
        <v>814</v>
      </c>
      <c r="F1290" s="3" t="s">
        <v>5</v>
      </c>
      <c r="G1290" s="3">
        <v>0.46368023145875897</v>
      </c>
    </row>
    <row r="1291" spans="1:16" x14ac:dyDescent="0.3">
      <c r="A1291" s="3" t="str">
        <f t="shared" si="20"/>
        <v>DST</v>
      </c>
      <c r="C1291" s="3" t="s">
        <v>850</v>
      </c>
      <c r="D1291" s="3" t="s">
        <v>710</v>
      </c>
      <c r="E1291" s="3" t="s">
        <v>814</v>
      </c>
      <c r="F1291" s="3" t="s">
        <v>6</v>
      </c>
      <c r="G1291" s="3">
        <v>1.6108262183381501</v>
      </c>
    </row>
    <row r="1292" spans="1:16" x14ac:dyDescent="0.3">
      <c r="A1292" s="3" t="str">
        <f t="shared" si="20"/>
        <v>DST</v>
      </c>
      <c r="C1292" s="3" t="s">
        <v>850</v>
      </c>
      <c r="D1292" s="3" t="s">
        <v>710</v>
      </c>
      <c r="E1292" s="3" t="s">
        <v>814</v>
      </c>
      <c r="F1292" s="3" t="s">
        <v>7</v>
      </c>
      <c r="G1292" s="3">
        <v>2.93693130133554</v>
      </c>
    </row>
    <row r="1293" spans="1:16" x14ac:dyDescent="0.3">
      <c r="A1293" s="3" t="str">
        <f t="shared" si="20"/>
        <v>DST</v>
      </c>
      <c r="C1293" s="3" t="s">
        <v>850</v>
      </c>
      <c r="D1293" s="3" t="s">
        <v>710</v>
      </c>
      <c r="E1293" s="3" t="s">
        <v>814</v>
      </c>
      <c r="F1293" s="3" t="s">
        <v>8</v>
      </c>
      <c r="G1293" s="3">
        <v>0.29051775895360499</v>
      </c>
    </row>
    <row r="1294" spans="1:16" x14ac:dyDescent="0.3">
      <c r="A1294" s="3" t="str">
        <f t="shared" si="20"/>
        <v>ELC</v>
      </c>
      <c r="C1294" s="3" t="s">
        <v>850</v>
      </c>
      <c r="D1294" s="3" t="s">
        <v>710</v>
      </c>
      <c r="E1294" s="3" t="s">
        <v>856</v>
      </c>
      <c r="F1294" s="3" t="s">
        <v>0</v>
      </c>
      <c r="G1294" s="3">
        <v>1.2581906071278</v>
      </c>
    </row>
    <row r="1295" spans="1:16" x14ac:dyDescent="0.3">
      <c r="A1295" s="3" t="str">
        <f t="shared" si="20"/>
        <v>ELC</v>
      </c>
      <c r="C1295" s="3" t="s">
        <v>850</v>
      </c>
      <c r="D1295" s="3" t="s">
        <v>710</v>
      </c>
      <c r="E1295" s="3" t="s">
        <v>856</v>
      </c>
      <c r="F1295" s="3" t="s">
        <v>1</v>
      </c>
      <c r="G1295" s="3">
        <v>3.4633754343854499</v>
      </c>
    </row>
    <row r="1296" spans="1:16" x14ac:dyDescent="0.3">
      <c r="A1296" s="3" t="str">
        <f t="shared" si="20"/>
        <v>ELC</v>
      </c>
      <c r="C1296" s="3" t="s">
        <v>850</v>
      </c>
      <c r="D1296" s="3" t="s">
        <v>710</v>
      </c>
      <c r="E1296" s="3" t="s">
        <v>856</v>
      </c>
      <c r="F1296" s="3" t="s">
        <v>2</v>
      </c>
      <c r="G1296" s="3">
        <v>13.253676525693701</v>
      </c>
    </row>
    <row r="1297" spans="1:9" x14ac:dyDescent="0.3">
      <c r="A1297" s="3" t="str">
        <f t="shared" si="20"/>
        <v>ELC</v>
      </c>
      <c r="C1297" s="3" t="s">
        <v>850</v>
      </c>
      <c r="D1297" s="3" t="s">
        <v>710</v>
      </c>
      <c r="E1297" s="3" t="s">
        <v>856</v>
      </c>
      <c r="F1297" s="3" t="s">
        <v>3</v>
      </c>
      <c r="G1297" s="3">
        <v>8.9770302530978494</v>
      </c>
    </row>
    <row r="1298" spans="1:9" x14ac:dyDescent="0.3">
      <c r="A1298" s="3" t="str">
        <f t="shared" si="20"/>
        <v>ELC</v>
      </c>
      <c r="C1298" s="3" t="s">
        <v>850</v>
      </c>
      <c r="D1298" s="3" t="s">
        <v>710</v>
      </c>
      <c r="E1298" s="3" t="s">
        <v>856</v>
      </c>
      <c r="F1298" s="3" t="s">
        <v>4</v>
      </c>
      <c r="G1298" s="3">
        <v>3.1719655561428399</v>
      </c>
      <c r="I1298" s="3">
        <v>1.21555424428814</v>
      </c>
    </row>
    <row r="1299" spans="1:9" x14ac:dyDescent="0.3">
      <c r="A1299" s="3" t="str">
        <f t="shared" si="20"/>
        <v>ELC</v>
      </c>
      <c r="C1299" s="3" t="s">
        <v>850</v>
      </c>
      <c r="D1299" s="3" t="s">
        <v>710</v>
      </c>
      <c r="E1299" s="3" t="s">
        <v>856</v>
      </c>
      <c r="F1299" s="3" t="s">
        <v>5</v>
      </c>
      <c r="G1299" s="3">
        <v>2.7648300117078799</v>
      </c>
      <c r="H1299" s="3">
        <v>6.2378930811436497</v>
      </c>
      <c r="I1299" s="3">
        <v>6.4690779045712699</v>
      </c>
    </row>
    <row r="1300" spans="1:9" x14ac:dyDescent="0.3">
      <c r="A1300" s="3" t="str">
        <f t="shared" si="20"/>
        <v>ELC</v>
      </c>
      <c r="C1300" s="3" t="s">
        <v>850</v>
      </c>
      <c r="D1300" s="3" t="s">
        <v>710</v>
      </c>
      <c r="E1300" s="3" t="s">
        <v>856</v>
      </c>
      <c r="F1300" s="3" t="s">
        <v>6</v>
      </c>
      <c r="G1300" s="3">
        <v>9.6050259854637492</v>
      </c>
    </row>
    <row r="1301" spans="1:9" x14ac:dyDescent="0.3">
      <c r="A1301" s="3" t="str">
        <f t="shared" si="20"/>
        <v>ELC</v>
      </c>
      <c r="C1301" s="3" t="s">
        <v>850</v>
      </c>
      <c r="D1301" s="3" t="s">
        <v>710</v>
      </c>
      <c r="E1301" s="3" t="s">
        <v>856</v>
      </c>
      <c r="F1301" s="3" t="s">
        <v>7</v>
      </c>
      <c r="G1301" s="3">
        <v>4.9574571951823696</v>
      </c>
    </row>
    <row r="1302" spans="1:9" x14ac:dyDescent="0.3">
      <c r="A1302" s="3" t="str">
        <f t="shared" si="20"/>
        <v>ELC</v>
      </c>
      <c r="C1302" s="3" t="s">
        <v>850</v>
      </c>
      <c r="D1302" s="3" t="s">
        <v>710</v>
      </c>
      <c r="E1302" s="3" t="s">
        <v>856</v>
      </c>
      <c r="F1302" s="3" t="s">
        <v>8</v>
      </c>
      <c r="G1302" s="3">
        <v>3.1085514590694401</v>
      </c>
    </row>
    <row r="1303" spans="1:9" x14ac:dyDescent="0.3">
      <c r="A1303" s="3" t="str">
        <f t="shared" si="20"/>
        <v>LPG</v>
      </c>
      <c r="C1303" s="3" t="s">
        <v>850</v>
      </c>
      <c r="D1303" s="3" t="s">
        <v>710</v>
      </c>
      <c r="E1303" s="3" t="s">
        <v>819</v>
      </c>
      <c r="F1303" s="3" t="s">
        <v>0</v>
      </c>
      <c r="G1303" s="3">
        <v>0.10003826432157401</v>
      </c>
    </row>
    <row r="1304" spans="1:9" x14ac:dyDescent="0.3">
      <c r="A1304" s="3" t="str">
        <f t="shared" si="20"/>
        <v>LPG</v>
      </c>
      <c r="C1304" s="3" t="s">
        <v>850</v>
      </c>
      <c r="D1304" s="3" t="s">
        <v>710</v>
      </c>
      <c r="E1304" s="3" t="s">
        <v>819</v>
      </c>
      <c r="F1304" s="3" t="s">
        <v>1</v>
      </c>
      <c r="G1304" s="3">
        <v>0.27537168469314099</v>
      </c>
    </row>
    <row r="1305" spans="1:9" x14ac:dyDescent="0.3">
      <c r="A1305" s="3" t="str">
        <f t="shared" si="20"/>
        <v>LPG</v>
      </c>
      <c r="C1305" s="3" t="s">
        <v>850</v>
      </c>
      <c r="D1305" s="3" t="s">
        <v>710</v>
      </c>
      <c r="E1305" s="3" t="s">
        <v>819</v>
      </c>
      <c r="F1305" s="3" t="s">
        <v>5</v>
      </c>
      <c r="G1305" s="3">
        <v>0.1335679592214</v>
      </c>
    </row>
    <row r="1306" spans="1:9" x14ac:dyDescent="0.3">
      <c r="A1306" s="3" t="str">
        <f t="shared" si="20"/>
        <v>LPG</v>
      </c>
      <c r="C1306" s="3" t="s">
        <v>850</v>
      </c>
      <c r="D1306" s="3" t="s">
        <v>710</v>
      </c>
      <c r="E1306" s="3" t="s">
        <v>819</v>
      </c>
      <c r="F1306" s="3" t="s">
        <v>6</v>
      </c>
      <c r="G1306" s="3">
        <v>0.46401540554535398</v>
      </c>
    </row>
    <row r="1307" spans="1:9" x14ac:dyDescent="0.3">
      <c r="A1307" s="3" t="str">
        <f t="shared" si="20"/>
        <v>LPG</v>
      </c>
      <c r="C1307" s="3" t="s">
        <v>850</v>
      </c>
      <c r="D1307" s="3" t="s">
        <v>710</v>
      </c>
      <c r="E1307" s="3" t="s">
        <v>819</v>
      </c>
      <c r="F1307" s="3" t="s">
        <v>7</v>
      </c>
      <c r="G1307" s="3">
        <v>0.23073106323846601</v>
      </c>
    </row>
    <row r="1308" spans="1:9" x14ac:dyDescent="0.3">
      <c r="A1308" s="3" t="str">
        <f t="shared" si="20"/>
        <v>LPG</v>
      </c>
      <c r="C1308" s="3" t="s">
        <v>850</v>
      </c>
      <c r="D1308" s="3" t="s">
        <v>710</v>
      </c>
      <c r="E1308" s="3" t="s">
        <v>819</v>
      </c>
      <c r="F1308" s="3" t="s">
        <v>8</v>
      </c>
      <c r="G1308" s="3">
        <v>0.14467888577627799</v>
      </c>
    </row>
    <row r="1309" spans="1:9" x14ac:dyDescent="0.3">
      <c r="A1309" s="3" t="str">
        <f t="shared" si="20"/>
        <v>NGA</v>
      </c>
      <c r="C1309" s="3" t="s">
        <v>850</v>
      </c>
      <c r="D1309" s="3" t="s">
        <v>710</v>
      </c>
      <c r="E1309" s="3" t="s">
        <v>824</v>
      </c>
      <c r="F1309" s="3" t="s">
        <v>0</v>
      </c>
      <c r="G1309" s="3">
        <v>1.5994266192244899</v>
      </c>
    </row>
    <row r="1310" spans="1:9" x14ac:dyDescent="0.3">
      <c r="A1310" s="3" t="str">
        <f t="shared" si="20"/>
        <v>NGA</v>
      </c>
      <c r="C1310" s="3" t="s">
        <v>850</v>
      </c>
      <c r="D1310" s="3" t="s">
        <v>710</v>
      </c>
      <c r="E1310" s="3" t="s">
        <v>824</v>
      </c>
      <c r="F1310" s="3" t="s">
        <v>1</v>
      </c>
      <c r="G1310" s="3">
        <v>4.4026833698668497</v>
      </c>
    </row>
    <row r="1311" spans="1:9" x14ac:dyDescent="0.3">
      <c r="A1311" s="3" t="str">
        <f t="shared" si="20"/>
        <v>NGA</v>
      </c>
      <c r="C1311" s="3" t="s">
        <v>850</v>
      </c>
      <c r="D1311" s="3" t="s">
        <v>710</v>
      </c>
      <c r="E1311" s="3" t="s">
        <v>824</v>
      </c>
      <c r="F1311" s="3" t="s">
        <v>2</v>
      </c>
      <c r="G1311" s="3">
        <v>12.196118074121401</v>
      </c>
    </row>
    <row r="1312" spans="1:9" x14ac:dyDescent="0.3">
      <c r="A1312" s="3" t="str">
        <f t="shared" si="20"/>
        <v>NGA</v>
      </c>
      <c r="C1312" s="3" t="s">
        <v>850</v>
      </c>
      <c r="D1312" s="3" t="s">
        <v>710</v>
      </c>
      <c r="E1312" s="3" t="s">
        <v>824</v>
      </c>
      <c r="F1312" s="3" t="s">
        <v>3</v>
      </c>
      <c r="G1312" s="3">
        <v>7.2107515633238402</v>
      </c>
    </row>
    <row r="1313" spans="1:16" x14ac:dyDescent="0.3">
      <c r="A1313" s="3" t="str">
        <f t="shared" si="20"/>
        <v>NGA</v>
      </c>
      <c r="C1313" s="3" t="s">
        <v>850</v>
      </c>
      <c r="D1313" s="3" t="s">
        <v>710</v>
      </c>
      <c r="E1313" s="3" t="s">
        <v>824</v>
      </c>
      <c r="F1313" s="3" t="s">
        <v>4</v>
      </c>
      <c r="G1313" s="3">
        <v>2.4827500260497302</v>
      </c>
      <c r="I1313" s="3">
        <v>6.2061288994901496</v>
      </c>
    </row>
    <row r="1314" spans="1:16" x14ac:dyDescent="0.3">
      <c r="A1314" s="3" t="str">
        <f t="shared" si="20"/>
        <v>NGA</v>
      </c>
      <c r="C1314" s="3" t="s">
        <v>850</v>
      </c>
      <c r="D1314" s="3" t="s">
        <v>710</v>
      </c>
      <c r="E1314" s="3" t="s">
        <v>824</v>
      </c>
      <c r="F1314" s="3" t="s">
        <v>5</v>
      </c>
      <c r="G1314" s="3">
        <v>2.8028494702517599</v>
      </c>
    </row>
    <row r="1315" spans="1:16" x14ac:dyDescent="0.3">
      <c r="A1315" s="3" t="str">
        <f t="shared" si="20"/>
        <v>NGA</v>
      </c>
      <c r="C1315" s="3" t="s">
        <v>850</v>
      </c>
      <c r="D1315" s="3" t="s">
        <v>710</v>
      </c>
      <c r="E1315" s="3" t="s">
        <v>824</v>
      </c>
      <c r="F1315" s="3" t="s">
        <v>6</v>
      </c>
      <c r="G1315" s="3">
        <v>9.7371056741682604</v>
      </c>
      <c r="I1315" s="3">
        <v>22.473591907017099</v>
      </c>
    </row>
    <row r="1316" spans="1:16" x14ac:dyDescent="0.3">
      <c r="A1316" s="3" t="str">
        <f t="shared" si="20"/>
        <v>NGA</v>
      </c>
      <c r="C1316" s="3" t="s">
        <v>850</v>
      </c>
      <c r="D1316" s="3" t="s">
        <v>710</v>
      </c>
      <c r="E1316" s="3" t="s">
        <v>824</v>
      </c>
      <c r="F1316" s="3" t="s">
        <v>7</v>
      </c>
      <c r="G1316" s="3">
        <v>8.3001655975198005</v>
      </c>
    </row>
    <row r="1317" spans="1:16" x14ac:dyDescent="0.3">
      <c r="A1317" s="3" t="str">
        <f t="shared" si="20"/>
        <v>NGA</v>
      </c>
      <c r="C1317" s="3" t="s">
        <v>850</v>
      </c>
      <c r="D1317" s="3" t="s">
        <v>710</v>
      </c>
      <c r="E1317" s="3" t="s">
        <v>824</v>
      </c>
      <c r="F1317" s="3" t="s">
        <v>8</v>
      </c>
      <c r="G1317" s="3">
        <v>5.20458187793571</v>
      </c>
      <c r="I1317" s="3">
        <v>10.823999892585499</v>
      </c>
    </row>
    <row r="1318" spans="1:16" x14ac:dyDescent="0.3">
      <c r="A1318" s="3" t="str">
        <f t="shared" si="20"/>
        <v>BIO</v>
      </c>
      <c r="C1318" s="3" t="s">
        <v>850</v>
      </c>
      <c r="D1318" s="3" t="s">
        <v>706</v>
      </c>
      <c r="E1318" s="3" t="s">
        <v>841</v>
      </c>
      <c r="F1318" s="3" t="s">
        <v>2</v>
      </c>
      <c r="G1318" s="3">
        <v>0.60357172678826398</v>
      </c>
      <c r="H1318" s="3">
        <v>2.2483924430708599</v>
      </c>
      <c r="J1318" s="3">
        <v>3.0173289702755399</v>
      </c>
      <c r="K1318" s="3">
        <v>3.3050809008859101</v>
      </c>
      <c r="L1318" s="3">
        <v>3.6001164703308599</v>
      </c>
      <c r="N1318" s="3">
        <v>4.3112954579007097</v>
      </c>
      <c r="O1318" s="3">
        <v>4.6983185071257703</v>
      </c>
      <c r="P1318" s="3">
        <v>5.1345735130799497</v>
      </c>
    </row>
    <row r="1319" spans="1:16" x14ac:dyDescent="0.3">
      <c r="A1319" s="3" t="str">
        <f t="shared" si="20"/>
        <v>BIO</v>
      </c>
      <c r="C1319" s="3" t="s">
        <v>850</v>
      </c>
      <c r="D1319" s="3" t="s">
        <v>706</v>
      </c>
      <c r="E1319" s="3" t="s">
        <v>841</v>
      </c>
      <c r="F1319" s="3" t="s">
        <v>3</v>
      </c>
      <c r="G1319" s="3">
        <v>0.365542481359378</v>
      </c>
      <c r="H1319" s="3">
        <v>1.4532511278631699</v>
      </c>
      <c r="J1319" s="3">
        <v>2.0437086567792799</v>
      </c>
      <c r="K1319" s="3">
        <v>2.2386098814672599</v>
      </c>
      <c r="L1319" s="3">
        <v>2.4384444879262901</v>
      </c>
      <c r="M1319" s="3">
        <v>2.6636665881993</v>
      </c>
      <c r="P1319" s="3">
        <v>3.4777687288743402</v>
      </c>
    </row>
    <row r="1320" spans="1:16" x14ac:dyDescent="0.3">
      <c r="A1320" s="3" t="str">
        <f t="shared" si="20"/>
        <v>BIO</v>
      </c>
      <c r="C1320" s="3" t="s">
        <v>850</v>
      </c>
      <c r="D1320" s="3" t="s">
        <v>706</v>
      </c>
      <c r="E1320" s="3" t="s">
        <v>841</v>
      </c>
      <c r="F1320" s="3" t="s">
        <v>7</v>
      </c>
      <c r="H1320" s="3">
        <v>0.76995867258592798</v>
      </c>
      <c r="J1320" s="3">
        <v>0.90935790591707899</v>
      </c>
      <c r="K1320" s="3">
        <v>0.99608013462372202</v>
      </c>
      <c r="L1320" s="3">
        <v>1.0849974950589101</v>
      </c>
      <c r="M1320" s="3">
        <v>1.1852111418480999</v>
      </c>
    </row>
    <row r="1321" spans="1:16" x14ac:dyDescent="0.3">
      <c r="A1321" s="3" t="str">
        <f t="shared" si="20"/>
        <v>BIO</v>
      </c>
      <c r="C1321" s="3" t="s">
        <v>850</v>
      </c>
      <c r="D1321" s="3" t="s">
        <v>706</v>
      </c>
      <c r="E1321" s="3" t="s">
        <v>841</v>
      </c>
      <c r="F1321" s="3" t="s">
        <v>8</v>
      </c>
      <c r="H1321" s="3">
        <v>0.42540005408251602</v>
      </c>
      <c r="J1321" s="3">
        <v>0.57020882560557895</v>
      </c>
      <c r="K1321" s="3">
        <v>0.62458761294877096</v>
      </c>
      <c r="L1321" s="3">
        <v>0.68034284786758703</v>
      </c>
      <c r="M1321" s="3">
        <v>0.74318136884321495</v>
      </c>
      <c r="O1321" s="3">
        <v>0.887878883827661</v>
      </c>
    </row>
    <row r="1322" spans="1:16" x14ac:dyDescent="0.3">
      <c r="A1322" s="3" t="str">
        <f t="shared" si="20"/>
        <v>LPG</v>
      </c>
      <c r="C1322" s="3" t="s">
        <v>850</v>
      </c>
      <c r="D1322" s="3" t="s">
        <v>706</v>
      </c>
      <c r="E1322" s="3" t="s">
        <v>845</v>
      </c>
      <c r="F1322" s="3" t="s">
        <v>2</v>
      </c>
      <c r="G1322" s="3">
        <v>6.4632558364786402E-2</v>
      </c>
    </row>
    <row r="1323" spans="1:16" x14ac:dyDescent="0.3">
      <c r="A1323" s="3" t="str">
        <f t="shared" si="20"/>
        <v>NGA</v>
      </c>
      <c r="C1323" s="3" t="s">
        <v>850</v>
      </c>
      <c r="D1323" s="3" t="s">
        <v>706</v>
      </c>
      <c r="E1323" s="3" t="s">
        <v>846</v>
      </c>
      <c r="F1323" s="3" t="s">
        <v>2</v>
      </c>
      <c r="G1323" s="3">
        <v>1.4799177329981801</v>
      </c>
      <c r="I1323" s="3">
        <v>2.64947414274934</v>
      </c>
      <c r="M1323" s="3">
        <v>3.9326341047039501</v>
      </c>
    </row>
    <row r="1324" spans="1:16" x14ac:dyDescent="0.3">
      <c r="A1324" s="3" t="str">
        <f t="shared" si="20"/>
        <v>NGA</v>
      </c>
      <c r="C1324" s="3" t="s">
        <v>850</v>
      </c>
      <c r="D1324" s="3" t="s">
        <v>706</v>
      </c>
      <c r="E1324" s="3" t="s">
        <v>846</v>
      </c>
      <c r="F1324" s="3" t="s">
        <v>3</v>
      </c>
      <c r="G1324" s="3">
        <v>1.0023834696331699</v>
      </c>
      <c r="I1324" s="3">
        <v>1.79455183534566</v>
      </c>
      <c r="N1324" s="3">
        <v>2.9201429264241501</v>
      </c>
      <c r="O1324" s="3">
        <v>3.1822828401910201</v>
      </c>
    </row>
    <row r="1325" spans="1:16" x14ac:dyDescent="0.3">
      <c r="A1325" s="3" t="str">
        <f t="shared" si="20"/>
        <v>NGA</v>
      </c>
      <c r="C1325" s="3" t="s">
        <v>850</v>
      </c>
      <c r="D1325" s="3" t="s">
        <v>706</v>
      </c>
      <c r="E1325" s="3" t="s">
        <v>846</v>
      </c>
      <c r="F1325" s="3" t="s">
        <v>7</v>
      </c>
      <c r="G1325" s="3">
        <v>0.76282474301015302</v>
      </c>
      <c r="I1325" s="3">
        <v>0.79849439088902197</v>
      </c>
      <c r="N1325" s="3">
        <v>1.2993315107528101</v>
      </c>
      <c r="O1325" s="3">
        <v>1.4159719145841601</v>
      </c>
      <c r="P1325" s="3">
        <v>1.54744976886138</v>
      </c>
    </row>
    <row r="1326" spans="1:16" x14ac:dyDescent="0.3">
      <c r="A1326" s="3" t="str">
        <f t="shared" si="20"/>
        <v>NGA</v>
      </c>
      <c r="C1326" s="3" t="s">
        <v>850</v>
      </c>
      <c r="D1326" s="3" t="s">
        <v>706</v>
      </c>
      <c r="E1326" s="3" t="s">
        <v>846</v>
      </c>
      <c r="F1326" s="3" t="s">
        <v>8</v>
      </c>
      <c r="G1326" s="3">
        <v>0.40657697955969202</v>
      </c>
      <c r="I1326" s="3">
        <v>0.50069235217381103</v>
      </c>
      <c r="N1326" s="3">
        <v>0.81474003799582095</v>
      </c>
      <c r="P1326" s="3">
        <v>0.97032148689157804</v>
      </c>
    </row>
    <row r="1327" spans="1:16" x14ac:dyDescent="0.3">
      <c r="A1327" s="3" t="str">
        <f t="shared" si="20"/>
        <v>COA</v>
      </c>
      <c r="C1327" s="3" t="s">
        <v>850</v>
      </c>
      <c r="D1327" s="3" t="s">
        <v>857</v>
      </c>
      <c r="E1327" s="3" t="s">
        <v>843</v>
      </c>
      <c r="F1327" s="3" t="s">
        <v>2</v>
      </c>
      <c r="G1327" s="3">
        <v>25.299678862109101</v>
      </c>
      <c r="H1327" s="3">
        <v>25.299678862109101</v>
      </c>
      <c r="I1327" s="3">
        <v>25.299678862109101</v>
      </c>
      <c r="J1327" s="3">
        <v>25.299678862109101</v>
      </c>
      <c r="K1327" s="3">
        <v>25.299678862109101</v>
      </c>
      <c r="L1327" s="3">
        <v>25.299678862109101</v>
      </c>
      <c r="M1327" s="3">
        <v>25.299678862109101</v>
      </c>
      <c r="N1327" s="3">
        <v>25.299678862109101</v>
      </c>
      <c r="O1327" s="3">
        <v>25.299678862109101</v>
      </c>
      <c r="P1327" s="3">
        <v>25.299678862109101</v>
      </c>
    </row>
    <row r="1328" spans="1:16" x14ac:dyDescent="0.3">
      <c r="A1328" s="3" t="str">
        <f t="shared" si="20"/>
        <v>COA</v>
      </c>
      <c r="C1328" s="3" t="s">
        <v>850</v>
      </c>
      <c r="D1328" s="3" t="s">
        <v>857</v>
      </c>
      <c r="E1328" s="3" t="s">
        <v>843</v>
      </c>
      <c r="F1328" s="3" t="s">
        <v>3</v>
      </c>
      <c r="G1328" s="3">
        <v>3.2743069198881098</v>
      </c>
      <c r="H1328" s="3">
        <v>3.2743069198881098</v>
      </c>
      <c r="I1328" s="3">
        <v>3.2743069198881098</v>
      </c>
      <c r="J1328" s="3">
        <v>3.2743069198881098</v>
      </c>
      <c r="K1328" s="3">
        <v>3.2743069198881098</v>
      </c>
      <c r="L1328" s="3">
        <v>3.2743069198881098</v>
      </c>
      <c r="M1328" s="3">
        <v>3.2743069198881098</v>
      </c>
      <c r="N1328" s="3">
        <v>3.2743069198881098</v>
      </c>
      <c r="O1328" s="3">
        <v>3.2743069198881098</v>
      </c>
      <c r="P1328" s="3">
        <v>3.2743069198881098</v>
      </c>
    </row>
    <row r="1329" spans="1:16" x14ac:dyDescent="0.3">
      <c r="A1329" s="3" t="str">
        <f t="shared" si="20"/>
        <v>COA</v>
      </c>
      <c r="C1329" s="3" t="s">
        <v>850</v>
      </c>
      <c r="D1329" s="3" t="s">
        <v>857</v>
      </c>
      <c r="E1329" s="3" t="s">
        <v>843</v>
      </c>
      <c r="F1329" s="3" t="s">
        <v>4</v>
      </c>
      <c r="G1329" s="3">
        <v>28.088062318676801</v>
      </c>
      <c r="H1329" s="3">
        <v>28.088062318676801</v>
      </c>
      <c r="I1329" s="3">
        <v>28.088062318676801</v>
      </c>
      <c r="J1329" s="3">
        <v>28.088062318676801</v>
      </c>
      <c r="K1329" s="3">
        <v>28.088062318676801</v>
      </c>
      <c r="L1329" s="3">
        <v>28.088062318676801</v>
      </c>
      <c r="M1329" s="3">
        <v>28.088062318676801</v>
      </c>
      <c r="N1329" s="3">
        <v>28.088062318676801</v>
      </c>
      <c r="O1329" s="3">
        <v>28.088062318676801</v>
      </c>
      <c r="P1329" s="3">
        <v>28.088062318676801</v>
      </c>
    </row>
    <row r="1330" spans="1:16" x14ac:dyDescent="0.3">
      <c r="A1330" s="3" t="str">
        <f t="shared" si="20"/>
        <v>COA</v>
      </c>
      <c r="C1330" s="3" t="s">
        <v>850</v>
      </c>
      <c r="D1330" s="3" t="s">
        <v>857</v>
      </c>
      <c r="E1330" s="3" t="s">
        <v>843</v>
      </c>
      <c r="F1330" s="3" t="s">
        <v>7</v>
      </c>
      <c r="G1330" s="3">
        <v>0.62192028573654001</v>
      </c>
      <c r="H1330" s="3">
        <v>0.62192028573654001</v>
      </c>
      <c r="I1330" s="3">
        <v>0.62192028573654001</v>
      </c>
      <c r="J1330" s="3">
        <v>0.62192028573654001</v>
      </c>
      <c r="K1330" s="3">
        <v>0.62192028573654001</v>
      </c>
      <c r="L1330" s="3">
        <v>0.62192028573654001</v>
      </c>
      <c r="M1330" s="3">
        <v>0.62192028573654001</v>
      </c>
    </row>
    <row r="1331" spans="1:16" x14ac:dyDescent="0.3">
      <c r="A1331" s="3" t="str">
        <f t="shared" si="20"/>
        <v>COA</v>
      </c>
      <c r="C1331" s="3" t="s">
        <v>850</v>
      </c>
      <c r="D1331" s="3" t="s">
        <v>857</v>
      </c>
      <c r="E1331" s="3" t="s">
        <v>843</v>
      </c>
      <c r="F1331" s="3" t="s">
        <v>8</v>
      </c>
      <c r="G1331" s="3">
        <v>5.6303681940056096</v>
      </c>
      <c r="H1331" s="3">
        <v>5.6303681940056096</v>
      </c>
      <c r="I1331" s="3">
        <v>5.6303681940056096</v>
      </c>
      <c r="J1331" s="3">
        <v>5.6303681940056096</v>
      </c>
      <c r="K1331" s="3">
        <v>5.6303681940056096</v>
      </c>
      <c r="L1331" s="3">
        <v>5.6303681940056096</v>
      </c>
      <c r="M1331" s="3">
        <v>5.6303681940056096</v>
      </c>
      <c r="N1331" s="3">
        <v>5.6303681940056096</v>
      </c>
      <c r="O1331" s="3">
        <v>5.6303681940056096</v>
      </c>
      <c r="P1331" s="3">
        <v>5.6303681940056096</v>
      </c>
    </row>
    <row r="1332" spans="1:16" x14ac:dyDescent="0.3">
      <c r="A1332" s="3" t="str">
        <f t="shared" si="20"/>
        <v>DST</v>
      </c>
      <c r="C1332" s="3" t="s">
        <v>850</v>
      </c>
      <c r="D1332" s="3" t="s">
        <v>857</v>
      </c>
      <c r="E1332" s="3" t="s">
        <v>813</v>
      </c>
      <c r="F1332" s="3" t="s">
        <v>0</v>
      </c>
      <c r="G1332" s="3">
        <v>0.30936441060334302</v>
      </c>
    </row>
    <row r="1333" spans="1:16" x14ac:dyDescent="0.3">
      <c r="A1333" s="3" t="str">
        <f t="shared" si="20"/>
        <v>NGA</v>
      </c>
      <c r="C1333" s="3" t="s">
        <v>850</v>
      </c>
      <c r="D1333" s="3" t="s">
        <v>857</v>
      </c>
      <c r="E1333" s="3" t="s">
        <v>839</v>
      </c>
      <c r="F1333" s="3" t="s">
        <v>1</v>
      </c>
      <c r="G1333" s="3">
        <v>0.198382367366121</v>
      </c>
      <c r="I1333" s="3">
        <v>0.198382367366121</v>
      </c>
    </row>
    <row r="1334" spans="1:16" x14ac:dyDescent="0.3">
      <c r="A1334" s="3" t="str">
        <f t="shared" si="20"/>
        <v>NGA</v>
      </c>
      <c r="C1334" s="3" t="s">
        <v>850</v>
      </c>
      <c r="D1334" s="3" t="s">
        <v>857</v>
      </c>
      <c r="E1334" s="3" t="s">
        <v>839</v>
      </c>
      <c r="F1334" s="3" t="s">
        <v>4</v>
      </c>
      <c r="I1334" s="3">
        <v>1.5444752088321301</v>
      </c>
    </row>
    <row r="1335" spans="1:16" x14ac:dyDescent="0.3">
      <c r="A1335" s="3" t="str">
        <f t="shared" si="20"/>
        <v>NGA</v>
      </c>
      <c r="C1335" s="3" t="s">
        <v>850</v>
      </c>
      <c r="D1335" s="3" t="s">
        <v>857</v>
      </c>
      <c r="E1335" s="3" t="s">
        <v>839</v>
      </c>
      <c r="F1335" s="3" t="s">
        <v>6</v>
      </c>
      <c r="G1335" s="3">
        <v>2.3616779296239998</v>
      </c>
      <c r="H1335" s="3">
        <v>3.19387597304544</v>
      </c>
      <c r="I1335" s="3">
        <v>3.19387597304544</v>
      </c>
    </row>
    <row r="1336" spans="1:16" x14ac:dyDescent="0.3">
      <c r="A1336" s="3" t="str">
        <f t="shared" si="20"/>
        <v>NGA</v>
      </c>
      <c r="C1336" s="3" t="s">
        <v>850</v>
      </c>
      <c r="D1336" s="3" t="s">
        <v>857</v>
      </c>
      <c r="E1336" s="3" t="s">
        <v>839</v>
      </c>
      <c r="F1336" s="3" t="s">
        <v>7</v>
      </c>
      <c r="I1336" s="3">
        <v>0.29383970097918899</v>
      </c>
    </row>
    <row r="1337" spans="1:16" x14ac:dyDescent="0.3">
      <c r="A1337" s="3" t="str">
        <f t="shared" si="20"/>
        <v>NGA</v>
      </c>
      <c r="C1337" s="3" t="s">
        <v>850</v>
      </c>
      <c r="D1337" s="3" t="s">
        <v>857</v>
      </c>
      <c r="E1337" s="3" t="s">
        <v>839</v>
      </c>
      <c r="F1337" s="3" t="s">
        <v>8</v>
      </c>
      <c r="G1337" s="3">
        <v>0.66691681984492801</v>
      </c>
      <c r="I1337" s="3">
        <v>0.66691681984492801</v>
      </c>
    </row>
    <row r="1338" spans="1:16" x14ac:dyDescent="0.3">
      <c r="A1338" s="3" t="str">
        <f t="shared" si="20"/>
        <v>RFL</v>
      </c>
      <c r="C1338" s="3" t="s">
        <v>850</v>
      </c>
      <c r="D1338" s="3" t="s">
        <v>857</v>
      </c>
      <c r="E1338" s="3" t="s">
        <v>831</v>
      </c>
      <c r="F1338" s="3" t="s">
        <v>0</v>
      </c>
      <c r="G1338" s="3">
        <v>0.25091428482419598</v>
      </c>
      <c r="I1338" s="3">
        <v>0.25091428482419598</v>
      </c>
    </row>
    <row r="1339" spans="1:16" x14ac:dyDescent="0.3">
      <c r="A1339" s="3" t="str">
        <f t="shared" si="20"/>
        <v>RFL</v>
      </c>
      <c r="C1339" s="3" t="s">
        <v>850</v>
      </c>
      <c r="D1339" s="3" t="s">
        <v>857</v>
      </c>
      <c r="E1339" s="3" t="s">
        <v>831</v>
      </c>
      <c r="F1339" s="3" t="s">
        <v>8</v>
      </c>
      <c r="I1339" s="3">
        <v>3.5335706566377599E-2</v>
      </c>
    </row>
    <row r="1340" spans="1:16" x14ac:dyDescent="0.3">
      <c r="A1340" s="3" t="str">
        <f t="shared" si="20"/>
        <v>LPG</v>
      </c>
      <c r="C1340" s="3" t="s">
        <v>850</v>
      </c>
      <c r="D1340" s="3" t="s">
        <v>857</v>
      </c>
      <c r="E1340" s="3" t="s">
        <v>818</v>
      </c>
      <c r="F1340" s="3" t="s">
        <v>0</v>
      </c>
      <c r="G1340" s="3">
        <v>9.8256431546047997E-3</v>
      </c>
    </row>
    <row r="1341" spans="1:16" x14ac:dyDescent="0.3">
      <c r="A1341" s="3" t="str">
        <f t="shared" si="20"/>
        <v>NGA</v>
      </c>
      <c r="C1341" s="3" t="s">
        <v>850</v>
      </c>
      <c r="D1341" s="3" t="s">
        <v>857</v>
      </c>
      <c r="E1341" s="3" t="s">
        <v>823</v>
      </c>
      <c r="F1341" s="3" t="s">
        <v>0</v>
      </c>
      <c r="G1341" s="3">
        <v>2.7660470095952698</v>
      </c>
      <c r="I1341" s="3">
        <v>2.7660470095952698</v>
      </c>
    </row>
    <row r="1342" spans="1:16" x14ac:dyDescent="0.3">
      <c r="A1342" s="3" t="str">
        <f t="shared" si="20"/>
        <v>NGA</v>
      </c>
      <c r="C1342" s="3" t="s">
        <v>850</v>
      </c>
      <c r="D1342" s="3" t="s">
        <v>857</v>
      </c>
      <c r="E1342" s="3" t="s">
        <v>823</v>
      </c>
      <c r="F1342" s="3" t="s">
        <v>1</v>
      </c>
      <c r="G1342" s="3">
        <v>1.06579583232678</v>
      </c>
    </row>
    <row r="1343" spans="1:16" x14ac:dyDescent="0.3">
      <c r="A1343" s="3" t="str">
        <f t="shared" si="20"/>
        <v>NGA</v>
      </c>
      <c r="C1343" s="3" t="s">
        <v>850</v>
      </c>
      <c r="D1343" s="3" t="s">
        <v>857</v>
      </c>
      <c r="E1343" s="3" t="s">
        <v>823</v>
      </c>
      <c r="F1343" s="3" t="s">
        <v>3</v>
      </c>
      <c r="J1343" s="3">
        <v>8.3583376626245695E-2</v>
      </c>
      <c r="K1343" s="3">
        <v>8.3583376626245695E-2</v>
      </c>
    </row>
    <row r="1344" spans="1:16" x14ac:dyDescent="0.3">
      <c r="A1344" s="3" t="str">
        <f t="shared" si="20"/>
        <v>NGA</v>
      </c>
      <c r="C1344" s="3" t="s">
        <v>850</v>
      </c>
      <c r="D1344" s="3" t="s">
        <v>857</v>
      </c>
      <c r="E1344" s="3" t="s">
        <v>823</v>
      </c>
      <c r="F1344" s="3" t="s">
        <v>4</v>
      </c>
      <c r="I1344" s="3">
        <v>11.126217717761</v>
      </c>
      <c r="J1344" s="3">
        <v>6.1351622306208302</v>
      </c>
      <c r="K1344" s="3">
        <v>5.5510230692667299</v>
      </c>
      <c r="L1344" s="3">
        <v>6.0979330674888397</v>
      </c>
    </row>
    <row r="1345" spans="1:16" x14ac:dyDescent="0.3">
      <c r="A1345" s="3" t="str">
        <f t="shared" si="20"/>
        <v>NGA</v>
      </c>
      <c r="C1345" s="3" t="s">
        <v>850</v>
      </c>
      <c r="D1345" s="3" t="s">
        <v>857</v>
      </c>
      <c r="E1345" s="3" t="s">
        <v>823</v>
      </c>
      <c r="F1345" s="3" t="s">
        <v>5</v>
      </c>
      <c r="J1345" s="3">
        <v>7.1397489477744394E-2</v>
      </c>
      <c r="L1345" s="3">
        <v>7.1397489477744394E-2</v>
      </c>
    </row>
    <row r="1346" spans="1:16" x14ac:dyDescent="0.3">
      <c r="A1346" s="3" t="str">
        <f t="shared" si="20"/>
        <v>NGA</v>
      </c>
      <c r="C1346" s="3" t="s">
        <v>850</v>
      </c>
      <c r="D1346" s="3" t="s">
        <v>857</v>
      </c>
      <c r="E1346" s="3" t="s">
        <v>823</v>
      </c>
      <c r="F1346" s="3" t="s">
        <v>6</v>
      </c>
      <c r="I1346" s="3">
        <v>0.106008184989385</v>
      </c>
      <c r="J1346" s="3">
        <v>0.106008184989385</v>
      </c>
      <c r="K1346" s="3">
        <v>0.106008184989385</v>
      </c>
      <c r="L1346" s="3">
        <v>0.106008184989385</v>
      </c>
      <c r="M1346" s="3">
        <v>0.106008184989385</v>
      </c>
    </row>
    <row r="1347" spans="1:16" x14ac:dyDescent="0.3">
      <c r="A1347" s="3" t="str">
        <f t="shared" si="20"/>
        <v>NGA</v>
      </c>
      <c r="C1347" s="3" t="s">
        <v>850</v>
      </c>
      <c r="D1347" s="3" t="s">
        <v>857</v>
      </c>
      <c r="E1347" s="3" t="s">
        <v>823</v>
      </c>
      <c r="F1347" s="3" t="s">
        <v>7</v>
      </c>
      <c r="I1347" s="3">
        <v>1.0282514331997801</v>
      </c>
      <c r="L1347" s="3">
        <v>0.90825816731768805</v>
      </c>
    </row>
    <row r="1348" spans="1:16" x14ac:dyDescent="0.3">
      <c r="A1348" s="3" t="str">
        <f t="shared" si="20"/>
        <v>NGA</v>
      </c>
      <c r="C1348" s="3" t="s">
        <v>850</v>
      </c>
      <c r="D1348" s="3" t="s">
        <v>857</v>
      </c>
      <c r="E1348" s="3" t="s">
        <v>823</v>
      </c>
      <c r="F1348" s="3" t="s">
        <v>8</v>
      </c>
      <c r="G1348" s="3">
        <v>35.897077902684103</v>
      </c>
      <c r="I1348" s="3">
        <v>8.6384815055731305</v>
      </c>
    </row>
    <row r="1349" spans="1:16" x14ac:dyDescent="0.3">
      <c r="A1349" s="3" t="str">
        <f t="shared" si="20"/>
        <v>COA</v>
      </c>
      <c r="C1349" s="3" t="s">
        <v>850</v>
      </c>
      <c r="D1349" s="3" t="s">
        <v>857</v>
      </c>
      <c r="E1349" s="3" t="s">
        <v>848</v>
      </c>
      <c r="F1349" s="3" t="s">
        <v>3</v>
      </c>
      <c r="G1349" s="3">
        <v>14.995584313298901</v>
      </c>
      <c r="J1349" s="3">
        <v>14.995584313298901</v>
      </c>
      <c r="K1349" s="3">
        <v>14.995584313298901</v>
      </c>
      <c r="L1349" s="3">
        <v>14.995584313298901</v>
      </c>
      <c r="M1349" s="3">
        <v>14.995584313298901</v>
      </c>
      <c r="N1349" s="3">
        <v>14.995584313298901</v>
      </c>
      <c r="O1349" s="3">
        <v>14.995584313298901</v>
      </c>
      <c r="P1349" s="3">
        <v>14.995584313298901</v>
      </c>
    </row>
    <row r="1350" spans="1:16" x14ac:dyDescent="0.3">
      <c r="A1350" s="3" t="str">
        <f t="shared" si="20"/>
        <v>COA</v>
      </c>
      <c r="C1350" s="3" t="s">
        <v>850</v>
      </c>
      <c r="D1350" s="3" t="s">
        <v>857</v>
      </c>
      <c r="E1350" s="3" t="s">
        <v>844</v>
      </c>
      <c r="F1350" s="3" t="s">
        <v>2</v>
      </c>
      <c r="G1350" s="3">
        <v>2.15884905566186</v>
      </c>
      <c r="J1350" s="3">
        <v>2.15884905566186</v>
      </c>
      <c r="K1350" s="3">
        <v>2.15884905566186</v>
      </c>
      <c r="L1350" s="3">
        <v>2.15884905566186</v>
      </c>
      <c r="M1350" s="3">
        <v>2.15884905566186</v>
      </c>
      <c r="N1350" s="3">
        <v>2.15884905566186</v>
      </c>
      <c r="O1350" s="3">
        <v>2.15884905566186</v>
      </c>
      <c r="P1350" s="3">
        <v>2.15884905566186</v>
      </c>
    </row>
    <row r="1351" spans="1:16" x14ac:dyDescent="0.3">
      <c r="A1351" s="3" t="str">
        <f t="shared" si="20"/>
        <v>COA</v>
      </c>
      <c r="C1351" s="3" t="s">
        <v>850</v>
      </c>
      <c r="D1351" s="3" t="s">
        <v>857</v>
      </c>
      <c r="E1351" s="3" t="s">
        <v>844</v>
      </c>
      <c r="F1351" s="3" t="s">
        <v>3</v>
      </c>
      <c r="G1351" s="3">
        <v>1.17512508381001</v>
      </c>
      <c r="J1351" s="3">
        <v>1.17512508381001</v>
      </c>
      <c r="K1351" s="3">
        <v>1.17512508381001</v>
      </c>
      <c r="L1351" s="3">
        <v>1.17512508381001</v>
      </c>
      <c r="M1351" s="3">
        <v>1.17512508381001</v>
      </c>
      <c r="N1351" s="3">
        <v>1.17512508381001</v>
      </c>
      <c r="O1351" s="3">
        <v>1.17512508381001</v>
      </c>
      <c r="P1351" s="3">
        <v>1.17512508381001</v>
      </c>
    </row>
    <row r="1352" spans="1:16" x14ac:dyDescent="0.3">
      <c r="A1352" s="3" t="str">
        <f t="shared" ref="A1352:A1415" si="21">RIGHT(E1352,3)</f>
        <v>COA</v>
      </c>
      <c r="C1352" s="3" t="s">
        <v>850</v>
      </c>
      <c r="D1352" s="3" t="s">
        <v>857</v>
      </c>
      <c r="E1352" s="3" t="s">
        <v>844</v>
      </c>
      <c r="F1352" s="3" t="s">
        <v>5</v>
      </c>
      <c r="G1352" s="3">
        <v>0.638439214417857</v>
      </c>
      <c r="J1352" s="3">
        <v>0.638439214417857</v>
      </c>
      <c r="K1352" s="3">
        <v>0.638439214417857</v>
      </c>
      <c r="L1352" s="3">
        <v>0.638439214417857</v>
      </c>
      <c r="M1352" s="3">
        <v>0.638439214417857</v>
      </c>
      <c r="N1352" s="3">
        <v>0.638439214417857</v>
      </c>
      <c r="O1352" s="3">
        <v>0.638439214417857</v>
      </c>
      <c r="P1352" s="3">
        <v>0.638439214417857</v>
      </c>
    </row>
    <row r="1353" spans="1:16" x14ac:dyDescent="0.3">
      <c r="A1353" s="3" t="str">
        <f t="shared" si="21"/>
        <v>COA</v>
      </c>
      <c r="C1353" s="3" t="s">
        <v>850</v>
      </c>
      <c r="D1353" s="3" t="s">
        <v>857</v>
      </c>
      <c r="E1353" s="3" t="s">
        <v>844</v>
      </c>
      <c r="F1353" s="3" t="s">
        <v>7</v>
      </c>
      <c r="G1353" s="3">
        <v>2.3230847140412099</v>
      </c>
      <c r="J1353" s="3">
        <v>2.3230847140412099</v>
      </c>
      <c r="K1353" s="3">
        <v>2.3230847140412099</v>
      </c>
      <c r="L1353" s="3">
        <v>2.3230847140412099</v>
      </c>
      <c r="M1353" s="3">
        <v>2.3230847140412099</v>
      </c>
    </row>
    <row r="1354" spans="1:16" x14ac:dyDescent="0.3">
      <c r="A1354" s="3" t="str">
        <f t="shared" si="21"/>
        <v>COA</v>
      </c>
      <c r="C1354" s="3" t="s">
        <v>850</v>
      </c>
      <c r="D1354" s="3" t="s">
        <v>857</v>
      </c>
      <c r="E1354" s="3" t="s">
        <v>835</v>
      </c>
      <c r="F1354" s="3" t="s">
        <v>1</v>
      </c>
      <c r="G1354" s="3">
        <v>0.431539779689876</v>
      </c>
      <c r="I1354" s="3">
        <v>0.431539779689876</v>
      </c>
      <c r="J1354" s="3">
        <v>0.431539779689876</v>
      </c>
      <c r="K1354" s="3">
        <v>0.431539779689876</v>
      </c>
      <c r="L1354" s="3">
        <v>0.431539779689876</v>
      </c>
    </row>
    <row r="1355" spans="1:16" x14ac:dyDescent="0.3">
      <c r="A1355" s="3" t="str">
        <f t="shared" si="21"/>
        <v>COA</v>
      </c>
      <c r="C1355" s="3" t="s">
        <v>850</v>
      </c>
      <c r="D1355" s="3" t="s">
        <v>857</v>
      </c>
      <c r="E1355" s="3" t="s">
        <v>835</v>
      </c>
      <c r="F1355" s="3" t="s">
        <v>2</v>
      </c>
      <c r="G1355" s="3">
        <v>1.27028217940592</v>
      </c>
      <c r="J1355" s="3">
        <v>1.27028217940592</v>
      </c>
      <c r="K1355" s="3">
        <v>1.27028217940592</v>
      </c>
      <c r="L1355" s="3">
        <v>1.27028217940592</v>
      </c>
      <c r="M1355" s="3">
        <v>1.27028217940592</v>
      </c>
      <c r="N1355" s="3">
        <v>1.27028217940592</v>
      </c>
      <c r="O1355" s="3">
        <v>1.27028217940592</v>
      </c>
      <c r="P1355" s="3">
        <v>1.27028217940592</v>
      </c>
    </row>
    <row r="1356" spans="1:16" x14ac:dyDescent="0.3">
      <c r="A1356" s="3" t="str">
        <f t="shared" si="21"/>
        <v>COA</v>
      </c>
      <c r="C1356" s="3" t="s">
        <v>850</v>
      </c>
      <c r="D1356" s="3" t="s">
        <v>857</v>
      </c>
      <c r="E1356" s="3" t="s">
        <v>835</v>
      </c>
      <c r="F1356" s="3" t="s">
        <v>3</v>
      </c>
      <c r="G1356" s="3">
        <v>6.3156120507398201</v>
      </c>
      <c r="J1356" s="3">
        <v>6.3156120507398201</v>
      </c>
      <c r="K1356" s="3">
        <v>6.3156120507398201</v>
      </c>
      <c r="L1356" s="3">
        <v>6.3156120507398201</v>
      </c>
      <c r="M1356" s="3">
        <v>6.3156120507398201</v>
      </c>
      <c r="N1356" s="3">
        <v>6.3156120507398201</v>
      </c>
      <c r="O1356" s="3">
        <v>6.3156120507398201</v>
      </c>
      <c r="P1356" s="3">
        <v>6.3156120507398201</v>
      </c>
    </row>
    <row r="1357" spans="1:16" x14ac:dyDescent="0.3">
      <c r="A1357" s="3" t="str">
        <f t="shared" si="21"/>
        <v>COA</v>
      </c>
      <c r="C1357" s="3" t="s">
        <v>850</v>
      </c>
      <c r="D1357" s="3" t="s">
        <v>857</v>
      </c>
      <c r="E1357" s="3" t="s">
        <v>835</v>
      </c>
      <c r="F1357" s="3" t="s">
        <v>5</v>
      </c>
      <c r="G1357" s="3">
        <v>0.59887718414924995</v>
      </c>
      <c r="J1357" s="3">
        <v>0.59887718414924995</v>
      </c>
      <c r="K1357" s="3">
        <v>0.59887718414924995</v>
      </c>
      <c r="L1357" s="3">
        <v>0.59887718414924995</v>
      </c>
      <c r="M1357" s="3">
        <v>0.59887718414924995</v>
      </c>
      <c r="N1357" s="3">
        <v>0.59887718414924995</v>
      </c>
      <c r="O1357" s="3">
        <v>0.59887718414924995</v>
      </c>
      <c r="P1357" s="3">
        <v>0.59887718414924995</v>
      </c>
    </row>
    <row r="1358" spans="1:16" x14ac:dyDescent="0.3">
      <c r="A1358" s="3" t="str">
        <f t="shared" si="21"/>
        <v>COA</v>
      </c>
      <c r="C1358" s="3" t="s">
        <v>850</v>
      </c>
      <c r="D1358" s="3" t="s">
        <v>857</v>
      </c>
      <c r="E1358" s="3" t="s">
        <v>835</v>
      </c>
      <c r="F1358" s="3" t="s">
        <v>7</v>
      </c>
      <c r="G1358" s="3">
        <v>1.2656209410083299</v>
      </c>
      <c r="J1358" s="3">
        <v>1.2656209410083299</v>
      </c>
      <c r="K1358" s="3">
        <v>1.2656209410083299</v>
      </c>
      <c r="L1358" s="3">
        <v>1.2656209410083299</v>
      </c>
      <c r="M1358" s="3">
        <v>1.2656209410083299</v>
      </c>
    </row>
    <row r="1359" spans="1:16" x14ac:dyDescent="0.3">
      <c r="A1359" s="3" t="str">
        <f t="shared" si="21"/>
        <v>LPG</v>
      </c>
      <c r="C1359" s="3" t="s">
        <v>850</v>
      </c>
      <c r="D1359" s="3" t="s">
        <v>857</v>
      </c>
      <c r="E1359" s="3" t="s">
        <v>820</v>
      </c>
      <c r="F1359" s="3" t="s">
        <v>0</v>
      </c>
      <c r="G1359" s="3">
        <v>3.42078530932962E-5</v>
      </c>
    </row>
    <row r="1360" spans="1:16" x14ac:dyDescent="0.3">
      <c r="A1360" s="3" t="str">
        <f t="shared" si="21"/>
        <v>NGA</v>
      </c>
      <c r="C1360" s="3" t="s">
        <v>850</v>
      </c>
      <c r="D1360" s="3" t="s">
        <v>857</v>
      </c>
      <c r="E1360" s="3" t="s">
        <v>825</v>
      </c>
      <c r="F1360" s="3" t="s">
        <v>0</v>
      </c>
      <c r="G1360" s="3">
        <v>9.6299578836206105E-3</v>
      </c>
      <c r="I1360" s="3">
        <v>9.6299578836206105E-3</v>
      </c>
      <c r="L1360" s="3">
        <v>9.6299578836206105E-3</v>
      </c>
    </row>
    <row r="1361" spans="1:16" x14ac:dyDescent="0.3">
      <c r="A1361" s="3" t="str">
        <f t="shared" si="21"/>
        <v>NGA</v>
      </c>
      <c r="C1361" s="3" t="s">
        <v>850</v>
      </c>
      <c r="D1361" s="3" t="s">
        <v>857</v>
      </c>
      <c r="E1361" s="3" t="s">
        <v>825</v>
      </c>
      <c r="F1361" s="3" t="s">
        <v>8</v>
      </c>
      <c r="I1361" s="3">
        <v>1.73742254283425E-3</v>
      </c>
    </row>
    <row r="1362" spans="1:16" x14ac:dyDescent="0.3">
      <c r="A1362" s="3" t="str">
        <f t="shared" si="21"/>
        <v>NGA</v>
      </c>
      <c r="C1362" s="3" t="s">
        <v>850</v>
      </c>
      <c r="D1362" s="3" t="s">
        <v>857</v>
      </c>
      <c r="E1362" s="3" t="s">
        <v>840</v>
      </c>
      <c r="F1362" s="3" t="s">
        <v>1</v>
      </c>
      <c r="G1362" s="3">
        <v>5.1491887692326401E-3</v>
      </c>
    </row>
    <row r="1363" spans="1:16" x14ac:dyDescent="0.3">
      <c r="A1363" s="3" t="str">
        <f t="shared" si="21"/>
        <v>NGA</v>
      </c>
      <c r="C1363" s="3" t="s">
        <v>850</v>
      </c>
      <c r="D1363" s="3" t="s">
        <v>857</v>
      </c>
      <c r="E1363" s="3" t="s">
        <v>840</v>
      </c>
      <c r="F1363" s="3" t="s">
        <v>8</v>
      </c>
      <c r="G1363" s="3">
        <v>1.1684759042077201E-2</v>
      </c>
      <c r="I1363" s="3">
        <v>1.1684759042077201E-2</v>
      </c>
    </row>
    <row r="1364" spans="1:16" x14ac:dyDescent="0.3">
      <c r="A1364" s="3" t="str">
        <f t="shared" si="21"/>
        <v>LPG</v>
      </c>
      <c r="C1364" s="3" t="s">
        <v>850</v>
      </c>
      <c r="D1364" s="3" t="s">
        <v>857</v>
      </c>
      <c r="E1364" s="3" t="s">
        <v>822</v>
      </c>
      <c r="F1364" s="3" t="s">
        <v>0</v>
      </c>
      <c r="G1364" s="3">
        <v>4.02292753867771E-4</v>
      </c>
    </row>
    <row r="1365" spans="1:16" x14ac:dyDescent="0.3">
      <c r="A1365" s="3" t="str">
        <f t="shared" si="21"/>
        <v>NGA</v>
      </c>
      <c r="C1365" s="3" t="s">
        <v>850</v>
      </c>
      <c r="D1365" s="3" t="s">
        <v>857</v>
      </c>
      <c r="E1365" s="3" t="s">
        <v>829</v>
      </c>
      <c r="F1365" s="3" t="s">
        <v>0</v>
      </c>
      <c r="G1365" s="3">
        <v>0.11325066983491</v>
      </c>
      <c r="I1365" s="3">
        <v>0.11325066983491</v>
      </c>
    </row>
    <row r="1366" spans="1:16" x14ac:dyDescent="0.3">
      <c r="A1366" s="3" t="str">
        <f t="shared" si="21"/>
        <v>NGA</v>
      </c>
      <c r="C1366" s="3" t="s">
        <v>850</v>
      </c>
      <c r="D1366" s="3" t="s">
        <v>857</v>
      </c>
      <c r="E1366" s="3" t="s">
        <v>829</v>
      </c>
      <c r="F1366" s="3" t="s">
        <v>6</v>
      </c>
      <c r="L1366" s="3">
        <v>6.2337209402388502E-2</v>
      </c>
    </row>
    <row r="1367" spans="1:16" x14ac:dyDescent="0.3">
      <c r="A1367" s="3" t="str">
        <f t="shared" si="21"/>
        <v>NGA</v>
      </c>
      <c r="C1367" s="3" t="s">
        <v>850</v>
      </c>
      <c r="D1367" s="3" t="s">
        <v>857</v>
      </c>
      <c r="E1367" s="3" t="s">
        <v>829</v>
      </c>
      <c r="F1367" s="3" t="s">
        <v>8</v>
      </c>
      <c r="G1367" s="3">
        <v>0.45297388031096197</v>
      </c>
    </row>
    <row r="1368" spans="1:16" x14ac:dyDescent="0.3">
      <c r="A1368" s="3" t="str">
        <f t="shared" si="21"/>
        <v>NGA</v>
      </c>
      <c r="C1368" s="3" t="s">
        <v>850</v>
      </c>
      <c r="D1368" s="3" t="s">
        <v>857</v>
      </c>
      <c r="E1368" s="3" t="s">
        <v>1248</v>
      </c>
      <c r="F1368" s="3" t="s">
        <v>7</v>
      </c>
      <c r="I1368" s="3">
        <v>1.8959981434625199</v>
      </c>
    </row>
    <row r="1369" spans="1:16" x14ac:dyDescent="0.3">
      <c r="A1369" s="3" t="str">
        <f t="shared" si="21"/>
        <v>NGA</v>
      </c>
      <c r="C1369" s="3" t="s">
        <v>850</v>
      </c>
      <c r="D1369" s="3" t="s">
        <v>857</v>
      </c>
      <c r="E1369" s="3" t="s">
        <v>1248</v>
      </c>
      <c r="F1369" s="3" t="s">
        <v>8</v>
      </c>
      <c r="I1369" s="3">
        <v>30.779023410466099</v>
      </c>
    </row>
    <row r="1370" spans="1:16" x14ac:dyDescent="0.3">
      <c r="A1370" s="3" t="str">
        <f t="shared" si="21"/>
        <v>NGA</v>
      </c>
      <c r="C1370" s="3" t="s">
        <v>850</v>
      </c>
      <c r="D1370" s="3" t="s">
        <v>857</v>
      </c>
      <c r="E1370" s="3" t="s">
        <v>830</v>
      </c>
      <c r="F1370" s="3" t="s">
        <v>0</v>
      </c>
      <c r="M1370" s="3">
        <v>4.5987100934706397</v>
      </c>
      <c r="N1370" s="3">
        <v>5.2830908030574406</v>
      </c>
      <c r="O1370" s="3">
        <v>6.7621317431969405</v>
      </c>
      <c r="P1370" s="3">
        <v>7.3900188946144327</v>
      </c>
    </row>
    <row r="1371" spans="1:16" x14ac:dyDescent="0.3">
      <c r="A1371" s="3" t="str">
        <f t="shared" si="21"/>
        <v>NGA</v>
      </c>
      <c r="C1371" s="3" t="s">
        <v>850</v>
      </c>
      <c r="D1371" s="3" t="s">
        <v>857</v>
      </c>
      <c r="E1371" s="3" t="s">
        <v>830</v>
      </c>
      <c r="F1371" s="3" t="s">
        <v>1</v>
      </c>
      <c r="M1371" s="3">
        <v>13.8946681597462</v>
      </c>
      <c r="N1371" s="3">
        <v>15.23254341269582</v>
      </c>
      <c r="O1371" s="3">
        <v>16.599961966261109</v>
      </c>
      <c r="P1371" s="3">
        <v>18.141325433945749</v>
      </c>
    </row>
    <row r="1372" spans="1:16" x14ac:dyDescent="0.3">
      <c r="A1372" s="3" t="str">
        <f t="shared" si="21"/>
        <v>NGA</v>
      </c>
      <c r="C1372" s="3" t="s">
        <v>850</v>
      </c>
      <c r="D1372" s="3" t="s">
        <v>857</v>
      </c>
      <c r="E1372" s="3" t="s">
        <v>830</v>
      </c>
      <c r="F1372" s="3" t="s">
        <v>2</v>
      </c>
      <c r="M1372" s="3">
        <v>11.861566191424201</v>
      </c>
      <c r="N1372" s="3">
        <v>11.861566191424201</v>
      </c>
      <c r="O1372" s="3">
        <v>11.861566191424201</v>
      </c>
      <c r="P1372" s="3">
        <v>16.69877724617751</v>
      </c>
    </row>
    <row r="1373" spans="1:16" x14ac:dyDescent="0.3">
      <c r="A1373" s="3" t="str">
        <f t="shared" si="21"/>
        <v>NGA</v>
      </c>
      <c r="C1373" s="3" t="s">
        <v>850</v>
      </c>
      <c r="D1373" s="3" t="s">
        <v>857</v>
      </c>
      <c r="E1373" s="3" t="s">
        <v>830</v>
      </c>
      <c r="F1373" s="3" t="s">
        <v>3</v>
      </c>
      <c r="M1373" s="3">
        <v>21.043175054374899</v>
      </c>
      <c r="N1373" s="3">
        <v>21.043175054374899</v>
      </c>
      <c r="O1373" s="3">
        <v>21.043175054374899</v>
      </c>
      <c r="P1373" s="3">
        <v>21.043175054374899</v>
      </c>
    </row>
    <row r="1374" spans="1:16" x14ac:dyDescent="0.3">
      <c r="A1374" s="3" t="str">
        <f t="shared" si="21"/>
        <v>NGA</v>
      </c>
      <c r="C1374" s="3" t="s">
        <v>850</v>
      </c>
      <c r="D1374" s="3" t="s">
        <v>857</v>
      </c>
      <c r="E1374" s="3" t="s">
        <v>830</v>
      </c>
      <c r="F1374" s="3" t="s">
        <v>4</v>
      </c>
      <c r="M1374" s="3">
        <v>6.5699204508397102</v>
      </c>
      <c r="N1374" s="3">
        <v>6.5699204508397102</v>
      </c>
      <c r="O1374" s="3">
        <v>6.5699204508397102</v>
      </c>
      <c r="P1374" s="3">
        <v>6.5699204508397102</v>
      </c>
    </row>
    <row r="1375" spans="1:16" x14ac:dyDescent="0.3">
      <c r="A1375" s="3" t="str">
        <f t="shared" si="21"/>
        <v>NGA</v>
      </c>
      <c r="C1375" s="3" t="s">
        <v>850</v>
      </c>
      <c r="D1375" s="3" t="s">
        <v>857</v>
      </c>
      <c r="E1375" s="3" t="s">
        <v>830</v>
      </c>
      <c r="F1375" s="3" t="s">
        <v>5</v>
      </c>
      <c r="M1375" s="3">
        <v>11.7727287592993</v>
      </c>
      <c r="N1375" s="3">
        <v>11.7727287592993</v>
      </c>
      <c r="O1375" s="3">
        <v>11.7727287592993</v>
      </c>
      <c r="P1375" s="3">
        <v>11.7727287592993</v>
      </c>
    </row>
    <row r="1376" spans="1:16" x14ac:dyDescent="0.3">
      <c r="A1376" s="3" t="str">
        <f t="shared" si="21"/>
        <v>NGA</v>
      </c>
      <c r="C1376" s="3" t="s">
        <v>850</v>
      </c>
      <c r="D1376" s="3" t="s">
        <v>857</v>
      </c>
      <c r="E1376" s="3" t="s">
        <v>830</v>
      </c>
      <c r="F1376" s="3" t="s">
        <v>6</v>
      </c>
      <c r="M1376" s="3">
        <v>9.4789150055545299</v>
      </c>
      <c r="N1376" s="3">
        <v>9.4789150055545299</v>
      </c>
      <c r="O1376" s="3">
        <v>9.4789150055545299</v>
      </c>
      <c r="P1376" s="3">
        <v>9.4789150055545299</v>
      </c>
    </row>
    <row r="1377" spans="1:16" x14ac:dyDescent="0.3">
      <c r="A1377" s="3" t="str">
        <f t="shared" si="21"/>
        <v>NGA</v>
      </c>
      <c r="C1377" s="3" t="s">
        <v>850</v>
      </c>
      <c r="D1377" s="3" t="s">
        <v>857</v>
      </c>
      <c r="E1377" s="3" t="s">
        <v>830</v>
      </c>
      <c r="F1377" s="3" t="s">
        <v>7</v>
      </c>
      <c r="M1377" s="3">
        <v>2.3235892919387902</v>
      </c>
      <c r="N1377" s="3">
        <v>2.3235892919387902</v>
      </c>
      <c r="O1377" s="3">
        <v>2.3235892919387902</v>
      </c>
      <c r="P1377" s="3">
        <v>2.3235892919387902</v>
      </c>
    </row>
    <row r="1378" spans="1:16" x14ac:dyDescent="0.3">
      <c r="A1378" s="3" t="str">
        <f t="shared" si="21"/>
        <v>NGA</v>
      </c>
      <c r="C1378" s="3" t="s">
        <v>850</v>
      </c>
      <c r="D1378" s="3" t="s">
        <v>857</v>
      </c>
      <c r="E1378" s="3" t="s">
        <v>830</v>
      </c>
      <c r="F1378" s="3" t="s">
        <v>8</v>
      </c>
      <c r="M1378" s="3">
        <v>7.0643587392732003</v>
      </c>
      <c r="N1378" s="3">
        <v>7.7655384569956496</v>
      </c>
      <c r="O1378" s="3">
        <v>7.7655384569956496</v>
      </c>
      <c r="P1378" s="3">
        <v>9.0609569926341091</v>
      </c>
    </row>
    <row r="1379" spans="1:16" x14ac:dyDescent="0.3">
      <c r="A1379" s="3" t="str">
        <f t="shared" si="21"/>
        <v>COA</v>
      </c>
      <c r="C1379" s="3" t="s">
        <v>850</v>
      </c>
      <c r="D1379" s="3" t="s">
        <v>857</v>
      </c>
      <c r="E1379" s="3" t="s">
        <v>812</v>
      </c>
      <c r="F1379" s="3" t="s">
        <v>0</v>
      </c>
      <c r="H1379" s="3">
        <v>3.6770234827518702</v>
      </c>
      <c r="I1379" s="3">
        <v>0.67345706478511802</v>
      </c>
      <c r="J1379" s="3">
        <v>4.3427400629869402</v>
      </c>
      <c r="K1379" s="3">
        <v>4.7568917347382804</v>
      </c>
      <c r="L1379" s="3">
        <v>5.1718965449083898</v>
      </c>
      <c r="M1379" s="3">
        <v>1.0613978522688401</v>
      </c>
      <c r="N1379" s="3">
        <v>0.92201168753676299</v>
      </c>
    </row>
    <row r="1380" spans="1:16" x14ac:dyDescent="0.3">
      <c r="A1380" s="3" t="str">
        <f t="shared" si="21"/>
        <v>COA</v>
      </c>
      <c r="C1380" s="3" t="s">
        <v>850</v>
      </c>
      <c r="D1380" s="3" t="s">
        <v>857</v>
      </c>
      <c r="E1380" s="3" t="s">
        <v>812</v>
      </c>
      <c r="F1380" s="3" t="s">
        <v>1</v>
      </c>
      <c r="H1380" s="3">
        <v>8.5214344396936905</v>
      </c>
      <c r="I1380" s="3">
        <v>1.48911348336599</v>
      </c>
      <c r="J1380" s="3">
        <v>10.229198965524199</v>
      </c>
      <c r="K1380" s="3">
        <v>11.2458756971262</v>
      </c>
      <c r="L1380" s="3">
        <v>12.2882867690985</v>
      </c>
    </row>
    <row r="1381" spans="1:16" x14ac:dyDescent="0.3">
      <c r="A1381" s="3" t="str">
        <f t="shared" si="21"/>
        <v>COA</v>
      </c>
      <c r="C1381" s="3" t="s">
        <v>850</v>
      </c>
      <c r="D1381" s="3" t="s">
        <v>857</v>
      </c>
      <c r="E1381" s="3" t="s">
        <v>812</v>
      </c>
      <c r="F1381" s="3" t="s">
        <v>2</v>
      </c>
      <c r="H1381" s="3">
        <v>55.007319876043901</v>
      </c>
      <c r="J1381" s="3">
        <v>79.042720121861095</v>
      </c>
      <c r="K1381" s="3">
        <v>89.320515072846902</v>
      </c>
      <c r="L1381" s="3">
        <v>99.858463782942096</v>
      </c>
      <c r="M1381" s="3">
        <v>99.858463782942096</v>
      </c>
      <c r="N1381" s="3">
        <v>65.370544644743305</v>
      </c>
      <c r="O1381" s="3">
        <v>77.723188817207799</v>
      </c>
      <c r="P1381" s="3">
        <v>88.467939238882494</v>
      </c>
    </row>
    <row r="1382" spans="1:16" x14ac:dyDescent="0.3">
      <c r="A1382" s="3" t="str">
        <f t="shared" si="21"/>
        <v>COA</v>
      </c>
      <c r="C1382" s="3" t="s">
        <v>850</v>
      </c>
      <c r="D1382" s="3" t="s">
        <v>857</v>
      </c>
      <c r="E1382" s="3" t="s">
        <v>812</v>
      </c>
      <c r="F1382" s="3" t="s">
        <v>3</v>
      </c>
      <c r="H1382" s="3">
        <v>112.680947724376</v>
      </c>
      <c r="J1382" s="3">
        <v>139.064917489979</v>
      </c>
      <c r="K1382" s="3">
        <v>154.791730461231</v>
      </c>
      <c r="L1382" s="3">
        <v>171.000207285785</v>
      </c>
      <c r="M1382" s="3">
        <v>168.11532275031999</v>
      </c>
      <c r="N1382" s="3">
        <v>186.82753273108901</v>
      </c>
      <c r="O1382" s="3">
        <v>206.205582644907</v>
      </c>
      <c r="P1382" s="3">
        <v>206.205582644907</v>
      </c>
    </row>
    <row r="1383" spans="1:16" x14ac:dyDescent="0.3">
      <c r="A1383" s="3" t="str">
        <f t="shared" si="21"/>
        <v>COA</v>
      </c>
      <c r="C1383" s="3" t="s">
        <v>850</v>
      </c>
      <c r="D1383" s="3" t="s">
        <v>857</v>
      </c>
      <c r="E1383" s="3" t="s">
        <v>812</v>
      </c>
      <c r="F1383" s="3" t="s">
        <v>4</v>
      </c>
      <c r="H1383" s="3">
        <v>17.004192062296301</v>
      </c>
      <c r="J1383" s="3">
        <v>29.7144479339334</v>
      </c>
      <c r="K1383" s="3">
        <v>36.396095480030198</v>
      </c>
      <c r="L1383" s="3">
        <v>42.101035311875698</v>
      </c>
      <c r="M1383" s="3">
        <v>48.659998398064303</v>
      </c>
      <c r="N1383" s="3">
        <v>56.362264018872999</v>
      </c>
      <c r="O1383" s="3">
        <v>56.362264018872999</v>
      </c>
      <c r="P1383" s="3">
        <v>56.362264018872999</v>
      </c>
    </row>
    <row r="1384" spans="1:16" x14ac:dyDescent="0.3">
      <c r="A1384" s="3" t="str">
        <f t="shared" si="21"/>
        <v>COA</v>
      </c>
      <c r="C1384" s="3" t="s">
        <v>850</v>
      </c>
      <c r="D1384" s="3" t="s">
        <v>857</v>
      </c>
      <c r="E1384" s="3" t="s">
        <v>812</v>
      </c>
      <c r="F1384" s="3" t="s">
        <v>5</v>
      </c>
      <c r="H1384" s="3">
        <v>4.9128344089380596</v>
      </c>
      <c r="J1384" s="3">
        <v>19.2020340708251</v>
      </c>
      <c r="K1384" s="3">
        <v>21.229468632020598</v>
      </c>
      <c r="L1384" s="3">
        <v>23.16361984585</v>
      </c>
      <c r="M1384" s="3">
        <v>13.707477084180301</v>
      </c>
      <c r="N1384" s="3">
        <v>15.171886122565599</v>
      </c>
      <c r="O1384" s="3">
        <v>16.736829819618301</v>
      </c>
      <c r="P1384" s="3">
        <v>19.4637391991015</v>
      </c>
    </row>
    <row r="1385" spans="1:16" x14ac:dyDescent="0.3">
      <c r="A1385" s="3" t="str">
        <f t="shared" si="21"/>
        <v>COA</v>
      </c>
      <c r="C1385" s="3" t="s">
        <v>850</v>
      </c>
      <c r="D1385" s="3" t="s">
        <v>857</v>
      </c>
      <c r="E1385" s="3" t="s">
        <v>812</v>
      </c>
      <c r="F1385" s="3" t="s">
        <v>6</v>
      </c>
      <c r="J1385" s="3">
        <v>7.2596858283886796</v>
      </c>
      <c r="K1385" s="3">
        <v>7.9621258650947402</v>
      </c>
      <c r="L1385" s="3">
        <v>8.6200090058770904</v>
      </c>
    </row>
    <row r="1386" spans="1:16" x14ac:dyDescent="0.3">
      <c r="A1386" s="3" t="str">
        <f t="shared" si="21"/>
        <v>COA</v>
      </c>
      <c r="C1386" s="3" t="s">
        <v>850</v>
      </c>
      <c r="D1386" s="3" t="s">
        <v>857</v>
      </c>
      <c r="E1386" s="3" t="s">
        <v>812</v>
      </c>
      <c r="F1386" s="3" t="s">
        <v>7</v>
      </c>
      <c r="H1386" s="3">
        <v>10.368294211853</v>
      </c>
      <c r="J1386" s="3">
        <v>8.7694173157960709</v>
      </c>
      <c r="K1386" s="3">
        <v>10.0073178450944</v>
      </c>
      <c r="L1386" s="3">
        <v>10.368294211853</v>
      </c>
      <c r="M1386" s="3">
        <v>10.368294211853</v>
      </c>
    </row>
    <row r="1387" spans="1:16" x14ac:dyDescent="0.3">
      <c r="A1387" s="3" t="str">
        <f t="shared" si="21"/>
        <v>COA</v>
      </c>
      <c r="C1387" s="3" t="s">
        <v>850</v>
      </c>
      <c r="D1387" s="3" t="s">
        <v>857</v>
      </c>
      <c r="E1387" s="3" t="s">
        <v>812</v>
      </c>
      <c r="F1387" s="3" t="s">
        <v>8</v>
      </c>
      <c r="H1387" s="3">
        <v>39.477933072082998</v>
      </c>
      <c r="J1387" s="3">
        <v>54.833074137083699</v>
      </c>
      <c r="K1387" s="3">
        <v>60.599258667740799</v>
      </c>
      <c r="L1387" s="3">
        <v>66.511396037768606</v>
      </c>
      <c r="M1387" s="3">
        <v>66.110268701871306</v>
      </c>
      <c r="N1387" s="3">
        <v>72.996981952959899</v>
      </c>
      <c r="O1387" s="3">
        <v>80.752432698568498</v>
      </c>
      <c r="P1387" s="3">
        <v>80.752432698568498</v>
      </c>
    </row>
    <row r="1388" spans="1:16" x14ac:dyDescent="0.3">
      <c r="A1388" s="3" t="str">
        <f t="shared" si="21"/>
        <v>RFL</v>
      </c>
      <c r="C1388" s="3" t="s">
        <v>850</v>
      </c>
      <c r="D1388" s="3" t="s">
        <v>857</v>
      </c>
      <c r="E1388" s="3" t="s">
        <v>1252</v>
      </c>
      <c r="F1388" s="3" t="s">
        <v>8</v>
      </c>
      <c r="I1388" s="3">
        <v>6.8752201832802298</v>
      </c>
    </row>
    <row r="1389" spans="1:16" x14ac:dyDescent="0.3">
      <c r="A1389" s="3" t="str">
        <f t="shared" si="21"/>
        <v>COA</v>
      </c>
      <c r="C1389" s="3" t="s">
        <v>850</v>
      </c>
      <c r="D1389" s="3" t="s">
        <v>857</v>
      </c>
      <c r="E1389" s="3" t="s">
        <v>1246</v>
      </c>
      <c r="F1389" s="3" t="s">
        <v>4</v>
      </c>
      <c r="O1389" s="3">
        <v>0.400568003621257</v>
      </c>
      <c r="P1389" s="3">
        <v>0.400568003621257</v>
      </c>
    </row>
    <row r="1390" spans="1:16" x14ac:dyDescent="0.3">
      <c r="A1390" s="3" t="str">
        <f t="shared" si="21"/>
        <v>NGA</v>
      </c>
      <c r="C1390" s="3" t="s">
        <v>850</v>
      </c>
      <c r="D1390" s="3" t="s">
        <v>857</v>
      </c>
      <c r="E1390" s="3" t="s">
        <v>847</v>
      </c>
      <c r="F1390" s="3" t="s">
        <v>2</v>
      </c>
      <c r="M1390" s="3">
        <v>1.5150174734160599E-2</v>
      </c>
      <c r="N1390" s="3">
        <v>48.027926420803858</v>
      </c>
      <c r="O1390" s="3">
        <v>49.498798680718245</v>
      </c>
      <c r="P1390" s="3">
        <v>49.498798680718245</v>
      </c>
    </row>
    <row r="1391" spans="1:16" x14ac:dyDescent="0.3">
      <c r="A1391" s="3" t="str">
        <f t="shared" si="21"/>
        <v>NGA</v>
      </c>
      <c r="C1391" s="3" t="s">
        <v>850</v>
      </c>
      <c r="D1391" s="3" t="s">
        <v>857</v>
      </c>
      <c r="E1391" s="3" t="s">
        <v>847</v>
      </c>
      <c r="F1391" s="3" t="s">
        <v>3</v>
      </c>
      <c r="M1391" s="3">
        <v>1.5150174734160599E-2</v>
      </c>
      <c r="N1391" s="3">
        <v>1.9983227359162208</v>
      </c>
      <c r="O1391" s="3">
        <v>3.7726560496108008</v>
      </c>
      <c r="P1391" s="3">
        <v>5.8420063912997406</v>
      </c>
    </row>
    <row r="1392" spans="1:16" x14ac:dyDescent="0.3">
      <c r="A1392" s="3" t="str">
        <f t="shared" si="21"/>
        <v>NGA</v>
      </c>
      <c r="C1392" s="3" t="s">
        <v>850</v>
      </c>
      <c r="D1392" s="3" t="s">
        <v>857</v>
      </c>
      <c r="E1392" s="3" t="s">
        <v>847</v>
      </c>
      <c r="F1392" s="3" t="s">
        <v>4</v>
      </c>
      <c r="M1392" s="3">
        <v>1.5150174734160599E-2</v>
      </c>
      <c r="N1392" s="3">
        <v>0.33677781225333658</v>
      </c>
      <c r="O1392" s="3">
        <v>1.7343914874972066</v>
      </c>
      <c r="P1392" s="3">
        <v>2.4601628373983049</v>
      </c>
    </row>
    <row r="1393" spans="1:16" x14ac:dyDescent="0.3">
      <c r="A1393" s="3" t="str">
        <f t="shared" si="21"/>
        <v>NGA</v>
      </c>
      <c r="C1393" s="3" t="s">
        <v>850</v>
      </c>
      <c r="D1393" s="3" t="s">
        <v>857</v>
      </c>
      <c r="E1393" s="3" t="s">
        <v>847</v>
      </c>
      <c r="F1393" s="3" t="s">
        <v>5</v>
      </c>
      <c r="M1393" s="3">
        <v>1.5150174734160599E-2</v>
      </c>
      <c r="N1393" s="3">
        <v>1.1247486952507006</v>
      </c>
      <c r="O1393" s="3">
        <v>2.1906524447739906</v>
      </c>
      <c r="P1393" s="3">
        <v>2.4292521500042268</v>
      </c>
    </row>
    <row r="1394" spans="1:16" x14ac:dyDescent="0.3">
      <c r="A1394" s="3" t="str">
        <f t="shared" si="21"/>
        <v>NGA</v>
      </c>
      <c r="C1394" s="3" t="s">
        <v>850</v>
      </c>
      <c r="D1394" s="3" t="s">
        <v>857</v>
      </c>
      <c r="E1394" s="3" t="s">
        <v>847</v>
      </c>
      <c r="F1394" s="3" t="s">
        <v>6</v>
      </c>
      <c r="M1394" s="3">
        <v>1.5150174734160599E-2</v>
      </c>
      <c r="N1394" s="3">
        <v>41.822131302642859</v>
      </c>
      <c r="O1394" s="3">
        <v>43.938160700248417</v>
      </c>
      <c r="P1394" s="3">
        <v>48.336259355364689</v>
      </c>
    </row>
    <row r="1395" spans="1:16" x14ac:dyDescent="0.3">
      <c r="A1395" s="3" t="str">
        <f t="shared" si="21"/>
        <v>NGA</v>
      </c>
      <c r="C1395" s="3" t="s">
        <v>850</v>
      </c>
      <c r="D1395" s="3" t="s">
        <v>857</v>
      </c>
      <c r="E1395" s="3" t="s">
        <v>847</v>
      </c>
      <c r="F1395" s="3" t="s">
        <v>7</v>
      </c>
      <c r="M1395" s="3">
        <v>1.5150174734160599E-2</v>
      </c>
      <c r="N1395" s="3">
        <v>16.223479768472959</v>
      </c>
      <c r="O1395" s="3">
        <v>25.94544104235899</v>
      </c>
      <c r="P1395" s="3">
        <v>28.40864881036519</v>
      </c>
    </row>
    <row r="1396" spans="1:16" x14ac:dyDescent="0.3">
      <c r="A1396" s="3" t="str">
        <f t="shared" si="21"/>
        <v>DST</v>
      </c>
      <c r="C1396" s="3" t="s">
        <v>850</v>
      </c>
      <c r="D1396" s="3" t="s">
        <v>709</v>
      </c>
      <c r="E1396" s="3" t="s">
        <v>815</v>
      </c>
      <c r="F1396" s="3" t="s">
        <v>0</v>
      </c>
      <c r="G1396" s="3">
        <v>2.9866263294093202E-2</v>
      </c>
      <c r="I1396" s="3">
        <v>2.4888552745077699E-2</v>
      </c>
    </row>
    <row r="1397" spans="1:16" x14ac:dyDescent="0.3">
      <c r="A1397" s="3" t="str">
        <f t="shared" si="21"/>
        <v>DST</v>
      </c>
      <c r="C1397" s="3" t="s">
        <v>850</v>
      </c>
      <c r="D1397" s="3" t="s">
        <v>709</v>
      </c>
      <c r="E1397" s="3" t="s">
        <v>815</v>
      </c>
      <c r="F1397" s="3" t="s">
        <v>1</v>
      </c>
      <c r="G1397" s="3">
        <v>8.2211774610080099E-2</v>
      </c>
    </row>
    <row r="1398" spans="1:16" x14ac:dyDescent="0.3">
      <c r="A1398" s="3" t="str">
        <f t="shared" si="21"/>
        <v>DST</v>
      </c>
      <c r="C1398" s="3" t="s">
        <v>850</v>
      </c>
      <c r="D1398" s="3" t="s">
        <v>709</v>
      </c>
      <c r="E1398" s="3" t="s">
        <v>815</v>
      </c>
      <c r="F1398" s="3" t="s">
        <v>5</v>
      </c>
      <c r="G1398" s="3">
        <v>3.9876499905453298E-2</v>
      </c>
    </row>
    <row r="1399" spans="1:16" x14ac:dyDescent="0.3">
      <c r="A1399" s="3" t="str">
        <f t="shared" si="21"/>
        <v>DST</v>
      </c>
      <c r="C1399" s="3" t="s">
        <v>850</v>
      </c>
      <c r="D1399" s="3" t="s">
        <v>709</v>
      </c>
      <c r="E1399" s="3" t="s">
        <v>815</v>
      </c>
      <c r="F1399" s="3" t="s">
        <v>6</v>
      </c>
      <c r="G1399" s="3">
        <v>0.13853105477708999</v>
      </c>
    </row>
    <row r="1400" spans="1:16" x14ac:dyDescent="0.3">
      <c r="A1400" s="3" t="str">
        <f t="shared" si="21"/>
        <v>DST</v>
      </c>
      <c r="C1400" s="3" t="s">
        <v>850</v>
      </c>
      <c r="D1400" s="3" t="s">
        <v>709</v>
      </c>
      <c r="E1400" s="3" t="s">
        <v>815</v>
      </c>
      <c r="F1400" s="3" t="s">
        <v>7</v>
      </c>
      <c r="G1400" s="3">
        <v>0.25257609191485603</v>
      </c>
    </row>
    <row r="1401" spans="1:16" x14ac:dyDescent="0.3">
      <c r="A1401" s="3" t="str">
        <f t="shared" si="21"/>
        <v>DST</v>
      </c>
      <c r="C1401" s="3" t="s">
        <v>850</v>
      </c>
      <c r="D1401" s="3" t="s">
        <v>709</v>
      </c>
      <c r="E1401" s="3" t="s">
        <v>815</v>
      </c>
      <c r="F1401" s="3" t="s">
        <v>8</v>
      </c>
      <c r="K1401" s="3">
        <v>7.9188356866800994E-2</v>
      </c>
    </row>
    <row r="1402" spans="1:16" x14ac:dyDescent="0.3">
      <c r="A1402" s="3" t="str">
        <f t="shared" si="21"/>
        <v>ELC</v>
      </c>
      <c r="C1402" s="3" t="s">
        <v>850</v>
      </c>
      <c r="D1402" s="3" t="s">
        <v>709</v>
      </c>
      <c r="E1402" s="3" t="s">
        <v>858</v>
      </c>
      <c r="F1402" s="3" t="s">
        <v>0</v>
      </c>
      <c r="G1402" s="3">
        <v>4.55884396649307</v>
      </c>
      <c r="H1402" s="3">
        <v>4.4068825009433104</v>
      </c>
      <c r="I1402" s="3">
        <v>3.0380109496168899</v>
      </c>
      <c r="J1402" s="3">
        <v>3.7868778957136402</v>
      </c>
      <c r="K1402" s="3">
        <v>4.3598457115176226</v>
      </c>
      <c r="L1402" s="3">
        <v>4.9465446974716389</v>
      </c>
      <c r="M1402" s="3">
        <v>5.603905151242782</v>
      </c>
      <c r="N1402" s="3">
        <v>6.4345323525391862</v>
      </c>
      <c r="O1402" s="3">
        <v>8.8573050236786735</v>
      </c>
      <c r="P1402" s="3">
        <v>9.6797362083636642</v>
      </c>
    </row>
    <row r="1403" spans="1:16" x14ac:dyDescent="0.3">
      <c r="A1403" s="3" t="str">
        <f t="shared" si="21"/>
        <v>ELC</v>
      </c>
      <c r="C1403" s="3" t="s">
        <v>850</v>
      </c>
      <c r="D1403" s="3" t="s">
        <v>709</v>
      </c>
      <c r="E1403" s="3" t="s">
        <v>858</v>
      </c>
      <c r="F1403" s="3" t="s">
        <v>1</v>
      </c>
      <c r="G1403" s="3">
        <v>12.5489636572566</v>
      </c>
      <c r="H1403" s="3">
        <v>13.25767932781454</v>
      </c>
      <c r="I1403" s="3">
        <v>13.329304520294208</v>
      </c>
      <c r="J1403" s="3">
        <v>15.322173461101199</v>
      </c>
      <c r="K1403" s="3">
        <v>16.89936108808482</v>
      </c>
      <c r="L1403" s="3">
        <v>18.514346006761471</v>
      </c>
      <c r="M1403" s="3">
        <v>20.323838172916361</v>
      </c>
      <c r="N1403" s="3">
        <v>22.372785869443071</v>
      </c>
      <c r="O1403" s="3">
        <v>24.381180768703352</v>
      </c>
      <c r="P1403" s="3">
        <v>26.645057120485092</v>
      </c>
    </row>
    <row r="1404" spans="1:16" x14ac:dyDescent="0.3">
      <c r="A1404" s="3" t="str">
        <f t="shared" si="21"/>
        <v>ELC</v>
      </c>
      <c r="C1404" s="3" t="s">
        <v>850</v>
      </c>
      <c r="D1404" s="3" t="s">
        <v>709</v>
      </c>
      <c r="E1404" s="3" t="s">
        <v>858</v>
      </c>
      <c r="F1404" s="3" t="s">
        <v>2</v>
      </c>
      <c r="G1404" s="3">
        <v>42.369860881043998</v>
      </c>
      <c r="H1404" s="3">
        <v>44.347608848072603</v>
      </c>
      <c r="I1404" s="3">
        <v>50.729565391186</v>
      </c>
      <c r="J1404" s="3">
        <v>58.290992823654904</v>
      </c>
      <c r="K1404" s="3">
        <v>64.272459448582907</v>
      </c>
      <c r="L1404" s="3">
        <v>70.397589590537862</v>
      </c>
      <c r="M1404" s="3">
        <v>77.262021254063768</v>
      </c>
      <c r="N1404" s="3">
        <v>85.036598119105861</v>
      </c>
      <c r="O1404" s="3">
        <v>92.670295187923955</v>
      </c>
      <c r="P1404" s="3">
        <v>101.27505029715441</v>
      </c>
    </row>
    <row r="1405" spans="1:16" x14ac:dyDescent="0.3">
      <c r="A1405" s="3" t="str">
        <f t="shared" si="21"/>
        <v>ELC</v>
      </c>
      <c r="C1405" s="3" t="s">
        <v>850</v>
      </c>
      <c r="D1405" s="3" t="s">
        <v>709</v>
      </c>
      <c r="E1405" s="3" t="s">
        <v>858</v>
      </c>
      <c r="F1405" s="3" t="s">
        <v>3</v>
      </c>
      <c r="G1405" s="3">
        <v>26.981163895431902</v>
      </c>
      <c r="H1405" s="3">
        <v>28.6641296874636</v>
      </c>
      <c r="I1405" s="3">
        <v>34.36034087299015</v>
      </c>
      <c r="J1405" s="3">
        <v>39.481875466526098</v>
      </c>
      <c r="K1405" s="3">
        <v>43.533265037244789</v>
      </c>
      <c r="L1405" s="3">
        <v>47.681961324036976</v>
      </c>
      <c r="M1405" s="3">
        <v>52.331404110295878</v>
      </c>
      <c r="N1405" s="3">
        <v>57.597309882721966</v>
      </c>
      <c r="O1405" s="3">
        <v>62.767794419364655</v>
      </c>
      <c r="P1405" s="3">
        <v>68.595999656327464</v>
      </c>
    </row>
    <row r="1406" spans="1:16" x14ac:dyDescent="0.3">
      <c r="A1406" s="3" t="str">
        <f t="shared" si="21"/>
        <v>ELC</v>
      </c>
      <c r="C1406" s="3" t="s">
        <v>850</v>
      </c>
      <c r="D1406" s="3" t="s">
        <v>709</v>
      </c>
      <c r="E1406" s="3" t="s">
        <v>858</v>
      </c>
      <c r="F1406" s="3" t="s">
        <v>4</v>
      </c>
      <c r="G1406" s="3">
        <v>9.5253598512686093</v>
      </c>
      <c r="H1406" s="3">
        <v>9.7573785155010793</v>
      </c>
      <c r="I1406" s="3">
        <v>12.15690421724082</v>
      </c>
      <c r="J1406" s="3">
        <v>13.9486496244836</v>
      </c>
      <c r="K1406" s="3">
        <v>15.363581023018991</v>
      </c>
      <c r="L1406" s="3">
        <v>16.812775566245961</v>
      </c>
      <c r="M1406" s="3">
        <v>18.438290413531732</v>
      </c>
      <c r="N1406" s="3">
        <v>20.280871064129041</v>
      </c>
      <c r="O1406" s="3">
        <v>22.101475714593381</v>
      </c>
      <c r="P1406" s="3">
        <v>24.153673624301479</v>
      </c>
    </row>
    <row r="1407" spans="1:16" x14ac:dyDescent="0.3">
      <c r="A1407" s="3" t="str">
        <f t="shared" si="21"/>
        <v>ELC</v>
      </c>
      <c r="C1407" s="3" t="s">
        <v>850</v>
      </c>
      <c r="D1407" s="3" t="s">
        <v>709</v>
      </c>
      <c r="E1407" s="3" t="s">
        <v>858</v>
      </c>
      <c r="F1407" s="3" t="s">
        <v>5</v>
      </c>
      <c r="G1407" s="3">
        <v>10.017900742421601</v>
      </c>
      <c r="H1407" s="3">
        <v>10.475482134730745</v>
      </c>
      <c r="I1407" s="3">
        <v>10.596512803927785</v>
      </c>
      <c r="J1407" s="3">
        <v>12.158279912555701</v>
      </c>
      <c r="K1407" s="3">
        <v>13.39159872574465</v>
      </c>
      <c r="L1407" s="3">
        <v>14.6547828603131</v>
      </c>
      <c r="M1407" s="3">
        <v>16.07165582274143</v>
      </c>
      <c r="N1407" s="3">
        <v>17.677733250630741</v>
      </c>
      <c r="O1407" s="3">
        <v>19.26465539337304</v>
      </c>
      <c r="P1407" s="3">
        <v>21.053444795495189</v>
      </c>
    </row>
    <row r="1408" spans="1:16" x14ac:dyDescent="0.3">
      <c r="A1408" s="3" t="str">
        <f t="shared" si="21"/>
        <v>ELC</v>
      </c>
      <c r="C1408" s="3" t="s">
        <v>850</v>
      </c>
      <c r="D1408" s="3" t="s">
        <v>709</v>
      </c>
      <c r="E1408" s="3" t="s">
        <v>858</v>
      </c>
      <c r="F1408" s="3" t="s">
        <v>6</v>
      </c>
      <c r="G1408" s="3">
        <v>34.802210820663603</v>
      </c>
      <c r="H1408" s="3">
        <v>35.315055597916071</v>
      </c>
      <c r="I1408" s="3">
        <v>36.812310487817243</v>
      </c>
      <c r="J1408" s="3">
        <v>42.237893108843402</v>
      </c>
      <c r="K1408" s="3">
        <v>46.522445576401303</v>
      </c>
      <c r="L1408" s="3">
        <v>50.91075024091171</v>
      </c>
      <c r="M1408" s="3">
        <v>55.832970256100943</v>
      </c>
      <c r="N1408" s="3">
        <v>61.412487030810333</v>
      </c>
      <c r="O1408" s="3">
        <v>66.925458299713725</v>
      </c>
      <c r="P1408" s="3">
        <v>73.139716904094328</v>
      </c>
    </row>
    <row r="1409" spans="1:16" x14ac:dyDescent="0.3">
      <c r="A1409" s="3" t="str">
        <f t="shared" si="21"/>
        <v>ELC</v>
      </c>
      <c r="C1409" s="3" t="s">
        <v>850</v>
      </c>
      <c r="D1409" s="3" t="s">
        <v>709</v>
      </c>
      <c r="E1409" s="3" t="s">
        <v>858</v>
      </c>
      <c r="F1409" s="3" t="s">
        <v>7</v>
      </c>
      <c r="G1409" s="3">
        <v>17.962519903877499</v>
      </c>
      <c r="H1409" s="3">
        <v>18.425974773461782</v>
      </c>
      <c r="I1409" s="3">
        <v>19.269489884139581</v>
      </c>
      <c r="J1409" s="3">
        <v>22.212997919421401</v>
      </c>
      <c r="K1409" s="3">
        <v>24.549998439608959</v>
      </c>
      <c r="L1409" s="3">
        <v>26.942147797859988</v>
      </c>
      <c r="M1409" s="3">
        <v>29.618096555825929</v>
      </c>
      <c r="N1409" s="3">
        <v>32.643427337644681</v>
      </c>
      <c r="O1409" s="3">
        <v>35.573813090312221</v>
      </c>
      <c r="P1409" s="3">
        <v>38.876963785180997</v>
      </c>
    </row>
    <row r="1410" spans="1:16" x14ac:dyDescent="0.3">
      <c r="A1410" s="3" t="str">
        <f t="shared" si="21"/>
        <v>ELC</v>
      </c>
      <c r="C1410" s="3" t="s">
        <v>850</v>
      </c>
      <c r="D1410" s="3" t="s">
        <v>709</v>
      </c>
      <c r="E1410" s="3" t="s">
        <v>858</v>
      </c>
      <c r="F1410" s="3" t="s">
        <v>8</v>
      </c>
      <c r="G1410" s="3">
        <v>11.2633181200283</v>
      </c>
      <c r="H1410" s="3">
        <v>10.1118735522011</v>
      </c>
      <c r="I1410" s="3">
        <v>12.08284782631649</v>
      </c>
      <c r="J1410" s="3">
        <v>13.9285614326285</v>
      </c>
      <c r="K1410" s="3">
        <v>15.31477884546451</v>
      </c>
      <c r="L1410" s="3">
        <v>16.893953805368291</v>
      </c>
      <c r="M1410" s="3">
        <v>18.571895558260142</v>
      </c>
      <c r="N1410" s="3">
        <v>20.468915753437933</v>
      </c>
      <c r="O1410" s="3">
        <v>22.306401090869322</v>
      </c>
      <c r="P1410" s="3">
        <v>24.377627025414711</v>
      </c>
    </row>
    <row r="1411" spans="1:16" x14ac:dyDescent="0.3">
      <c r="A1411" s="3" t="str">
        <f t="shared" si="21"/>
        <v>NGA</v>
      </c>
      <c r="C1411" s="3" t="s">
        <v>850</v>
      </c>
      <c r="D1411" s="3" t="s">
        <v>709</v>
      </c>
      <c r="E1411" s="3" t="s">
        <v>826</v>
      </c>
      <c r="F1411" s="3" t="s">
        <v>0</v>
      </c>
      <c r="G1411" s="3">
        <v>0.18297440523928099</v>
      </c>
      <c r="H1411" s="3">
        <v>0.40942688237035596</v>
      </c>
      <c r="I1411" s="3">
        <v>1.9319088741005181</v>
      </c>
      <c r="J1411" s="3">
        <v>1.9014131398939711</v>
      </c>
      <c r="K1411" s="3">
        <v>1.8709174056874245</v>
      </c>
      <c r="L1411" s="3">
        <v>1.8404216714808777</v>
      </c>
      <c r="M1411" s="3">
        <v>1.8099259372743308</v>
      </c>
      <c r="N1411" s="3">
        <v>1.6931539377603539</v>
      </c>
    </row>
    <row r="1412" spans="1:16" x14ac:dyDescent="0.3">
      <c r="A1412" s="3" t="str">
        <f t="shared" si="21"/>
        <v>NGA</v>
      </c>
      <c r="C1412" s="3" t="s">
        <v>850</v>
      </c>
      <c r="D1412" s="3" t="s">
        <v>709</v>
      </c>
      <c r="E1412" s="3" t="s">
        <v>826</v>
      </c>
      <c r="F1412" s="3" t="s">
        <v>1</v>
      </c>
      <c r="G1412" s="3">
        <v>0.50366697751276801</v>
      </c>
      <c r="I1412" s="3">
        <v>0.41972248126063999</v>
      </c>
      <c r="J1412" s="3">
        <v>0.33577798500851203</v>
      </c>
      <c r="K1412" s="3">
        <v>0.25183348875638401</v>
      </c>
      <c r="L1412" s="3">
        <v>0.16788899250425601</v>
      </c>
      <c r="M1412" s="3">
        <v>8.3944496252128006E-2</v>
      </c>
    </row>
    <row r="1413" spans="1:16" x14ac:dyDescent="0.3">
      <c r="A1413" s="3" t="str">
        <f t="shared" si="21"/>
        <v>NGA</v>
      </c>
      <c r="C1413" s="3" t="s">
        <v>850</v>
      </c>
      <c r="D1413" s="3" t="s">
        <v>709</v>
      </c>
      <c r="E1413" s="3" t="s">
        <v>826</v>
      </c>
      <c r="F1413" s="3" t="s">
        <v>2</v>
      </c>
      <c r="I1413" s="3">
        <v>1.5290353250001001</v>
      </c>
      <c r="J1413" s="3">
        <v>1.2232282600000799</v>
      </c>
      <c r="K1413" s="3">
        <v>0.91742119500006003</v>
      </c>
      <c r="L1413" s="3">
        <v>0.61161413000003995</v>
      </c>
      <c r="M1413" s="3">
        <v>0.30580706500001997</v>
      </c>
    </row>
    <row r="1414" spans="1:16" x14ac:dyDescent="0.3">
      <c r="A1414" s="3" t="str">
        <f t="shared" si="21"/>
        <v>NGA</v>
      </c>
      <c r="C1414" s="3" t="s">
        <v>850</v>
      </c>
      <c r="D1414" s="3" t="s">
        <v>709</v>
      </c>
      <c r="E1414" s="3" t="s">
        <v>826</v>
      </c>
      <c r="F1414" s="3" t="s">
        <v>3</v>
      </c>
      <c r="I1414" s="3">
        <v>1.0356519826005599</v>
      </c>
      <c r="J1414" s="3">
        <v>0.82852158608044701</v>
      </c>
      <c r="K1414" s="3">
        <v>0.62139118956033501</v>
      </c>
      <c r="L1414" s="3">
        <v>0.41426079304022301</v>
      </c>
      <c r="M1414" s="3">
        <v>0.207130396520112</v>
      </c>
    </row>
    <row r="1415" spans="1:16" x14ac:dyDescent="0.3">
      <c r="A1415" s="3" t="str">
        <f t="shared" si="21"/>
        <v>NGA</v>
      </c>
      <c r="C1415" s="3" t="s">
        <v>850</v>
      </c>
      <c r="D1415" s="3" t="s">
        <v>709</v>
      </c>
      <c r="E1415" s="3" t="s">
        <v>826</v>
      </c>
      <c r="F1415" s="3" t="s">
        <v>4</v>
      </c>
      <c r="H1415" s="3">
        <v>0.35560066916239602</v>
      </c>
      <c r="I1415" s="3">
        <v>0.30655230100206599</v>
      </c>
      <c r="J1415" s="3">
        <v>0.24524184080165301</v>
      </c>
      <c r="K1415" s="3">
        <v>0.18393138060124001</v>
      </c>
      <c r="L1415" s="3">
        <v>0.12262092040082601</v>
      </c>
      <c r="M1415" s="3">
        <v>6.1310460200413197E-2</v>
      </c>
    </row>
    <row r="1416" spans="1:16" x14ac:dyDescent="0.3">
      <c r="A1416" s="3" t="str">
        <f t="shared" ref="A1416:A1479" si="22">RIGHT(E1416,3)</f>
        <v>NGA</v>
      </c>
      <c r="C1416" s="3" t="s">
        <v>850</v>
      </c>
      <c r="D1416" s="3" t="s">
        <v>709</v>
      </c>
      <c r="E1416" s="3" t="s">
        <v>826</v>
      </c>
      <c r="F1416" s="3" t="s">
        <v>5</v>
      </c>
      <c r="G1416" s="3">
        <v>0.32064597939680201</v>
      </c>
      <c r="I1416" s="3">
        <v>0.26720498283066801</v>
      </c>
      <c r="J1416" s="3">
        <v>0.21376398626453499</v>
      </c>
      <c r="K1416" s="3">
        <v>0.160322989698401</v>
      </c>
      <c r="L1416" s="3">
        <v>0.106881993132267</v>
      </c>
      <c r="M1416" s="3">
        <v>5.34409965661337E-2</v>
      </c>
    </row>
    <row r="1417" spans="1:16" x14ac:dyDescent="0.3">
      <c r="A1417" s="3" t="str">
        <f t="shared" si="22"/>
        <v>NGA</v>
      </c>
      <c r="C1417" s="3" t="s">
        <v>850</v>
      </c>
      <c r="D1417" s="3" t="s">
        <v>709</v>
      </c>
      <c r="E1417" s="3" t="s">
        <v>826</v>
      </c>
      <c r="F1417" s="3" t="s">
        <v>6</v>
      </c>
      <c r="G1417" s="3">
        <v>1.1139248891248501</v>
      </c>
      <c r="H1417" s="3">
        <v>1.07679405948736</v>
      </c>
      <c r="I1417" s="3">
        <v>0.92827074093737505</v>
      </c>
      <c r="J1417" s="3">
        <v>0.7426165927499</v>
      </c>
      <c r="K1417" s="3">
        <v>0.55696244456242505</v>
      </c>
      <c r="L1417" s="3">
        <v>0.37130829637495</v>
      </c>
      <c r="M1417" s="3">
        <v>0.185654148187475</v>
      </c>
    </row>
    <row r="1418" spans="1:16" x14ac:dyDescent="0.3">
      <c r="A1418" s="3" t="str">
        <f t="shared" si="22"/>
        <v>NGA</v>
      </c>
      <c r="C1418" s="3" t="s">
        <v>850</v>
      </c>
      <c r="D1418" s="3" t="s">
        <v>709</v>
      </c>
      <c r="E1418" s="3" t="s">
        <v>826</v>
      </c>
      <c r="F1418" s="3" t="s">
        <v>7</v>
      </c>
      <c r="G1418" s="3">
        <v>0.94953894435626496</v>
      </c>
      <c r="H1418" s="3">
        <v>0.91788764621105601</v>
      </c>
      <c r="I1418" s="3">
        <v>0.79128245363022098</v>
      </c>
      <c r="J1418" s="3">
        <v>0.63302596290417701</v>
      </c>
      <c r="K1418" s="3">
        <v>0.47476947217813198</v>
      </c>
      <c r="L1418" s="3">
        <v>0.316512981452088</v>
      </c>
      <c r="M1418" s="3">
        <v>0.158256490726044</v>
      </c>
    </row>
    <row r="1419" spans="1:16" x14ac:dyDescent="0.3">
      <c r="A1419" s="3" t="str">
        <f t="shared" si="22"/>
        <v>NGA</v>
      </c>
      <c r="C1419" s="3" t="s">
        <v>850</v>
      </c>
      <c r="D1419" s="3" t="s">
        <v>709</v>
      </c>
      <c r="E1419" s="3" t="s">
        <v>826</v>
      </c>
      <c r="F1419" s="3" t="s">
        <v>8</v>
      </c>
      <c r="H1419" s="3">
        <v>0.57555736127464996</v>
      </c>
      <c r="I1419" s="3">
        <v>0.496170139029871</v>
      </c>
      <c r="J1419" s="3">
        <v>0.39693611122389699</v>
      </c>
      <c r="K1419" s="3">
        <v>0.29770208341792198</v>
      </c>
      <c r="L1419" s="3">
        <v>0.198468055611948</v>
      </c>
      <c r="M1419" s="3">
        <v>9.9234027805974206E-2</v>
      </c>
    </row>
    <row r="1420" spans="1:16" x14ac:dyDescent="0.3">
      <c r="A1420" s="3" t="str">
        <f t="shared" si="22"/>
        <v>BIO</v>
      </c>
      <c r="C1420" s="3" t="s">
        <v>850</v>
      </c>
      <c r="D1420" s="3" t="s">
        <v>711</v>
      </c>
      <c r="E1420" s="3" t="s">
        <v>808</v>
      </c>
      <c r="F1420" s="3" t="s">
        <v>0</v>
      </c>
      <c r="G1420" s="3">
        <v>0.129594961972581</v>
      </c>
    </row>
    <row r="1421" spans="1:16" x14ac:dyDescent="0.3">
      <c r="A1421" s="3" t="str">
        <f t="shared" si="22"/>
        <v>BIO</v>
      </c>
      <c r="C1421" s="3" t="s">
        <v>850</v>
      </c>
      <c r="D1421" s="3" t="s">
        <v>711</v>
      </c>
      <c r="E1421" s="3" t="s">
        <v>808</v>
      </c>
      <c r="F1421" s="3" t="s">
        <v>2</v>
      </c>
      <c r="G1421" s="3">
        <v>3.5190949759785499</v>
      </c>
    </row>
    <row r="1422" spans="1:16" x14ac:dyDescent="0.3">
      <c r="A1422" s="3" t="str">
        <f t="shared" si="22"/>
        <v>BIO</v>
      </c>
      <c r="C1422" s="3" t="s">
        <v>850</v>
      </c>
      <c r="D1422" s="3" t="s">
        <v>711</v>
      </c>
      <c r="E1422" s="3" t="s">
        <v>808</v>
      </c>
      <c r="F1422" s="3" t="s">
        <v>5</v>
      </c>
      <c r="G1422" s="3">
        <v>2.2208912680700799E-2</v>
      </c>
    </row>
    <row r="1423" spans="1:16" x14ac:dyDescent="0.3">
      <c r="A1423" s="3" t="str">
        <f t="shared" si="22"/>
        <v>BIO</v>
      </c>
      <c r="C1423" s="3" t="s">
        <v>850</v>
      </c>
      <c r="D1423" s="3" t="s">
        <v>711</v>
      </c>
      <c r="E1423" s="3" t="s">
        <v>808</v>
      </c>
      <c r="F1423" s="3" t="s">
        <v>7</v>
      </c>
      <c r="G1423" s="3">
        <v>2.72354052735938</v>
      </c>
    </row>
    <row r="1424" spans="1:16" x14ac:dyDescent="0.3">
      <c r="A1424" s="3" t="str">
        <f t="shared" si="22"/>
        <v>COA</v>
      </c>
      <c r="C1424" s="3" t="s">
        <v>850</v>
      </c>
      <c r="D1424" s="3" t="s">
        <v>711</v>
      </c>
      <c r="E1424" s="3" t="s">
        <v>810</v>
      </c>
      <c r="F1424" s="3" t="s">
        <v>0</v>
      </c>
      <c r="G1424" s="3">
        <v>1.4201578664394001E-3</v>
      </c>
      <c r="H1424" s="3">
        <v>0.59000468729507805</v>
      </c>
      <c r="I1424" s="3">
        <v>0.61187106552238302</v>
      </c>
      <c r="J1424" s="3">
        <v>0.69682366862363498</v>
      </c>
      <c r="K1424" s="3">
        <v>0.76327726314936695</v>
      </c>
      <c r="L1424" s="3">
        <v>0.83141294537042798</v>
      </c>
      <c r="M1424" s="3">
        <v>0.90820475698543701</v>
      </c>
      <c r="N1424" s="3">
        <v>0.99565302527168897</v>
      </c>
      <c r="O1424" s="3">
        <v>1.0850323483947799</v>
      </c>
      <c r="P1424" s="3">
        <v>1.1857813276075699</v>
      </c>
    </row>
    <row r="1425" spans="1:16" x14ac:dyDescent="0.3">
      <c r="A1425" s="3" t="str">
        <f t="shared" si="22"/>
        <v>COA</v>
      </c>
      <c r="C1425" s="3" t="s">
        <v>850</v>
      </c>
      <c r="D1425" s="3" t="s">
        <v>711</v>
      </c>
      <c r="E1425" s="3" t="s">
        <v>810</v>
      </c>
      <c r="F1425" s="3" t="s">
        <v>1</v>
      </c>
      <c r="G1425" s="3">
        <v>3.9092168068266698E-3</v>
      </c>
      <c r="H1425" s="3">
        <v>1.4676668009563301</v>
      </c>
      <c r="I1425" s="3">
        <v>1.5220605338747899</v>
      </c>
      <c r="J1425" s="3">
        <v>1.7333844740254101</v>
      </c>
      <c r="K1425" s="3">
        <v>1.8986911852937101</v>
      </c>
      <c r="L1425" s="3">
        <v>2.0681821756362102</v>
      </c>
      <c r="M1425" s="3">
        <v>2.2592057300580302</v>
      </c>
      <c r="N1425" s="3">
        <v>2.4767377648512898</v>
      </c>
      <c r="O1425" s="3">
        <v>2.6990733972021301</v>
      </c>
      <c r="P1425" s="3">
        <v>2.9496916299126799</v>
      </c>
    </row>
    <row r="1426" spans="1:16" x14ac:dyDescent="0.3">
      <c r="A1426" s="3" t="str">
        <f t="shared" si="22"/>
        <v>COA</v>
      </c>
      <c r="C1426" s="3" t="s">
        <v>850</v>
      </c>
      <c r="D1426" s="3" t="s">
        <v>711</v>
      </c>
      <c r="E1426" s="3" t="s">
        <v>810</v>
      </c>
      <c r="F1426" s="3" t="s">
        <v>2</v>
      </c>
      <c r="G1426" s="3">
        <v>0.46070969593762301</v>
      </c>
      <c r="H1426" s="3">
        <v>11.480876935378999</v>
      </c>
      <c r="I1426" s="3">
        <v>13.5289044713336</v>
      </c>
      <c r="J1426" s="3">
        <v>15.407266951126299</v>
      </c>
      <c r="K1426" s="3">
        <v>16.876603193309599</v>
      </c>
      <c r="L1426" s="3">
        <v>18.383131590874701</v>
      </c>
      <c r="M1426" s="3">
        <v>20.081053166285599</v>
      </c>
      <c r="N1426" s="3">
        <v>22.0145965784392</v>
      </c>
      <c r="O1426" s="3">
        <v>23.990836986559302</v>
      </c>
      <c r="P1426" s="3">
        <v>26.218468577849499</v>
      </c>
    </row>
    <row r="1427" spans="1:16" x14ac:dyDescent="0.3">
      <c r="A1427" s="3" t="str">
        <f t="shared" si="22"/>
        <v>COA</v>
      </c>
      <c r="C1427" s="3" t="s">
        <v>850</v>
      </c>
      <c r="D1427" s="3" t="s">
        <v>711</v>
      </c>
      <c r="E1427" s="3" t="s">
        <v>810</v>
      </c>
      <c r="F1427" s="3" t="s">
        <v>3</v>
      </c>
      <c r="G1427" s="3">
        <v>0.31204963168595801</v>
      </c>
      <c r="H1427" s="3">
        <v>6.4881109954212501</v>
      </c>
      <c r="I1427" s="3">
        <v>8.0118647572492101</v>
      </c>
      <c r="J1427" s="3">
        <v>9.1242376167868997</v>
      </c>
      <c r="K1427" s="3">
        <v>9.9943837014341206</v>
      </c>
      <c r="L1427" s="3">
        <v>10.886555111160799</v>
      </c>
      <c r="M1427" s="3">
        <v>11.892070233204301</v>
      </c>
      <c r="N1427" s="3">
        <v>13.0371214347461</v>
      </c>
      <c r="O1427" s="3">
        <v>14.207457947301</v>
      </c>
      <c r="P1427" s="3">
        <v>15.5266692017089</v>
      </c>
    </row>
    <row r="1428" spans="1:16" x14ac:dyDescent="0.3">
      <c r="A1428" s="3" t="str">
        <f t="shared" si="22"/>
        <v>COA</v>
      </c>
      <c r="C1428" s="3" t="s">
        <v>850</v>
      </c>
      <c r="D1428" s="3" t="s">
        <v>711</v>
      </c>
      <c r="E1428" s="3" t="s">
        <v>810</v>
      </c>
      <c r="F1428" s="3" t="s">
        <v>4</v>
      </c>
      <c r="G1428" s="3">
        <v>1.7402946331757301E-2</v>
      </c>
      <c r="H1428" s="3">
        <v>2.9408530466170699</v>
      </c>
      <c r="J1428" s="3">
        <v>4.1275818131158601</v>
      </c>
      <c r="K1428" s="3">
        <v>4.5212146079409603</v>
      </c>
      <c r="L1428" s="3">
        <v>4.92481112083696</v>
      </c>
      <c r="M1428" s="3">
        <v>5.3796815554827502</v>
      </c>
      <c r="N1428" s="3">
        <v>5.8976746978221604</v>
      </c>
      <c r="O1428" s="3">
        <v>6.42710629609173</v>
      </c>
      <c r="P1428" s="3">
        <v>7.0238851843721202</v>
      </c>
    </row>
    <row r="1429" spans="1:16" x14ac:dyDescent="0.3">
      <c r="A1429" s="3" t="str">
        <f t="shared" si="22"/>
        <v>COA</v>
      </c>
      <c r="C1429" s="3" t="s">
        <v>850</v>
      </c>
      <c r="D1429" s="3" t="s">
        <v>711</v>
      </c>
      <c r="E1429" s="3" t="s">
        <v>810</v>
      </c>
      <c r="F1429" s="3" t="s">
        <v>5</v>
      </c>
      <c r="G1429" s="3">
        <v>1.51692026469209E-2</v>
      </c>
      <c r="J1429" s="3">
        <v>2.9126672824192799</v>
      </c>
      <c r="K1429" s="3">
        <v>3.1904380001627999</v>
      </c>
      <c r="L1429" s="3">
        <v>3.4752397101314001</v>
      </c>
      <c r="M1429" s="3">
        <v>3.7962233496373998</v>
      </c>
      <c r="N1429" s="3">
        <v>4.1617501269420396</v>
      </c>
      <c r="O1429" s="3">
        <v>4.5353485592393099</v>
      </c>
      <c r="P1429" s="3">
        <v>4.9564712459439999</v>
      </c>
    </row>
    <row r="1430" spans="1:16" x14ac:dyDescent="0.3">
      <c r="A1430" s="3" t="str">
        <f t="shared" si="22"/>
        <v>COA</v>
      </c>
      <c r="C1430" s="3" t="s">
        <v>850</v>
      </c>
      <c r="D1430" s="3" t="s">
        <v>711</v>
      </c>
      <c r="E1430" s="3" t="s">
        <v>810</v>
      </c>
      <c r="F1430" s="3" t="s">
        <v>6</v>
      </c>
      <c r="G1430" s="3">
        <v>5.2697845793579001E-2</v>
      </c>
      <c r="H1430" s="3">
        <v>10.3495891657755</v>
      </c>
      <c r="J1430" s="3">
        <v>12.2233582995862</v>
      </c>
      <c r="K1430" s="3">
        <v>13.389056499516601</v>
      </c>
      <c r="L1430" s="3">
        <v>14.5842611033152</v>
      </c>
      <c r="M1430" s="3">
        <v>15.9313075228184</v>
      </c>
      <c r="N1430" s="3">
        <v>17.4652845733577</v>
      </c>
      <c r="O1430" s="3">
        <v>19.033135294137601</v>
      </c>
      <c r="P1430" s="3">
        <v>20.800427260077502</v>
      </c>
    </row>
    <row r="1431" spans="1:16" x14ac:dyDescent="0.3">
      <c r="A1431" s="3" t="str">
        <f t="shared" si="22"/>
        <v>COA</v>
      </c>
      <c r="C1431" s="3" t="s">
        <v>850</v>
      </c>
      <c r="D1431" s="3" t="s">
        <v>711</v>
      </c>
      <c r="E1431" s="3" t="s">
        <v>810</v>
      </c>
      <c r="F1431" s="3" t="s">
        <v>7</v>
      </c>
      <c r="G1431" s="3">
        <v>6.5509840002164602E-2</v>
      </c>
      <c r="H1431" s="3">
        <v>5.2433741650024501</v>
      </c>
      <c r="I1431" s="3">
        <v>5.4377007612958801</v>
      </c>
      <c r="J1431" s="3">
        <v>6.1926749063200104</v>
      </c>
      <c r="K1431" s="3">
        <v>6.7832482834659098</v>
      </c>
      <c r="L1431" s="3">
        <v>7.3887703811133303</v>
      </c>
      <c r="M1431" s="3">
        <v>8.0712195374951801</v>
      </c>
      <c r="N1431" s="3">
        <v>8.8483726696312601</v>
      </c>
      <c r="O1431" s="3">
        <v>9.6426870943141996</v>
      </c>
      <c r="P1431" s="3">
        <v>10.538043701016001</v>
      </c>
    </row>
    <row r="1432" spans="1:16" x14ac:dyDescent="0.3">
      <c r="A1432" s="3" t="str">
        <f t="shared" si="22"/>
        <v>COA</v>
      </c>
      <c r="C1432" s="3" t="s">
        <v>850</v>
      </c>
      <c r="D1432" s="3" t="s">
        <v>711</v>
      </c>
      <c r="E1432" s="3" t="s">
        <v>810</v>
      </c>
      <c r="F1432" s="3" t="s">
        <v>8</v>
      </c>
      <c r="G1432" s="3">
        <v>4.1077653463156803E-2</v>
      </c>
      <c r="H1432" s="3">
        <v>2.2010154034042202</v>
      </c>
      <c r="J1432" s="3">
        <v>2.9502544634643502</v>
      </c>
      <c r="K1432" s="3">
        <v>3.23160973695847</v>
      </c>
      <c r="L1432" s="3">
        <v>3.52008673572477</v>
      </c>
      <c r="M1432" s="3">
        <v>3.8452125820126799</v>
      </c>
      <c r="N1432" s="3">
        <v>4.2154563832075196</v>
      </c>
      <c r="O1432" s="3">
        <v>4.5938760019127303</v>
      </c>
      <c r="P1432" s="3">
        <v>5.0204331626347303</v>
      </c>
    </row>
    <row r="1433" spans="1:16" x14ac:dyDescent="0.3">
      <c r="A1433" s="3" t="str">
        <f t="shared" si="22"/>
        <v>DST</v>
      </c>
      <c r="C1433" s="3" t="s">
        <v>850</v>
      </c>
      <c r="D1433" s="3" t="s">
        <v>711</v>
      </c>
      <c r="E1433" s="3" t="s">
        <v>816</v>
      </c>
      <c r="F1433" s="3" t="s">
        <v>0</v>
      </c>
      <c r="G1433" s="3">
        <v>6.9456426265332896E-2</v>
      </c>
    </row>
    <row r="1434" spans="1:16" x14ac:dyDescent="0.3">
      <c r="A1434" s="3" t="str">
        <f t="shared" si="22"/>
        <v>DST</v>
      </c>
      <c r="C1434" s="3" t="s">
        <v>850</v>
      </c>
      <c r="D1434" s="3" t="s">
        <v>711</v>
      </c>
      <c r="E1434" s="3" t="s">
        <v>816</v>
      </c>
      <c r="F1434" s="3" t="s">
        <v>1</v>
      </c>
      <c r="G1434" s="3">
        <v>0.19119017351170201</v>
      </c>
    </row>
    <row r="1435" spans="1:16" x14ac:dyDescent="0.3">
      <c r="A1435" s="3" t="str">
        <f t="shared" si="22"/>
        <v>DST</v>
      </c>
      <c r="C1435" s="3" t="s">
        <v>850</v>
      </c>
      <c r="D1435" s="3" t="s">
        <v>711</v>
      </c>
      <c r="E1435" s="3" t="s">
        <v>816</v>
      </c>
      <c r="F1435" s="3" t="s">
        <v>4</v>
      </c>
      <c r="G1435" s="3">
        <v>0.106391909594688</v>
      </c>
    </row>
    <row r="1436" spans="1:16" x14ac:dyDescent="0.3">
      <c r="A1436" s="3" t="str">
        <f t="shared" si="22"/>
        <v>DST</v>
      </c>
      <c r="C1436" s="3" t="s">
        <v>850</v>
      </c>
      <c r="D1436" s="3" t="s">
        <v>711</v>
      </c>
      <c r="E1436" s="3" t="s">
        <v>816</v>
      </c>
      <c r="F1436" s="3" t="s">
        <v>5</v>
      </c>
      <c r="G1436" s="3">
        <v>9.2736046291751806E-2</v>
      </c>
    </row>
    <row r="1437" spans="1:16" x14ac:dyDescent="0.3">
      <c r="A1437" s="3" t="str">
        <f t="shared" si="22"/>
        <v>DST</v>
      </c>
      <c r="C1437" s="3" t="s">
        <v>850</v>
      </c>
      <c r="D1437" s="3" t="s">
        <v>711</v>
      </c>
      <c r="E1437" s="3" t="s">
        <v>816</v>
      </c>
      <c r="F1437" s="3" t="s">
        <v>6</v>
      </c>
      <c r="G1437" s="3">
        <v>0.32216524366761101</v>
      </c>
    </row>
    <row r="1438" spans="1:16" x14ac:dyDescent="0.3">
      <c r="A1438" s="3" t="str">
        <f t="shared" si="22"/>
        <v>DST</v>
      </c>
      <c r="C1438" s="3" t="s">
        <v>850</v>
      </c>
      <c r="D1438" s="3" t="s">
        <v>711</v>
      </c>
      <c r="E1438" s="3" t="s">
        <v>816</v>
      </c>
      <c r="F1438" s="3" t="s">
        <v>7</v>
      </c>
      <c r="G1438" s="3">
        <v>0.58738626026702301</v>
      </c>
    </row>
    <row r="1439" spans="1:16" x14ac:dyDescent="0.3">
      <c r="A1439" s="3" t="str">
        <f t="shared" si="22"/>
        <v>ELC</v>
      </c>
      <c r="C1439" s="3" t="s">
        <v>850</v>
      </c>
      <c r="D1439" s="3" t="s">
        <v>711</v>
      </c>
      <c r="E1439" s="3" t="s">
        <v>859</v>
      </c>
      <c r="F1439" s="3" t="s">
        <v>0</v>
      </c>
      <c r="G1439" s="3">
        <v>0.13106152157581299</v>
      </c>
    </row>
    <row r="1440" spans="1:16" x14ac:dyDescent="0.3">
      <c r="A1440" s="3" t="str">
        <f t="shared" si="22"/>
        <v>ELC</v>
      </c>
      <c r="C1440" s="3" t="s">
        <v>850</v>
      </c>
      <c r="D1440" s="3" t="s">
        <v>711</v>
      </c>
      <c r="E1440" s="3" t="s">
        <v>859</v>
      </c>
      <c r="F1440" s="3" t="s">
        <v>1</v>
      </c>
      <c r="G1440" s="3">
        <v>0.36076827441515102</v>
      </c>
    </row>
    <row r="1441" spans="1:9" x14ac:dyDescent="0.3">
      <c r="A1441" s="3" t="str">
        <f t="shared" si="22"/>
        <v>ELC</v>
      </c>
      <c r="C1441" s="3" t="s">
        <v>850</v>
      </c>
      <c r="D1441" s="3" t="s">
        <v>711</v>
      </c>
      <c r="E1441" s="3" t="s">
        <v>859</v>
      </c>
      <c r="F1441" s="3" t="s">
        <v>2</v>
      </c>
      <c r="G1441" s="3">
        <v>1.38059130475976</v>
      </c>
    </row>
    <row r="1442" spans="1:9" x14ac:dyDescent="0.3">
      <c r="A1442" s="3" t="str">
        <f t="shared" si="22"/>
        <v>ELC</v>
      </c>
      <c r="C1442" s="3" t="s">
        <v>850</v>
      </c>
      <c r="D1442" s="3" t="s">
        <v>711</v>
      </c>
      <c r="E1442" s="3" t="s">
        <v>859</v>
      </c>
      <c r="F1442" s="3" t="s">
        <v>3</v>
      </c>
      <c r="G1442" s="3">
        <v>0.93510731803102598</v>
      </c>
    </row>
    <row r="1443" spans="1:9" x14ac:dyDescent="0.3">
      <c r="A1443" s="3" t="str">
        <f t="shared" si="22"/>
        <v>ELC</v>
      </c>
      <c r="C1443" s="3" t="s">
        <v>850</v>
      </c>
      <c r="D1443" s="3" t="s">
        <v>711</v>
      </c>
      <c r="E1443" s="3" t="s">
        <v>859</v>
      </c>
      <c r="F1443" s="3" t="s">
        <v>4</v>
      </c>
      <c r="G1443" s="3">
        <v>0.33041307876488002</v>
      </c>
    </row>
    <row r="1444" spans="1:9" x14ac:dyDescent="0.3">
      <c r="A1444" s="3" t="str">
        <f t="shared" si="22"/>
        <v>ELC</v>
      </c>
      <c r="C1444" s="3" t="s">
        <v>850</v>
      </c>
      <c r="D1444" s="3" t="s">
        <v>711</v>
      </c>
      <c r="E1444" s="3" t="s">
        <v>859</v>
      </c>
      <c r="F1444" s="3" t="s">
        <v>5</v>
      </c>
      <c r="G1444" s="3">
        <v>0.28800312621957103</v>
      </c>
      <c r="H1444" s="3">
        <v>2.4661724716566402</v>
      </c>
      <c r="I1444" s="3">
        <v>2.55757218626949</v>
      </c>
    </row>
    <row r="1445" spans="1:9" x14ac:dyDescent="0.3">
      <c r="A1445" s="3" t="str">
        <f t="shared" si="22"/>
        <v>ELC</v>
      </c>
      <c r="C1445" s="3" t="s">
        <v>850</v>
      </c>
      <c r="D1445" s="3" t="s">
        <v>711</v>
      </c>
      <c r="E1445" s="3" t="s">
        <v>859</v>
      </c>
      <c r="F1445" s="3" t="s">
        <v>6</v>
      </c>
      <c r="G1445" s="3">
        <v>1.0005235401524699</v>
      </c>
    </row>
    <row r="1446" spans="1:9" x14ac:dyDescent="0.3">
      <c r="A1446" s="3" t="str">
        <f t="shared" si="22"/>
        <v>ELC</v>
      </c>
      <c r="C1446" s="3" t="s">
        <v>850</v>
      </c>
      <c r="D1446" s="3" t="s">
        <v>711</v>
      </c>
      <c r="E1446" s="3" t="s">
        <v>859</v>
      </c>
      <c r="F1446" s="3" t="s">
        <v>7</v>
      </c>
      <c r="G1446" s="3">
        <v>0.51640179116482998</v>
      </c>
    </row>
    <row r="1447" spans="1:9" x14ac:dyDescent="0.3">
      <c r="A1447" s="3" t="str">
        <f t="shared" si="22"/>
        <v>ELC</v>
      </c>
      <c r="C1447" s="3" t="s">
        <v>850</v>
      </c>
      <c r="D1447" s="3" t="s">
        <v>711</v>
      </c>
      <c r="E1447" s="3" t="s">
        <v>859</v>
      </c>
      <c r="F1447" s="3" t="s">
        <v>8</v>
      </c>
      <c r="G1447" s="3">
        <v>0.32380744365306702</v>
      </c>
    </row>
    <row r="1448" spans="1:9" x14ac:dyDescent="0.3">
      <c r="A1448" s="3" t="str">
        <f t="shared" si="22"/>
        <v>NGA</v>
      </c>
      <c r="C1448" s="3" t="s">
        <v>850</v>
      </c>
      <c r="D1448" s="3" t="s">
        <v>711</v>
      </c>
      <c r="E1448" s="3" t="s">
        <v>827</v>
      </c>
      <c r="F1448" s="3" t="s">
        <v>0</v>
      </c>
      <c r="G1448" s="3">
        <v>0.22391972669142801</v>
      </c>
    </row>
    <row r="1449" spans="1:9" x14ac:dyDescent="0.3">
      <c r="A1449" s="3" t="str">
        <f t="shared" si="22"/>
        <v>NGA</v>
      </c>
      <c r="C1449" s="3" t="s">
        <v>850</v>
      </c>
      <c r="D1449" s="3" t="s">
        <v>711</v>
      </c>
      <c r="E1449" s="3" t="s">
        <v>827</v>
      </c>
      <c r="F1449" s="3" t="s">
        <v>1</v>
      </c>
      <c r="G1449" s="3">
        <v>0.61637567178135899</v>
      </c>
    </row>
    <row r="1450" spans="1:9" x14ac:dyDescent="0.3">
      <c r="A1450" s="3" t="str">
        <f t="shared" si="22"/>
        <v>NGA</v>
      </c>
      <c r="C1450" s="3" t="s">
        <v>850</v>
      </c>
      <c r="D1450" s="3" t="s">
        <v>711</v>
      </c>
      <c r="E1450" s="3" t="s">
        <v>827</v>
      </c>
      <c r="F1450" s="3" t="s">
        <v>2</v>
      </c>
      <c r="G1450" s="3">
        <v>2.2454364912588902</v>
      </c>
    </row>
    <row r="1451" spans="1:9" x14ac:dyDescent="0.3">
      <c r="A1451" s="3" t="str">
        <f t="shared" si="22"/>
        <v>NGA</v>
      </c>
      <c r="C1451" s="3" t="s">
        <v>850</v>
      </c>
      <c r="D1451" s="3" t="s">
        <v>711</v>
      </c>
      <c r="E1451" s="3" t="s">
        <v>827</v>
      </c>
      <c r="F1451" s="3" t="s">
        <v>3</v>
      </c>
      <c r="G1451" s="3">
        <v>1.5208875268959301</v>
      </c>
    </row>
    <row r="1452" spans="1:9" x14ac:dyDescent="0.3">
      <c r="A1452" s="3" t="str">
        <f t="shared" si="22"/>
        <v>NGA</v>
      </c>
      <c r="C1452" s="3" t="s">
        <v>850</v>
      </c>
      <c r="D1452" s="3" t="s">
        <v>711</v>
      </c>
      <c r="E1452" s="3" t="s">
        <v>827</v>
      </c>
      <c r="F1452" s="3" t="s">
        <v>4</v>
      </c>
      <c r="G1452" s="3">
        <v>0.45018170077226499</v>
      </c>
      <c r="I1452" s="3">
        <v>3.6243715530077698</v>
      </c>
    </row>
    <row r="1453" spans="1:9" x14ac:dyDescent="0.3">
      <c r="A1453" s="3" t="str">
        <f t="shared" si="22"/>
        <v>NGA</v>
      </c>
      <c r="C1453" s="3" t="s">
        <v>850</v>
      </c>
      <c r="D1453" s="3" t="s">
        <v>711</v>
      </c>
      <c r="E1453" s="3" t="s">
        <v>827</v>
      </c>
      <c r="F1453" s="3" t="s">
        <v>5</v>
      </c>
      <c r="G1453" s="3">
        <v>0.39239892583524699</v>
      </c>
    </row>
    <row r="1454" spans="1:9" x14ac:dyDescent="0.3">
      <c r="A1454" s="3" t="str">
        <f t="shared" si="22"/>
        <v>NGA</v>
      </c>
      <c r="C1454" s="3" t="s">
        <v>850</v>
      </c>
      <c r="D1454" s="3" t="s">
        <v>711</v>
      </c>
      <c r="E1454" s="3" t="s">
        <v>827</v>
      </c>
      <c r="F1454" s="3" t="s">
        <v>6</v>
      </c>
      <c r="G1454" s="3">
        <v>1.3631947943835601</v>
      </c>
      <c r="I1454" s="3">
        <v>10.7331590527091</v>
      </c>
    </row>
    <row r="1455" spans="1:9" x14ac:dyDescent="0.3">
      <c r="A1455" s="3" t="str">
        <f t="shared" si="22"/>
        <v>NGA</v>
      </c>
      <c r="C1455" s="3" t="s">
        <v>850</v>
      </c>
      <c r="D1455" s="3" t="s">
        <v>711</v>
      </c>
      <c r="E1455" s="3" t="s">
        <v>827</v>
      </c>
      <c r="F1455" s="3" t="s">
        <v>7</v>
      </c>
      <c r="G1455" s="3">
        <v>1.1620231836527699</v>
      </c>
    </row>
    <row r="1456" spans="1:9" x14ac:dyDescent="0.3">
      <c r="A1456" s="3" t="str">
        <f t="shared" si="22"/>
        <v>NGA</v>
      </c>
      <c r="C1456" s="3" t="s">
        <v>850</v>
      </c>
      <c r="D1456" s="3" t="s">
        <v>711</v>
      </c>
      <c r="E1456" s="3" t="s">
        <v>827</v>
      </c>
      <c r="F1456" s="3" t="s">
        <v>8</v>
      </c>
      <c r="G1456" s="3">
        <v>0.72573145819774398</v>
      </c>
      <c r="I1456" s="3">
        <v>2.5905769614394498</v>
      </c>
    </row>
    <row r="1457" spans="1:16" x14ac:dyDescent="0.3">
      <c r="A1457" s="3" t="str">
        <f t="shared" si="22"/>
        <v>RFL</v>
      </c>
      <c r="C1457" s="3" t="s">
        <v>850</v>
      </c>
      <c r="D1457" s="3" t="s">
        <v>711</v>
      </c>
      <c r="E1457" s="3" t="s">
        <v>832</v>
      </c>
      <c r="F1457" s="3" t="s">
        <v>0</v>
      </c>
      <c r="G1457" s="3">
        <v>2.6993181105503399E-2</v>
      </c>
    </row>
    <row r="1458" spans="1:16" x14ac:dyDescent="0.3">
      <c r="A1458" s="3" t="str">
        <f t="shared" si="22"/>
        <v>RFL</v>
      </c>
      <c r="C1458" s="3" t="s">
        <v>850</v>
      </c>
      <c r="D1458" s="3" t="s">
        <v>711</v>
      </c>
      <c r="E1458" s="3" t="s">
        <v>832</v>
      </c>
      <c r="F1458" s="3" t="s">
        <v>1</v>
      </c>
      <c r="G1458" s="3">
        <v>7.4303145967788795E-2</v>
      </c>
    </row>
    <row r="1459" spans="1:16" x14ac:dyDescent="0.3">
      <c r="A1459" s="3" t="str">
        <f t="shared" si="22"/>
        <v>RFL</v>
      </c>
      <c r="C1459" s="3" t="s">
        <v>850</v>
      </c>
      <c r="D1459" s="3" t="s">
        <v>711</v>
      </c>
      <c r="E1459" s="3" t="s">
        <v>832</v>
      </c>
      <c r="F1459" s="3" t="s">
        <v>4</v>
      </c>
      <c r="G1459" s="3">
        <v>4.13475935672084E-2</v>
      </c>
    </row>
    <row r="1460" spans="1:16" x14ac:dyDescent="0.3">
      <c r="A1460" s="3" t="str">
        <f t="shared" si="22"/>
        <v>RFL</v>
      </c>
      <c r="C1460" s="3" t="s">
        <v>850</v>
      </c>
      <c r="D1460" s="3" t="s">
        <v>711</v>
      </c>
      <c r="E1460" s="3" t="s">
        <v>832</v>
      </c>
      <c r="F1460" s="3" t="s">
        <v>5</v>
      </c>
      <c r="G1460" s="3">
        <v>3.6040450497681703E-2</v>
      </c>
    </row>
    <row r="1461" spans="1:16" x14ac:dyDescent="0.3">
      <c r="A1461" s="3" t="str">
        <f t="shared" si="22"/>
        <v>RFL</v>
      </c>
      <c r="C1461" s="3" t="s">
        <v>850</v>
      </c>
      <c r="D1461" s="3" t="s">
        <v>711</v>
      </c>
      <c r="E1461" s="3" t="s">
        <v>832</v>
      </c>
      <c r="F1461" s="3" t="s">
        <v>6</v>
      </c>
      <c r="G1461" s="3">
        <v>0.12520461008169501</v>
      </c>
    </row>
    <row r="1462" spans="1:16" x14ac:dyDescent="0.3">
      <c r="A1462" s="3" t="str">
        <f t="shared" si="22"/>
        <v>STM</v>
      </c>
      <c r="C1462" s="3" t="s">
        <v>850</v>
      </c>
      <c r="D1462" s="3" t="s">
        <v>711</v>
      </c>
      <c r="E1462" s="3" t="s">
        <v>860</v>
      </c>
      <c r="F1462" s="3" t="s">
        <v>0</v>
      </c>
      <c r="G1462" s="3">
        <v>2.0921172611518802E-3</v>
      </c>
    </row>
    <row r="1463" spans="1:16" x14ac:dyDescent="0.3">
      <c r="A1463" s="3" t="str">
        <f t="shared" si="22"/>
        <v>STM</v>
      </c>
      <c r="C1463" s="3" t="s">
        <v>850</v>
      </c>
      <c r="D1463" s="3" t="s">
        <v>711</v>
      </c>
      <c r="E1463" s="3" t="s">
        <v>860</v>
      </c>
      <c r="F1463" s="3" t="s">
        <v>1</v>
      </c>
      <c r="G1463" s="3">
        <v>0.20752188524388701</v>
      </c>
    </row>
    <row r="1464" spans="1:16" x14ac:dyDescent="0.3">
      <c r="A1464" s="3" t="str">
        <f t="shared" si="22"/>
        <v>STM</v>
      </c>
      <c r="C1464" s="3" t="s">
        <v>850</v>
      </c>
      <c r="D1464" s="3" t="s">
        <v>711</v>
      </c>
      <c r="E1464" s="3" t="s">
        <v>860</v>
      </c>
      <c r="F1464" s="3" t="s">
        <v>2</v>
      </c>
      <c r="G1464" s="3">
        <v>3.3630375834555299</v>
      </c>
    </row>
    <row r="1465" spans="1:16" x14ac:dyDescent="0.3">
      <c r="A1465" s="3" t="str">
        <f t="shared" si="22"/>
        <v>STM</v>
      </c>
      <c r="C1465" s="3" t="s">
        <v>850</v>
      </c>
      <c r="D1465" s="3" t="s">
        <v>711</v>
      </c>
      <c r="E1465" s="3" t="s">
        <v>860</v>
      </c>
      <c r="F1465" s="3" t="s">
        <v>3</v>
      </c>
      <c r="G1465" s="3">
        <v>3.3391280783513699</v>
      </c>
    </row>
    <row r="1466" spans="1:16" x14ac:dyDescent="0.3">
      <c r="A1466" s="3" t="str">
        <f t="shared" si="22"/>
        <v>STM</v>
      </c>
      <c r="C1466" s="3" t="s">
        <v>850</v>
      </c>
      <c r="D1466" s="3" t="s">
        <v>711</v>
      </c>
      <c r="E1466" s="3" t="s">
        <v>860</v>
      </c>
      <c r="F1466" s="3" t="s">
        <v>4</v>
      </c>
      <c r="G1466" s="3">
        <v>1.8242361909886</v>
      </c>
    </row>
    <row r="1467" spans="1:16" x14ac:dyDescent="0.3">
      <c r="A1467" s="3" t="str">
        <f t="shared" si="22"/>
        <v>STM</v>
      </c>
      <c r="C1467" s="3" t="s">
        <v>850</v>
      </c>
      <c r="D1467" s="3" t="s">
        <v>711</v>
      </c>
      <c r="E1467" s="3" t="s">
        <v>860</v>
      </c>
      <c r="F1467" s="3" t="s">
        <v>5</v>
      </c>
      <c r="G1467" s="3">
        <v>1.59676587883155</v>
      </c>
    </row>
    <row r="1468" spans="1:16" x14ac:dyDescent="0.3">
      <c r="A1468" s="3" t="str">
        <f t="shared" si="22"/>
        <v>STM</v>
      </c>
      <c r="C1468" s="3" t="s">
        <v>850</v>
      </c>
      <c r="D1468" s="3" t="s">
        <v>711</v>
      </c>
      <c r="E1468" s="3" t="s">
        <v>860</v>
      </c>
      <c r="F1468" s="3" t="s">
        <v>6</v>
      </c>
      <c r="G1468" s="3">
        <v>7.3899106599631104</v>
      </c>
    </row>
    <row r="1469" spans="1:16" x14ac:dyDescent="0.3">
      <c r="A1469" s="3" t="str">
        <f t="shared" si="22"/>
        <v>STM</v>
      </c>
      <c r="C1469" s="3" t="s">
        <v>850</v>
      </c>
      <c r="D1469" s="3" t="s">
        <v>711</v>
      </c>
      <c r="E1469" s="3" t="s">
        <v>860</v>
      </c>
      <c r="F1469" s="3" t="s">
        <v>7</v>
      </c>
      <c r="G1469" s="3">
        <v>0.13993091348282899</v>
      </c>
    </row>
    <row r="1470" spans="1:16" x14ac:dyDescent="0.3">
      <c r="A1470" s="3" t="str">
        <f t="shared" si="22"/>
        <v>STM</v>
      </c>
      <c r="C1470" s="3" t="s">
        <v>850</v>
      </c>
      <c r="D1470" s="3" t="s">
        <v>711</v>
      </c>
      <c r="E1470" s="3" t="s">
        <v>860</v>
      </c>
      <c r="F1470" s="3" t="s">
        <v>8</v>
      </c>
      <c r="G1470" s="3">
        <v>1.01300845858148</v>
      </c>
    </row>
    <row r="1471" spans="1:16" x14ac:dyDescent="0.3">
      <c r="A1471" s="3" t="str">
        <f t="shared" si="22"/>
        <v>COA</v>
      </c>
      <c r="C1471" s="3" t="s">
        <v>850</v>
      </c>
      <c r="D1471" s="3" t="s">
        <v>708</v>
      </c>
      <c r="E1471" s="3" t="s">
        <v>811</v>
      </c>
      <c r="F1471" s="3" t="s">
        <v>0</v>
      </c>
      <c r="G1471" s="3">
        <v>2.55628415959092E-2</v>
      </c>
      <c r="H1471" s="3">
        <v>0.45326416324178759</v>
      </c>
      <c r="I1471" s="3">
        <v>1.9367877708642829</v>
      </c>
      <c r="J1471" s="3">
        <v>3.9777618363708749</v>
      </c>
      <c r="K1471" s="3">
        <v>5.7193429299881569</v>
      </c>
      <c r="L1471" s="3">
        <v>7.461957635567309</v>
      </c>
      <c r="M1471" s="3">
        <v>9.2941605933619709</v>
      </c>
      <c r="N1471" s="3">
        <v>11.263590605699477</v>
      </c>
      <c r="O1471" s="3">
        <v>12.27471805544368</v>
      </c>
      <c r="P1471" s="3">
        <v>13.414467774463748</v>
      </c>
    </row>
    <row r="1472" spans="1:16" x14ac:dyDescent="0.3">
      <c r="A1472" s="3" t="str">
        <f t="shared" si="22"/>
        <v>COA</v>
      </c>
      <c r="C1472" s="3" t="s">
        <v>850</v>
      </c>
      <c r="D1472" s="3" t="s">
        <v>708</v>
      </c>
      <c r="E1472" s="3" t="s">
        <v>811</v>
      </c>
      <c r="F1472" s="3" t="s">
        <v>1</v>
      </c>
      <c r="G1472" s="3">
        <v>7.0365902522880094E-2</v>
      </c>
      <c r="H1472" s="3">
        <v>1.2476837447089539</v>
      </c>
      <c r="I1472" s="3">
        <v>3.9435698225891498</v>
      </c>
      <c r="J1472" s="3">
        <v>9.8392358164769114</v>
      </c>
      <c r="K1472" s="3">
        <v>15.743426864205631</v>
      </c>
      <c r="L1472" s="3">
        <v>20.54025886144899</v>
      </c>
      <c r="M1472" s="3">
        <v>25.583697175871091</v>
      </c>
      <c r="N1472" s="3">
        <v>31.004875402627878</v>
      </c>
      <c r="O1472" s="3">
        <v>33.788169086937835</v>
      </c>
      <c r="P1472" s="3">
        <v>36.925516604745894</v>
      </c>
    </row>
    <row r="1473" spans="1:16" x14ac:dyDescent="0.3">
      <c r="A1473" s="3" t="str">
        <f t="shared" si="22"/>
        <v>COA</v>
      </c>
      <c r="C1473" s="3" t="s">
        <v>850</v>
      </c>
      <c r="D1473" s="3" t="s">
        <v>708</v>
      </c>
      <c r="E1473" s="3" t="s">
        <v>811</v>
      </c>
      <c r="F1473" s="3" t="s">
        <v>2</v>
      </c>
      <c r="G1473" s="3">
        <v>8.29277452687721</v>
      </c>
      <c r="H1473" s="3">
        <v>8.0163487093146397</v>
      </c>
      <c r="I1473" s="3">
        <v>22.70691067236104</v>
      </c>
      <c r="J1473" s="3">
        <v>48.47522199856887</v>
      </c>
      <c r="K1473" s="3">
        <v>66.560783941985392</v>
      </c>
      <c r="L1473" s="3">
        <v>84.857459065455544</v>
      </c>
      <c r="M1473" s="3">
        <v>104.24053593146428</v>
      </c>
      <c r="N1473" s="3">
        <v>124.96106890170151</v>
      </c>
      <c r="O1473" s="3">
        <v>136.1787677101039</v>
      </c>
      <c r="P1473" s="3">
        <v>148.82343388760981</v>
      </c>
    </row>
    <row r="1474" spans="1:16" x14ac:dyDescent="0.3">
      <c r="A1474" s="3" t="str">
        <f t="shared" si="22"/>
        <v>COA</v>
      </c>
      <c r="C1474" s="3" t="s">
        <v>850</v>
      </c>
      <c r="D1474" s="3" t="s">
        <v>708</v>
      </c>
      <c r="E1474" s="3" t="s">
        <v>811</v>
      </c>
      <c r="F1474" s="3" t="s">
        <v>3</v>
      </c>
      <c r="G1474" s="3">
        <v>5.6168933703472304</v>
      </c>
      <c r="H1474" s="3">
        <v>5.4296635913356601</v>
      </c>
      <c r="I1474" s="3">
        <v>15.37993051701616</v>
      </c>
      <c r="J1474" s="3">
        <v>32.833420490018391</v>
      </c>
      <c r="K1474" s="3">
        <v>45.083201627771523</v>
      </c>
      <c r="L1474" s="3">
        <v>57.475974742165739</v>
      </c>
      <c r="M1474" s="3">
        <v>70.604593588940773</v>
      </c>
      <c r="N1474" s="3">
        <v>84.639103256770198</v>
      </c>
      <c r="O1474" s="3">
        <v>92.237117391032996</v>
      </c>
      <c r="P1474" s="3">
        <v>100.80165045442381</v>
      </c>
    </row>
    <row r="1475" spans="1:16" x14ac:dyDescent="0.3">
      <c r="A1475" s="3" t="str">
        <f t="shared" si="22"/>
        <v>COA</v>
      </c>
      <c r="C1475" s="3" t="s">
        <v>850</v>
      </c>
      <c r="D1475" s="3" t="s">
        <v>708</v>
      </c>
      <c r="E1475" s="3" t="s">
        <v>811</v>
      </c>
      <c r="F1475" s="3" t="s">
        <v>4</v>
      </c>
      <c r="G1475" s="3">
        <v>0.31325303397163101</v>
      </c>
      <c r="H1475" s="3">
        <v>0.30281126617257698</v>
      </c>
      <c r="I1475" s="3">
        <v>0.261044194976359</v>
      </c>
      <c r="J1475" s="3">
        <v>4.4804948025780567</v>
      </c>
      <c r="K1475" s="3">
        <v>9.0467031613365947</v>
      </c>
      <c r="L1475" s="3">
        <v>12.608246438516925</v>
      </c>
      <c r="M1475" s="3">
        <v>16.107075432121352</v>
      </c>
      <c r="N1475" s="3">
        <v>20.391293121695767</v>
      </c>
      <c r="O1475" s="3">
        <v>25.602823607136617</v>
      </c>
      <c r="P1475" s="3">
        <v>27.9801336912093</v>
      </c>
    </row>
    <row r="1476" spans="1:16" x14ac:dyDescent="0.3">
      <c r="A1476" s="3" t="str">
        <f t="shared" si="22"/>
        <v>COA</v>
      </c>
      <c r="C1476" s="3" t="s">
        <v>850</v>
      </c>
      <c r="D1476" s="3" t="s">
        <v>708</v>
      </c>
      <c r="E1476" s="3" t="s">
        <v>811</v>
      </c>
      <c r="F1476" s="3" t="s">
        <v>5</v>
      </c>
      <c r="G1476" s="3">
        <v>0.27304564764457701</v>
      </c>
      <c r="H1476" s="3">
        <v>0.26394412605642398</v>
      </c>
      <c r="I1476" s="3">
        <v>0.227538039703814</v>
      </c>
      <c r="J1476" s="3">
        <v>3.9880934920464508</v>
      </c>
      <c r="K1476" s="3">
        <v>7.9682091920916687</v>
      </c>
      <c r="L1476" s="3">
        <v>11.072612933700636</v>
      </c>
      <c r="M1476" s="3">
        <v>14.343922447295373</v>
      </c>
      <c r="N1476" s="3">
        <v>18.106600724520689</v>
      </c>
      <c r="O1476" s="3">
        <v>22.31659008919155</v>
      </c>
      <c r="P1476" s="3">
        <v>24.38876210721698</v>
      </c>
    </row>
    <row r="1477" spans="1:16" x14ac:dyDescent="0.3">
      <c r="A1477" s="3" t="str">
        <f t="shared" si="22"/>
        <v>COA</v>
      </c>
      <c r="C1477" s="3" t="s">
        <v>850</v>
      </c>
      <c r="D1477" s="3" t="s">
        <v>708</v>
      </c>
      <c r="E1477" s="3" t="s">
        <v>811</v>
      </c>
      <c r="F1477" s="3" t="s">
        <v>6</v>
      </c>
      <c r="G1477" s="3">
        <v>0.94856122428442102</v>
      </c>
      <c r="H1477" s="3">
        <v>0.91694251680827399</v>
      </c>
      <c r="I1477" s="3">
        <v>0.79046768690368396</v>
      </c>
      <c r="J1477" s="3">
        <v>13.650851934087047</v>
      </c>
      <c r="K1477" s="3">
        <v>27.394313528763011</v>
      </c>
      <c r="L1477" s="3">
        <v>38.179019453271778</v>
      </c>
      <c r="M1477" s="3">
        <v>49.543556423543635</v>
      </c>
      <c r="N1477" s="3">
        <v>62.615109638261899</v>
      </c>
      <c r="O1477" s="3">
        <v>77.527886635323199</v>
      </c>
      <c r="P1477" s="3">
        <v>84.726617116113303</v>
      </c>
    </row>
    <row r="1478" spans="1:16" x14ac:dyDescent="0.3">
      <c r="A1478" s="3" t="str">
        <f t="shared" si="22"/>
        <v>COA</v>
      </c>
      <c r="C1478" s="3" t="s">
        <v>850</v>
      </c>
      <c r="D1478" s="3" t="s">
        <v>708</v>
      </c>
      <c r="E1478" s="3" t="s">
        <v>811</v>
      </c>
      <c r="F1478" s="3" t="s">
        <v>7</v>
      </c>
      <c r="G1478" s="3">
        <v>1.17917712003896</v>
      </c>
      <c r="H1478" s="3">
        <v>3.3343984982380501</v>
      </c>
      <c r="I1478" s="3">
        <v>8.3599179988598866</v>
      </c>
      <c r="J1478" s="3">
        <v>21.032967905777994</v>
      </c>
      <c r="K1478" s="3">
        <v>30.005788636340011</v>
      </c>
      <c r="L1478" s="3">
        <v>39.078077263698127</v>
      </c>
      <c r="M1478" s="3">
        <v>48.643006374254554</v>
      </c>
      <c r="N1478" s="3">
        <v>58.876545281975282</v>
      </c>
      <c r="O1478" s="3">
        <v>64.161866203581539</v>
      </c>
      <c r="P1478" s="3">
        <v>70.119515792519039</v>
      </c>
    </row>
    <row r="1479" spans="1:16" x14ac:dyDescent="0.3">
      <c r="A1479" s="3" t="str">
        <f t="shared" si="22"/>
        <v>COA</v>
      </c>
      <c r="C1479" s="3" t="s">
        <v>850</v>
      </c>
      <c r="D1479" s="3" t="s">
        <v>708</v>
      </c>
      <c r="E1479" s="3" t="s">
        <v>811</v>
      </c>
      <c r="F1479" s="3" t="s">
        <v>8</v>
      </c>
      <c r="G1479" s="3">
        <v>0.73939776233682197</v>
      </c>
      <c r="H1479" s="3">
        <v>0.71475117025892798</v>
      </c>
      <c r="I1479" s="3">
        <v>5.2420493551232816</v>
      </c>
      <c r="J1479" s="3">
        <v>25.837844663289708</v>
      </c>
      <c r="K1479" s="3">
        <v>25.714611702900239</v>
      </c>
      <c r="L1479" s="3">
        <v>25.59137874251077</v>
      </c>
      <c r="M1479" s="3">
        <v>30.501380543468247</v>
      </c>
      <c r="N1479" s="3">
        <v>36.91827554640512</v>
      </c>
      <c r="O1479" s="3">
        <v>40.232412495177108</v>
      </c>
      <c r="P1479" s="3">
        <v>43.968130140972008</v>
      </c>
    </row>
    <row r="1480" spans="1:16" x14ac:dyDescent="0.3">
      <c r="A1480" s="3" t="str">
        <f t="shared" ref="A1480:A1543" si="23">RIGHT(E1480,3)</f>
        <v>DST</v>
      </c>
      <c r="C1480" s="3" t="s">
        <v>850</v>
      </c>
      <c r="D1480" s="3" t="s">
        <v>708</v>
      </c>
      <c r="E1480" s="3" t="s">
        <v>817</v>
      </c>
      <c r="F1480" s="3" t="s">
        <v>0</v>
      </c>
      <c r="G1480" s="3">
        <v>7.4318376103906195E-2</v>
      </c>
      <c r="I1480" s="3">
        <v>6.1931980086588498E-2</v>
      </c>
    </row>
    <row r="1481" spans="1:16" x14ac:dyDescent="0.3">
      <c r="A1481" s="3" t="str">
        <f t="shared" si="23"/>
        <v>DST</v>
      </c>
      <c r="C1481" s="3" t="s">
        <v>850</v>
      </c>
      <c r="D1481" s="3" t="s">
        <v>708</v>
      </c>
      <c r="E1481" s="3" t="s">
        <v>817</v>
      </c>
      <c r="F1481" s="3" t="s">
        <v>1</v>
      </c>
      <c r="G1481" s="3">
        <v>0.20457348565752101</v>
      </c>
      <c r="I1481" s="3">
        <v>0.170477904714601</v>
      </c>
    </row>
    <row r="1482" spans="1:16" x14ac:dyDescent="0.3">
      <c r="A1482" s="3" t="str">
        <f t="shared" si="23"/>
        <v>DST</v>
      </c>
      <c r="C1482" s="3" t="s">
        <v>850</v>
      </c>
      <c r="D1482" s="3" t="s">
        <v>708</v>
      </c>
      <c r="E1482" s="3" t="s">
        <v>817</v>
      </c>
      <c r="F1482" s="3" t="s">
        <v>5</v>
      </c>
      <c r="G1482" s="3">
        <v>9.9227569532174403E-2</v>
      </c>
      <c r="I1482" s="3">
        <v>8.2689641276811998E-2</v>
      </c>
    </row>
    <row r="1483" spans="1:16" x14ac:dyDescent="0.3">
      <c r="A1483" s="3" t="str">
        <f t="shared" si="23"/>
        <v>DST</v>
      </c>
      <c r="C1483" s="3" t="s">
        <v>850</v>
      </c>
      <c r="D1483" s="3" t="s">
        <v>708</v>
      </c>
      <c r="E1483" s="3" t="s">
        <v>817</v>
      </c>
      <c r="F1483" s="3" t="s">
        <v>6</v>
      </c>
      <c r="G1483" s="3">
        <v>0.344716810724364</v>
      </c>
    </row>
    <row r="1484" spans="1:16" x14ac:dyDescent="0.3">
      <c r="A1484" s="3" t="str">
        <f t="shared" si="23"/>
        <v>DST</v>
      </c>
      <c r="C1484" s="3" t="s">
        <v>850</v>
      </c>
      <c r="D1484" s="3" t="s">
        <v>708</v>
      </c>
      <c r="E1484" s="3" t="s">
        <v>817</v>
      </c>
      <c r="F1484" s="3" t="s">
        <v>7</v>
      </c>
      <c r="G1484" s="3">
        <v>0.62850329848581099</v>
      </c>
      <c r="I1484" s="3">
        <v>0.52375274873817101</v>
      </c>
    </row>
    <row r="1485" spans="1:16" x14ac:dyDescent="0.3">
      <c r="A1485" s="3" t="str">
        <f t="shared" si="23"/>
        <v>DST</v>
      </c>
      <c r="C1485" s="3" t="s">
        <v>850</v>
      </c>
      <c r="D1485" s="3" t="s">
        <v>708</v>
      </c>
      <c r="E1485" s="3" t="s">
        <v>817</v>
      </c>
      <c r="F1485" s="3" t="s">
        <v>8</v>
      </c>
      <c r="I1485" s="3">
        <v>0.32841682886619</v>
      </c>
    </row>
    <row r="1486" spans="1:16" x14ac:dyDescent="0.3">
      <c r="A1486" s="3" t="str">
        <f t="shared" si="23"/>
        <v>ELC</v>
      </c>
      <c r="C1486" s="3" t="s">
        <v>850</v>
      </c>
      <c r="D1486" s="3" t="s">
        <v>708</v>
      </c>
      <c r="E1486" s="3" t="s">
        <v>861</v>
      </c>
      <c r="F1486" s="3" t="s">
        <v>0</v>
      </c>
      <c r="G1486" s="3">
        <v>0.604979983593953</v>
      </c>
      <c r="H1486" s="3">
        <v>0.58481398414082097</v>
      </c>
    </row>
    <row r="1487" spans="1:16" x14ac:dyDescent="0.3">
      <c r="A1487" s="3" t="str">
        <f t="shared" si="23"/>
        <v>ELC</v>
      </c>
      <c r="C1487" s="3" t="s">
        <v>850</v>
      </c>
      <c r="D1487" s="3" t="s">
        <v>708</v>
      </c>
      <c r="E1487" s="3" t="s">
        <v>861</v>
      </c>
      <c r="F1487" s="3" t="s">
        <v>1</v>
      </c>
      <c r="G1487" s="3">
        <v>1.6653063547003399</v>
      </c>
      <c r="H1487" s="3">
        <v>1.609796142877</v>
      </c>
      <c r="I1487" s="3">
        <v>1.3877552955836201</v>
      </c>
      <c r="J1487" s="3">
        <v>1.11020423646689</v>
      </c>
    </row>
    <row r="1488" spans="1:16" x14ac:dyDescent="0.3">
      <c r="A1488" s="3" t="str">
        <f t="shared" si="23"/>
        <v>ELC</v>
      </c>
      <c r="C1488" s="3" t="s">
        <v>850</v>
      </c>
      <c r="D1488" s="3" t="s">
        <v>708</v>
      </c>
      <c r="E1488" s="3" t="s">
        <v>861</v>
      </c>
      <c r="F1488" s="3" t="s">
        <v>2</v>
      </c>
      <c r="G1488" s="3">
        <v>6.3728094627710696</v>
      </c>
      <c r="H1488" s="3">
        <v>6.1603824806786998</v>
      </c>
      <c r="I1488" s="3">
        <v>5.3106745523092203</v>
      </c>
    </row>
    <row r="1489" spans="1:13" x14ac:dyDescent="0.3">
      <c r="A1489" s="3" t="str">
        <f t="shared" si="23"/>
        <v>ELC</v>
      </c>
      <c r="C1489" s="3" t="s">
        <v>850</v>
      </c>
      <c r="D1489" s="3" t="s">
        <v>708</v>
      </c>
      <c r="E1489" s="3" t="s">
        <v>861</v>
      </c>
      <c r="F1489" s="3" t="s">
        <v>3</v>
      </c>
      <c r="G1489" s="3">
        <v>4.3164553800312202</v>
      </c>
      <c r="H1489" s="3">
        <v>4.1725735340301799</v>
      </c>
      <c r="I1489" s="3">
        <v>3.5970461500260198</v>
      </c>
    </row>
    <row r="1490" spans="1:13" x14ac:dyDescent="0.3">
      <c r="A1490" s="3" t="str">
        <f t="shared" si="23"/>
        <v>ELC</v>
      </c>
      <c r="C1490" s="3" t="s">
        <v>850</v>
      </c>
      <c r="D1490" s="3" t="s">
        <v>708</v>
      </c>
      <c r="E1490" s="3" t="s">
        <v>861</v>
      </c>
      <c r="F1490" s="3" t="s">
        <v>4</v>
      </c>
      <c r="G1490" s="3">
        <v>1.52518677157868</v>
      </c>
      <c r="H1490" s="3">
        <v>8.0307001594157199E-2</v>
      </c>
      <c r="I1490" s="3">
        <v>1.27098897631557</v>
      </c>
      <c r="J1490" s="3">
        <v>1.0167911810524499</v>
      </c>
      <c r="M1490" s="3">
        <v>0.25419779526311298</v>
      </c>
    </row>
    <row r="1491" spans="1:13" x14ac:dyDescent="0.3">
      <c r="A1491" s="3" t="str">
        <f t="shared" si="23"/>
        <v>ELC</v>
      </c>
      <c r="C1491" s="3" t="s">
        <v>850</v>
      </c>
      <c r="D1491" s="3" t="s">
        <v>708</v>
      </c>
      <c r="E1491" s="3" t="s">
        <v>861</v>
      </c>
      <c r="F1491" s="3" t="s">
        <v>5</v>
      </c>
      <c r="G1491" s="3">
        <v>1.3294224306295399</v>
      </c>
      <c r="H1491" s="3">
        <v>1.28510834960856</v>
      </c>
      <c r="I1491" s="3">
        <v>1.10785202552462</v>
      </c>
      <c r="J1491" s="3">
        <v>0.88628162041969305</v>
      </c>
    </row>
    <row r="1492" spans="1:13" x14ac:dyDescent="0.3">
      <c r="A1492" s="3" t="str">
        <f t="shared" si="23"/>
        <v>ELC</v>
      </c>
      <c r="C1492" s="3" t="s">
        <v>850</v>
      </c>
      <c r="D1492" s="3" t="s">
        <v>708</v>
      </c>
      <c r="E1492" s="3" t="s">
        <v>861</v>
      </c>
      <c r="F1492" s="3" t="s">
        <v>6</v>
      </c>
      <c r="G1492" s="3">
        <v>4.6184166613438196</v>
      </c>
      <c r="H1492" s="3">
        <v>4.4644694392990303</v>
      </c>
      <c r="I1492" s="3">
        <v>3.8486805511198501</v>
      </c>
      <c r="J1492" s="3">
        <v>3.0789444408958802</v>
      </c>
    </row>
    <row r="1493" spans="1:13" x14ac:dyDescent="0.3">
      <c r="A1493" s="3" t="str">
        <f t="shared" si="23"/>
        <v>ELC</v>
      </c>
      <c r="C1493" s="3" t="s">
        <v>850</v>
      </c>
      <c r="D1493" s="3" t="s">
        <v>708</v>
      </c>
      <c r="E1493" s="3" t="s">
        <v>861</v>
      </c>
      <c r="F1493" s="3" t="s">
        <v>7</v>
      </c>
      <c r="G1493" s="3">
        <v>2.3837106680168598</v>
      </c>
      <c r="H1493" s="3">
        <v>2.3042536457496299</v>
      </c>
      <c r="I1493" s="3">
        <v>1.9864255566807201</v>
      </c>
    </row>
    <row r="1494" spans="1:13" x14ac:dyDescent="0.3">
      <c r="A1494" s="3" t="str">
        <f t="shared" si="23"/>
        <v>ELC</v>
      </c>
      <c r="C1494" s="3" t="s">
        <v>850</v>
      </c>
      <c r="D1494" s="3" t="s">
        <v>708</v>
      </c>
      <c r="E1494" s="3" t="s">
        <v>861</v>
      </c>
      <c r="F1494" s="3" t="s">
        <v>8</v>
      </c>
      <c r="G1494" s="3">
        <v>1.49469515990256</v>
      </c>
      <c r="H1494" s="3">
        <v>0.220017797674532</v>
      </c>
      <c r="I1494" s="3">
        <v>1.2455792999188</v>
      </c>
    </row>
    <row r="1495" spans="1:13" x14ac:dyDescent="0.3">
      <c r="A1495" s="3" t="str">
        <f t="shared" si="23"/>
        <v>LPG</v>
      </c>
      <c r="C1495" s="3" t="s">
        <v>850</v>
      </c>
      <c r="D1495" s="3" t="s">
        <v>708</v>
      </c>
      <c r="E1495" s="3" t="s">
        <v>821</v>
      </c>
      <c r="F1495" s="3" t="s">
        <v>0</v>
      </c>
      <c r="G1495" s="3">
        <v>5.0019132160767497E-2</v>
      </c>
      <c r="I1495" s="3">
        <v>4.16826101339898E-2</v>
      </c>
      <c r="M1495" s="3">
        <v>8.3365220267979708E-3</v>
      </c>
    </row>
    <row r="1496" spans="1:13" x14ac:dyDescent="0.3">
      <c r="A1496" s="3" t="str">
        <f t="shared" si="23"/>
        <v>LPG</v>
      </c>
      <c r="C1496" s="3" t="s">
        <v>850</v>
      </c>
      <c r="D1496" s="3" t="s">
        <v>708</v>
      </c>
      <c r="E1496" s="3" t="s">
        <v>821</v>
      </c>
      <c r="F1496" s="3" t="s">
        <v>1</v>
      </c>
      <c r="G1496" s="3">
        <v>0.13768584234658501</v>
      </c>
      <c r="I1496" s="3">
        <v>0.11473820195548699</v>
      </c>
      <c r="M1496" s="3">
        <v>2.2947640391097299E-2</v>
      </c>
    </row>
    <row r="1497" spans="1:13" x14ac:dyDescent="0.3">
      <c r="A1497" s="3" t="str">
        <f t="shared" si="23"/>
        <v>LPG</v>
      </c>
      <c r="C1497" s="3" t="s">
        <v>850</v>
      </c>
      <c r="D1497" s="3" t="s">
        <v>708</v>
      </c>
      <c r="E1497" s="3" t="s">
        <v>821</v>
      </c>
      <c r="F1497" s="3" t="s">
        <v>4</v>
      </c>
      <c r="M1497" s="3">
        <v>1.27697111052185E-2</v>
      </c>
    </row>
    <row r="1498" spans="1:13" x14ac:dyDescent="0.3">
      <c r="A1498" s="3" t="str">
        <f t="shared" si="23"/>
        <v>LPG</v>
      </c>
      <c r="C1498" s="3" t="s">
        <v>850</v>
      </c>
      <c r="D1498" s="3" t="s">
        <v>708</v>
      </c>
      <c r="E1498" s="3" t="s">
        <v>821</v>
      </c>
      <c r="F1498" s="3" t="s">
        <v>5</v>
      </c>
      <c r="G1498" s="3">
        <v>6.6783979610692198E-2</v>
      </c>
      <c r="M1498" s="3">
        <v>1.1130663268450001E-2</v>
      </c>
    </row>
    <row r="1499" spans="1:13" x14ac:dyDescent="0.3">
      <c r="A1499" s="3" t="str">
        <f t="shared" si="23"/>
        <v>LPG</v>
      </c>
      <c r="C1499" s="3" t="s">
        <v>850</v>
      </c>
      <c r="D1499" s="3" t="s">
        <v>708</v>
      </c>
      <c r="E1499" s="3" t="s">
        <v>821</v>
      </c>
      <c r="F1499" s="3" t="s">
        <v>6</v>
      </c>
      <c r="G1499" s="3">
        <v>0.23200770277264801</v>
      </c>
      <c r="M1499" s="3">
        <v>3.8667950462122201E-2</v>
      </c>
    </row>
    <row r="1500" spans="1:13" x14ac:dyDescent="0.3">
      <c r="A1500" s="3" t="str">
        <f t="shared" si="23"/>
        <v>LPG</v>
      </c>
      <c r="C1500" s="3" t="s">
        <v>850</v>
      </c>
      <c r="D1500" s="3" t="s">
        <v>708</v>
      </c>
      <c r="E1500" s="3" t="s">
        <v>821</v>
      </c>
      <c r="F1500" s="3" t="s">
        <v>7</v>
      </c>
      <c r="G1500" s="3">
        <v>0.11536553161923301</v>
      </c>
      <c r="I1500" s="3">
        <v>9.6137943016027502E-2</v>
      </c>
      <c r="M1500" s="3">
        <v>1.92275886032055E-2</v>
      </c>
    </row>
    <row r="1501" spans="1:13" x14ac:dyDescent="0.3">
      <c r="A1501" s="3" t="str">
        <f t="shared" si="23"/>
        <v>LPG</v>
      </c>
      <c r="C1501" s="3" t="s">
        <v>850</v>
      </c>
      <c r="D1501" s="3" t="s">
        <v>708</v>
      </c>
      <c r="E1501" s="3" t="s">
        <v>821</v>
      </c>
      <c r="F1501" s="3" t="s">
        <v>8</v>
      </c>
      <c r="I1501" s="3">
        <v>6.0282869073449097E-2</v>
      </c>
      <c r="M1501" s="3">
        <v>1.2056573814689799E-2</v>
      </c>
    </row>
    <row r="1502" spans="1:13" x14ac:dyDescent="0.3">
      <c r="A1502" s="3" t="str">
        <f t="shared" si="23"/>
        <v>NGA</v>
      </c>
      <c r="C1502" s="3" t="s">
        <v>850</v>
      </c>
      <c r="D1502" s="3" t="s">
        <v>708</v>
      </c>
      <c r="E1502" s="3" t="s">
        <v>828</v>
      </c>
      <c r="F1502" s="3" t="s">
        <v>0</v>
      </c>
      <c r="G1502" s="3">
        <v>5.8308696830447904</v>
      </c>
      <c r="H1502" s="3">
        <v>5.6365073602766298</v>
      </c>
      <c r="I1502" s="3">
        <v>4.8590580692039902</v>
      </c>
      <c r="J1502" s="3">
        <v>3.88724645536319</v>
      </c>
      <c r="K1502" s="3">
        <v>2.9154348415224001</v>
      </c>
      <c r="L1502" s="3">
        <v>1.9436232276815999</v>
      </c>
      <c r="M1502" s="3">
        <v>0.97181161384079895</v>
      </c>
    </row>
    <row r="1503" spans="1:13" x14ac:dyDescent="0.3">
      <c r="A1503" s="3" t="str">
        <f t="shared" si="23"/>
        <v>NGA</v>
      </c>
      <c r="C1503" s="3" t="s">
        <v>850</v>
      </c>
      <c r="D1503" s="3" t="s">
        <v>708</v>
      </c>
      <c r="E1503" s="3" t="s">
        <v>828</v>
      </c>
      <c r="F1503" s="3" t="s">
        <v>1</v>
      </c>
      <c r="G1503" s="3">
        <v>16.050422493186598</v>
      </c>
      <c r="H1503" s="3">
        <v>15.515408410080401</v>
      </c>
      <c r="I1503" s="3">
        <v>13.375352077655499</v>
      </c>
      <c r="J1503" s="3">
        <v>10.7002816621244</v>
      </c>
      <c r="K1503" s="3">
        <v>8.0252112465932992</v>
      </c>
      <c r="L1503" s="3">
        <v>5.3501408310622001</v>
      </c>
      <c r="M1503" s="3">
        <v>2.6750704155311</v>
      </c>
    </row>
    <row r="1504" spans="1:13" x14ac:dyDescent="0.3">
      <c r="A1504" s="3" t="str">
        <f t="shared" si="23"/>
        <v>NGA</v>
      </c>
      <c r="C1504" s="3" t="s">
        <v>850</v>
      </c>
      <c r="D1504" s="3" t="s">
        <v>708</v>
      </c>
      <c r="E1504" s="3" t="s">
        <v>828</v>
      </c>
      <c r="F1504" s="3" t="s">
        <v>2</v>
      </c>
      <c r="G1504" s="3">
        <v>47.596820928006501</v>
      </c>
      <c r="H1504" s="3">
        <v>50.991969433798502</v>
      </c>
      <c r="I1504" s="3">
        <v>48.725971860317898</v>
      </c>
      <c r="J1504" s="3">
        <v>38.980777488254297</v>
      </c>
      <c r="K1504" s="3">
        <v>29.2355831161907</v>
      </c>
      <c r="L1504" s="3">
        <v>19.490388744127198</v>
      </c>
      <c r="M1504" s="3">
        <v>9.7451943720635796</v>
      </c>
    </row>
    <row r="1505" spans="1:14" x14ac:dyDescent="0.3">
      <c r="A1505" s="3" t="str">
        <f t="shared" si="23"/>
        <v>NGA</v>
      </c>
      <c r="C1505" s="3" t="s">
        <v>850</v>
      </c>
      <c r="D1505" s="3" t="s">
        <v>708</v>
      </c>
      <c r="E1505" s="3" t="s">
        <v>828</v>
      </c>
      <c r="F1505" s="3" t="s">
        <v>3</v>
      </c>
      <c r="G1505" s="3">
        <v>29.715404317832999</v>
      </c>
      <c r="H1505" s="3">
        <v>32.519629977848702</v>
      </c>
      <c r="I1505" s="3">
        <v>33.003259333641601</v>
      </c>
      <c r="J1505" s="3">
        <v>26.402607466913299</v>
      </c>
      <c r="K1505" s="3">
        <v>19.801955600185</v>
      </c>
      <c r="L1505" s="3">
        <v>13.2013037334566</v>
      </c>
      <c r="M1505" s="3">
        <v>6.6006518667283203</v>
      </c>
    </row>
    <row r="1506" spans="1:14" x14ac:dyDescent="0.3">
      <c r="A1506" s="3" t="str">
        <f t="shared" si="23"/>
        <v>NGA</v>
      </c>
      <c r="C1506" s="3" t="s">
        <v>850</v>
      </c>
      <c r="D1506" s="3" t="s">
        <v>708</v>
      </c>
      <c r="E1506" s="3" t="s">
        <v>828</v>
      </c>
      <c r="F1506" s="3" t="s">
        <v>4</v>
      </c>
      <c r="G1506" s="3">
        <v>9.1959413921496296</v>
      </c>
      <c r="H1506" s="3">
        <v>11.3319737718395</v>
      </c>
      <c r="I1506" s="3">
        <v>12.871445907966649</v>
      </c>
      <c r="J1506" s="3">
        <v>10.917657326615011</v>
      </c>
      <c r="K1506" s="3">
        <v>8.9638687452633796</v>
      </c>
      <c r="L1506" s="3">
        <v>7.0100801639117503</v>
      </c>
      <c r="M1506" s="3">
        <v>5.0562915825601102</v>
      </c>
      <c r="N1506" s="3">
        <v>3.10250300120848</v>
      </c>
    </row>
    <row r="1507" spans="1:14" x14ac:dyDescent="0.3">
      <c r="A1507" s="3" t="str">
        <f t="shared" si="23"/>
        <v>NGA</v>
      </c>
      <c r="C1507" s="3" t="s">
        <v>850</v>
      </c>
      <c r="D1507" s="3" t="s">
        <v>708</v>
      </c>
      <c r="E1507" s="3" t="s">
        <v>828</v>
      </c>
      <c r="F1507" s="3" t="s">
        <v>5</v>
      </c>
      <c r="G1507" s="3">
        <v>10.2180680287498</v>
      </c>
      <c r="H1507" s="3">
        <v>10.551131655868023</v>
      </c>
      <c r="I1507" s="3">
        <v>11.136650326492433</v>
      </c>
      <c r="J1507" s="3">
        <v>9.4336389883674734</v>
      </c>
      <c r="K1507" s="3">
        <v>7.7306276502425035</v>
      </c>
      <c r="L1507" s="3">
        <v>6.0276163121175337</v>
      </c>
      <c r="M1507" s="3">
        <v>4.3246049739925727</v>
      </c>
      <c r="N1507" s="3">
        <v>2.3716647105364439</v>
      </c>
    </row>
    <row r="1508" spans="1:14" x14ac:dyDescent="0.3">
      <c r="A1508" s="3" t="str">
        <f t="shared" si="23"/>
        <v>NGA</v>
      </c>
      <c r="C1508" s="3" t="s">
        <v>850</v>
      </c>
      <c r="D1508" s="3" t="s">
        <v>708</v>
      </c>
      <c r="E1508" s="3" t="s">
        <v>828</v>
      </c>
      <c r="F1508" s="3" t="s">
        <v>6</v>
      </c>
      <c r="G1508" s="3">
        <v>35.497592445747799</v>
      </c>
      <c r="H1508" s="3">
        <v>36.654656272361464</v>
      </c>
      <c r="I1508" s="3">
        <v>38.976013524827628</v>
      </c>
      <c r="J1508" s="3">
        <v>33.059748117202929</v>
      </c>
      <c r="K1508" s="3">
        <v>27.143482709578329</v>
      </c>
      <c r="L1508" s="3">
        <v>21.227217301953729</v>
      </c>
      <c r="M1508" s="3">
        <v>15.31095189432906</v>
      </c>
      <c r="N1508" s="3">
        <v>8.5264328102906095</v>
      </c>
    </row>
    <row r="1509" spans="1:14" x14ac:dyDescent="0.3">
      <c r="A1509" s="3" t="str">
        <f t="shared" si="23"/>
        <v>NGA</v>
      </c>
      <c r="C1509" s="3" t="s">
        <v>850</v>
      </c>
      <c r="D1509" s="3" t="s">
        <v>708</v>
      </c>
      <c r="E1509" s="3" t="s">
        <v>828</v>
      </c>
      <c r="F1509" s="3" t="s">
        <v>7</v>
      </c>
      <c r="G1509" s="3">
        <v>30.2590837023182</v>
      </c>
      <c r="H1509" s="3">
        <v>29.2504475789076</v>
      </c>
      <c r="I1509" s="3">
        <v>25.2159030852652</v>
      </c>
      <c r="J1509" s="3">
        <v>20.1727224682121</v>
      </c>
      <c r="K1509" s="3">
        <v>15.1295418511591</v>
      </c>
      <c r="L1509" s="3">
        <v>10.0863612341061</v>
      </c>
      <c r="M1509" s="3">
        <v>5.0431806170530296</v>
      </c>
    </row>
    <row r="1510" spans="1:14" x14ac:dyDescent="0.3">
      <c r="A1510" s="3" t="str">
        <f t="shared" si="23"/>
        <v>NGA</v>
      </c>
      <c r="C1510" s="3" t="s">
        <v>850</v>
      </c>
      <c r="D1510" s="3" t="s">
        <v>708</v>
      </c>
      <c r="E1510" s="3" t="s">
        <v>828</v>
      </c>
      <c r="F1510" s="3" t="s">
        <v>8</v>
      </c>
      <c r="G1510" s="3">
        <v>16.189109893634502</v>
      </c>
      <c r="H1510" s="3">
        <v>18.341362904395702</v>
      </c>
      <c r="I1510" s="3">
        <v>15.811519745168701</v>
      </c>
      <c r="K1510" s="3">
        <v>2.5872962951847498</v>
      </c>
      <c r="L1510" s="3">
        <v>5.2369634921326096</v>
      </c>
      <c r="M1510" s="3">
        <v>3.1623039490337299</v>
      </c>
    </row>
    <row r="1511" spans="1:14" x14ac:dyDescent="0.3">
      <c r="A1511" s="3" t="str">
        <f t="shared" si="23"/>
        <v>RFL</v>
      </c>
      <c r="C1511" s="3" t="s">
        <v>850</v>
      </c>
      <c r="D1511" s="3" t="s">
        <v>708</v>
      </c>
      <c r="E1511" s="3" t="s">
        <v>833</v>
      </c>
      <c r="F1511" s="3" t="s">
        <v>0</v>
      </c>
      <c r="G1511" s="3">
        <v>2.6993181105503399E-2</v>
      </c>
      <c r="I1511" s="3">
        <v>2.2494317587919501E-2</v>
      </c>
      <c r="J1511" s="3">
        <v>1.7995454070335599E-2</v>
      </c>
    </row>
    <row r="1512" spans="1:14" x14ac:dyDescent="0.3">
      <c r="A1512" s="3" t="str">
        <f t="shared" si="23"/>
        <v>RFL</v>
      </c>
      <c r="C1512" s="3" t="s">
        <v>850</v>
      </c>
      <c r="D1512" s="3" t="s">
        <v>708</v>
      </c>
      <c r="E1512" s="3" t="s">
        <v>833</v>
      </c>
      <c r="F1512" s="3" t="s">
        <v>1</v>
      </c>
      <c r="G1512" s="3">
        <v>7.4303145967788795E-2</v>
      </c>
      <c r="I1512" s="3">
        <v>6.1919288306490697E-2</v>
      </c>
      <c r="J1512" s="3">
        <v>4.9535430645192502E-2</v>
      </c>
    </row>
    <row r="1513" spans="1:14" x14ac:dyDescent="0.3">
      <c r="A1513" s="3" t="str">
        <f t="shared" si="23"/>
        <v>RFL</v>
      </c>
      <c r="C1513" s="3" t="s">
        <v>850</v>
      </c>
      <c r="D1513" s="3" t="s">
        <v>708</v>
      </c>
      <c r="E1513" s="3" t="s">
        <v>833</v>
      </c>
      <c r="F1513" s="3" t="s">
        <v>2</v>
      </c>
      <c r="I1513" s="3">
        <v>5.0326363350680803E-2</v>
      </c>
    </row>
    <row r="1514" spans="1:14" x14ac:dyDescent="0.3">
      <c r="A1514" s="3" t="str">
        <f t="shared" si="23"/>
        <v>RFL</v>
      </c>
      <c r="C1514" s="3" t="s">
        <v>850</v>
      </c>
      <c r="D1514" s="3" t="s">
        <v>708</v>
      </c>
      <c r="E1514" s="3" t="s">
        <v>833</v>
      </c>
      <c r="F1514" s="3" t="s">
        <v>3</v>
      </c>
      <c r="I1514" s="3">
        <v>3.4087242543729503E-2</v>
      </c>
    </row>
    <row r="1515" spans="1:14" x14ac:dyDescent="0.3">
      <c r="A1515" s="3" t="str">
        <f t="shared" si="23"/>
        <v>RFL</v>
      </c>
      <c r="C1515" s="3" t="s">
        <v>850</v>
      </c>
      <c r="D1515" s="3" t="s">
        <v>708</v>
      </c>
      <c r="E1515" s="3" t="s">
        <v>833</v>
      </c>
      <c r="F1515" s="3" t="s">
        <v>4</v>
      </c>
      <c r="I1515" s="3">
        <v>3.44563279726737E-2</v>
      </c>
      <c r="J1515" s="3">
        <v>2.75650623781389E-2</v>
      </c>
    </row>
    <row r="1516" spans="1:14" x14ac:dyDescent="0.3">
      <c r="A1516" s="3" t="str">
        <f t="shared" si="23"/>
        <v>RFL</v>
      </c>
      <c r="C1516" s="3" t="s">
        <v>850</v>
      </c>
      <c r="D1516" s="3" t="s">
        <v>708</v>
      </c>
      <c r="E1516" s="3" t="s">
        <v>833</v>
      </c>
      <c r="F1516" s="3" t="s">
        <v>5</v>
      </c>
      <c r="G1516" s="3">
        <v>3.6040450497681703E-2</v>
      </c>
      <c r="H1516" s="3">
        <v>3.4839102147759003E-2</v>
      </c>
      <c r="I1516" s="3">
        <v>3.00337087480681E-2</v>
      </c>
      <c r="J1516" s="3">
        <v>2.40269669984545E-2</v>
      </c>
    </row>
    <row r="1517" spans="1:14" x14ac:dyDescent="0.3">
      <c r="A1517" s="3" t="str">
        <f t="shared" si="23"/>
        <v>RFL</v>
      </c>
      <c r="C1517" s="3" t="s">
        <v>850</v>
      </c>
      <c r="D1517" s="3" t="s">
        <v>708</v>
      </c>
      <c r="E1517" s="3" t="s">
        <v>833</v>
      </c>
      <c r="F1517" s="3" t="s">
        <v>6</v>
      </c>
      <c r="G1517" s="3">
        <v>0.12520461008169501</v>
      </c>
      <c r="H1517" s="3">
        <v>0.121031123078972</v>
      </c>
      <c r="I1517" s="3">
        <v>0.104337175068079</v>
      </c>
    </row>
    <row r="1518" spans="1:14" x14ac:dyDescent="0.3">
      <c r="A1518" s="3" t="str">
        <f t="shared" si="23"/>
        <v>AGR</v>
      </c>
      <c r="C1518" s="3" t="s">
        <v>850</v>
      </c>
      <c r="D1518" s="3" t="s">
        <v>862</v>
      </c>
      <c r="E1518" s="3" t="s">
        <v>834</v>
      </c>
      <c r="F1518" s="3" t="s">
        <v>1</v>
      </c>
      <c r="G1518" s="3">
        <v>0.20660022552131699</v>
      </c>
    </row>
    <row r="1519" spans="1:14" x14ac:dyDescent="0.3">
      <c r="A1519" s="3" t="str">
        <f t="shared" si="23"/>
        <v>AGR</v>
      </c>
      <c r="C1519" s="3" t="s">
        <v>850</v>
      </c>
      <c r="D1519" s="3" t="s">
        <v>862</v>
      </c>
      <c r="E1519" s="3" t="s">
        <v>834</v>
      </c>
      <c r="F1519" s="3" t="s">
        <v>2</v>
      </c>
      <c r="G1519" s="3">
        <v>3.3630375834555299</v>
      </c>
    </row>
    <row r="1520" spans="1:14" x14ac:dyDescent="0.3">
      <c r="A1520" s="3" t="str">
        <f t="shared" si="23"/>
        <v>AGR</v>
      </c>
      <c r="C1520" s="3" t="s">
        <v>850</v>
      </c>
      <c r="D1520" s="3" t="s">
        <v>862</v>
      </c>
      <c r="E1520" s="3" t="s">
        <v>834</v>
      </c>
      <c r="F1520" s="3" t="s">
        <v>3</v>
      </c>
      <c r="G1520" s="3">
        <v>3.3391280783513699</v>
      </c>
    </row>
    <row r="1521" spans="1:16" x14ac:dyDescent="0.3">
      <c r="A1521" s="3" t="str">
        <f t="shared" si="23"/>
        <v>AGR</v>
      </c>
      <c r="C1521" s="3" t="s">
        <v>850</v>
      </c>
      <c r="D1521" s="3" t="s">
        <v>862</v>
      </c>
      <c r="E1521" s="3" t="s">
        <v>834</v>
      </c>
      <c r="F1521" s="3" t="s">
        <v>4</v>
      </c>
      <c r="G1521" s="3">
        <v>0.190581052722226</v>
      </c>
    </row>
    <row r="1522" spans="1:16" x14ac:dyDescent="0.3">
      <c r="A1522" s="3" t="str">
        <f t="shared" si="23"/>
        <v>AGR</v>
      </c>
      <c r="C1522" s="3" t="s">
        <v>850</v>
      </c>
      <c r="D1522" s="3" t="s">
        <v>862</v>
      </c>
      <c r="E1522" s="3" t="s">
        <v>834</v>
      </c>
      <c r="F1522" s="3" t="s">
        <v>5</v>
      </c>
      <c r="G1522" s="3">
        <v>1.59676587883155</v>
      </c>
    </row>
    <row r="1523" spans="1:16" x14ac:dyDescent="0.3">
      <c r="A1523" s="3" t="str">
        <f t="shared" si="23"/>
        <v>AGR</v>
      </c>
      <c r="C1523" s="3" t="s">
        <v>850</v>
      </c>
      <c r="D1523" s="3" t="s">
        <v>862</v>
      </c>
      <c r="E1523" s="3" t="s">
        <v>834</v>
      </c>
      <c r="F1523" s="3" t="s">
        <v>6</v>
      </c>
      <c r="G1523" s="3">
        <v>3.4930952193288398</v>
      </c>
    </row>
    <row r="1524" spans="1:16" x14ac:dyDescent="0.3">
      <c r="A1524" s="3" t="str">
        <f t="shared" si="23"/>
        <v>AGR</v>
      </c>
      <c r="C1524" s="3" t="s">
        <v>850</v>
      </c>
      <c r="D1524" s="3" t="s">
        <v>862</v>
      </c>
      <c r="E1524" s="3" t="s">
        <v>834</v>
      </c>
      <c r="F1524" s="3" t="s">
        <v>7</v>
      </c>
      <c r="G1524" s="3">
        <v>0.13993091348282899</v>
      </c>
    </row>
    <row r="1525" spans="1:16" x14ac:dyDescent="0.3">
      <c r="A1525" s="3" t="str">
        <f t="shared" si="23"/>
        <v>AGR</v>
      </c>
      <c r="C1525" s="3" t="s">
        <v>850</v>
      </c>
      <c r="D1525" s="3" t="s">
        <v>862</v>
      </c>
      <c r="E1525" s="3" t="s">
        <v>834</v>
      </c>
      <c r="F1525" s="3" t="s">
        <v>8</v>
      </c>
      <c r="G1525" s="3">
        <v>1.01300845858148</v>
      </c>
    </row>
    <row r="1526" spans="1:16" x14ac:dyDescent="0.3">
      <c r="A1526" s="3" t="str">
        <f t="shared" si="23"/>
        <v>AGR</v>
      </c>
      <c r="C1526" s="3" t="s">
        <v>850</v>
      </c>
      <c r="D1526" s="3" t="s">
        <v>862</v>
      </c>
      <c r="E1526" s="3" t="s">
        <v>849</v>
      </c>
      <c r="F1526" s="3" t="s">
        <v>4</v>
      </c>
      <c r="G1526" s="3">
        <v>0.69794166913487898</v>
      </c>
    </row>
    <row r="1527" spans="1:16" x14ac:dyDescent="0.3">
      <c r="A1527" s="3" t="str">
        <f t="shared" si="23"/>
        <v>AGR</v>
      </c>
      <c r="C1527" s="3" t="s">
        <v>850</v>
      </c>
      <c r="D1527" s="3" t="s">
        <v>862</v>
      </c>
      <c r="E1527" s="3" t="s">
        <v>849</v>
      </c>
      <c r="F1527" s="3" t="s">
        <v>6</v>
      </c>
      <c r="G1527" s="3">
        <v>3.8968154406342701</v>
      </c>
    </row>
    <row r="1528" spans="1:16" x14ac:dyDescent="0.3">
      <c r="A1528" s="3" t="str">
        <f t="shared" si="23"/>
        <v>AGR</v>
      </c>
      <c r="C1528" s="3" t="s">
        <v>850</v>
      </c>
      <c r="D1528" s="3" t="s">
        <v>862</v>
      </c>
      <c r="E1528" s="3" t="s">
        <v>807</v>
      </c>
      <c r="F1528" s="3" t="s">
        <v>0</v>
      </c>
      <c r="G1528" s="3">
        <v>2.0921172611518802E-3</v>
      </c>
    </row>
    <row r="1529" spans="1:16" x14ac:dyDescent="0.3">
      <c r="A1529" s="3" t="str">
        <f t="shared" si="23"/>
        <v>AGR</v>
      </c>
      <c r="C1529" s="3" t="s">
        <v>850</v>
      </c>
      <c r="D1529" s="3" t="s">
        <v>862</v>
      </c>
      <c r="E1529" s="3" t="s">
        <v>807</v>
      </c>
      <c r="F1529" s="3" t="s">
        <v>1</v>
      </c>
      <c r="G1529" s="3">
        <v>9.2165972257007801E-4</v>
      </c>
    </row>
    <row r="1530" spans="1:16" x14ac:dyDescent="0.3">
      <c r="A1530" s="3" t="str">
        <f t="shared" si="23"/>
        <v>STM</v>
      </c>
      <c r="C1530" s="3" t="s">
        <v>850</v>
      </c>
      <c r="D1530" s="3" t="s">
        <v>707</v>
      </c>
      <c r="E1530" s="3" t="s">
        <v>863</v>
      </c>
      <c r="F1530" s="3" t="s">
        <v>0</v>
      </c>
      <c r="G1530" s="3">
        <v>3.4594684765029098</v>
      </c>
      <c r="H1530" s="3">
        <v>3.6770234827518702</v>
      </c>
      <c r="I1530" s="3">
        <v>3.8132989869231202</v>
      </c>
      <c r="J1530" s="3">
        <v>4.3427400629869402</v>
      </c>
      <c r="K1530" s="3">
        <v>4.7568917347382804</v>
      </c>
      <c r="L1530" s="3">
        <v>5.1815265027920097</v>
      </c>
      <c r="M1530" s="3">
        <v>5.6601079457394796</v>
      </c>
      <c r="N1530" s="3">
        <v>6.2051024905942098</v>
      </c>
      <c r="O1530" s="3">
        <v>6.7621317431969397</v>
      </c>
      <c r="P1530" s="3">
        <v>7.3900188946144301</v>
      </c>
    </row>
    <row r="1531" spans="1:16" x14ac:dyDescent="0.3">
      <c r="A1531" s="3" t="str">
        <f t="shared" si="23"/>
        <v>STM</v>
      </c>
      <c r="C1531" s="3" t="s">
        <v>850</v>
      </c>
      <c r="D1531" s="3" t="s">
        <v>707</v>
      </c>
      <c r="E1531" s="3" t="s">
        <v>863</v>
      </c>
      <c r="F1531" s="3" t="s">
        <v>1</v>
      </c>
      <c r="G1531" s="3">
        <v>1.70086716815201</v>
      </c>
      <c r="H1531" s="3">
        <v>8.5214344396936905</v>
      </c>
      <c r="I1531" s="3">
        <v>2.1190356304219899</v>
      </c>
      <c r="J1531" s="3">
        <v>10.660738745213999</v>
      </c>
      <c r="K1531" s="3">
        <v>11.677415476816099</v>
      </c>
      <c r="L1531" s="3">
        <v>12.719826548788401</v>
      </c>
      <c r="M1531" s="3">
        <v>13.8946681597462</v>
      </c>
      <c r="N1531" s="3">
        <v>15.232543412695801</v>
      </c>
      <c r="O1531" s="3">
        <v>16.599961966261102</v>
      </c>
      <c r="P1531" s="3">
        <v>18.141325433945699</v>
      </c>
    </row>
    <row r="1532" spans="1:16" x14ac:dyDescent="0.3">
      <c r="A1532" s="3" t="str">
        <f t="shared" si="23"/>
        <v>STM</v>
      </c>
      <c r="C1532" s="3" t="s">
        <v>850</v>
      </c>
      <c r="D1532" s="3" t="s">
        <v>707</v>
      </c>
      <c r="E1532" s="3" t="s">
        <v>863</v>
      </c>
      <c r="F1532" s="3" t="s">
        <v>2</v>
      </c>
      <c r="G1532" s="3">
        <v>28.7288100971769</v>
      </c>
      <c r="H1532" s="3">
        <v>80.306998738152998</v>
      </c>
      <c r="I1532" s="3">
        <v>25.299678862109101</v>
      </c>
      <c r="J1532" s="3">
        <v>107.771530219038</v>
      </c>
      <c r="K1532" s="3">
        <v>118.04932517002401</v>
      </c>
      <c r="L1532" s="3">
        <v>128.587273880119</v>
      </c>
      <c r="M1532" s="3">
        <v>140.46399024627701</v>
      </c>
      <c r="N1532" s="3">
        <v>153.98884735414799</v>
      </c>
      <c r="O1532" s="3">
        <v>167.81236378652699</v>
      </c>
      <c r="P1532" s="3">
        <v>183.39432526295499</v>
      </c>
    </row>
    <row r="1533" spans="1:16" x14ac:dyDescent="0.3">
      <c r="A1533" s="3" t="str">
        <f t="shared" si="23"/>
        <v>STM</v>
      </c>
      <c r="C1533" s="3" t="s">
        <v>850</v>
      </c>
      <c r="D1533" s="3" t="s">
        <v>707</v>
      </c>
      <c r="E1533" s="3" t="s">
        <v>863</v>
      </c>
      <c r="F1533" s="3" t="s">
        <v>3</v>
      </c>
      <c r="G1533" s="3">
        <v>25.7606283677368</v>
      </c>
      <c r="H1533" s="3">
        <v>115.955254644264</v>
      </c>
      <c r="I1533" s="3">
        <v>3.2743069198881098</v>
      </c>
      <c r="J1533" s="3">
        <v>164.909129234342</v>
      </c>
      <c r="K1533" s="3">
        <v>180.63594220559401</v>
      </c>
      <c r="L1533" s="3">
        <v>196.76083565352201</v>
      </c>
      <c r="M1533" s="3">
        <v>214.93427634716599</v>
      </c>
      <c r="N1533" s="3">
        <v>235.629658889117</v>
      </c>
      <c r="O1533" s="3">
        <v>256.78204211662899</v>
      </c>
      <c r="P1533" s="3">
        <v>258.851392458318</v>
      </c>
    </row>
    <row r="1534" spans="1:16" x14ac:dyDescent="0.3">
      <c r="A1534" s="3" t="str">
        <f t="shared" si="23"/>
        <v>STM</v>
      </c>
      <c r="C1534" s="3" t="s">
        <v>850</v>
      </c>
      <c r="D1534" s="3" t="s">
        <v>707</v>
      </c>
      <c r="E1534" s="3" t="s">
        <v>863</v>
      </c>
      <c r="F1534" s="3" t="s">
        <v>4</v>
      </c>
      <c r="G1534" s="3">
        <v>28.088062318676801</v>
      </c>
      <c r="H1534" s="3">
        <v>45.092254380973102</v>
      </c>
      <c r="I1534" s="3">
        <v>40.758755245269903</v>
      </c>
      <c r="J1534" s="3">
        <v>63.937672483230997</v>
      </c>
      <c r="K1534" s="3">
        <v>70.035180867973807</v>
      </c>
      <c r="L1534" s="3">
        <v>76.287030698041406</v>
      </c>
      <c r="M1534" s="3">
        <v>83.333131342314999</v>
      </c>
      <c r="N1534" s="3">
        <v>91.357024600642802</v>
      </c>
      <c r="O1534" s="3">
        <v>93.155206279507993</v>
      </c>
      <c r="P1534" s="3">
        <v>93.880977629409003</v>
      </c>
    </row>
    <row r="1535" spans="1:16" x14ac:dyDescent="0.3">
      <c r="A1535" s="3" t="str">
        <f t="shared" si="23"/>
        <v>STM</v>
      </c>
      <c r="C1535" s="3" t="s">
        <v>850</v>
      </c>
      <c r="D1535" s="3" t="s">
        <v>707</v>
      </c>
      <c r="E1535" s="3" t="s">
        <v>863</v>
      </c>
      <c r="F1535" s="3" t="s">
        <v>5</v>
      </c>
      <c r="G1535" s="3">
        <v>1.2373163985671101</v>
      </c>
      <c r="H1535" s="3">
        <v>4.9128344089380596</v>
      </c>
      <c r="J1535" s="3">
        <v>20.510747958869999</v>
      </c>
      <c r="K1535" s="3">
        <v>22.466785030587801</v>
      </c>
      <c r="L1535" s="3">
        <v>24.472333733894899</v>
      </c>
      <c r="M1535" s="3">
        <v>26.732672416780801</v>
      </c>
      <c r="N1535" s="3">
        <v>29.306679975682702</v>
      </c>
      <c r="O1535" s="3">
        <v>31.9375274222587</v>
      </c>
      <c r="P1535" s="3">
        <v>34.9030365069721</v>
      </c>
    </row>
    <row r="1536" spans="1:16" x14ac:dyDescent="0.3">
      <c r="A1536" s="3" t="str">
        <f t="shared" si="23"/>
        <v>STM</v>
      </c>
      <c r="C1536" s="3" t="s">
        <v>850</v>
      </c>
      <c r="D1536" s="3" t="s">
        <v>707</v>
      </c>
      <c r="E1536" s="3" t="s">
        <v>863</v>
      </c>
      <c r="F1536" s="3" t="s">
        <v>6</v>
      </c>
      <c r="G1536" s="3">
        <v>2.3616779296239998</v>
      </c>
      <c r="H1536" s="3">
        <v>3.1938759730454498</v>
      </c>
      <c r="I1536" s="3">
        <v>3.2998841580348302</v>
      </c>
      <c r="J1536" s="3">
        <v>7.3656940133780697</v>
      </c>
      <c r="K1536" s="3">
        <v>8.0681340500841205</v>
      </c>
      <c r="L1536" s="3">
        <v>8.7883544002688598</v>
      </c>
      <c r="M1536" s="3">
        <v>9.6000733652780692</v>
      </c>
      <c r="N1536" s="3">
        <v>51.3010463081974</v>
      </c>
      <c r="O1536" s="3">
        <v>53.417075705803001</v>
      </c>
      <c r="P1536" s="3">
        <v>57.815174360919201</v>
      </c>
    </row>
    <row r="1537" spans="1:16" x14ac:dyDescent="0.3">
      <c r="A1537" s="3" t="str">
        <f t="shared" si="23"/>
        <v>STM</v>
      </c>
      <c r="C1537" s="3" t="s">
        <v>850</v>
      </c>
      <c r="D1537" s="3" t="s">
        <v>707</v>
      </c>
      <c r="E1537" s="3" t="s">
        <v>863</v>
      </c>
      <c r="F1537" s="3" t="s">
        <v>7</v>
      </c>
      <c r="G1537" s="3">
        <v>4.2106259407860804</v>
      </c>
      <c r="H1537" s="3">
        <v>10.9902144975895</v>
      </c>
      <c r="I1537" s="3">
        <v>3.8400095633780298</v>
      </c>
      <c r="J1537" s="3">
        <v>12.980043256582199</v>
      </c>
      <c r="K1537" s="3">
        <v>14.2179437858805</v>
      </c>
      <c r="L1537" s="3">
        <v>15.487178319956699</v>
      </c>
      <c r="M1537" s="3">
        <v>16.917659619312001</v>
      </c>
      <c r="N1537" s="3">
        <v>18.547069060411701</v>
      </c>
      <c r="O1537" s="3">
        <v>28.2690303342977</v>
      </c>
      <c r="P1537" s="3">
        <v>30.732238102303899</v>
      </c>
    </row>
    <row r="1538" spans="1:16" x14ac:dyDescent="0.3">
      <c r="A1538" s="3" t="str">
        <f t="shared" si="23"/>
        <v>STM</v>
      </c>
      <c r="C1538" s="3" t="s">
        <v>850</v>
      </c>
      <c r="D1538" s="3" t="s">
        <v>707</v>
      </c>
      <c r="E1538" s="3" t="s">
        <v>863</v>
      </c>
      <c r="F1538" s="3" t="s">
        <v>8</v>
      </c>
      <c r="G1538" s="3">
        <v>42.659021555887698</v>
      </c>
      <c r="H1538" s="3">
        <v>45.108301266088702</v>
      </c>
      <c r="I1538" s="3">
        <v>52.638768001321303</v>
      </c>
      <c r="J1538" s="3">
        <v>60.463442331089297</v>
      </c>
      <c r="K1538" s="3">
        <v>66.229626861746397</v>
      </c>
      <c r="L1538" s="3">
        <v>72.141764231774204</v>
      </c>
      <c r="M1538" s="3">
        <v>78.804995635150107</v>
      </c>
      <c r="N1538" s="3">
        <v>86.392888603961097</v>
      </c>
      <c r="O1538" s="3">
        <v>94.148339349569795</v>
      </c>
      <c r="P1538" s="3">
        <v>95.4437578852082</v>
      </c>
    </row>
    <row r="1539" spans="1:16" x14ac:dyDescent="0.3">
      <c r="A1539" s="3" t="str">
        <f t="shared" si="23"/>
        <v>NGA</v>
      </c>
      <c r="C1539" s="3" t="s">
        <v>850</v>
      </c>
      <c r="D1539" s="3" t="s">
        <v>707</v>
      </c>
      <c r="E1539" s="3" t="s">
        <v>837</v>
      </c>
      <c r="F1539" s="3" t="s">
        <v>1</v>
      </c>
      <c r="G1539" s="3">
        <v>3.8035862590876999</v>
      </c>
      <c r="I1539" s="3">
        <v>3.8035862590876999</v>
      </c>
    </row>
    <row r="1540" spans="1:16" x14ac:dyDescent="0.3">
      <c r="A1540" s="3" t="str">
        <f t="shared" si="23"/>
        <v>NGA</v>
      </c>
      <c r="C1540" s="3" t="s">
        <v>850</v>
      </c>
      <c r="D1540" s="3" t="s">
        <v>707</v>
      </c>
      <c r="E1540" s="3" t="s">
        <v>837</v>
      </c>
      <c r="F1540" s="3" t="s">
        <v>2</v>
      </c>
      <c r="G1540" s="3">
        <v>44.089232973136902</v>
      </c>
      <c r="I1540" s="3">
        <v>44.089232973136902</v>
      </c>
    </row>
    <row r="1541" spans="1:16" x14ac:dyDescent="0.3">
      <c r="A1541" s="3" t="str">
        <f t="shared" si="23"/>
        <v>NGA</v>
      </c>
      <c r="C1541" s="3" t="s">
        <v>850</v>
      </c>
      <c r="D1541" s="3" t="s">
        <v>707</v>
      </c>
      <c r="E1541" s="3" t="s">
        <v>837</v>
      </c>
      <c r="F1541" s="3" t="s">
        <v>3</v>
      </c>
      <c r="G1541" s="3">
        <v>83.309635684337707</v>
      </c>
      <c r="I1541" s="3">
        <v>89.974204449501002</v>
      </c>
      <c r="P1541" s="3">
        <v>21.773759492051401</v>
      </c>
    </row>
    <row r="1542" spans="1:16" x14ac:dyDescent="0.3">
      <c r="A1542" s="3" t="str">
        <f t="shared" si="23"/>
        <v>NGA</v>
      </c>
      <c r="C1542" s="3" t="s">
        <v>850</v>
      </c>
      <c r="D1542" s="3" t="s">
        <v>707</v>
      </c>
      <c r="E1542" s="3" t="s">
        <v>837</v>
      </c>
      <c r="F1542" s="3" t="s">
        <v>4</v>
      </c>
      <c r="G1542" s="3">
        <v>8.4244522373618604</v>
      </c>
      <c r="I1542" s="3">
        <v>8.4244522373618604</v>
      </c>
      <c r="O1542" s="3">
        <v>6.4028972252207996</v>
      </c>
      <c r="P1542" s="3">
        <v>8.4244522373618604</v>
      </c>
    </row>
    <row r="1543" spans="1:16" x14ac:dyDescent="0.3">
      <c r="A1543" s="3" t="str">
        <f t="shared" si="23"/>
        <v>NGA</v>
      </c>
      <c r="C1543" s="3" t="s">
        <v>850</v>
      </c>
      <c r="D1543" s="3" t="s">
        <v>707</v>
      </c>
      <c r="E1543" s="3" t="s">
        <v>837</v>
      </c>
      <c r="F1543" s="3" t="s">
        <v>5</v>
      </c>
      <c r="G1543" s="3">
        <v>12.050531812572</v>
      </c>
      <c r="H1543" s="3">
        <v>12.050531812572</v>
      </c>
      <c r="I1543" s="3">
        <v>12.050531812572</v>
      </c>
    </row>
    <row r="1544" spans="1:16" x14ac:dyDescent="0.3">
      <c r="A1544" s="3" t="str">
        <f t="shared" ref="A1544:A1607" si="24">RIGHT(E1544,3)</f>
        <v>NGA</v>
      </c>
      <c r="C1544" s="3" t="s">
        <v>850</v>
      </c>
      <c r="D1544" s="3" t="s">
        <v>707</v>
      </c>
      <c r="E1544" s="3" t="s">
        <v>837</v>
      </c>
      <c r="F1544" s="3" t="s">
        <v>6</v>
      </c>
      <c r="G1544" s="3">
        <v>1.3642579523616301</v>
      </c>
      <c r="H1544" s="3">
        <v>1.3642579523616301</v>
      </c>
      <c r="I1544" s="3">
        <v>1.3642579523616301</v>
      </c>
    </row>
    <row r="1545" spans="1:16" x14ac:dyDescent="0.3">
      <c r="A1545" s="3" t="str">
        <f t="shared" si="24"/>
        <v>NGA</v>
      </c>
      <c r="C1545" s="3" t="s">
        <v>850</v>
      </c>
      <c r="D1545" s="3" t="s">
        <v>707</v>
      </c>
      <c r="E1545" s="3" t="s">
        <v>837</v>
      </c>
      <c r="F1545" s="3" t="s">
        <v>7</v>
      </c>
      <c r="G1545" s="3">
        <v>3.8587106976252001</v>
      </c>
      <c r="I1545" s="3">
        <v>3.8587106976252001</v>
      </c>
    </row>
    <row r="1546" spans="1:16" x14ac:dyDescent="0.3">
      <c r="A1546" s="3" t="str">
        <f t="shared" si="24"/>
        <v>COA</v>
      </c>
      <c r="C1546" s="3" t="s">
        <v>850</v>
      </c>
      <c r="D1546" s="3" t="s">
        <v>707</v>
      </c>
      <c r="E1546" s="3" t="s">
        <v>842</v>
      </c>
      <c r="F1546" s="3" t="s">
        <v>2</v>
      </c>
      <c r="G1546" s="3">
        <v>7.8438405988041305E-5</v>
      </c>
      <c r="H1546" s="3">
        <v>7.8438405988041305E-5</v>
      </c>
      <c r="I1546" s="3">
        <v>7.8438405988041305E-5</v>
      </c>
      <c r="J1546" s="3">
        <v>7.8438405988041305E-5</v>
      </c>
      <c r="K1546" s="3">
        <v>7.8438405988041305E-5</v>
      </c>
      <c r="L1546" s="3">
        <v>7.8438405988041305E-5</v>
      </c>
      <c r="M1546" s="3">
        <v>7.8438405988041305E-5</v>
      </c>
      <c r="N1546" s="3">
        <v>7.8438405988041305E-5</v>
      </c>
      <c r="O1546" s="3">
        <v>7.8438405988041305E-5</v>
      </c>
      <c r="P1546" s="3">
        <v>7.8438405988041305E-5</v>
      </c>
    </row>
    <row r="1547" spans="1:16" x14ac:dyDescent="0.3">
      <c r="A1547" s="3" t="str">
        <f t="shared" si="24"/>
        <v>COA</v>
      </c>
      <c r="C1547" s="3" t="s">
        <v>850</v>
      </c>
      <c r="D1547" s="3" t="s">
        <v>707</v>
      </c>
      <c r="E1547" s="3" t="s">
        <v>842</v>
      </c>
      <c r="F1547" s="3" t="s">
        <v>3</v>
      </c>
      <c r="G1547" s="3">
        <v>1.67073804754528E-4</v>
      </c>
      <c r="H1547" s="3">
        <v>1.67073804754528E-4</v>
      </c>
      <c r="I1547" s="3">
        <v>1.67073804754528E-4</v>
      </c>
      <c r="J1547" s="3">
        <v>1.67073804754528E-4</v>
      </c>
      <c r="K1547" s="3">
        <v>1.67073804754528E-4</v>
      </c>
      <c r="L1547" s="3">
        <v>1.67073804754528E-4</v>
      </c>
      <c r="M1547" s="3">
        <v>1.67073804754528E-4</v>
      </c>
      <c r="N1547" s="3">
        <v>1.67073804754528E-4</v>
      </c>
      <c r="O1547" s="3">
        <v>1.67073804754528E-4</v>
      </c>
      <c r="P1547" s="3">
        <v>1.67073804754528E-4</v>
      </c>
    </row>
    <row r="1548" spans="1:16" x14ac:dyDescent="0.3">
      <c r="A1548" s="3" t="str">
        <f t="shared" si="24"/>
        <v>COA</v>
      </c>
      <c r="C1548" s="3" t="s">
        <v>850</v>
      </c>
      <c r="D1548" s="3" t="s">
        <v>707</v>
      </c>
      <c r="E1548" s="3" t="s">
        <v>842</v>
      </c>
      <c r="F1548" s="3" t="s">
        <v>7</v>
      </c>
      <c r="G1548" s="3">
        <v>4.19190529281291E-4</v>
      </c>
      <c r="H1548" s="3">
        <v>4.19190529281291E-4</v>
      </c>
      <c r="I1548" s="3">
        <v>4.19190529281291E-4</v>
      </c>
      <c r="J1548" s="3">
        <v>4.19190529281291E-4</v>
      </c>
      <c r="K1548" s="3">
        <v>4.19190529281291E-4</v>
      </c>
      <c r="L1548" s="3">
        <v>4.19190529281291E-4</v>
      </c>
      <c r="M1548" s="3">
        <v>4.19190529281291E-4</v>
      </c>
    </row>
    <row r="1549" spans="1:16" x14ac:dyDescent="0.3">
      <c r="A1549" s="3" t="str">
        <f t="shared" si="24"/>
        <v>COA</v>
      </c>
      <c r="C1549" s="3" t="s">
        <v>850</v>
      </c>
      <c r="D1549" s="3" t="s">
        <v>707</v>
      </c>
      <c r="E1549" s="3" t="s">
        <v>842</v>
      </c>
      <c r="F1549" s="3" t="s">
        <v>8</v>
      </c>
      <c r="G1549" s="3">
        <v>1.0196992778445399E-6</v>
      </c>
      <c r="H1549" s="3">
        <v>1.0196992778445399E-6</v>
      </c>
      <c r="I1549" s="3">
        <v>1.0196992778445399E-6</v>
      </c>
      <c r="J1549" s="3">
        <v>1.0196992778445399E-6</v>
      </c>
      <c r="L1549" s="3">
        <v>1.0196992778445399E-6</v>
      </c>
      <c r="M1549" s="3">
        <v>1.0196992778445399E-6</v>
      </c>
      <c r="N1549" s="3">
        <v>1.0196992778445399E-6</v>
      </c>
      <c r="O1549" s="3">
        <v>1.0196992778445399E-6</v>
      </c>
      <c r="P1549" s="3">
        <v>1.0196992778445399E-6</v>
      </c>
    </row>
    <row r="1550" spans="1:16" x14ac:dyDescent="0.3">
      <c r="A1550" s="3" t="str">
        <f t="shared" si="24"/>
        <v>ELC</v>
      </c>
      <c r="C1550" s="3" t="s">
        <v>850</v>
      </c>
      <c r="D1550" s="3" t="s">
        <v>707</v>
      </c>
      <c r="E1550" s="3" t="s">
        <v>864</v>
      </c>
      <c r="F1550" s="3" t="s">
        <v>0</v>
      </c>
      <c r="G1550" s="3">
        <v>0.18348613020613799</v>
      </c>
    </row>
    <row r="1551" spans="1:16" x14ac:dyDescent="0.3">
      <c r="A1551" s="3" t="str">
        <f t="shared" si="24"/>
        <v>ELC</v>
      </c>
      <c r="C1551" s="3" t="s">
        <v>850</v>
      </c>
      <c r="D1551" s="3" t="s">
        <v>707</v>
      </c>
      <c r="E1551" s="3" t="s">
        <v>864</v>
      </c>
      <c r="F1551" s="3" t="s">
        <v>1</v>
      </c>
      <c r="G1551" s="3">
        <v>0.50507558418121201</v>
      </c>
      <c r="H1551" s="3">
        <v>0.50507558418121201</v>
      </c>
      <c r="I1551" s="3">
        <v>0.50507558418121201</v>
      </c>
    </row>
    <row r="1552" spans="1:16" x14ac:dyDescent="0.3">
      <c r="A1552" s="3" t="str">
        <f t="shared" si="24"/>
        <v>ELC</v>
      </c>
      <c r="C1552" s="3" t="s">
        <v>850</v>
      </c>
      <c r="D1552" s="3" t="s">
        <v>707</v>
      </c>
      <c r="E1552" s="3" t="s">
        <v>864</v>
      </c>
      <c r="F1552" s="3" t="s">
        <v>2</v>
      </c>
      <c r="G1552" s="3">
        <v>1.93282782666367</v>
      </c>
    </row>
    <row r="1553" spans="1:16" x14ac:dyDescent="0.3">
      <c r="A1553" s="3" t="str">
        <f t="shared" si="24"/>
        <v>ELC</v>
      </c>
      <c r="C1553" s="3" t="s">
        <v>850</v>
      </c>
      <c r="D1553" s="3" t="s">
        <v>707</v>
      </c>
      <c r="E1553" s="3" t="s">
        <v>864</v>
      </c>
      <c r="F1553" s="3" t="s">
        <v>3</v>
      </c>
      <c r="G1553" s="3">
        <v>1.30915024524344</v>
      </c>
      <c r="H1553" s="3">
        <v>1.30915024524344</v>
      </c>
    </row>
    <row r="1554" spans="1:16" x14ac:dyDescent="0.3">
      <c r="A1554" s="3" t="str">
        <f t="shared" si="24"/>
        <v>ELC</v>
      </c>
      <c r="C1554" s="3" t="s">
        <v>850</v>
      </c>
      <c r="D1554" s="3" t="s">
        <v>707</v>
      </c>
      <c r="E1554" s="3" t="s">
        <v>864</v>
      </c>
      <c r="F1554" s="3" t="s">
        <v>4</v>
      </c>
      <c r="G1554" s="3">
        <v>0.46257831027083102</v>
      </c>
      <c r="H1554" s="3">
        <v>0.46257831027083102</v>
      </c>
      <c r="I1554" s="3">
        <v>0.46257831027083102</v>
      </c>
    </row>
    <row r="1555" spans="1:16" x14ac:dyDescent="0.3">
      <c r="A1555" s="3" t="str">
        <f t="shared" si="24"/>
        <v>ELC</v>
      </c>
      <c r="C1555" s="3" t="s">
        <v>850</v>
      </c>
      <c r="D1555" s="3" t="s">
        <v>707</v>
      </c>
      <c r="E1555" s="3" t="s">
        <v>864</v>
      </c>
      <c r="F1555" s="3" t="s">
        <v>5</v>
      </c>
      <c r="G1555" s="3">
        <v>0.403204376707399</v>
      </c>
      <c r="H1555" s="3">
        <v>0.403204376707399</v>
      </c>
      <c r="I1555" s="3">
        <v>0.403204376707399</v>
      </c>
    </row>
    <row r="1556" spans="1:16" x14ac:dyDescent="0.3">
      <c r="A1556" s="3" t="str">
        <f t="shared" si="24"/>
        <v>ELC</v>
      </c>
      <c r="C1556" s="3" t="s">
        <v>850</v>
      </c>
      <c r="D1556" s="3" t="s">
        <v>707</v>
      </c>
      <c r="E1556" s="3" t="s">
        <v>864</v>
      </c>
      <c r="F1556" s="3" t="s">
        <v>6</v>
      </c>
      <c r="G1556" s="3">
        <v>1.4007329562134601</v>
      </c>
      <c r="H1556" s="3">
        <v>0.62631891843625997</v>
      </c>
      <c r="I1556" s="3">
        <v>0.75144675602381505</v>
      </c>
    </row>
    <row r="1557" spans="1:16" x14ac:dyDescent="0.3">
      <c r="A1557" s="3" t="str">
        <f t="shared" si="24"/>
        <v>ELC</v>
      </c>
      <c r="C1557" s="3" t="s">
        <v>850</v>
      </c>
      <c r="D1557" s="3" t="s">
        <v>707</v>
      </c>
      <c r="E1557" s="3" t="s">
        <v>864</v>
      </c>
      <c r="F1557" s="3" t="s">
        <v>7</v>
      </c>
      <c r="G1557" s="3">
        <v>0.72296250763076197</v>
      </c>
      <c r="I1557" s="3">
        <v>0.72296250763076197</v>
      </c>
    </row>
    <row r="1558" spans="1:16" x14ac:dyDescent="0.3">
      <c r="A1558" s="3" t="str">
        <f t="shared" si="24"/>
        <v>ELC</v>
      </c>
      <c r="C1558" s="3" t="s">
        <v>850</v>
      </c>
      <c r="D1558" s="3" t="s">
        <v>707</v>
      </c>
      <c r="E1558" s="3" t="s">
        <v>864</v>
      </c>
      <c r="F1558" s="3" t="s">
        <v>8</v>
      </c>
      <c r="G1558" s="3">
        <v>0.453330421114294</v>
      </c>
      <c r="I1558" s="3">
        <v>0.453330421114294</v>
      </c>
    </row>
    <row r="1559" spans="1:16" x14ac:dyDescent="0.3">
      <c r="A1559" s="3" t="str">
        <f t="shared" si="24"/>
        <v>NGA</v>
      </c>
      <c r="C1559" s="3" t="s">
        <v>850</v>
      </c>
      <c r="D1559" s="3" t="s">
        <v>707</v>
      </c>
      <c r="E1559" s="3" t="s">
        <v>838</v>
      </c>
      <c r="F1559" s="3" t="s">
        <v>1</v>
      </c>
      <c r="G1559" s="3">
        <v>2.9333473200000002</v>
      </c>
      <c r="I1559" s="3">
        <v>2.9333473200000002</v>
      </c>
    </row>
    <row r="1560" spans="1:16" x14ac:dyDescent="0.3">
      <c r="A1560" s="3" t="str">
        <f t="shared" si="24"/>
        <v>NGA</v>
      </c>
      <c r="C1560" s="3" t="s">
        <v>850</v>
      </c>
      <c r="D1560" s="3" t="s">
        <v>707</v>
      </c>
      <c r="E1560" s="3" t="s">
        <v>838</v>
      </c>
      <c r="F1560" s="3" t="s">
        <v>2</v>
      </c>
      <c r="G1560" s="3">
        <v>1.97471358346305</v>
      </c>
      <c r="I1560" s="3">
        <v>25.243743933755798</v>
      </c>
    </row>
    <row r="1561" spans="1:16" x14ac:dyDescent="0.3">
      <c r="A1561" s="3" t="str">
        <f t="shared" si="24"/>
        <v>NGA</v>
      </c>
      <c r="C1561" s="3" t="s">
        <v>850</v>
      </c>
      <c r="D1561" s="3" t="s">
        <v>707</v>
      </c>
      <c r="E1561" s="3" t="s">
        <v>838</v>
      </c>
      <c r="F1561" s="3" t="s">
        <v>3</v>
      </c>
      <c r="I1561" s="3">
        <v>51.555855888879201</v>
      </c>
    </row>
    <row r="1562" spans="1:16" x14ac:dyDescent="0.3">
      <c r="A1562" s="3" t="str">
        <f t="shared" si="24"/>
        <v>NGA</v>
      </c>
      <c r="C1562" s="3" t="s">
        <v>850</v>
      </c>
      <c r="D1562" s="3" t="s">
        <v>707</v>
      </c>
      <c r="E1562" s="3" t="s">
        <v>838</v>
      </c>
      <c r="F1562" s="3" t="s">
        <v>4</v>
      </c>
      <c r="G1562" s="3">
        <v>5.9327551995197298</v>
      </c>
      <c r="I1562" s="3">
        <v>6.4969853999999998</v>
      </c>
      <c r="P1562" s="3">
        <v>6.4969853999999998</v>
      </c>
    </row>
    <row r="1563" spans="1:16" x14ac:dyDescent="0.3">
      <c r="A1563" s="3" t="str">
        <f t="shared" si="24"/>
        <v>NGA</v>
      </c>
      <c r="C1563" s="3" t="s">
        <v>850</v>
      </c>
      <c r="D1563" s="3" t="s">
        <v>707</v>
      </c>
      <c r="E1563" s="3" t="s">
        <v>838</v>
      </c>
      <c r="F1563" s="3" t="s">
        <v>5</v>
      </c>
      <c r="G1563" s="3">
        <v>3.5146108136193202</v>
      </c>
      <c r="I1563" s="3">
        <v>5.5564631959444704</v>
      </c>
    </row>
    <row r="1564" spans="1:16" x14ac:dyDescent="0.3">
      <c r="A1564" s="3" t="str">
        <f t="shared" si="24"/>
        <v>NGA</v>
      </c>
      <c r="C1564" s="3" t="s">
        <v>850</v>
      </c>
      <c r="D1564" s="3" t="s">
        <v>707</v>
      </c>
      <c r="E1564" s="3" t="s">
        <v>838</v>
      </c>
      <c r="F1564" s="3" t="s">
        <v>6</v>
      </c>
      <c r="G1564" s="3">
        <v>1.0521234792</v>
      </c>
      <c r="H1564" s="3">
        <v>1.0521234792</v>
      </c>
      <c r="I1564" s="3">
        <v>1.0521234792</v>
      </c>
    </row>
    <row r="1565" spans="1:16" x14ac:dyDescent="0.3">
      <c r="A1565" s="3" t="str">
        <f t="shared" si="24"/>
        <v>NGA</v>
      </c>
      <c r="C1565" s="3" t="s">
        <v>850</v>
      </c>
      <c r="D1565" s="3" t="s">
        <v>707</v>
      </c>
      <c r="E1565" s="3" t="s">
        <v>838</v>
      </c>
      <c r="F1565" s="3" t="s">
        <v>7</v>
      </c>
      <c r="G1565" s="3">
        <v>2.09608338378633</v>
      </c>
      <c r="I1565" s="3">
        <v>2.9758596000000002</v>
      </c>
    </row>
    <row r="1566" spans="1:16" x14ac:dyDescent="0.3">
      <c r="A1566" s="3" t="str">
        <f t="shared" si="24"/>
        <v>COA</v>
      </c>
      <c r="C1566" s="3" t="s">
        <v>850</v>
      </c>
      <c r="D1566" s="3" t="s">
        <v>707</v>
      </c>
      <c r="E1566" s="3" t="s">
        <v>836</v>
      </c>
      <c r="F1566" s="3" t="s">
        <v>8</v>
      </c>
      <c r="P1566" s="3">
        <v>7.4465781438284502</v>
      </c>
    </row>
    <row r="1567" spans="1:16" x14ac:dyDescent="0.3">
      <c r="A1567" s="3" t="str">
        <f t="shared" si="24"/>
        <v>EXT</v>
      </c>
      <c r="C1567" s="3" t="s">
        <v>850</v>
      </c>
      <c r="D1567" s="3" t="s">
        <v>1529</v>
      </c>
      <c r="E1567" s="3" t="s">
        <v>1530</v>
      </c>
      <c r="F1567" s="3" t="s">
        <v>0</v>
      </c>
      <c r="G1567" s="3">
        <v>3.0427843931077101</v>
      </c>
      <c r="H1567" s="3">
        <v>3.0427843931077101</v>
      </c>
      <c r="I1567" s="3">
        <v>3.0427843931077101</v>
      </c>
      <c r="J1567" s="3">
        <v>3.0427843931077101</v>
      </c>
      <c r="K1567" s="3">
        <v>3.0427843931077101</v>
      </c>
      <c r="L1567" s="3">
        <v>3.2562407999910903</v>
      </c>
      <c r="M1567" s="3">
        <v>3.4948490136009904</v>
      </c>
      <c r="N1567" s="3">
        <v>3.6879499887046303</v>
      </c>
      <c r="O1567" s="3">
        <v>3.8395693366418904</v>
      </c>
      <c r="P1567" s="3">
        <v>3.8816479002663904</v>
      </c>
    </row>
    <row r="1568" spans="1:16" x14ac:dyDescent="0.3">
      <c r="A1568" s="3" t="str">
        <f t="shared" si="24"/>
        <v>EXT</v>
      </c>
      <c r="C1568" s="3" t="s">
        <v>850</v>
      </c>
      <c r="D1568" s="3" t="s">
        <v>1529</v>
      </c>
      <c r="E1568" s="3" t="s">
        <v>1530</v>
      </c>
      <c r="F1568" s="3" t="s">
        <v>1</v>
      </c>
      <c r="G1568" s="3">
        <v>14.2425469068693</v>
      </c>
      <c r="H1568" s="3">
        <v>14.310138094295899</v>
      </c>
      <c r="I1568" s="3">
        <v>14.580502844002099</v>
      </c>
      <c r="J1568" s="3">
        <v>14.7961162105145</v>
      </c>
      <c r="K1568" s="3">
        <v>15.4185060001073</v>
      </c>
      <c r="L1568" s="3">
        <v>16.9352059540469</v>
      </c>
      <c r="M1568" s="3">
        <v>18.176170455143399</v>
      </c>
      <c r="N1568" s="3">
        <v>19.180458830658001</v>
      </c>
      <c r="O1568" s="3">
        <v>19.9690076640067</v>
      </c>
      <c r="P1568" s="3">
        <v>20.187851780582299</v>
      </c>
    </row>
    <row r="1569" spans="1:16" x14ac:dyDescent="0.3">
      <c r="A1569" s="3" t="str">
        <f t="shared" si="24"/>
        <v>EXT</v>
      </c>
      <c r="C1569" s="3" t="s">
        <v>850</v>
      </c>
      <c r="D1569" s="3" t="s">
        <v>1529</v>
      </c>
      <c r="E1569" s="3" t="s">
        <v>1530</v>
      </c>
      <c r="F1569" s="3" t="s">
        <v>2</v>
      </c>
      <c r="G1569" s="3">
        <v>40.946270315986503</v>
      </c>
      <c r="H1569" s="3">
        <v>42.8173047340115</v>
      </c>
      <c r="I1569" s="3">
        <v>50.3014424061112</v>
      </c>
      <c r="J1569" s="3">
        <v>51.045289408759302</v>
      </c>
      <c r="K1569" s="3">
        <v>53.192479014653401</v>
      </c>
      <c r="L1569" s="3">
        <v>58.424959416509203</v>
      </c>
      <c r="M1569" s="3">
        <v>62.706176947056306</v>
      </c>
      <c r="N1569" s="3">
        <v>66.170882823154002</v>
      </c>
      <c r="O1569" s="3">
        <v>68.891306401783694</v>
      </c>
      <c r="P1569" s="3">
        <v>69.646299205778206</v>
      </c>
    </row>
    <row r="1570" spans="1:16" x14ac:dyDescent="0.3">
      <c r="A1570" s="3" t="str">
        <f t="shared" si="24"/>
        <v>EXT</v>
      </c>
      <c r="C1570" s="3" t="s">
        <v>850</v>
      </c>
      <c r="D1570" s="3" t="s">
        <v>1529</v>
      </c>
      <c r="E1570" s="3" t="s">
        <v>1530</v>
      </c>
      <c r="F1570" s="3" t="s">
        <v>3</v>
      </c>
      <c r="G1570" s="3">
        <v>36.935149398008399</v>
      </c>
      <c r="H1570" s="3">
        <v>36.935149398008399</v>
      </c>
      <c r="I1570" s="3">
        <v>36.935149398008399</v>
      </c>
      <c r="J1570" s="3">
        <v>36.935149398008399</v>
      </c>
      <c r="K1570" s="3">
        <v>36.935149398008399</v>
      </c>
      <c r="L1570" s="3">
        <v>39.526211813096999</v>
      </c>
      <c r="M1570" s="3">
        <v>42.422582005226403</v>
      </c>
      <c r="N1570" s="3">
        <v>44.76655793086519</v>
      </c>
      <c r="O1570" s="3">
        <v>46.607004884772287</v>
      </c>
      <c r="P1570" s="3">
        <v>47.117779830721489</v>
      </c>
    </row>
    <row r="1571" spans="1:16" x14ac:dyDescent="0.3">
      <c r="A1571" s="3" t="str">
        <f t="shared" si="24"/>
        <v>EXT</v>
      </c>
      <c r="C1571" s="3" t="s">
        <v>850</v>
      </c>
      <c r="D1571" s="3" t="s">
        <v>1529</v>
      </c>
      <c r="E1571" s="3" t="s">
        <v>1530</v>
      </c>
      <c r="F1571" s="3" t="s">
        <v>4</v>
      </c>
      <c r="G1571" s="3">
        <v>27.847713841354398</v>
      </c>
      <c r="H1571" s="3">
        <v>27.847713841354398</v>
      </c>
      <c r="I1571" s="3">
        <v>27.847713841354398</v>
      </c>
      <c r="J1571" s="3">
        <v>27.847713841354398</v>
      </c>
      <c r="K1571" s="3">
        <v>27.847713841354398</v>
      </c>
      <c r="L1571" s="3">
        <v>29.801277475358997</v>
      </c>
      <c r="M1571" s="3">
        <v>31.985031693323396</v>
      </c>
      <c r="N1571" s="3">
        <v>33.752301405023395</v>
      </c>
      <c r="O1571" s="3">
        <v>35.139929205314893</v>
      </c>
      <c r="P1571" s="3">
        <v>35.525034308826193</v>
      </c>
    </row>
    <row r="1572" spans="1:16" x14ac:dyDescent="0.3">
      <c r="A1572" s="3" t="str">
        <f t="shared" si="24"/>
        <v>EXT</v>
      </c>
      <c r="C1572" s="3" t="s">
        <v>850</v>
      </c>
      <c r="D1572" s="3" t="s">
        <v>1529</v>
      </c>
      <c r="E1572" s="3" t="s">
        <v>1530</v>
      </c>
      <c r="F1572" s="3" t="s">
        <v>5</v>
      </c>
      <c r="G1572" s="3">
        <v>24.3145391912497</v>
      </c>
      <c r="H1572" s="3">
        <v>24.3145391912497</v>
      </c>
      <c r="I1572" s="3">
        <v>24.3145391912497</v>
      </c>
      <c r="J1572" s="3">
        <v>24.3145391912497</v>
      </c>
      <c r="K1572" s="3">
        <v>24.3145391912497</v>
      </c>
      <c r="L1572" s="3">
        <v>26.020244722849501</v>
      </c>
      <c r="M1572" s="3">
        <v>27.9269354414931</v>
      </c>
      <c r="N1572" s="3">
        <v>29.469983065130499</v>
      </c>
      <c r="O1572" s="3">
        <v>30.681555789744998</v>
      </c>
      <c r="P1572" s="3">
        <v>31.017800739165995</v>
      </c>
    </row>
    <row r="1573" spans="1:16" x14ac:dyDescent="0.3">
      <c r="A1573" s="3" t="str">
        <f t="shared" si="24"/>
        <v>EXT</v>
      </c>
      <c r="C1573" s="3" t="s">
        <v>850</v>
      </c>
      <c r="D1573" s="3" t="s">
        <v>1529</v>
      </c>
      <c r="E1573" s="3" t="s">
        <v>1530</v>
      </c>
      <c r="F1573" s="3" t="s">
        <v>6</v>
      </c>
      <c r="G1573" s="3">
        <v>69.232504199071101</v>
      </c>
      <c r="H1573" s="3">
        <v>71.414222135924206</v>
      </c>
      <c r="I1573" s="3">
        <v>80.141093883336396</v>
      </c>
      <c r="J1573" s="3">
        <v>81.326203288207395</v>
      </c>
      <c r="K1573" s="3">
        <v>84.747141447435595</v>
      </c>
      <c r="L1573" s="3">
        <v>93.083616170015304</v>
      </c>
      <c r="M1573" s="3">
        <v>99.904523079215096</v>
      </c>
      <c r="N1573" s="3">
        <v>105.42455005284999</v>
      </c>
      <c r="O1573" s="3">
        <v>109.758774102674</v>
      </c>
      <c r="P1573" s="3">
        <v>110.961641183456</v>
      </c>
    </row>
    <row r="1574" spans="1:16" x14ac:dyDescent="0.3">
      <c r="A1574" s="3" t="str">
        <f t="shared" si="24"/>
        <v>EXT</v>
      </c>
      <c r="C1574" s="3" t="s">
        <v>850</v>
      </c>
      <c r="D1574" s="3" t="s">
        <v>1529</v>
      </c>
      <c r="E1574" s="3" t="s">
        <v>1530</v>
      </c>
      <c r="F1574" s="3" t="s">
        <v>7</v>
      </c>
      <c r="G1574" s="3">
        <v>30.610164755054601</v>
      </c>
      <c r="H1574" s="3">
        <v>30.610164755054601</v>
      </c>
      <c r="I1574" s="3">
        <v>30.610164755054601</v>
      </c>
      <c r="J1574" s="3">
        <v>30.610164755054601</v>
      </c>
      <c r="K1574" s="3">
        <v>30.610164755054601</v>
      </c>
      <c r="L1574" s="3">
        <v>32.757518934181505</v>
      </c>
      <c r="M1574" s="3">
        <v>35.157898253548503</v>
      </c>
      <c r="N1574" s="3">
        <v>37.100478436249901</v>
      </c>
      <c r="O1574" s="3">
        <v>38.625756806589202</v>
      </c>
      <c r="P1574" s="3">
        <v>39.049063751412397</v>
      </c>
    </row>
    <row r="1575" spans="1:16" x14ac:dyDescent="0.3">
      <c r="A1575" s="3" t="str">
        <f t="shared" si="24"/>
        <v>EXT</v>
      </c>
      <c r="C1575" s="3" t="s">
        <v>850</v>
      </c>
      <c r="D1575" s="3" t="s">
        <v>1529</v>
      </c>
      <c r="E1575" s="3" t="s">
        <v>1530</v>
      </c>
      <c r="F1575" s="3" t="s">
        <v>8</v>
      </c>
      <c r="G1575" s="3">
        <v>19.1939675049843</v>
      </c>
      <c r="H1575" s="3">
        <v>19.1939675049843</v>
      </c>
      <c r="I1575" s="3">
        <v>19.1939675049843</v>
      </c>
      <c r="J1575" s="3">
        <v>19.1939675049843</v>
      </c>
      <c r="K1575" s="3">
        <v>19.1939675049843</v>
      </c>
      <c r="L1575" s="3">
        <v>20.540456381005399</v>
      </c>
      <c r="M1575" s="3">
        <v>22.0456035445129</v>
      </c>
      <c r="N1575" s="3">
        <v>23.263689797917902</v>
      </c>
      <c r="O1575" s="3">
        <v>24.220108808093805</v>
      </c>
      <c r="P1575" s="3">
        <v>24.485541542892403</v>
      </c>
    </row>
    <row r="1576" spans="1:16" x14ac:dyDescent="0.3">
      <c r="A1576" s="3" t="str">
        <f t="shared" si="24"/>
        <v>ELC</v>
      </c>
      <c r="C1576" s="3" t="s">
        <v>850</v>
      </c>
      <c r="D1576" s="3" t="s">
        <v>1442</v>
      </c>
      <c r="E1576" s="3" t="s">
        <v>1441</v>
      </c>
      <c r="F1576" s="3" t="s">
        <v>0</v>
      </c>
      <c r="G1576" s="3">
        <v>1.00077734259606</v>
      </c>
      <c r="H1576" s="3">
        <v>1.0007773425960595</v>
      </c>
      <c r="I1576" s="3">
        <v>1.0007773425960595</v>
      </c>
      <c r="J1576" s="3">
        <v>1.0007773425960593</v>
      </c>
      <c r="K1576" s="3">
        <v>1.0007773425960595</v>
      </c>
      <c r="L1576" s="3">
        <v>1.0709835445618425</v>
      </c>
      <c r="M1576" s="3">
        <v>1.1494622216836934</v>
      </c>
      <c r="N1576" s="3">
        <v>1.2129734849709202</v>
      </c>
      <c r="O1576" s="3">
        <v>1.2628413653434181</v>
      </c>
      <c r="P1576" s="3">
        <v>1.2766810817491461</v>
      </c>
    </row>
    <row r="1577" spans="1:16" x14ac:dyDescent="0.3">
      <c r="A1577" s="3" t="str">
        <f t="shared" si="24"/>
        <v>ELC</v>
      </c>
      <c r="C1577" s="3" t="s">
        <v>850</v>
      </c>
      <c r="D1577" s="3" t="s">
        <v>1442</v>
      </c>
      <c r="E1577" s="3" t="s">
        <v>1441</v>
      </c>
      <c r="F1577" s="3" t="s">
        <v>1</v>
      </c>
      <c r="G1577" s="3">
        <v>2.4793229893792899</v>
      </c>
      <c r="H1577" s="3">
        <v>2.4910891703834399</v>
      </c>
      <c r="I1577" s="3">
        <v>2.5381538943999749</v>
      </c>
      <c r="J1577" s="3">
        <v>2.5756875728850863</v>
      </c>
      <c r="K1577" s="3">
        <v>2.6840323319919124</v>
      </c>
      <c r="L1577" s="3">
        <v>2.9480573752922297</v>
      </c>
      <c r="M1577" s="3">
        <v>3.1640827699558907</v>
      </c>
      <c r="N1577" s="3">
        <v>3.338907909986065</v>
      </c>
      <c r="O1577" s="3">
        <v>3.4761774070467837</v>
      </c>
      <c r="P1577" s="3">
        <v>3.514273490062287</v>
      </c>
    </row>
    <row r="1578" spans="1:16" x14ac:dyDescent="0.3">
      <c r="A1578" s="3" t="str">
        <f t="shared" si="24"/>
        <v>ELC</v>
      </c>
      <c r="C1578" s="3" t="s">
        <v>850</v>
      </c>
      <c r="D1578" s="3" t="s">
        <v>1442</v>
      </c>
      <c r="E1578" s="3" t="s">
        <v>1441</v>
      </c>
      <c r="F1578" s="3" t="s">
        <v>2</v>
      </c>
      <c r="G1578" s="3">
        <v>24.629345779323899</v>
      </c>
      <c r="H1578" s="3">
        <v>25.7547804841439</v>
      </c>
      <c r="I1578" s="3">
        <v>30.25651930342385</v>
      </c>
      <c r="J1578" s="3">
        <v>30.703946258156368</v>
      </c>
      <c r="K1578" s="3">
        <v>31.995489415792569</v>
      </c>
      <c r="L1578" s="3">
        <v>35.142847358440783</v>
      </c>
      <c r="M1578" s="3">
        <v>37.718016869671715</v>
      </c>
      <c r="N1578" s="3">
        <v>39.802051346744705</v>
      </c>
      <c r="O1578" s="3">
        <v>41.438397037505609</v>
      </c>
      <c r="P1578" s="3">
        <v>41.892528236439809</v>
      </c>
    </row>
    <row r="1579" spans="1:16" x14ac:dyDescent="0.3">
      <c r="A1579" s="3" t="str">
        <f t="shared" si="24"/>
        <v>ELC</v>
      </c>
      <c r="C1579" s="3" t="s">
        <v>850</v>
      </c>
      <c r="D1579" s="3" t="s">
        <v>1442</v>
      </c>
      <c r="E1579" s="3" t="s">
        <v>1441</v>
      </c>
      <c r="F1579" s="3" t="s">
        <v>3</v>
      </c>
      <c r="G1579" s="3">
        <v>22.2427220347878</v>
      </c>
      <c r="H1579" s="3">
        <v>22.2427220347878</v>
      </c>
      <c r="I1579" s="3">
        <v>22.242722034787839</v>
      </c>
      <c r="J1579" s="3">
        <v>22.242722034787853</v>
      </c>
      <c r="K1579" s="3">
        <v>22.242722034787842</v>
      </c>
      <c r="L1579" s="3">
        <v>23.803086132752178</v>
      </c>
      <c r="M1579" s="3">
        <v>25.54730967437547</v>
      </c>
      <c r="N1579" s="3">
        <v>26.958875779290953</v>
      </c>
      <c r="O1579" s="3">
        <v>28.06721162421745</v>
      </c>
      <c r="P1579" s="3">
        <v>28.374805483461298</v>
      </c>
    </row>
    <row r="1580" spans="1:16" x14ac:dyDescent="0.3">
      <c r="A1580" s="3" t="str">
        <f t="shared" si="24"/>
        <v>ELC</v>
      </c>
      <c r="C1580" s="3" t="s">
        <v>850</v>
      </c>
      <c r="D1580" s="3" t="s">
        <v>1442</v>
      </c>
      <c r="E1580" s="3" t="s">
        <v>1441</v>
      </c>
      <c r="F1580" s="3" t="s">
        <v>4</v>
      </c>
      <c r="G1580" s="3">
        <v>10.986284462000199</v>
      </c>
      <c r="H1580" s="3">
        <v>10.986284462000265</v>
      </c>
      <c r="I1580" s="3">
        <v>10.986284462000285</v>
      </c>
      <c r="J1580" s="3">
        <v>10.986284462000285</v>
      </c>
      <c r="K1580" s="3">
        <v>10.986284462000285</v>
      </c>
      <c r="L1580" s="3">
        <v>11.756990665032337</v>
      </c>
      <c r="M1580" s="3">
        <v>12.618510040386674</v>
      </c>
      <c r="N1580" s="3">
        <v>13.315720873721972</v>
      </c>
      <c r="O1580" s="3">
        <v>13.863158046777921</v>
      </c>
      <c r="P1580" s="3">
        <v>14.01508700723212</v>
      </c>
    </row>
    <row r="1581" spans="1:16" x14ac:dyDescent="0.3">
      <c r="A1581" s="3" t="str">
        <f t="shared" si="24"/>
        <v>ELC</v>
      </c>
      <c r="C1581" s="3" t="s">
        <v>850</v>
      </c>
      <c r="D1581" s="3" t="s">
        <v>1442</v>
      </c>
      <c r="E1581" s="3" t="s">
        <v>1441</v>
      </c>
      <c r="F1581" s="3" t="s">
        <v>5</v>
      </c>
      <c r="G1581" s="3">
        <v>9.5761471743832391</v>
      </c>
      <c r="H1581" s="3">
        <v>9.5761471743832445</v>
      </c>
      <c r="I1581" s="3">
        <v>9.5761471743832445</v>
      </c>
      <c r="J1581" s="3">
        <v>9.5761471743832356</v>
      </c>
      <c r="K1581" s="3">
        <v>9.5761471743832338</v>
      </c>
      <c r="L1581" s="3">
        <v>10.247929891640645</v>
      </c>
      <c r="M1581" s="3">
        <v>10.998869516452967</v>
      </c>
      <c r="N1581" s="3">
        <v>11.606590313660254</v>
      </c>
      <c r="O1581" s="3">
        <v>12.083761549854291</v>
      </c>
      <c r="P1581" s="3">
        <v>12.216189768911692</v>
      </c>
    </row>
    <row r="1582" spans="1:16" x14ac:dyDescent="0.3">
      <c r="A1582" s="3" t="str">
        <f t="shared" si="24"/>
        <v>ELC</v>
      </c>
      <c r="C1582" s="3" t="s">
        <v>850</v>
      </c>
      <c r="D1582" s="3" t="s">
        <v>1442</v>
      </c>
      <c r="E1582" s="3" t="s">
        <v>1441</v>
      </c>
      <c r="F1582" s="3" t="s">
        <v>6</v>
      </c>
      <c r="G1582" s="3">
        <v>26.4790895763214</v>
      </c>
      <c r="H1582" s="3">
        <v>27.3135228435927</v>
      </c>
      <c r="I1582" s="3">
        <v>30.651255912677488</v>
      </c>
      <c r="J1582" s="3">
        <v>31.104520148203239</v>
      </c>
      <c r="K1582" s="3">
        <v>32.41291320723218</v>
      </c>
      <c r="L1582" s="3">
        <v>35.601332627902032</v>
      </c>
      <c r="M1582" s="3">
        <v>38.21009865666106</v>
      </c>
      <c r="N1582" s="3">
        <v>40.321322140334345</v>
      </c>
      <c r="O1582" s="3">
        <v>41.97901614096066</v>
      </c>
      <c r="P1582" s="3">
        <v>42.439072086486647</v>
      </c>
    </row>
    <row r="1583" spans="1:16" x14ac:dyDescent="0.3">
      <c r="A1583" s="3" t="str">
        <f t="shared" si="24"/>
        <v>ELC</v>
      </c>
      <c r="C1583" s="3" t="s">
        <v>850</v>
      </c>
      <c r="D1583" s="3" t="s">
        <v>1442</v>
      </c>
      <c r="E1583" s="3" t="s">
        <v>1441</v>
      </c>
      <c r="F1583" s="3" t="s">
        <v>7</v>
      </c>
      <c r="G1583" s="3">
        <v>13.079918876034901</v>
      </c>
      <c r="H1583" s="3">
        <v>13.079918876034922</v>
      </c>
      <c r="I1583" s="3">
        <v>13.079918876034942</v>
      </c>
      <c r="J1583" s="3">
        <v>13.079918876034892</v>
      </c>
      <c r="K1583" s="3">
        <v>13.079918876034892</v>
      </c>
      <c r="L1583" s="3">
        <v>13.997497029757714</v>
      </c>
      <c r="M1583" s="3">
        <v>15.023194441721092</v>
      </c>
      <c r="N1583" s="3">
        <v>15.853271359086646</v>
      </c>
      <c r="O1583" s="3">
        <v>16.505032547144761</v>
      </c>
      <c r="P1583" s="3">
        <v>16.685914307901552</v>
      </c>
    </row>
    <row r="1584" spans="1:16" x14ac:dyDescent="0.3">
      <c r="A1584" s="3" t="str">
        <f t="shared" si="24"/>
        <v>ELC</v>
      </c>
      <c r="C1584" s="3" t="s">
        <v>850</v>
      </c>
      <c r="D1584" s="3" t="s">
        <v>1442</v>
      </c>
      <c r="E1584" s="3" t="s">
        <v>1441</v>
      </c>
      <c r="F1584" s="3" t="s">
        <v>8</v>
      </c>
      <c r="G1584" s="3">
        <v>8.2017048873606004</v>
      </c>
      <c r="H1584" s="3">
        <v>8.2017048873606004</v>
      </c>
      <c r="I1584" s="3">
        <v>8.2017048873606004</v>
      </c>
      <c r="J1584" s="3">
        <v>8.2017048873606004</v>
      </c>
      <c r="K1584" s="3">
        <v>8.2017048873606004</v>
      </c>
      <c r="L1584" s="3">
        <v>8.7770681827486499</v>
      </c>
      <c r="M1584" s="3">
        <v>9.4202271775698492</v>
      </c>
      <c r="N1584" s="3">
        <v>9.9407232123362022</v>
      </c>
      <c r="O1584" s="3">
        <v>10.349407163066411</v>
      </c>
      <c r="P1584" s="3">
        <v>10.46282826569659</v>
      </c>
    </row>
    <row r="1585" spans="1:16" x14ac:dyDescent="0.3">
      <c r="A1585" s="3" t="str">
        <f t="shared" si="24"/>
        <v>DST</v>
      </c>
      <c r="C1585" s="3" t="s">
        <v>850</v>
      </c>
      <c r="D1585" s="3" t="s">
        <v>736</v>
      </c>
      <c r="E1585" s="3" t="s">
        <v>1448</v>
      </c>
      <c r="F1585" s="3" t="s">
        <v>4</v>
      </c>
      <c r="G1585" s="3">
        <v>0.14981717881701001</v>
      </c>
    </row>
    <row r="1586" spans="1:16" x14ac:dyDescent="0.3">
      <c r="A1586" s="3" t="str">
        <f t="shared" si="24"/>
        <v>DST</v>
      </c>
      <c r="C1586" s="3" t="s">
        <v>850</v>
      </c>
      <c r="D1586" s="3" t="s">
        <v>736</v>
      </c>
      <c r="E1586" s="3" t="s">
        <v>1448</v>
      </c>
      <c r="F1586" s="3" t="s">
        <v>5</v>
      </c>
      <c r="G1586" s="3">
        <v>0.13058749375775</v>
      </c>
    </row>
    <row r="1587" spans="1:16" x14ac:dyDescent="0.3">
      <c r="A1587" s="3" t="str">
        <f t="shared" si="24"/>
        <v>ELC</v>
      </c>
      <c r="C1587" s="3" t="s">
        <v>850</v>
      </c>
      <c r="D1587" s="3" t="s">
        <v>736</v>
      </c>
      <c r="E1587" s="3" t="s">
        <v>1447</v>
      </c>
      <c r="F1587" s="3" t="s">
        <v>0</v>
      </c>
      <c r="G1587" s="3">
        <v>4.8230233378123599E-2</v>
      </c>
    </row>
    <row r="1588" spans="1:16" x14ac:dyDescent="0.3">
      <c r="A1588" s="3" t="str">
        <f t="shared" si="24"/>
        <v>ELC</v>
      </c>
      <c r="C1588" s="3" t="s">
        <v>850</v>
      </c>
      <c r="D1588" s="3" t="s">
        <v>736</v>
      </c>
      <c r="E1588" s="3" t="s">
        <v>1447</v>
      </c>
      <c r="F1588" s="3" t="s">
        <v>1</v>
      </c>
      <c r="G1588" s="3">
        <v>0.13276160585699101</v>
      </c>
      <c r="H1588" s="3">
        <v>0.431663602766021</v>
      </c>
      <c r="I1588" s="3">
        <v>0.43981912307966597</v>
      </c>
      <c r="J1588" s="3">
        <v>0.44632307447272501</v>
      </c>
      <c r="K1588" s="3">
        <v>0.46509738797900102</v>
      </c>
      <c r="L1588" s="3">
        <v>0.51084846054856603</v>
      </c>
      <c r="M1588" s="3">
        <v>0.54828200618720402</v>
      </c>
    </row>
    <row r="1589" spans="1:16" x14ac:dyDescent="0.3">
      <c r="A1589" s="3" t="str">
        <f t="shared" si="24"/>
        <v>ELC</v>
      </c>
      <c r="C1589" s="3" t="s">
        <v>850</v>
      </c>
      <c r="D1589" s="3" t="s">
        <v>736</v>
      </c>
      <c r="E1589" s="3" t="s">
        <v>1447</v>
      </c>
      <c r="F1589" s="3" t="s">
        <v>2</v>
      </c>
      <c r="G1589" s="3">
        <v>1.55456290977335</v>
      </c>
      <c r="H1589" s="3">
        <v>1.62559845676517</v>
      </c>
    </row>
    <row r="1590" spans="1:16" x14ac:dyDescent="0.3">
      <c r="A1590" s="3" t="str">
        <f t="shared" si="24"/>
        <v>ELC</v>
      </c>
      <c r="C1590" s="3" t="s">
        <v>850</v>
      </c>
      <c r="D1590" s="3" t="s">
        <v>736</v>
      </c>
      <c r="E1590" s="3" t="s">
        <v>1447</v>
      </c>
      <c r="F1590" s="3" t="s">
        <v>3</v>
      </c>
      <c r="G1590" s="3">
        <v>1.0719384113150801</v>
      </c>
    </row>
    <row r="1591" spans="1:16" x14ac:dyDescent="0.3">
      <c r="A1591" s="3" t="str">
        <f t="shared" si="24"/>
        <v>ELC</v>
      </c>
      <c r="C1591" s="3" t="s">
        <v>850</v>
      </c>
      <c r="D1591" s="3" t="s">
        <v>736</v>
      </c>
      <c r="E1591" s="3" t="s">
        <v>1447</v>
      </c>
      <c r="F1591" s="3" t="s">
        <v>4</v>
      </c>
      <c r="G1591" s="3">
        <v>0.52945949214458998</v>
      </c>
      <c r="H1591" s="3">
        <v>1.30249563326711</v>
      </c>
    </row>
    <row r="1592" spans="1:16" x14ac:dyDescent="0.3">
      <c r="A1592" s="3" t="str">
        <f t="shared" si="24"/>
        <v>ELC</v>
      </c>
      <c r="C1592" s="3" t="s">
        <v>850</v>
      </c>
      <c r="D1592" s="3" t="s">
        <v>736</v>
      </c>
      <c r="E1592" s="3" t="s">
        <v>1447</v>
      </c>
      <c r="F1592" s="3" t="s">
        <v>5</v>
      </c>
      <c r="G1592" s="3">
        <v>0.46150106864497498</v>
      </c>
      <c r="H1592" s="3">
        <v>1.13531466632773</v>
      </c>
      <c r="I1592" s="3">
        <v>0.33873841115568498</v>
      </c>
    </row>
    <row r="1593" spans="1:16" x14ac:dyDescent="0.3">
      <c r="A1593" s="3" t="str">
        <f t="shared" si="24"/>
        <v>ELC</v>
      </c>
      <c r="C1593" s="3" t="s">
        <v>850</v>
      </c>
      <c r="D1593" s="3" t="s">
        <v>736</v>
      </c>
      <c r="E1593" s="3" t="s">
        <v>1447</v>
      </c>
      <c r="F1593" s="3" t="s">
        <v>6</v>
      </c>
      <c r="G1593" s="3">
        <v>1.6032558015803999</v>
      </c>
    </row>
    <row r="1594" spans="1:16" x14ac:dyDescent="0.3">
      <c r="A1594" s="3" t="str">
        <f t="shared" si="24"/>
        <v>ELC</v>
      </c>
      <c r="C1594" s="3" t="s">
        <v>850</v>
      </c>
      <c r="D1594" s="3" t="s">
        <v>736</v>
      </c>
      <c r="E1594" s="3" t="s">
        <v>1447</v>
      </c>
      <c r="F1594" s="3" t="s">
        <v>7</v>
      </c>
      <c r="G1594" s="3">
        <v>0.63035753619445301</v>
      </c>
    </row>
    <row r="1595" spans="1:16" x14ac:dyDescent="0.3">
      <c r="A1595" s="3" t="str">
        <f t="shared" si="24"/>
        <v>ELC</v>
      </c>
      <c r="C1595" s="3" t="s">
        <v>850</v>
      </c>
      <c r="D1595" s="3" t="s">
        <v>736</v>
      </c>
      <c r="E1595" s="3" t="s">
        <v>1447</v>
      </c>
      <c r="F1595" s="3" t="s">
        <v>8</v>
      </c>
      <c r="G1595" s="3">
        <v>0.39526288613786198</v>
      </c>
    </row>
    <row r="1596" spans="1:16" x14ac:dyDescent="0.3">
      <c r="A1596" s="3" t="str">
        <f t="shared" si="24"/>
        <v>NGA</v>
      </c>
      <c r="C1596" s="3" t="s">
        <v>850</v>
      </c>
      <c r="D1596" s="3" t="s">
        <v>736</v>
      </c>
      <c r="E1596" s="3" t="s">
        <v>1449</v>
      </c>
      <c r="F1596" s="3" t="s">
        <v>0</v>
      </c>
      <c r="G1596" s="3">
        <v>0.125187546445922</v>
      </c>
      <c r="H1596" s="3">
        <v>0.17341777982404599</v>
      </c>
      <c r="I1596" s="3">
        <v>0.17341777982404499</v>
      </c>
      <c r="J1596" s="3">
        <v>0.17341777982404599</v>
      </c>
      <c r="K1596" s="3">
        <v>0.17341777982404499</v>
      </c>
      <c r="L1596" s="3">
        <v>0.185583326701038</v>
      </c>
      <c r="M1596" s="3">
        <v>0.19918235354820499</v>
      </c>
      <c r="N1596" s="3">
        <v>0.21018778083387901</v>
      </c>
      <c r="O1596" s="3">
        <v>0.21882904071322101</v>
      </c>
      <c r="P1596" s="3">
        <v>0.22122722939148401</v>
      </c>
    </row>
    <row r="1597" spans="1:16" x14ac:dyDescent="0.3">
      <c r="A1597" s="3" t="str">
        <f t="shared" si="24"/>
        <v>NGA</v>
      </c>
      <c r="C1597" s="3" t="s">
        <v>850</v>
      </c>
      <c r="D1597" s="3" t="s">
        <v>736</v>
      </c>
      <c r="E1597" s="3" t="s">
        <v>1449</v>
      </c>
      <c r="F1597" s="3" t="s">
        <v>1</v>
      </c>
      <c r="G1597" s="3">
        <v>0.296863116830617</v>
      </c>
      <c r="N1597" s="3">
        <v>0.57857624482655501</v>
      </c>
      <c r="O1597" s="3">
        <v>0.60236272599936203</v>
      </c>
      <c r="P1597" s="3">
        <v>0.60896413258137505</v>
      </c>
    </row>
    <row r="1598" spans="1:16" x14ac:dyDescent="0.3">
      <c r="A1598" s="3" t="str">
        <f t="shared" si="24"/>
        <v>NGA</v>
      </c>
      <c r="C1598" s="3" t="s">
        <v>850</v>
      </c>
      <c r="D1598" s="3" t="s">
        <v>736</v>
      </c>
      <c r="E1598" s="3" t="s">
        <v>1449</v>
      </c>
      <c r="F1598" s="3" t="s">
        <v>2</v>
      </c>
      <c r="I1598" s="3">
        <v>1.9097406447324401</v>
      </c>
      <c r="J1598" s="3">
        <v>1.93798148210149</v>
      </c>
      <c r="K1598" s="3">
        <v>2.0195015154479798</v>
      </c>
      <c r="L1598" s="3">
        <v>2.2181574588603699</v>
      </c>
      <c r="M1598" s="3">
        <v>2.3806978301884398</v>
      </c>
      <c r="N1598" s="3">
        <v>2.5122385836365502</v>
      </c>
      <c r="O1598" s="3">
        <v>2.6155219733464001</v>
      </c>
      <c r="P1598" s="3">
        <v>2.6441859713412899</v>
      </c>
    </row>
    <row r="1599" spans="1:16" x14ac:dyDescent="0.3">
      <c r="A1599" s="3" t="str">
        <f t="shared" si="24"/>
        <v>NGA</v>
      </c>
      <c r="C1599" s="3" t="s">
        <v>850</v>
      </c>
      <c r="D1599" s="3" t="s">
        <v>736</v>
      </c>
      <c r="E1599" s="3" t="s">
        <v>1449</v>
      </c>
      <c r="F1599" s="3" t="s">
        <v>3</v>
      </c>
      <c r="G1599" s="3">
        <v>0.331984819025339</v>
      </c>
      <c r="H1599" s="3">
        <v>1.4039232303404201</v>
      </c>
      <c r="I1599" s="3">
        <v>1.4039232303404201</v>
      </c>
      <c r="J1599" s="3">
        <v>1.4039232303404101</v>
      </c>
      <c r="K1599" s="3">
        <v>1.4039232303404201</v>
      </c>
      <c r="L1599" s="3">
        <v>1.5024107896191401</v>
      </c>
      <c r="M1599" s="3">
        <v>1.61250324795953</v>
      </c>
      <c r="N1599" s="3">
        <v>1.7015989280094901</v>
      </c>
      <c r="O1599" s="3">
        <v>1.7715552237037699</v>
      </c>
      <c r="P1599" s="3">
        <v>1.7909700311103101</v>
      </c>
    </row>
    <row r="1600" spans="1:16" x14ac:dyDescent="0.3">
      <c r="A1600" s="3" t="str">
        <f t="shared" si="24"/>
        <v>NGA</v>
      </c>
      <c r="C1600" s="3" t="s">
        <v>850</v>
      </c>
      <c r="D1600" s="3" t="s">
        <v>736</v>
      </c>
      <c r="E1600" s="3" t="s">
        <v>1449</v>
      </c>
      <c r="F1600" s="3" t="s">
        <v>4</v>
      </c>
      <c r="G1600" s="3">
        <v>0.62321896230551099</v>
      </c>
      <c r="I1600" s="3">
        <v>1.30249563326711</v>
      </c>
      <c r="J1600" s="3">
        <v>1.30249563326711</v>
      </c>
      <c r="K1600" s="3">
        <v>1.30249563326711</v>
      </c>
      <c r="L1600" s="3">
        <v>1.39386787721849</v>
      </c>
      <c r="M1600" s="3">
        <v>1.4960066146829401</v>
      </c>
      <c r="N1600" s="3">
        <v>1.57866550350261</v>
      </c>
      <c r="O1600" s="3">
        <v>1.64356774864834</v>
      </c>
      <c r="P1600" s="3">
        <v>1.6615799172065899</v>
      </c>
    </row>
    <row r="1601" spans="1:16" x14ac:dyDescent="0.3">
      <c r="A1601" s="3" t="str">
        <f t="shared" si="24"/>
        <v>NGA</v>
      </c>
      <c r="C1601" s="3" t="s">
        <v>850</v>
      </c>
      <c r="D1601" s="3" t="s">
        <v>736</v>
      </c>
      <c r="E1601" s="3" t="s">
        <v>1449</v>
      </c>
      <c r="F1601" s="3" t="s">
        <v>5</v>
      </c>
      <c r="G1601" s="3">
        <v>0.54322610392498305</v>
      </c>
      <c r="I1601" s="3">
        <v>0.796576255172044</v>
      </c>
      <c r="J1601" s="3">
        <v>1.13531466632773</v>
      </c>
      <c r="K1601" s="3">
        <v>1.13531466632773</v>
      </c>
      <c r="L1601" s="3">
        <v>1.21495888624198</v>
      </c>
      <c r="M1601" s="3">
        <v>1.3039876735038001</v>
      </c>
      <c r="N1601" s="3">
        <v>1.3760369352306401</v>
      </c>
      <c r="O1601" s="3">
        <v>1.43260869555717</v>
      </c>
      <c r="P1601" s="3">
        <v>1.4483089241139899</v>
      </c>
    </row>
    <row r="1602" spans="1:16" x14ac:dyDescent="0.3">
      <c r="A1602" s="3" t="str">
        <f t="shared" si="24"/>
        <v>NGA</v>
      </c>
      <c r="C1602" s="3" t="s">
        <v>850</v>
      </c>
      <c r="D1602" s="3" t="s">
        <v>736</v>
      </c>
      <c r="E1602" s="3" t="s">
        <v>1449</v>
      </c>
      <c r="F1602" s="3" t="s">
        <v>6</v>
      </c>
      <c r="G1602" s="3">
        <v>1.53601286248331</v>
      </c>
      <c r="H1602" s="3">
        <v>3.2381961668634802</v>
      </c>
      <c r="I1602" s="3">
        <v>3.6339061780625501</v>
      </c>
      <c r="J1602" s="3">
        <v>3.6876436076303198</v>
      </c>
      <c r="K1602" s="3">
        <v>3.84276213308602</v>
      </c>
      <c r="L1602" s="3">
        <v>4.2207700380161004</v>
      </c>
      <c r="M1602" s="3">
        <v>4.5300562550649097</v>
      </c>
      <c r="N1602" s="3">
        <v>4.7803555603347396</v>
      </c>
      <c r="O1602" s="3">
        <v>4.9768859892142201</v>
      </c>
      <c r="P1602" s="3">
        <v>5.0314286202719503</v>
      </c>
    </row>
    <row r="1603" spans="1:16" x14ac:dyDescent="0.3">
      <c r="A1603" s="3" t="str">
        <f t="shared" si="24"/>
        <v>NGA</v>
      </c>
      <c r="C1603" s="3" t="s">
        <v>850</v>
      </c>
      <c r="D1603" s="3" t="s">
        <v>736</v>
      </c>
      <c r="E1603" s="3" t="s">
        <v>1449</v>
      </c>
      <c r="F1603" s="3" t="s">
        <v>7</v>
      </c>
      <c r="G1603" s="3">
        <v>0.21655205554270901</v>
      </c>
      <c r="H1603" s="3">
        <v>0.84690959173716196</v>
      </c>
      <c r="I1603" s="3">
        <v>0.84690959173716196</v>
      </c>
      <c r="J1603" s="3">
        <v>0.84690959173716396</v>
      </c>
      <c r="K1603" s="3">
        <v>0.84690959173716296</v>
      </c>
      <c r="L1603" s="3">
        <v>0.90632171400805395</v>
      </c>
      <c r="M1603" s="3">
        <v>0.97273443297402695</v>
      </c>
      <c r="N1603" s="3">
        <v>1.0264809515770199</v>
      </c>
      <c r="O1603" s="3">
        <v>1.0686817333188601</v>
      </c>
      <c r="P1603" s="3">
        <v>1.0803936177431399</v>
      </c>
    </row>
    <row r="1604" spans="1:16" x14ac:dyDescent="0.3">
      <c r="A1604" s="3" t="str">
        <f t="shared" si="24"/>
        <v>NGA</v>
      </c>
      <c r="C1604" s="3" t="s">
        <v>850</v>
      </c>
      <c r="D1604" s="3" t="s">
        <v>736</v>
      </c>
      <c r="E1604" s="3" t="s">
        <v>1449</v>
      </c>
      <c r="F1604" s="3" t="s">
        <v>8</v>
      </c>
      <c r="G1604" s="3">
        <v>0.13578800213866599</v>
      </c>
      <c r="H1604" s="3">
        <v>0.53105088827652802</v>
      </c>
      <c r="I1604" s="3">
        <v>0.53105088827652902</v>
      </c>
      <c r="J1604" s="3">
        <v>0.53105088827652902</v>
      </c>
      <c r="K1604" s="3">
        <v>0.53105088827652802</v>
      </c>
      <c r="L1604" s="3">
        <v>0.56830499498895104</v>
      </c>
      <c r="M1604" s="3">
        <v>0.60994879468591301</v>
      </c>
      <c r="N1604" s="3">
        <v>0.64365030984686999</v>
      </c>
      <c r="O1604" s="3">
        <v>0.670112122121305</v>
      </c>
      <c r="P1604" s="3">
        <v>0.67745600709745002</v>
      </c>
    </row>
    <row r="1605" spans="1:16" x14ac:dyDescent="0.3">
      <c r="A1605" s="3" t="str">
        <f t="shared" si="24"/>
        <v>NGA</v>
      </c>
      <c r="C1605" s="3" t="s">
        <v>850</v>
      </c>
      <c r="D1605" s="3" t="s">
        <v>720</v>
      </c>
      <c r="E1605" s="3" t="s">
        <v>1438</v>
      </c>
      <c r="F1605" s="3" t="s">
        <v>2</v>
      </c>
      <c r="G1605" s="3">
        <v>0.60917646363020495</v>
      </c>
      <c r="H1605" s="3">
        <v>2.7011994162172601</v>
      </c>
      <c r="I1605" s="3">
        <v>3.1733484325168901</v>
      </c>
      <c r="J1605" s="3">
        <v>3.2202752323654602</v>
      </c>
      <c r="K1605" s="3">
        <v>3.35573418630895</v>
      </c>
      <c r="L1605" s="3">
        <v>3.6858337358874098</v>
      </c>
      <c r="M1605" s="3">
        <v>3.9559213176736399</v>
      </c>
      <c r="N1605" s="3">
        <v>4.1744979316856199</v>
      </c>
      <c r="O1605" s="3">
        <v>4.3461202845662603</v>
      </c>
      <c r="P1605" s="3">
        <v>4.3937502354486702</v>
      </c>
    </row>
    <row r="1606" spans="1:16" x14ac:dyDescent="0.3">
      <c r="A1606" s="3" t="str">
        <f t="shared" si="24"/>
        <v>NGA</v>
      </c>
      <c r="C1606" s="3" t="s">
        <v>850</v>
      </c>
      <c r="D1606" s="3" t="s">
        <v>720</v>
      </c>
      <c r="E1606" s="3" t="s">
        <v>1438</v>
      </c>
      <c r="F1606" s="3" t="s">
        <v>3</v>
      </c>
      <c r="G1606" s="3">
        <v>0.41260970364577898</v>
      </c>
      <c r="H1606" s="3">
        <v>2.3328495388435302</v>
      </c>
      <c r="I1606" s="3">
        <v>2.3328495388435302</v>
      </c>
      <c r="J1606" s="3">
        <v>2.3328495388435302</v>
      </c>
      <c r="K1606" s="3">
        <v>2.3328495388435302</v>
      </c>
      <c r="L1606" s="3">
        <v>2.4965028300491201</v>
      </c>
      <c r="M1606" s="3">
        <v>2.6794395712605601</v>
      </c>
      <c r="N1606" s="3">
        <v>2.827486709185</v>
      </c>
      <c r="O1606" s="3">
        <v>2.9437306095797702</v>
      </c>
      <c r="P1606" s="3">
        <v>2.9759915078441899</v>
      </c>
    </row>
    <row r="1607" spans="1:16" x14ac:dyDescent="0.3">
      <c r="A1607" s="3" t="str">
        <f t="shared" si="24"/>
        <v>NGA</v>
      </c>
      <c r="C1607" s="3" t="s">
        <v>850</v>
      </c>
      <c r="D1607" s="3" t="s">
        <v>720</v>
      </c>
      <c r="E1607" s="3" t="s">
        <v>1438</v>
      </c>
      <c r="F1607" s="3" t="s">
        <v>4</v>
      </c>
      <c r="G1607" s="3">
        <v>1.25123191662876</v>
      </c>
      <c r="H1607" s="3">
        <v>3.1922634759543902</v>
      </c>
      <c r="I1607" s="3">
        <v>3.1922634759543902</v>
      </c>
      <c r="J1607" s="3">
        <v>3.1922634759543902</v>
      </c>
      <c r="K1607" s="3">
        <v>3.1922634759543902</v>
      </c>
      <c r="L1607" s="3">
        <v>3.41620609014215</v>
      </c>
      <c r="M1607" s="3">
        <v>3.66653611256995</v>
      </c>
      <c r="N1607" s="3">
        <v>3.8691233190085099</v>
      </c>
      <c r="O1607" s="3">
        <v>4.0281910819970497</v>
      </c>
      <c r="P1607" s="3">
        <v>4.0723367868598004</v>
      </c>
    </row>
    <row r="1608" spans="1:16" x14ac:dyDescent="0.3">
      <c r="A1608" s="3" t="str">
        <f t="shared" ref="A1608:A1671" si="25">RIGHT(E1608,3)</f>
        <v>NGA</v>
      </c>
      <c r="C1608" s="3" t="s">
        <v>850</v>
      </c>
      <c r="D1608" s="3" t="s">
        <v>720</v>
      </c>
      <c r="E1608" s="3" t="s">
        <v>1438</v>
      </c>
      <c r="F1608" s="3" t="s">
        <v>5</v>
      </c>
      <c r="G1608" s="3">
        <v>1.09063087018785</v>
      </c>
      <c r="H1608" s="3">
        <v>2.7825226054252101</v>
      </c>
      <c r="I1608" s="3">
        <v>2.7825226054252101</v>
      </c>
      <c r="J1608" s="3">
        <v>2.7825226054252101</v>
      </c>
      <c r="K1608" s="3">
        <v>2.7825226054252101</v>
      </c>
      <c r="L1608" s="3">
        <v>2.9777212132435</v>
      </c>
      <c r="M1608" s="3">
        <v>3.1959202909414</v>
      </c>
      <c r="N1608" s="3">
        <v>3.3725045502706501</v>
      </c>
      <c r="O1608" s="3">
        <v>3.5111552755769999</v>
      </c>
      <c r="P1608" s="3">
        <v>3.5496346876425502</v>
      </c>
    </row>
    <row r="1609" spans="1:16" x14ac:dyDescent="0.3">
      <c r="A1609" s="3" t="str">
        <f t="shared" si="25"/>
        <v>NGA</v>
      </c>
      <c r="C1609" s="3" t="s">
        <v>850</v>
      </c>
      <c r="D1609" s="3" t="s">
        <v>720</v>
      </c>
      <c r="E1609" s="3" t="s">
        <v>1438</v>
      </c>
      <c r="F1609" s="3" t="s">
        <v>6</v>
      </c>
      <c r="G1609" s="3">
        <v>3.7888542168392898</v>
      </c>
      <c r="H1609" s="3">
        <v>7.9364376259171099</v>
      </c>
      <c r="I1609" s="3">
        <v>8.9062762829970694</v>
      </c>
      <c r="J1609" s="3">
        <v>9.0379803972524204</v>
      </c>
      <c r="K1609" s="3">
        <v>9.4181576436160199</v>
      </c>
      <c r="L1609" s="3">
        <v>10.3446105220057</v>
      </c>
      <c r="M1609" s="3">
        <v>11.1026346328616</v>
      </c>
      <c r="N1609" s="3">
        <v>11.716088766497</v>
      </c>
      <c r="O1609" s="3">
        <v>12.197761713416501</v>
      </c>
      <c r="P1609" s="3">
        <v>12.3314392817407</v>
      </c>
    </row>
    <row r="1610" spans="1:16" x14ac:dyDescent="0.3">
      <c r="A1610" s="3" t="str">
        <f t="shared" si="25"/>
        <v>NGA</v>
      </c>
      <c r="C1610" s="3" t="s">
        <v>850</v>
      </c>
      <c r="D1610" s="3" t="s">
        <v>720</v>
      </c>
      <c r="E1610" s="3" t="s">
        <v>1438</v>
      </c>
      <c r="F1610" s="3" t="s">
        <v>7</v>
      </c>
      <c r="H1610" s="3">
        <v>10.7163718842551</v>
      </c>
      <c r="I1610" s="3">
        <v>10.7163718842551</v>
      </c>
      <c r="J1610" s="3">
        <v>10.7163718842551</v>
      </c>
      <c r="K1610" s="3">
        <v>10.7163718842551</v>
      </c>
      <c r="L1610" s="3">
        <v>11.4681432691815</v>
      </c>
      <c r="M1610" s="3">
        <v>12.3084967156739</v>
      </c>
      <c r="N1610" s="3">
        <v>12.988578375455701</v>
      </c>
      <c r="O1610" s="3">
        <v>13.522566035253201</v>
      </c>
      <c r="P1610" s="3">
        <v>13.670762383695401</v>
      </c>
    </row>
    <row r="1611" spans="1:16" x14ac:dyDescent="0.3">
      <c r="A1611" s="3" t="str">
        <f t="shared" si="25"/>
        <v>NGA</v>
      </c>
      <c r="C1611" s="3" t="s">
        <v>850</v>
      </c>
      <c r="D1611" s="3" t="s">
        <v>720</v>
      </c>
      <c r="E1611" s="3" t="s">
        <v>1438</v>
      </c>
      <c r="F1611" s="3" t="s">
        <v>8</v>
      </c>
      <c r="H1611" s="3">
        <v>6.7196532708551899</v>
      </c>
      <c r="I1611" s="3">
        <v>6.7196532708551899</v>
      </c>
      <c r="J1611" s="3">
        <v>6.7196532708551899</v>
      </c>
      <c r="K1611" s="3">
        <v>6.7196532708551899</v>
      </c>
      <c r="L1611" s="3">
        <v>7.1910481701940503</v>
      </c>
      <c r="M1611" s="3">
        <v>7.7179880567888901</v>
      </c>
      <c r="N1611" s="3">
        <v>8.14443023320454</v>
      </c>
      <c r="O1611" s="3">
        <v>8.4792648174752294</v>
      </c>
      <c r="P1611" s="3">
        <v>8.5721906778591404</v>
      </c>
    </row>
    <row r="1612" spans="1:16" x14ac:dyDescent="0.3">
      <c r="A1612" s="3" t="str">
        <f t="shared" si="25"/>
        <v>PTC</v>
      </c>
      <c r="C1612" s="3" t="s">
        <v>850</v>
      </c>
      <c r="D1612" s="3" t="s">
        <v>720</v>
      </c>
      <c r="E1612" s="3" t="s">
        <v>1439</v>
      </c>
      <c r="F1612" s="3" t="s">
        <v>2</v>
      </c>
      <c r="G1612" s="3">
        <v>1.97398569851214</v>
      </c>
    </row>
    <row r="1613" spans="1:16" x14ac:dyDescent="0.3">
      <c r="A1613" s="3" t="str">
        <f t="shared" si="25"/>
        <v>PTC</v>
      </c>
      <c r="C1613" s="3" t="s">
        <v>850</v>
      </c>
      <c r="D1613" s="3" t="s">
        <v>720</v>
      </c>
      <c r="E1613" s="3" t="s">
        <v>1439</v>
      </c>
      <c r="F1613" s="3" t="s">
        <v>3</v>
      </c>
      <c r="G1613" s="3">
        <v>1.9202398351977501</v>
      </c>
    </row>
    <row r="1614" spans="1:16" x14ac:dyDescent="0.3">
      <c r="A1614" s="3" t="str">
        <f t="shared" si="25"/>
        <v>PTC</v>
      </c>
      <c r="C1614" s="3" t="s">
        <v>850</v>
      </c>
      <c r="D1614" s="3" t="s">
        <v>720</v>
      </c>
      <c r="E1614" s="3" t="s">
        <v>1439</v>
      </c>
      <c r="F1614" s="3" t="s">
        <v>4</v>
      </c>
      <c r="G1614" s="3">
        <v>1.94103155932564</v>
      </c>
    </row>
    <row r="1615" spans="1:16" x14ac:dyDescent="0.3">
      <c r="A1615" s="3" t="str">
        <f t="shared" si="25"/>
        <v>PTC</v>
      </c>
      <c r="C1615" s="3" t="s">
        <v>850</v>
      </c>
      <c r="D1615" s="3" t="s">
        <v>720</v>
      </c>
      <c r="E1615" s="3" t="s">
        <v>1439</v>
      </c>
      <c r="F1615" s="3" t="s">
        <v>5</v>
      </c>
      <c r="G1615" s="3">
        <v>1.6918917352373599</v>
      </c>
    </row>
    <row r="1616" spans="1:16" x14ac:dyDescent="0.3">
      <c r="A1616" s="3" t="str">
        <f t="shared" si="25"/>
        <v>PTC</v>
      </c>
      <c r="C1616" s="3" t="s">
        <v>850</v>
      </c>
      <c r="D1616" s="3" t="s">
        <v>720</v>
      </c>
      <c r="E1616" s="3" t="s">
        <v>1439</v>
      </c>
      <c r="F1616" s="3" t="s">
        <v>6</v>
      </c>
      <c r="G1616" s="3">
        <v>3.90512374480782</v>
      </c>
    </row>
    <row r="1617" spans="1:16" x14ac:dyDescent="0.3">
      <c r="A1617" s="3" t="str">
        <f t="shared" si="25"/>
        <v>PTC</v>
      </c>
      <c r="C1617" s="3" t="s">
        <v>850</v>
      </c>
      <c r="D1617" s="3" t="s">
        <v>720</v>
      </c>
      <c r="E1617" s="3" t="s">
        <v>1439</v>
      </c>
      <c r="F1617" s="3" t="s">
        <v>7</v>
      </c>
      <c r="G1617" s="3">
        <v>10.7163718842551</v>
      </c>
    </row>
    <row r="1618" spans="1:16" x14ac:dyDescent="0.3">
      <c r="A1618" s="3" t="str">
        <f t="shared" si="25"/>
        <v>PTC</v>
      </c>
      <c r="C1618" s="3" t="s">
        <v>850</v>
      </c>
      <c r="D1618" s="3" t="s">
        <v>720</v>
      </c>
      <c r="E1618" s="3" t="s">
        <v>1439</v>
      </c>
      <c r="F1618" s="3" t="s">
        <v>8</v>
      </c>
      <c r="G1618" s="3">
        <v>6.7196532708551899</v>
      </c>
    </row>
    <row r="1619" spans="1:16" x14ac:dyDescent="0.3">
      <c r="A1619" s="3" t="str">
        <f t="shared" si="25"/>
        <v>NGA</v>
      </c>
      <c r="C1619" s="3" t="s">
        <v>850</v>
      </c>
      <c r="D1619" s="3" t="s">
        <v>1267</v>
      </c>
      <c r="E1619" s="3" t="s">
        <v>1274</v>
      </c>
      <c r="F1619" s="3" t="s">
        <v>2</v>
      </c>
      <c r="G1619" s="3">
        <v>1.6865889779016843E-2</v>
      </c>
      <c r="H1619" s="3">
        <v>2.6182286037902368E-2</v>
      </c>
      <c r="I1619" s="3">
        <v>5.8982918110511907E-2</v>
      </c>
      <c r="J1619" s="3">
        <v>5.9855144924401693E-2</v>
      </c>
      <c r="K1619" s="3">
        <v>6.2372915839790162E-2</v>
      </c>
      <c r="L1619" s="3">
        <v>6.3447871073444309E-2</v>
      </c>
      <c r="M1619" s="3">
        <v>6.3447871073444309E-2</v>
      </c>
      <c r="N1619" s="3">
        <v>6.3447871073444309E-2</v>
      </c>
      <c r="O1619" s="3">
        <v>6.3447871073444309E-2</v>
      </c>
      <c r="P1619" s="3">
        <v>6.3447871073444309E-2</v>
      </c>
    </row>
    <row r="1620" spans="1:16" x14ac:dyDescent="0.3">
      <c r="A1620" s="3" t="str">
        <f t="shared" si="25"/>
        <v>NGA</v>
      </c>
      <c r="C1620" s="3" t="s">
        <v>850</v>
      </c>
      <c r="D1620" s="3" t="s">
        <v>1267</v>
      </c>
      <c r="E1620" s="3" t="s">
        <v>1274</v>
      </c>
      <c r="F1620" s="3" t="s">
        <v>6</v>
      </c>
      <c r="G1620" s="3">
        <v>2.1140792346098984</v>
      </c>
      <c r="H1620" s="3">
        <v>2.0904770062823648</v>
      </c>
      <c r="I1620" s="3">
        <v>2.447183218023143</v>
      </c>
      <c r="J1620" s="3">
        <v>2.4833716415470803</v>
      </c>
      <c r="K1620" s="3">
        <v>2.5518860381607285</v>
      </c>
      <c r="L1620" s="3">
        <v>2.5518860381607285</v>
      </c>
      <c r="M1620" s="3">
        <v>2.5518860381607285</v>
      </c>
      <c r="N1620" s="3">
        <v>2.5518860381607285</v>
      </c>
      <c r="O1620" s="3">
        <v>2.5518860381607285</v>
      </c>
      <c r="P1620" s="3">
        <v>2.5518860381607285</v>
      </c>
    </row>
    <row r="1621" spans="1:16" x14ac:dyDescent="0.3">
      <c r="A1621" s="3" t="str">
        <f t="shared" si="25"/>
        <v>NGA</v>
      </c>
      <c r="C1621" s="3" t="s">
        <v>850</v>
      </c>
      <c r="D1621" s="3" t="s">
        <v>1267</v>
      </c>
      <c r="E1621" s="3" t="s">
        <v>1275</v>
      </c>
      <c r="F1621" s="3" t="s">
        <v>1</v>
      </c>
      <c r="G1621" s="3">
        <v>1.7418053845402657</v>
      </c>
      <c r="H1621" s="3">
        <v>3.2610383147466826</v>
      </c>
      <c r="I1621" s="3">
        <v>3.6225856358781514</v>
      </c>
      <c r="J1621" s="3">
        <v>3.2017299606047396</v>
      </c>
      <c r="K1621" s="3">
        <v>3.0530923876331557</v>
      </c>
      <c r="L1621" s="3">
        <v>2.9946725750649583</v>
      </c>
      <c r="M1621" s="3">
        <v>2.8866244841906248</v>
      </c>
      <c r="N1621" s="3">
        <v>0.67478490067331842</v>
      </c>
    </row>
    <row r="1622" spans="1:16" x14ac:dyDescent="0.3">
      <c r="A1622" s="3" t="str">
        <f t="shared" si="25"/>
        <v>NGA</v>
      </c>
      <c r="C1622" s="3" t="s">
        <v>850</v>
      </c>
      <c r="D1622" s="3" t="s">
        <v>1267</v>
      </c>
      <c r="E1622" s="3" t="s">
        <v>1275</v>
      </c>
      <c r="F1622" s="3" t="s">
        <v>6</v>
      </c>
      <c r="H1622" s="3">
        <v>9.0223025010182908E-2</v>
      </c>
    </row>
    <row r="1623" spans="1:16" x14ac:dyDescent="0.3">
      <c r="A1623" s="3" t="str">
        <f t="shared" si="25"/>
        <v>NGA</v>
      </c>
      <c r="C1623" s="3" t="s">
        <v>850</v>
      </c>
      <c r="D1623" s="3" t="s">
        <v>1267</v>
      </c>
      <c r="E1623" s="3" t="s">
        <v>1276</v>
      </c>
      <c r="F1623" s="3" t="s">
        <v>1</v>
      </c>
      <c r="H1623" s="3">
        <v>2.0417860428126273</v>
      </c>
      <c r="I1623" s="3">
        <v>1.7804262090918415</v>
      </c>
      <c r="J1623" s="3">
        <v>2.281180471242843</v>
      </c>
      <c r="K1623" s="3">
        <v>2.6604533961866399</v>
      </c>
      <c r="L1623" s="3">
        <v>3.2809078590050604</v>
      </c>
      <c r="M1623" s="3">
        <v>3.8488129226016876</v>
      </c>
      <c r="N1623" s="3">
        <v>6.4328057882606471</v>
      </c>
      <c r="O1623" s="3">
        <v>7.3997986280224977</v>
      </c>
      <c r="P1623" s="3">
        <v>7.4808944150958725</v>
      </c>
    </row>
    <row r="1624" spans="1:16" x14ac:dyDescent="0.3">
      <c r="A1624" s="3" t="str">
        <f t="shared" si="25"/>
        <v>NGA</v>
      </c>
      <c r="C1624" s="3" t="s">
        <v>850</v>
      </c>
      <c r="D1624" s="3" t="s">
        <v>1267</v>
      </c>
      <c r="E1624" s="3" t="s">
        <v>1276</v>
      </c>
      <c r="F1624" s="3" t="s">
        <v>2</v>
      </c>
      <c r="H1624" s="3">
        <v>2.402481455474801E-2</v>
      </c>
      <c r="L1624" s="3">
        <v>5.0605937346200284E-3</v>
      </c>
      <c r="M1624" s="3">
        <v>1.0080702322736151E-2</v>
      </c>
      <c r="N1624" s="3">
        <v>1.4143378325483392E-2</v>
      </c>
      <c r="O1624" s="3">
        <v>1.7333317092422734E-2</v>
      </c>
      <c r="P1624" s="3">
        <v>1.8218613350381024E-2</v>
      </c>
    </row>
    <row r="1625" spans="1:16" x14ac:dyDescent="0.3">
      <c r="A1625" s="3" t="str">
        <f t="shared" si="25"/>
        <v>NGA</v>
      </c>
      <c r="C1625" s="3" t="s">
        <v>850</v>
      </c>
      <c r="D1625" s="3" t="s">
        <v>1267</v>
      </c>
      <c r="E1625" s="3" t="s">
        <v>1276</v>
      </c>
      <c r="F1625" s="3" t="s">
        <v>5</v>
      </c>
      <c r="H1625" s="3">
        <v>4.1200271499421577E-2</v>
      </c>
      <c r="I1625" s="3">
        <v>4.1200271499421577E-2</v>
      </c>
      <c r="J1625" s="3">
        <v>4.1200271499421577E-2</v>
      </c>
      <c r="K1625" s="3">
        <v>4.1200271499421577E-2</v>
      </c>
      <c r="L1625" s="3">
        <v>4.4090539353038485E-2</v>
      </c>
      <c r="M1625" s="3">
        <v>4.7321370694551806E-2</v>
      </c>
      <c r="N1625" s="3">
        <v>4.9936019507360763E-2</v>
      </c>
      <c r="O1625" s="3">
        <v>5.1988993853400424E-2</v>
      </c>
      <c r="P1625" s="3">
        <v>5.2558751030268441E-2</v>
      </c>
    </row>
    <row r="1626" spans="1:16" x14ac:dyDescent="0.3">
      <c r="A1626" s="3" t="str">
        <f t="shared" si="25"/>
        <v>NGA</v>
      </c>
      <c r="C1626" s="3" t="s">
        <v>850</v>
      </c>
      <c r="D1626" s="3" t="s">
        <v>1267</v>
      </c>
      <c r="E1626" s="3" t="s">
        <v>1276</v>
      </c>
      <c r="F1626" s="3" t="s">
        <v>6</v>
      </c>
      <c r="K1626" s="3">
        <v>3.5947147988490108E-2</v>
      </c>
      <c r="L1626" s="3">
        <v>0.29050919662073543</v>
      </c>
      <c r="M1626" s="3">
        <v>0.49879196531105119</v>
      </c>
      <c r="N1626" s="3">
        <v>0.66735114909982218</v>
      </c>
      <c r="O1626" s="3">
        <v>0.79970073211552195</v>
      </c>
      <c r="P1626" s="3">
        <v>0.83643140287337325</v>
      </c>
    </row>
    <row r="1627" spans="1:16" x14ac:dyDescent="0.3">
      <c r="A1627" s="3" t="str">
        <f t="shared" si="25"/>
        <v>ELC</v>
      </c>
      <c r="C1627" s="3" t="s">
        <v>850</v>
      </c>
      <c r="D1627" s="3" t="s">
        <v>750</v>
      </c>
      <c r="E1627" s="3" t="s">
        <v>1445</v>
      </c>
      <c r="F1627" s="3" t="s">
        <v>0</v>
      </c>
      <c r="G1627" s="3">
        <v>0.202566980188117</v>
      </c>
      <c r="H1627" s="3">
        <v>0.2067398984029814</v>
      </c>
      <c r="I1627" s="3">
        <v>0.1797309677112324</v>
      </c>
      <c r="J1627" s="3">
        <v>0.20059555878555299</v>
      </c>
      <c r="K1627" s="3">
        <v>0.22146014985987339</v>
      </c>
      <c r="L1627" s="3">
        <v>0.26531726835530711</v>
      </c>
      <c r="M1627" s="3">
        <v>0.3118836220257058</v>
      </c>
      <c r="N1627" s="3">
        <v>0.35354814845891119</v>
      </c>
      <c r="O1627" s="3">
        <v>0.41358048018786708</v>
      </c>
      <c r="P1627" s="3">
        <v>0.41811298657689278</v>
      </c>
    </row>
    <row r="1628" spans="1:16" x14ac:dyDescent="0.3">
      <c r="A1628" s="3" t="str">
        <f t="shared" si="25"/>
        <v>ELC</v>
      </c>
      <c r="C1628" s="3" t="s">
        <v>850</v>
      </c>
      <c r="D1628" s="3" t="s">
        <v>750</v>
      </c>
      <c r="E1628" s="3" t="s">
        <v>1445</v>
      </c>
      <c r="F1628" s="3" t="s">
        <v>1</v>
      </c>
      <c r="G1628" s="3">
        <v>0.55759874459936098</v>
      </c>
      <c r="H1628" s="3">
        <v>0.61842576750272105</v>
      </c>
      <c r="I1628" s="3">
        <v>0.54407926822280606</v>
      </c>
      <c r="J1628" s="3">
        <v>0.84353754354416299</v>
      </c>
      <c r="K1628" s="3">
        <v>0.87902044640667187</v>
      </c>
      <c r="L1628" s="3">
        <v>0.96548863408761121</v>
      </c>
      <c r="M1628" s="3">
        <v>1.0362369393852247</v>
      </c>
      <c r="N1628" s="3">
        <v>1.0934921634750121</v>
      </c>
      <c r="O1628" s="3">
        <v>1.1384479164836909</v>
      </c>
      <c r="P1628" s="3">
        <v>1.1509243816512251</v>
      </c>
    </row>
    <row r="1629" spans="1:16" x14ac:dyDescent="0.3">
      <c r="A1629" s="3" t="str">
        <f t="shared" si="25"/>
        <v>ELC</v>
      </c>
      <c r="C1629" s="3" t="s">
        <v>850</v>
      </c>
      <c r="D1629" s="3" t="s">
        <v>750</v>
      </c>
      <c r="E1629" s="3" t="s">
        <v>1445</v>
      </c>
      <c r="F1629" s="3" t="s">
        <v>2</v>
      </c>
      <c r="G1629" s="3">
        <v>5.3528234636931904</v>
      </c>
      <c r="H1629" s="3">
        <v>5.5974200254042499</v>
      </c>
      <c r="I1629" s="3">
        <v>6.1673546203890917</v>
      </c>
      <c r="J1629" s="3">
        <v>6.34628657151044</v>
      </c>
      <c r="K1629" s="3">
        <v>6.7086746752016202</v>
      </c>
      <c r="L1629" s="3">
        <v>7.4743966317075339</v>
      </c>
      <c r="M1629" s="3">
        <v>8.1157619086334414</v>
      </c>
      <c r="N1629" s="3">
        <v>8.6503862612068527</v>
      </c>
      <c r="O1629" s="3">
        <v>9.0060217574436727</v>
      </c>
      <c r="P1629" s="3">
        <v>9.1047204463585416</v>
      </c>
    </row>
    <row r="1630" spans="1:16" x14ac:dyDescent="0.3">
      <c r="A1630" s="3" t="str">
        <f t="shared" si="25"/>
        <v>ELC</v>
      </c>
      <c r="C1630" s="3" t="s">
        <v>850</v>
      </c>
      <c r="D1630" s="3" t="s">
        <v>750</v>
      </c>
      <c r="E1630" s="3" t="s">
        <v>1445</v>
      </c>
      <c r="F1630" s="3" t="s">
        <v>3</v>
      </c>
      <c r="G1630" s="3">
        <v>4.5021413275233204</v>
      </c>
      <c r="H1630" s="3">
        <v>4.5132074881574864</v>
      </c>
      <c r="I1630" s="3">
        <v>4.5574721306942019</v>
      </c>
      <c r="J1630" s="3">
        <v>4.6128029338650904</v>
      </c>
      <c r="K1630" s="3">
        <v>4.6681337370359799</v>
      </c>
      <c r="L1630" s="3">
        <v>5.0625865627861169</v>
      </c>
      <c r="M1630" s="3">
        <v>5.4969985150537495</v>
      </c>
      <c r="N1630" s="3">
        <v>5.8591123012013382</v>
      </c>
      <c r="O1630" s="3">
        <v>6.0999926790047594</v>
      </c>
      <c r="P1630" s="3">
        <v>6.1668436478368642</v>
      </c>
    </row>
    <row r="1631" spans="1:16" x14ac:dyDescent="0.3">
      <c r="A1631" s="3" t="str">
        <f t="shared" si="25"/>
        <v>ELC</v>
      </c>
      <c r="C1631" s="3" t="s">
        <v>850</v>
      </c>
      <c r="D1631" s="3" t="s">
        <v>750</v>
      </c>
      <c r="E1631" s="3" t="s">
        <v>1445</v>
      </c>
      <c r="F1631" s="3" t="s">
        <v>4</v>
      </c>
      <c r="G1631" s="3">
        <v>2.2237298670072798</v>
      </c>
      <c r="H1631" s="3">
        <v>2.2445038324174567</v>
      </c>
      <c r="I1631" s="3">
        <v>2.3275996940581924</v>
      </c>
      <c r="J1631" s="3">
        <v>2.43146952110911</v>
      </c>
      <c r="K1631" s="3">
        <v>2.5353393481600279</v>
      </c>
      <c r="L1631" s="3">
        <v>2.8389273902321808</v>
      </c>
      <c r="M1631" s="3">
        <v>3.1660484525463746</v>
      </c>
      <c r="N1631" s="3">
        <v>3.4505911515417265</v>
      </c>
      <c r="O1631" s="3">
        <v>3.5924521805679288</v>
      </c>
      <c r="P1631" s="3">
        <v>3.6318225407292628</v>
      </c>
    </row>
    <row r="1632" spans="1:16" x14ac:dyDescent="0.3">
      <c r="A1632" s="3" t="str">
        <f t="shared" si="25"/>
        <v>ELC</v>
      </c>
      <c r="C1632" s="3" t="s">
        <v>850</v>
      </c>
      <c r="D1632" s="3" t="s">
        <v>750</v>
      </c>
      <c r="E1632" s="3" t="s">
        <v>1445</v>
      </c>
      <c r="F1632" s="3" t="s">
        <v>5</v>
      </c>
      <c r="G1632" s="3">
        <v>1.9383044883089</v>
      </c>
      <c r="H1632" s="3">
        <v>2.2872827707375638</v>
      </c>
      <c r="I1632" s="3">
        <v>2.0288421722963843</v>
      </c>
      <c r="J1632" s="3">
        <v>2.1193798562838801</v>
      </c>
      <c r="K1632" s="3">
        <v>2.2099175402713773</v>
      </c>
      <c r="L1632" s="3">
        <v>2.4745387396697165</v>
      </c>
      <c r="M1632" s="3">
        <v>2.7596723940363375</v>
      </c>
      <c r="N1632" s="3">
        <v>3.0076928027923966</v>
      </c>
      <c r="O1632" s="3">
        <v>3.1313453531121187</v>
      </c>
      <c r="P1632" s="3">
        <v>3.1656623566921258</v>
      </c>
    </row>
    <row r="1633" spans="1:16" x14ac:dyDescent="0.3">
      <c r="A1633" s="3" t="str">
        <f t="shared" si="25"/>
        <v>ELC</v>
      </c>
      <c r="C1633" s="3" t="s">
        <v>850</v>
      </c>
      <c r="D1633" s="3" t="s">
        <v>750</v>
      </c>
      <c r="E1633" s="3" t="s">
        <v>1445</v>
      </c>
      <c r="F1633" s="3" t="s">
        <v>6</v>
      </c>
      <c r="G1633" s="3">
        <v>6.7336743666377004</v>
      </c>
      <c r="H1633" s="3">
        <v>5.2536713643450597</v>
      </c>
      <c r="I1633" s="3">
        <v>6.3702227956294166</v>
      </c>
      <c r="J1633" s="3">
        <v>6.8022082939848199</v>
      </c>
      <c r="K1633" s="3">
        <v>7.4557890014762034</v>
      </c>
      <c r="L1633" s="3">
        <v>8.596553421337644</v>
      </c>
      <c r="M1633" s="3">
        <v>9.5871084095012424</v>
      </c>
      <c r="N1633" s="3">
        <v>10.448731894829246</v>
      </c>
      <c r="O1633" s="3">
        <v>10.878301146450701</v>
      </c>
      <c r="P1633" s="3">
        <v>10.997518497873163</v>
      </c>
    </row>
    <row r="1634" spans="1:16" x14ac:dyDescent="0.3">
      <c r="A1634" s="3" t="str">
        <f t="shared" si="25"/>
        <v>ELC</v>
      </c>
      <c r="C1634" s="3" t="s">
        <v>850</v>
      </c>
      <c r="D1634" s="3" t="s">
        <v>750</v>
      </c>
      <c r="E1634" s="3" t="s">
        <v>1445</v>
      </c>
      <c r="F1634" s="3" t="s">
        <v>7</v>
      </c>
      <c r="G1634" s="3">
        <v>2.6475016520166998</v>
      </c>
      <c r="H1634" s="3">
        <v>2.6547200538681359</v>
      </c>
      <c r="I1634" s="3">
        <v>2.6835936612738203</v>
      </c>
      <c r="J1634" s="3">
        <v>2.7196856705309398</v>
      </c>
      <c r="K1634" s="3">
        <v>2.7557776797880567</v>
      </c>
      <c r="L1634" s="3">
        <v>2.9927878398419958</v>
      </c>
      <c r="M1634" s="3">
        <v>3.2534724099100378</v>
      </c>
      <c r="N1634" s="3">
        <v>3.4713227997253218</v>
      </c>
      <c r="O1634" s="3">
        <v>3.6140361502279252</v>
      </c>
      <c r="P1634" s="3">
        <v>3.6536430531785573</v>
      </c>
    </row>
    <row r="1635" spans="1:16" x14ac:dyDescent="0.3">
      <c r="A1635" s="3" t="str">
        <f t="shared" si="25"/>
        <v>ELC</v>
      </c>
      <c r="C1635" s="3" t="s">
        <v>850</v>
      </c>
      <c r="D1635" s="3" t="s">
        <v>750</v>
      </c>
      <c r="E1635" s="3" t="s">
        <v>1445</v>
      </c>
      <c r="F1635" s="3" t="s">
        <v>8</v>
      </c>
      <c r="G1635" s="3">
        <v>1.66010412177902</v>
      </c>
      <c r="H1635" s="3">
        <v>1.6646303885169738</v>
      </c>
      <c r="I1635" s="3">
        <v>1.682735455468797</v>
      </c>
      <c r="J1635" s="3">
        <v>1.7958921239176799</v>
      </c>
      <c r="K1635" s="3">
        <v>1.7279981228483501</v>
      </c>
      <c r="L1635" s="3">
        <v>1.8766142883224399</v>
      </c>
      <c r="M1635" s="3">
        <v>2.0400753871755808</v>
      </c>
      <c r="N1635" s="3">
        <v>2.1766775040384756</v>
      </c>
      <c r="O1635" s="3">
        <v>2.2661652749797359</v>
      </c>
      <c r="P1635" s="3">
        <v>2.2910006071084856</v>
      </c>
    </row>
    <row r="1636" spans="1:16" x14ac:dyDescent="0.3">
      <c r="A1636" s="3" t="str">
        <f t="shared" si="25"/>
        <v>NGA</v>
      </c>
      <c r="C1636" s="3" t="s">
        <v>850</v>
      </c>
      <c r="D1636" s="3" t="s">
        <v>750</v>
      </c>
      <c r="E1636" s="3" t="s">
        <v>1446</v>
      </c>
      <c r="F1636" s="3" t="s">
        <v>0</v>
      </c>
      <c r="G1636" s="3">
        <v>0.125187546445922</v>
      </c>
      <c r="H1636" s="3">
        <v>0.12101462823105801</v>
      </c>
      <c r="I1636" s="3">
        <v>0.1480235589228073</v>
      </c>
      <c r="J1636" s="3">
        <v>0.12715896784848671</v>
      </c>
      <c r="K1636" s="3">
        <v>0.10629437677416631</v>
      </c>
      <c r="L1636" s="3">
        <v>8.5429785699845995E-2</v>
      </c>
      <c r="M1636" s="3">
        <v>6.4565194625525596E-2</v>
      </c>
      <c r="N1636" s="3">
        <v>4.3700603551205301E-2</v>
      </c>
    </row>
    <row r="1637" spans="1:16" x14ac:dyDescent="0.3">
      <c r="A1637" s="3" t="str">
        <f t="shared" si="25"/>
        <v>NGA</v>
      </c>
      <c r="C1637" s="3" t="s">
        <v>850</v>
      </c>
      <c r="D1637" s="3" t="s">
        <v>750</v>
      </c>
      <c r="E1637" s="3" t="s">
        <v>1446</v>
      </c>
      <c r="F1637" s="3" t="s">
        <v>1</v>
      </c>
      <c r="G1637" s="3">
        <v>0.25437940295638101</v>
      </c>
      <c r="H1637" s="3">
        <v>0.197405803707976</v>
      </c>
      <c r="I1637" s="3">
        <v>0.28716599760770201</v>
      </c>
    </row>
    <row r="1638" spans="1:16" x14ac:dyDescent="0.3">
      <c r="A1638" s="3" t="str">
        <f t="shared" si="25"/>
        <v>NGA</v>
      </c>
      <c r="C1638" s="3" t="s">
        <v>850</v>
      </c>
      <c r="D1638" s="3" t="s">
        <v>750</v>
      </c>
      <c r="E1638" s="3" t="s">
        <v>1446</v>
      </c>
      <c r="F1638" s="3" t="s">
        <v>2</v>
      </c>
      <c r="I1638" s="3">
        <v>0.40845165185933202</v>
      </c>
      <c r="J1638" s="3">
        <v>0.32676132148746601</v>
      </c>
      <c r="K1638" s="3">
        <v>0.24507099111559999</v>
      </c>
      <c r="L1638" s="3">
        <v>0.163380660743733</v>
      </c>
      <c r="M1638" s="3">
        <v>8.1690330371866501E-2</v>
      </c>
    </row>
    <row r="1639" spans="1:16" x14ac:dyDescent="0.3">
      <c r="A1639" s="3" t="str">
        <f t="shared" si="25"/>
        <v>NGA</v>
      </c>
      <c r="C1639" s="3" t="s">
        <v>850</v>
      </c>
      <c r="D1639" s="3" t="s">
        <v>750</v>
      </c>
      <c r="E1639" s="3" t="s">
        <v>1446</v>
      </c>
      <c r="F1639" s="3" t="s">
        <v>3</v>
      </c>
      <c r="G1639" s="3">
        <v>0.331984819025339</v>
      </c>
      <c r="H1639" s="3">
        <v>0.32091865839116102</v>
      </c>
      <c r="I1639" s="3">
        <v>0.27665401585444899</v>
      </c>
      <c r="J1639" s="3">
        <v>0.22132321268355901</v>
      </c>
      <c r="K1639" s="3">
        <v>0.165992409512669</v>
      </c>
      <c r="L1639" s="3">
        <v>0.11066160634178</v>
      </c>
      <c r="M1639" s="3">
        <v>5.53308031708898E-2</v>
      </c>
    </row>
    <row r="1640" spans="1:16" x14ac:dyDescent="0.3">
      <c r="A1640" s="3" t="str">
        <f t="shared" si="25"/>
        <v>NGA</v>
      </c>
      <c r="C1640" s="3" t="s">
        <v>850</v>
      </c>
      <c r="D1640" s="3" t="s">
        <v>750</v>
      </c>
      <c r="E1640" s="3" t="s">
        <v>1446</v>
      </c>
      <c r="F1640" s="3" t="s">
        <v>4</v>
      </c>
      <c r="G1640" s="3">
        <v>0.62321896230551099</v>
      </c>
      <c r="H1640" s="3">
        <v>0.60244499689532705</v>
      </c>
      <c r="I1640" s="3">
        <v>0.51934913525459303</v>
      </c>
      <c r="J1640" s="3">
        <v>0.41547930820367401</v>
      </c>
      <c r="K1640" s="3">
        <v>0.311609481152755</v>
      </c>
      <c r="L1640" s="3">
        <v>0.20773965410183701</v>
      </c>
      <c r="M1640" s="3">
        <v>0.103869827050919</v>
      </c>
    </row>
    <row r="1641" spans="1:16" x14ac:dyDescent="0.3">
      <c r="A1641" s="3" t="str">
        <f t="shared" si="25"/>
        <v>NGA</v>
      </c>
      <c r="C1641" s="3" t="s">
        <v>850</v>
      </c>
      <c r="D1641" s="3" t="s">
        <v>750</v>
      </c>
      <c r="E1641" s="3" t="s">
        <v>1446</v>
      </c>
      <c r="F1641" s="3" t="s">
        <v>5</v>
      </c>
      <c r="G1641" s="3">
        <v>0.54322610392498305</v>
      </c>
      <c r="H1641" s="3">
        <v>0.19424782149629899</v>
      </c>
      <c r="I1641" s="3">
        <v>0.45268841993748599</v>
      </c>
      <c r="J1641" s="3">
        <v>0.36215073594998898</v>
      </c>
      <c r="K1641" s="3">
        <v>0.27161305196249202</v>
      </c>
      <c r="L1641" s="3">
        <v>0.18107536797499399</v>
      </c>
      <c r="M1641" s="3">
        <v>9.0537683987497203E-2</v>
      </c>
    </row>
    <row r="1642" spans="1:16" x14ac:dyDescent="0.3">
      <c r="A1642" s="3" t="str">
        <f t="shared" si="25"/>
        <v>NGA</v>
      </c>
      <c r="C1642" s="3" t="s">
        <v>850</v>
      </c>
      <c r="D1642" s="3" t="s">
        <v>750</v>
      </c>
      <c r="E1642" s="3" t="s">
        <v>1446</v>
      </c>
      <c r="F1642" s="3" t="s">
        <v>6</v>
      </c>
      <c r="G1642" s="3">
        <v>0.12802790689434401</v>
      </c>
      <c r="H1642" s="3">
        <v>1.8242631414411401</v>
      </c>
      <c r="I1642" s="3">
        <v>1.5726406391734</v>
      </c>
      <c r="J1642" s="3">
        <v>1.2581125113387199</v>
      </c>
      <c r="K1642" s="3">
        <v>0.94358438350403995</v>
      </c>
      <c r="L1642" s="3">
        <v>0.62905625566935996</v>
      </c>
      <c r="M1642" s="3">
        <v>0.31452812783467998</v>
      </c>
    </row>
    <row r="1643" spans="1:16" x14ac:dyDescent="0.3">
      <c r="A1643" s="3" t="str">
        <f t="shared" si="25"/>
        <v>NGA</v>
      </c>
      <c r="C1643" s="3" t="s">
        <v>850</v>
      </c>
      <c r="D1643" s="3" t="s">
        <v>750</v>
      </c>
      <c r="E1643" s="3" t="s">
        <v>1446</v>
      </c>
      <c r="F1643" s="3" t="s">
        <v>7</v>
      </c>
      <c r="G1643" s="3">
        <v>0.21655205554271501</v>
      </c>
      <c r="H1643" s="3">
        <v>0.20933365369128301</v>
      </c>
      <c r="I1643" s="3">
        <v>0.18046004628558901</v>
      </c>
      <c r="J1643" s="3">
        <v>0.14436803702847101</v>
      </c>
      <c r="K1643" s="3">
        <v>0.10827602777135401</v>
      </c>
      <c r="L1643" s="3">
        <v>7.2184018514235698E-2</v>
      </c>
      <c r="M1643" s="3">
        <v>3.6092009257117801E-2</v>
      </c>
    </row>
    <row r="1644" spans="1:16" x14ac:dyDescent="0.3">
      <c r="A1644" s="3" t="str">
        <f t="shared" si="25"/>
        <v>NGA</v>
      </c>
      <c r="C1644" s="3" t="s">
        <v>850</v>
      </c>
      <c r="D1644" s="3" t="s">
        <v>750</v>
      </c>
      <c r="E1644" s="3" t="s">
        <v>1446</v>
      </c>
      <c r="F1644" s="3" t="s">
        <v>8</v>
      </c>
      <c r="G1644" s="3">
        <v>0.13578800213866599</v>
      </c>
      <c r="H1644" s="3">
        <v>0.13126173540071001</v>
      </c>
      <c r="I1644" s="3">
        <v>0.113156668448888</v>
      </c>
      <c r="K1644" s="3">
        <v>6.7894001069332993E-2</v>
      </c>
      <c r="L1644" s="3">
        <v>4.5262667379555303E-2</v>
      </c>
      <c r="M1644" s="3">
        <v>2.26313336897777E-2</v>
      </c>
    </row>
    <row r="1645" spans="1:16" x14ac:dyDescent="0.3">
      <c r="A1645" s="3" t="str">
        <f t="shared" si="25"/>
        <v>PTC</v>
      </c>
      <c r="C1645" s="3" t="s">
        <v>850</v>
      </c>
      <c r="D1645" s="3" t="s">
        <v>1268</v>
      </c>
      <c r="E1645" s="3" t="s">
        <v>1450</v>
      </c>
      <c r="F1645" s="3" t="s">
        <v>1</v>
      </c>
      <c r="G1645" s="3">
        <v>1.4265838763272001</v>
      </c>
      <c r="H1645" s="3">
        <v>1.4333540487405401</v>
      </c>
      <c r="I1645" s="3">
        <v>1.46043473839388</v>
      </c>
      <c r="J1645" s="3">
        <v>1.4820313358422601</v>
      </c>
      <c r="K1645" s="3">
        <v>1.5443720986587399</v>
      </c>
      <c r="L1645" s="3">
        <v>1.6962901308523299</v>
      </c>
      <c r="M1645" s="3">
        <v>1.82058952476935</v>
      </c>
      <c r="N1645" s="3">
        <v>1.9211826007873101</v>
      </c>
      <c r="O1645" s="3">
        <v>2.00016644115713</v>
      </c>
      <c r="P1645" s="3">
        <v>2.0220866419594801</v>
      </c>
    </row>
    <row r="1646" spans="1:16" x14ac:dyDescent="0.3">
      <c r="A1646" s="3" t="str">
        <f t="shared" si="25"/>
        <v>PTC</v>
      </c>
      <c r="C1646" s="3" t="s">
        <v>850</v>
      </c>
      <c r="D1646" s="3" t="s">
        <v>1268</v>
      </c>
      <c r="E1646" s="3" t="s">
        <v>1450</v>
      </c>
      <c r="F1646" s="3" t="s">
        <v>2</v>
      </c>
      <c r="G1646" s="3">
        <v>1.41751987627979</v>
      </c>
      <c r="H1646" s="3">
        <v>1.4822932599429799</v>
      </c>
      <c r="I1646" s="3">
        <v>1.74138679459572</v>
      </c>
      <c r="J1646" s="3">
        <v>1.7671380511324799</v>
      </c>
      <c r="K1646" s="3">
        <v>1.84147165761343</v>
      </c>
      <c r="L1646" s="3">
        <v>2.02261501730495</v>
      </c>
      <c r="M1646" s="3">
        <v>2.1708265857187499</v>
      </c>
      <c r="N1646" s="3">
        <v>2.2907713183386198</v>
      </c>
      <c r="O1646" s="3">
        <v>2.3849497249394802</v>
      </c>
      <c r="P1646" s="3">
        <v>2.4110868382309101</v>
      </c>
    </row>
    <row r="1647" spans="1:16" x14ac:dyDescent="0.3">
      <c r="A1647" s="3" t="str">
        <f t="shared" si="25"/>
        <v>PTC</v>
      </c>
      <c r="C1647" s="3" t="s">
        <v>850</v>
      </c>
      <c r="D1647" s="3" t="s">
        <v>1268</v>
      </c>
      <c r="E1647" s="3" t="s">
        <v>1450</v>
      </c>
      <c r="F1647" s="3" t="s">
        <v>3</v>
      </c>
      <c r="G1647" s="3">
        <v>1.28015989013186</v>
      </c>
      <c r="H1647" s="3">
        <v>1.2801598901318301</v>
      </c>
      <c r="I1647" s="3">
        <v>1.2801598901318301</v>
      </c>
      <c r="J1647" s="3">
        <v>1.2801598901318301</v>
      </c>
      <c r="K1647" s="3">
        <v>1.2801598901318301</v>
      </c>
      <c r="L1647" s="3">
        <v>1.3699652443996899</v>
      </c>
      <c r="M1647" s="3">
        <v>1.4703524638199399</v>
      </c>
      <c r="N1647" s="3">
        <v>1.5515938832359799</v>
      </c>
      <c r="O1647" s="3">
        <v>1.6153831573747801</v>
      </c>
      <c r="P1647" s="3">
        <v>1.63308644568809</v>
      </c>
    </row>
    <row r="1648" spans="1:16" x14ac:dyDescent="0.3">
      <c r="A1648" s="3" t="str">
        <f t="shared" si="25"/>
        <v>PTC</v>
      </c>
      <c r="C1648" s="3" t="s">
        <v>850</v>
      </c>
      <c r="D1648" s="3" t="s">
        <v>1268</v>
      </c>
      <c r="E1648" s="3" t="s">
        <v>1450</v>
      </c>
      <c r="F1648" s="3" t="s">
        <v>4</v>
      </c>
      <c r="G1648" s="3">
        <v>1.6175262994380999</v>
      </c>
      <c r="H1648" s="3">
        <v>1.6175262994380299</v>
      </c>
      <c r="I1648" s="3">
        <v>1.6175262994380299</v>
      </c>
      <c r="J1648" s="3">
        <v>1.6175262994380299</v>
      </c>
      <c r="K1648" s="3">
        <v>1.6175262994380299</v>
      </c>
      <c r="L1648" s="3">
        <v>1.73099847074911</v>
      </c>
      <c r="M1648" s="3">
        <v>1.8578411946865001</v>
      </c>
      <c r="N1648" s="3">
        <v>1.9604925381023399</v>
      </c>
      <c r="O1648" s="3">
        <v>2.04109249232443</v>
      </c>
      <c r="P1648" s="3">
        <v>2.0634612094308298</v>
      </c>
    </row>
    <row r="1649" spans="1:16" x14ac:dyDescent="0.3">
      <c r="A1649" s="3" t="str">
        <f t="shared" si="25"/>
        <v>PTC</v>
      </c>
      <c r="C1649" s="3" t="s">
        <v>850</v>
      </c>
      <c r="D1649" s="3" t="s">
        <v>1268</v>
      </c>
      <c r="E1649" s="3" t="s">
        <v>1450</v>
      </c>
      <c r="F1649" s="3" t="s">
        <v>5</v>
      </c>
      <c r="G1649" s="3">
        <v>1.4099097793644699</v>
      </c>
      <c r="H1649" s="3">
        <v>1.4099097793644699</v>
      </c>
      <c r="I1649" s="3">
        <v>1.4099097793644699</v>
      </c>
      <c r="J1649" s="3">
        <v>1.4099097793644699</v>
      </c>
      <c r="K1649" s="3">
        <v>1.4099097793644699</v>
      </c>
      <c r="L1649" s="3">
        <v>1.50881730505528</v>
      </c>
      <c r="M1649" s="3">
        <v>1.6193792149189199</v>
      </c>
      <c r="N1649" s="3">
        <v>1.70885481293373</v>
      </c>
      <c r="O1649" s="3">
        <v>1.77910941325369</v>
      </c>
      <c r="P1649" s="3">
        <v>1.79860700844649</v>
      </c>
    </row>
    <row r="1650" spans="1:16" x14ac:dyDescent="0.3">
      <c r="A1650" s="3" t="str">
        <f t="shared" si="25"/>
        <v>PTC</v>
      </c>
      <c r="C1650" s="3" t="s">
        <v>850</v>
      </c>
      <c r="D1650" s="3" t="s">
        <v>1268</v>
      </c>
      <c r="E1650" s="3" t="s">
        <v>1450</v>
      </c>
      <c r="F1650" s="3" t="s">
        <v>6</v>
      </c>
      <c r="G1650" s="3">
        <v>3.8985540491891899</v>
      </c>
      <c r="H1650" s="3">
        <v>4.0214088468785896</v>
      </c>
      <c r="I1650" s="3">
        <v>4.5128280376361802</v>
      </c>
      <c r="J1650" s="3">
        <v>4.5795627762180304</v>
      </c>
      <c r="K1650" s="3">
        <v>4.7721993486918004</v>
      </c>
      <c r="L1650" s="3">
        <v>5.2416348784572104</v>
      </c>
      <c r="M1650" s="3">
        <v>5.6257272142412997</v>
      </c>
      <c r="N1650" s="3">
        <v>5.9365656529004003</v>
      </c>
      <c r="O1650" s="3">
        <v>6.1806303002074996</v>
      </c>
      <c r="P1650" s="3">
        <v>6.24836499192015</v>
      </c>
    </row>
    <row r="1651" spans="1:16" x14ac:dyDescent="0.3">
      <c r="A1651" s="3" t="str">
        <f t="shared" si="25"/>
        <v>ELC</v>
      </c>
      <c r="C1651" s="3" t="s">
        <v>850</v>
      </c>
      <c r="D1651" s="3" t="s">
        <v>799</v>
      </c>
      <c r="E1651" s="3" t="s">
        <v>1443</v>
      </c>
      <c r="F1651" s="3" t="s">
        <v>0</v>
      </c>
      <c r="G1651" s="3">
        <v>3.8584186702495603E-2</v>
      </c>
      <c r="H1651" s="3">
        <v>3.7298047145748699E-2</v>
      </c>
    </row>
    <row r="1652" spans="1:16" x14ac:dyDescent="0.3">
      <c r="A1652" s="3" t="str">
        <f t="shared" si="25"/>
        <v>ELC</v>
      </c>
      <c r="C1652" s="3" t="s">
        <v>850</v>
      </c>
      <c r="D1652" s="3" t="s">
        <v>799</v>
      </c>
      <c r="E1652" s="3" t="s">
        <v>1443</v>
      </c>
      <c r="F1652" s="3" t="s">
        <v>1</v>
      </c>
      <c r="G1652" s="3">
        <v>0.106209284685593</v>
      </c>
      <c r="H1652" s="3">
        <v>0.102668975196073</v>
      </c>
      <c r="I1652" s="3">
        <v>0.46184600603564718</v>
      </c>
      <c r="J1652" s="3">
        <v>0.4441444585880483</v>
      </c>
      <c r="K1652" s="3">
        <v>0.42644291114044947</v>
      </c>
      <c r="L1652" s="3">
        <v>0.40874136369285069</v>
      </c>
      <c r="M1652" s="3">
        <v>0.39103981624525175</v>
      </c>
    </row>
    <row r="1653" spans="1:16" x14ac:dyDescent="0.3">
      <c r="A1653" s="3" t="str">
        <f t="shared" si="25"/>
        <v>ELC</v>
      </c>
      <c r="C1653" s="3" t="s">
        <v>850</v>
      </c>
      <c r="D1653" s="3" t="s">
        <v>799</v>
      </c>
      <c r="E1653" s="3" t="s">
        <v>1443</v>
      </c>
      <c r="F1653" s="3" t="s">
        <v>2</v>
      </c>
      <c r="G1653" s="3">
        <v>1.2660868513066099</v>
      </c>
      <c r="H1653" s="3">
        <v>1.2238839562630599</v>
      </c>
      <c r="I1653" s="3">
        <v>1.0550723760888401</v>
      </c>
    </row>
    <row r="1654" spans="1:16" x14ac:dyDescent="0.3">
      <c r="A1654" s="3" t="str">
        <f t="shared" si="25"/>
        <v>ELC</v>
      </c>
      <c r="C1654" s="3" t="s">
        <v>850</v>
      </c>
      <c r="D1654" s="3" t="s">
        <v>799</v>
      </c>
      <c r="E1654" s="3" t="s">
        <v>1443</v>
      </c>
      <c r="F1654" s="3" t="s">
        <v>3</v>
      </c>
      <c r="G1654" s="3">
        <v>0.85755072905206098</v>
      </c>
      <c r="H1654" s="3">
        <v>0.82896570475032605</v>
      </c>
      <c r="I1654" s="3">
        <v>0.714625607543384</v>
      </c>
    </row>
    <row r="1655" spans="1:16" x14ac:dyDescent="0.3">
      <c r="A1655" s="3" t="str">
        <f t="shared" si="25"/>
        <v>ELC</v>
      </c>
      <c r="C1655" s="3" t="s">
        <v>850</v>
      </c>
      <c r="D1655" s="3" t="s">
        <v>799</v>
      </c>
      <c r="E1655" s="3" t="s">
        <v>1443</v>
      </c>
      <c r="F1655" s="3" t="s">
        <v>4</v>
      </c>
      <c r="G1655" s="3">
        <v>0.42356759371567199</v>
      </c>
      <c r="H1655" s="3">
        <v>0.40944867392515</v>
      </c>
      <c r="I1655" s="3">
        <v>0.35297299476305999</v>
      </c>
    </row>
    <row r="1656" spans="1:16" x14ac:dyDescent="0.3">
      <c r="A1656" s="3" t="str">
        <f t="shared" si="25"/>
        <v>ELC</v>
      </c>
      <c r="C1656" s="3" t="s">
        <v>850</v>
      </c>
      <c r="D1656" s="3" t="s">
        <v>799</v>
      </c>
      <c r="E1656" s="3" t="s">
        <v>1443</v>
      </c>
      <c r="F1656" s="3" t="s">
        <v>5</v>
      </c>
      <c r="G1656" s="3">
        <v>0.36920085491597998</v>
      </c>
      <c r="H1656" s="3">
        <v>0.35689415975211403</v>
      </c>
      <c r="I1656" s="3">
        <v>0.30766737909664998</v>
      </c>
    </row>
    <row r="1657" spans="1:16" x14ac:dyDescent="0.3">
      <c r="A1657" s="3" t="str">
        <f t="shared" si="25"/>
        <v>ELC</v>
      </c>
      <c r="C1657" s="3" t="s">
        <v>850</v>
      </c>
      <c r="D1657" s="3" t="s">
        <v>799</v>
      </c>
      <c r="E1657" s="3" t="s">
        <v>1443</v>
      </c>
      <c r="F1657" s="3" t="s">
        <v>6</v>
      </c>
      <c r="G1657" s="3">
        <v>1.2826046412643199</v>
      </c>
      <c r="I1657" s="3">
        <v>1.0688372010536</v>
      </c>
    </row>
    <row r="1658" spans="1:16" x14ac:dyDescent="0.3">
      <c r="A1658" s="3" t="str">
        <f t="shared" si="25"/>
        <v>ELC</v>
      </c>
      <c r="C1658" s="3" t="s">
        <v>850</v>
      </c>
      <c r="D1658" s="3" t="s">
        <v>799</v>
      </c>
      <c r="E1658" s="3" t="s">
        <v>1443</v>
      </c>
      <c r="F1658" s="3" t="s">
        <v>7</v>
      </c>
      <c r="G1658" s="3">
        <v>0.50428602895556296</v>
      </c>
      <c r="H1658" s="3">
        <v>0.48747649465704401</v>
      </c>
      <c r="I1658" s="3">
        <v>0.420238357462969</v>
      </c>
    </row>
    <row r="1659" spans="1:16" x14ac:dyDescent="0.3">
      <c r="A1659" s="3" t="str">
        <f t="shared" si="25"/>
        <v>ELC</v>
      </c>
      <c r="C1659" s="3" t="s">
        <v>850</v>
      </c>
      <c r="D1659" s="3" t="s">
        <v>799</v>
      </c>
      <c r="E1659" s="3" t="s">
        <v>1443</v>
      </c>
      <c r="F1659" s="3" t="s">
        <v>8</v>
      </c>
      <c r="G1659" s="3">
        <v>0.31621030891030499</v>
      </c>
      <c r="H1659" s="3">
        <v>0.305669965279945</v>
      </c>
      <c r="I1659" s="3">
        <v>0.26350859075857302</v>
      </c>
    </row>
    <row r="1660" spans="1:16" x14ac:dyDescent="0.3">
      <c r="A1660" s="3" t="str">
        <f t="shared" si="25"/>
        <v>NGA</v>
      </c>
      <c r="C1660" s="3" t="s">
        <v>850</v>
      </c>
      <c r="D1660" s="3" t="s">
        <v>799</v>
      </c>
      <c r="E1660" s="3" t="s">
        <v>1444</v>
      </c>
      <c r="F1660" s="3" t="s">
        <v>0</v>
      </c>
      <c r="G1660" s="3">
        <v>1.50225055735107</v>
      </c>
      <c r="H1660" s="3">
        <v>1.5035366969078161</v>
      </c>
      <c r="I1660" s="3">
        <v>1.5408347440535701</v>
      </c>
      <c r="J1660" s="3">
        <v>1.5408347440535652</v>
      </c>
      <c r="K1660" s="3">
        <v>1.5408347440535648</v>
      </c>
      <c r="L1660" s="3">
        <v>1.6489268746730559</v>
      </c>
      <c r="M1660" s="3">
        <v>1.7697556217178601</v>
      </c>
      <c r="N1660" s="3">
        <v>1.8675399708897134</v>
      </c>
      <c r="O1660" s="3">
        <v>1.9443184503973829</v>
      </c>
      <c r="P1660" s="3">
        <v>1.9656266025488658</v>
      </c>
    </row>
    <row r="1661" spans="1:16" x14ac:dyDescent="0.3">
      <c r="A1661" s="3" t="str">
        <f t="shared" si="25"/>
        <v>NGA</v>
      </c>
      <c r="C1661" s="3" t="s">
        <v>850</v>
      </c>
      <c r="D1661" s="3" t="s">
        <v>799</v>
      </c>
      <c r="E1661" s="3" t="s">
        <v>1444</v>
      </c>
      <c r="F1661" s="3" t="s">
        <v>1</v>
      </c>
      <c r="G1661" s="3">
        <v>3.71105040052724</v>
      </c>
      <c r="H1661" s="3">
        <v>3.7327063684398198</v>
      </c>
      <c r="I1661" s="3">
        <v>3.4459919712924298</v>
      </c>
      <c r="J1661" s="3">
        <v>3.5214817933346367</v>
      </c>
      <c r="K1661" s="3">
        <v>3.705995040110738</v>
      </c>
      <c r="L1661" s="3">
        <v>4.1301995555032978</v>
      </c>
      <c r="M1661" s="3">
        <v>4.4805019918081532</v>
      </c>
      <c r="N1661" s="3">
        <v>5.1407092226490887</v>
      </c>
      <c r="O1661" s="3">
        <v>5.3520545452972321</v>
      </c>
      <c r="P1661" s="3">
        <v>5.4107087192320318</v>
      </c>
    </row>
    <row r="1662" spans="1:16" x14ac:dyDescent="0.3">
      <c r="A1662" s="3" t="str">
        <f t="shared" si="25"/>
        <v>NGA</v>
      </c>
      <c r="C1662" s="3" t="s">
        <v>850</v>
      </c>
      <c r="D1662" s="3" t="s">
        <v>799</v>
      </c>
      <c r="E1662" s="3" t="s">
        <v>1444</v>
      </c>
      <c r="F1662" s="3" t="s">
        <v>2</v>
      </c>
      <c r="G1662" s="3">
        <v>4.0947561272541604</v>
      </c>
      <c r="H1662" s="3">
        <v>4.3819220346822298</v>
      </c>
      <c r="I1662" s="3">
        <v>5.5305856643944793</v>
      </c>
      <c r="J1662" s="3">
        <v>6.6830453470803892</v>
      </c>
      <c r="K1662" s="3">
        <v>6.9641636573334793</v>
      </c>
      <c r="L1662" s="3">
        <v>7.6492200887563389</v>
      </c>
      <c r="M1662" s="3">
        <v>8.2097335314022679</v>
      </c>
      <c r="N1662" s="3">
        <v>8.6633461321427294</v>
      </c>
      <c r="O1662" s="3">
        <v>9.0195144358163937</v>
      </c>
      <c r="P1662" s="3">
        <v>9.1183609935351733</v>
      </c>
    </row>
    <row r="1663" spans="1:16" x14ac:dyDescent="0.3">
      <c r="A1663" s="3" t="str">
        <f t="shared" si="25"/>
        <v>NGA</v>
      </c>
      <c r="C1663" s="3" t="s">
        <v>850</v>
      </c>
      <c r="D1663" s="3" t="s">
        <v>799</v>
      </c>
      <c r="E1663" s="3" t="s">
        <v>1444</v>
      </c>
      <c r="F1663" s="3" t="s">
        <v>3</v>
      </c>
      <c r="G1663" s="3">
        <v>3.9838178283040699</v>
      </c>
      <c r="H1663" s="3">
        <v>4.0124028526057973</v>
      </c>
      <c r="I1663" s="3">
        <v>4.1267429498127424</v>
      </c>
      <c r="J1663" s="3">
        <v>4.8413685573561223</v>
      </c>
      <c r="K1663" s="3">
        <v>4.8413685573561205</v>
      </c>
      <c r="L1663" s="3">
        <v>5.18099864714896</v>
      </c>
      <c r="M1663" s="3">
        <v>5.5606477295862682</v>
      </c>
      <c r="N1663" s="3">
        <v>5.8678903299424254</v>
      </c>
      <c r="O1663" s="3">
        <v>6.1091315908917618</v>
      </c>
      <c r="P1663" s="3">
        <v>6.1760827147807422</v>
      </c>
    </row>
    <row r="1664" spans="1:16" x14ac:dyDescent="0.3">
      <c r="A1664" s="3" t="str">
        <f t="shared" si="25"/>
        <v>NGA</v>
      </c>
      <c r="C1664" s="3" t="s">
        <v>850</v>
      </c>
      <c r="D1664" s="3" t="s">
        <v>799</v>
      </c>
      <c r="E1664" s="3" t="s">
        <v>1444</v>
      </c>
      <c r="F1664" s="3" t="s">
        <v>4</v>
      </c>
      <c r="G1664" s="3">
        <v>7.4786275476661297</v>
      </c>
      <c r="H1664" s="3">
        <v>7.4927464674566409</v>
      </c>
      <c r="I1664" s="3">
        <v>7.5492221466187406</v>
      </c>
      <c r="J1664" s="3">
        <v>7.9021951413818003</v>
      </c>
      <c r="K1664" s="3">
        <v>7.9021951413817906</v>
      </c>
      <c r="L1664" s="3">
        <v>8.4565473278828804</v>
      </c>
      <c r="M1664" s="3">
        <v>9.0762194514000409</v>
      </c>
      <c r="N1664" s="3">
        <v>9.5777080191462431</v>
      </c>
      <c r="O1664" s="3">
        <v>9.9714676549992198</v>
      </c>
      <c r="P1664" s="3">
        <v>10.080746847367569</v>
      </c>
    </row>
    <row r="1665" spans="1:16" x14ac:dyDescent="0.3">
      <c r="A1665" s="3" t="str">
        <f t="shared" si="25"/>
        <v>NGA</v>
      </c>
      <c r="C1665" s="3" t="s">
        <v>850</v>
      </c>
      <c r="D1665" s="3" t="s">
        <v>799</v>
      </c>
      <c r="E1665" s="3" t="s">
        <v>1444</v>
      </c>
      <c r="F1665" s="3" t="s">
        <v>5</v>
      </c>
      <c r="G1665" s="3">
        <v>6.5187132470997904</v>
      </c>
      <c r="H1665" s="3">
        <v>6.5310199422636517</v>
      </c>
      <c r="I1665" s="3">
        <v>6.5802467229191182</v>
      </c>
      <c r="J1665" s="3">
        <v>6.8879141020157686</v>
      </c>
      <c r="K1665" s="3">
        <v>6.8879141020157792</v>
      </c>
      <c r="L1665" s="3">
        <v>7.3711127796703595</v>
      </c>
      <c r="M1665" s="3">
        <v>7.9112472969576286</v>
      </c>
      <c r="N1665" s="3">
        <v>8.3483676307354866</v>
      </c>
      <c r="O1665" s="3">
        <v>8.6915865085373394</v>
      </c>
      <c r="P1665" s="3">
        <v>8.7868392423288899</v>
      </c>
    </row>
    <row r="1666" spans="1:16" x14ac:dyDescent="0.3">
      <c r="A1666" s="3" t="str">
        <f t="shared" si="25"/>
        <v>NGA</v>
      </c>
      <c r="C1666" s="3" t="s">
        <v>850</v>
      </c>
      <c r="D1666" s="3" t="s">
        <v>799</v>
      </c>
      <c r="E1666" s="3" t="s">
        <v>1444</v>
      </c>
      <c r="F1666" s="3" t="s">
        <v>6</v>
      </c>
      <c r="G1666" s="3">
        <v>17.763227798443399</v>
      </c>
      <c r="H1666" s="3">
        <v>19.646022115593599</v>
      </c>
      <c r="I1666" s="3">
        <v>20.977943618083469</v>
      </c>
      <c r="J1666" s="3">
        <v>22.372803912032811</v>
      </c>
      <c r="K1666" s="3">
        <v>23.313902543680172</v>
      </c>
      <c r="L1666" s="3">
        <v>25.607263191845757</v>
      </c>
      <c r="M1666" s="3">
        <v>27.483691779578503</v>
      </c>
      <c r="N1666" s="3">
        <v>29.002248850693768</v>
      </c>
      <c r="O1666" s="3">
        <v>30.194592042148148</v>
      </c>
      <c r="P1666" s="3">
        <v>30.525500264129249</v>
      </c>
    </row>
    <row r="1667" spans="1:16" x14ac:dyDescent="0.3">
      <c r="A1667" s="3" t="str">
        <f t="shared" si="25"/>
        <v>NGA</v>
      </c>
      <c r="C1667" s="3" t="s">
        <v>850</v>
      </c>
      <c r="D1667" s="3" t="s">
        <v>799</v>
      </c>
      <c r="E1667" s="3" t="s">
        <v>1444</v>
      </c>
      <c r="F1667" s="3" t="s">
        <v>7</v>
      </c>
      <c r="G1667" s="3">
        <v>2.5986246665125101</v>
      </c>
      <c r="H1667" s="3">
        <v>2.6154342008110278</v>
      </c>
      <c r="I1667" s="3">
        <v>2.6826723380050947</v>
      </c>
      <c r="J1667" s="3">
        <v>3.1029106954680694</v>
      </c>
      <c r="K1667" s="3">
        <v>3.1029106954680739</v>
      </c>
      <c r="L1667" s="3">
        <v>3.3205850628780214</v>
      </c>
      <c r="M1667" s="3">
        <v>3.5639082440122989</v>
      </c>
      <c r="N1667" s="3">
        <v>3.7608249504051701</v>
      </c>
      <c r="O1667" s="3">
        <v>3.9154403406444658</v>
      </c>
      <c r="P1667" s="3">
        <v>3.9583503888937459</v>
      </c>
    </row>
    <row r="1668" spans="1:16" x14ac:dyDescent="0.3">
      <c r="A1668" s="3" t="str">
        <f t="shared" si="25"/>
        <v>NGA</v>
      </c>
      <c r="C1668" s="3" t="s">
        <v>850</v>
      </c>
      <c r="D1668" s="3" t="s">
        <v>799</v>
      </c>
      <c r="E1668" s="3" t="s">
        <v>1444</v>
      </c>
      <c r="F1668" s="3" t="s">
        <v>8</v>
      </c>
      <c r="G1668" s="3">
        <v>1.6294560256639901</v>
      </c>
      <c r="H1668" s="3">
        <v>1.6399963692943464</v>
      </c>
      <c r="I1668" s="3">
        <v>1.6821577438157236</v>
      </c>
      <c r="J1668" s="3">
        <v>1.9456663345742986</v>
      </c>
      <c r="K1668" s="3">
        <v>1.9456663345742955</v>
      </c>
      <c r="L1668" s="3">
        <v>2.0821580773717501</v>
      </c>
      <c r="M1668" s="3">
        <v>2.2347327946028841</v>
      </c>
      <c r="N1668" s="3">
        <v>2.3582085384918114</v>
      </c>
      <c r="O1668" s="3">
        <v>2.4551594304511162</v>
      </c>
      <c r="P1668" s="3">
        <v>2.4820659851307307</v>
      </c>
    </row>
    <row r="1669" spans="1:16" x14ac:dyDescent="0.3">
      <c r="A1669" s="3" t="str">
        <f t="shared" si="25"/>
        <v>STM</v>
      </c>
      <c r="C1669" s="3" t="s">
        <v>850</v>
      </c>
      <c r="D1669" s="3" t="s">
        <v>782</v>
      </c>
      <c r="E1669" s="3" t="s">
        <v>1531</v>
      </c>
      <c r="F1669" s="3" t="s">
        <v>1</v>
      </c>
      <c r="G1669" s="3">
        <v>1.7418053845402699</v>
      </c>
      <c r="H1669" s="3">
        <v>5.3028243575593104</v>
      </c>
      <c r="I1669" s="3">
        <v>5.40301184497</v>
      </c>
      <c r="J1669" s="3">
        <v>5.4829104318475803</v>
      </c>
      <c r="K1669" s="3">
        <v>5.7135457838197903</v>
      </c>
      <c r="L1669" s="3">
        <v>6.2755804340700196</v>
      </c>
      <c r="M1669" s="3">
        <v>6.7354374067923199</v>
      </c>
      <c r="N1669" s="3">
        <v>7.1075906889339704</v>
      </c>
      <c r="O1669" s="3">
        <v>7.3997986280225003</v>
      </c>
      <c r="P1669" s="3">
        <v>7.4808944150958698</v>
      </c>
    </row>
    <row r="1670" spans="1:16" x14ac:dyDescent="0.3">
      <c r="A1670" s="3" t="str">
        <f t="shared" si="25"/>
        <v>STM</v>
      </c>
      <c r="C1670" s="3" t="s">
        <v>850</v>
      </c>
      <c r="D1670" s="3" t="s">
        <v>782</v>
      </c>
      <c r="E1670" s="3" t="s">
        <v>1531</v>
      </c>
      <c r="F1670" s="3" t="s">
        <v>2</v>
      </c>
      <c r="G1670" s="3">
        <v>4.8013146213181597E-2</v>
      </c>
      <c r="H1670" s="3">
        <v>5.0207100592650399E-2</v>
      </c>
      <c r="I1670" s="3">
        <v>5.89829181105119E-2</v>
      </c>
      <c r="J1670" s="3">
        <v>5.98551449244017E-2</v>
      </c>
      <c r="K1670" s="3">
        <v>6.23729158397901E-2</v>
      </c>
      <c r="L1670" s="3">
        <v>6.8508464808064301E-2</v>
      </c>
      <c r="M1670" s="3">
        <v>7.3528573396180505E-2</v>
      </c>
      <c r="N1670" s="3">
        <v>7.7591249398927697E-2</v>
      </c>
      <c r="O1670" s="3">
        <v>8.0781188165867004E-2</v>
      </c>
      <c r="P1670" s="3">
        <v>8.1666484423825306E-2</v>
      </c>
    </row>
    <row r="1671" spans="1:16" x14ac:dyDescent="0.3">
      <c r="A1671" s="3" t="str">
        <f t="shared" si="25"/>
        <v>STM</v>
      </c>
      <c r="C1671" s="3" t="s">
        <v>850</v>
      </c>
      <c r="D1671" s="3" t="s">
        <v>782</v>
      </c>
      <c r="E1671" s="3" t="s">
        <v>1531</v>
      </c>
      <c r="F1671" s="3" t="s">
        <v>5</v>
      </c>
      <c r="H1671" s="3">
        <v>4.1200271499421598E-2</v>
      </c>
      <c r="I1671" s="3">
        <v>4.1200271499421598E-2</v>
      </c>
      <c r="J1671" s="3">
        <v>4.1200271499421598E-2</v>
      </c>
      <c r="K1671" s="3">
        <v>4.1200271499421598E-2</v>
      </c>
      <c r="L1671" s="3">
        <v>4.4090539353038499E-2</v>
      </c>
      <c r="M1671" s="3">
        <v>4.73213706945518E-2</v>
      </c>
      <c r="N1671" s="3">
        <v>4.99360195073607E-2</v>
      </c>
      <c r="O1671" s="3">
        <v>5.1988993853400403E-2</v>
      </c>
      <c r="P1671" s="3">
        <v>5.2558751030267997E-2</v>
      </c>
    </row>
    <row r="1672" spans="1:16" x14ac:dyDescent="0.3">
      <c r="A1672" s="3" t="str">
        <f t="shared" ref="A1672:A1735" si="26">RIGHT(E1672,3)</f>
        <v>STM</v>
      </c>
      <c r="C1672" s="3" t="s">
        <v>850</v>
      </c>
      <c r="D1672" s="3" t="s">
        <v>782</v>
      </c>
      <c r="E1672" s="3" t="s">
        <v>1531</v>
      </c>
      <c r="F1672" s="3" t="s">
        <v>6</v>
      </c>
      <c r="G1672" s="3">
        <v>2.1140792346099002</v>
      </c>
      <c r="H1672" s="3">
        <v>2.1807000312925502</v>
      </c>
      <c r="I1672" s="3">
        <v>2.4471832180231399</v>
      </c>
      <c r="J1672" s="3">
        <v>2.4833716415470799</v>
      </c>
      <c r="K1672" s="3">
        <v>2.5878331861492199</v>
      </c>
      <c r="L1672" s="3">
        <v>2.8423952347814598</v>
      </c>
      <c r="M1672" s="3">
        <v>3.0506780034717802</v>
      </c>
      <c r="N1672" s="3">
        <v>3.2192371872605499</v>
      </c>
      <c r="O1672" s="3">
        <v>3.3515867702762501</v>
      </c>
      <c r="P1672" s="3">
        <v>3.3883174410341002</v>
      </c>
    </row>
    <row r="1673" spans="1:16" x14ac:dyDescent="0.3">
      <c r="A1673" s="3" t="str">
        <f t="shared" si="26"/>
        <v>NGA</v>
      </c>
      <c r="C1673" s="3" t="s">
        <v>850</v>
      </c>
      <c r="D1673" s="3" t="s">
        <v>782</v>
      </c>
      <c r="E1673" s="3" t="s">
        <v>1277</v>
      </c>
      <c r="F1673" s="3" t="s">
        <v>1</v>
      </c>
      <c r="G1673" s="3">
        <v>3.5359721011663501</v>
      </c>
    </row>
    <row r="1674" spans="1:16" x14ac:dyDescent="0.3">
      <c r="A1674" s="3" t="str">
        <f t="shared" si="26"/>
        <v>NGA</v>
      </c>
      <c r="C1674" s="3" t="s">
        <v>850</v>
      </c>
      <c r="D1674" s="3" t="s">
        <v>782</v>
      </c>
      <c r="E1674" s="3" t="s">
        <v>1277</v>
      </c>
      <c r="F1674" s="3" t="s">
        <v>5</v>
      </c>
      <c r="G1674" s="3">
        <v>4.1200271499421501E-2</v>
      </c>
    </row>
    <row r="1675" spans="1:16" x14ac:dyDescent="0.3">
      <c r="A1675" s="3" t="str">
        <f t="shared" si="26"/>
        <v>EXT</v>
      </c>
      <c r="C1675" s="3" t="s">
        <v>850</v>
      </c>
      <c r="D1675" s="3" t="s">
        <v>1532</v>
      </c>
      <c r="E1675" s="3" t="s">
        <v>1533</v>
      </c>
      <c r="F1675" s="3" t="s">
        <v>0</v>
      </c>
      <c r="G1675" s="3">
        <v>3.9813505320082001</v>
      </c>
      <c r="H1675" s="3">
        <v>3.9813505320082001</v>
      </c>
      <c r="I1675" s="3">
        <v>3.9813505320082001</v>
      </c>
      <c r="J1675" s="3">
        <v>3.9813505320082001</v>
      </c>
      <c r="K1675" s="3">
        <v>3.9813505320082001</v>
      </c>
      <c r="L1675" s="3">
        <v>4.2606489210201497</v>
      </c>
      <c r="M1675" s="3">
        <v>4.5728573510190511</v>
      </c>
      <c r="N1675" s="3">
        <v>4.825521546254711</v>
      </c>
      <c r="O1675" s="3">
        <v>5.0239088434092709</v>
      </c>
      <c r="P1675" s="3">
        <v>5.0789668067838809</v>
      </c>
    </row>
    <row r="1676" spans="1:16" x14ac:dyDescent="0.3">
      <c r="A1676" s="3" t="str">
        <f t="shared" si="26"/>
        <v>EXT</v>
      </c>
      <c r="C1676" s="3" t="s">
        <v>850</v>
      </c>
      <c r="D1676" s="3" t="s">
        <v>1532</v>
      </c>
      <c r="E1676" s="3" t="s">
        <v>1533</v>
      </c>
      <c r="F1676" s="3" t="s">
        <v>1</v>
      </c>
      <c r="G1676" s="3">
        <v>9.0350288200737197</v>
      </c>
      <c r="H1676" s="3">
        <v>9.3091420062249295</v>
      </c>
      <c r="I1676" s="3">
        <v>10.405594750829799</v>
      </c>
      <c r="J1676" s="3">
        <v>10.559470466831797</v>
      </c>
      <c r="K1676" s="3">
        <v>11.003648284074998</v>
      </c>
      <c r="L1676" s="3">
        <v>12.086063976328699</v>
      </c>
      <c r="M1676" s="3">
        <v>12.971696923061199</v>
      </c>
      <c r="N1676" s="3">
        <v>13.688422399567898</v>
      </c>
      <c r="O1676" s="3">
        <v>14.251182112923198</v>
      </c>
      <c r="P1676" s="3">
        <v>14.407363502210798</v>
      </c>
    </row>
    <row r="1677" spans="1:16" x14ac:dyDescent="0.3">
      <c r="A1677" s="3" t="str">
        <f t="shared" si="26"/>
        <v>EXT</v>
      </c>
      <c r="C1677" s="3" t="s">
        <v>850</v>
      </c>
      <c r="D1677" s="3" t="s">
        <v>1532</v>
      </c>
      <c r="E1677" s="3" t="s">
        <v>1533</v>
      </c>
      <c r="F1677" s="3" t="s">
        <v>2</v>
      </c>
      <c r="G1677" s="3">
        <v>4.6849976043341304</v>
      </c>
      <c r="H1677" s="3">
        <v>4.82713545978641</v>
      </c>
      <c r="I1677" s="3">
        <v>5.3956868815955303</v>
      </c>
      <c r="J1677" s="3">
        <v>5.4754771484769202</v>
      </c>
      <c r="K1677" s="3">
        <v>5.7057998238245702</v>
      </c>
      <c r="L1677" s="3">
        <v>6.2670725132747087</v>
      </c>
      <c r="M1677" s="3">
        <v>6.7263060493695495</v>
      </c>
      <c r="N1677" s="3">
        <v>7.097954796403819</v>
      </c>
      <c r="O1677" s="3">
        <v>7.3897665837694193</v>
      </c>
      <c r="P1677" s="3">
        <v>7.470752427780079</v>
      </c>
    </row>
    <row r="1678" spans="1:16" x14ac:dyDescent="0.3">
      <c r="A1678" s="3" t="str">
        <f t="shared" si="26"/>
        <v>EXT</v>
      </c>
      <c r="C1678" s="3" t="s">
        <v>850</v>
      </c>
      <c r="D1678" s="3" t="s">
        <v>1532</v>
      </c>
      <c r="E1678" s="3" t="s">
        <v>1533</v>
      </c>
      <c r="F1678" s="3" t="s">
        <v>3</v>
      </c>
      <c r="G1678" s="3">
        <v>3.9604264401412901</v>
      </c>
      <c r="H1678" s="3">
        <v>3.9604264401412901</v>
      </c>
      <c r="I1678" s="3">
        <v>3.9604264401412901</v>
      </c>
      <c r="J1678" s="3">
        <v>3.9604264401412901</v>
      </c>
      <c r="K1678" s="3">
        <v>3.9604264401412901</v>
      </c>
      <c r="L1678" s="3">
        <v>4.2382569691637801</v>
      </c>
      <c r="M1678" s="3">
        <v>4.5488245795919298</v>
      </c>
      <c r="N1678" s="3">
        <v>4.8001608915402212</v>
      </c>
      <c r="O1678" s="3">
        <v>4.9975055590650905</v>
      </c>
      <c r="P1678" s="3">
        <v>5.0522741638729505</v>
      </c>
    </row>
    <row r="1679" spans="1:16" x14ac:dyDescent="0.3">
      <c r="A1679" s="3" t="str">
        <f t="shared" si="26"/>
        <v>EXT</v>
      </c>
      <c r="C1679" s="3" t="s">
        <v>850</v>
      </c>
      <c r="D1679" s="3" t="s">
        <v>1532</v>
      </c>
      <c r="E1679" s="3" t="s">
        <v>1533</v>
      </c>
      <c r="F1679" s="3" t="s">
        <v>4</v>
      </c>
      <c r="G1679" s="3">
        <v>1.5351732425453</v>
      </c>
      <c r="H1679" s="3">
        <v>1.5351732425453</v>
      </c>
      <c r="I1679" s="3">
        <v>1.5351732425453</v>
      </c>
      <c r="J1679" s="3">
        <v>1.5351732425453</v>
      </c>
      <c r="K1679" s="3">
        <v>1.5351732425453</v>
      </c>
      <c r="L1679" s="3">
        <v>1.6428682093787899</v>
      </c>
      <c r="M1679" s="3">
        <v>1.7632529943853099</v>
      </c>
      <c r="N1679" s="3">
        <v>1.8606780537355501</v>
      </c>
      <c r="O1679" s="3">
        <v>1.9371744254576699</v>
      </c>
      <c r="P1679" s="3">
        <v>1.9584042848941201</v>
      </c>
    </row>
    <row r="1680" spans="1:16" x14ac:dyDescent="0.3">
      <c r="A1680" s="3" t="str">
        <f t="shared" si="26"/>
        <v>EXT</v>
      </c>
      <c r="C1680" s="3" t="s">
        <v>850</v>
      </c>
      <c r="D1680" s="3" t="s">
        <v>1532</v>
      </c>
      <c r="E1680" s="3" t="s">
        <v>1533</v>
      </c>
      <c r="F1680" s="3" t="s">
        <v>5</v>
      </c>
      <c r="G1680" s="3">
        <v>1.3381270947095301</v>
      </c>
      <c r="H1680" s="3">
        <v>1.3381270947095301</v>
      </c>
      <c r="I1680" s="3">
        <v>1.3381270947095301</v>
      </c>
      <c r="J1680" s="3">
        <v>1.3381270947095301</v>
      </c>
      <c r="K1680" s="3">
        <v>1.3381270947095301</v>
      </c>
      <c r="L1680" s="3">
        <v>1.4319989451886499</v>
      </c>
      <c r="M1680" s="3">
        <v>1.5369318206085698</v>
      </c>
      <c r="N1680" s="3">
        <v>1.6218519507979798</v>
      </c>
      <c r="O1680" s="3">
        <v>1.6885296812400699</v>
      </c>
      <c r="P1680" s="3">
        <v>1.7070345960871198</v>
      </c>
    </row>
    <row r="1681" spans="1:16" x14ac:dyDescent="0.3">
      <c r="A1681" s="3" t="str">
        <f t="shared" si="26"/>
        <v>EXT</v>
      </c>
      <c r="C1681" s="3" t="s">
        <v>850</v>
      </c>
      <c r="D1681" s="3" t="s">
        <v>1532</v>
      </c>
      <c r="E1681" s="3" t="s">
        <v>1533</v>
      </c>
      <c r="F1681" s="3" t="s">
        <v>6</v>
      </c>
      <c r="G1681" s="3">
        <v>4.6486566849000699</v>
      </c>
      <c r="H1681" s="3">
        <v>4.6486566849000699</v>
      </c>
      <c r="I1681" s="3">
        <v>4.6486566849000699</v>
      </c>
      <c r="J1681" s="3">
        <v>4.6486566849000699</v>
      </c>
      <c r="K1681" s="3">
        <v>4.6486566849000699</v>
      </c>
      <c r="L1681" s="3">
        <v>4.9747677149950098</v>
      </c>
      <c r="M1681" s="3">
        <v>5.3393047718375</v>
      </c>
      <c r="N1681" s="3">
        <v>5.6343175045206202</v>
      </c>
      <c r="O1681" s="3">
        <v>5.8659560974308498</v>
      </c>
      <c r="P1681" s="3">
        <v>5.9302422152797298</v>
      </c>
    </row>
    <row r="1682" spans="1:16" x14ac:dyDescent="0.3">
      <c r="A1682" s="3" t="str">
        <f t="shared" si="26"/>
        <v>EXT</v>
      </c>
      <c r="C1682" s="3" t="s">
        <v>850</v>
      </c>
      <c r="D1682" s="3" t="s">
        <v>1532</v>
      </c>
      <c r="E1682" s="3" t="s">
        <v>1533</v>
      </c>
      <c r="F1682" s="3" t="s">
        <v>7</v>
      </c>
      <c r="G1682" s="3">
        <v>0.70238912238446305</v>
      </c>
      <c r="H1682" s="3">
        <v>0.70238912238446305</v>
      </c>
      <c r="I1682" s="3">
        <v>0.70238912238446305</v>
      </c>
      <c r="J1682" s="3">
        <v>0.70238912238446305</v>
      </c>
      <c r="K1682" s="3">
        <v>0.70238912238446305</v>
      </c>
      <c r="L1682" s="3">
        <v>0.75166289236887696</v>
      </c>
      <c r="M1682" s="3">
        <v>0.80674264567996001</v>
      </c>
      <c r="N1682" s="3">
        <v>0.85131761613854795</v>
      </c>
      <c r="O1682" s="3">
        <v>0.88631706630510498</v>
      </c>
      <c r="P1682" s="3">
        <v>0.89603038199134299</v>
      </c>
    </row>
    <row r="1683" spans="1:16" x14ac:dyDescent="0.3">
      <c r="A1683" s="3" t="str">
        <f t="shared" si="26"/>
        <v>EXT</v>
      </c>
      <c r="C1683" s="3" t="s">
        <v>850</v>
      </c>
      <c r="D1683" s="3" t="s">
        <v>1532</v>
      </c>
      <c r="E1683" s="3" t="s">
        <v>1533</v>
      </c>
      <c r="F1683" s="3" t="s">
        <v>8</v>
      </c>
      <c r="G1683" s="3">
        <v>0.38879420247496699</v>
      </c>
      <c r="H1683" s="3">
        <v>0.40058980597771898</v>
      </c>
      <c r="I1683" s="3">
        <v>0.44777221998873096</v>
      </c>
      <c r="J1683" s="3">
        <v>0.45439378008274595</v>
      </c>
      <c r="K1683" s="3">
        <v>0.47350758299928197</v>
      </c>
      <c r="L1683" s="3">
        <v>0.52008595637216704</v>
      </c>
      <c r="M1683" s="3">
        <v>0.55819639985469505</v>
      </c>
      <c r="N1683" s="3">
        <v>0.58903843872155304</v>
      </c>
      <c r="O1683" s="3">
        <v>0.61325504259700503</v>
      </c>
      <c r="P1683" s="3">
        <v>0.61997582012840802</v>
      </c>
    </row>
    <row r="1684" spans="1:16" x14ac:dyDescent="0.3">
      <c r="A1684" s="3" t="str">
        <f t="shared" si="26"/>
        <v>ELC</v>
      </c>
      <c r="C1684" s="3" t="s">
        <v>850</v>
      </c>
      <c r="D1684" s="3" t="s">
        <v>1452</v>
      </c>
      <c r="E1684" s="3" t="s">
        <v>1451</v>
      </c>
      <c r="F1684" s="3" t="s">
        <v>0</v>
      </c>
      <c r="G1684" s="3">
        <v>2.3413992000138899</v>
      </c>
      <c r="H1684" s="3">
        <v>2.3413992000138975</v>
      </c>
      <c r="I1684" s="3">
        <v>2.3413992000138917</v>
      </c>
      <c r="J1684" s="3">
        <v>2.3413992000138988</v>
      </c>
      <c r="K1684" s="3">
        <v>2.3413992000138948</v>
      </c>
      <c r="L1684" s="3">
        <v>2.5056522642292425</v>
      </c>
      <c r="M1684" s="3">
        <v>2.6892594503737639</v>
      </c>
      <c r="N1684" s="3">
        <v>2.8378491663108156</v>
      </c>
      <c r="O1684" s="3">
        <v>2.9545190890207631</v>
      </c>
      <c r="P1684" s="3">
        <v>2.9868982202636181</v>
      </c>
    </row>
    <row r="1685" spans="1:16" x14ac:dyDescent="0.3">
      <c r="A1685" s="3" t="str">
        <f t="shared" si="26"/>
        <v>ELC</v>
      </c>
      <c r="C1685" s="3" t="s">
        <v>850</v>
      </c>
      <c r="D1685" s="3" t="s">
        <v>1452</v>
      </c>
      <c r="E1685" s="3" t="s">
        <v>1451</v>
      </c>
      <c r="F1685" s="3" t="s">
        <v>1</v>
      </c>
      <c r="G1685" s="3">
        <v>5.1560674037644603</v>
      </c>
      <c r="H1685" s="3">
        <v>5.3124970170177299</v>
      </c>
      <c r="I1685" s="3">
        <v>5.9382154700308245</v>
      </c>
      <c r="J1685" s="3">
        <v>6.0260285339743636</v>
      </c>
      <c r="K1685" s="3">
        <v>6.2795098244683736</v>
      </c>
      <c r="L1685" s="3">
        <v>6.8972176790081141</v>
      </c>
      <c r="M1685" s="3">
        <v>7.4026264894594931</v>
      </c>
      <c r="N1685" s="3">
        <v>7.811643985746084</v>
      </c>
      <c r="O1685" s="3">
        <v>8.1327970304089146</v>
      </c>
      <c r="P1685" s="3">
        <v>8.2219258850497834</v>
      </c>
    </row>
    <row r="1686" spans="1:16" x14ac:dyDescent="0.3">
      <c r="A1686" s="3" t="str">
        <f t="shared" si="26"/>
        <v>ELC</v>
      </c>
      <c r="C1686" s="3" t="s">
        <v>850</v>
      </c>
      <c r="D1686" s="3" t="s">
        <v>1452</v>
      </c>
      <c r="E1686" s="3" t="s">
        <v>1451</v>
      </c>
      <c r="F1686" s="3" t="s">
        <v>2</v>
      </c>
      <c r="G1686" s="3">
        <v>0.59867364370495701</v>
      </c>
      <c r="H1686" s="3">
        <v>0.61683676672412402</v>
      </c>
      <c r="I1686" s="3">
        <v>0.68948925880079348</v>
      </c>
      <c r="J1686" s="3">
        <v>0.69968527891441734</v>
      </c>
      <c r="K1686" s="3">
        <v>0.72911712219875335</v>
      </c>
      <c r="L1686" s="3">
        <v>0.80083949955799538</v>
      </c>
      <c r="M1686" s="3">
        <v>0.8595227770288465</v>
      </c>
      <c r="N1686" s="3">
        <v>0.90701400933162335</v>
      </c>
      <c r="O1686" s="3">
        <v>0.94430325487074707</v>
      </c>
      <c r="P1686" s="3">
        <v>0.95465205212040416</v>
      </c>
    </row>
    <row r="1687" spans="1:16" x14ac:dyDescent="0.3">
      <c r="A1687" s="3" t="str">
        <f t="shared" si="26"/>
        <v>ELC</v>
      </c>
      <c r="C1687" s="3" t="s">
        <v>850</v>
      </c>
      <c r="D1687" s="3" t="s">
        <v>1452</v>
      </c>
      <c r="E1687" s="3" t="s">
        <v>1451</v>
      </c>
      <c r="F1687" s="3" t="s">
        <v>3</v>
      </c>
      <c r="G1687" s="3">
        <v>0.50686986747158702</v>
      </c>
      <c r="H1687" s="3">
        <v>0.50686986747158669</v>
      </c>
      <c r="I1687" s="3">
        <v>0.50686986747158724</v>
      </c>
      <c r="J1687" s="3">
        <v>0.50686986747158647</v>
      </c>
      <c r="K1687" s="3">
        <v>0.5068698674715868</v>
      </c>
      <c r="L1687" s="3">
        <v>0.54242763519019876</v>
      </c>
      <c r="M1687" s="3">
        <v>0.58217521437590503</v>
      </c>
      <c r="N1687" s="3">
        <v>0.61434215524792912</v>
      </c>
      <c r="O1687" s="3">
        <v>0.63959904790491851</v>
      </c>
      <c r="P1687" s="3">
        <v>0.64660853435294208</v>
      </c>
    </row>
    <row r="1688" spans="1:16" x14ac:dyDescent="0.3">
      <c r="A1688" s="3" t="str">
        <f t="shared" si="26"/>
        <v>ELC</v>
      </c>
      <c r="C1688" s="3" t="s">
        <v>850</v>
      </c>
      <c r="D1688" s="3" t="s">
        <v>1452</v>
      </c>
      <c r="E1688" s="3" t="s">
        <v>1451</v>
      </c>
      <c r="F1688" s="3" t="s">
        <v>4</v>
      </c>
      <c r="G1688" s="3">
        <v>0.256179043679781</v>
      </c>
      <c r="H1688" s="3">
        <v>0.25617904367978006</v>
      </c>
      <c r="I1688" s="3">
        <v>0.2561790436797805</v>
      </c>
      <c r="J1688" s="3">
        <v>0.25617904367978073</v>
      </c>
      <c r="K1688" s="3">
        <v>0.25617904367978084</v>
      </c>
      <c r="L1688" s="3">
        <v>0.27415043143455031</v>
      </c>
      <c r="M1688" s="3">
        <v>0.29423940787178543</v>
      </c>
      <c r="N1688" s="3">
        <v>0.31049702482543279</v>
      </c>
      <c r="O1688" s="3">
        <v>0.32326220780911641</v>
      </c>
      <c r="P1688" s="3">
        <v>0.32680489923778461</v>
      </c>
    </row>
    <row r="1689" spans="1:16" x14ac:dyDescent="0.3">
      <c r="A1689" s="3" t="str">
        <f t="shared" si="26"/>
        <v>ELC</v>
      </c>
      <c r="C1689" s="3" t="s">
        <v>850</v>
      </c>
      <c r="D1689" s="3" t="s">
        <v>1452</v>
      </c>
      <c r="E1689" s="3" t="s">
        <v>1451</v>
      </c>
      <c r="F1689" s="3" t="s">
        <v>5</v>
      </c>
      <c r="G1689" s="3">
        <v>0.22329735168933201</v>
      </c>
      <c r="H1689" s="3">
        <v>0.22329735168933224</v>
      </c>
      <c r="I1689" s="3">
        <v>0.22329735168933254</v>
      </c>
      <c r="J1689" s="3">
        <v>0.22329735168933196</v>
      </c>
      <c r="K1689" s="3">
        <v>0.22329735168933224</v>
      </c>
      <c r="L1689" s="3">
        <v>0.23896203383577264</v>
      </c>
      <c r="M1689" s="3">
        <v>0.25647250296763113</v>
      </c>
      <c r="N1689" s="3">
        <v>0.27064338423248208</v>
      </c>
      <c r="O1689" s="3">
        <v>0.28177010058344709</v>
      </c>
      <c r="P1689" s="3">
        <v>0.28485807219310932</v>
      </c>
    </row>
    <row r="1690" spans="1:16" x14ac:dyDescent="0.3">
      <c r="A1690" s="3" t="str">
        <f t="shared" si="26"/>
        <v>ELC</v>
      </c>
      <c r="C1690" s="3" t="s">
        <v>850</v>
      </c>
      <c r="D1690" s="3" t="s">
        <v>1452</v>
      </c>
      <c r="E1690" s="3" t="s">
        <v>1451</v>
      </c>
      <c r="F1690" s="3" t="s">
        <v>6</v>
      </c>
      <c r="G1690" s="3">
        <v>0.77573552673367296</v>
      </c>
      <c r="H1690" s="3">
        <v>0.77573552673367274</v>
      </c>
      <c r="I1690" s="3">
        <v>0.77573552673367263</v>
      </c>
      <c r="J1690" s="3">
        <v>0.77573552673367274</v>
      </c>
      <c r="K1690" s="3">
        <v>0.77573552673367274</v>
      </c>
      <c r="L1690" s="3">
        <v>0.83015466947787375</v>
      </c>
      <c r="M1690" s="3">
        <v>0.89098608056533868</v>
      </c>
      <c r="N1690" s="3">
        <v>0.94021575552164283</v>
      </c>
      <c r="O1690" s="3">
        <v>0.97886999438310507</v>
      </c>
      <c r="P1690" s="3">
        <v>0.98959761504245591</v>
      </c>
    </row>
    <row r="1691" spans="1:16" x14ac:dyDescent="0.3">
      <c r="A1691" s="3" t="str">
        <f t="shared" si="26"/>
        <v>NGA</v>
      </c>
      <c r="C1691" s="3" t="s">
        <v>850</v>
      </c>
      <c r="D1691" s="3" t="s">
        <v>1269</v>
      </c>
      <c r="E1691" s="3" t="s">
        <v>1278</v>
      </c>
      <c r="F1691" s="3" t="s">
        <v>1</v>
      </c>
      <c r="G1691" s="3">
        <v>0.26757400035482137</v>
      </c>
      <c r="H1691" s="3">
        <v>0.27569191156784745</v>
      </c>
      <c r="I1691" s="3">
        <v>0.30816355641995052</v>
      </c>
      <c r="J1691" s="3">
        <v>0.46389389797992753</v>
      </c>
      <c r="K1691" s="3">
        <v>0.46389389797992764</v>
      </c>
      <c r="L1691" s="3">
        <v>0.46389389797992764</v>
      </c>
      <c r="M1691" s="3">
        <v>0.46389389797992764</v>
      </c>
      <c r="N1691" s="3">
        <v>7.7315649663321301E-2</v>
      </c>
    </row>
    <row r="1692" spans="1:16" x14ac:dyDescent="0.3">
      <c r="A1692" s="3" t="str">
        <f t="shared" si="26"/>
        <v>NGA</v>
      </c>
      <c r="C1692" s="3" t="s">
        <v>850</v>
      </c>
      <c r="D1692" s="3" t="s">
        <v>1269</v>
      </c>
      <c r="E1692" s="3" t="s">
        <v>1279</v>
      </c>
      <c r="F1692" s="3" t="s">
        <v>8</v>
      </c>
      <c r="H1692" s="3">
        <v>1.2787346728559098E-3</v>
      </c>
      <c r="I1692" s="3">
        <v>1.2787346728559098E-3</v>
      </c>
      <c r="J1692" s="3">
        <v>1.2787346728559098E-3</v>
      </c>
      <c r="K1692" s="3">
        <v>1.2787346728559098E-3</v>
      </c>
      <c r="L1692" s="3">
        <v>1.2787346728559098E-3</v>
      </c>
      <c r="M1692" s="3">
        <v>1.2787346728559098E-3</v>
      </c>
      <c r="N1692" s="3">
        <v>2.1312244547598514E-4</v>
      </c>
    </row>
    <row r="1693" spans="1:16" x14ac:dyDescent="0.3">
      <c r="A1693" s="3" t="str">
        <f t="shared" si="26"/>
        <v>NGA</v>
      </c>
      <c r="C1693" s="3" t="s">
        <v>850</v>
      </c>
      <c r="D1693" s="3" t="s">
        <v>1269</v>
      </c>
      <c r="E1693" s="3" t="s">
        <v>1280</v>
      </c>
      <c r="F1693" s="3" t="s">
        <v>2</v>
      </c>
      <c r="G1693" s="3">
        <v>7.2625884964515608E-3</v>
      </c>
      <c r="H1693" s="3">
        <v>7.482927724151673E-3</v>
      </c>
      <c r="I1693" s="3">
        <v>8.3642846349539154E-3</v>
      </c>
      <c r="J1693" s="3">
        <v>1.2185126310817824E-2</v>
      </c>
      <c r="K1693" s="3">
        <v>1.2185126310817824E-2</v>
      </c>
      <c r="L1693" s="3">
        <v>1.2185126310817824E-2</v>
      </c>
      <c r="M1693" s="3">
        <v>1.2185126310817824E-2</v>
      </c>
      <c r="N1693" s="3">
        <v>2.0308543851363034E-3</v>
      </c>
    </row>
    <row r="1694" spans="1:16" x14ac:dyDescent="0.3">
      <c r="A1694" s="3" t="str">
        <f t="shared" si="26"/>
        <v>NGA</v>
      </c>
      <c r="C1694" s="3" t="s">
        <v>850</v>
      </c>
      <c r="D1694" s="3" t="s">
        <v>1269</v>
      </c>
      <c r="E1694" s="3" t="s">
        <v>1280</v>
      </c>
      <c r="F1694" s="3" t="s">
        <v>8</v>
      </c>
      <c r="G1694" s="3">
        <v>3.6450225269143655E-2</v>
      </c>
      <c r="H1694" s="3">
        <v>3.6277351748855963E-2</v>
      </c>
      <c r="I1694" s="3">
        <v>4.0700796359129224E-2</v>
      </c>
      <c r="J1694" s="3">
        <v>4.1321580711168426E-2</v>
      </c>
      <c r="K1694" s="3">
        <v>4.3113537529512747E-2</v>
      </c>
      <c r="L1694" s="3">
        <v>4.7480352135554266E-2</v>
      </c>
      <c r="M1694" s="3">
        <v>5.1053281570206895E-2</v>
      </c>
      <c r="N1694" s="3">
        <v>1.0015303166269616E-2</v>
      </c>
    </row>
    <row r="1695" spans="1:16" x14ac:dyDescent="0.3">
      <c r="A1695" s="3" t="str">
        <f t="shared" si="26"/>
        <v>NGA</v>
      </c>
      <c r="C1695" s="3" t="s">
        <v>850</v>
      </c>
      <c r="D1695" s="3" t="s">
        <v>1269</v>
      </c>
      <c r="E1695" s="3" t="s">
        <v>1281</v>
      </c>
      <c r="F1695" s="3" t="s">
        <v>1</v>
      </c>
      <c r="N1695" s="3">
        <v>0.32806943686361351</v>
      </c>
      <c r="O1695" s="3">
        <v>0.42205131645709926</v>
      </c>
      <c r="P1695" s="3">
        <v>0.42667665633645968</v>
      </c>
    </row>
    <row r="1696" spans="1:16" x14ac:dyDescent="0.3">
      <c r="A1696" s="3" t="str">
        <f t="shared" si="26"/>
        <v>NGA</v>
      </c>
      <c r="C1696" s="3" t="s">
        <v>850</v>
      </c>
      <c r="D1696" s="3" t="s">
        <v>1269</v>
      </c>
      <c r="E1696" s="3" t="s">
        <v>1281</v>
      </c>
      <c r="F1696" s="3" t="s">
        <v>2</v>
      </c>
      <c r="N1696" s="3">
        <v>8.972251530009915E-3</v>
      </c>
      <c r="O1696" s="3">
        <v>1.1455466643802143E-2</v>
      </c>
      <c r="P1696" s="3">
        <v>1.1581009260631462E-2</v>
      </c>
    </row>
    <row r="1697" spans="1:16" x14ac:dyDescent="0.3">
      <c r="A1697" s="3" t="str">
        <f t="shared" si="26"/>
        <v>NGA</v>
      </c>
      <c r="C1697" s="3" t="s">
        <v>850</v>
      </c>
      <c r="D1697" s="3" t="s">
        <v>1269</v>
      </c>
      <c r="E1697" s="3" t="s">
        <v>1281</v>
      </c>
      <c r="F1697" s="3" t="s">
        <v>8</v>
      </c>
      <c r="N1697" s="3">
        <v>4.4995092760979329E-2</v>
      </c>
      <c r="O1697" s="3">
        <v>5.7493872871055396E-2</v>
      </c>
      <c r="P1697" s="3">
        <v>5.8123959054038568E-2</v>
      </c>
    </row>
    <row r="1698" spans="1:16" x14ac:dyDescent="0.3">
      <c r="A1698" s="3" t="str">
        <f t="shared" si="26"/>
        <v>ELC</v>
      </c>
      <c r="C1698" s="3" t="s">
        <v>850</v>
      </c>
      <c r="D1698" s="3" t="s">
        <v>1456</v>
      </c>
      <c r="E1698" s="3" t="s">
        <v>1455</v>
      </c>
      <c r="F1698" s="3" t="s">
        <v>0</v>
      </c>
      <c r="G1698" s="3">
        <v>0.33448560000198502</v>
      </c>
      <c r="H1698" s="3">
        <v>0.33448560000198518</v>
      </c>
      <c r="I1698" s="3">
        <v>0.33448560000198446</v>
      </c>
      <c r="J1698" s="3">
        <v>0.33448560000198502</v>
      </c>
      <c r="K1698" s="3">
        <v>0.33448560000198502</v>
      </c>
      <c r="L1698" s="3">
        <v>0.35795032346132033</v>
      </c>
      <c r="M1698" s="3">
        <v>0.38417992148196645</v>
      </c>
      <c r="N1698" s="3">
        <v>0.40540702375868803</v>
      </c>
      <c r="O1698" s="3">
        <v>0.4220741555743947</v>
      </c>
      <c r="P1698" s="3">
        <v>0.42669974575194547</v>
      </c>
    </row>
    <row r="1699" spans="1:16" x14ac:dyDescent="0.3">
      <c r="A1699" s="3" t="str">
        <f t="shared" si="26"/>
        <v>ELC</v>
      </c>
      <c r="C1699" s="3" t="s">
        <v>850</v>
      </c>
      <c r="D1699" s="3" t="s">
        <v>1456</v>
      </c>
      <c r="E1699" s="3" t="s">
        <v>1455</v>
      </c>
      <c r="F1699" s="3" t="s">
        <v>1</v>
      </c>
      <c r="G1699" s="3">
        <v>0.73658105768063797</v>
      </c>
      <c r="H1699" s="3">
        <v>0.75892814528824803</v>
      </c>
      <c r="I1699" s="3">
        <v>0.84831649571868994</v>
      </c>
      <c r="J1699" s="3">
        <v>0.860861219139196</v>
      </c>
      <c r="K1699" s="3">
        <v>0.8970728320669128</v>
      </c>
      <c r="L1699" s="3">
        <v>0.98531681128687554</v>
      </c>
      <c r="M1699" s="3">
        <v>1.0575180699227857</v>
      </c>
      <c r="N1699" s="3">
        <v>1.1159491408208702</v>
      </c>
      <c r="O1699" s="3">
        <v>1.1618281472012746</v>
      </c>
      <c r="P1699" s="3">
        <v>1.1745608407213992</v>
      </c>
    </row>
    <row r="1700" spans="1:16" x14ac:dyDescent="0.3">
      <c r="A1700" s="3" t="str">
        <f t="shared" si="26"/>
        <v>ELC</v>
      </c>
      <c r="C1700" s="3" t="s">
        <v>850</v>
      </c>
      <c r="D1700" s="3" t="s">
        <v>1456</v>
      </c>
      <c r="E1700" s="3" t="s">
        <v>1455</v>
      </c>
      <c r="F1700" s="3" t="s">
        <v>2</v>
      </c>
      <c r="G1700" s="3">
        <v>8.5524806243565399E-2</v>
      </c>
      <c r="H1700" s="3">
        <v>8.8119538103446401E-2</v>
      </c>
      <c r="I1700" s="3">
        <v>9.8498465542970634E-2</v>
      </c>
      <c r="J1700" s="3">
        <v>9.9955039844917007E-2</v>
      </c>
      <c r="K1700" s="3">
        <v>0.10415958888553642</v>
      </c>
      <c r="L1700" s="3">
        <v>0.11440564279399952</v>
      </c>
      <c r="M1700" s="3">
        <v>0.12278896814697819</v>
      </c>
      <c r="N1700" s="3">
        <v>0.12957342990451784</v>
      </c>
      <c r="O1700" s="3">
        <v>0.13490046498153543</v>
      </c>
      <c r="P1700" s="3">
        <v>0.13637886458862952</v>
      </c>
    </row>
    <row r="1701" spans="1:16" x14ac:dyDescent="0.3">
      <c r="A1701" s="3" t="str">
        <f t="shared" si="26"/>
        <v>ELC</v>
      </c>
      <c r="C1701" s="3" t="s">
        <v>850</v>
      </c>
      <c r="D1701" s="3" t="s">
        <v>1456</v>
      </c>
      <c r="E1701" s="3" t="s">
        <v>1455</v>
      </c>
      <c r="F1701" s="3" t="s">
        <v>3</v>
      </c>
      <c r="G1701" s="3">
        <v>7.2409981067369206E-2</v>
      </c>
      <c r="H1701" s="3">
        <v>7.2409981067369372E-2</v>
      </c>
      <c r="I1701" s="3">
        <v>7.2409981067369858E-2</v>
      </c>
      <c r="J1701" s="3">
        <v>7.2409981067369594E-2</v>
      </c>
      <c r="K1701" s="3">
        <v>7.24099810673694E-2</v>
      </c>
      <c r="L1701" s="3">
        <v>7.7489662170027923E-2</v>
      </c>
      <c r="M1701" s="3">
        <v>8.316788776798606E-2</v>
      </c>
      <c r="N1701" s="3">
        <v>8.7763165035418075E-2</v>
      </c>
      <c r="O1701" s="3">
        <v>9.1371292557845277E-2</v>
      </c>
      <c r="P1701" s="3">
        <v>9.2372647764705801E-2</v>
      </c>
    </row>
    <row r="1702" spans="1:16" x14ac:dyDescent="0.3">
      <c r="A1702" s="3" t="str">
        <f t="shared" si="26"/>
        <v>ELC</v>
      </c>
      <c r="C1702" s="3" t="s">
        <v>850</v>
      </c>
      <c r="D1702" s="3" t="s">
        <v>1456</v>
      </c>
      <c r="E1702" s="3" t="s">
        <v>1455</v>
      </c>
      <c r="F1702" s="3" t="s">
        <v>4</v>
      </c>
      <c r="G1702" s="3">
        <v>3.6597006239968498E-2</v>
      </c>
      <c r="H1702" s="3">
        <v>3.6597006239968505E-2</v>
      </c>
      <c r="I1702" s="3">
        <v>3.6597006239968449E-2</v>
      </c>
      <c r="J1702" s="3">
        <v>3.6597006239968498E-2</v>
      </c>
      <c r="K1702" s="3">
        <v>3.6597006239968602E-2</v>
      </c>
      <c r="L1702" s="3">
        <v>3.9164347347792776E-2</v>
      </c>
      <c r="M1702" s="3">
        <v>4.2034201124540628E-2</v>
      </c>
      <c r="N1702" s="3">
        <v>4.4356717832204538E-2</v>
      </c>
      <c r="O1702" s="3">
        <v>4.6180315401302241E-2</v>
      </c>
      <c r="P1702" s="3">
        <v>4.6686414176826264E-2</v>
      </c>
    </row>
    <row r="1703" spans="1:16" x14ac:dyDescent="0.3">
      <c r="A1703" s="3" t="str">
        <f t="shared" si="26"/>
        <v>ELC</v>
      </c>
      <c r="C1703" s="3" t="s">
        <v>850</v>
      </c>
      <c r="D1703" s="3" t="s">
        <v>1456</v>
      </c>
      <c r="E1703" s="3" t="s">
        <v>1455</v>
      </c>
      <c r="F1703" s="3" t="s">
        <v>5</v>
      </c>
      <c r="G1703" s="3">
        <v>3.1899621669904399E-2</v>
      </c>
      <c r="H1703" s="3">
        <v>3.1899621669904461E-2</v>
      </c>
      <c r="I1703" s="3">
        <v>3.1899621669904454E-2</v>
      </c>
      <c r="J1703" s="3">
        <v>3.1899621669904503E-2</v>
      </c>
      <c r="K1703" s="3">
        <v>3.1899621669904503E-2</v>
      </c>
      <c r="L1703" s="3">
        <v>3.4137433405110253E-2</v>
      </c>
      <c r="M1703" s="3">
        <v>3.6638928995375755E-2</v>
      </c>
      <c r="N1703" s="3">
        <v>3.8663340604640155E-2</v>
      </c>
      <c r="O1703" s="3">
        <v>4.0252871511920849E-2</v>
      </c>
      <c r="P1703" s="3">
        <v>4.0694010313301332E-2</v>
      </c>
    </row>
    <row r="1704" spans="1:16" x14ac:dyDescent="0.3">
      <c r="A1704" s="3" t="str">
        <f t="shared" si="26"/>
        <v>ELC</v>
      </c>
      <c r="C1704" s="3" t="s">
        <v>850</v>
      </c>
      <c r="D1704" s="3" t="s">
        <v>1456</v>
      </c>
      <c r="E1704" s="3" t="s">
        <v>1455</v>
      </c>
      <c r="F1704" s="3" t="s">
        <v>6</v>
      </c>
      <c r="G1704" s="3">
        <v>0.110819360961953</v>
      </c>
      <c r="H1704" s="3">
        <v>0.11081936096195256</v>
      </c>
      <c r="I1704" s="3">
        <v>0.11081936096195306</v>
      </c>
      <c r="J1704" s="3">
        <v>0.110819360961953</v>
      </c>
      <c r="K1704" s="3">
        <v>0.110819360961952</v>
      </c>
      <c r="L1704" s="3">
        <v>0.11859352421112478</v>
      </c>
      <c r="M1704" s="3">
        <v>0.1272837257950484</v>
      </c>
      <c r="N1704" s="3">
        <v>0.1343165365030918</v>
      </c>
      <c r="O1704" s="3">
        <v>0.13983857062615782</v>
      </c>
      <c r="P1704" s="3">
        <v>0.14137108786320809</v>
      </c>
    </row>
    <row r="1705" spans="1:16" x14ac:dyDescent="0.3">
      <c r="A1705" s="3" t="str">
        <f t="shared" si="26"/>
        <v>COA</v>
      </c>
      <c r="C1705" s="3" t="s">
        <v>850</v>
      </c>
      <c r="D1705" s="3" t="s">
        <v>766</v>
      </c>
      <c r="E1705" s="3" t="s">
        <v>1458</v>
      </c>
      <c r="F1705" s="3" t="s">
        <v>0</v>
      </c>
      <c r="G1705" s="3">
        <v>0.449463520794879</v>
      </c>
      <c r="H1705" s="3">
        <v>0.46531186402484398</v>
      </c>
      <c r="I1705" s="3">
        <v>0.46531186402484398</v>
      </c>
      <c r="J1705" s="3">
        <v>0.46531186402484398</v>
      </c>
      <c r="K1705" s="3">
        <v>0.46531186402484398</v>
      </c>
      <c r="L1705" s="3">
        <v>0.49795426839629098</v>
      </c>
      <c r="M1705" s="3">
        <v>0.53444296371691602</v>
      </c>
      <c r="N1705" s="3">
        <v>0.56397255341575203</v>
      </c>
      <c r="O1705" s="3">
        <v>0.58715864624924996</v>
      </c>
      <c r="P1705" s="3">
        <v>0.59359342845726804</v>
      </c>
    </row>
    <row r="1706" spans="1:16" x14ac:dyDescent="0.3">
      <c r="A1706" s="3" t="str">
        <f t="shared" si="26"/>
        <v>COA</v>
      </c>
      <c r="C1706" s="3" t="s">
        <v>850</v>
      </c>
      <c r="D1706" s="3" t="s">
        <v>766</v>
      </c>
      <c r="E1706" s="3" t="s">
        <v>1458</v>
      </c>
      <c r="F1706" s="3" t="s">
        <v>1</v>
      </c>
      <c r="G1706" s="3">
        <v>1.02467760929838</v>
      </c>
      <c r="H1706" s="3">
        <v>1.0557652405451701</v>
      </c>
      <c r="I1706" s="3">
        <v>1.18011576553234</v>
      </c>
      <c r="J1706" s="3">
        <v>1.1975670657929101</v>
      </c>
      <c r="K1706" s="3">
        <v>1.24794200902108</v>
      </c>
      <c r="L1706" s="3">
        <v>1.3707005686109901</v>
      </c>
      <c r="M1706" s="3">
        <v>1.47114167053172</v>
      </c>
      <c r="N1706" s="3">
        <v>1.5524266960048501</v>
      </c>
      <c r="O1706" s="3">
        <v>1.61625020882079</v>
      </c>
      <c r="P1706" s="3">
        <v>1.63396299931422</v>
      </c>
    </row>
    <row r="1707" spans="1:16" x14ac:dyDescent="0.3">
      <c r="A1707" s="3" t="str">
        <f t="shared" si="26"/>
        <v>COA</v>
      </c>
      <c r="C1707" s="3" t="s">
        <v>850</v>
      </c>
      <c r="D1707" s="3" t="s">
        <v>766</v>
      </c>
      <c r="E1707" s="3" t="s">
        <v>1458</v>
      </c>
      <c r="F1707" s="3" t="s">
        <v>2</v>
      </c>
      <c r="G1707" s="3">
        <v>0.74029414876852495</v>
      </c>
      <c r="H1707" s="3">
        <v>0.76275388761929497</v>
      </c>
      <c r="I1707" s="3">
        <v>0.85259284302237603</v>
      </c>
      <c r="J1707" s="3">
        <v>0.86520080415480605</v>
      </c>
      <c r="K1707" s="3">
        <v>0.90159495913384802</v>
      </c>
      <c r="L1707" s="3">
        <v>0.99028377457296901</v>
      </c>
      <c r="M1707" s="3">
        <v>1.0628489983790099</v>
      </c>
      <c r="N1707" s="3">
        <v>1.12157461919301</v>
      </c>
      <c r="O1707" s="3">
        <v>1.1676849007710901</v>
      </c>
      <c r="P1707" s="3">
        <v>1.1804817795568301</v>
      </c>
    </row>
    <row r="1708" spans="1:16" x14ac:dyDescent="0.3">
      <c r="A1708" s="3" t="str">
        <f t="shared" si="26"/>
        <v>COA</v>
      </c>
      <c r="C1708" s="3" t="s">
        <v>850</v>
      </c>
      <c r="D1708" s="3" t="s">
        <v>766</v>
      </c>
      <c r="E1708" s="3" t="s">
        <v>1458</v>
      </c>
      <c r="F1708" s="3" t="s">
        <v>3</v>
      </c>
      <c r="G1708" s="3">
        <v>0.60542587109482904</v>
      </c>
      <c r="H1708" s="3">
        <v>0.626773536837403</v>
      </c>
      <c r="I1708" s="3">
        <v>0.626773536837403</v>
      </c>
      <c r="J1708" s="3">
        <v>0.626773536837403</v>
      </c>
      <c r="K1708" s="3">
        <v>0.626773536837403</v>
      </c>
      <c r="L1708" s="3">
        <v>0.67074274721127902</v>
      </c>
      <c r="M1708" s="3">
        <v>0.71989289873088402</v>
      </c>
      <c r="N1708" s="3">
        <v>0.75966915806973401</v>
      </c>
      <c r="O1708" s="3">
        <v>0.79090074818005296</v>
      </c>
      <c r="P1708" s="3">
        <v>0.79956837846227302</v>
      </c>
    </row>
    <row r="1709" spans="1:16" x14ac:dyDescent="0.3">
      <c r="A1709" s="3" t="str">
        <f t="shared" si="26"/>
        <v>COA</v>
      </c>
      <c r="C1709" s="3" t="s">
        <v>850</v>
      </c>
      <c r="D1709" s="3" t="s">
        <v>766</v>
      </c>
      <c r="E1709" s="3" t="s">
        <v>1458</v>
      </c>
      <c r="F1709" s="3" t="s">
        <v>4</v>
      </c>
      <c r="G1709" s="3">
        <v>0.22949295859173099</v>
      </c>
      <c r="H1709" s="3">
        <v>0.23758501280380401</v>
      </c>
      <c r="I1709" s="3">
        <v>0.23758501280380401</v>
      </c>
      <c r="J1709" s="3">
        <v>0.23758501280380401</v>
      </c>
      <c r="K1709" s="3">
        <v>0.23758501280380401</v>
      </c>
      <c r="L1709" s="3">
        <v>0.254251998239023</v>
      </c>
      <c r="M1709" s="3">
        <v>0.27288287317515503</v>
      </c>
      <c r="N1709" s="3">
        <v>0.28796047701272598</v>
      </c>
      <c r="O1709" s="3">
        <v>0.29979913531614499</v>
      </c>
      <c r="P1709" s="3">
        <v>0.30308469051359499</v>
      </c>
    </row>
    <row r="1710" spans="1:16" x14ac:dyDescent="0.3">
      <c r="A1710" s="3" t="str">
        <f t="shared" si="26"/>
        <v>COA</v>
      </c>
      <c r="C1710" s="3" t="s">
        <v>850</v>
      </c>
      <c r="D1710" s="3" t="s">
        <v>766</v>
      </c>
      <c r="E1710" s="3" t="s">
        <v>1458</v>
      </c>
      <c r="F1710" s="3" t="s">
        <v>5</v>
      </c>
      <c r="G1710" s="3">
        <v>0.200036541431309</v>
      </c>
      <c r="H1710" s="3">
        <v>0.207089945368365</v>
      </c>
      <c r="I1710" s="3">
        <v>0.207089945368365</v>
      </c>
      <c r="J1710" s="3">
        <v>0.207089945368365</v>
      </c>
      <c r="K1710" s="3">
        <v>0.207089945368365</v>
      </c>
      <c r="L1710" s="3">
        <v>0.22161765089365201</v>
      </c>
      <c r="M1710" s="3">
        <v>0.23785717217976199</v>
      </c>
      <c r="N1710" s="3">
        <v>0.25099950013286099</v>
      </c>
      <c r="O1710" s="3">
        <v>0.26131861526708999</v>
      </c>
      <c r="P1710" s="3">
        <v>0.26418245519669897</v>
      </c>
    </row>
    <row r="1711" spans="1:16" x14ac:dyDescent="0.3">
      <c r="A1711" s="3" t="str">
        <f t="shared" si="26"/>
        <v>COA</v>
      </c>
      <c r="C1711" s="3" t="s">
        <v>850</v>
      </c>
      <c r="D1711" s="3" t="s">
        <v>766</v>
      </c>
      <c r="E1711" s="3" t="s">
        <v>1458</v>
      </c>
      <c r="F1711" s="3" t="s">
        <v>6</v>
      </c>
      <c r="G1711" s="3">
        <v>0.694927417003536</v>
      </c>
      <c r="H1711" s="3">
        <v>0.71943095892637199</v>
      </c>
      <c r="I1711" s="3">
        <v>0.71943095892637199</v>
      </c>
      <c r="J1711" s="3">
        <v>0.71943095892637199</v>
      </c>
      <c r="K1711" s="3">
        <v>0.71943095892637199</v>
      </c>
      <c r="L1711" s="3">
        <v>0.76990024220550901</v>
      </c>
      <c r="M1711" s="3">
        <v>0.82631637747750297</v>
      </c>
      <c r="N1711" s="3">
        <v>0.87197285580147199</v>
      </c>
      <c r="O1711" s="3">
        <v>0.90782148613011604</v>
      </c>
      <c r="P1711" s="3">
        <v>0.91777047280403001</v>
      </c>
    </row>
    <row r="1712" spans="1:16" x14ac:dyDescent="0.3">
      <c r="A1712" s="3" t="str">
        <f t="shared" si="26"/>
        <v>COA</v>
      </c>
      <c r="C1712" s="3" t="s">
        <v>850</v>
      </c>
      <c r="D1712" s="3" t="s">
        <v>766</v>
      </c>
      <c r="E1712" s="3" t="s">
        <v>1458</v>
      </c>
      <c r="F1712" s="3" t="s">
        <v>7</v>
      </c>
      <c r="G1712" s="3">
        <v>0.11518392125386399</v>
      </c>
      <c r="H1712" s="3">
        <v>0.119245372815887</v>
      </c>
      <c r="I1712" s="3">
        <v>0.119245372815887</v>
      </c>
      <c r="J1712" s="3">
        <v>0.119245372815887</v>
      </c>
      <c r="K1712" s="3">
        <v>0.119245372815887</v>
      </c>
      <c r="L1712" s="3">
        <v>0.12761063486876301</v>
      </c>
      <c r="M1712" s="3">
        <v>0.136961585088337</v>
      </c>
      <c r="N1712" s="3">
        <v>0.14452912678452201</v>
      </c>
      <c r="O1712" s="3">
        <v>0.150471021882917</v>
      </c>
      <c r="P1712" s="3">
        <v>0.15212006215613699</v>
      </c>
    </row>
    <row r="1713" spans="1:16" x14ac:dyDescent="0.3">
      <c r="A1713" s="3" t="str">
        <f t="shared" si="26"/>
        <v>COA</v>
      </c>
      <c r="C1713" s="3" t="s">
        <v>850</v>
      </c>
      <c r="D1713" s="3" t="s">
        <v>766</v>
      </c>
      <c r="E1713" s="3" t="s">
        <v>1458</v>
      </c>
      <c r="F1713" s="3" t="s">
        <v>8</v>
      </c>
      <c r="G1713" s="3">
        <v>5.9817824027096601E-2</v>
      </c>
      <c r="H1713" s="3">
        <v>6.1632633327568201E-2</v>
      </c>
      <c r="I1713" s="3">
        <v>6.8891870529455404E-2</v>
      </c>
      <c r="J1713" s="3">
        <v>6.9910628818460802E-2</v>
      </c>
      <c r="K1713" s="3">
        <v>7.2851377656976704E-2</v>
      </c>
      <c r="L1713" s="3">
        <v>8.0017680354268095E-2</v>
      </c>
      <c r="M1713" s="3">
        <v>8.5881152050400894E-2</v>
      </c>
      <c r="N1713" s="3">
        <v>9.0626345373321801E-2</v>
      </c>
      <c r="O1713" s="3">
        <v>9.4352184235975495E-2</v>
      </c>
      <c r="P1713" s="3">
        <v>9.5386207596250799E-2</v>
      </c>
    </row>
    <row r="1714" spans="1:16" x14ac:dyDescent="0.3">
      <c r="A1714" s="3" t="str">
        <f t="shared" si="26"/>
        <v>LPG</v>
      </c>
      <c r="C1714" s="3" t="s">
        <v>850</v>
      </c>
      <c r="D1714" s="3" t="s">
        <v>766</v>
      </c>
      <c r="E1714" s="3" t="s">
        <v>1457</v>
      </c>
      <c r="F1714" s="3" t="s">
        <v>0</v>
      </c>
      <c r="G1714" s="3">
        <v>1.5848343229964802E-2</v>
      </c>
    </row>
    <row r="1715" spans="1:16" x14ac:dyDescent="0.3">
      <c r="A1715" s="3" t="str">
        <f t="shared" si="26"/>
        <v>LPG</v>
      </c>
      <c r="C1715" s="3" t="s">
        <v>850</v>
      </c>
      <c r="D1715" s="3" t="s">
        <v>766</v>
      </c>
      <c r="E1715" s="3" t="s">
        <v>1457</v>
      </c>
      <c r="F1715" s="3" t="s">
        <v>3</v>
      </c>
      <c r="G1715" s="3">
        <v>2.1347665742574299E-2</v>
      </c>
    </row>
    <row r="1716" spans="1:16" x14ac:dyDescent="0.3">
      <c r="A1716" s="3" t="str">
        <f t="shared" si="26"/>
        <v>LPG</v>
      </c>
      <c r="C1716" s="3" t="s">
        <v>850</v>
      </c>
      <c r="D1716" s="3" t="s">
        <v>766</v>
      </c>
      <c r="E1716" s="3" t="s">
        <v>1457</v>
      </c>
      <c r="F1716" s="3" t="s">
        <v>4</v>
      </c>
      <c r="G1716" s="3">
        <v>8.0920542120733203E-3</v>
      </c>
    </row>
    <row r="1717" spans="1:16" x14ac:dyDescent="0.3">
      <c r="A1717" s="3" t="str">
        <f t="shared" si="26"/>
        <v>LPG</v>
      </c>
      <c r="C1717" s="3" t="s">
        <v>850</v>
      </c>
      <c r="D1717" s="3" t="s">
        <v>766</v>
      </c>
      <c r="E1717" s="3" t="s">
        <v>1457</v>
      </c>
      <c r="F1717" s="3" t="s">
        <v>5</v>
      </c>
      <c r="G1717" s="3">
        <v>7.0534039370554998E-3</v>
      </c>
    </row>
    <row r="1718" spans="1:16" x14ac:dyDescent="0.3">
      <c r="A1718" s="3" t="str">
        <f t="shared" si="26"/>
        <v>LPG</v>
      </c>
      <c r="C1718" s="3" t="s">
        <v>850</v>
      </c>
      <c r="D1718" s="3" t="s">
        <v>766</v>
      </c>
      <c r="E1718" s="3" t="s">
        <v>1457</v>
      </c>
      <c r="F1718" s="3" t="s">
        <v>6</v>
      </c>
      <c r="G1718" s="3">
        <v>2.4503541922836401E-2</v>
      </c>
    </row>
    <row r="1719" spans="1:16" x14ac:dyDescent="0.3">
      <c r="A1719" s="3" t="str">
        <f t="shared" si="26"/>
        <v>LPG</v>
      </c>
      <c r="C1719" s="3" t="s">
        <v>850</v>
      </c>
      <c r="D1719" s="3" t="s">
        <v>766</v>
      </c>
      <c r="E1719" s="3" t="s">
        <v>1457</v>
      </c>
      <c r="F1719" s="3" t="s">
        <v>7</v>
      </c>
      <c r="G1719" s="3">
        <v>4.0614515620227701E-3</v>
      </c>
    </row>
    <row r="1720" spans="1:16" x14ac:dyDescent="0.3">
      <c r="A1720" s="3" t="str">
        <f t="shared" si="26"/>
        <v>ELC</v>
      </c>
      <c r="C1720" s="3" t="s">
        <v>850</v>
      </c>
      <c r="D1720" s="3" t="s">
        <v>800</v>
      </c>
      <c r="E1720" s="3" t="s">
        <v>1453</v>
      </c>
      <c r="F1720" s="3" t="s">
        <v>0</v>
      </c>
      <c r="G1720" s="3">
        <v>0.33448560000198302</v>
      </c>
      <c r="H1720" s="3">
        <v>0.32333608000191899</v>
      </c>
    </row>
    <row r="1721" spans="1:16" x14ac:dyDescent="0.3">
      <c r="A1721" s="3" t="str">
        <f t="shared" si="26"/>
        <v>ELC</v>
      </c>
      <c r="C1721" s="3" t="s">
        <v>850</v>
      </c>
      <c r="D1721" s="3" t="s">
        <v>800</v>
      </c>
      <c r="E1721" s="3" t="s">
        <v>1453</v>
      </c>
      <c r="F1721" s="3" t="s">
        <v>1</v>
      </c>
      <c r="G1721" s="3">
        <v>0.92072632210079697</v>
      </c>
      <c r="H1721" s="3">
        <v>0.89003544469743701</v>
      </c>
      <c r="I1721" s="3">
        <v>0.76727193508399705</v>
      </c>
      <c r="J1721" s="3">
        <v>0.61381754806719802</v>
      </c>
    </row>
    <row r="1722" spans="1:16" x14ac:dyDescent="0.3">
      <c r="A1722" s="3" t="str">
        <f t="shared" si="26"/>
        <v>ELC</v>
      </c>
      <c r="C1722" s="3" t="s">
        <v>850</v>
      </c>
      <c r="D1722" s="3" t="s">
        <v>800</v>
      </c>
      <c r="E1722" s="3" t="s">
        <v>1453</v>
      </c>
      <c r="F1722" s="3" t="s">
        <v>2</v>
      </c>
      <c r="G1722" s="3">
        <v>0.106906007804457</v>
      </c>
      <c r="H1722" s="3">
        <v>0.103342474210975</v>
      </c>
      <c r="I1722" s="3">
        <v>8.9088339837047503E-2</v>
      </c>
    </row>
    <row r="1723" spans="1:16" x14ac:dyDescent="0.3">
      <c r="A1723" s="3" t="str">
        <f t="shared" si="26"/>
        <v>ELC</v>
      </c>
      <c r="C1723" s="3" t="s">
        <v>850</v>
      </c>
      <c r="D1723" s="3" t="s">
        <v>800</v>
      </c>
      <c r="E1723" s="3" t="s">
        <v>1453</v>
      </c>
      <c r="F1723" s="3" t="s">
        <v>3</v>
      </c>
      <c r="G1723" s="3">
        <v>7.24099810673694E-2</v>
      </c>
      <c r="H1723" s="3">
        <v>6.9996315031790393E-2</v>
      </c>
      <c r="I1723" s="3">
        <v>6.0341650889474498E-2</v>
      </c>
    </row>
    <row r="1724" spans="1:16" x14ac:dyDescent="0.3">
      <c r="A1724" s="3" t="str">
        <f t="shared" si="26"/>
        <v>ELC</v>
      </c>
      <c r="C1724" s="3" t="s">
        <v>850</v>
      </c>
      <c r="D1724" s="3" t="s">
        <v>800</v>
      </c>
      <c r="E1724" s="3" t="s">
        <v>1453</v>
      </c>
      <c r="F1724" s="3" t="s">
        <v>4</v>
      </c>
      <c r="G1724" s="3">
        <v>3.6597006239968401E-2</v>
      </c>
      <c r="H1724" s="3">
        <v>3.5377106031969502E-2</v>
      </c>
      <c r="I1724" s="3">
        <v>3.0497505199973698E-2</v>
      </c>
    </row>
    <row r="1725" spans="1:16" x14ac:dyDescent="0.3">
      <c r="A1725" s="3" t="str">
        <f t="shared" si="26"/>
        <v>ELC</v>
      </c>
      <c r="C1725" s="3" t="s">
        <v>850</v>
      </c>
      <c r="D1725" s="3" t="s">
        <v>800</v>
      </c>
      <c r="E1725" s="3" t="s">
        <v>1453</v>
      </c>
      <c r="F1725" s="3" t="s">
        <v>5</v>
      </c>
      <c r="G1725" s="3">
        <v>3.18996216699046E-2</v>
      </c>
      <c r="H1725" s="3">
        <v>3.0836300947574401E-2</v>
      </c>
      <c r="I1725" s="3">
        <v>2.6583018058253801E-2</v>
      </c>
    </row>
    <row r="1726" spans="1:16" x14ac:dyDescent="0.3">
      <c r="A1726" s="3" t="str">
        <f t="shared" si="26"/>
        <v>ELC</v>
      </c>
      <c r="C1726" s="3" t="s">
        <v>850</v>
      </c>
      <c r="D1726" s="3" t="s">
        <v>800</v>
      </c>
      <c r="E1726" s="3" t="s">
        <v>1453</v>
      </c>
      <c r="F1726" s="3" t="s">
        <v>6</v>
      </c>
      <c r="G1726" s="3">
        <v>0.110819360961953</v>
      </c>
      <c r="H1726" s="3">
        <v>0.10712538226322101</v>
      </c>
      <c r="I1726" s="3">
        <v>9.23494674682942E-2</v>
      </c>
    </row>
    <row r="1727" spans="1:16" x14ac:dyDescent="0.3">
      <c r="A1727" s="3" t="str">
        <f t="shared" si="26"/>
        <v>ELC</v>
      </c>
      <c r="C1727" s="3" t="s">
        <v>850</v>
      </c>
      <c r="D1727" s="3" t="s">
        <v>800</v>
      </c>
      <c r="E1727" s="3" t="s">
        <v>1453</v>
      </c>
      <c r="F1727" s="3" t="s">
        <v>8</v>
      </c>
      <c r="I1727" s="3">
        <v>2.4704841303632201E-2</v>
      </c>
      <c r="J1727" s="3">
        <v>5.7001919773591404E-2</v>
      </c>
      <c r="K1727" s="3">
        <v>5.9995259060212483E-2</v>
      </c>
      <c r="L1727" s="3">
        <v>6.7467621846838577E-2</v>
      </c>
      <c r="M1727" s="3">
        <v>7.376708809386584E-2</v>
      </c>
      <c r="N1727" s="3">
        <v>8.2081022851310748E-2</v>
      </c>
      <c r="O1727" s="3">
        <v>0.10778266759493026</v>
      </c>
      <c r="P1727" s="3">
        <v>0.11326941764726765</v>
      </c>
    </row>
    <row r="1728" spans="1:16" x14ac:dyDescent="0.3">
      <c r="A1728" s="3" t="str">
        <f t="shared" si="26"/>
        <v>NGA</v>
      </c>
      <c r="C1728" s="3" t="s">
        <v>850</v>
      </c>
      <c r="D1728" s="3" t="s">
        <v>800</v>
      </c>
      <c r="E1728" s="3" t="s">
        <v>1454</v>
      </c>
      <c r="F1728" s="3" t="s">
        <v>0</v>
      </c>
      <c r="G1728" s="3">
        <v>0.50566826796549402</v>
      </c>
      <c r="H1728" s="3">
        <v>0.51681778796555855</v>
      </c>
      <c r="I1728" s="3">
        <v>0.84015386796747649</v>
      </c>
      <c r="J1728" s="3">
        <v>0.84015386796747715</v>
      </c>
      <c r="K1728" s="3">
        <v>0.84015386796747671</v>
      </c>
      <c r="L1728" s="3">
        <v>0.89909206493329763</v>
      </c>
      <c r="M1728" s="3">
        <v>0.9649750154464054</v>
      </c>
      <c r="N1728" s="3">
        <v>1.0182928027694569</v>
      </c>
      <c r="O1728" s="3">
        <v>1.0601569525648642</v>
      </c>
      <c r="P1728" s="3">
        <v>1.0717754123110494</v>
      </c>
    </row>
    <row r="1729" spans="1:16" x14ac:dyDescent="0.3">
      <c r="A1729" s="3" t="str">
        <f t="shared" si="26"/>
        <v>NGA</v>
      </c>
      <c r="C1729" s="3" t="s">
        <v>850</v>
      </c>
      <c r="D1729" s="3" t="s">
        <v>800</v>
      </c>
      <c r="E1729" s="3" t="s">
        <v>1454</v>
      </c>
      <c r="F1729" s="3" t="s">
        <v>1</v>
      </c>
      <c r="G1729" s="3">
        <v>0.92940242687461905</v>
      </c>
      <c r="H1729" s="3">
        <v>1.0162242471084899</v>
      </c>
      <c r="I1729" s="3">
        <v>1.3635115280439951</v>
      </c>
      <c r="J1729" s="3">
        <v>1.5484754864870602</v>
      </c>
      <c r="K1729" s="3">
        <v>2.2532485993569931</v>
      </c>
      <c r="L1729" s="3">
        <v>2.4748979632341035</v>
      </c>
      <c r="M1729" s="3">
        <v>2.6562515602640513</v>
      </c>
      <c r="N1729" s="3">
        <v>2.8030174904691672</v>
      </c>
      <c r="O1729" s="3">
        <v>2.9182554100351288</v>
      </c>
      <c r="P1729" s="3">
        <v>2.9502371207889357</v>
      </c>
    </row>
    <row r="1730" spans="1:16" x14ac:dyDescent="0.3">
      <c r="A1730" s="3" t="str">
        <f t="shared" si="26"/>
        <v>NGA</v>
      </c>
      <c r="C1730" s="3" t="s">
        <v>850</v>
      </c>
      <c r="D1730" s="3" t="s">
        <v>800</v>
      </c>
      <c r="E1730" s="3" t="s">
        <v>1454</v>
      </c>
      <c r="F1730" s="3" t="s">
        <v>2</v>
      </c>
      <c r="G1730" s="3">
        <v>3.1463364093161701</v>
      </c>
      <c r="H1730" s="3">
        <v>3.2485998654044201</v>
      </c>
      <c r="I1730" s="3">
        <v>3.6576536897573901</v>
      </c>
      <c r="J1730" s="3">
        <v>3.8021480516704758</v>
      </c>
      <c r="K1730" s="3">
        <v>3.9620831381628374</v>
      </c>
      <c r="L1730" s="3">
        <v>4.3518285073389782</v>
      </c>
      <c r="M1730" s="3">
        <v>4.6707183222677928</v>
      </c>
      <c r="N1730" s="3">
        <v>4.928789632059523</v>
      </c>
      <c r="O1730" s="3">
        <v>5.1314224965022541</v>
      </c>
      <c r="P1730" s="3">
        <v>5.1876587222535875</v>
      </c>
    </row>
    <row r="1731" spans="1:16" x14ac:dyDescent="0.3">
      <c r="A1731" s="3" t="str">
        <f t="shared" si="26"/>
        <v>NGA</v>
      </c>
      <c r="C1731" s="3" t="s">
        <v>850</v>
      </c>
      <c r="D1731" s="3" t="s">
        <v>800</v>
      </c>
      <c r="E1731" s="3" t="s">
        <v>1454</v>
      </c>
      <c r="F1731" s="3" t="s">
        <v>3</v>
      </c>
      <c r="G1731" s="3">
        <v>2.6819630736975602</v>
      </c>
      <c r="H1731" s="3">
        <v>2.6843767397331417</v>
      </c>
      <c r="I1731" s="3">
        <v>2.6940314038754556</v>
      </c>
      <c r="J1731" s="3">
        <v>2.7543730547649297</v>
      </c>
      <c r="K1731" s="3">
        <v>2.754373054764931</v>
      </c>
      <c r="L1731" s="3">
        <v>2.9475969245922746</v>
      </c>
      <c r="M1731" s="3">
        <v>3.1635885787171549</v>
      </c>
      <c r="N1731" s="3">
        <v>3.3383864131871386</v>
      </c>
      <c r="O1731" s="3">
        <v>3.4756344704222717</v>
      </c>
      <c r="P1731" s="3">
        <v>3.5137246032930278</v>
      </c>
    </row>
    <row r="1732" spans="1:16" x14ac:dyDescent="0.3">
      <c r="A1732" s="3" t="str">
        <f t="shared" si="26"/>
        <v>NGA</v>
      </c>
      <c r="C1732" s="3" t="s">
        <v>850</v>
      </c>
      <c r="D1732" s="3" t="s">
        <v>800</v>
      </c>
      <c r="E1732" s="3" t="s">
        <v>1454</v>
      </c>
      <c r="F1732" s="3" t="s">
        <v>4</v>
      </c>
      <c r="G1732" s="3">
        <v>0.968215173581778</v>
      </c>
      <c r="H1732" s="3">
        <v>0.96943507378977789</v>
      </c>
      <c r="I1732" s="3">
        <v>0.97431467462177268</v>
      </c>
      <c r="J1732" s="3">
        <v>1.0048121798217469</v>
      </c>
      <c r="K1732" s="3">
        <v>1.0048121798217469</v>
      </c>
      <c r="L1732" s="3">
        <v>1.0753014323574237</v>
      </c>
      <c r="M1732" s="3">
        <v>1.1540965122138298</v>
      </c>
      <c r="N1732" s="3">
        <v>1.2178638340651866</v>
      </c>
      <c r="O1732" s="3">
        <v>1.2679327669311069</v>
      </c>
      <c r="P1732" s="3">
        <v>1.2818282809659141</v>
      </c>
    </row>
    <row r="1733" spans="1:16" x14ac:dyDescent="0.3">
      <c r="A1733" s="3" t="str">
        <f t="shared" si="26"/>
        <v>NGA</v>
      </c>
      <c r="C1733" s="3" t="s">
        <v>850</v>
      </c>
      <c r="D1733" s="3" t="s">
        <v>800</v>
      </c>
      <c r="E1733" s="3" t="s">
        <v>1454</v>
      </c>
      <c r="F1733" s="3" t="s">
        <v>5</v>
      </c>
      <c r="G1733" s="3">
        <v>0.84394055431202397</v>
      </c>
      <c r="H1733" s="3">
        <v>0.84500387503435448</v>
      </c>
      <c r="I1733" s="3">
        <v>0.84925715792367451</v>
      </c>
      <c r="J1733" s="3">
        <v>0.87584017598192943</v>
      </c>
      <c r="K1733" s="3">
        <v>0.87584017598192831</v>
      </c>
      <c r="L1733" s="3">
        <v>0.93728182705411545</v>
      </c>
      <c r="M1733" s="3">
        <v>1.0059632164658003</v>
      </c>
      <c r="N1733" s="3">
        <v>1.0615457258279972</v>
      </c>
      <c r="O1733" s="3">
        <v>1.1051880938776131</v>
      </c>
      <c r="P1733" s="3">
        <v>1.11730005838401</v>
      </c>
    </row>
    <row r="1734" spans="1:16" x14ac:dyDescent="0.3">
      <c r="A1734" s="3" t="str">
        <f t="shared" si="26"/>
        <v>NGA</v>
      </c>
      <c r="C1734" s="3" t="s">
        <v>850</v>
      </c>
      <c r="D1734" s="3" t="s">
        <v>800</v>
      </c>
      <c r="E1734" s="3" t="s">
        <v>1454</v>
      </c>
      <c r="F1734" s="3" t="s">
        <v>6</v>
      </c>
      <c r="G1734" s="3">
        <v>2.9318514773161199</v>
      </c>
      <c r="H1734" s="3">
        <v>2.9355454560148551</v>
      </c>
      <c r="I1734" s="3">
        <v>2.9503213708097777</v>
      </c>
      <c r="J1734" s="3">
        <v>3.0426708382780729</v>
      </c>
      <c r="K1734" s="3">
        <v>3.0426708382780729</v>
      </c>
      <c r="L1734" s="3">
        <v>3.2561192791005049</v>
      </c>
      <c r="M1734" s="3">
        <v>3.4947185879996097</v>
      </c>
      <c r="N1734" s="3">
        <v>3.6878123566944154</v>
      </c>
      <c r="O1734" s="3">
        <v>3.839426046291472</v>
      </c>
      <c r="P1734" s="3">
        <v>3.8815030395700356</v>
      </c>
    </row>
    <row r="1735" spans="1:16" x14ac:dyDescent="0.3">
      <c r="A1735" s="3" t="str">
        <f t="shared" si="26"/>
        <v>NGA</v>
      </c>
      <c r="C1735" s="3" t="s">
        <v>850</v>
      </c>
      <c r="D1735" s="3" t="s">
        <v>800</v>
      </c>
      <c r="E1735" s="3" t="s">
        <v>1454</v>
      </c>
      <c r="F1735" s="3" t="s">
        <v>7</v>
      </c>
      <c r="G1735" s="3">
        <v>0.58314374956857595</v>
      </c>
      <c r="H1735" s="3">
        <v>0.58314374956857651</v>
      </c>
      <c r="I1735" s="3">
        <v>0.58314374956857629</v>
      </c>
      <c r="J1735" s="3">
        <v>0.58314374956857629</v>
      </c>
      <c r="K1735" s="3">
        <v>0.58314374956857618</v>
      </c>
      <c r="L1735" s="3">
        <v>0.62405225750011428</v>
      </c>
      <c r="M1735" s="3">
        <v>0.66978106059162335</v>
      </c>
      <c r="N1735" s="3">
        <v>0.70678848935402572</v>
      </c>
      <c r="O1735" s="3">
        <v>0.73584604442218804</v>
      </c>
      <c r="P1735" s="3">
        <v>0.74391031983520595</v>
      </c>
    </row>
    <row r="1736" spans="1:16" x14ac:dyDescent="0.3">
      <c r="A1736" s="3" t="str">
        <f t="shared" ref="A1736:A1799" si="27">RIGHT(E1736,3)</f>
        <v>NGA</v>
      </c>
      <c r="C1736" s="3" t="s">
        <v>850</v>
      </c>
      <c r="D1736" s="3" t="s">
        <v>800</v>
      </c>
      <c r="E1736" s="3" t="s">
        <v>1454</v>
      </c>
      <c r="F1736" s="3" t="s">
        <v>8</v>
      </c>
      <c r="G1736" s="3">
        <v>0.29252615317872699</v>
      </c>
      <c r="H1736" s="3">
        <v>0.30140108622843897</v>
      </c>
      <c r="I1736" s="3">
        <v>0.31219597712365871</v>
      </c>
      <c r="J1736" s="3">
        <v>0.28488091610666899</v>
      </c>
      <c r="K1736" s="3">
        <v>0.29626867407972407</v>
      </c>
      <c r="L1736" s="3">
        <v>0.32384156736265041</v>
      </c>
      <c r="M1736" s="3">
        <v>0.3462161434673654</v>
      </c>
      <c r="N1736" s="3">
        <v>0.36110755212419549</v>
      </c>
      <c r="O1736" s="3">
        <v>0.35362631789504378</v>
      </c>
      <c r="P1736" s="3">
        <v>0.35319623583085097</v>
      </c>
    </row>
    <row r="1737" spans="1:16" x14ac:dyDescent="0.3">
      <c r="A1737" s="3" t="str">
        <f t="shared" si="27"/>
        <v>STM</v>
      </c>
      <c r="C1737" s="3" t="s">
        <v>850</v>
      </c>
      <c r="D1737" s="3" t="s">
        <v>1534</v>
      </c>
      <c r="E1737" s="3" t="s">
        <v>1535</v>
      </c>
      <c r="F1737" s="3" t="s">
        <v>1</v>
      </c>
      <c r="G1737" s="3">
        <v>0.26757400035482098</v>
      </c>
      <c r="H1737" s="3">
        <v>0.275691911567848</v>
      </c>
      <c r="I1737" s="3">
        <v>0.30816355641995102</v>
      </c>
      <c r="J1737" s="3">
        <v>0.46389389797992803</v>
      </c>
      <c r="K1737" s="3">
        <v>0.46389389797992803</v>
      </c>
      <c r="L1737" s="3">
        <v>0.46389389797992803</v>
      </c>
      <c r="M1737" s="3">
        <v>0.46389389797992803</v>
      </c>
      <c r="N1737" s="3">
        <v>0.405385086526935</v>
      </c>
      <c r="O1737" s="3">
        <v>0.42205131645709998</v>
      </c>
      <c r="P1737" s="3">
        <v>0.42667665633646001</v>
      </c>
    </row>
    <row r="1738" spans="1:16" x14ac:dyDescent="0.3">
      <c r="A1738" s="3" t="str">
        <f t="shared" si="27"/>
        <v>STM</v>
      </c>
      <c r="C1738" s="3" t="s">
        <v>850</v>
      </c>
      <c r="D1738" s="3" t="s">
        <v>1534</v>
      </c>
      <c r="E1738" s="3" t="s">
        <v>1535</v>
      </c>
      <c r="F1738" s="3" t="s">
        <v>2</v>
      </c>
      <c r="G1738" s="3">
        <v>7.2625884964515599E-3</v>
      </c>
      <c r="H1738" s="3">
        <v>7.4829277241516704E-3</v>
      </c>
      <c r="I1738" s="3">
        <v>8.3642846349539102E-3</v>
      </c>
      <c r="J1738" s="3">
        <v>1.21851263108178E-2</v>
      </c>
      <c r="K1738" s="3">
        <v>1.21851263108178E-2</v>
      </c>
      <c r="L1738" s="3">
        <v>1.21851263108178E-2</v>
      </c>
      <c r="M1738" s="3">
        <v>1.21851263108178E-2</v>
      </c>
      <c r="N1738" s="3">
        <v>1.1003105915146199E-2</v>
      </c>
      <c r="O1738" s="3">
        <v>1.1455466643802099E-2</v>
      </c>
      <c r="P1738" s="3">
        <v>1.1581009260631501E-2</v>
      </c>
    </row>
    <row r="1739" spans="1:16" x14ac:dyDescent="0.3">
      <c r="A1739" s="3" t="str">
        <f t="shared" si="27"/>
        <v>STM</v>
      </c>
      <c r="C1739" s="3" t="s">
        <v>850</v>
      </c>
      <c r="D1739" s="3" t="s">
        <v>1534</v>
      </c>
      <c r="E1739" s="3" t="s">
        <v>1535</v>
      </c>
      <c r="F1739" s="3" t="s">
        <v>8</v>
      </c>
      <c r="G1739" s="3">
        <v>3.6450225269143599E-2</v>
      </c>
      <c r="H1739" s="3">
        <v>3.7556086421711897E-2</v>
      </c>
      <c r="I1739" s="3">
        <v>4.19795310319852E-2</v>
      </c>
      <c r="J1739" s="3">
        <v>4.2600315384024298E-2</v>
      </c>
      <c r="K1739" s="3">
        <v>4.4392272202368598E-2</v>
      </c>
      <c r="L1739" s="3">
        <v>4.87590868084102E-2</v>
      </c>
      <c r="M1739" s="3">
        <v>5.2332016243062801E-2</v>
      </c>
      <c r="N1739" s="3">
        <v>5.5223518372724899E-2</v>
      </c>
      <c r="O1739" s="3">
        <v>5.7493872871055403E-2</v>
      </c>
      <c r="P1739" s="3">
        <v>5.8123959054038603E-2</v>
      </c>
    </row>
    <row r="1740" spans="1:16" x14ac:dyDescent="0.3">
      <c r="A1740" s="3" t="str">
        <f t="shared" si="27"/>
        <v>EXT</v>
      </c>
      <c r="C1740" s="3" t="s">
        <v>850</v>
      </c>
      <c r="D1740" s="3" t="s">
        <v>1536</v>
      </c>
      <c r="E1740" s="3" t="s">
        <v>1537</v>
      </c>
      <c r="F1740" s="3" t="s">
        <v>0</v>
      </c>
      <c r="G1740" s="3">
        <v>9.3373398011241502</v>
      </c>
      <c r="H1740" s="3">
        <v>9.9386301761320492</v>
      </c>
      <c r="I1740" s="3">
        <v>12.343791676163599</v>
      </c>
      <c r="J1740" s="3">
        <v>12.343791676163599</v>
      </c>
      <c r="K1740" s="3">
        <v>12.6615539790605</v>
      </c>
      <c r="L1740" s="3">
        <v>13.428835083858299</v>
      </c>
      <c r="M1740" s="3">
        <v>14.5476402289975</v>
      </c>
      <c r="N1740" s="3">
        <v>15.578687210098199</v>
      </c>
      <c r="O1740" s="3">
        <v>21.434387265881497</v>
      </c>
      <c r="P1740" s="3">
        <v>22.706581233220998</v>
      </c>
    </row>
    <row r="1741" spans="1:16" x14ac:dyDescent="0.3">
      <c r="A1741" s="3" t="str">
        <f t="shared" si="27"/>
        <v>EXT</v>
      </c>
      <c r="C1741" s="3" t="s">
        <v>850</v>
      </c>
      <c r="D1741" s="3" t="s">
        <v>1536</v>
      </c>
      <c r="E1741" s="3" t="s">
        <v>1537</v>
      </c>
      <c r="F1741" s="3" t="s">
        <v>1</v>
      </c>
      <c r="G1741" s="3">
        <v>30.297990760114001</v>
      </c>
      <c r="H1741" s="3">
        <v>32.015091871667998</v>
      </c>
      <c r="I1741" s="3">
        <v>38.883496317883996</v>
      </c>
      <c r="J1741" s="3">
        <v>38.883496317883996</v>
      </c>
      <c r="K1741" s="3">
        <v>39.884461795818282</v>
      </c>
      <c r="L1741" s="3">
        <v>42.301431621289183</v>
      </c>
      <c r="M1741" s="3">
        <v>45.825717908901879</v>
      </c>
      <c r="N1741" s="3">
        <v>49.073562051525478</v>
      </c>
      <c r="O1741" s="3">
        <v>67.519279342539278</v>
      </c>
      <c r="P1741" s="3">
        <v>71.526747286137478</v>
      </c>
    </row>
    <row r="1742" spans="1:16" x14ac:dyDescent="0.3">
      <c r="A1742" s="3" t="str">
        <f t="shared" si="27"/>
        <v>EXT</v>
      </c>
      <c r="C1742" s="3" t="s">
        <v>850</v>
      </c>
      <c r="D1742" s="3" t="s">
        <v>1536</v>
      </c>
      <c r="E1742" s="3" t="s">
        <v>1537</v>
      </c>
      <c r="F1742" s="3" t="s">
        <v>2</v>
      </c>
      <c r="G1742" s="3">
        <v>66.348936635490404</v>
      </c>
      <c r="H1742" s="3">
        <v>68.3030515226733</v>
      </c>
      <c r="I1742" s="3">
        <v>76.119511071404801</v>
      </c>
      <c r="J1742" s="3">
        <v>76.119511071404801</v>
      </c>
      <c r="K1742" s="3">
        <v>78.079031433380905</v>
      </c>
      <c r="L1742" s="3">
        <v>82.810564829583299</v>
      </c>
      <c r="M1742" s="3">
        <v>89.709814498274895</v>
      </c>
      <c r="N1742" s="3">
        <v>96.0678926441161</v>
      </c>
      <c r="O1742" s="3">
        <v>132.17778795997401</v>
      </c>
      <c r="P1742" s="3">
        <v>140.022928685159</v>
      </c>
    </row>
    <row r="1743" spans="1:16" x14ac:dyDescent="0.3">
      <c r="A1743" s="3" t="str">
        <f t="shared" si="27"/>
        <v>EXT</v>
      </c>
      <c r="C1743" s="3" t="s">
        <v>850</v>
      </c>
      <c r="D1743" s="3" t="s">
        <v>1536</v>
      </c>
      <c r="E1743" s="3" t="s">
        <v>1537</v>
      </c>
      <c r="F1743" s="3" t="s">
        <v>3</v>
      </c>
      <c r="G1743" s="3">
        <v>43.649840494080799</v>
      </c>
      <c r="H1743" s="3">
        <v>44.878777961370496</v>
      </c>
      <c r="I1743" s="3">
        <v>49.794527830529283</v>
      </c>
      <c r="J1743" s="3">
        <v>49.794527830529283</v>
      </c>
      <c r="K1743" s="3">
        <v>51.076372522192884</v>
      </c>
      <c r="L1743" s="3">
        <v>54.171564123689983</v>
      </c>
      <c r="M1743" s="3">
        <v>58.684794369154496</v>
      </c>
      <c r="N1743" s="3">
        <v>62.844010511317798</v>
      </c>
      <c r="O1743" s="3">
        <v>86.465749037413602</v>
      </c>
      <c r="P1743" s="3">
        <v>91.597745718372494</v>
      </c>
    </row>
    <row r="1744" spans="1:16" x14ac:dyDescent="0.3">
      <c r="A1744" s="3" t="str">
        <f t="shared" si="27"/>
        <v>EXT</v>
      </c>
      <c r="C1744" s="3" t="s">
        <v>850</v>
      </c>
      <c r="D1744" s="3" t="s">
        <v>1536</v>
      </c>
      <c r="E1744" s="3" t="s">
        <v>1537</v>
      </c>
      <c r="F1744" s="3" t="s">
        <v>4</v>
      </c>
      <c r="G1744" s="3">
        <v>18.698269279211701</v>
      </c>
      <c r="H1744" s="3">
        <v>19.2247088590725</v>
      </c>
      <c r="I1744" s="3">
        <v>21.3304671785158</v>
      </c>
      <c r="J1744" s="3">
        <v>21.3304671785158</v>
      </c>
      <c r="K1744" s="3">
        <v>21.8795706104539</v>
      </c>
      <c r="L1744" s="3">
        <v>23.205456922533301</v>
      </c>
      <c r="M1744" s="3">
        <v>25.138788029670302</v>
      </c>
      <c r="N1744" s="3">
        <v>26.920470219944601</v>
      </c>
      <c r="O1744" s="3">
        <v>37.039307375007297</v>
      </c>
      <c r="P1744" s="3">
        <v>39.2376992773466</v>
      </c>
    </row>
    <row r="1745" spans="1:16" x14ac:dyDescent="0.3">
      <c r="A1745" s="3" t="str">
        <f t="shared" si="27"/>
        <v>EXT</v>
      </c>
      <c r="C1745" s="3" t="s">
        <v>850</v>
      </c>
      <c r="D1745" s="3" t="s">
        <v>1536</v>
      </c>
      <c r="E1745" s="3" t="s">
        <v>1537</v>
      </c>
      <c r="F1745" s="3" t="s">
        <v>5</v>
      </c>
      <c r="G1745" s="3">
        <v>16.170138301498699</v>
      </c>
      <c r="H1745" s="3">
        <v>16.625399731667301</v>
      </c>
      <c r="I1745" s="3">
        <v>18.446445452341901</v>
      </c>
      <c r="J1745" s="3">
        <v>18.446445452341901</v>
      </c>
      <c r="K1745" s="3">
        <v>18.921306430311599</v>
      </c>
      <c r="L1745" s="3">
        <v>20.067924051345798</v>
      </c>
      <c r="M1745" s="3">
        <v>21.739855871247098</v>
      </c>
      <c r="N1745" s="3">
        <v>23.280642721401197</v>
      </c>
      <c r="O1745" s="3">
        <v>32.031345463158196</v>
      </c>
      <c r="P1745" s="3">
        <v>33.932500087198399</v>
      </c>
    </row>
    <row r="1746" spans="1:16" x14ac:dyDescent="0.3">
      <c r="A1746" s="3" t="str">
        <f t="shared" si="27"/>
        <v>EXT</v>
      </c>
      <c r="C1746" s="3" t="s">
        <v>850</v>
      </c>
      <c r="D1746" s="3" t="s">
        <v>1536</v>
      </c>
      <c r="E1746" s="3" t="s">
        <v>1537</v>
      </c>
      <c r="F1746" s="3" t="s">
        <v>6</v>
      </c>
      <c r="G1746" s="3">
        <v>50.931320037662303</v>
      </c>
      <c r="H1746" s="3">
        <v>53.817789537967002</v>
      </c>
      <c r="I1746" s="3">
        <v>65.363667539185798</v>
      </c>
      <c r="J1746" s="3">
        <v>65.363667539185798</v>
      </c>
      <c r="K1746" s="3">
        <v>67.0463036422518</v>
      </c>
      <c r="L1746" s="3">
        <v>71.109261634320404</v>
      </c>
      <c r="M1746" s="3">
        <v>77.033633129444297</v>
      </c>
      <c r="N1746" s="3">
        <v>82.493301751370694</v>
      </c>
      <c r="O1746" s="3">
        <v>113.50079456207</v>
      </c>
      <c r="P1746" s="3">
        <v>120.23740076121</v>
      </c>
    </row>
    <row r="1747" spans="1:16" x14ac:dyDescent="0.3">
      <c r="A1747" s="3" t="str">
        <f t="shared" si="27"/>
        <v>EXT</v>
      </c>
      <c r="C1747" s="3" t="s">
        <v>850</v>
      </c>
      <c r="D1747" s="3" t="s">
        <v>1536</v>
      </c>
      <c r="E1747" s="3" t="s">
        <v>1537</v>
      </c>
      <c r="F1747" s="3" t="s">
        <v>7</v>
      </c>
      <c r="G1747" s="3">
        <v>28.420784040632299</v>
      </c>
      <c r="H1747" s="3">
        <v>30.031496785704899</v>
      </c>
      <c r="I1747" s="3">
        <v>36.474347765995098</v>
      </c>
      <c r="J1747" s="3">
        <v>36.474347765995098</v>
      </c>
      <c r="K1747" s="3">
        <v>37.413295299042403</v>
      </c>
      <c r="L1747" s="3">
        <v>39.680514204292805</v>
      </c>
      <c r="M1747" s="3">
        <v>42.986442319151905</v>
      </c>
      <c r="N1747" s="3">
        <v>46.033056126185407</v>
      </c>
      <c r="O1747" s="3">
        <v>63.335911346954909</v>
      </c>
      <c r="P1747" s="3">
        <v>67.095084088029793</v>
      </c>
    </row>
    <row r="1748" spans="1:16" x14ac:dyDescent="0.3">
      <c r="A1748" s="3" t="str">
        <f t="shared" si="27"/>
        <v>EXT</v>
      </c>
      <c r="C1748" s="3" t="s">
        <v>850</v>
      </c>
      <c r="D1748" s="3" t="s">
        <v>1536</v>
      </c>
      <c r="E1748" s="3" t="s">
        <v>1537</v>
      </c>
      <c r="F1748" s="3" t="s">
        <v>8</v>
      </c>
      <c r="G1748" s="3">
        <v>15.0284122277621</v>
      </c>
      <c r="H1748" s="3">
        <v>15.451528982634899</v>
      </c>
      <c r="I1748" s="3">
        <v>17.143996002126098</v>
      </c>
      <c r="J1748" s="3">
        <v>17.143996002126098</v>
      </c>
      <c r="K1748" s="3">
        <v>17.585328438172496</v>
      </c>
      <c r="L1748" s="3">
        <v>18.650986749513095</v>
      </c>
      <c r="M1748" s="3">
        <v>20.204868363738896</v>
      </c>
      <c r="N1748" s="3">
        <v>21.636864770169595</v>
      </c>
      <c r="O1748" s="3">
        <v>29.769706038048096</v>
      </c>
      <c r="P1748" s="3">
        <v>31.536625706022896</v>
      </c>
    </row>
    <row r="1749" spans="1:16" x14ac:dyDescent="0.3">
      <c r="A1749" s="3" t="str">
        <f t="shared" si="27"/>
        <v>ELC</v>
      </c>
      <c r="C1749" s="3" t="s">
        <v>850</v>
      </c>
      <c r="D1749" s="3" t="s">
        <v>1464</v>
      </c>
      <c r="E1749" s="3" t="s">
        <v>1463</v>
      </c>
      <c r="F1749" s="3" t="s">
        <v>0</v>
      </c>
      <c r="G1749" s="3">
        <v>0.36567289524820001</v>
      </c>
      <c r="H1749" s="3">
        <v>0.38922088611038902</v>
      </c>
      <c r="I1749" s="3">
        <v>0.48341284955913744</v>
      </c>
      <c r="J1749" s="3">
        <v>0.48341284955913738</v>
      </c>
      <c r="K1749" s="3">
        <v>0.49585719278493107</v>
      </c>
      <c r="L1749" s="3">
        <v>0.52590578360807605</v>
      </c>
      <c r="M1749" s="3">
        <v>0.5697209092600708</v>
      </c>
      <c r="N1749" s="3">
        <v>0.61009921215428708</v>
      </c>
      <c r="O1749" s="3">
        <v>0.83942264245780174</v>
      </c>
      <c r="P1749" s="3">
        <v>0.88924484677538773</v>
      </c>
    </row>
    <row r="1750" spans="1:16" x14ac:dyDescent="0.3">
      <c r="A1750" s="3" t="str">
        <f t="shared" si="27"/>
        <v>ELC</v>
      </c>
      <c r="C1750" s="3" t="s">
        <v>850</v>
      </c>
      <c r="D1750" s="3" t="s">
        <v>1464</v>
      </c>
      <c r="E1750" s="3" t="s">
        <v>1463</v>
      </c>
      <c r="F1750" s="3" t="s">
        <v>1</v>
      </c>
      <c r="G1750" s="3">
        <v>1.03685933888835</v>
      </c>
      <c r="H1750" s="3">
        <v>1.0956220580873499</v>
      </c>
      <c r="I1750" s="3">
        <v>1.3306729348833248</v>
      </c>
      <c r="J1750" s="3">
        <v>1.3306729348833288</v>
      </c>
      <c r="K1750" s="3">
        <v>1.3649280249953539</v>
      </c>
      <c r="L1750" s="3">
        <v>1.4476416859503893</v>
      </c>
      <c r="M1750" s="3">
        <v>1.5682499856610752</v>
      </c>
      <c r="N1750" s="3">
        <v>1.6793978686080309</v>
      </c>
      <c r="O1750" s="3">
        <v>2.3106481184054553</v>
      </c>
      <c r="P1750" s="3">
        <v>2.447791884654325</v>
      </c>
    </row>
    <row r="1751" spans="1:16" x14ac:dyDescent="0.3">
      <c r="A1751" s="3" t="str">
        <f t="shared" si="27"/>
        <v>ELC</v>
      </c>
      <c r="C1751" s="3" t="s">
        <v>850</v>
      </c>
      <c r="D1751" s="3" t="s">
        <v>1464</v>
      </c>
      <c r="E1751" s="3" t="s">
        <v>1463</v>
      </c>
      <c r="F1751" s="3" t="s">
        <v>2</v>
      </c>
      <c r="G1751" s="3">
        <v>3.1648178223183798</v>
      </c>
      <c r="H1751" s="3">
        <v>3.2580283232762199</v>
      </c>
      <c r="I1751" s="3">
        <v>3.6308703271075768</v>
      </c>
      <c r="J1751" s="3">
        <v>3.6308703271075844</v>
      </c>
      <c r="K1751" s="3">
        <v>3.7243386670577419</v>
      </c>
      <c r="L1751" s="3">
        <v>3.9500309234606243</v>
      </c>
      <c r="M1751" s="3">
        <v>4.279122381731562</v>
      </c>
      <c r="N1751" s="3">
        <v>4.5824001741428999</v>
      </c>
      <c r="O1751" s="3">
        <v>6.3048277826744332</v>
      </c>
      <c r="P1751" s="3">
        <v>6.6790378671866293</v>
      </c>
    </row>
    <row r="1752" spans="1:16" x14ac:dyDescent="0.3">
      <c r="A1752" s="3" t="str">
        <f t="shared" si="27"/>
        <v>ELC</v>
      </c>
      <c r="C1752" s="3" t="s">
        <v>850</v>
      </c>
      <c r="D1752" s="3" t="s">
        <v>1464</v>
      </c>
      <c r="E1752" s="3" t="s">
        <v>1463</v>
      </c>
      <c r="F1752" s="3" t="s">
        <v>3</v>
      </c>
      <c r="G1752" s="3">
        <v>2.1557981912158901</v>
      </c>
      <c r="H1752" s="3">
        <v>2.2164935142482798</v>
      </c>
      <c r="I1752" s="3">
        <v>2.459274806377846</v>
      </c>
      <c r="J1752" s="3">
        <v>2.4592748063778478</v>
      </c>
      <c r="K1752" s="3">
        <v>2.5225831354903652</v>
      </c>
      <c r="L1752" s="3">
        <v>2.6754498671999269</v>
      </c>
      <c r="M1752" s="3">
        <v>2.8983513369322766</v>
      </c>
      <c r="N1752" s="3">
        <v>3.1037685969877278</v>
      </c>
      <c r="O1752" s="3">
        <v>4.270409771652222</v>
      </c>
      <c r="P1752" s="3">
        <v>4.5238711597559869</v>
      </c>
    </row>
    <row r="1753" spans="1:16" x14ac:dyDescent="0.3">
      <c r="A1753" s="3" t="str">
        <f t="shared" si="27"/>
        <v>ELC</v>
      </c>
      <c r="C1753" s="3" t="s">
        <v>850</v>
      </c>
      <c r="D1753" s="3" t="s">
        <v>1464</v>
      </c>
      <c r="E1753" s="3" t="s">
        <v>1463</v>
      </c>
      <c r="F1753" s="3" t="s">
        <v>4</v>
      </c>
      <c r="G1753" s="3">
        <v>0.81138208750892504</v>
      </c>
      <c r="H1753" s="3">
        <v>0.834226107930089</v>
      </c>
      <c r="I1753" s="3">
        <v>0.92560218961475793</v>
      </c>
      <c r="J1753" s="3">
        <v>0.92560218961475693</v>
      </c>
      <c r="K1753" s="3">
        <v>0.94942967237326004</v>
      </c>
      <c r="L1753" s="3">
        <v>1.0069644306778991</v>
      </c>
      <c r="M1753" s="3">
        <v>1.090858303748748</v>
      </c>
      <c r="N1753" s="3">
        <v>1.1681716097684369</v>
      </c>
      <c r="O1753" s="3">
        <v>1.6072626877413909</v>
      </c>
      <c r="P1753" s="3">
        <v>1.702658458560987</v>
      </c>
    </row>
    <row r="1754" spans="1:16" x14ac:dyDescent="0.3">
      <c r="A1754" s="3" t="str">
        <f t="shared" si="27"/>
        <v>ELC</v>
      </c>
      <c r="C1754" s="3" t="s">
        <v>850</v>
      </c>
      <c r="D1754" s="3" t="s">
        <v>1464</v>
      </c>
      <c r="E1754" s="3" t="s">
        <v>1463</v>
      </c>
      <c r="F1754" s="3" t="s">
        <v>5</v>
      </c>
      <c r="G1754" s="3">
        <v>0.70723767544146698</v>
      </c>
      <c r="H1754" s="3">
        <v>0.72714956670591901</v>
      </c>
      <c r="I1754" s="3">
        <v>0.80679713176373802</v>
      </c>
      <c r="J1754" s="3">
        <v>0.80679713176373802</v>
      </c>
      <c r="K1754" s="3">
        <v>0.82756625370662296</v>
      </c>
      <c r="L1754" s="3">
        <v>0.87771617610062591</v>
      </c>
      <c r="M1754" s="3">
        <v>0.95084190649057687</v>
      </c>
      <c r="N1754" s="3">
        <v>1.0182317141679029</v>
      </c>
      <c r="O1754" s="3">
        <v>1.4009635467698469</v>
      </c>
      <c r="P1754" s="3">
        <v>1.484114856417976</v>
      </c>
    </row>
    <row r="1755" spans="1:16" x14ac:dyDescent="0.3">
      <c r="A1755" s="3" t="str">
        <f t="shared" si="27"/>
        <v>ELC</v>
      </c>
      <c r="C1755" s="3" t="s">
        <v>850</v>
      </c>
      <c r="D1755" s="3" t="s">
        <v>1464</v>
      </c>
      <c r="E1755" s="3" t="s">
        <v>1463</v>
      </c>
      <c r="F1755" s="3" t="s">
        <v>6</v>
      </c>
      <c r="G1755" s="3">
        <v>2.1839514253433698</v>
      </c>
      <c r="H1755" s="3">
        <v>2.3077241682202301</v>
      </c>
      <c r="I1755" s="3">
        <v>2.8028151397276728</v>
      </c>
      <c r="J1755" s="3">
        <v>2.8028151397276728</v>
      </c>
      <c r="K1755" s="3">
        <v>2.8749671183708312</v>
      </c>
      <c r="L1755" s="3">
        <v>3.0491880671176319</v>
      </c>
      <c r="M1755" s="3">
        <v>3.3032270270635316</v>
      </c>
      <c r="N1755" s="3">
        <v>3.5373393779694466</v>
      </c>
      <c r="O1755" s="3">
        <v>4.8669506676468934</v>
      </c>
      <c r="P1755" s="3">
        <v>5.1558185135953076</v>
      </c>
    </row>
    <row r="1756" spans="1:16" x14ac:dyDescent="0.3">
      <c r="A1756" s="3" t="str">
        <f t="shared" si="27"/>
        <v>ELC</v>
      </c>
      <c r="C1756" s="3" t="s">
        <v>850</v>
      </c>
      <c r="D1756" s="3" t="s">
        <v>1464</v>
      </c>
      <c r="E1756" s="3" t="s">
        <v>1463</v>
      </c>
      <c r="F1756" s="3" t="s">
        <v>7</v>
      </c>
      <c r="G1756" s="3">
        <v>1.1635361095661201</v>
      </c>
      <c r="H1756" s="3">
        <v>0.98358246231433699</v>
      </c>
      <c r="I1756" s="3">
        <v>1.194596760960104</v>
      </c>
      <c r="J1756" s="3">
        <v>1.1945967609601049</v>
      </c>
      <c r="K1756" s="3">
        <v>1.2253488854089341</v>
      </c>
      <c r="L1756" s="3">
        <v>1.299604150450977</v>
      </c>
      <c r="M1756" s="3">
        <v>1.407878904075482</v>
      </c>
      <c r="N1756" s="3">
        <v>1.5076606742425041</v>
      </c>
      <c r="O1756" s="3">
        <v>2.0743585336450341</v>
      </c>
      <c r="P1756" s="3">
        <v>2.1974778176192999</v>
      </c>
    </row>
    <row r="1757" spans="1:16" x14ac:dyDescent="0.3">
      <c r="A1757" s="3" t="str">
        <f t="shared" si="27"/>
        <v>ELC</v>
      </c>
      <c r="C1757" s="3" t="s">
        <v>850</v>
      </c>
      <c r="D1757" s="3" t="s">
        <v>1464</v>
      </c>
      <c r="E1757" s="3" t="s">
        <v>1463</v>
      </c>
      <c r="F1757" s="3" t="s">
        <v>8</v>
      </c>
      <c r="G1757" s="3">
        <v>0.65663112273122004</v>
      </c>
      <c r="H1757" s="3">
        <v>0.67511821408776995</v>
      </c>
      <c r="I1757" s="3">
        <v>0.74906657951396505</v>
      </c>
      <c r="J1757" s="3">
        <v>0.74906657951396494</v>
      </c>
      <c r="K1757" s="3">
        <v>0.76834956221279693</v>
      </c>
      <c r="L1757" s="3">
        <v>0.81491099550451884</v>
      </c>
      <c r="M1757" s="3">
        <v>0.88280419762574003</v>
      </c>
      <c r="N1757" s="3">
        <v>0.94537191228854711</v>
      </c>
      <c r="O1757" s="3">
        <v>1.3007172815655972</v>
      </c>
      <c r="P1757" s="3">
        <v>1.3779186803411032</v>
      </c>
    </row>
    <row r="1758" spans="1:16" x14ac:dyDescent="0.3">
      <c r="A1758" s="3" t="str">
        <f t="shared" si="27"/>
        <v>DST</v>
      </c>
      <c r="C1758" s="3" t="s">
        <v>850</v>
      </c>
      <c r="D1758" s="3" t="s">
        <v>737</v>
      </c>
      <c r="E1758" s="3" t="s">
        <v>1472</v>
      </c>
      <c r="F1758" s="3" t="s">
        <v>0</v>
      </c>
      <c r="G1758" s="3">
        <v>9.4701036006085607E-2</v>
      </c>
    </row>
    <row r="1759" spans="1:16" x14ac:dyDescent="0.3">
      <c r="A1759" s="3" t="str">
        <f t="shared" si="27"/>
        <v>ELC</v>
      </c>
      <c r="C1759" s="3" t="s">
        <v>850</v>
      </c>
      <c r="D1759" s="3" t="s">
        <v>737</v>
      </c>
      <c r="E1759" s="3" t="s">
        <v>1471</v>
      </c>
      <c r="F1759" s="3" t="s">
        <v>0</v>
      </c>
      <c r="G1759" s="3">
        <v>0.22800751075980799</v>
      </c>
    </row>
    <row r="1760" spans="1:16" x14ac:dyDescent="0.3">
      <c r="A1760" s="3" t="str">
        <f t="shared" si="27"/>
        <v>ELC</v>
      </c>
      <c r="C1760" s="3" t="s">
        <v>850</v>
      </c>
      <c r="D1760" s="3" t="s">
        <v>737</v>
      </c>
      <c r="E1760" s="3" t="s">
        <v>1471</v>
      </c>
      <c r="F1760" s="3" t="s">
        <v>1</v>
      </c>
      <c r="G1760" s="3">
        <v>1.6200927170130499</v>
      </c>
      <c r="H1760" s="3">
        <v>3.8531134811768601</v>
      </c>
    </row>
    <row r="1761" spans="1:16" x14ac:dyDescent="0.3">
      <c r="A1761" s="3" t="str">
        <f t="shared" si="27"/>
        <v>ELC</v>
      </c>
      <c r="C1761" s="3" t="s">
        <v>850</v>
      </c>
      <c r="D1761" s="3" t="s">
        <v>737</v>
      </c>
      <c r="E1761" s="3" t="s">
        <v>1471</v>
      </c>
      <c r="F1761" s="3" t="s">
        <v>2</v>
      </c>
      <c r="G1761" s="3">
        <v>4.42058030877552</v>
      </c>
      <c r="H1761" s="3">
        <v>8.8535874671252692</v>
      </c>
    </row>
    <row r="1762" spans="1:16" x14ac:dyDescent="0.3">
      <c r="A1762" s="3" t="str">
        <f t="shared" si="27"/>
        <v>ELC</v>
      </c>
      <c r="C1762" s="3" t="s">
        <v>850</v>
      </c>
      <c r="D1762" s="3" t="s">
        <v>737</v>
      </c>
      <c r="E1762" s="3" t="s">
        <v>1471</v>
      </c>
      <c r="F1762" s="3" t="s">
        <v>3</v>
      </c>
      <c r="G1762" s="3">
        <v>2.9941641544665201</v>
      </c>
      <c r="H1762" s="3">
        <v>6.0232500308590096</v>
      </c>
    </row>
    <row r="1763" spans="1:16" x14ac:dyDescent="0.3">
      <c r="A1763" s="3" t="str">
        <f t="shared" si="27"/>
        <v>ELC</v>
      </c>
      <c r="C1763" s="3" t="s">
        <v>850</v>
      </c>
      <c r="D1763" s="3" t="s">
        <v>737</v>
      </c>
      <c r="E1763" s="3" t="s">
        <v>1471</v>
      </c>
      <c r="F1763" s="3" t="s">
        <v>4</v>
      </c>
      <c r="G1763" s="3">
        <v>1.1269195659846201</v>
      </c>
      <c r="H1763" s="3">
        <v>2.1064152494091202</v>
      </c>
    </row>
    <row r="1764" spans="1:16" x14ac:dyDescent="0.3">
      <c r="A1764" s="3" t="str">
        <f t="shared" si="27"/>
        <v>ELC</v>
      </c>
      <c r="C1764" s="3" t="s">
        <v>850</v>
      </c>
      <c r="D1764" s="3" t="s">
        <v>737</v>
      </c>
      <c r="E1764" s="3" t="s">
        <v>1471</v>
      </c>
      <c r="F1764" s="3" t="s">
        <v>5</v>
      </c>
      <c r="G1764" s="3">
        <v>0.98227454922426005</v>
      </c>
      <c r="H1764" s="3">
        <v>1.83604771098695</v>
      </c>
      <c r="I1764" s="3">
        <v>2.0371572711185202</v>
      </c>
    </row>
    <row r="1765" spans="1:16" x14ac:dyDescent="0.3">
      <c r="A1765" s="3" t="str">
        <f t="shared" si="27"/>
        <v>ELC</v>
      </c>
      <c r="C1765" s="3" t="s">
        <v>850</v>
      </c>
      <c r="D1765" s="3" t="s">
        <v>737</v>
      </c>
      <c r="E1765" s="3" t="s">
        <v>1471</v>
      </c>
      <c r="F1765" s="3" t="s">
        <v>6</v>
      </c>
      <c r="G1765" s="3">
        <v>3.4124241020990298</v>
      </c>
    </row>
    <row r="1766" spans="1:16" x14ac:dyDescent="0.3">
      <c r="A1766" s="3" t="str">
        <f t="shared" si="27"/>
        <v>ELC</v>
      </c>
      <c r="C1766" s="3" t="s">
        <v>850</v>
      </c>
      <c r="D1766" s="3" t="s">
        <v>737</v>
      </c>
      <c r="E1766" s="3" t="s">
        <v>1471</v>
      </c>
      <c r="F1766" s="3" t="s">
        <v>7</v>
      </c>
      <c r="G1766" s="3">
        <v>1.4544201369576499</v>
      </c>
      <c r="M1766" s="3">
        <v>0.56890781203587104</v>
      </c>
      <c r="N1766" s="3">
        <v>1.33127491610989</v>
      </c>
      <c r="O1766" s="3">
        <v>2.78907697658149</v>
      </c>
      <c r="P1766" s="3">
        <v>2.5958496577313901</v>
      </c>
    </row>
    <row r="1767" spans="1:16" x14ac:dyDescent="0.3">
      <c r="A1767" s="3" t="str">
        <f t="shared" si="27"/>
        <v>ELC</v>
      </c>
      <c r="C1767" s="3" t="s">
        <v>850</v>
      </c>
      <c r="D1767" s="3" t="s">
        <v>737</v>
      </c>
      <c r="E1767" s="3" t="s">
        <v>1471</v>
      </c>
      <c r="F1767" s="3" t="s">
        <v>8</v>
      </c>
      <c r="G1767" s="3">
        <v>0.66754147921921003</v>
      </c>
    </row>
    <row r="1768" spans="1:16" x14ac:dyDescent="0.3">
      <c r="A1768" s="3" t="str">
        <f t="shared" si="27"/>
        <v>NGA</v>
      </c>
      <c r="C1768" s="3" t="s">
        <v>850</v>
      </c>
      <c r="D1768" s="3" t="s">
        <v>737</v>
      </c>
      <c r="E1768" s="3" t="s">
        <v>1473</v>
      </c>
      <c r="F1768" s="3" t="s">
        <v>0</v>
      </c>
      <c r="G1768" s="3">
        <v>0.96329984634870203</v>
      </c>
      <c r="H1768" s="3">
        <v>1.36882260845097</v>
      </c>
      <c r="I1768" s="3">
        <v>1.7000794697964501</v>
      </c>
      <c r="J1768" s="3">
        <v>1.7000794697964501</v>
      </c>
      <c r="K1768" s="3">
        <v>1.7438440748386399</v>
      </c>
      <c r="L1768" s="3">
        <v>1.8495197770905101</v>
      </c>
      <c r="M1768" s="3">
        <v>2.00361000380965</v>
      </c>
      <c r="N1768" s="3">
        <v>2.1456135186899101</v>
      </c>
      <c r="O1768" s="3">
        <v>2.9521044014991902</v>
      </c>
      <c r="P1768" s="3">
        <v>3.1273204860066199</v>
      </c>
    </row>
    <row r="1769" spans="1:16" x14ac:dyDescent="0.3">
      <c r="A1769" s="3" t="str">
        <f t="shared" si="27"/>
        <v>NGA</v>
      </c>
      <c r="C1769" s="3" t="s">
        <v>850</v>
      </c>
      <c r="D1769" s="3" t="s">
        <v>737</v>
      </c>
      <c r="E1769" s="3" t="s">
        <v>1473</v>
      </c>
      <c r="F1769" s="3" t="s">
        <v>1</v>
      </c>
      <c r="G1769" s="3">
        <v>2.0263624335242101</v>
      </c>
      <c r="I1769" s="3">
        <v>4.6797468037352798</v>
      </c>
      <c r="J1769" s="3">
        <v>4.6797468037352798</v>
      </c>
      <c r="K1769" s="3">
        <v>4.8002160372043399</v>
      </c>
      <c r="L1769" s="3">
        <v>5.0911056918537803</v>
      </c>
      <c r="M1769" s="3">
        <v>5.5152642437255102</v>
      </c>
      <c r="N1769" s="3">
        <v>5.9061521443714904</v>
      </c>
      <c r="O1769" s="3">
        <v>8.1261502080621799</v>
      </c>
      <c r="P1769" s="3">
        <v>8.6084611388181607</v>
      </c>
    </row>
    <row r="1770" spans="1:16" x14ac:dyDescent="0.3">
      <c r="A1770" s="3" t="str">
        <f t="shared" si="27"/>
        <v>NGA</v>
      </c>
      <c r="C1770" s="3" t="s">
        <v>850</v>
      </c>
      <c r="D1770" s="3" t="s">
        <v>737</v>
      </c>
      <c r="E1770" s="3" t="s">
        <v>1473</v>
      </c>
      <c r="F1770" s="3" t="s">
        <v>2</v>
      </c>
      <c r="G1770" s="3">
        <v>4.1797106117270504</v>
      </c>
      <c r="I1770" s="3">
        <v>9.8667736536160504</v>
      </c>
      <c r="J1770" s="3">
        <v>9.8667736536160504</v>
      </c>
      <c r="K1770" s="3">
        <v>10.120770869430199</v>
      </c>
      <c r="L1770" s="3">
        <v>10.7340823371176</v>
      </c>
      <c r="M1770" s="3">
        <v>11.6283778193483</v>
      </c>
      <c r="N1770" s="3">
        <v>12.452525492579801</v>
      </c>
      <c r="O1770" s="3">
        <v>17.1331672718356</v>
      </c>
      <c r="P1770" s="3">
        <v>18.150071173695299</v>
      </c>
    </row>
    <row r="1771" spans="1:16" x14ac:dyDescent="0.3">
      <c r="A1771" s="3" t="str">
        <f t="shared" si="27"/>
        <v>NGA</v>
      </c>
      <c r="C1771" s="3" t="s">
        <v>850</v>
      </c>
      <c r="D1771" s="3" t="s">
        <v>737</v>
      </c>
      <c r="E1771" s="3" t="s">
        <v>1473</v>
      </c>
      <c r="F1771" s="3" t="s">
        <v>3</v>
      </c>
      <c r="G1771" s="3">
        <v>2.86414828285668</v>
      </c>
      <c r="I1771" s="3">
        <v>6.6830004050022502</v>
      </c>
      <c r="J1771" s="3">
        <v>6.6830004050022698</v>
      </c>
      <c r="K1771" s="3">
        <v>6.8550387587485604</v>
      </c>
      <c r="L1771" s="3">
        <v>7.27044919896327</v>
      </c>
      <c r="M1771" s="3">
        <v>7.8761767933881304</v>
      </c>
      <c r="N1771" s="3">
        <v>8.4343916088226702</v>
      </c>
      <c r="O1771" s="3">
        <v>11.604701580915</v>
      </c>
      <c r="P1771" s="3">
        <v>12.293474773303601</v>
      </c>
    </row>
    <row r="1772" spans="1:16" x14ac:dyDescent="0.3">
      <c r="A1772" s="3" t="str">
        <f t="shared" si="27"/>
        <v>NGA</v>
      </c>
      <c r="C1772" s="3" t="s">
        <v>850</v>
      </c>
      <c r="D1772" s="3" t="s">
        <v>737</v>
      </c>
      <c r="E1772" s="3" t="s">
        <v>1473</v>
      </c>
      <c r="F1772" s="3" t="s">
        <v>4</v>
      </c>
      <c r="G1772" s="3">
        <v>0.92181468721071702</v>
      </c>
      <c r="I1772" s="3">
        <v>2.3371392342642898</v>
      </c>
      <c r="J1772" s="3">
        <v>2.3371392342642801</v>
      </c>
      <c r="K1772" s="3">
        <v>2.3973034661918602</v>
      </c>
      <c r="L1772" s="3">
        <v>2.5425783396487298</v>
      </c>
      <c r="M1772" s="3">
        <v>2.7544097986363898</v>
      </c>
      <c r="N1772" s="3">
        <v>2.9496253705707001</v>
      </c>
      <c r="O1772" s="3">
        <v>4.0583273564347397</v>
      </c>
      <c r="P1772" s="3">
        <v>4.2992010290198897</v>
      </c>
    </row>
    <row r="1773" spans="1:16" x14ac:dyDescent="0.3">
      <c r="A1773" s="3" t="str">
        <f t="shared" si="27"/>
        <v>NGA</v>
      </c>
      <c r="C1773" s="3" t="s">
        <v>850</v>
      </c>
      <c r="D1773" s="3" t="s">
        <v>737</v>
      </c>
      <c r="E1773" s="3" t="s">
        <v>1473</v>
      </c>
      <c r="F1773" s="3" t="s">
        <v>5</v>
      </c>
      <c r="G1773" s="3">
        <v>0.80349577172979902</v>
      </c>
      <c r="J1773" s="3">
        <v>2.0371572711185202</v>
      </c>
      <c r="K1773" s="3">
        <v>2.0895991627849</v>
      </c>
      <c r="L1773" s="3">
        <v>2.2162273757876298</v>
      </c>
      <c r="M1773" s="3">
        <v>2.4008693477342602</v>
      </c>
      <c r="N1773" s="3">
        <v>2.5710281538383799</v>
      </c>
      <c r="O1773" s="3">
        <v>3.5374234284089501</v>
      </c>
      <c r="P1773" s="3">
        <v>3.7473799198040099</v>
      </c>
    </row>
    <row r="1774" spans="1:16" x14ac:dyDescent="0.3">
      <c r="A1774" s="3" t="str">
        <f t="shared" si="27"/>
        <v>NGA</v>
      </c>
      <c r="C1774" s="3" t="s">
        <v>850</v>
      </c>
      <c r="D1774" s="3" t="s">
        <v>737</v>
      </c>
      <c r="E1774" s="3" t="s">
        <v>1473</v>
      </c>
      <c r="F1774" s="3" t="s">
        <v>6</v>
      </c>
      <c r="G1774" s="3">
        <v>2.1020383950368098</v>
      </c>
      <c r="H1774" s="3">
        <v>5.8269878311893502</v>
      </c>
      <c r="I1774" s="3">
        <v>7.0770891674034004</v>
      </c>
      <c r="J1774" s="3">
        <v>7.0770891674033898</v>
      </c>
      <c r="K1774" s="3">
        <v>7.2592724228113203</v>
      </c>
      <c r="L1774" s="3">
        <v>7.6991791336158499</v>
      </c>
      <c r="M1774" s="3">
        <v>8.34062577989957</v>
      </c>
      <c r="N1774" s="3">
        <v>8.9317578738672694</v>
      </c>
      <c r="O1774" s="3">
        <v>12.2890173383455</v>
      </c>
      <c r="P1774" s="3">
        <v>13.018406684933399</v>
      </c>
    </row>
    <row r="1775" spans="1:16" x14ac:dyDescent="0.3">
      <c r="A1775" s="3" t="str">
        <f t="shared" si="27"/>
        <v>NGA</v>
      </c>
      <c r="C1775" s="3" t="s">
        <v>850</v>
      </c>
      <c r="D1775" s="3" t="s">
        <v>737</v>
      </c>
      <c r="E1775" s="3" t="s">
        <v>1473</v>
      </c>
      <c r="F1775" s="3" t="s">
        <v>7</v>
      </c>
      <c r="G1775" s="3">
        <v>1.66428398117062</v>
      </c>
      <c r="H1775" s="3">
        <v>3.2954528124640001</v>
      </c>
      <c r="I1775" s="3">
        <v>4.0024475898069198</v>
      </c>
      <c r="J1775" s="3">
        <v>4.0024475898069101</v>
      </c>
      <c r="K1775" s="3">
        <v>4.1054813250421702</v>
      </c>
      <c r="L1775" s="3">
        <v>4.3542705536008901</v>
      </c>
      <c r="M1775" s="3">
        <v>4.1481328752568603</v>
      </c>
      <c r="N1775" s="3">
        <v>3.7200805111547499</v>
      </c>
      <c r="O1775" s="3">
        <v>4.1609764512464897</v>
      </c>
      <c r="P1775" s="3">
        <v>4.7667098955991403</v>
      </c>
    </row>
    <row r="1776" spans="1:16" x14ac:dyDescent="0.3">
      <c r="A1776" s="3" t="str">
        <f t="shared" si="27"/>
        <v>NGA</v>
      </c>
      <c r="C1776" s="3" t="s">
        <v>850</v>
      </c>
      <c r="D1776" s="3" t="s">
        <v>737</v>
      </c>
      <c r="E1776" s="3" t="s">
        <v>1473</v>
      </c>
      <c r="F1776" s="3" t="s">
        <v>8</v>
      </c>
      <c r="G1776" s="3">
        <v>1.5324742419480899</v>
      </c>
      <c r="H1776" s="3">
        <v>2.26195596465422</v>
      </c>
      <c r="I1776" s="3">
        <v>2.5097169386019198</v>
      </c>
      <c r="J1776" s="3">
        <v>2.5097169386019198</v>
      </c>
      <c r="K1776" s="3">
        <v>2.5743237834800201</v>
      </c>
      <c r="L1776" s="3">
        <v>2.73032596140877</v>
      </c>
      <c r="M1776" s="3">
        <v>2.9577993583531499</v>
      </c>
      <c r="N1776" s="3">
        <v>3.1674299273751299</v>
      </c>
      <c r="O1776" s="3">
        <v>4.3580000538744601</v>
      </c>
      <c r="P1776" s="3">
        <v>4.6166601830132796</v>
      </c>
    </row>
    <row r="1777" spans="1:16" x14ac:dyDescent="0.3">
      <c r="A1777" s="3" t="str">
        <f t="shared" si="27"/>
        <v>BIO</v>
      </c>
      <c r="C1777" s="3" t="s">
        <v>850</v>
      </c>
      <c r="D1777" s="3" t="s">
        <v>721</v>
      </c>
      <c r="E1777" s="3" t="s">
        <v>1460</v>
      </c>
      <c r="F1777" s="3" t="s">
        <v>0</v>
      </c>
      <c r="G1777" s="3">
        <v>0.32726654597820398</v>
      </c>
      <c r="H1777" s="3">
        <v>0.56603503753634699</v>
      </c>
      <c r="J1777" s="3">
        <v>0.70301625686180302</v>
      </c>
      <c r="K1777" s="3">
        <v>0.72111378075194998</v>
      </c>
      <c r="L1777" s="3">
        <v>0.76481275951042704</v>
      </c>
      <c r="M1777" s="3">
        <v>0.61181515561858402</v>
      </c>
      <c r="N1777" s="3">
        <v>0.88725333808192897</v>
      </c>
      <c r="O1777" s="3">
        <v>1.2207531607070701</v>
      </c>
      <c r="P1777" s="3">
        <v>1.29320845356884</v>
      </c>
    </row>
    <row r="1778" spans="1:16" x14ac:dyDescent="0.3">
      <c r="A1778" s="3" t="str">
        <f t="shared" si="27"/>
        <v>BIO</v>
      </c>
      <c r="C1778" s="3" t="s">
        <v>850</v>
      </c>
      <c r="D1778" s="3" t="s">
        <v>721</v>
      </c>
      <c r="E1778" s="3" t="s">
        <v>1460</v>
      </c>
      <c r="F1778" s="3" t="s">
        <v>1</v>
      </c>
      <c r="G1778" s="3">
        <v>0.90085469515983596</v>
      </c>
      <c r="H1778" s="3">
        <v>4.9041003606274396</v>
      </c>
      <c r="J1778" s="3">
        <v>5.9562086868081803</v>
      </c>
      <c r="K1778" s="3">
        <v>6.1095374725255596</v>
      </c>
      <c r="L1778" s="3">
        <v>6.4797710686130001</v>
      </c>
      <c r="M1778" s="3">
        <v>7.0196243891443402</v>
      </c>
      <c r="P1778" s="3">
        <v>10.9565310187623</v>
      </c>
    </row>
    <row r="1779" spans="1:16" x14ac:dyDescent="0.3">
      <c r="A1779" s="3" t="str">
        <f t="shared" si="27"/>
        <v>BIO</v>
      </c>
      <c r="C1779" s="3" t="s">
        <v>850</v>
      </c>
      <c r="D1779" s="3" t="s">
        <v>721</v>
      </c>
      <c r="E1779" s="3" t="s">
        <v>1460</v>
      </c>
      <c r="F1779" s="3" t="s">
        <v>2</v>
      </c>
      <c r="G1779" s="3">
        <v>0.13151732188170701</v>
      </c>
      <c r="H1779" s="3">
        <v>1.05114970666882</v>
      </c>
      <c r="J1779" s="3">
        <v>1.1714410989078701</v>
      </c>
      <c r="K1779" s="3">
        <v>1.20159713451367</v>
      </c>
      <c r="L1779" s="3">
        <v>1.2744130604589501</v>
      </c>
      <c r="M1779" s="3">
        <v>1.3805890526556199</v>
      </c>
      <c r="N1779" s="3">
        <v>1.4784366865312499</v>
      </c>
      <c r="O1779" s="3">
        <v>2.0341498651219001</v>
      </c>
      <c r="P1779" s="3">
        <v>2.1548826462820001</v>
      </c>
    </row>
    <row r="1780" spans="1:16" x14ac:dyDescent="0.3">
      <c r="A1780" s="3" t="str">
        <f t="shared" si="27"/>
        <v>BIO</v>
      </c>
      <c r="C1780" s="3" t="s">
        <v>850</v>
      </c>
      <c r="D1780" s="3" t="s">
        <v>721</v>
      </c>
      <c r="E1780" s="3" t="s">
        <v>1460</v>
      </c>
      <c r="F1780" s="3" t="s">
        <v>3</v>
      </c>
      <c r="G1780" s="3">
        <v>8.9079809292892803E-2</v>
      </c>
      <c r="H1780" s="3">
        <v>0.71511548585696005</v>
      </c>
      <c r="J1780" s="3">
        <v>0.793444910491931</v>
      </c>
      <c r="K1780" s="3">
        <v>0.81387031044959501</v>
      </c>
      <c r="L1780" s="3">
        <v>0.86319026848923197</v>
      </c>
      <c r="M1780" s="3">
        <v>0.93510579262733795</v>
      </c>
      <c r="P1780" s="3">
        <v>1.4595532545288601</v>
      </c>
    </row>
    <row r="1781" spans="1:16" x14ac:dyDescent="0.3">
      <c r="A1781" s="3" t="str">
        <f t="shared" si="27"/>
        <v>NGA</v>
      </c>
      <c r="C1781" s="3" t="s">
        <v>850</v>
      </c>
      <c r="D1781" s="3" t="s">
        <v>721</v>
      </c>
      <c r="E1781" s="3" t="s">
        <v>1459</v>
      </c>
      <c r="F1781" s="3" t="s">
        <v>0</v>
      </c>
      <c r="G1781" s="3">
        <v>0.20452318672677899</v>
      </c>
      <c r="I1781" s="3">
        <v>0.70301625686180302</v>
      </c>
      <c r="M1781" s="3">
        <v>0.21671693956504001</v>
      </c>
    </row>
    <row r="1782" spans="1:16" x14ac:dyDescent="0.3">
      <c r="A1782" s="3" t="str">
        <f t="shared" si="27"/>
        <v>NGA</v>
      </c>
      <c r="C1782" s="3" t="s">
        <v>850</v>
      </c>
      <c r="D1782" s="3" t="s">
        <v>721</v>
      </c>
      <c r="E1782" s="3" t="s">
        <v>1459</v>
      </c>
      <c r="F1782" s="3" t="s">
        <v>1</v>
      </c>
      <c r="G1782" s="3">
        <v>0.95926990338252605</v>
      </c>
      <c r="I1782" s="3">
        <v>5.9562086868081803</v>
      </c>
      <c r="N1782" s="3">
        <v>7.5171320550585401</v>
      </c>
      <c r="O1782" s="3">
        <v>10.3426635007123</v>
      </c>
    </row>
    <row r="1783" spans="1:16" x14ac:dyDescent="0.3">
      <c r="A1783" s="3" t="str">
        <f t="shared" si="27"/>
        <v>NGA</v>
      </c>
      <c r="C1783" s="3" t="s">
        <v>850</v>
      </c>
      <c r="D1783" s="3" t="s">
        <v>721</v>
      </c>
      <c r="E1783" s="3" t="s">
        <v>1459</v>
      </c>
      <c r="F1783" s="3" t="s">
        <v>2</v>
      </c>
      <c r="G1783" s="3">
        <v>0.77966926024795502</v>
      </c>
      <c r="I1783" s="3">
        <v>1.1714410989078701</v>
      </c>
    </row>
    <row r="1784" spans="1:16" x14ac:dyDescent="0.3">
      <c r="A1784" s="3" t="str">
        <f t="shared" si="27"/>
        <v>NGA</v>
      </c>
      <c r="C1784" s="3" t="s">
        <v>850</v>
      </c>
      <c r="D1784" s="3" t="s">
        <v>721</v>
      </c>
      <c r="E1784" s="3" t="s">
        <v>1459</v>
      </c>
      <c r="F1784" s="3" t="s">
        <v>3</v>
      </c>
      <c r="G1784" s="3">
        <v>0.528088528725425</v>
      </c>
      <c r="I1784" s="3">
        <v>0.793444910491931</v>
      </c>
      <c r="N1784" s="3">
        <v>1.0013803216452</v>
      </c>
      <c r="O1784" s="3">
        <v>1.3777780710985199</v>
      </c>
    </row>
    <row r="1785" spans="1:16" x14ac:dyDescent="0.3">
      <c r="A1785" s="3" t="str">
        <f t="shared" si="27"/>
        <v>OTP</v>
      </c>
      <c r="C1785" s="3" t="s">
        <v>850</v>
      </c>
      <c r="D1785" s="3" t="s">
        <v>721</v>
      </c>
      <c r="E1785" s="3" t="s">
        <v>1462</v>
      </c>
      <c r="F1785" s="3" t="s">
        <v>1</v>
      </c>
      <c r="G1785" s="3">
        <v>2.4726445400353899E-2</v>
      </c>
    </row>
    <row r="1786" spans="1:16" x14ac:dyDescent="0.3">
      <c r="A1786" s="3" t="str">
        <f t="shared" si="27"/>
        <v>OTP</v>
      </c>
      <c r="C1786" s="3" t="s">
        <v>850</v>
      </c>
      <c r="D1786" s="3" t="s">
        <v>721</v>
      </c>
      <c r="E1786" s="3" t="s">
        <v>1462</v>
      </c>
      <c r="F1786" s="3" t="s">
        <v>2</v>
      </c>
      <c r="G1786" s="3">
        <v>4.01940044733536E-3</v>
      </c>
    </row>
    <row r="1787" spans="1:16" x14ac:dyDescent="0.3">
      <c r="A1787" s="3" t="str">
        <f t="shared" si="27"/>
        <v>OTP</v>
      </c>
      <c r="C1787" s="3" t="s">
        <v>850</v>
      </c>
      <c r="D1787" s="3" t="s">
        <v>721</v>
      </c>
      <c r="E1787" s="3" t="s">
        <v>1462</v>
      </c>
      <c r="F1787" s="3" t="s">
        <v>3</v>
      </c>
      <c r="G1787" s="3">
        <v>2.7224354951695898E-3</v>
      </c>
    </row>
    <row r="1788" spans="1:16" x14ac:dyDescent="0.3">
      <c r="A1788" s="3" t="str">
        <f t="shared" si="27"/>
        <v>PTC</v>
      </c>
      <c r="C1788" s="3" t="s">
        <v>850</v>
      </c>
      <c r="D1788" s="3" t="s">
        <v>721</v>
      </c>
      <c r="E1788" s="3" t="s">
        <v>1461</v>
      </c>
      <c r="F1788" s="3" t="s">
        <v>1</v>
      </c>
      <c r="G1788" s="3">
        <v>2.75622223513954</v>
      </c>
    </row>
    <row r="1789" spans="1:16" x14ac:dyDescent="0.3">
      <c r="A1789" s="3" t="str">
        <f t="shared" si="27"/>
        <v>PTC</v>
      </c>
      <c r="C1789" s="3" t="s">
        <v>850</v>
      </c>
      <c r="D1789" s="3" t="s">
        <v>721</v>
      </c>
      <c r="E1789" s="3" t="s">
        <v>1461</v>
      </c>
      <c r="F1789" s="3" t="s">
        <v>2</v>
      </c>
      <c r="G1789" s="3">
        <v>0.105870876032059</v>
      </c>
    </row>
    <row r="1790" spans="1:16" x14ac:dyDescent="0.3">
      <c r="A1790" s="3" t="str">
        <f t="shared" si="27"/>
        <v>PTC</v>
      </c>
      <c r="C1790" s="3" t="s">
        <v>850</v>
      </c>
      <c r="D1790" s="3" t="s">
        <v>721</v>
      </c>
      <c r="E1790" s="3" t="s">
        <v>1461</v>
      </c>
      <c r="F1790" s="3" t="s">
        <v>3</v>
      </c>
      <c r="G1790" s="3">
        <v>7.5642356184729295E-2</v>
      </c>
    </row>
    <row r="1791" spans="1:16" x14ac:dyDescent="0.3">
      <c r="A1791" s="3" t="str">
        <f t="shared" si="27"/>
        <v>NGA</v>
      </c>
      <c r="C1791" s="3" t="s">
        <v>850</v>
      </c>
      <c r="D1791" s="3" t="s">
        <v>1270</v>
      </c>
      <c r="E1791" s="3" t="s">
        <v>1283</v>
      </c>
      <c r="F1791" s="3" t="s">
        <v>1</v>
      </c>
      <c r="G1791" s="3">
        <v>5.8457030171762382E-2</v>
      </c>
      <c r="H1791" s="3">
        <v>9.0747580171402484E-2</v>
      </c>
      <c r="I1791" s="3">
        <v>0.21990978016996279</v>
      </c>
    </row>
    <row r="1792" spans="1:16" x14ac:dyDescent="0.3">
      <c r="A1792" s="3" t="str">
        <f t="shared" si="27"/>
        <v>NGA</v>
      </c>
      <c r="C1792" s="3" t="s">
        <v>850</v>
      </c>
      <c r="D1792" s="3" t="s">
        <v>1270</v>
      </c>
      <c r="E1792" s="3" t="s">
        <v>1283</v>
      </c>
      <c r="F1792" s="3" t="s">
        <v>7</v>
      </c>
      <c r="G1792" s="3">
        <v>7.5268696726440139</v>
      </c>
      <c r="H1792" s="3">
        <v>7.5557995991099789</v>
      </c>
      <c r="I1792" s="3">
        <v>8.8737452609595238</v>
      </c>
      <c r="J1792" s="3">
        <v>1.8160328495631397</v>
      </c>
      <c r="K1792" s="3">
        <v>2.0685447308823344</v>
      </c>
      <c r="L1792" s="3">
        <v>2.6782696526457452</v>
      </c>
      <c r="M1792" s="3">
        <v>3.5673354400383874</v>
      </c>
      <c r="N1792" s="3">
        <v>4.3866636314340379</v>
      </c>
      <c r="O1792" s="3">
        <v>8.8737452609595238</v>
      </c>
      <c r="P1792" s="3">
        <v>8.8737452609595238</v>
      </c>
    </row>
    <row r="1793" spans="1:16" x14ac:dyDescent="0.3">
      <c r="A1793" s="3" t="str">
        <f t="shared" si="27"/>
        <v>NGA</v>
      </c>
      <c r="C1793" s="3" t="s">
        <v>850</v>
      </c>
      <c r="D1793" s="3" t="s">
        <v>1270</v>
      </c>
      <c r="E1793" s="3" t="s">
        <v>1284</v>
      </c>
      <c r="F1793" s="3" t="s">
        <v>0</v>
      </c>
      <c r="G1793" s="3">
        <v>0.28361649617896895</v>
      </c>
      <c r="H1793" s="3">
        <v>0.19629427874715705</v>
      </c>
      <c r="I1793" s="3">
        <v>0.63628867695745639</v>
      </c>
      <c r="J1793" s="3">
        <v>0.63628867695745639</v>
      </c>
      <c r="K1793" s="3">
        <v>0.63628867695745639</v>
      </c>
      <c r="L1793" s="3">
        <v>0.63628867695745639</v>
      </c>
      <c r="M1793" s="3">
        <v>0.63628867695745639</v>
      </c>
      <c r="N1793" s="3">
        <v>0.63628867695745639</v>
      </c>
      <c r="O1793" s="3">
        <v>0.63628867695745639</v>
      </c>
      <c r="P1793" s="3">
        <v>0.63628867695745639</v>
      </c>
    </row>
    <row r="1794" spans="1:16" x14ac:dyDescent="0.3">
      <c r="A1794" s="3" t="str">
        <f t="shared" si="27"/>
        <v>NGA</v>
      </c>
      <c r="C1794" s="3" t="s">
        <v>850</v>
      </c>
      <c r="D1794" s="3" t="s">
        <v>1270</v>
      </c>
      <c r="E1794" s="3" t="s">
        <v>1284</v>
      </c>
      <c r="F1794" s="3" t="s">
        <v>1</v>
      </c>
      <c r="J1794" s="3">
        <v>1.5552425217495052</v>
      </c>
      <c r="K1794" s="3">
        <v>1.595278635306782</v>
      </c>
      <c r="L1794" s="3">
        <v>1.691951378303632</v>
      </c>
      <c r="M1794" s="3">
        <v>1.8329140080142985</v>
      </c>
      <c r="N1794" s="3">
        <v>1.9628196438997227</v>
      </c>
      <c r="O1794" s="3">
        <v>2.7006021632654074</v>
      </c>
      <c r="P1794" s="3">
        <v>2.860890849742538</v>
      </c>
    </row>
    <row r="1795" spans="1:16" x14ac:dyDescent="0.3">
      <c r="A1795" s="3" t="str">
        <f t="shared" si="27"/>
        <v>NGA</v>
      </c>
      <c r="C1795" s="3" t="s">
        <v>850</v>
      </c>
      <c r="D1795" s="3" t="s">
        <v>1270</v>
      </c>
      <c r="E1795" s="3" t="s">
        <v>1284</v>
      </c>
      <c r="F1795" s="3" t="s">
        <v>2</v>
      </c>
      <c r="G1795" s="3">
        <v>8.381561794818379E-2</v>
      </c>
      <c r="H1795" s="3">
        <v>0.14687689240443616</v>
      </c>
      <c r="I1795" s="3">
        <v>0.39912199022944567</v>
      </c>
      <c r="J1795" s="3">
        <v>2.7416840877653894</v>
      </c>
      <c r="K1795" s="3">
        <v>2.8164795374360092</v>
      </c>
      <c r="L1795" s="3">
        <v>2.9970835132189499</v>
      </c>
      <c r="M1795" s="3">
        <v>3.2604298358053918</v>
      </c>
      <c r="N1795" s="3">
        <v>3.6396355746453981</v>
      </c>
      <c r="O1795" s="3">
        <v>5.0452637690195221</v>
      </c>
      <c r="P1795" s="3">
        <v>5.3447150223240572</v>
      </c>
    </row>
    <row r="1796" spans="1:16" x14ac:dyDescent="0.3">
      <c r="A1796" s="3" t="str">
        <f t="shared" si="27"/>
        <v>NGA</v>
      </c>
      <c r="C1796" s="3" t="s">
        <v>850</v>
      </c>
      <c r="D1796" s="3" t="s">
        <v>1270</v>
      </c>
      <c r="E1796" s="3" t="s">
        <v>1284</v>
      </c>
      <c r="F1796" s="3" t="s">
        <v>3</v>
      </c>
      <c r="J1796" s="3">
        <v>0.20493956719815373</v>
      </c>
      <c r="K1796" s="3">
        <v>0.21021526129086338</v>
      </c>
      <c r="L1796" s="3">
        <v>0.22295415559999404</v>
      </c>
      <c r="M1796" s="3">
        <v>0.24152927807768979</v>
      </c>
      <c r="N1796" s="3">
        <v>0.25864738308231072</v>
      </c>
      <c r="O1796" s="3">
        <v>0.37698926331299776</v>
      </c>
      <c r="P1796" s="3">
        <v>0.37698926331299776</v>
      </c>
    </row>
    <row r="1797" spans="1:16" x14ac:dyDescent="0.3">
      <c r="A1797" s="3" t="str">
        <f t="shared" si="27"/>
        <v>NGA</v>
      </c>
      <c r="C1797" s="3" t="s">
        <v>850</v>
      </c>
      <c r="D1797" s="3" t="s">
        <v>1270</v>
      </c>
      <c r="E1797" s="3" t="s">
        <v>1284</v>
      </c>
      <c r="F1797" s="3" t="s">
        <v>4</v>
      </c>
      <c r="J1797" s="3">
        <v>0.24482057390275613</v>
      </c>
      <c r="K1797" s="3">
        <v>0.25112291206600373</v>
      </c>
      <c r="L1797" s="3">
        <v>0.26634078072009632</v>
      </c>
      <c r="M1797" s="3">
        <v>4.9227463676964325</v>
      </c>
      <c r="N1797" s="3">
        <v>5.1974589749685176</v>
      </c>
      <c r="O1797" s="3">
        <v>5.6571291870692599</v>
      </c>
      <c r="P1797" s="3">
        <v>5.9754910249048914</v>
      </c>
    </row>
    <row r="1798" spans="1:16" x14ac:dyDescent="0.3">
      <c r="A1798" s="3" t="str">
        <f t="shared" si="27"/>
        <v>NGA</v>
      </c>
      <c r="C1798" s="3" t="s">
        <v>850</v>
      </c>
      <c r="D1798" s="3" t="s">
        <v>1270</v>
      </c>
      <c r="E1798" s="3" t="s">
        <v>1284</v>
      </c>
      <c r="F1798" s="3" t="s">
        <v>5</v>
      </c>
      <c r="J1798" s="3">
        <v>6.723309431364477E-2</v>
      </c>
      <c r="K1798" s="3">
        <v>6.8963854475551895E-2</v>
      </c>
      <c r="L1798" s="3">
        <v>7.3143014675052118E-2</v>
      </c>
      <c r="M1798" s="3">
        <v>7.923682554088135E-2</v>
      </c>
      <c r="N1798" s="3">
        <v>8.4852642847325188E-2</v>
      </c>
      <c r="O1798" s="3">
        <v>0.11674696223082057</v>
      </c>
      <c r="P1798" s="3">
        <v>0.1236762380348313</v>
      </c>
    </row>
    <row r="1799" spans="1:16" x14ac:dyDescent="0.3">
      <c r="A1799" s="3" t="str">
        <f t="shared" si="27"/>
        <v>NGA</v>
      </c>
      <c r="C1799" s="3" t="s">
        <v>850</v>
      </c>
      <c r="D1799" s="3" t="s">
        <v>1270</v>
      </c>
      <c r="E1799" s="3" t="s">
        <v>1284</v>
      </c>
      <c r="F1799" s="3" t="s">
        <v>6</v>
      </c>
      <c r="G1799" s="3">
        <v>0.90690106630419753</v>
      </c>
      <c r="H1799" s="3">
        <v>1.2467640823455044</v>
      </c>
      <c r="I1799" s="3">
        <v>1.5142404338390445</v>
      </c>
      <c r="J1799" s="3">
        <v>1.7847470670380616</v>
      </c>
      <c r="K1799" s="3">
        <v>1.7847470670380616</v>
      </c>
      <c r="L1799" s="3">
        <v>1.7847470670380616</v>
      </c>
      <c r="M1799" s="3">
        <v>1.7847470670380616</v>
      </c>
      <c r="N1799" s="3">
        <v>15.961385028657944</v>
      </c>
      <c r="O1799" s="3">
        <v>17.13034769236268</v>
      </c>
      <c r="P1799" s="3">
        <v>18.094378880932574</v>
      </c>
    </row>
    <row r="1800" spans="1:16" x14ac:dyDescent="0.3">
      <c r="A1800" s="3" t="str">
        <f t="shared" ref="A1800:A1863" si="28">RIGHT(E1800,3)</f>
        <v>NGA</v>
      </c>
      <c r="C1800" s="3" t="s">
        <v>850</v>
      </c>
      <c r="D1800" s="3" t="s">
        <v>1270</v>
      </c>
      <c r="E1800" s="3" t="s">
        <v>1284</v>
      </c>
      <c r="F1800" s="3" t="s">
        <v>7</v>
      </c>
      <c r="H1800" s="3">
        <v>0.52059390029927766</v>
      </c>
      <c r="I1800" s="3">
        <v>0.52059390029927766</v>
      </c>
      <c r="J1800" s="3">
        <v>7.9930415130805841</v>
      </c>
      <c r="K1800" s="3">
        <v>7.9930415130805841</v>
      </c>
      <c r="L1800" s="3">
        <v>7.9930415130805841</v>
      </c>
      <c r="M1800" s="3">
        <v>7.9930415130805841</v>
      </c>
      <c r="N1800" s="3">
        <v>7.9930415130805841</v>
      </c>
      <c r="O1800" s="3">
        <v>7.9930415130805841</v>
      </c>
      <c r="P1800" s="3">
        <v>7.9930415130805841</v>
      </c>
    </row>
    <row r="1801" spans="1:16" x14ac:dyDescent="0.3">
      <c r="A1801" s="3" t="str">
        <f t="shared" si="28"/>
        <v>NGA</v>
      </c>
      <c r="C1801" s="3" t="s">
        <v>850</v>
      </c>
      <c r="D1801" s="3" t="s">
        <v>1270</v>
      </c>
      <c r="E1801" s="3" t="s">
        <v>1284</v>
      </c>
      <c r="F1801" s="3" t="s">
        <v>8</v>
      </c>
      <c r="H1801" s="3">
        <v>0.37278543720620227</v>
      </c>
      <c r="I1801" s="3">
        <v>0.39907326235580626</v>
      </c>
      <c r="J1801" s="3">
        <v>0.39907326235580626</v>
      </c>
      <c r="K1801" s="3">
        <v>0.40997927963040659</v>
      </c>
      <c r="L1801" s="3">
        <v>0.43631336931666787</v>
      </c>
      <c r="M1801" s="3">
        <v>0.47471222320387424</v>
      </c>
      <c r="N1801" s="3">
        <v>0.53058392775971774</v>
      </c>
      <c r="O1801" s="3">
        <v>0.73565616708171</v>
      </c>
      <c r="P1801" s="3">
        <v>0.77931952569271956</v>
      </c>
    </row>
    <row r="1802" spans="1:16" x14ac:dyDescent="0.3">
      <c r="A1802" s="3" t="str">
        <f t="shared" si="28"/>
        <v>NGA</v>
      </c>
      <c r="C1802" s="3" t="s">
        <v>850</v>
      </c>
      <c r="D1802" s="3" t="s">
        <v>1270</v>
      </c>
      <c r="E1802" s="3" t="s">
        <v>1285</v>
      </c>
      <c r="F1802" s="3" t="s">
        <v>8</v>
      </c>
      <c r="G1802" s="3">
        <v>2.041301014737588E-3</v>
      </c>
      <c r="H1802" s="3">
        <v>3.5771370163020632E-3</v>
      </c>
      <c r="I1802" s="3">
        <v>9.7204810225599569E-3</v>
      </c>
      <c r="J1802" s="3">
        <v>9.7204810225599569E-3</v>
      </c>
      <c r="K1802" s="3">
        <v>9.7204810225599569E-3</v>
      </c>
      <c r="L1802" s="3">
        <v>9.7204810225599569E-3</v>
      </c>
      <c r="M1802" s="3">
        <v>9.7204810225599569E-3</v>
      </c>
      <c r="N1802" s="3">
        <v>1.6200801704266579E-3</v>
      </c>
    </row>
    <row r="1803" spans="1:16" x14ac:dyDescent="0.3">
      <c r="A1803" s="3" t="str">
        <f t="shared" si="28"/>
        <v>NGA</v>
      </c>
      <c r="C1803" s="3" t="s">
        <v>850</v>
      </c>
      <c r="D1803" s="3" t="s">
        <v>1270</v>
      </c>
      <c r="E1803" s="3" t="s">
        <v>1286</v>
      </c>
      <c r="F1803" s="3" t="s">
        <v>2</v>
      </c>
      <c r="G1803" s="3">
        <v>1.9601941135692396E-2</v>
      </c>
      <c r="H1803" s="3">
        <v>6.0285504123373836E-2</v>
      </c>
      <c r="J1803" s="3">
        <v>0.16381930468308106</v>
      </c>
      <c r="K1803" s="3">
        <v>0.16381930468308106</v>
      </c>
      <c r="L1803" s="3">
        <v>0.16381930468308106</v>
      </c>
      <c r="M1803" s="3">
        <v>0.16381930468308106</v>
      </c>
      <c r="N1803" s="3">
        <v>2.7303217447180138E-2</v>
      </c>
    </row>
    <row r="1804" spans="1:16" x14ac:dyDescent="0.3">
      <c r="A1804" s="3" t="str">
        <f t="shared" si="28"/>
        <v>NGA</v>
      </c>
      <c r="C1804" s="3" t="s">
        <v>850</v>
      </c>
      <c r="D1804" s="3" t="s">
        <v>1270</v>
      </c>
      <c r="E1804" s="3" t="s">
        <v>1286</v>
      </c>
      <c r="F1804" s="3" t="s">
        <v>8</v>
      </c>
      <c r="G1804" s="3">
        <v>3.1208750067491082E-3</v>
      </c>
      <c r="H1804" s="3">
        <v>5.4689619165889155E-3</v>
      </c>
      <c r="I1804" s="3">
        <v>1.4861309555948131E-2</v>
      </c>
      <c r="J1804" s="3">
        <v>1.4861309555948131E-2</v>
      </c>
      <c r="K1804" s="3">
        <v>1.4861309555948131E-2</v>
      </c>
      <c r="L1804" s="3">
        <v>1.4861309555948131E-2</v>
      </c>
      <c r="M1804" s="3">
        <v>1.4861309555948131E-2</v>
      </c>
      <c r="N1804" s="3">
        <v>2.4768849259913543E-3</v>
      </c>
    </row>
    <row r="1805" spans="1:16" x14ac:dyDescent="0.3">
      <c r="A1805" s="3" t="str">
        <f t="shared" si="28"/>
        <v>NGA</v>
      </c>
      <c r="C1805" s="3" t="s">
        <v>850</v>
      </c>
      <c r="D1805" s="3" t="s">
        <v>1270</v>
      </c>
      <c r="E1805" s="3" t="s">
        <v>1287</v>
      </c>
      <c r="F1805" s="3" t="s">
        <v>1</v>
      </c>
      <c r="H1805" s="3">
        <v>1.0817697751962843</v>
      </c>
      <c r="I1805" s="3">
        <v>1.0817697751962843</v>
      </c>
    </row>
    <row r="1806" spans="1:16" x14ac:dyDescent="0.3">
      <c r="A1806" s="3" t="str">
        <f t="shared" si="28"/>
        <v>NGA</v>
      </c>
      <c r="C1806" s="3" t="s">
        <v>850</v>
      </c>
      <c r="D1806" s="3" t="s">
        <v>1270</v>
      </c>
      <c r="E1806" s="3" t="s">
        <v>1287</v>
      </c>
      <c r="F1806" s="3" t="s">
        <v>2</v>
      </c>
      <c r="H1806" s="3">
        <v>2.1052791573623462</v>
      </c>
      <c r="I1806" s="3">
        <v>2.1052791573623462</v>
      </c>
    </row>
    <row r="1807" spans="1:16" x14ac:dyDescent="0.3">
      <c r="A1807" s="3" t="str">
        <f t="shared" si="28"/>
        <v>NGA</v>
      </c>
      <c r="C1807" s="3" t="s">
        <v>850</v>
      </c>
      <c r="D1807" s="3" t="s">
        <v>1270</v>
      </c>
      <c r="E1807" s="3" t="s">
        <v>1287</v>
      </c>
      <c r="F1807" s="3" t="s">
        <v>3</v>
      </c>
      <c r="H1807" s="3">
        <v>5.3286235670527479E-3</v>
      </c>
      <c r="I1807" s="3">
        <v>5.3286235670527479E-3</v>
      </c>
    </row>
    <row r="1808" spans="1:16" x14ac:dyDescent="0.3">
      <c r="A1808" s="3" t="str">
        <f t="shared" si="28"/>
        <v>NGA</v>
      </c>
      <c r="C1808" s="3" t="s">
        <v>850</v>
      </c>
      <c r="D1808" s="3" t="s">
        <v>1270</v>
      </c>
      <c r="E1808" s="3" t="s">
        <v>1287</v>
      </c>
      <c r="F1808" s="3" t="s">
        <v>4</v>
      </c>
      <c r="H1808" s="3">
        <v>8.1493538718744318E-2</v>
      </c>
      <c r="I1808" s="3">
        <v>8.1493538718744318E-2</v>
      </c>
    </row>
    <row r="1809" spans="1:16" x14ac:dyDescent="0.3">
      <c r="A1809" s="3" t="str">
        <f t="shared" si="28"/>
        <v>NGA</v>
      </c>
      <c r="C1809" s="3" t="s">
        <v>850</v>
      </c>
      <c r="D1809" s="3" t="s">
        <v>1270</v>
      </c>
      <c r="E1809" s="3" t="s">
        <v>1287</v>
      </c>
      <c r="F1809" s="3" t="s">
        <v>5</v>
      </c>
      <c r="I1809" s="3">
        <v>1.7481243653594957E-3</v>
      </c>
    </row>
    <row r="1810" spans="1:16" x14ac:dyDescent="0.3">
      <c r="A1810" s="3" t="str">
        <f t="shared" si="28"/>
        <v>NGA</v>
      </c>
      <c r="C1810" s="3" t="s">
        <v>850</v>
      </c>
      <c r="D1810" s="3" t="s">
        <v>1270</v>
      </c>
      <c r="E1810" s="3" t="s">
        <v>1287</v>
      </c>
      <c r="F1810" s="3" t="s">
        <v>7</v>
      </c>
      <c r="I1810" s="3">
        <v>0.24759843099345652</v>
      </c>
      <c r="O1810" s="3">
        <v>0.16618851626229197</v>
      </c>
      <c r="P1810" s="3">
        <v>1.1771457291450522</v>
      </c>
    </row>
    <row r="1811" spans="1:16" x14ac:dyDescent="0.3">
      <c r="A1811" s="3" t="str">
        <f t="shared" si="28"/>
        <v>DST</v>
      </c>
      <c r="C1811" s="3" t="s">
        <v>850</v>
      </c>
      <c r="D1811" s="3" t="s">
        <v>751</v>
      </c>
      <c r="E1811" s="3" t="s">
        <v>1469</v>
      </c>
      <c r="F1811" s="3" t="s">
        <v>0</v>
      </c>
      <c r="G1811" s="3">
        <v>4.7350518003042803E-2</v>
      </c>
      <c r="I1811" s="3">
        <v>3.9458765002535701E-2</v>
      </c>
    </row>
    <row r="1812" spans="1:16" x14ac:dyDescent="0.3">
      <c r="A1812" s="3" t="str">
        <f t="shared" si="28"/>
        <v>ELC</v>
      </c>
      <c r="C1812" s="3" t="s">
        <v>850</v>
      </c>
      <c r="D1812" s="3" t="s">
        <v>751</v>
      </c>
      <c r="E1812" s="3" t="s">
        <v>1468</v>
      </c>
      <c r="F1812" s="3" t="s">
        <v>0</v>
      </c>
      <c r="G1812" s="3">
        <v>0.96005223551645902</v>
      </c>
      <c r="H1812" s="3">
        <v>1.0822438680498201</v>
      </c>
      <c r="J1812" s="3">
        <v>5.6458174055748198E-2</v>
      </c>
      <c r="K1812" s="3">
        <v>0.111211938698805</v>
      </c>
      <c r="L1812" s="3">
        <v>0.21937447000980001</v>
      </c>
      <c r="M1812" s="3">
        <v>0.36930269692545603</v>
      </c>
      <c r="N1812" s="3">
        <v>0.50880409567170304</v>
      </c>
      <c r="O1812" s="3">
        <v>2.5466881102919299</v>
      </c>
      <c r="P1812" s="3">
        <v>2.6978415447437629</v>
      </c>
    </row>
    <row r="1813" spans="1:16" x14ac:dyDescent="0.3">
      <c r="A1813" s="3" t="str">
        <f t="shared" si="28"/>
        <v>ELC</v>
      </c>
      <c r="C1813" s="3" t="s">
        <v>850</v>
      </c>
      <c r="D1813" s="3" t="s">
        <v>751</v>
      </c>
      <c r="E1813" s="3" t="s">
        <v>1468</v>
      </c>
      <c r="F1813" s="3" t="s">
        <v>1</v>
      </c>
      <c r="G1813" s="3">
        <v>3.1456827786544301</v>
      </c>
      <c r="H1813" s="3">
        <v>3.3239604551706798</v>
      </c>
      <c r="I1813" s="3">
        <v>3.803102892117975</v>
      </c>
      <c r="J1813" s="3">
        <v>3.8498965459415064</v>
      </c>
      <c r="K1813" s="3">
        <v>4.0006152385867857</v>
      </c>
      <c r="L1813" s="3">
        <v>4.298350296964462</v>
      </c>
      <c r="M1813" s="3">
        <v>4.7110522636450272</v>
      </c>
      <c r="N1813" s="3">
        <v>5.0950526803887799</v>
      </c>
      <c r="O1813" s="3">
        <v>7.0101755570732998</v>
      </c>
      <c r="P1813" s="3">
        <v>7.4262501078907786</v>
      </c>
    </row>
    <row r="1814" spans="1:16" x14ac:dyDescent="0.3">
      <c r="A1814" s="3" t="str">
        <f t="shared" si="28"/>
        <v>ELC</v>
      </c>
      <c r="C1814" s="3" t="s">
        <v>850</v>
      </c>
      <c r="D1814" s="3" t="s">
        <v>751</v>
      </c>
      <c r="E1814" s="3" t="s">
        <v>1468</v>
      </c>
      <c r="F1814" s="3" t="s">
        <v>2</v>
      </c>
      <c r="G1814" s="3">
        <v>9.1622532110938408</v>
      </c>
      <c r="H1814" s="3">
        <v>9.4321007219635291</v>
      </c>
      <c r="I1814" s="3">
        <v>10.074115326766588</v>
      </c>
      <c r="J1814" s="3">
        <v>10.161590414501719</v>
      </c>
      <c r="K1814" s="3">
        <v>10.519659465593849</v>
      </c>
      <c r="L1814" s="3">
        <v>11.260521167358981</v>
      </c>
      <c r="M1814" s="3">
        <v>12.300727009143518</v>
      </c>
      <c r="N1814" s="3">
        <v>13.266201426817553</v>
      </c>
      <c r="O1814" s="3">
        <v>18.2526868339252</v>
      </c>
      <c r="P1814" s="3">
        <v>19.336037516630189</v>
      </c>
    </row>
    <row r="1815" spans="1:16" x14ac:dyDescent="0.3">
      <c r="A1815" s="3" t="str">
        <f t="shared" si="28"/>
        <v>ELC</v>
      </c>
      <c r="C1815" s="3" t="s">
        <v>850</v>
      </c>
      <c r="D1815" s="3" t="s">
        <v>751</v>
      </c>
      <c r="E1815" s="3" t="s">
        <v>1468</v>
      </c>
      <c r="F1815" s="3" t="s">
        <v>3</v>
      </c>
      <c r="G1815" s="3">
        <v>6.2411077063098697</v>
      </c>
      <c r="H1815" s="3">
        <v>6.0731787420852097</v>
      </c>
      <c r="I1815" s="3">
        <v>6.8234378503399196</v>
      </c>
      <c r="J1815" s="3">
        <v>6.8826868072213001</v>
      </c>
      <c r="K1815" s="3">
        <v>7.1252154895926205</v>
      </c>
      <c r="L1815" s="3">
        <v>7.6270187362022597</v>
      </c>
      <c r="M1815" s="3">
        <v>8.33157488656901</v>
      </c>
      <c r="N1815" s="3">
        <v>8.9855136664426194</v>
      </c>
      <c r="O1815" s="3">
        <v>12.362978799944001</v>
      </c>
      <c r="P1815" s="3">
        <v>13.096757976952265</v>
      </c>
    </row>
    <row r="1816" spans="1:16" x14ac:dyDescent="0.3">
      <c r="A1816" s="3" t="str">
        <f t="shared" si="28"/>
        <v>ELC</v>
      </c>
      <c r="C1816" s="3" t="s">
        <v>850</v>
      </c>
      <c r="D1816" s="3" t="s">
        <v>751</v>
      </c>
      <c r="E1816" s="3" t="s">
        <v>1468</v>
      </c>
      <c r="F1816" s="3" t="s">
        <v>4</v>
      </c>
      <c r="G1816" s="3">
        <v>2.3388374349046601</v>
      </c>
      <c r="H1816" s="3">
        <v>2.2951906977788301</v>
      </c>
      <c r="I1816" s="3">
        <v>2.5736882884344592</v>
      </c>
      <c r="J1816" s="3">
        <v>2.5925668108994131</v>
      </c>
      <c r="K1816" s="3">
        <v>2.6801288913490238</v>
      </c>
      <c r="L1816" s="3">
        <v>2.864853380347717</v>
      </c>
      <c r="M1816" s="3">
        <v>3.125558945728613</v>
      </c>
      <c r="N1816" s="3">
        <v>3.3672957948917133</v>
      </c>
      <c r="O1816" s="3">
        <v>4.6329912869486298</v>
      </c>
      <c r="P1816" s="3">
        <v>4.9079729550915108</v>
      </c>
    </row>
    <row r="1817" spans="1:16" x14ac:dyDescent="0.3">
      <c r="A1817" s="3" t="str">
        <f t="shared" si="28"/>
        <v>ELC</v>
      </c>
      <c r="C1817" s="3" t="s">
        <v>850</v>
      </c>
      <c r="D1817" s="3" t="s">
        <v>751</v>
      </c>
      <c r="E1817" s="3" t="s">
        <v>1468</v>
      </c>
      <c r="F1817" s="3" t="s">
        <v>5</v>
      </c>
      <c r="G1817" s="3">
        <v>2.03863750033705</v>
      </c>
      <c r="H1817" s="3">
        <v>2.0960342279774529</v>
      </c>
      <c r="I1817" s="3">
        <v>2.243344227639601</v>
      </c>
      <c r="J1817" s="3">
        <v>2.2597996098194937</v>
      </c>
      <c r="K1817" s="3">
        <v>2.3361227172523122</v>
      </c>
      <c r="L1817" s="3">
        <v>2.49713701644351</v>
      </c>
      <c r="M1817" s="3">
        <v>2.7243798911299892</v>
      </c>
      <c r="N1817" s="3">
        <v>2.9350887666432892</v>
      </c>
      <c r="O1817" s="3">
        <v>4.0383267495858801</v>
      </c>
      <c r="P1817" s="3">
        <v>4.2780133272911742</v>
      </c>
    </row>
    <row r="1818" spans="1:16" x14ac:dyDescent="0.3">
      <c r="A1818" s="3" t="str">
        <f t="shared" si="28"/>
        <v>ELC</v>
      </c>
      <c r="C1818" s="3" t="s">
        <v>850</v>
      </c>
      <c r="D1818" s="3" t="s">
        <v>751</v>
      </c>
      <c r="E1818" s="3" t="s">
        <v>1468</v>
      </c>
      <c r="F1818" s="3" t="s">
        <v>6</v>
      </c>
      <c r="G1818" s="3">
        <v>6.2953168775127502</v>
      </c>
      <c r="H1818" s="3">
        <v>6.3205331548719803</v>
      </c>
      <c r="I1818" s="3">
        <v>7.7933831409433196</v>
      </c>
      <c r="J1818" s="3">
        <v>7.85054917746975</v>
      </c>
      <c r="K1818" s="3">
        <v>8.1156958328081608</v>
      </c>
      <c r="L1818" s="3">
        <v>8.6750598881799892</v>
      </c>
      <c r="M1818" s="3">
        <v>9.4645021711168802</v>
      </c>
      <c r="N1818" s="3">
        <v>10.196505301907202</v>
      </c>
      <c r="O1818" s="3">
        <v>14.029156658208301</v>
      </c>
      <c r="P1818" s="3">
        <v>14.861828394798726</v>
      </c>
    </row>
    <row r="1819" spans="1:16" x14ac:dyDescent="0.3">
      <c r="A1819" s="3" t="str">
        <f t="shared" si="28"/>
        <v>ELC</v>
      </c>
      <c r="C1819" s="3" t="s">
        <v>850</v>
      </c>
      <c r="D1819" s="3" t="s">
        <v>751</v>
      </c>
      <c r="E1819" s="3" t="s">
        <v>1468</v>
      </c>
      <c r="F1819" s="3" t="s">
        <v>7</v>
      </c>
      <c r="G1819" s="3">
        <v>3.16093976432128</v>
      </c>
      <c r="H1819" s="3">
        <v>2.6406694600875902</v>
      </c>
      <c r="I1819" s="3">
        <v>3.2953578437517064</v>
      </c>
      <c r="J1819" s="3">
        <v>3.3384865498229384</v>
      </c>
      <c r="K1819" s="3">
        <v>3.4719978475142792</v>
      </c>
      <c r="L1819" s="3">
        <v>3.7333678431297832</v>
      </c>
      <c r="M1819" s="3">
        <v>4.1378521425201855</v>
      </c>
      <c r="N1819" s="3">
        <v>4.4311175720076728</v>
      </c>
      <c r="O1819" s="3">
        <v>6.0966812400919004</v>
      </c>
      <c r="P1819" s="3">
        <v>6.4585372147099722</v>
      </c>
    </row>
    <row r="1820" spans="1:16" x14ac:dyDescent="0.3">
      <c r="A1820" s="3" t="str">
        <f t="shared" si="28"/>
        <v>ELC</v>
      </c>
      <c r="C1820" s="3" t="s">
        <v>850</v>
      </c>
      <c r="D1820" s="3" t="s">
        <v>751</v>
      </c>
      <c r="E1820" s="3" t="s">
        <v>1468</v>
      </c>
      <c r="F1820" s="3" t="s">
        <v>8</v>
      </c>
      <c r="G1820" s="3">
        <v>1.7676216855639</v>
      </c>
      <c r="H1820" s="3">
        <v>1.82736524084181</v>
      </c>
      <c r="I1820" s="3">
        <v>2.066339461953429</v>
      </c>
      <c r="J1820" s="3">
        <v>2.0933831250466288</v>
      </c>
      <c r="K1820" s="3">
        <v>2.1771007897486099</v>
      </c>
      <c r="L1820" s="3">
        <v>2.3409916816391467</v>
      </c>
      <c r="M1820" s="3">
        <v>2.5675780973416971</v>
      </c>
      <c r="N1820" s="3">
        <v>2.7785125421069914</v>
      </c>
      <c r="O1820" s="3">
        <v>3.82289682355428</v>
      </c>
      <c r="P1820" s="3">
        <v>4.0497970011221511</v>
      </c>
    </row>
    <row r="1821" spans="1:16" x14ac:dyDescent="0.3">
      <c r="A1821" s="3" t="str">
        <f t="shared" si="28"/>
        <v>NGA</v>
      </c>
      <c r="C1821" s="3" t="s">
        <v>850</v>
      </c>
      <c r="D1821" s="3" t="s">
        <v>751</v>
      </c>
      <c r="E1821" s="3" t="s">
        <v>1470</v>
      </c>
      <c r="F1821" s="3" t="s">
        <v>0</v>
      </c>
      <c r="G1821" s="3">
        <v>0.101996454319274</v>
      </c>
      <c r="H1821" s="3">
        <v>9.8596572508631505E-2</v>
      </c>
      <c r="I1821" s="3">
        <v>1.4271466064346319</v>
      </c>
      <c r="J1821" s="3">
        <v>1.4101471973814195</v>
      </c>
      <c r="K1821" s="3">
        <v>1.3931477883282071</v>
      </c>
      <c r="L1821" s="3">
        <v>1.3761483792749949</v>
      </c>
      <c r="M1821" s="3">
        <v>1.3591489702217825</v>
      </c>
      <c r="N1821" s="3">
        <v>1.3421495611685701</v>
      </c>
    </row>
    <row r="1822" spans="1:16" x14ac:dyDescent="0.3">
      <c r="A1822" s="3" t="str">
        <f t="shared" si="28"/>
        <v>NGA</v>
      </c>
      <c r="C1822" s="3" t="s">
        <v>850</v>
      </c>
      <c r="D1822" s="3" t="s">
        <v>751</v>
      </c>
      <c r="E1822" s="3" t="s">
        <v>1470</v>
      </c>
      <c r="F1822" s="3" t="s">
        <v>1</v>
      </c>
      <c r="I1822" s="3">
        <v>0.233968269117689</v>
      </c>
      <c r="J1822" s="3">
        <v>0.187174615294151</v>
      </c>
      <c r="K1822" s="3">
        <v>0.14038096147061299</v>
      </c>
      <c r="L1822" s="3">
        <v>9.3587307647075693E-2</v>
      </c>
      <c r="M1822" s="3">
        <v>4.6793653823537798E-2</v>
      </c>
    </row>
    <row r="1823" spans="1:16" x14ac:dyDescent="0.3">
      <c r="A1823" s="3" t="str">
        <f t="shared" si="28"/>
        <v>NGA</v>
      </c>
      <c r="C1823" s="3" t="s">
        <v>850</v>
      </c>
      <c r="D1823" s="3" t="s">
        <v>751</v>
      </c>
      <c r="E1823" s="3" t="s">
        <v>1470</v>
      </c>
      <c r="F1823" s="3" t="s">
        <v>2</v>
      </c>
      <c r="I1823" s="3">
        <v>0.43737543867568202</v>
      </c>
      <c r="J1823" s="3">
        <v>0.349900350940545</v>
      </c>
      <c r="K1823" s="3">
        <v>0.26242526320540899</v>
      </c>
      <c r="L1823" s="3">
        <v>0.174950175470273</v>
      </c>
      <c r="M1823" s="3">
        <v>8.7475087735136306E-2</v>
      </c>
    </row>
    <row r="1824" spans="1:16" x14ac:dyDescent="0.3">
      <c r="A1824" s="3" t="str">
        <f t="shared" si="28"/>
        <v>NGA</v>
      </c>
      <c r="C1824" s="3" t="s">
        <v>850</v>
      </c>
      <c r="D1824" s="3" t="s">
        <v>751</v>
      </c>
      <c r="E1824" s="3" t="s">
        <v>1470</v>
      </c>
      <c r="F1824" s="3" t="s">
        <v>3</v>
      </c>
      <c r="H1824" s="3">
        <v>0.34364394991205699</v>
      </c>
      <c r="I1824" s="3">
        <v>0.29624478440694602</v>
      </c>
      <c r="J1824" s="3">
        <v>0.23699582752555701</v>
      </c>
      <c r="K1824" s="3">
        <v>0.177746870644167</v>
      </c>
      <c r="L1824" s="3">
        <v>0.118497913762778</v>
      </c>
      <c r="M1824" s="3">
        <v>5.9248956881389203E-2</v>
      </c>
    </row>
    <row r="1825" spans="1:16" x14ac:dyDescent="0.3">
      <c r="A1825" s="3" t="str">
        <f t="shared" si="28"/>
        <v>NGA</v>
      </c>
      <c r="C1825" s="3" t="s">
        <v>850</v>
      </c>
      <c r="D1825" s="3" t="s">
        <v>751</v>
      </c>
      <c r="E1825" s="3" t="s">
        <v>1470</v>
      </c>
      <c r="F1825" s="3" t="s">
        <v>4</v>
      </c>
      <c r="H1825" s="3">
        <v>0.109495430296737</v>
      </c>
      <c r="I1825" s="3">
        <v>9.4392612324773306E-2</v>
      </c>
      <c r="J1825" s="3">
        <v>7.5514089859818695E-2</v>
      </c>
      <c r="K1825" s="3">
        <v>5.6635567394864E-2</v>
      </c>
      <c r="L1825" s="3">
        <v>3.7757044929909299E-2</v>
      </c>
      <c r="M1825" s="3">
        <v>1.8878522464954701E-2</v>
      </c>
    </row>
    <row r="1826" spans="1:16" x14ac:dyDescent="0.3">
      <c r="A1826" s="3" t="str">
        <f t="shared" si="28"/>
        <v>NGA</v>
      </c>
      <c r="C1826" s="3" t="s">
        <v>850</v>
      </c>
      <c r="D1826" s="3" t="s">
        <v>751</v>
      </c>
      <c r="E1826" s="3" t="s">
        <v>1470</v>
      </c>
      <c r="F1826" s="3" t="s">
        <v>5</v>
      </c>
      <c r="I1826" s="3">
        <v>8.2276910899497804E-2</v>
      </c>
      <c r="J1826" s="3">
        <v>6.5821528719598302E-2</v>
      </c>
      <c r="K1826" s="3">
        <v>4.9366146539698702E-2</v>
      </c>
      <c r="L1826" s="3">
        <v>3.2910764359799102E-2</v>
      </c>
      <c r="M1826" s="3">
        <v>1.64553821798996E-2</v>
      </c>
    </row>
    <row r="1827" spans="1:16" x14ac:dyDescent="0.3">
      <c r="A1827" s="3" t="str">
        <f t="shared" si="28"/>
        <v>NGA</v>
      </c>
      <c r="C1827" s="3" t="s">
        <v>850</v>
      </c>
      <c r="D1827" s="3" t="s">
        <v>751</v>
      </c>
      <c r="E1827" s="3" t="s">
        <v>1470</v>
      </c>
      <c r="F1827" s="3" t="s">
        <v>6</v>
      </c>
      <c r="H1827" s="3">
        <v>0.33156301185331399</v>
      </c>
      <c r="I1827" s="3">
        <v>0.28583018263216797</v>
      </c>
      <c r="J1827" s="3">
        <v>0.22866414610573399</v>
      </c>
      <c r="K1827" s="3">
        <v>0.17149810957930101</v>
      </c>
      <c r="L1827" s="3">
        <v>0.11433207305286699</v>
      </c>
      <c r="M1827" s="3">
        <v>5.7166036526433497E-2</v>
      </c>
    </row>
    <row r="1828" spans="1:16" x14ac:dyDescent="0.3">
      <c r="A1828" s="3" t="str">
        <f t="shared" si="28"/>
        <v>NGA</v>
      </c>
      <c r="C1828" s="3" t="s">
        <v>850</v>
      </c>
      <c r="D1828" s="3" t="s">
        <v>751</v>
      </c>
      <c r="E1828" s="3" t="s">
        <v>1470</v>
      </c>
      <c r="F1828" s="3" t="s">
        <v>7</v>
      </c>
      <c r="H1828" s="3">
        <v>0.25014649521309801</v>
      </c>
      <c r="I1828" s="3">
        <v>0.215643530356119</v>
      </c>
      <c r="J1828" s="3">
        <v>0.17251482428489501</v>
      </c>
      <c r="K1828" s="3">
        <v>0.12938611821367099</v>
      </c>
      <c r="L1828" s="3">
        <v>8.6257412142447698E-2</v>
      </c>
    </row>
    <row r="1829" spans="1:16" x14ac:dyDescent="0.3">
      <c r="A1829" s="3" t="str">
        <f t="shared" si="28"/>
        <v>NGA</v>
      </c>
      <c r="C1829" s="3" t="s">
        <v>850</v>
      </c>
      <c r="D1829" s="3" t="s">
        <v>751</v>
      </c>
      <c r="E1829" s="3" t="s">
        <v>1470</v>
      </c>
      <c r="F1829" s="3" t="s">
        <v>8</v>
      </c>
      <c r="G1829" s="3">
        <v>0.16226197855920901</v>
      </c>
      <c r="H1829" s="3">
        <v>0.15685324594056901</v>
      </c>
      <c r="I1829" s="3">
        <v>0.13521831546600799</v>
      </c>
      <c r="J1829" s="3">
        <v>0.108174652372806</v>
      </c>
      <c r="K1829" s="3">
        <v>8.1130989279604507E-2</v>
      </c>
      <c r="L1829" s="3">
        <v>5.4087326186403002E-2</v>
      </c>
      <c r="M1829" s="3">
        <v>2.7043663093201501E-2</v>
      </c>
    </row>
    <row r="1830" spans="1:16" x14ac:dyDescent="0.3">
      <c r="A1830" s="3" t="str">
        <f t="shared" si="28"/>
        <v>BIO</v>
      </c>
      <c r="C1830" s="3" t="s">
        <v>850</v>
      </c>
      <c r="D1830" s="3" t="s">
        <v>767</v>
      </c>
      <c r="E1830" s="3" t="s">
        <v>1477</v>
      </c>
      <c r="F1830" s="3" t="s">
        <v>2</v>
      </c>
      <c r="G1830" s="3">
        <v>0.19894483013480199</v>
      </c>
    </row>
    <row r="1831" spans="1:16" x14ac:dyDescent="0.3">
      <c r="A1831" s="3" t="str">
        <f t="shared" si="28"/>
        <v>BIO</v>
      </c>
      <c r="C1831" s="3" t="s">
        <v>850</v>
      </c>
      <c r="D1831" s="3" t="s">
        <v>767</v>
      </c>
      <c r="E1831" s="3" t="s">
        <v>1477</v>
      </c>
      <c r="F1831" s="3" t="s">
        <v>3</v>
      </c>
      <c r="G1831" s="3">
        <v>0.134750063905309</v>
      </c>
    </row>
    <row r="1832" spans="1:16" x14ac:dyDescent="0.3">
      <c r="A1832" s="3" t="str">
        <f t="shared" si="28"/>
        <v>BIO</v>
      </c>
      <c r="C1832" s="3" t="s">
        <v>850</v>
      </c>
      <c r="D1832" s="3" t="s">
        <v>767</v>
      </c>
      <c r="E1832" s="3" t="s">
        <v>1477</v>
      </c>
      <c r="F1832" s="3" t="s">
        <v>4</v>
      </c>
      <c r="G1832" s="3">
        <v>0.81039902500807803</v>
      </c>
    </row>
    <row r="1833" spans="1:16" x14ac:dyDescent="0.3">
      <c r="A1833" s="3" t="str">
        <f t="shared" si="28"/>
        <v>BIO</v>
      </c>
      <c r="C1833" s="3" t="s">
        <v>850</v>
      </c>
      <c r="D1833" s="3" t="s">
        <v>767</v>
      </c>
      <c r="E1833" s="3" t="s">
        <v>1477</v>
      </c>
      <c r="F1833" s="3" t="s">
        <v>5</v>
      </c>
      <c r="G1833" s="3">
        <v>0.70638079327877701</v>
      </c>
    </row>
    <row r="1834" spans="1:16" x14ac:dyDescent="0.3">
      <c r="A1834" s="3" t="str">
        <f t="shared" si="28"/>
        <v>BIO</v>
      </c>
      <c r="C1834" s="3" t="s">
        <v>850</v>
      </c>
      <c r="D1834" s="3" t="s">
        <v>767</v>
      </c>
      <c r="E1834" s="3" t="s">
        <v>1477</v>
      </c>
      <c r="F1834" s="3" t="s">
        <v>6</v>
      </c>
      <c r="G1834" s="3">
        <v>2.4539685428559399</v>
      </c>
    </row>
    <row r="1835" spans="1:16" x14ac:dyDescent="0.3">
      <c r="A1835" s="3" t="str">
        <f t="shared" si="28"/>
        <v>COA</v>
      </c>
      <c r="C1835" s="3" t="s">
        <v>850</v>
      </c>
      <c r="D1835" s="3" t="s">
        <v>767</v>
      </c>
      <c r="E1835" s="3" t="s">
        <v>1476</v>
      </c>
      <c r="F1835" s="3" t="s">
        <v>0</v>
      </c>
      <c r="G1835" s="3">
        <v>0.56412811441060595</v>
      </c>
      <c r="H1835" s="3">
        <v>0.60045589220290796</v>
      </c>
      <c r="I1835" s="3">
        <v>0.74576700337211099</v>
      </c>
      <c r="J1835" s="3">
        <v>0.74576700337211099</v>
      </c>
      <c r="K1835" s="3">
        <v>0.76496504613183003</v>
      </c>
      <c r="L1835" s="3">
        <v>0.81132138017253397</v>
      </c>
      <c r="M1835" s="3">
        <v>0.87891551837068205</v>
      </c>
      <c r="N1835" s="3">
        <v>0.94120762744087605</v>
      </c>
      <c r="O1835" s="3">
        <v>1.2949877298449299</v>
      </c>
      <c r="P1835" s="3">
        <v>1.37184906286329</v>
      </c>
    </row>
    <row r="1836" spans="1:16" x14ac:dyDescent="0.3">
      <c r="A1836" s="3" t="str">
        <f t="shared" si="28"/>
        <v>COA</v>
      </c>
      <c r="C1836" s="3" t="s">
        <v>850</v>
      </c>
      <c r="D1836" s="3" t="s">
        <v>767</v>
      </c>
      <c r="E1836" s="3" t="s">
        <v>1476</v>
      </c>
      <c r="F1836" s="3" t="s">
        <v>1</v>
      </c>
      <c r="G1836" s="3">
        <v>1.5924989892182699</v>
      </c>
      <c r="H1836" s="3">
        <v>1.69022974840934</v>
      </c>
      <c r="I1836" s="3">
        <v>2.0528456536092001</v>
      </c>
      <c r="J1836" s="3">
        <v>2.0528456536092001</v>
      </c>
      <c r="K1836" s="3">
        <v>2.1056914063159899</v>
      </c>
      <c r="L1836" s="3">
        <v>2.2332947977538198</v>
      </c>
      <c r="M1836" s="3">
        <v>2.4193587187668202</v>
      </c>
      <c r="N1836" s="3">
        <v>2.5908279374110901</v>
      </c>
      <c r="O1836" s="3">
        <v>3.5646655331610799</v>
      </c>
      <c r="P1836" s="3">
        <v>3.7762389236488598</v>
      </c>
    </row>
    <row r="1837" spans="1:16" x14ac:dyDescent="0.3">
      <c r="A1837" s="3" t="str">
        <f t="shared" si="28"/>
        <v>COA</v>
      </c>
      <c r="C1837" s="3" t="s">
        <v>850</v>
      </c>
      <c r="D1837" s="3" t="s">
        <v>767</v>
      </c>
      <c r="E1837" s="3" t="s">
        <v>1476</v>
      </c>
      <c r="F1837" s="3" t="s">
        <v>2</v>
      </c>
      <c r="G1837" s="3">
        <v>2.5886822978419</v>
      </c>
      <c r="H1837" s="3">
        <v>6.23388410198557</v>
      </c>
      <c r="I1837" s="3">
        <v>6.9472768689028097</v>
      </c>
      <c r="J1837" s="3">
        <v>6.9472768689028097</v>
      </c>
      <c r="K1837" s="3">
        <v>7.1261184076001598</v>
      </c>
      <c r="L1837" s="3">
        <v>7.5579560804281298</v>
      </c>
      <c r="M1837" s="3">
        <v>8.1876369199585408</v>
      </c>
      <c r="N1837" s="3">
        <v>8.7679261074684796</v>
      </c>
      <c r="O1837" s="3">
        <v>12.0636046652437</v>
      </c>
      <c r="P1837" s="3">
        <v>12.7796151062755</v>
      </c>
    </row>
    <row r="1838" spans="1:16" x14ac:dyDescent="0.3">
      <c r="A1838" s="3" t="str">
        <f t="shared" si="28"/>
        <v>COA</v>
      </c>
      <c r="C1838" s="3" t="s">
        <v>850</v>
      </c>
      <c r="D1838" s="3" t="s">
        <v>767</v>
      </c>
      <c r="E1838" s="3" t="s">
        <v>1476</v>
      </c>
      <c r="F1838" s="3" t="s">
        <v>3</v>
      </c>
      <c r="G1838" s="3">
        <v>1.75337607329822</v>
      </c>
      <c r="H1838" s="3">
        <v>4.2410201230945601</v>
      </c>
      <c r="I1838" s="3">
        <v>4.7055558137309301</v>
      </c>
      <c r="J1838" s="3">
        <v>4.7055558137309399</v>
      </c>
      <c r="K1838" s="3">
        <v>4.8266894403351799</v>
      </c>
      <c r="L1838" s="3">
        <v>5.1191833642580002</v>
      </c>
      <c r="M1838" s="3">
        <v>5.5456811692483496</v>
      </c>
      <c r="N1838" s="3">
        <v>5.9387248339042298</v>
      </c>
      <c r="O1838" s="3">
        <v>8.1709662848162896</v>
      </c>
      <c r="P1838" s="3">
        <v>8.6559371816249193</v>
      </c>
    </row>
    <row r="1839" spans="1:16" x14ac:dyDescent="0.3">
      <c r="A1839" s="3" t="str">
        <f t="shared" si="28"/>
        <v>COA</v>
      </c>
      <c r="C1839" s="3" t="s">
        <v>850</v>
      </c>
      <c r="D1839" s="3" t="s">
        <v>767</v>
      </c>
      <c r="E1839" s="3" t="s">
        <v>1476</v>
      </c>
      <c r="F1839" s="3" t="s">
        <v>4</v>
      </c>
      <c r="G1839" s="3">
        <v>3.1016318403027601</v>
      </c>
      <c r="H1839" s="3">
        <v>5.0950728534223302</v>
      </c>
      <c r="J1839" s="3">
        <v>5.6531563140309098</v>
      </c>
      <c r="K1839" s="3">
        <v>5.7986837189085403</v>
      </c>
      <c r="L1839" s="3">
        <v>6.1500798001143204</v>
      </c>
      <c r="M1839" s="3">
        <v>6.6624653406632</v>
      </c>
      <c r="N1839" s="3">
        <v>7.13465977687743</v>
      </c>
      <c r="O1839" s="3">
        <v>9.8164279573422704</v>
      </c>
      <c r="P1839" s="3">
        <v>10.3990618471401</v>
      </c>
    </row>
    <row r="1840" spans="1:16" x14ac:dyDescent="0.3">
      <c r="A1840" s="3" t="str">
        <f t="shared" si="28"/>
        <v>COA</v>
      </c>
      <c r="C1840" s="3" t="s">
        <v>850</v>
      </c>
      <c r="D1840" s="3" t="s">
        <v>767</v>
      </c>
      <c r="E1840" s="3" t="s">
        <v>1476</v>
      </c>
      <c r="F1840" s="3" t="s">
        <v>5</v>
      </c>
      <c r="G1840" s="3">
        <v>2.7035239335214398</v>
      </c>
      <c r="H1840" s="3">
        <v>4.4410981417182001</v>
      </c>
      <c r="J1840" s="3">
        <v>4.9275491682560704</v>
      </c>
      <c r="K1840" s="3">
        <v>5.0543974991758196</v>
      </c>
      <c r="L1840" s="3">
        <v>5.3606903684135396</v>
      </c>
      <c r="M1840" s="3">
        <v>5.8073090012455602</v>
      </c>
      <c r="N1840" s="3">
        <v>6.2188952324006204</v>
      </c>
      <c r="O1840" s="3">
        <v>8.5564468288967603</v>
      </c>
      <c r="P1840" s="3">
        <v>9.0642971304965201</v>
      </c>
    </row>
    <row r="1841" spans="1:16" x14ac:dyDescent="0.3">
      <c r="A1841" s="3" t="str">
        <f t="shared" si="28"/>
        <v>COA</v>
      </c>
      <c r="C1841" s="3" t="s">
        <v>850</v>
      </c>
      <c r="D1841" s="3" t="s">
        <v>767</v>
      </c>
      <c r="E1841" s="3" t="s">
        <v>1476</v>
      </c>
      <c r="F1841" s="3" t="s">
        <v>6</v>
      </c>
      <c r="G1841" s="3">
        <v>9.3920485251663202</v>
      </c>
      <c r="H1841" s="3">
        <v>14.094527431969199</v>
      </c>
      <c r="J1841" s="3">
        <v>17.1183174391665</v>
      </c>
      <c r="K1841" s="3">
        <v>17.558988840134301</v>
      </c>
      <c r="L1841" s="3">
        <v>18.6230509906942</v>
      </c>
      <c r="M1841" s="3">
        <v>20.1746051751389</v>
      </c>
      <c r="N1841" s="3">
        <v>21.6044567134842</v>
      </c>
      <c r="O1841" s="3">
        <v>29.725116476157499</v>
      </c>
      <c r="P1841" s="3">
        <v>31.4893896224035</v>
      </c>
    </row>
    <row r="1842" spans="1:16" x14ac:dyDescent="0.3">
      <c r="A1842" s="3" t="str">
        <f t="shared" si="28"/>
        <v>COA</v>
      </c>
      <c r="C1842" s="3" t="s">
        <v>850</v>
      </c>
      <c r="D1842" s="3" t="s">
        <v>767</v>
      </c>
      <c r="E1842" s="3" t="s">
        <v>1476</v>
      </c>
      <c r="F1842" s="3" t="s">
        <v>7</v>
      </c>
      <c r="H1842" s="3">
        <v>0.297186692075877</v>
      </c>
      <c r="I1842" s="3">
        <v>0.36094407266976403</v>
      </c>
      <c r="J1842" s="3">
        <v>0.36094407266976403</v>
      </c>
      <c r="K1842" s="3">
        <v>0.370235741126061</v>
      </c>
      <c r="L1842" s="3">
        <v>0.39267176193019299</v>
      </c>
      <c r="M1842" s="3">
        <v>0.425386676131981</v>
      </c>
      <c r="N1842" s="3">
        <v>0.455535459118248</v>
      </c>
      <c r="O1842" s="3">
        <v>0.62676163353176995</v>
      </c>
      <c r="P1842" s="3">
        <v>0.66396178109130399</v>
      </c>
    </row>
    <row r="1843" spans="1:16" x14ac:dyDescent="0.3">
      <c r="A1843" s="3" t="str">
        <f t="shared" si="28"/>
        <v>COA</v>
      </c>
      <c r="C1843" s="3" t="s">
        <v>850</v>
      </c>
      <c r="D1843" s="3" t="s">
        <v>767</v>
      </c>
      <c r="E1843" s="3" t="s">
        <v>1476</v>
      </c>
      <c r="F1843" s="3" t="s">
        <v>8</v>
      </c>
      <c r="H1843" s="3">
        <v>0.203985081568888</v>
      </c>
      <c r="J1843" s="3">
        <v>0.22632837351181201</v>
      </c>
      <c r="K1843" s="3">
        <v>0.23215467284226099</v>
      </c>
      <c r="L1843" s="3">
        <v>0.24622307978164301</v>
      </c>
      <c r="M1843" s="3">
        <v>0.26673682105491497</v>
      </c>
      <c r="N1843" s="3">
        <v>0.28564148117628002</v>
      </c>
      <c r="O1843" s="3">
        <v>0.39300809138550002</v>
      </c>
      <c r="P1843" s="3">
        <v>0.41633427826335301</v>
      </c>
    </row>
    <row r="1844" spans="1:16" x14ac:dyDescent="0.3">
      <c r="A1844" s="3" t="str">
        <f t="shared" si="28"/>
        <v>NGA</v>
      </c>
      <c r="C1844" s="3" t="s">
        <v>850</v>
      </c>
      <c r="D1844" s="3" t="s">
        <v>767</v>
      </c>
      <c r="E1844" s="3" t="s">
        <v>1475</v>
      </c>
      <c r="F1844" s="3" t="s">
        <v>1</v>
      </c>
      <c r="G1844" s="3">
        <v>7.0767828911115797E-3</v>
      </c>
    </row>
    <row r="1845" spans="1:16" x14ac:dyDescent="0.3">
      <c r="A1845" s="3" t="str">
        <f t="shared" si="28"/>
        <v>NGA</v>
      </c>
      <c r="C1845" s="3" t="s">
        <v>850</v>
      </c>
      <c r="D1845" s="3" t="s">
        <v>767</v>
      </c>
      <c r="E1845" s="3" t="s">
        <v>1475</v>
      </c>
      <c r="F1845" s="3" t="s">
        <v>2</v>
      </c>
      <c r="G1845" s="3">
        <v>0.58316725156757598</v>
      </c>
    </row>
    <row r="1846" spans="1:16" x14ac:dyDescent="0.3">
      <c r="A1846" s="3" t="str">
        <f t="shared" si="28"/>
        <v>NGA</v>
      </c>
      <c r="C1846" s="3" t="s">
        <v>850</v>
      </c>
      <c r="D1846" s="3" t="s">
        <v>767</v>
      </c>
      <c r="E1846" s="3" t="s">
        <v>1475</v>
      </c>
      <c r="F1846" s="3" t="s">
        <v>3</v>
      </c>
      <c r="G1846" s="3">
        <v>0.39499304587592798</v>
      </c>
    </row>
    <row r="1847" spans="1:16" x14ac:dyDescent="0.3">
      <c r="A1847" s="3" t="str">
        <f t="shared" si="28"/>
        <v>NGA</v>
      </c>
      <c r="C1847" s="3" t="s">
        <v>850</v>
      </c>
      <c r="D1847" s="3" t="s">
        <v>767</v>
      </c>
      <c r="E1847" s="3" t="s">
        <v>1475</v>
      </c>
      <c r="F1847" s="3" t="s">
        <v>4</v>
      </c>
      <c r="G1847" s="3">
        <v>0.12585681643303101</v>
      </c>
      <c r="I1847" s="3">
        <v>5.6531563140309098</v>
      </c>
    </row>
    <row r="1848" spans="1:16" x14ac:dyDescent="0.3">
      <c r="A1848" s="3" t="str">
        <f t="shared" si="28"/>
        <v>NGA</v>
      </c>
      <c r="C1848" s="3" t="s">
        <v>850</v>
      </c>
      <c r="D1848" s="3" t="s">
        <v>767</v>
      </c>
      <c r="E1848" s="3" t="s">
        <v>1475</v>
      </c>
      <c r="F1848" s="3" t="s">
        <v>5</v>
      </c>
      <c r="G1848" s="3">
        <v>0.10970254786599699</v>
      </c>
      <c r="I1848" s="3">
        <v>4.9275491682560704</v>
      </c>
    </row>
    <row r="1849" spans="1:16" x14ac:dyDescent="0.3">
      <c r="A1849" s="3" t="str">
        <f t="shared" si="28"/>
        <v>NGA</v>
      </c>
      <c r="C1849" s="3" t="s">
        <v>850</v>
      </c>
      <c r="D1849" s="3" t="s">
        <v>767</v>
      </c>
      <c r="E1849" s="3" t="s">
        <v>1475</v>
      </c>
      <c r="F1849" s="3" t="s">
        <v>6</v>
      </c>
      <c r="G1849" s="3">
        <v>0.381106910176224</v>
      </c>
      <c r="I1849" s="3">
        <v>17.1183174391665</v>
      </c>
    </row>
    <row r="1850" spans="1:16" x14ac:dyDescent="0.3">
      <c r="A1850" s="3" t="str">
        <f t="shared" si="28"/>
        <v>NGA</v>
      </c>
      <c r="C1850" s="3" t="s">
        <v>850</v>
      </c>
      <c r="D1850" s="3" t="s">
        <v>767</v>
      </c>
      <c r="E1850" s="3" t="s">
        <v>1475</v>
      </c>
      <c r="F1850" s="3" t="s">
        <v>7</v>
      </c>
      <c r="G1850" s="3">
        <v>0.281247346927405</v>
      </c>
    </row>
    <row r="1851" spans="1:16" x14ac:dyDescent="0.3">
      <c r="A1851" s="3" t="str">
        <f t="shared" si="28"/>
        <v>NGA</v>
      </c>
      <c r="C1851" s="3" t="s">
        <v>850</v>
      </c>
      <c r="D1851" s="3" t="s">
        <v>767</v>
      </c>
      <c r="E1851" s="3" t="s">
        <v>1475</v>
      </c>
      <c r="F1851" s="3" t="s">
        <v>8</v>
      </c>
      <c r="G1851" s="3">
        <v>0.18029108728800999</v>
      </c>
      <c r="I1851" s="3">
        <v>0.22632837351181201</v>
      </c>
    </row>
    <row r="1852" spans="1:16" x14ac:dyDescent="0.3">
      <c r="A1852" s="3" t="str">
        <f t="shared" si="28"/>
        <v>OTP</v>
      </c>
      <c r="C1852" s="3" t="s">
        <v>850</v>
      </c>
      <c r="D1852" s="3" t="s">
        <v>767</v>
      </c>
      <c r="E1852" s="3" t="s">
        <v>1479</v>
      </c>
      <c r="F1852" s="3" t="s">
        <v>4</v>
      </c>
      <c r="G1852" s="3">
        <v>2.4767218165888501E-2</v>
      </c>
    </row>
    <row r="1853" spans="1:16" x14ac:dyDescent="0.3">
      <c r="A1853" s="3" t="str">
        <f t="shared" si="28"/>
        <v>OTP</v>
      </c>
      <c r="C1853" s="3" t="s">
        <v>850</v>
      </c>
      <c r="D1853" s="3" t="s">
        <v>767</v>
      </c>
      <c r="E1853" s="3" t="s">
        <v>1479</v>
      </c>
      <c r="F1853" s="3" t="s">
        <v>5</v>
      </c>
      <c r="G1853" s="3">
        <v>2.1588238232584801E-2</v>
      </c>
    </row>
    <row r="1854" spans="1:16" x14ac:dyDescent="0.3">
      <c r="A1854" s="3" t="str">
        <f t="shared" si="28"/>
        <v>OTP</v>
      </c>
      <c r="C1854" s="3" t="s">
        <v>850</v>
      </c>
      <c r="D1854" s="3" t="s">
        <v>767</v>
      </c>
      <c r="E1854" s="3" t="s">
        <v>1479</v>
      </c>
      <c r="F1854" s="3" t="s">
        <v>6</v>
      </c>
      <c r="G1854" s="3">
        <v>7.4997590566615799E-2</v>
      </c>
    </row>
    <row r="1855" spans="1:16" x14ac:dyDescent="0.3">
      <c r="A1855" s="3" t="str">
        <f t="shared" si="28"/>
        <v>PTC</v>
      </c>
      <c r="C1855" s="3" t="s">
        <v>850</v>
      </c>
      <c r="D1855" s="3" t="s">
        <v>767</v>
      </c>
      <c r="E1855" s="3" t="s">
        <v>1478</v>
      </c>
      <c r="F1855" s="3" t="s">
        <v>2</v>
      </c>
      <c r="G1855" s="3">
        <v>2.68474153071198</v>
      </c>
    </row>
    <row r="1856" spans="1:16" x14ac:dyDescent="0.3">
      <c r="A1856" s="3" t="str">
        <f t="shared" si="28"/>
        <v>PTC</v>
      </c>
      <c r="C1856" s="3" t="s">
        <v>850</v>
      </c>
      <c r="D1856" s="3" t="s">
        <v>767</v>
      </c>
      <c r="E1856" s="3" t="s">
        <v>1478</v>
      </c>
      <c r="F1856" s="3" t="s">
        <v>3</v>
      </c>
      <c r="G1856" s="3">
        <v>1.7200993879836499</v>
      </c>
    </row>
    <row r="1857" spans="1:13" x14ac:dyDescent="0.3">
      <c r="A1857" s="3" t="str">
        <f t="shared" si="28"/>
        <v>PTC</v>
      </c>
      <c r="C1857" s="3" t="s">
        <v>850</v>
      </c>
      <c r="D1857" s="3" t="s">
        <v>767</v>
      </c>
      <c r="E1857" s="3" t="s">
        <v>1478</v>
      </c>
      <c r="F1857" s="3" t="s">
        <v>4</v>
      </c>
      <c r="G1857" s="3">
        <v>0.84059972583940801</v>
      </c>
    </row>
    <row r="1858" spans="1:13" x14ac:dyDescent="0.3">
      <c r="A1858" s="3" t="str">
        <f t="shared" si="28"/>
        <v>PTC</v>
      </c>
      <c r="C1858" s="3" t="s">
        <v>850</v>
      </c>
      <c r="D1858" s="3" t="s">
        <v>767</v>
      </c>
      <c r="E1858" s="3" t="s">
        <v>1478</v>
      </c>
      <c r="F1858" s="3" t="s">
        <v>5</v>
      </c>
      <c r="G1858" s="3">
        <v>0.73270510309713599</v>
      </c>
    </row>
    <row r="1859" spans="1:13" x14ac:dyDescent="0.3">
      <c r="A1859" s="3" t="str">
        <f t="shared" si="28"/>
        <v>PTC</v>
      </c>
      <c r="C1859" s="3" t="s">
        <v>850</v>
      </c>
      <c r="D1859" s="3" t="s">
        <v>767</v>
      </c>
      <c r="E1859" s="3" t="s">
        <v>1478</v>
      </c>
      <c r="F1859" s="3" t="s">
        <v>6</v>
      </c>
      <c r="G1859" s="3">
        <v>0.87809676601714104</v>
      </c>
    </row>
    <row r="1860" spans="1:13" x14ac:dyDescent="0.3">
      <c r="A1860" s="3" t="str">
        <f t="shared" si="28"/>
        <v>RFL</v>
      </c>
      <c r="C1860" s="3" t="s">
        <v>850</v>
      </c>
      <c r="D1860" s="3" t="s">
        <v>767</v>
      </c>
      <c r="E1860" s="3" t="s">
        <v>1474</v>
      </c>
      <c r="F1860" s="3" t="s">
        <v>3</v>
      </c>
      <c r="G1860" s="3">
        <v>0.12166762937236</v>
      </c>
    </row>
    <row r="1861" spans="1:13" x14ac:dyDescent="0.3">
      <c r="A1861" s="3" t="str">
        <f t="shared" si="28"/>
        <v>RFL</v>
      </c>
      <c r="C1861" s="3" t="s">
        <v>850</v>
      </c>
      <c r="D1861" s="3" t="s">
        <v>767</v>
      </c>
      <c r="E1861" s="3" t="s">
        <v>1474</v>
      </c>
      <c r="F1861" s="3" t="s">
        <v>4</v>
      </c>
      <c r="G1861" s="3">
        <v>5.2297362521016903E-2</v>
      </c>
    </row>
    <row r="1862" spans="1:13" x14ac:dyDescent="0.3">
      <c r="A1862" s="3" t="str">
        <f t="shared" si="28"/>
        <v>RFL</v>
      </c>
      <c r="C1862" s="3" t="s">
        <v>850</v>
      </c>
      <c r="D1862" s="3" t="s">
        <v>767</v>
      </c>
      <c r="E1862" s="3" t="s">
        <v>1474</v>
      </c>
      <c r="F1862" s="3" t="s">
        <v>5</v>
      </c>
      <c r="G1862" s="3">
        <v>4.5584769087815002E-2</v>
      </c>
    </row>
    <row r="1863" spans="1:13" x14ac:dyDescent="0.3">
      <c r="A1863" s="3" t="str">
        <f t="shared" si="28"/>
        <v>RFL</v>
      </c>
      <c r="C1863" s="3" t="s">
        <v>850</v>
      </c>
      <c r="D1863" s="3" t="s">
        <v>767</v>
      </c>
      <c r="E1863" s="3" t="s">
        <v>1474</v>
      </c>
      <c r="F1863" s="3" t="s">
        <v>6</v>
      </c>
      <c r="G1863" s="3">
        <v>0.15836159538769101</v>
      </c>
    </row>
    <row r="1864" spans="1:13" x14ac:dyDescent="0.3">
      <c r="A1864" s="3" t="str">
        <f t="shared" ref="A1864:A1927" si="29">RIGHT(E1864,3)</f>
        <v>RFL</v>
      </c>
      <c r="C1864" s="3" t="s">
        <v>850</v>
      </c>
      <c r="D1864" s="3" t="s">
        <v>767</v>
      </c>
      <c r="E1864" s="3" t="s">
        <v>1474</v>
      </c>
      <c r="F1864" s="3" t="s">
        <v>8</v>
      </c>
      <c r="G1864" s="3">
        <v>1.8108171295147E-2</v>
      </c>
    </row>
    <row r="1865" spans="1:13" x14ac:dyDescent="0.3">
      <c r="A1865" s="3" t="str">
        <f t="shared" si="29"/>
        <v>ELC</v>
      </c>
      <c r="C1865" s="3" t="s">
        <v>850</v>
      </c>
      <c r="D1865" s="3" t="s">
        <v>801</v>
      </c>
      <c r="E1865" s="3" t="s">
        <v>1465</v>
      </c>
      <c r="F1865" s="3" t="s">
        <v>0</v>
      </c>
      <c r="G1865" s="3">
        <v>0.58142026967656701</v>
      </c>
      <c r="H1865" s="3">
        <v>1.0796083476823899</v>
      </c>
      <c r="J1865" s="3">
        <v>0.78575046290404105</v>
      </c>
    </row>
    <row r="1866" spans="1:13" x14ac:dyDescent="0.3">
      <c r="A1866" s="3" t="str">
        <f t="shared" si="29"/>
        <v>ELC</v>
      </c>
      <c r="C1866" s="3" t="s">
        <v>850</v>
      </c>
      <c r="D1866" s="3" t="s">
        <v>801</v>
      </c>
      <c r="E1866" s="3" t="s">
        <v>1465</v>
      </c>
      <c r="F1866" s="3" t="s">
        <v>1</v>
      </c>
      <c r="G1866" s="3">
        <v>5.7675300725664496</v>
      </c>
      <c r="H1866" s="3">
        <v>5.5752790701475696</v>
      </c>
      <c r="I1866" s="3">
        <v>4.8062750604720401</v>
      </c>
      <c r="J1866" s="3">
        <v>3.8450200483776298</v>
      </c>
    </row>
    <row r="1867" spans="1:13" x14ac:dyDescent="0.3">
      <c r="A1867" s="3" t="str">
        <f t="shared" si="29"/>
        <v>ELC</v>
      </c>
      <c r="C1867" s="3" t="s">
        <v>850</v>
      </c>
      <c r="D1867" s="3" t="s">
        <v>801</v>
      </c>
      <c r="E1867" s="3" t="s">
        <v>1465</v>
      </c>
      <c r="F1867" s="3" t="s">
        <v>2</v>
      </c>
      <c r="G1867" s="3">
        <v>15.737265899240899</v>
      </c>
      <c r="H1867" s="3">
        <v>15.2126903692662</v>
      </c>
      <c r="I1867" s="3">
        <v>13.1143882493674</v>
      </c>
      <c r="J1867" s="3">
        <v>10.4915105994939</v>
      </c>
      <c r="K1867" s="3">
        <v>7.8686329496204497</v>
      </c>
      <c r="M1867" s="3">
        <v>2.6228776498734798</v>
      </c>
    </row>
    <row r="1868" spans="1:13" x14ac:dyDescent="0.3">
      <c r="A1868" s="3" t="str">
        <f t="shared" si="29"/>
        <v>ELC</v>
      </c>
      <c r="C1868" s="3" t="s">
        <v>850</v>
      </c>
      <c r="D1868" s="3" t="s">
        <v>801</v>
      </c>
      <c r="E1868" s="3" t="s">
        <v>1465</v>
      </c>
      <c r="F1868" s="3" t="s">
        <v>3</v>
      </c>
      <c r="G1868" s="3">
        <v>10.6592243899008</v>
      </c>
      <c r="H1868" s="3">
        <v>10.303916910237399</v>
      </c>
      <c r="I1868" s="3">
        <v>8.8826869915840003</v>
      </c>
      <c r="J1868" s="3">
        <v>7.1061495932672001</v>
      </c>
    </row>
    <row r="1869" spans="1:13" x14ac:dyDescent="0.3">
      <c r="A1869" s="3" t="str">
        <f t="shared" si="29"/>
        <v>ELC</v>
      </c>
      <c r="C1869" s="3" t="s">
        <v>850</v>
      </c>
      <c r="D1869" s="3" t="s">
        <v>801</v>
      </c>
      <c r="E1869" s="3" t="s">
        <v>1465</v>
      </c>
      <c r="F1869" s="3" t="s">
        <v>4</v>
      </c>
      <c r="G1869" s="3">
        <v>4.0118336549052396</v>
      </c>
      <c r="H1869" s="3">
        <v>3.50253468946145</v>
      </c>
      <c r="I1869" s="3">
        <v>3.3431947124210302</v>
      </c>
    </row>
    <row r="1870" spans="1:13" x14ac:dyDescent="0.3">
      <c r="A1870" s="3" t="str">
        <f t="shared" si="29"/>
        <v>ELC</v>
      </c>
      <c r="C1870" s="3" t="s">
        <v>850</v>
      </c>
      <c r="D1870" s="3" t="s">
        <v>801</v>
      </c>
      <c r="E1870" s="3" t="s">
        <v>1465</v>
      </c>
      <c r="F1870" s="3" t="s">
        <v>5</v>
      </c>
      <c r="G1870" s="3">
        <v>3.4968973952383702</v>
      </c>
      <c r="H1870" s="3">
        <v>3.3803341487304199</v>
      </c>
      <c r="I1870" s="3">
        <v>2.9140811626986398</v>
      </c>
      <c r="J1870" s="3">
        <v>2.3312649301589099</v>
      </c>
      <c r="K1870" s="3">
        <v>1.74844869761919</v>
      </c>
      <c r="L1870" s="3">
        <v>1.1656324650794601</v>
      </c>
      <c r="M1870" s="3">
        <v>0.58281623253972803</v>
      </c>
    </row>
    <row r="1871" spans="1:13" x14ac:dyDescent="0.3">
      <c r="A1871" s="3" t="str">
        <f t="shared" si="29"/>
        <v>ELC</v>
      </c>
      <c r="C1871" s="3" t="s">
        <v>850</v>
      </c>
      <c r="D1871" s="3" t="s">
        <v>801</v>
      </c>
      <c r="E1871" s="3" t="s">
        <v>1465</v>
      </c>
      <c r="F1871" s="3" t="s">
        <v>6</v>
      </c>
      <c r="G1871" s="3">
        <v>12.1482298034725</v>
      </c>
      <c r="H1871" s="3">
        <v>8.3641106429641798</v>
      </c>
      <c r="I1871" s="3">
        <v>10.1235248362271</v>
      </c>
      <c r="J1871" s="3">
        <v>8.0988198689816695</v>
      </c>
    </row>
    <row r="1872" spans="1:13" x14ac:dyDescent="0.3">
      <c r="A1872" s="3" t="str">
        <f t="shared" si="29"/>
        <v>ELC</v>
      </c>
      <c r="C1872" s="3" t="s">
        <v>850</v>
      </c>
      <c r="D1872" s="3" t="s">
        <v>801</v>
      </c>
      <c r="E1872" s="3" t="s">
        <v>1465</v>
      </c>
      <c r="F1872" s="3" t="s">
        <v>7</v>
      </c>
      <c r="G1872" s="3">
        <v>5.1777356875692204</v>
      </c>
      <c r="H1872" s="3">
        <v>2.9257384742908399</v>
      </c>
      <c r="I1872" s="3">
        <v>4.3147797396410201</v>
      </c>
      <c r="J1872" s="3">
        <v>3.4518237917128101</v>
      </c>
      <c r="K1872" s="3">
        <v>1.70945306964152</v>
      </c>
      <c r="L1872" s="3">
        <v>1.7259118958564099</v>
      </c>
      <c r="M1872" s="3">
        <v>0.86295594792820296</v>
      </c>
    </row>
    <row r="1873" spans="1:16" x14ac:dyDescent="0.3">
      <c r="A1873" s="3" t="str">
        <f t="shared" si="29"/>
        <v>ELC</v>
      </c>
      <c r="C1873" s="3" t="s">
        <v>850</v>
      </c>
      <c r="D1873" s="3" t="s">
        <v>801</v>
      </c>
      <c r="E1873" s="3" t="s">
        <v>1465</v>
      </c>
      <c r="F1873" s="3" t="s">
        <v>8</v>
      </c>
      <c r="G1873" s="3">
        <v>2.1719975730358101</v>
      </c>
      <c r="H1873" s="3">
        <v>2.6943141092607101</v>
      </c>
      <c r="I1873" s="3">
        <v>0.91443253269493097</v>
      </c>
      <c r="J1873" s="3">
        <v>2.1644507378918001</v>
      </c>
    </row>
    <row r="1874" spans="1:16" x14ac:dyDescent="0.3">
      <c r="A1874" s="3" t="str">
        <f t="shared" si="29"/>
        <v>LPG</v>
      </c>
      <c r="C1874" s="3" t="s">
        <v>850</v>
      </c>
      <c r="D1874" s="3" t="s">
        <v>801</v>
      </c>
      <c r="E1874" s="3" t="s">
        <v>1467</v>
      </c>
      <c r="F1874" s="3" t="s">
        <v>0</v>
      </c>
      <c r="M1874" s="3">
        <v>1.5533891975400001E-3</v>
      </c>
    </row>
    <row r="1875" spans="1:16" x14ac:dyDescent="0.3">
      <c r="A1875" s="3" t="str">
        <f t="shared" si="29"/>
        <v>LPG</v>
      </c>
      <c r="C1875" s="3" t="s">
        <v>850</v>
      </c>
      <c r="D1875" s="3" t="s">
        <v>801</v>
      </c>
      <c r="E1875" s="3" t="s">
        <v>1467</v>
      </c>
      <c r="F1875" s="3" t="s">
        <v>1</v>
      </c>
      <c r="M1875" s="3">
        <v>4.2759578368504296E-3</v>
      </c>
    </row>
    <row r="1876" spans="1:16" x14ac:dyDescent="0.3">
      <c r="A1876" s="3" t="str">
        <f t="shared" si="29"/>
        <v>LPG</v>
      </c>
      <c r="C1876" s="3" t="s">
        <v>850</v>
      </c>
      <c r="D1876" s="3" t="s">
        <v>801</v>
      </c>
      <c r="E1876" s="3" t="s">
        <v>1467</v>
      </c>
      <c r="F1876" s="3" t="s">
        <v>2</v>
      </c>
      <c r="M1876" s="3">
        <v>3.4753856779546999E-3</v>
      </c>
    </row>
    <row r="1877" spans="1:16" x14ac:dyDescent="0.3">
      <c r="A1877" s="3" t="str">
        <f t="shared" si="29"/>
        <v>LPG</v>
      </c>
      <c r="C1877" s="3" t="s">
        <v>850</v>
      </c>
      <c r="D1877" s="3" t="s">
        <v>801</v>
      </c>
      <c r="E1877" s="3" t="s">
        <v>1467</v>
      </c>
      <c r="F1877" s="3" t="s">
        <v>3</v>
      </c>
      <c r="M1877" s="3">
        <v>2.3539613564357298E-3</v>
      </c>
    </row>
    <row r="1878" spans="1:16" x14ac:dyDescent="0.3">
      <c r="A1878" s="3" t="str">
        <f t="shared" si="29"/>
        <v>LPG</v>
      </c>
      <c r="C1878" s="3" t="s">
        <v>850</v>
      </c>
      <c r="D1878" s="3" t="s">
        <v>801</v>
      </c>
      <c r="E1878" s="3" t="s">
        <v>1467</v>
      </c>
      <c r="F1878" s="3" t="s">
        <v>4</v>
      </c>
      <c r="M1878" s="3">
        <v>1.18972463713216E-3</v>
      </c>
    </row>
    <row r="1879" spans="1:16" x14ac:dyDescent="0.3">
      <c r="A1879" s="3" t="str">
        <f t="shared" si="29"/>
        <v>LPG</v>
      </c>
      <c r="C1879" s="3" t="s">
        <v>850</v>
      </c>
      <c r="D1879" s="3" t="s">
        <v>801</v>
      </c>
      <c r="E1879" s="3" t="s">
        <v>1467</v>
      </c>
      <c r="F1879" s="3" t="s">
        <v>5</v>
      </c>
      <c r="M1879" s="3">
        <v>1.0370183169363301E-3</v>
      </c>
    </row>
    <row r="1880" spans="1:16" x14ac:dyDescent="0.3">
      <c r="A1880" s="3" t="str">
        <f t="shared" si="29"/>
        <v>LPG</v>
      </c>
      <c r="C1880" s="3" t="s">
        <v>850</v>
      </c>
      <c r="D1880" s="3" t="s">
        <v>801</v>
      </c>
      <c r="E1880" s="3" t="s">
        <v>1467</v>
      </c>
      <c r="F1880" s="3" t="s">
        <v>6</v>
      </c>
      <c r="M1880" s="3">
        <v>3.6026040803219298E-3</v>
      </c>
    </row>
    <row r="1881" spans="1:16" x14ac:dyDescent="0.3">
      <c r="A1881" s="3" t="str">
        <f t="shared" si="29"/>
        <v>NGA</v>
      </c>
      <c r="C1881" s="3" t="s">
        <v>850</v>
      </c>
      <c r="D1881" s="3" t="s">
        <v>801</v>
      </c>
      <c r="E1881" s="3" t="s">
        <v>1466</v>
      </c>
      <c r="F1881" s="3" t="s">
        <v>0</v>
      </c>
      <c r="G1881" s="3">
        <v>4.7145027774242401</v>
      </c>
      <c r="H1881" s="3">
        <v>4.5573526848434298</v>
      </c>
      <c r="I1881" s="3">
        <v>7.0011129742258698</v>
      </c>
      <c r="J1881" s="3">
        <v>6.21536251132183</v>
      </c>
      <c r="K1881" s="3">
        <v>7.1813403986587794</v>
      </c>
      <c r="L1881" s="3">
        <v>7.6165244846030902</v>
      </c>
      <c r="M1881" s="3">
        <v>8.2495314819349392</v>
      </c>
      <c r="N1881" s="3">
        <v>8.8358708579504288</v>
      </c>
      <c r="O1881" s="3">
        <v>12.15708841486088</v>
      </c>
      <c r="P1881" s="3">
        <v>12.878647391562652</v>
      </c>
    </row>
    <row r="1882" spans="1:16" x14ac:dyDescent="0.3">
      <c r="A1882" s="3" t="str">
        <f t="shared" si="29"/>
        <v>NGA</v>
      </c>
      <c r="C1882" s="3" t="s">
        <v>850</v>
      </c>
      <c r="D1882" s="3" t="s">
        <v>801</v>
      </c>
      <c r="E1882" s="3" t="s">
        <v>1466</v>
      </c>
      <c r="F1882" s="3" t="s">
        <v>1</v>
      </c>
      <c r="G1882" s="3">
        <v>9.2489705780858795</v>
      </c>
      <c r="H1882" s="3">
        <v>10.2922631615469</v>
      </c>
      <c r="I1882" s="3">
        <v>14.465433495390808</v>
      </c>
      <c r="J1882" s="3">
        <v>15.426688507485219</v>
      </c>
      <c r="K1882" s="3">
        <v>19.767814019412882</v>
      </c>
      <c r="L1882" s="3">
        <v>20.965729394203041</v>
      </c>
      <c r="M1882" s="3">
        <v>22.708184688284433</v>
      </c>
      <c r="N1882" s="3">
        <v>24.322179721787844</v>
      </c>
      <c r="O1882" s="3">
        <v>33.464374261859533</v>
      </c>
      <c r="P1882" s="3">
        <v>35.450583362620513</v>
      </c>
    </row>
    <row r="1883" spans="1:16" x14ac:dyDescent="0.3">
      <c r="A1883" s="3" t="str">
        <f t="shared" si="29"/>
        <v>NGA</v>
      </c>
      <c r="C1883" s="3" t="s">
        <v>850</v>
      </c>
      <c r="D1883" s="3" t="s">
        <v>801</v>
      </c>
      <c r="E1883" s="3" t="s">
        <v>1466</v>
      </c>
      <c r="F1883" s="3" t="s">
        <v>2</v>
      </c>
      <c r="G1883" s="3">
        <v>20.075138226820901</v>
      </c>
      <c r="H1883" s="3">
        <v>21.654463924579201</v>
      </c>
      <c r="I1883" s="3">
        <v>27.971766715612297</v>
      </c>
      <c r="J1883" s="3">
        <v>30.594644365485863</v>
      </c>
      <c r="K1883" s="3">
        <v>34.275189834240351</v>
      </c>
      <c r="L1883" s="3">
        <v>44.69770826738668</v>
      </c>
      <c r="M1883" s="3">
        <v>45.795284051662293</v>
      </c>
      <c r="N1883" s="3">
        <v>51.853463964483524</v>
      </c>
      <c r="O1883" s="3">
        <v>71.344087772153728</v>
      </c>
      <c r="P1883" s="3">
        <v>75.578569352765356</v>
      </c>
    </row>
    <row r="1884" spans="1:16" x14ac:dyDescent="0.3">
      <c r="A1884" s="3" t="str">
        <f t="shared" si="29"/>
        <v>NGA</v>
      </c>
      <c r="C1884" s="3" t="s">
        <v>850</v>
      </c>
      <c r="D1884" s="3" t="s">
        <v>801</v>
      </c>
      <c r="E1884" s="3" t="s">
        <v>1466</v>
      </c>
      <c r="F1884" s="3" t="s">
        <v>3</v>
      </c>
      <c r="G1884" s="3">
        <v>13.7353285899294</v>
      </c>
      <c r="H1884" s="3">
        <v>14.777451412223</v>
      </c>
      <c r="I1884" s="3">
        <v>18.945942701397339</v>
      </c>
      <c r="J1884" s="3">
        <v>20.722480099714069</v>
      </c>
      <c r="K1884" s="3">
        <v>28.545013255641571</v>
      </c>
      <c r="L1884" s="3">
        <v>30.274820619214541</v>
      </c>
      <c r="M1884" s="3">
        <v>32.794772194073886</v>
      </c>
      <c r="N1884" s="3">
        <v>35.12158410043304</v>
      </c>
      <c r="O1884" s="3">
        <v>48.323047048016598</v>
      </c>
      <c r="P1884" s="3">
        <v>51.191162108893892</v>
      </c>
    </row>
    <row r="1885" spans="1:16" x14ac:dyDescent="0.3">
      <c r="A1885" s="3" t="str">
        <f t="shared" si="29"/>
        <v>NGA</v>
      </c>
      <c r="C1885" s="3" t="s">
        <v>850</v>
      </c>
      <c r="D1885" s="3" t="s">
        <v>801</v>
      </c>
      <c r="E1885" s="3" t="s">
        <v>1466</v>
      </c>
      <c r="F1885" s="3" t="s">
        <v>4</v>
      </c>
      <c r="G1885" s="3">
        <v>4.3173203548026704</v>
      </c>
      <c r="H1885" s="3">
        <v>5.0611221114936402</v>
      </c>
      <c r="I1885" s="3">
        <v>6.1584732535228195</v>
      </c>
      <c r="J1885" s="3">
        <v>9.5016679659438594</v>
      </c>
      <c r="K1885" s="3">
        <v>9.7462663821703401</v>
      </c>
      <c r="L1885" s="3">
        <v>10.33688314609463</v>
      </c>
      <c r="M1885" s="3">
        <v>11.19689679288429</v>
      </c>
      <c r="N1885" s="3">
        <v>11.99173779815877</v>
      </c>
      <c r="O1885" s="3">
        <v>16.499179198490619</v>
      </c>
      <c r="P1885" s="3">
        <v>17.478454042319949</v>
      </c>
    </row>
    <row r="1886" spans="1:16" x14ac:dyDescent="0.3">
      <c r="A1886" s="3" t="str">
        <f t="shared" si="29"/>
        <v>NGA</v>
      </c>
      <c r="C1886" s="3" t="s">
        <v>850</v>
      </c>
      <c r="D1886" s="3" t="s">
        <v>801</v>
      </c>
      <c r="E1886" s="3" t="s">
        <v>1466</v>
      </c>
      <c r="F1886" s="3" t="s">
        <v>5</v>
      </c>
      <c r="G1886" s="3">
        <v>3.7631735514905502</v>
      </c>
      <c r="H1886" s="3">
        <v>4.0841401383228604</v>
      </c>
      <c r="I1886" s="3">
        <v>5.3680064856521996</v>
      </c>
      <c r="J1886" s="3">
        <v>5.9508227181919198</v>
      </c>
      <c r="K1886" s="3">
        <v>6.7468420987575106</v>
      </c>
      <c r="L1886" s="3">
        <v>7.8444668704861904</v>
      </c>
      <c r="M1886" s="3">
        <v>9.1769102660692639</v>
      </c>
      <c r="N1886" s="3">
        <v>10.45254621150368</v>
      </c>
      <c r="O1886" s="3">
        <v>14.38143794726594</v>
      </c>
      <c r="P1886" s="3">
        <v>15.235018615153882</v>
      </c>
    </row>
    <row r="1887" spans="1:16" x14ac:dyDescent="0.3">
      <c r="A1887" s="3" t="str">
        <f t="shared" si="29"/>
        <v>NGA</v>
      </c>
      <c r="C1887" s="3" t="s">
        <v>850</v>
      </c>
      <c r="D1887" s="3" t="s">
        <v>801</v>
      </c>
      <c r="E1887" s="3" t="s">
        <v>1466</v>
      </c>
      <c r="F1887" s="3" t="s">
        <v>6</v>
      </c>
      <c r="G1887" s="3">
        <v>10.270884509555801</v>
      </c>
      <c r="H1887" s="3">
        <v>15.325579214553199</v>
      </c>
      <c r="I1887" s="3">
        <v>18.648467199246632</v>
      </c>
      <c r="J1887" s="3">
        <v>20.67317216649203</v>
      </c>
      <c r="K1887" s="3">
        <v>29.51266027485908</v>
      </c>
      <c r="L1887" s="3">
        <v>31.301106354910818</v>
      </c>
      <c r="M1887" s="3">
        <v>33.905312888386959</v>
      </c>
      <c r="N1887" s="3">
        <v>36.312170205985595</v>
      </c>
      <c r="O1887" s="3">
        <v>49.96114936791227</v>
      </c>
      <c r="P1887" s="3">
        <v>52.926490622540918</v>
      </c>
    </row>
    <row r="1888" spans="1:16" x14ac:dyDescent="0.3">
      <c r="A1888" s="3" t="str">
        <f t="shared" si="29"/>
        <v>NGA</v>
      </c>
      <c r="C1888" s="3" t="s">
        <v>850</v>
      </c>
      <c r="D1888" s="3" t="s">
        <v>801</v>
      </c>
      <c r="E1888" s="3" t="s">
        <v>1466</v>
      </c>
      <c r="F1888" s="3" t="s">
        <v>7</v>
      </c>
      <c r="G1888" s="3">
        <v>8.5332751161549805</v>
      </c>
      <c r="H1888" s="3">
        <v>11.562326889849899</v>
      </c>
      <c r="I1888" s="3">
        <v>13.281503866165739</v>
      </c>
      <c r="J1888" s="3">
        <v>14.144459814093961</v>
      </c>
      <c r="K1888" s="3">
        <v>16.339806068132841</v>
      </c>
      <c r="L1888" s="3">
        <v>17.417119421455769</v>
      </c>
      <c r="M1888" s="3">
        <v>19.874951008084352</v>
      </c>
      <c r="N1888" s="3">
        <v>22.207681849037719</v>
      </c>
      <c r="O1888" s="3">
        <v>30.555081221555859</v>
      </c>
      <c r="P1888" s="3">
        <v>32.368615218093581</v>
      </c>
    </row>
    <row r="1889" spans="1:16" x14ac:dyDescent="0.3">
      <c r="A1889" s="3" t="str">
        <f t="shared" si="29"/>
        <v>NGA</v>
      </c>
      <c r="C1889" s="3" t="s">
        <v>850</v>
      </c>
      <c r="D1889" s="3" t="s">
        <v>801</v>
      </c>
      <c r="E1889" s="3" t="s">
        <v>1466</v>
      </c>
      <c r="F1889" s="3" t="s">
        <v>8</v>
      </c>
      <c r="G1889" s="3">
        <v>7.5001092311812201</v>
      </c>
      <c r="H1889" s="3">
        <v>7.2501055901418496</v>
      </c>
      <c r="I1889" s="3">
        <v>10.119238747449721</v>
      </c>
      <c r="J1889" s="3">
        <v>8.8692205422528509</v>
      </c>
      <c r="K1889" s="3">
        <v>11.317707570400291</v>
      </c>
      <c r="L1889" s="3">
        <v>12.003552545097442</v>
      </c>
      <c r="M1889" s="3">
        <v>13.003612212487813</v>
      </c>
      <c r="N1889" s="3">
        <v>13.925228014366509</v>
      </c>
      <c r="O1889" s="3">
        <v>19.159427620586541</v>
      </c>
      <c r="P1889" s="3">
        <v>20.296596037590291</v>
      </c>
    </row>
    <row r="1890" spans="1:16" x14ac:dyDescent="0.3">
      <c r="A1890" s="3" t="str">
        <f t="shared" si="29"/>
        <v>STM</v>
      </c>
      <c r="C1890" s="3" t="s">
        <v>850</v>
      </c>
      <c r="D1890" s="3" t="s">
        <v>783</v>
      </c>
      <c r="E1890" s="3" t="s">
        <v>1538</v>
      </c>
      <c r="F1890" s="3" t="s">
        <v>0</v>
      </c>
      <c r="G1890" s="3">
        <v>0.283616496178969</v>
      </c>
      <c r="H1890" s="3">
        <v>0.19629427874715699</v>
      </c>
      <c r="I1890" s="3">
        <v>0.63628867695745694</v>
      </c>
      <c r="J1890" s="3">
        <v>0.63628867695745694</v>
      </c>
      <c r="K1890" s="3">
        <v>0.63628867695745694</v>
      </c>
      <c r="L1890" s="3">
        <v>0.63628867695745694</v>
      </c>
      <c r="M1890" s="3">
        <v>0.63628867695745694</v>
      </c>
      <c r="N1890" s="3">
        <v>0.63628867695745694</v>
      </c>
      <c r="O1890" s="3">
        <v>0.63628867695745694</v>
      </c>
      <c r="P1890" s="3">
        <v>0.63628867695745694</v>
      </c>
    </row>
    <row r="1891" spans="1:16" x14ac:dyDescent="0.3">
      <c r="A1891" s="3" t="str">
        <f t="shared" si="29"/>
        <v>STM</v>
      </c>
      <c r="C1891" s="3" t="s">
        <v>850</v>
      </c>
      <c r="D1891" s="3" t="s">
        <v>783</v>
      </c>
      <c r="E1891" s="3" t="s">
        <v>1538</v>
      </c>
      <c r="F1891" s="3" t="s">
        <v>1</v>
      </c>
      <c r="G1891" s="3">
        <v>5.8457030171762403E-2</v>
      </c>
      <c r="H1891" s="3">
        <v>1.17251735536769</v>
      </c>
      <c r="I1891" s="3">
        <v>1.3016795553662499</v>
      </c>
      <c r="J1891" s="3">
        <v>1.5552425217495101</v>
      </c>
      <c r="K1891" s="3">
        <v>1.59527863530678</v>
      </c>
      <c r="L1891" s="3">
        <v>1.69195137830363</v>
      </c>
      <c r="M1891" s="3">
        <v>1.8329140080143</v>
      </c>
      <c r="N1891" s="3">
        <v>1.9628196438997201</v>
      </c>
      <c r="O1891" s="3">
        <v>2.70060216326541</v>
      </c>
      <c r="P1891" s="3">
        <v>2.8608908497425398</v>
      </c>
    </row>
    <row r="1892" spans="1:16" x14ac:dyDescent="0.3">
      <c r="A1892" s="3" t="str">
        <f t="shared" si="29"/>
        <v>STM</v>
      </c>
      <c r="C1892" s="3" t="s">
        <v>850</v>
      </c>
      <c r="D1892" s="3" t="s">
        <v>783</v>
      </c>
      <c r="E1892" s="3" t="s">
        <v>1538</v>
      </c>
      <c r="F1892" s="3" t="s">
        <v>2</v>
      </c>
      <c r="G1892" s="3">
        <v>0.103417559083876</v>
      </c>
      <c r="H1892" s="3">
        <v>2.3124415538901602</v>
      </c>
      <c r="I1892" s="3">
        <v>2.50440114759179</v>
      </c>
      <c r="J1892" s="3">
        <v>2.9055033924484701</v>
      </c>
      <c r="K1892" s="3">
        <v>2.9802988421190899</v>
      </c>
      <c r="L1892" s="3">
        <v>3.1609028179020302</v>
      </c>
      <c r="M1892" s="3">
        <v>3.4242491404884698</v>
      </c>
      <c r="N1892" s="3">
        <v>3.66693879209258</v>
      </c>
      <c r="O1892" s="3">
        <v>5.0452637690195203</v>
      </c>
      <c r="P1892" s="3">
        <v>5.3447150223240598</v>
      </c>
    </row>
    <row r="1893" spans="1:16" x14ac:dyDescent="0.3">
      <c r="A1893" s="3" t="str">
        <f t="shared" si="29"/>
        <v>STM</v>
      </c>
      <c r="C1893" s="3" t="s">
        <v>850</v>
      </c>
      <c r="D1893" s="3" t="s">
        <v>783</v>
      </c>
      <c r="E1893" s="3" t="s">
        <v>1538</v>
      </c>
      <c r="F1893" s="3" t="s">
        <v>3</v>
      </c>
      <c r="H1893" s="3">
        <v>5.3286235670527496E-3</v>
      </c>
      <c r="I1893" s="3">
        <v>5.32862356705274E-3</v>
      </c>
      <c r="J1893" s="3">
        <v>0.20493956719815401</v>
      </c>
      <c r="K1893" s="3">
        <v>0.21021526129086299</v>
      </c>
      <c r="L1893" s="3">
        <v>0.22295415559999399</v>
      </c>
      <c r="M1893" s="3">
        <v>0.24152927807769001</v>
      </c>
      <c r="N1893" s="3">
        <v>0.258647383082311</v>
      </c>
      <c r="O1893" s="3">
        <v>0.37698926331299798</v>
      </c>
      <c r="P1893" s="3">
        <v>0.37698926331299798</v>
      </c>
    </row>
    <row r="1894" spans="1:16" x14ac:dyDescent="0.3">
      <c r="A1894" s="3" t="str">
        <f t="shared" si="29"/>
        <v>STM</v>
      </c>
      <c r="C1894" s="3" t="s">
        <v>850</v>
      </c>
      <c r="D1894" s="3" t="s">
        <v>783</v>
      </c>
      <c r="E1894" s="3" t="s">
        <v>1538</v>
      </c>
      <c r="F1894" s="3" t="s">
        <v>4</v>
      </c>
      <c r="H1894" s="3">
        <v>8.1493538718744304E-2</v>
      </c>
      <c r="I1894" s="3">
        <v>8.1493538718744304E-2</v>
      </c>
      <c r="J1894" s="3">
        <v>0.24482057390275599</v>
      </c>
      <c r="K1894" s="3">
        <v>0.25112291206600401</v>
      </c>
      <c r="L1894" s="3">
        <v>0.26634078072009698</v>
      </c>
      <c r="M1894" s="3">
        <v>4.9227463676964298</v>
      </c>
      <c r="N1894" s="3">
        <v>5.1974589749685096</v>
      </c>
      <c r="O1894" s="3">
        <v>5.6571291870692599</v>
      </c>
      <c r="P1894" s="3">
        <v>5.9754910249048896</v>
      </c>
    </row>
    <row r="1895" spans="1:16" x14ac:dyDescent="0.3">
      <c r="A1895" s="3" t="str">
        <f t="shared" si="29"/>
        <v>STM</v>
      </c>
      <c r="C1895" s="3" t="s">
        <v>850</v>
      </c>
      <c r="D1895" s="3" t="s">
        <v>783</v>
      </c>
      <c r="E1895" s="3" t="s">
        <v>1538</v>
      </c>
      <c r="F1895" s="3" t="s">
        <v>5</v>
      </c>
      <c r="I1895" s="3">
        <v>1.7481243653595E-3</v>
      </c>
      <c r="J1895" s="3">
        <v>6.7233094313644798E-2</v>
      </c>
      <c r="K1895" s="3">
        <v>6.8963854475551895E-2</v>
      </c>
      <c r="L1895" s="3">
        <v>7.3143014675052104E-2</v>
      </c>
      <c r="M1895" s="3">
        <v>7.9236825540881406E-2</v>
      </c>
      <c r="N1895" s="3">
        <v>8.4852642847325299E-2</v>
      </c>
      <c r="O1895" s="3">
        <v>0.116746962230821</v>
      </c>
      <c r="P1895" s="3">
        <v>0.12367623803483099</v>
      </c>
    </row>
    <row r="1896" spans="1:16" x14ac:dyDescent="0.3">
      <c r="A1896" s="3" t="str">
        <f t="shared" si="29"/>
        <v>STM</v>
      </c>
      <c r="C1896" s="3" t="s">
        <v>850</v>
      </c>
      <c r="D1896" s="3" t="s">
        <v>783</v>
      </c>
      <c r="E1896" s="3" t="s">
        <v>1538</v>
      </c>
      <c r="F1896" s="3" t="s">
        <v>6</v>
      </c>
      <c r="G1896" s="3">
        <v>0.90690106630419698</v>
      </c>
      <c r="H1896" s="3">
        <v>1.2467640823455</v>
      </c>
      <c r="I1896" s="3">
        <v>1.51424043383905</v>
      </c>
      <c r="J1896" s="3">
        <v>1.7847470670380601</v>
      </c>
      <c r="K1896" s="3">
        <v>1.7847470670380601</v>
      </c>
      <c r="L1896" s="3">
        <v>1.7847470670380601</v>
      </c>
      <c r="M1896" s="3">
        <v>1.7847470670380601</v>
      </c>
      <c r="N1896" s="3">
        <v>15.961385028658</v>
      </c>
      <c r="O1896" s="3">
        <v>17.130347692362701</v>
      </c>
      <c r="P1896" s="3">
        <v>18.094378880932599</v>
      </c>
    </row>
    <row r="1897" spans="1:16" x14ac:dyDescent="0.3">
      <c r="A1897" s="3" t="str">
        <f t="shared" si="29"/>
        <v>STM</v>
      </c>
      <c r="C1897" s="3" t="s">
        <v>850</v>
      </c>
      <c r="D1897" s="3" t="s">
        <v>783</v>
      </c>
      <c r="E1897" s="3" t="s">
        <v>1538</v>
      </c>
      <c r="F1897" s="3" t="s">
        <v>7</v>
      </c>
      <c r="G1897" s="3">
        <v>7.5268696726440103</v>
      </c>
      <c r="H1897" s="3">
        <v>8.0763934994092601</v>
      </c>
      <c r="I1897" s="3">
        <v>9.6419375922522601</v>
      </c>
      <c r="J1897" s="3">
        <v>9.8090743626437202</v>
      </c>
      <c r="K1897" s="3">
        <v>10.0615862439629</v>
      </c>
      <c r="L1897" s="3">
        <v>10.6713111657263</v>
      </c>
      <c r="M1897" s="3">
        <v>11.560376953119</v>
      </c>
      <c r="N1897" s="3">
        <v>12.379705144514601</v>
      </c>
      <c r="O1897" s="3">
        <v>17.032975290302399</v>
      </c>
      <c r="P1897" s="3">
        <v>18.0439325031852</v>
      </c>
    </row>
    <row r="1898" spans="1:16" x14ac:dyDescent="0.3">
      <c r="A1898" s="3" t="str">
        <f t="shared" si="29"/>
        <v>STM</v>
      </c>
      <c r="C1898" s="3" t="s">
        <v>850</v>
      </c>
      <c r="D1898" s="3" t="s">
        <v>783</v>
      </c>
      <c r="E1898" s="3" t="s">
        <v>1538</v>
      </c>
      <c r="F1898" s="3" t="s">
        <v>8</v>
      </c>
      <c r="G1898" s="3">
        <v>5.1621760214866997E-3</v>
      </c>
      <c r="H1898" s="3">
        <v>0.38183153613909299</v>
      </c>
      <c r="I1898" s="3">
        <v>0.42365505293431399</v>
      </c>
      <c r="J1898" s="3">
        <v>0.42365505293431399</v>
      </c>
      <c r="K1898" s="3">
        <v>0.43456107020891499</v>
      </c>
      <c r="L1898" s="3">
        <v>0.46089515989517599</v>
      </c>
      <c r="M1898" s="3">
        <v>0.49929401378238197</v>
      </c>
      <c r="N1898" s="3">
        <v>0.53468089285613496</v>
      </c>
      <c r="O1898" s="3">
        <v>0.73565616708171</v>
      </c>
      <c r="P1898" s="3">
        <v>0.77931952569271901</v>
      </c>
    </row>
    <row r="1899" spans="1:16" x14ac:dyDescent="0.3">
      <c r="A1899" s="3" t="str">
        <f t="shared" si="29"/>
        <v>ELC</v>
      </c>
      <c r="C1899" s="3" t="s">
        <v>850</v>
      </c>
      <c r="D1899" s="3" t="s">
        <v>783</v>
      </c>
      <c r="E1899" s="3" t="s">
        <v>1282</v>
      </c>
      <c r="F1899" s="3" t="s">
        <v>1</v>
      </c>
      <c r="G1899" s="3">
        <v>0.108006181134203</v>
      </c>
      <c r="H1899" s="3">
        <v>0.108006181134203</v>
      </c>
      <c r="I1899" s="3">
        <v>0.108006181134203</v>
      </c>
    </row>
    <row r="1900" spans="1:16" x14ac:dyDescent="0.3">
      <c r="A1900" s="3" t="str">
        <f t="shared" si="29"/>
        <v>ELC</v>
      </c>
      <c r="C1900" s="3" t="s">
        <v>850</v>
      </c>
      <c r="D1900" s="3" t="s">
        <v>783</v>
      </c>
      <c r="E1900" s="3" t="s">
        <v>1282</v>
      </c>
      <c r="F1900" s="3" t="s">
        <v>2</v>
      </c>
      <c r="G1900" s="3">
        <v>0.294705353918368</v>
      </c>
      <c r="H1900" s="3">
        <v>0.294705353918368</v>
      </c>
    </row>
    <row r="1901" spans="1:16" x14ac:dyDescent="0.3">
      <c r="A1901" s="3" t="str">
        <f t="shared" si="29"/>
        <v>ELC</v>
      </c>
      <c r="C1901" s="3" t="s">
        <v>850</v>
      </c>
      <c r="D1901" s="3" t="s">
        <v>783</v>
      </c>
      <c r="E1901" s="3" t="s">
        <v>1282</v>
      </c>
      <c r="F1901" s="3" t="s">
        <v>3</v>
      </c>
      <c r="G1901" s="3">
        <v>0.17964984926799099</v>
      </c>
      <c r="H1901" s="3">
        <v>0.17937916928696901</v>
      </c>
      <c r="I1901" s="3">
        <v>0.19961094363110099</v>
      </c>
    </row>
    <row r="1902" spans="1:16" x14ac:dyDescent="0.3">
      <c r="A1902" s="3" t="str">
        <f t="shared" si="29"/>
        <v>ELC</v>
      </c>
      <c r="C1902" s="3" t="s">
        <v>850</v>
      </c>
      <c r="D1902" s="3" t="s">
        <v>783</v>
      </c>
      <c r="E1902" s="3" t="s">
        <v>1282</v>
      </c>
      <c r="F1902" s="3" t="s">
        <v>4</v>
      </c>
      <c r="G1902" s="3">
        <v>7.5127971065641203E-2</v>
      </c>
      <c r="H1902" s="3">
        <v>7.5127971065641203E-2</v>
      </c>
    </row>
    <row r="1903" spans="1:16" x14ac:dyDescent="0.3">
      <c r="A1903" s="3" t="str">
        <f t="shared" si="29"/>
        <v>ELC</v>
      </c>
      <c r="C1903" s="3" t="s">
        <v>850</v>
      </c>
      <c r="D1903" s="3" t="s">
        <v>783</v>
      </c>
      <c r="E1903" s="3" t="s">
        <v>1282</v>
      </c>
      <c r="F1903" s="3" t="s">
        <v>5</v>
      </c>
      <c r="G1903" s="3">
        <v>5.8936472953455603E-2</v>
      </c>
      <c r="H1903" s="3">
        <v>6.0595797225493297E-2</v>
      </c>
      <c r="I1903" s="3">
        <v>6.5484969948283997E-2</v>
      </c>
    </row>
    <row r="1904" spans="1:16" x14ac:dyDescent="0.3">
      <c r="A1904" s="3" t="str">
        <f t="shared" si="29"/>
        <v>ELC</v>
      </c>
      <c r="C1904" s="3" t="s">
        <v>850</v>
      </c>
      <c r="D1904" s="3" t="s">
        <v>783</v>
      </c>
      <c r="E1904" s="3" t="s">
        <v>1282</v>
      </c>
      <c r="F1904" s="3" t="s">
        <v>6</v>
      </c>
      <c r="G1904" s="3">
        <v>0.27299392816792201</v>
      </c>
    </row>
    <row r="1905" spans="1:16" x14ac:dyDescent="0.3">
      <c r="A1905" s="3" t="str">
        <f t="shared" si="29"/>
        <v>ELC</v>
      </c>
      <c r="C1905" s="3" t="s">
        <v>850</v>
      </c>
      <c r="D1905" s="3" t="s">
        <v>783</v>
      </c>
      <c r="E1905" s="3" t="s">
        <v>1282</v>
      </c>
      <c r="F1905" s="3" t="s">
        <v>7</v>
      </c>
      <c r="G1905" s="3">
        <v>0.11635361095661199</v>
      </c>
    </row>
    <row r="1906" spans="1:16" x14ac:dyDescent="0.3">
      <c r="A1906" s="3" t="str">
        <f t="shared" si="29"/>
        <v>ELC</v>
      </c>
      <c r="C1906" s="3" t="s">
        <v>850</v>
      </c>
      <c r="D1906" s="3" t="s">
        <v>783</v>
      </c>
      <c r="E1906" s="3" t="s">
        <v>1282</v>
      </c>
      <c r="F1906" s="3" t="s">
        <v>8</v>
      </c>
      <c r="G1906" s="3">
        <v>3.2349589082909698E-2</v>
      </c>
    </row>
    <row r="1907" spans="1:16" x14ac:dyDescent="0.3">
      <c r="A1907" s="3" t="str">
        <f t="shared" si="29"/>
        <v>NGA</v>
      </c>
      <c r="C1907" s="3" t="s">
        <v>850</v>
      </c>
      <c r="D1907" s="3" t="s">
        <v>783</v>
      </c>
      <c r="E1907" s="3" t="s">
        <v>1288</v>
      </c>
      <c r="F1907" s="3" t="s">
        <v>1</v>
      </c>
      <c r="G1907" s="3">
        <v>1.04538057888402</v>
      </c>
      <c r="I1907" s="3">
        <v>0.14555678524905299</v>
      </c>
    </row>
    <row r="1908" spans="1:16" x14ac:dyDescent="0.3">
      <c r="A1908" s="3" t="str">
        <f t="shared" si="29"/>
        <v>NGA</v>
      </c>
      <c r="C1908" s="3" t="s">
        <v>850</v>
      </c>
      <c r="D1908" s="3" t="s">
        <v>783</v>
      </c>
      <c r="E1908" s="3" t="s">
        <v>1288</v>
      </c>
      <c r="F1908" s="3" t="s">
        <v>2</v>
      </c>
      <c r="G1908" s="3">
        <v>2.1344348736462901</v>
      </c>
      <c r="I1908" s="3">
        <v>0.401102244856681</v>
      </c>
    </row>
    <row r="1909" spans="1:16" x14ac:dyDescent="0.3">
      <c r="A1909" s="3" t="str">
        <f t="shared" si="29"/>
        <v>NGA</v>
      </c>
      <c r="C1909" s="3" t="s">
        <v>850</v>
      </c>
      <c r="D1909" s="3" t="s">
        <v>783</v>
      </c>
      <c r="E1909" s="3" t="s">
        <v>1288</v>
      </c>
      <c r="F1909" s="3" t="s">
        <v>4</v>
      </c>
      <c r="G1909" s="3">
        <v>0.13948153455904599</v>
      </c>
      <c r="H1909" s="3">
        <v>6.4030209495915105E-2</v>
      </c>
      <c r="I1909" s="3">
        <v>0.16332703518401201</v>
      </c>
    </row>
    <row r="1910" spans="1:16" x14ac:dyDescent="0.3">
      <c r="A1910" s="3" t="str">
        <f t="shared" si="29"/>
        <v>NGA</v>
      </c>
      <c r="C1910" s="3" t="s">
        <v>850</v>
      </c>
      <c r="D1910" s="3" t="s">
        <v>783</v>
      </c>
      <c r="E1910" s="3" t="s">
        <v>1288</v>
      </c>
      <c r="F1910" s="3" t="s">
        <v>7</v>
      </c>
      <c r="I1910" s="3">
        <v>0.16713677039146499</v>
      </c>
    </row>
    <row r="1911" spans="1:16" x14ac:dyDescent="0.3">
      <c r="A1911" s="3" t="str">
        <f t="shared" si="29"/>
        <v>NGA</v>
      </c>
      <c r="C1911" s="3" t="s">
        <v>850</v>
      </c>
      <c r="D1911" s="3" t="s">
        <v>783</v>
      </c>
      <c r="E1911" s="3" t="s">
        <v>1288</v>
      </c>
      <c r="F1911" s="3" t="s">
        <v>8</v>
      </c>
      <c r="G1911" s="3">
        <v>0.33386389183589099</v>
      </c>
    </row>
    <row r="1912" spans="1:16" x14ac:dyDescent="0.3">
      <c r="A1912" s="3" t="str">
        <f t="shared" si="29"/>
        <v>EXT</v>
      </c>
      <c r="C1912" s="3" t="s">
        <v>850</v>
      </c>
      <c r="D1912" s="3" t="s">
        <v>1539</v>
      </c>
      <c r="E1912" s="3" t="s">
        <v>1540</v>
      </c>
      <c r="F1912" s="3" t="s">
        <v>0</v>
      </c>
      <c r="G1912" s="3">
        <v>44.820398990772503</v>
      </c>
      <c r="H1912" s="3">
        <v>45.100277071111698</v>
      </c>
      <c r="I1912" s="3">
        <v>46.2197893924684</v>
      </c>
      <c r="J1912" s="3">
        <v>48.990633426873899</v>
      </c>
      <c r="K1912" s="3">
        <v>48.9920306013749</v>
      </c>
      <c r="L1912" s="3">
        <v>50.908603092062897</v>
      </c>
      <c r="M1912" s="3">
        <v>55.785755727984309</v>
      </c>
      <c r="N1912" s="3">
        <v>57.597282413448909</v>
      </c>
      <c r="O1912" s="3">
        <v>58.035172188042509</v>
      </c>
      <c r="P1912" s="3">
        <v>58.421282153667406</v>
      </c>
    </row>
    <row r="1913" spans="1:16" x14ac:dyDescent="0.3">
      <c r="A1913" s="3" t="str">
        <f t="shared" si="29"/>
        <v>EXT</v>
      </c>
      <c r="C1913" s="3" t="s">
        <v>850</v>
      </c>
      <c r="D1913" s="3" t="s">
        <v>1539</v>
      </c>
      <c r="E1913" s="3" t="s">
        <v>1540</v>
      </c>
      <c r="F1913" s="3" t="s">
        <v>1</v>
      </c>
      <c r="G1913" s="3">
        <v>129.58565273026801</v>
      </c>
      <c r="H1913" s="3">
        <v>130.655140142557</v>
      </c>
      <c r="I1913" s="3">
        <v>134.93308979170999</v>
      </c>
      <c r="J1913" s="3">
        <v>143.022234112955</v>
      </c>
      <c r="K1913" s="3">
        <v>143.026312995072</v>
      </c>
      <c r="L1913" s="3">
        <v>148.62151477719999</v>
      </c>
      <c r="M1913" s="3">
        <v>162.859772527849</v>
      </c>
      <c r="N1913" s="3">
        <v>168.148305775681</v>
      </c>
      <c r="O1913" s="3">
        <v>169.426672056678</v>
      </c>
      <c r="P1913" s="3">
        <v>170.55387344261999</v>
      </c>
    </row>
    <row r="1914" spans="1:16" x14ac:dyDescent="0.3">
      <c r="A1914" s="3" t="str">
        <f t="shared" si="29"/>
        <v>EXT</v>
      </c>
      <c r="C1914" s="3" t="s">
        <v>850</v>
      </c>
      <c r="D1914" s="3" t="s">
        <v>1539</v>
      </c>
      <c r="E1914" s="3" t="s">
        <v>1540</v>
      </c>
      <c r="F1914" s="3" t="s">
        <v>2</v>
      </c>
      <c r="G1914" s="3">
        <v>266.93649305989499</v>
      </c>
      <c r="H1914" s="3">
        <v>268.72029009804498</v>
      </c>
      <c r="I1914" s="3">
        <v>275.85547825064799</v>
      </c>
      <c r="J1914" s="3">
        <v>292.39282115756799</v>
      </c>
      <c r="K1914" s="3">
        <v>292.40115997185598</v>
      </c>
      <c r="L1914" s="3">
        <v>303.83991873666599</v>
      </c>
      <c r="M1914" s="3">
        <v>332.94843027615798</v>
      </c>
      <c r="N1914" s="3">
        <v>343.76023982248296</v>
      </c>
      <c r="O1914" s="3">
        <v>346.37371545227995</v>
      </c>
      <c r="P1914" s="3">
        <v>348.67815150931995</v>
      </c>
    </row>
    <row r="1915" spans="1:16" x14ac:dyDescent="0.3">
      <c r="A1915" s="3" t="str">
        <f t="shared" si="29"/>
        <v>EXT</v>
      </c>
      <c r="C1915" s="3" t="s">
        <v>850</v>
      </c>
      <c r="D1915" s="3" t="s">
        <v>1539</v>
      </c>
      <c r="E1915" s="3" t="s">
        <v>1540</v>
      </c>
      <c r="F1915" s="3" t="s">
        <v>3</v>
      </c>
      <c r="G1915" s="3">
        <v>174.877729491401</v>
      </c>
      <c r="H1915" s="3">
        <v>176.082954437746</v>
      </c>
      <c r="I1915" s="3">
        <v>180.90385422312599</v>
      </c>
      <c r="J1915" s="3">
        <v>191.74891370660299</v>
      </c>
      <c r="K1915" s="3">
        <v>191.75438223546399</v>
      </c>
      <c r="L1915" s="3">
        <v>199.25583031692099</v>
      </c>
      <c r="M1915" s="3">
        <v>218.34496337161301</v>
      </c>
      <c r="N1915" s="3">
        <v>225.435263083839</v>
      </c>
      <c r="O1915" s="3">
        <v>227.14915985814599</v>
      </c>
      <c r="P1915" s="3">
        <v>228.660390909901</v>
      </c>
    </row>
    <row r="1916" spans="1:16" x14ac:dyDescent="0.3">
      <c r="A1916" s="3" t="str">
        <f t="shared" si="29"/>
        <v>EXT</v>
      </c>
      <c r="C1916" s="3" t="s">
        <v>850</v>
      </c>
      <c r="D1916" s="3" t="s">
        <v>1539</v>
      </c>
      <c r="E1916" s="3" t="s">
        <v>1540</v>
      </c>
      <c r="F1916" s="3" t="s">
        <v>4</v>
      </c>
      <c r="G1916" s="3">
        <v>42.052445104134499</v>
      </c>
      <c r="H1916" s="3">
        <v>42.315038875594198</v>
      </c>
      <c r="I1916" s="3">
        <v>43.3654139614329</v>
      </c>
      <c r="J1916" s="3">
        <v>45.965140185934899</v>
      </c>
      <c r="K1916" s="3">
        <v>45.966451075737901</v>
      </c>
      <c r="L1916" s="3">
        <v>47.7646626326976</v>
      </c>
      <c r="M1916" s="3">
        <v>52.340619074513199</v>
      </c>
      <c r="N1916" s="3">
        <v>54.040272094354798</v>
      </c>
      <c r="O1916" s="3">
        <v>54.451119300591202</v>
      </c>
      <c r="P1916" s="3">
        <v>54.8133844410007</v>
      </c>
    </row>
    <row r="1917" spans="1:16" x14ac:dyDescent="0.3">
      <c r="A1917" s="3" t="str">
        <f t="shared" si="29"/>
        <v>EXT</v>
      </c>
      <c r="C1917" s="3" t="s">
        <v>850</v>
      </c>
      <c r="D1917" s="3" t="s">
        <v>1539</v>
      </c>
      <c r="E1917" s="3" t="s">
        <v>1540</v>
      </c>
      <c r="F1917" s="3" t="s">
        <v>5</v>
      </c>
      <c r="G1917" s="3">
        <v>36.947866466767202</v>
      </c>
      <c r="H1917" s="3">
        <v>37.178585027337697</v>
      </c>
      <c r="I1917" s="3">
        <v>38.101459269619802</v>
      </c>
      <c r="J1917" s="3">
        <v>40.385615093501002</v>
      </c>
      <c r="K1917" s="3">
        <v>40.386766859617801</v>
      </c>
      <c r="L1917" s="3">
        <v>41.966700685606099</v>
      </c>
      <c r="M1917" s="3">
        <v>45.987200020455198</v>
      </c>
      <c r="N1917" s="3">
        <v>47.480538937168298</v>
      </c>
      <c r="O1917" s="3">
        <v>47.841515039192203</v>
      </c>
      <c r="P1917" s="3">
        <v>48.159806258650903</v>
      </c>
    </row>
    <row r="1918" spans="1:16" x14ac:dyDescent="0.3">
      <c r="A1918" s="3" t="str">
        <f t="shared" si="29"/>
        <v>EXT</v>
      </c>
      <c r="C1918" s="3" t="s">
        <v>850</v>
      </c>
      <c r="D1918" s="3" t="s">
        <v>1539</v>
      </c>
      <c r="E1918" s="3" t="s">
        <v>1540</v>
      </c>
      <c r="F1918" s="3" t="s">
        <v>6</v>
      </c>
      <c r="G1918" s="3">
        <v>124.895046765507</v>
      </c>
      <c r="H1918" s="3">
        <v>125.841036278647</v>
      </c>
      <c r="I1918" s="3">
        <v>129.62499433120701</v>
      </c>
      <c r="J1918" s="3">
        <v>137.39592204363399</v>
      </c>
      <c r="K1918" s="3">
        <v>137.39984046773699</v>
      </c>
      <c r="L1918" s="3">
        <v>142.774934156097</v>
      </c>
      <c r="M1918" s="3">
        <v>156.45307702722701</v>
      </c>
      <c r="N1918" s="3">
        <v>161.53356612985499</v>
      </c>
      <c r="O1918" s="3">
        <v>162.76164311366401</v>
      </c>
      <c r="P1918" s="3">
        <v>163.84450183637199</v>
      </c>
    </row>
    <row r="1919" spans="1:16" x14ac:dyDescent="0.3">
      <c r="A1919" s="3" t="str">
        <f t="shared" si="29"/>
        <v>EXT</v>
      </c>
      <c r="C1919" s="3" t="s">
        <v>850</v>
      </c>
      <c r="D1919" s="3" t="s">
        <v>1539</v>
      </c>
      <c r="E1919" s="3" t="s">
        <v>1540</v>
      </c>
      <c r="F1919" s="3" t="s">
        <v>7</v>
      </c>
      <c r="G1919" s="3">
        <v>11.986899290833</v>
      </c>
      <c r="H1919" s="3">
        <v>12.061750707560201</v>
      </c>
      <c r="I1919" s="3">
        <v>12.361156374468999</v>
      </c>
      <c r="J1919" s="3">
        <v>13.1021990501012</v>
      </c>
      <c r="K1919" s="3">
        <v>13.1025727145578</v>
      </c>
      <c r="L1919" s="3">
        <v>13.6151464967365</v>
      </c>
      <c r="M1919" s="3">
        <v>14.9195065379054</v>
      </c>
      <c r="N1919" s="3">
        <v>15.4039865610705</v>
      </c>
      <c r="O1919" s="3">
        <v>15.521097089908499</v>
      </c>
      <c r="P1919" s="3">
        <v>15.6243594743885</v>
      </c>
    </row>
    <row r="1920" spans="1:16" x14ac:dyDescent="0.3">
      <c r="A1920" s="3" t="str">
        <f t="shared" si="29"/>
        <v>EXT</v>
      </c>
      <c r="C1920" s="3" t="s">
        <v>850</v>
      </c>
      <c r="D1920" s="3" t="s">
        <v>1539</v>
      </c>
      <c r="E1920" s="3" t="s">
        <v>1540</v>
      </c>
      <c r="F1920" s="3" t="s">
        <v>8</v>
      </c>
      <c r="G1920" s="3">
        <v>10.1533845721149</v>
      </c>
      <c r="H1920" s="3">
        <v>10.2167867248618</v>
      </c>
      <c r="I1920" s="3">
        <v>10.4703953358493</v>
      </c>
      <c r="J1920" s="3">
        <v>11.0980882101689</v>
      </c>
      <c r="K1920" s="3">
        <v>11.0984047189538</v>
      </c>
      <c r="L1920" s="3">
        <v>11.5325752751396</v>
      </c>
      <c r="M1920" s="3">
        <v>12.637420556405599</v>
      </c>
      <c r="N1920" s="3">
        <v>13.0477945716828</v>
      </c>
      <c r="O1920" s="3">
        <v>13.1469918876764</v>
      </c>
      <c r="P1920" s="3">
        <v>13.2344592698593</v>
      </c>
    </row>
    <row r="1921" spans="1:16" x14ac:dyDescent="0.3">
      <c r="A1921" s="3" t="str">
        <f t="shared" si="29"/>
        <v>ELC</v>
      </c>
      <c r="C1921" s="3" t="s">
        <v>850</v>
      </c>
      <c r="D1921" s="3" t="s">
        <v>1388</v>
      </c>
      <c r="E1921" s="3" t="s">
        <v>1387</v>
      </c>
      <c r="F1921" s="3" t="s">
        <v>0</v>
      </c>
      <c r="G1921" s="3">
        <v>8.0473687899105098E-2</v>
      </c>
      <c r="H1921" s="3">
        <v>8.0976200634257686E-2</v>
      </c>
      <c r="I1921" s="3">
        <v>8.2986251574826489E-2</v>
      </c>
      <c r="J1921" s="3">
        <v>8.796121929182027E-2</v>
      </c>
      <c r="K1921" s="3">
        <v>8.7963727876912479E-2</v>
      </c>
      <c r="L1921" s="3">
        <v>9.1404876548601188E-2</v>
      </c>
      <c r="M1921" s="3">
        <v>0.10016165845811278</v>
      </c>
      <c r="N1921" s="3">
        <v>0.10341420052354616</v>
      </c>
      <c r="O1921" s="3">
        <v>0.1042004185369582</v>
      </c>
      <c r="P1921" s="3">
        <v>0.10489366744968721</v>
      </c>
    </row>
    <row r="1922" spans="1:16" x14ac:dyDescent="0.3">
      <c r="A1922" s="3" t="str">
        <f t="shared" si="29"/>
        <v>ELC</v>
      </c>
      <c r="C1922" s="3" t="s">
        <v>850</v>
      </c>
      <c r="D1922" s="3" t="s">
        <v>1388</v>
      </c>
      <c r="E1922" s="3" t="s">
        <v>1387</v>
      </c>
      <c r="F1922" s="3" t="s">
        <v>1</v>
      </c>
      <c r="G1922" s="3">
        <v>0.21938035613204801</v>
      </c>
      <c r="H1922" s="3">
        <v>0.22119093102551249</v>
      </c>
      <c r="I1922" s="3">
        <v>0.22843323059936771</v>
      </c>
      <c r="J1922" s="3">
        <v>0.24212764294061709</v>
      </c>
      <c r="K1922" s="3">
        <v>0.2421345482313858</v>
      </c>
      <c r="L1922" s="3">
        <v>0.25160687278068522</v>
      </c>
      <c r="M1922" s="3">
        <v>0.27571134723619423</v>
      </c>
      <c r="N1922" s="3">
        <v>0.28466450125348747</v>
      </c>
      <c r="O1922" s="3">
        <v>0.28682869492835411</v>
      </c>
      <c r="P1922" s="3">
        <v>0.2887369759476674</v>
      </c>
    </row>
    <row r="1923" spans="1:16" x14ac:dyDescent="0.3">
      <c r="A1923" s="3" t="str">
        <f t="shared" si="29"/>
        <v>ELC</v>
      </c>
      <c r="C1923" s="3" t="s">
        <v>850</v>
      </c>
      <c r="D1923" s="3" t="s">
        <v>1388</v>
      </c>
      <c r="E1923" s="3" t="s">
        <v>1387</v>
      </c>
      <c r="F1923" s="3" t="s">
        <v>2</v>
      </c>
      <c r="G1923" s="3">
        <v>0.60186628939777398</v>
      </c>
      <c r="H1923" s="3">
        <v>0.60588824717538325</v>
      </c>
      <c r="I1923" s="3">
        <v>0.62197607828582846</v>
      </c>
      <c r="J1923" s="3">
        <v>0.65926310898662255</v>
      </c>
      <c r="K1923" s="3">
        <v>0.65928191065422559</v>
      </c>
      <c r="L1923" s="3">
        <v>0.68507307623887159</v>
      </c>
      <c r="M1923" s="3">
        <v>0.75070453647625146</v>
      </c>
      <c r="N1923" s="3">
        <v>0.77508210890454476</v>
      </c>
      <c r="O1923" s="3">
        <v>0.78097475723339094</v>
      </c>
      <c r="P1923" s="3">
        <v>0.78617060873689393</v>
      </c>
    </row>
    <row r="1924" spans="1:16" x14ac:dyDescent="0.3">
      <c r="A1924" s="3" t="str">
        <f t="shared" si="29"/>
        <v>ELC</v>
      </c>
      <c r="C1924" s="3" t="s">
        <v>850</v>
      </c>
      <c r="D1924" s="3" t="s">
        <v>1388</v>
      </c>
      <c r="E1924" s="3" t="s">
        <v>1387</v>
      </c>
      <c r="F1924" s="3" t="s">
        <v>3</v>
      </c>
      <c r="G1924" s="3">
        <v>0.407245871131522</v>
      </c>
      <c r="H1924" s="3">
        <v>0.4100525343047553</v>
      </c>
      <c r="I1924" s="3">
        <v>0.42127918699772327</v>
      </c>
      <c r="J1924" s="3">
        <v>0.44653457949204867</v>
      </c>
      <c r="K1924" s="3">
        <v>0.44654731430857569</v>
      </c>
      <c r="L1924" s="3">
        <v>0.4640162840142405</v>
      </c>
      <c r="M1924" s="3">
        <v>0.50847003259968115</v>
      </c>
      <c r="N1924" s="3">
        <v>0.52498154204855418</v>
      </c>
      <c r="O1924" s="3">
        <v>0.52897277287540889</v>
      </c>
      <c r="P1924" s="3">
        <v>0.5324920466442622</v>
      </c>
    </row>
    <row r="1925" spans="1:16" x14ac:dyDescent="0.3">
      <c r="A1925" s="3" t="str">
        <f t="shared" si="29"/>
        <v>ELC</v>
      </c>
      <c r="C1925" s="3" t="s">
        <v>850</v>
      </c>
      <c r="D1925" s="3" t="s">
        <v>1388</v>
      </c>
      <c r="E1925" s="3" t="s">
        <v>1387</v>
      </c>
      <c r="F1925" s="3" t="s">
        <v>4</v>
      </c>
      <c r="G1925" s="3">
        <v>0.234209051593194</v>
      </c>
      <c r="H1925" s="3">
        <v>0.23567155485585931</v>
      </c>
      <c r="I1925" s="3">
        <v>0.2415215679065208</v>
      </c>
      <c r="J1925" s="3">
        <v>0.25600061691151438</v>
      </c>
      <c r="K1925" s="3">
        <v>0.2560079178486358</v>
      </c>
      <c r="L1925" s="3">
        <v>0.26602296982186918</v>
      </c>
      <c r="M1925" s="3">
        <v>0.29150853708711322</v>
      </c>
      <c r="N1925" s="3">
        <v>0.30097467207234074</v>
      </c>
      <c r="O1925" s="3">
        <v>0.3032628656431085</v>
      </c>
      <c r="P1925" s="3">
        <v>0.30528048375664452</v>
      </c>
    </row>
    <row r="1926" spans="1:16" x14ac:dyDescent="0.3">
      <c r="A1926" s="3" t="str">
        <f t="shared" si="29"/>
        <v>ELC</v>
      </c>
      <c r="C1926" s="3" t="s">
        <v>850</v>
      </c>
      <c r="D1926" s="3" t="s">
        <v>1388</v>
      </c>
      <c r="E1926" s="3" t="s">
        <v>1387</v>
      </c>
      <c r="F1926" s="3" t="s">
        <v>5</v>
      </c>
      <c r="G1926" s="3">
        <v>0.20414730342971399</v>
      </c>
      <c r="H1926" s="3">
        <v>0.20542208805182746</v>
      </c>
      <c r="I1926" s="3">
        <v>0.21052122654027336</v>
      </c>
      <c r="J1926" s="3">
        <v>0.22314182677109398</v>
      </c>
      <c r="K1926" s="3">
        <v>0.22314819060124827</v>
      </c>
      <c r="L1926" s="3">
        <v>0.23187776719163117</v>
      </c>
      <c r="M1926" s="3">
        <v>0.2540921512992671</v>
      </c>
      <c r="N1926" s="3">
        <v>0.26234326677917824</v>
      </c>
      <c r="O1926" s="3">
        <v>0.264337760775118</v>
      </c>
      <c r="P1926" s="3">
        <v>0.26609640884796759</v>
      </c>
    </row>
    <row r="1927" spans="1:16" x14ac:dyDescent="0.3">
      <c r="A1927" s="3" t="str">
        <f t="shared" si="29"/>
        <v>ELC</v>
      </c>
      <c r="C1927" s="3" t="s">
        <v>850</v>
      </c>
      <c r="D1927" s="3" t="s">
        <v>1388</v>
      </c>
      <c r="E1927" s="3" t="s">
        <v>1387</v>
      </c>
      <c r="F1927" s="3" t="s">
        <v>6</v>
      </c>
      <c r="G1927" s="3">
        <v>0.70466461750071696</v>
      </c>
      <c r="H1927" s="3">
        <v>0.71000194156361052</v>
      </c>
      <c r="I1927" s="3">
        <v>0.73135123781514455</v>
      </c>
      <c r="J1927" s="3">
        <v>0.77519523280066449</v>
      </c>
      <c r="K1927" s="3">
        <v>0.77521734076165338</v>
      </c>
      <c r="L1927" s="3">
        <v>0.80554391043779261</v>
      </c>
      <c r="M1927" s="3">
        <v>0.88271673325198752</v>
      </c>
      <c r="N1927" s="3">
        <v>0.91138112790121295</v>
      </c>
      <c r="O1927" s="3">
        <v>0.91831000474996394</v>
      </c>
      <c r="P1927" s="3">
        <v>0.9244195523053248</v>
      </c>
    </row>
    <row r="1928" spans="1:16" x14ac:dyDescent="0.3">
      <c r="A1928" s="3" t="str">
        <f t="shared" ref="A1928:A1991" si="30">RIGHT(E1928,3)</f>
        <v>ELC</v>
      </c>
      <c r="C1928" s="3" t="s">
        <v>850</v>
      </c>
      <c r="D1928" s="3" t="s">
        <v>1388</v>
      </c>
      <c r="E1928" s="3" t="s">
        <v>1387</v>
      </c>
      <c r="F1928" s="3" t="s">
        <v>7</v>
      </c>
      <c r="G1928" s="3">
        <v>9.2803387271877993E-2</v>
      </c>
      <c r="H1928" s="3">
        <v>9.3382892016670091E-2</v>
      </c>
      <c r="I1928" s="3">
        <v>9.5700910995838592E-2</v>
      </c>
      <c r="J1928" s="3">
        <v>0.10143811364876119</v>
      </c>
      <c r="K1928" s="3">
        <v>0.10144100658432649</v>
      </c>
      <c r="L1928" s="3">
        <v>0.10540938756916719</v>
      </c>
      <c r="M1928" s="3">
        <v>0.11550783147076328</v>
      </c>
      <c r="N1928" s="3">
        <v>0.11925870866797678</v>
      </c>
      <c r="O1928" s="3">
        <v>0.12016538632478151</v>
      </c>
      <c r="P1928" s="3">
        <v>0.12096485070877321</v>
      </c>
    </row>
    <row r="1929" spans="1:16" x14ac:dyDescent="0.3">
      <c r="A1929" s="3" t="str">
        <f t="shared" si="30"/>
        <v>ELC</v>
      </c>
      <c r="C1929" s="3" t="s">
        <v>850</v>
      </c>
      <c r="D1929" s="3" t="s">
        <v>1388</v>
      </c>
      <c r="E1929" s="3" t="s">
        <v>1387</v>
      </c>
      <c r="F1929" s="3" t="s">
        <v>8</v>
      </c>
      <c r="G1929" s="3">
        <v>5.8191950742596303E-2</v>
      </c>
      <c r="H1929" s="3">
        <v>5.8555326612328755E-2</v>
      </c>
      <c r="I1929" s="3">
        <v>6.0008830091258722E-2</v>
      </c>
      <c r="J1929" s="3">
        <v>6.3606317467458429E-2</v>
      </c>
      <c r="K1929" s="3">
        <v>6.3608131469822929E-2</v>
      </c>
      <c r="L1929" s="3">
        <v>6.609648709547683E-2</v>
      </c>
      <c r="M1929" s="3">
        <v>7.2428671376390821E-2</v>
      </c>
      <c r="N1929" s="3">
        <v>7.4780642220540372E-2</v>
      </c>
      <c r="O1929" s="3">
        <v>7.5349170407875116E-2</v>
      </c>
      <c r="P1929" s="3">
        <v>7.5850470989904703E-2</v>
      </c>
    </row>
    <row r="1930" spans="1:16" x14ac:dyDescent="0.3">
      <c r="A1930" s="3" t="str">
        <f t="shared" si="30"/>
        <v>COA</v>
      </c>
      <c r="C1930" s="3" t="s">
        <v>850</v>
      </c>
      <c r="D1930" s="3" t="s">
        <v>734</v>
      </c>
      <c r="E1930" s="3" t="s">
        <v>1404</v>
      </c>
      <c r="F1930" s="3" t="s">
        <v>0</v>
      </c>
      <c r="G1930" s="3">
        <v>2.2820211257979901E-2</v>
      </c>
      <c r="H1930" s="3">
        <v>0.75797985538193102</v>
      </c>
      <c r="I1930" s="3">
        <v>0.77679499006733799</v>
      </c>
      <c r="J1930" s="3">
        <v>0.82336330620369202</v>
      </c>
      <c r="K1930" s="3">
        <v>0.82338678788041297</v>
      </c>
      <c r="L1930" s="3">
        <v>0.85559775050998299</v>
      </c>
      <c r="M1930" s="3">
        <v>0.93756583784174397</v>
      </c>
      <c r="N1930" s="3">
        <v>0.96801134337386996</v>
      </c>
      <c r="O1930" s="3">
        <v>0.97537075776275195</v>
      </c>
      <c r="P1930" s="3">
        <v>0.98185993243998204</v>
      </c>
    </row>
    <row r="1931" spans="1:16" x14ac:dyDescent="0.3">
      <c r="A1931" s="3" t="str">
        <f t="shared" si="30"/>
        <v>COA</v>
      </c>
      <c r="C1931" s="3" t="s">
        <v>850</v>
      </c>
      <c r="D1931" s="3" t="s">
        <v>734</v>
      </c>
      <c r="E1931" s="3" t="s">
        <v>1404</v>
      </c>
      <c r="F1931" s="3" t="s">
        <v>1</v>
      </c>
      <c r="G1931" s="3">
        <v>6.2816363936140596E-2</v>
      </c>
      <c r="H1931" s="3">
        <v>2.0704635262869</v>
      </c>
      <c r="I1931" s="3">
        <v>2.1382552618910302</v>
      </c>
      <c r="J1931" s="3">
        <v>2.2664421687186902</v>
      </c>
      <c r="K1931" s="3">
        <v>2.2665068058745099</v>
      </c>
      <c r="L1931" s="3">
        <v>2.3551727489018699</v>
      </c>
      <c r="M1931" s="3">
        <v>2.58080331589239</v>
      </c>
      <c r="N1931" s="3">
        <v>2.6646095495028299</v>
      </c>
      <c r="O1931" s="3">
        <v>2.68486754130591</v>
      </c>
      <c r="P1931" s="3">
        <v>2.7027300559672298</v>
      </c>
    </row>
    <row r="1932" spans="1:16" x14ac:dyDescent="0.3">
      <c r="A1932" s="3" t="str">
        <f t="shared" si="30"/>
        <v>COA</v>
      </c>
      <c r="C1932" s="3" t="s">
        <v>850</v>
      </c>
      <c r="D1932" s="3" t="s">
        <v>734</v>
      </c>
      <c r="E1932" s="3" t="s">
        <v>1404</v>
      </c>
      <c r="F1932" s="3" t="s">
        <v>2</v>
      </c>
      <c r="G1932" s="3">
        <v>0.91899868944025398</v>
      </c>
      <c r="H1932" s="3">
        <v>9.4795784945128805</v>
      </c>
      <c r="I1932" s="3">
        <v>9.7312847431964595</v>
      </c>
      <c r="J1932" s="3">
        <v>10.314668454637101</v>
      </c>
      <c r="K1932" s="3">
        <v>10.314962620904099</v>
      </c>
      <c r="L1932" s="3">
        <v>10.7184848541945</v>
      </c>
      <c r="M1932" s="3">
        <v>11.7453385387316</v>
      </c>
      <c r="N1932" s="3">
        <v>12.126744041176901</v>
      </c>
      <c r="O1932" s="3">
        <v>12.2189389676081</v>
      </c>
      <c r="P1932" s="3">
        <v>12.3002319822901</v>
      </c>
    </row>
    <row r="1933" spans="1:16" x14ac:dyDescent="0.3">
      <c r="A1933" s="3" t="str">
        <f t="shared" si="30"/>
        <v>COA</v>
      </c>
      <c r="C1933" s="3" t="s">
        <v>850</v>
      </c>
      <c r="D1933" s="3" t="s">
        <v>734</v>
      </c>
      <c r="E1933" s="3" t="s">
        <v>1404</v>
      </c>
      <c r="F1933" s="3" t="s">
        <v>3</v>
      </c>
      <c r="G1933" s="3">
        <v>0.62245966405390396</v>
      </c>
      <c r="H1933" s="3">
        <v>6.4155810975661201</v>
      </c>
      <c r="I1933" s="3">
        <v>6.5912305443572903</v>
      </c>
      <c r="J1933" s="3">
        <v>6.9863702036522204</v>
      </c>
      <c r="K1933" s="3">
        <v>6.9865694494594299</v>
      </c>
      <c r="L1933" s="3">
        <v>7.2598846529068197</v>
      </c>
      <c r="M1933" s="3">
        <v>7.95539706968595</v>
      </c>
      <c r="N1933" s="3">
        <v>8.2137320854464697</v>
      </c>
      <c r="O1933" s="3">
        <v>8.2761779013037504</v>
      </c>
      <c r="P1933" s="3">
        <v>8.3312395931106096</v>
      </c>
    </row>
    <row r="1934" spans="1:16" x14ac:dyDescent="0.3">
      <c r="A1934" s="3" t="str">
        <f t="shared" si="30"/>
        <v>COA</v>
      </c>
      <c r="C1934" s="3" t="s">
        <v>850</v>
      </c>
      <c r="D1934" s="3" t="s">
        <v>734</v>
      </c>
      <c r="E1934" s="3" t="s">
        <v>1404</v>
      </c>
      <c r="F1934" s="3" t="s">
        <v>4</v>
      </c>
      <c r="G1934" s="3">
        <v>6.9911050240788697E-2</v>
      </c>
      <c r="H1934" s="3">
        <v>1.8842542629950001</v>
      </c>
      <c r="J1934" s="3">
        <v>2.0467903054312</v>
      </c>
      <c r="K1934" s="3">
        <v>2.0468486782878799</v>
      </c>
      <c r="L1934" s="3">
        <v>2.1269215762929998</v>
      </c>
      <c r="M1934" s="3">
        <v>2.3306851946632898</v>
      </c>
      <c r="N1934" s="3">
        <v>2.40636936117592</v>
      </c>
      <c r="O1934" s="3">
        <v>2.42466405309542</v>
      </c>
      <c r="P1934" s="3">
        <v>2.4407954251392399</v>
      </c>
    </row>
    <row r="1935" spans="1:16" x14ac:dyDescent="0.3">
      <c r="A1935" s="3" t="str">
        <f t="shared" si="30"/>
        <v>COA</v>
      </c>
      <c r="C1935" s="3" t="s">
        <v>850</v>
      </c>
      <c r="D1935" s="3" t="s">
        <v>734</v>
      </c>
      <c r="E1935" s="3" t="s">
        <v>1404</v>
      </c>
      <c r="F1935" s="3" t="s">
        <v>5</v>
      </c>
      <c r="G1935" s="3">
        <v>6.0937663551049397E-2</v>
      </c>
      <c r="J1935" s="3">
        <v>1.7840758873215801</v>
      </c>
      <c r="K1935" s="3">
        <v>1.78412676776875</v>
      </c>
      <c r="L1935" s="3">
        <v>1.85392196182445</v>
      </c>
      <c r="M1935" s="3">
        <v>2.0315316355087498</v>
      </c>
      <c r="N1935" s="3">
        <v>2.0975014108046901</v>
      </c>
      <c r="O1935" s="3">
        <v>2.11344789962327</v>
      </c>
      <c r="P1935" s="3">
        <v>2.1275087400603399</v>
      </c>
    </row>
    <row r="1936" spans="1:16" x14ac:dyDescent="0.3">
      <c r="A1936" s="3" t="str">
        <f t="shared" si="30"/>
        <v>COA</v>
      </c>
      <c r="C1936" s="3" t="s">
        <v>850</v>
      </c>
      <c r="D1936" s="3" t="s">
        <v>734</v>
      </c>
      <c r="E1936" s="3" t="s">
        <v>1404</v>
      </c>
      <c r="F1936" s="3" t="s">
        <v>6</v>
      </c>
      <c r="G1936" s="3">
        <v>0.211697586984642</v>
      </c>
      <c r="H1936" s="3">
        <v>5.6766468314099097</v>
      </c>
      <c r="J1936" s="3">
        <v>6.1978838428397403</v>
      </c>
      <c r="K1936" s="3">
        <v>6.1980606016334097</v>
      </c>
      <c r="L1936" s="3">
        <v>6.44052927049432</v>
      </c>
      <c r="M1936" s="3">
        <v>7.0575456960189902</v>
      </c>
      <c r="N1936" s="3">
        <v>7.2867248510808302</v>
      </c>
      <c r="O1936" s="3">
        <v>7.3421229908691101</v>
      </c>
      <c r="P1936" s="3">
        <v>7.3909703837300098</v>
      </c>
    </row>
    <row r="1937" spans="1:16" x14ac:dyDescent="0.3">
      <c r="A1937" s="3" t="str">
        <f t="shared" si="30"/>
        <v>COA</v>
      </c>
      <c r="C1937" s="3" t="s">
        <v>850</v>
      </c>
      <c r="D1937" s="3" t="s">
        <v>734</v>
      </c>
      <c r="E1937" s="3" t="s">
        <v>1404</v>
      </c>
      <c r="F1937" s="3" t="s">
        <v>7</v>
      </c>
      <c r="H1937" s="3">
        <v>0.725720531607979</v>
      </c>
      <c r="I1937" s="3">
        <v>0.74373490157993505</v>
      </c>
      <c r="J1937" s="3">
        <v>0.78832128854338901</v>
      </c>
      <c r="K1937" s="3">
        <v>0.78834377084920504</v>
      </c>
      <c r="L1937" s="3">
        <v>0.81918384761002805</v>
      </c>
      <c r="M1937" s="3">
        <v>0.89766340546492396</v>
      </c>
      <c r="N1937" s="3">
        <v>0.92681316228624899</v>
      </c>
      <c r="O1937" s="3">
        <v>0.93385936290055405</v>
      </c>
      <c r="P1937" s="3">
        <v>0.94007236086219603</v>
      </c>
    </row>
    <row r="1938" spans="1:16" x14ac:dyDescent="0.3">
      <c r="A1938" s="3" t="str">
        <f t="shared" si="30"/>
        <v>COA</v>
      </c>
      <c r="C1938" s="3" t="s">
        <v>850</v>
      </c>
      <c r="D1938" s="3" t="s">
        <v>734</v>
      </c>
      <c r="E1938" s="3" t="s">
        <v>1404</v>
      </c>
      <c r="F1938" s="3" t="s">
        <v>8</v>
      </c>
      <c r="J1938" s="3">
        <v>0.49431335364800699</v>
      </c>
      <c r="K1938" s="3">
        <v>0.49432745107775899</v>
      </c>
      <c r="L1938" s="3">
        <v>0.51366558388218098</v>
      </c>
      <c r="M1938" s="3">
        <v>0.56287584117175105</v>
      </c>
      <c r="N1938" s="3">
        <v>0.58115406638497402</v>
      </c>
      <c r="O1938" s="3">
        <v>0.58557235510399397</v>
      </c>
      <c r="P1938" s="3">
        <v>0.589468187809849</v>
      </c>
    </row>
    <row r="1939" spans="1:16" x14ac:dyDescent="0.3">
      <c r="A1939" s="3" t="str">
        <f t="shared" si="30"/>
        <v>DST</v>
      </c>
      <c r="C1939" s="3" t="s">
        <v>850</v>
      </c>
      <c r="D1939" s="3" t="s">
        <v>734</v>
      </c>
      <c r="E1939" s="3" t="s">
        <v>1401</v>
      </c>
      <c r="F1939" s="3" t="s">
        <v>2</v>
      </c>
      <c r="G1939" s="3">
        <v>0.835697890082441</v>
      </c>
    </row>
    <row r="1940" spans="1:16" x14ac:dyDescent="0.3">
      <c r="A1940" s="3" t="str">
        <f t="shared" si="30"/>
        <v>DST</v>
      </c>
      <c r="C1940" s="3" t="s">
        <v>850</v>
      </c>
      <c r="D1940" s="3" t="s">
        <v>734</v>
      </c>
      <c r="E1940" s="3" t="s">
        <v>1401</v>
      </c>
      <c r="F1940" s="3" t="s">
        <v>3</v>
      </c>
      <c r="G1940" s="3">
        <v>0.55958452749999299</v>
      </c>
    </row>
    <row r="1941" spans="1:16" x14ac:dyDescent="0.3">
      <c r="A1941" s="3" t="str">
        <f t="shared" si="30"/>
        <v>DST</v>
      </c>
      <c r="C1941" s="3" t="s">
        <v>850</v>
      </c>
      <c r="D1941" s="3" t="s">
        <v>734</v>
      </c>
      <c r="E1941" s="3" t="s">
        <v>1401</v>
      </c>
      <c r="F1941" s="3" t="s">
        <v>4</v>
      </c>
      <c r="G1941" s="3">
        <v>0.19528669258797199</v>
      </c>
    </row>
    <row r="1942" spans="1:16" x14ac:dyDescent="0.3">
      <c r="A1942" s="3" t="str">
        <f t="shared" si="30"/>
        <v>DST</v>
      </c>
      <c r="C1942" s="3" t="s">
        <v>850</v>
      </c>
      <c r="D1942" s="3" t="s">
        <v>734</v>
      </c>
      <c r="E1942" s="3" t="s">
        <v>1401</v>
      </c>
      <c r="F1942" s="3" t="s">
        <v>5</v>
      </c>
      <c r="G1942" s="3">
        <v>0.17022079811319499</v>
      </c>
    </row>
    <row r="1943" spans="1:16" x14ac:dyDescent="0.3">
      <c r="A1943" s="3" t="str">
        <f t="shared" si="30"/>
        <v>DST</v>
      </c>
      <c r="C1943" s="3" t="s">
        <v>850</v>
      </c>
      <c r="D1943" s="3" t="s">
        <v>734</v>
      </c>
      <c r="E1943" s="3" t="s">
        <v>1401</v>
      </c>
      <c r="F1943" s="3" t="s">
        <v>6</v>
      </c>
      <c r="G1943" s="3">
        <v>0.555020240975865</v>
      </c>
    </row>
    <row r="1944" spans="1:16" x14ac:dyDescent="0.3">
      <c r="A1944" s="3" t="str">
        <f t="shared" si="30"/>
        <v>ELC</v>
      </c>
      <c r="C1944" s="3" t="s">
        <v>850</v>
      </c>
      <c r="D1944" s="3" t="s">
        <v>734</v>
      </c>
      <c r="E1944" s="3" t="s">
        <v>1399</v>
      </c>
      <c r="F1944" s="3" t="s">
        <v>0</v>
      </c>
      <c r="G1944" s="3">
        <v>0.32189475159646103</v>
      </c>
    </row>
    <row r="1945" spans="1:16" x14ac:dyDescent="0.3">
      <c r="A1945" s="3" t="str">
        <f t="shared" si="30"/>
        <v>ELC</v>
      </c>
      <c r="C1945" s="3" t="s">
        <v>850</v>
      </c>
      <c r="D1945" s="3" t="s">
        <v>734</v>
      </c>
      <c r="E1945" s="3" t="s">
        <v>1399</v>
      </c>
      <c r="F1945" s="3" t="s">
        <v>1</v>
      </c>
      <c r="G1945" s="3">
        <v>0.88606795251933201</v>
      </c>
    </row>
    <row r="1946" spans="1:16" x14ac:dyDescent="0.3">
      <c r="A1946" s="3" t="str">
        <f t="shared" si="30"/>
        <v>ELC</v>
      </c>
      <c r="C1946" s="3" t="s">
        <v>850</v>
      </c>
      <c r="D1946" s="3" t="s">
        <v>734</v>
      </c>
      <c r="E1946" s="3" t="s">
        <v>1399</v>
      </c>
      <c r="F1946" s="3" t="s">
        <v>2</v>
      </c>
      <c r="G1946" s="3">
        <v>2.4125783659264699</v>
      </c>
    </row>
    <row r="1947" spans="1:16" x14ac:dyDescent="0.3">
      <c r="A1947" s="3" t="str">
        <f t="shared" si="30"/>
        <v>ELC</v>
      </c>
      <c r="C1947" s="3" t="s">
        <v>850</v>
      </c>
      <c r="D1947" s="3" t="s">
        <v>734</v>
      </c>
      <c r="E1947" s="3" t="s">
        <v>1399</v>
      </c>
      <c r="F1947" s="3" t="s">
        <v>3</v>
      </c>
      <c r="G1947" s="3">
        <v>1.63409669286143</v>
      </c>
    </row>
    <row r="1948" spans="1:16" x14ac:dyDescent="0.3">
      <c r="A1948" s="3" t="str">
        <f t="shared" si="30"/>
        <v>ELC</v>
      </c>
      <c r="C1948" s="3" t="s">
        <v>850</v>
      </c>
      <c r="D1948" s="3" t="s">
        <v>734</v>
      </c>
      <c r="E1948" s="3" t="s">
        <v>1399</v>
      </c>
      <c r="F1948" s="3" t="s">
        <v>4</v>
      </c>
      <c r="G1948" s="3">
        <v>0.93683620637277598</v>
      </c>
    </row>
    <row r="1949" spans="1:16" x14ac:dyDescent="0.3">
      <c r="A1949" s="3" t="str">
        <f t="shared" si="30"/>
        <v>ELC</v>
      </c>
      <c r="C1949" s="3" t="s">
        <v>850</v>
      </c>
      <c r="D1949" s="3" t="s">
        <v>734</v>
      </c>
      <c r="E1949" s="3" t="s">
        <v>1399</v>
      </c>
      <c r="F1949" s="3" t="s">
        <v>5</v>
      </c>
      <c r="G1949" s="3">
        <v>0.81658921371886495</v>
      </c>
      <c r="H1949" s="3">
        <v>1.6424020512858499</v>
      </c>
      <c r="I1949" s="3">
        <v>1.68317096563503</v>
      </c>
    </row>
    <row r="1950" spans="1:16" x14ac:dyDescent="0.3">
      <c r="A1950" s="3" t="str">
        <f t="shared" si="30"/>
        <v>ELC</v>
      </c>
      <c r="C1950" s="3" t="s">
        <v>850</v>
      </c>
      <c r="D1950" s="3" t="s">
        <v>734</v>
      </c>
      <c r="E1950" s="3" t="s">
        <v>1399</v>
      </c>
      <c r="F1950" s="3" t="s">
        <v>6</v>
      </c>
      <c r="G1950" s="3">
        <v>2.8368328555483702</v>
      </c>
    </row>
    <row r="1951" spans="1:16" x14ac:dyDescent="0.3">
      <c r="A1951" s="3" t="str">
        <f t="shared" si="30"/>
        <v>ELC</v>
      </c>
      <c r="C1951" s="3" t="s">
        <v>850</v>
      </c>
      <c r="D1951" s="3" t="s">
        <v>734</v>
      </c>
      <c r="E1951" s="3" t="s">
        <v>1399</v>
      </c>
      <c r="F1951" s="3" t="s">
        <v>7</v>
      </c>
      <c r="G1951" s="3">
        <v>0.37121354908751097</v>
      </c>
    </row>
    <row r="1952" spans="1:16" x14ac:dyDescent="0.3">
      <c r="A1952" s="3" t="str">
        <f t="shared" si="30"/>
        <v>ELC</v>
      </c>
      <c r="C1952" s="3" t="s">
        <v>850</v>
      </c>
      <c r="D1952" s="3" t="s">
        <v>734</v>
      </c>
      <c r="E1952" s="3" t="s">
        <v>1399</v>
      </c>
      <c r="F1952" s="3" t="s">
        <v>8</v>
      </c>
      <c r="G1952" s="3">
        <v>0.23276780297038499</v>
      </c>
      <c r="H1952" s="3">
        <v>0.45505982776794102</v>
      </c>
      <c r="I1952" s="3">
        <v>0.46635565824227199</v>
      </c>
    </row>
    <row r="1953" spans="1:16" x14ac:dyDescent="0.3">
      <c r="A1953" s="3" t="str">
        <f t="shared" si="30"/>
        <v>NGA</v>
      </c>
      <c r="C1953" s="3" t="s">
        <v>850</v>
      </c>
      <c r="D1953" s="3" t="s">
        <v>734</v>
      </c>
      <c r="E1953" s="3" t="s">
        <v>1403</v>
      </c>
      <c r="F1953" s="3" t="s">
        <v>0</v>
      </c>
      <c r="G1953" s="3">
        <v>0.40856110885618702</v>
      </c>
    </row>
    <row r="1954" spans="1:16" x14ac:dyDescent="0.3">
      <c r="A1954" s="3" t="str">
        <f t="shared" si="30"/>
        <v>NGA</v>
      </c>
      <c r="C1954" s="3" t="s">
        <v>850</v>
      </c>
      <c r="D1954" s="3" t="s">
        <v>734</v>
      </c>
      <c r="E1954" s="3" t="s">
        <v>1403</v>
      </c>
      <c r="F1954" s="3" t="s">
        <v>1</v>
      </c>
      <c r="G1954" s="3">
        <v>1.1046312759304</v>
      </c>
    </row>
    <row r="1955" spans="1:16" x14ac:dyDescent="0.3">
      <c r="A1955" s="3" t="str">
        <f t="shared" si="30"/>
        <v>NGA</v>
      </c>
      <c r="C1955" s="3" t="s">
        <v>850</v>
      </c>
      <c r="D1955" s="3" t="s">
        <v>734</v>
      </c>
      <c r="E1955" s="3" t="s">
        <v>1403</v>
      </c>
      <c r="F1955" s="3" t="s">
        <v>2</v>
      </c>
      <c r="G1955" s="3">
        <v>5.2493769868928704</v>
      </c>
    </row>
    <row r="1956" spans="1:16" x14ac:dyDescent="0.3">
      <c r="A1956" s="3" t="str">
        <f t="shared" si="30"/>
        <v>NGA</v>
      </c>
      <c r="C1956" s="3" t="s">
        <v>850</v>
      </c>
      <c r="D1956" s="3" t="s">
        <v>734</v>
      </c>
      <c r="E1956" s="3" t="s">
        <v>1403</v>
      </c>
      <c r="F1956" s="3" t="s">
        <v>3</v>
      </c>
      <c r="G1956" s="3">
        <v>3.5555278514530002</v>
      </c>
    </row>
    <row r="1957" spans="1:16" x14ac:dyDescent="0.3">
      <c r="A1957" s="3" t="str">
        <f t="shared" si="30"/>
        <v>NGA</v>
      </c>
      <c r="C1957" s="3" t="s">
        <v>850</v>
      </c>
      <c r="D1957" s="3" t="s">
        <v>734</v>
      </c>
      <c r="E1957" s="3" t="s">
        <v>1403</v>
      </c>
      <c r="F1957" s="3" t="s">
        <v>4</v>
      </c>
      <c r="G1957" s="3">
        <v>0.67052722673844201</v>
      </c>
      <c r="I1957" s="3">
        <v>1.93102661121507</v>
      </c>
    </row>
    <row r="1958" spans="1:16" x14ac:dyDescent="0.3">
      <c r="A1958" s="3" t="str">
        <f t="shared" si="30"/>
        <v>NGA</v>
      </c>
      <c r="C1958" s="3" t="s">
        <v>850</v>
      </c>
      <c r="D1958" s="3" t="s">
        <v>734</v>
      </c>
      <c r="E1958" s="3" t="s">
        <v>1403</v>
      </c>
      <c r="F1958" s="3" t="s">
        <v>5</v>
      </c>
      <c r="G1958" s="3">
        <v>0.58446214731538904</v>
      </c>
    </row>
    <row r="1959" spans="1:16" x14ac:dyDescent="0.3">
      <c r="A1959" s="3" t="str">
        <f t="shared" si="30"/>
        <v>NGA</v>
      </c>
      <c r="C1959" s="3" t="s">
        <v>850</v>
      </c>
      <c r="D1959" s="3" t="s">
        <v>734</v>
      </c>
      <c r="E1959" s="3" t="s">
        <v>1403</v>
      </c>
      <c r="F1959" s="3" t="s">
        <v>6</v>
      </c>
      <c r="G1959" s="3">
        <v>2.0304228790602998</v>
      </c>
      <c r="I1959" s="3">
        <v>5.8473399067727598</v>
      </c>
    </row>
    <row r="1960" spans="1:16" x14ac:dyDescent="0.3">
      <c r="A1960" s="3" t="str">
        <f t="shared" si="30"/>
        <v>NGA</v>
      </c>
      <c r="C1960" s="3" t="s">
        <v>850</v>
      </c>
      <c r="D1960" s="3" t="s">
        <v>734</v>
      </c>
      <c r="E1960" s="3" t="s">
        <v>1403</v>
      </c>
      <c r="F1960" s="3" t="s">
        <v>7</v>
      </c>
      <c r="G1960" s="3">
        <v>0.35000339002747699</v>
      </c>
    </row>
    <row r="1961" spans="1:16" x14ac:dyDescent="0.3">
      <c r="A1961" s="3" t="str">
        <f t="shared" si="30"/>
        <v>NGA</v>
      </c>
      <c r="C1961" s="3" t="s">
        <v>850</v>
      </c>
      <c r="D1961" s="3" t="s">
        <v>734</v>
      </c>
      <c r="E1961" s="3" t="s">
        <v>1403</v>
      </c>
      <c r="F1961" s="3" t="s">
        <v>8</v>
      </c>
      <c r="G1961" s="3">
        <v>0.21946806717897299</v>
      </c>
    </row>
    <row r="1962" spans="1:16" x14ac:dyDescent="0.3">
      <c r="A1962" s="3" t="str">
        <f t="shared" si="30"/>
        <v>BIO</v>
      </c>
      <c r="C1962" s="3" t="s">
        <v>850</v>
      </c>
      <c r="D1962" s="3" t="s">
        <v>718</v>
      </c>
      <c r="E1962" s="3" t="s">
        <v>1382</v>
      </c>
      <c r="F1962" s="3" t="s">
        <v>0</v>
      </c>
      <c r="G1962" s="3">
        <v>0.12670424810497</v>
      </c>
      <c r="J1962" s="3">
        <v>8.5978406270771206</v>
      </c>
      <c r="K1962" s="3">
        <v>15.3842820680686</v>
      </c>
      <c r="L1962" s="3">
        <v>23.653086847777999</v>
      </c>
      <c r="M1962" s="3">
        <v>34.176859909644797</v>
      </c>
      <c r="N1962" s="3">
        <v>42.5090965218143</v>
      </c>
      <c r="O1962" s="3">
        <v>42.832276676067103</v>
      </c>
      <c r="P1962" s="3">
        <v>43.117241261880999</v>
      </c>
    </row>
    <row r="1963" spans="1:16" x14ac:dyDescent="0.3">
      <c r="A1963" s="3" t="str">
        <f t="shared" si="30"/>
        <v>BIO</v>
      </c>
      <c r="C1963" s="3" t="s">
        <v>850</v>
      </c>
      <c r="D1963" s="3" t="s">
        <v>718</v>
      </c>
      <c r="E1963" s="3" t="s">
        <v>1382</v>
      </c>
      <c r="F1963" s="3" t="s">
        <v>1</v>
      </c>
      <c r="G1963" s="3">
        <v>0.348774166515819</v>
      </c>
      <c r="J1963" s="3">
        <v>29.274796708416101</v>
      </c>
      <c r="K1963" s="3">
        <v>47.9557466886504</v>
      </c>
      <c r="L1963" s="3">
        <v>70.936369495904103</v>
      </c>
      <c r="M1963" s="3">
        <v>100.463051455011</v>
      </c>
      <c r="P1963" s="3">
        <v>5.2348318125853099</v>
      </c>
    </row>
    <row r="1964" spans="1:16" x14ac:dyDescent="0.3">
      <c r="A1964" s="3" t="str">
        <f t="shared" si="30"/>
        <v>BIO</v>
      </c>
      <c r="C1964" s="3" t="s">
        <v>850</v>
      </c>
      <c r="D1964" s="3" t="s">
        <v>718</v>
      </c>
      <c r="E1964" s="3" t="s">
        <v>1382</v>
      </c>
      <c r="F1964" s="3" t="s">
        <v>2</v>
      </c>
      <c r="G1964" s="3">
        <v>0.22677955010753501</v>
      </c>
      <c r="J1964" s="3">
        <v>30.113674261131699</v>
      </c>
      <c r="K1964" s="3">
        <v>49.643587659871798</v>
      </c>
      <c r="L1964" s="3">
        <v>73.649361513513</v>
      </c>
      <c r="M1964" s="3">
        <v>104.46898266632699</v>
      </c>
      <c r="N1964" s="3">
        <v>50.378669978658998</v>
      </c>
      <c r="P1964" s="3">
        <v>39.650686666123498</v>
      </c>
    </row>
    <row r="1965" spans="1:16" x14ac:dyDescent="0.3">
      <c r="A1965" s="3" t="str">
        <f t="shared" si="30"/>
        <v>BIO</v>
      </c>
      <c r="C1965" s="3" t="s">
        <v>850</v>
      </c>
      <c r="D1965" s="3" t="s">
        <v>718</v>
      </c>
      <c r="E1965" s="3" t="s">
        <v>1382</v>
      </c>
      <c r="F1965" s="3" t="s">
        <v>3</v>
      </c>
      <c r="G1965" s="3">
        <v>0.153603181589095</v>
      </c>
      <c r="K1965" s="3">
        <v>33.624782333493499</v>
      </c>
      <c r="L1965" s="3">
        <v>49.884463767199101</v>
      </c>
      <c r="M1965" s="3">
        <v>48.951047342615901</v>
      </c>
      <c r="P1965" s="3">
        <v>88.381417099909697</v>
      </c>
    </row>
    <row r="1966" spans="1:16" x14ac:dyDescent="0.3">
      <c r="A1966" s="3" t="str">
        <f t="shared" si="30"/>
        <v>BIO</v>
      </c>
      <c r="C1966" s="3" t="s">
        <v>850</v>
      </c>
      <c r="D1966" s="3" t="s">
        <v>718</v>
      </c>
      <c r="E1966" s="3" t="s">
        <v>1382</v>
      </c>
      <c r="F1966" s="3" t="s">
        <v>4</v>
      </c>
      <c r="J1966" s="3">
        <v>5.22659020688479</v>
      </c>
      <c r="K1966" s="3">
        <v>8.4316437974669505</v>
      </c>
      <c r="L1966" s="3">
        <v>12.382356542923199</v>
      </c>
      <c r="M1966" s="3">
        <v>17.468488508696201</v>
      </c>
      <c r="P1966" s="3">
        <v>9.1575867682404795</v>
      </c>
    </row>
    <row r="1967" spans="1:16" x14ac:dyDescent="0.3">
      <c r="A1967" s="3" t="str">
        <f t="shared" si="30"/>
        <v>BIO</v>
      </c>
      <c r="C1967" s="3" t="s">
        <v>850</v>
      </c>
      <c r="D1967" s="3" t="s">
        <v>718</v>
      </c>
      <c r="E1967" s="3" t="s">
        <v>1382</v>
      </c>
      <c r="F1967" s="3" t="s">
        <v>5</v>
      </c>
      <c r="H1967" s="3">
        <v>2.1612499812098598</v>
      </c>
      <c r="J1967" s="3">
        <v>4.5557346721223801</v>
      </c>
      <c r="K1967" s="3">
        <v>7.3494057254565304</v>
      </c>
      <c r="L1967" s="3">
        <v>10.793027345218601</v>
      </c>
      <c r="M1967" s="3">
        <v>15.2263322010179</v>
      </c>
    </row>
    <row r="1968" spans="1:16" x14ac:dyDescent="0.3">
      <c r="A1968" s="3" t="str">
        <f t="shared" si="30"/>
        <v>BIO</v>
      </c>
      <c r="C1968" s="3" t="s">
        <v>850</v>
      </c>
      <c r="D1968" s="3" t="s">
        <v>718</v>
      </c>
      <c r="E1968" s="3" t="s">
        <v>1382</v>
      </c>
      <c r="F1968" s="3" t="s">
        <v>6</v>
      </c>
      <c r="J1968" s="3">
        <v>30.5102472242883</v>
      </c>
      <c r="K1968" s="3">
        <v>25.531852834279999</v>
      </c>
      <c r="L1968" s="3">
        <v>37.495002468021198</v>
      </c>
      <c r="M1968" s="3">
        <v>10.2551447156786</v>
      </c>
    </row>
    <row r="1969" spans="1:16" x14ac:dyDescent="0.3">
      <c r="A1969" s="3" t="str">
        <f t="shared" si="30"/>
        <v>BIO</v>
      </c>
      <c r="C1969" s="3" t="s">
        <v>850</v>
      </c>
      <c r="D1969" s="3" t="s">
        <v>718</v>
      </c>
      <c r="E1969" s="3" t="s">
        <v>1382</v>
      </c>
      <c r="F1969" s="3" t="s">
        <v>7</v>
      </c>
      <c r="G1969" s="3">
        <v>0.11689369494902301</v>
      </c>
      <c r="H1969" s="3">
        <v>1.3867988827622499</v>
      </c>
      <c r="J1969" s="3">
        <v>1.50642435289431</v>
      </c>
      <c r="K1969" s="3">
        <v>1.5064673149371799</v>
      </c>
      <c r="L1969" s="3">
        <v>1.5654004470912899</v>
      </c>
      <c r="M1969" s="3">
        <v>1.71536914497517</v>
      </c>
    </row>
    <row r="1970" spans="1:16" x14ac:dyDescent="0.3">
      <c r="A1970" s="3" t="str">
        <f t="shared" si="30"/>
        <v>BIO</v>
      </c>
      <c r="C1970" s="3" t="s">
        <v>850</v>
      </c>
      <c r="D1970" s="3" t="s">
        <v>718</v>
      </c>
      <c r="E1970" s="3" t="s">
        <v>1382</v>
      </c>
      <c r="F1970" s="3" t="s">
        <v>8</v>
      </c>
      <c r="G1970" s="3">
        <v>7.3297670899291997E-2</v>
      </c>
      <c r="H1970" s="3">
        <v>0.869586064128961</v>
      </c>
      <c r="J1970" s="3">
        <v>0.94459668249239503</v>
      </c>
      <c r="K1970" s="3">
        <v>0.94462362165007097</v>
      </c>
      <c r="L1970" s="3">
        <v>0.981577379742677</v>
      </c>
      <c r="M1970" s="3">
        <v>1.07561458395187</v>
      </c>
      <c r="O1970" s="3">
        <v>0.18811468296985201</v>
      </c>
    </row>
    <row r="1971" spans="1:16" x14ac:dyDescent="0.3">
      <c r="A1971" s="3" t="str">
        <f t="shared" si="30"/>
        <v>COK</v>
      </c>
      <c r="C1971" s="3" t="s">
        <v>850</v>
      </c>
      <c r="D1971" s="3" t="s">
        <v>718</v>
      </c>
      <c r="E1971" s="3" t="s">
        <v>1381</v>
      </c>
      <c r="F1971" s="3" t="s">
        <v>0</v>
      </c>
      <c r="G1971" s="3">
        <v>32.494369388274201</v>
      </c>
      <c r="H1971" s="3">
        <v>33.285806945858802</v>
      </c>
      <c r="I1971" s="3">
        <v>25.209000358030899</v>
      </c>
      <c r="J1971" s="3">
        <v>27.5592047904283</v>
      </c>
      <c r="K1971" s="3">
        <v>20.773794520057699</v>
      </c>
      <c r="L1971" s="3">
        <v>13.9194968357747</v>
      </c>
      <c r="M1971" s="3">
        <v>6.99525733838676</v>
      </c>
    </row>
    <row r="1972" spans="1:16" x14ac:dyDescent="0.3">
      <c r="A1972" s="3" t="str">
        <f t="shared" si="30"/>
        <v>COK</v>
      </c>
      <c r="C1972" s="3" t="s">
        <v>850</v>
      </c>
      <c r="D1972" s="3" t="s">
        <v>718</v>
      </c>
      <c r="E1972" s="3" t="s">
        <v>1381</v>
      </c>
      <c r="F1972" s="3" t="s">
        <v>1</v>
      </c>
      <c r="G1972" s="3">
        <v>89.446066484395303</v>
      </c>
      <c r="H1972" s="3">
        <v>96.044932576225705</v>
      </c>
      <c r="I1972" s="3">
        <v>94.352390806324195</v>
      </c>
      <c r="J1972" s="3">
        <v>75.861218738753095</v>
      </c>
      <c r="K1972" s="3">
        <v>57.183267155347998</v>
      </c>
      <c r="L1972" s="3">
        <v>38.315691697999704</v>
      </c>
      <c r="M1972" s="3">
        <v>19.2555899604743</v>
      </c>
    </row>
    <row r="1973" spans="1:16" x14ac:dyDescent="0.3">
      <c r="A1973" s="3" t="str">
        <f t="shared" si="30"/>
        <v>COK</v>
      </c>
      <c r="C1973" s="3" t="s">
        <v>850</v>
      </c>
      <c r="D1973" s="3" t="s">
        <v>718</v>
      </c>
      <c r="E1973" s="3" t="s">
        <v>1381</v>
      </c>
      <c r="F1973" s="3" t="s">
        <v>2</v>
      </c>
      <c r="G1973" s="3">
        <v>92.821558117644997</v>
      </c>
      <c r="H1973" s="3">
        <v>100.563496163008</v>
      </c>
      <c r="I1973" s="3">
        <v>98.640344631856294</v>
      </c>
      <c r="J1973" s="3">
        <v>79.308819804507493</v>
      </c>
      <c r="K1973" s="3">
        <v>59.782027049609901</v>
      </c>
      <c r="L1973" s="3">
        <v>40.056992743900999</v>
      </c>
      <c r="M1973" s="3">
        <v>20.1306825779298</v>
      </c>
    </row>
    <row r="1974" spans="1:16" x14ac:dyDescent="0.3">
      <c r="A1974" s="3" t="str">
        <f t="shared" si="30"/>
        <v>COK</v>
      </c>
      <c r="C1974" s="3" t="s">
        <v>850</v>
      </c>
      <c r="D1974" s="3" t="s">
        <v>718</v>
      </c>
      <c r="E1974" s="3" t="s">
        <v>1381</v>
      </c>
      <c r="F1974" s="3" t="s">
        <v>3</v>
      </c>
      <c r="G1974" s="3">
        <v>62.870248398352601</v>
      </c>
      <c r="J1974" s="3">
        <v>53.717749436719799</v>
      </c>
      <c r="K1974" s="3">
        <v>40.491788401163802</v>
      </c>
      <c r="L1974" s="3">
        <v>27.1315536495107</v>
      </c>
      <c r="M1974" s="3">
        <v>13.634989971820501</v>
      </c>
    </row>
    <row r="1975" spans="1:16" x14ac:dyDescent="0.3">
      <c r="A1975" s="3" t="str">
        <f t="shared" si="30"/>
        <v>COK</v>
      </c>
      <c r="C1975" s="3" t="s">
        <v>850</v>
      </c>
      <c r="D1975" s="3" t="s">
        <v>718</v>
      </c>
      <c r="E1975" s="3" t="s">
        <v>1381</v>
      </c>
      <c r="F1975" s="3" t="s">
        <v>4</v>
      </c>
      <c r="G1975" s="3">
        <v>15.1100248167714</v>
      </c>
      <c r="H1975" s="3">
        <v>14.313825304192299</v>
      </c>
      <c r="J1975" s="3">
        <v>13.0153354326015</v>
      </c>
      <c r="K1975" s="3">
        <v>9.8108020874533892</v>
      </c>
      <c r="L1975" s="3">
        <v>6.5737354088520199</v>
      </c>
      <c r="M1975" s="3">
        <v>3.3036374376118598</v>
      </c>
    </row>
    <row r="1976" spans="1:16" x14ac:dyDescent="0.3">
      <c r="A1976" s="3" t="str">
        <f t="shared" si="30"/>
        <v>COK</v>
      </c>
      <c r="C1976" s="3" t="s">
        <v>850</v>
      </c>
      <c r="D1976" s="3" t="s">
        <v>718</v>
      </c>
      <c r="E1976" s="3" t="s">
        <v>1381</v>
      </c>
      <c r="F1976" s="3" t="s">
        <v>5</v>
      </c>
      <c r="G1976" s="3">
        <v>13.1705875589209</v>
      </c>
      <c r="H1976" s="3">
        <v>12.4765837090295</v>
      </c>
      <c r="J1976" s="3">
        <v>11.3447606474832</v>
      </c>
      <c r="K1976" s="3">
        <v>8.5515430638225993</v>
      </c>
      <c r="L1976" s="3">
        <v>5.7299679412415401</v>
      </c>
      <c r="M1976" s="3">
        <v>2.8796012357769998</v>
      </c>
    </row>
    <row r="1977" spans="1:16" x14ac:dyDescent="0.3">
      <c r="A1977" s="3" t="str">
        <f t="shared" si="30"/>
        <v>COK</v>
      </c>
      <c r="C1977" s="3" t="s">
        <v>850</v>
      </c>
      <c r="D1977" s="3" t="s">
        <v>718</v>
      </c>
      <c r="E1977" s="3" t="s">
        <v>1381</v>
      </c>
      <c r="F1977" s="3" t="s">
        <v>6</v>
      </c>
      <c r="G1977" s="3">
        <v>45.754652261285599</v>
      </c>
      <c r="H1977" s="3">
        <v>43.343681248966099</v>
      </c>
      <c r="J1977" s="3">
        <v>24.728111039987901</v>
      </c>
      <c r="K1977" s="3">
        <v>29.708080784717101</v>
      </c>
      <c r="L1977" s="3">
        <v>19.9059221501658</v>
      </c>
      <c r="M1977" s="3">
        <v>10.003741488731301</v>
      </c>
    </row>
    <row r="1978" spans="1:16" x14ac:dyDescent="0.3">
      <c r="A1978" s="3" t="str">
        <f t="shared" si="30"/>
        <v>NGA</v>
      </c>
      <c r="C1978" s="3" t="s">
        <v>850</v>
      </c>
      <c r="D1978" s="3" t="s">
        <v>718</v>
      </c>
      <c r="E1978" s="3" t="s">
        <v>1379</v>
      </c>
      <c r="F1978" s="3" t="s">
        <v>0</v>
      </c>
      <c r="G1978" s="3">
        <v>0.458172100645867</v>
      </c>
      <c r="I1978" s="3">
        <v>8.90305142316301</v>
      </c>
    </row>
    <row r="1979" spans="1:16" x14ac:dyDescent="0.3">
      <c r="A1979" s="3" t="str">
        <f t="shared" si="30"/>
        <v>NGA</v>
      </c>
      <c r="C1979" s="3" t="s">
        <v>850</v>
      </c>
      <c r="D1979" s="3" t="s">
        <v>718</v>
      </c>
      <c r="E1979" s="3" t="s">
        <v>1379</v>
      </c>
      <c r="F1979" s="3" t="s">
        <v>1</v>
      </c>
      <c r="G1979" s="3">
        <v>1.2611936451505299</v>
      </c>
      <c r="I1979" s="3">
        <v>4.8372736585136797</v>
      </c>
      <c r="N1979" s="3">
        <v>123.60625593000699</v>
      </c>
      <c r="O1979" s="3">
        <v>124.545986300601</v>
      </c>
      <c r="P1979" s="3">
        <v>120.13976315197201</v>
      </c>
    </row>
    <row r="1980" spans="1:16" x14ac:dyDescent="0.3">
      <c r="A1980" s="3" t="str">
        <f t="shared" si="30"/>
        <v>NGA</v>
      </c>
      <c r="C1980" s="3" t="s">
        <v>850</v>
      </c>
      <c r="D1980" s="3" t="s">
        <v>718</v>
      </c>
      <c r="E1980" s="3" t="s">
        <v>1379</v>
      </c>
      <c r="F1980" s="3" t="s">
        <v>2</v>
      </c>
      <c r="G1980" s="3">
        <v>4.6127920910942999</v>
      </c>
      <c r="I1980" s="3">
        <v>4.5933610123368602</v>
      </c>
      <c r="N1980" s="3">
        <v>78.267110902903397</v>
      </c>
      <c r="O1980" s="3">
        <v>129.62382480363999</v>
      </c>
      <c r="P1980" s="3">
        <v>90.835529832968206</v>
      </c>
    </row>
    <row r="1981" spans="1:16" x14ac:dyDescent="0.3">
      <c r="A1981" s="3" t="str">
        <f t="shared" si="30"/>
        <v>NGA</v>
      </c>
      <c r="C1981" s="3" t="s">
        <v>850</v>
      </c>
      <c r="D1981" s="3" t="s">
        <v>718</v>
      </c>
      <c r="E1981" s="3" t="s">
        <v>1379</v>
      </c>
      <c r="F1981" s="3" t="s">
        <v>3</v>
      </c>
      <c r="G1981" s="3">
        <v>3.1243537649894901</v>
      </c>
      <c r="H1981" s="3">
        <v>68.0592776843406</v>
      </c>
      <c r="I1981" s="3">
        <v>69.922643495240607</v>
      </c>
      <c r="J1981" s="3">
        <v>20.396707611661299</v>
      </c>
      <c r="M1981" s="3">
        <v>21.808278651790101</v>
      </c>
      <c r="N1981" s="3">
        <v>87.134846294789298</v>
      </c>
      <c r="O1981" s="3">
        <v>87.797298698869596</v>
      </c>
    </row>
    <row r="1982" spans="1:16" x14ac:dyDescent="0.3">
      <c r="A1982" s="3" t="str">
        <f t="shared" si="30"/>
        <v>NGA</v>
      </c>
      <c r="C1982" s="3" t="s">
        <v>850</v>
      </c>
      <c r="D1982" s="3" t="s">
        <v>718</v>
      </c>
      <c r="E1982" s="3" t="s">
        <v>1379</v>
      </c>
      <c r="F1982" s="3" t="s">
        <v>4</v>
      </c>
      <c r="G1982" s="3">
        <v>1.5790916189690301</v>
      </c>
      <c r="H1982" s="3">
        <v>2.4795052388691698</v>
      </c>
      <c r="I1982" s="3">
        <v>17.210186972345198</v>
      </c>
      <c r="N1982" s="3">
        <v>21.446657643056099</v>
      </c>
      <c r="O1982" s="3">
        <v>21.609708253911101</v>
      </c>
      <c r="P1982" s="3">
        <v>12.5958916063838</v>
      </c>
    </row>
    <row r="1983" spans="1:16" x14ac:dyDescent="0.3">
      <c r="A1983" s="3" t="str">
        <f t="shared" si="30"/>
        <v>NGA</v>
      </c>
      <c r="C1983" s="3" t="s">
        <v>850</v>
      </c>
      <c r="D1983" s="3" t="s">
        <v>718</v>
      </c>
      <c r="E1983" s="3" t="s">
        <v>1379</v>
      </c>
      <c r="F1983" s="3" t="s">
        <v>5</v>
      </c>
      <c r="G1983" s="3">
        <v>1.3764083569277401</v>
      </c>
      <c r="I1983" s="3">
        <v>15.0011847878026</v>
      </c>
      <c r="N1983" s="3">
        <v>18.693886063015999</v>
      </c>
      <c r="O1983" s="3">
        <v>18.8360084203809</v>
      </c>
      <c r="P1983" s="3">
        <v>18.961325022184798</v>
      </c>
    </row>
    <row r="1984" spans="1:16" x14ac:dyDescent="0.3">
      <c r="A1984" s="3" t="str">
        <f t="shared" si="30"/>
        <v>NGA</v>
      </c>
      <c r="C1984" s="3" t="s">
        <v>850</v>
      </c>
      <c r="D1984" s="3" t="s">
        <v>718</v>
      </c>
      <c r="E1984" s="3" t="s">
        <v>1379</v>
      </c>
      <c r="F1984" s="3" t="s">
        <v>6</v>
      </c>
      <c r="G1984" s="3">
        <v>4.4578812408050101</v>
      </c>
      <c r="H1984" s="3">
        <v>7.2491758236047898</v>
      </c>
      <c r="I1984" s="3">
        <v>52.1141513544923</v>
      </c>
      <c r="M1984" s="3">
        <v>42.641169283654598</v>
      </c>
      <c r="N1984" s="3">
        <v>64.942604299080799</v>
      </c>
      <c r="O1984" s="3">
        <v>65.436337703964597</v>
      </c>
      <c r="P1984" s="3">
        <v>65.871687874368803</v>
      </c>
    </row>
    <row r="1985" spans="1:16" x14ac:dyDescent="0.3">
      <c r="A1985" s="3" t="str">
        <f t="shared" si="30"/>
        <v>NGA</v>
      </c>
      <c r="C1985" s="3" t="s">
        <v>850</v>
      </c>
      <c r="D1985" s="3" t="s">
        <v>718</v>
      </c>
      <c r="E1985" s="3" t="s">
        <v>1379</v>
      </c>
      <c r="F1985" s="3" t="s">
        <v>7</v>
      </c>
      <c r="I1985" s="3">
        <v>1.4212230268544901</v>
      </c>
      <c r="N1985" s="3">
        <v>1.77107219929422</v>
      </c>
      <c r="O1985" s="3">
        <v>1.78453697356205</v>
      </c>
      <c r="P1985" s="3">
        <v>1.7964095584711799</v>
      </c>
    </row>
    <row r="1986" spans="1:16" x14ac:dyDescent="0.3">
      <c r="A1986" s="3" t="str">
        <f t="shared" si="30"/>
        <v>NGA</v>
      </c>
      <c r="C1986" s="3" t="s">
        <v>850</v>
      </c>
      <c r="D1986" s="3" t="s">
        <v>718</v>
      </c>
      <c r="E1986" s="3" t="s">
        <v>1379</v>
      </c>
      <c r="F1986" s="3" t="s">
        <v>8</v>
      </c>
      <c r="I1986" s="3">
        <v>0.89117157039397699</v>
      </c>
      <c r="N1986" s="3">
        <v>1.11054293612127</v>
      </c>
      <c r="O1986" s="3">
        <v>0.93087127989848195</v>
      </c>
      <c r="P1986" s="3">
        <v>1.1264306143679099</v>
      </c>
    </row>
    <row r="1987" spans="1:16" x14ac:dyDescent="0.3">
      <c r="A1987" s="3" t="str">
        <f t="shared" si="30"/>
        <v>PTC</v>
      </c>
      <c r="C1987" s="3" t="s">
        <v>850</v>
      </c>
      <c r="D1987" s="3" t="s">
        <v>718</v>
      </c>
      <c r="E1987" s="3" t="s">
        <v>1384</v>
      </c>
      <c r="F1987" s="3" t="s">
        <v>1</v>
      </c>
      <c r="G1987" s="3">
        <v>4.2027153080104798</v>
      </c>
    </row>
    <row r="1988" spans="1:16" x14ac:dyDescent="0.3">
      <c r="A1988" s="3" t="str">
        <f t="shared" si="30"/>
        <v>PTC</v>
      </c>
      <c r="C1988" s="3" t="s">
        <v>850</v>
      </c>
      <c r="D1988" s="3" t="s">
        <v>718</v>
      </c>
      <c r="E1988" s="3" t="s">
        <v>1384</v>
      </c>
      <c r="F1988" s="3" t="s">
        <v>2</v>
      </c>
      <c r="G1988" s="3">
        <v>2.2348140338651299</v>
      </c>
    </row>
    <row r="1989" spans="1:16" x14ac:dyDescent="0.3">
      <c r="A1989" s="3" t="str">
        <f t="shared" si="30"/>
        <v>PTC</v>
      </c>
      <c r="C1989" s="3" t="s">
        <v>850</v>
      </c>
      <c r="D1989" s="3" t="s">
        <v>718</v>
      </c>
      <c r="E1989" s="3" t="s">
        <v>1384</v>
      </c>
      <c r="F1989" s="3" t="s">
        <v>3</v>
      </c>
      <c r="G1989" s="3">
        <v>1.4452308866843999</v>
      </c>
    </row>
    <row r="1990" spans="1:16" x14ac:dyDescent="0.3">
      <c r="A1990" s="3" t="str">
        <f t="shared" si="30"/>
        <v>PTC</v>
      </c>
      <c r="C1990" s="3" t="s">
        <v>850</v>
      </c>
      <c r="D1990" s="3" t="s">
        <v>718</v>
      </c>
      <c r="E1990" s="3" t="s">
        <v>1384</v>
      </c>
      <c r="F1990" s="3" t="s">
        <v>7</v>
      </c>
      <c r="G1990" s="3">
        <v>1.2612991517901599</v>
      </c>
    </row>
    <row r="1991" spans="1:16" x14ac:dyDescent="0.3">
      <c r="A1991" s="3" t="str">
        <f t="shared" si="30"/>
        <v>PTC</v>
      </c>
      <c r="C1991" s="3" t="s">
        <v>850</v>
      </c>
      <c r="D1991" s="3" t="s">
        <v>718</v>
      </c>
      <c r="E1991" s="3" t="s">
        <v>1384</v>
      </c>
      <c r="F1991" s="3" t="s">
        <v>8</v>
      </c>
      <c r="G1991" s="3">
        <v>0.79089201666341502</v>
      </c>
    </row>
    <row r="1992" spans="1:16" x14ac:dyDescent="0.3">
      <c r="A1992" s="3" t="str">
        <f t="shared" ref="A1992:A2055" si="31">RIGHT(E1992,3)</f>
        <v>NGA</v>
      </c>
      <c r="C1992" s="3" t="s">
        <v>850</v>
      </c>
      <c r="D1992" s="3" t="s">
        <v>1263</v>
      </c>
      <c r="E1992" s="3" t="s">
        <v>1289</v>
      </c>
      <c r="F1992" s="3" t="s">
        <v>1</v>
      </c>
      <c r="G1992" s="3">
        <v>2.2053104109381181</v>
      </c>
      <c r="H1992" s="3">
        <v>1.77091058502163</v>
      </c>
      <c r="I1992" s="3">
        <v>3.3311281355680317E-2</v>
      </c>
      <c r="J1992" s="3">
        <v>3.3311281355680317E-2</v>
      </c>
      <c r="K1992" s="3">
        <v>3.3311281355680317E-2</v>
      </c>
      <c r="L1992" s="3">
        <v>3.3311281355680317E-2</v>
      </c>
      <c r="M1992" s="3">
        <v>3.3311281355680317E-2</v>
      </c>
      <c r="N1992" s="3">
        <v>3.3311281355680317E-2</v>
      </c>
      <c r="O1992" s="3">
        <v>3.3311281355680317E-2</v>
      </c>
      <c r="P1992" s="3">
        <v>3.3311281355680317E-2</v>
      </c>
    </row>
    <row r="1993" spans="1:16" x14ac:dyDescent="0.3">
      <c r="A1993" s="3" t="str">
        <f t="shared" si="31"/>
        <v>NGA</v>
      </c>
      <c r="C1993" s="3" t="s">
        <v>850</v>
      </c>
      <c r="D1993" s="3" t="s">
        <v>1263</v>
      </c>
      <c r="E1993" s="3" t="s">
        <v>1289</v>
      </c>
      <c r="F1993" s="3" t="s">
        <v>2</v>
      </c>
      <c r="G1993" s="3">
        <v>1.0712966648955555</v>
      </c>
      <c r="H1993" s="3">
        <v>1.4536849980309765</v>
      </c>
      <c r="I1993" s="3">
        <v>2.9832383305726662</v>
      </c>
      <c r="J1993" s="3">
        <v>2.9832383305726662</v>
      </c>
      <c r="K1993" s="3">
        <v>2.9832383305726662</v>
      </c>
      <c r="L1993" s="3">
        <v>2.9832383305726662</v>
      </c>
      <c r="M1993" s="3">
        <v>2.9832383305726662</v>
      </c>
      <c r="N1993" s="3">
        <v>2.9832383305726662</v>
      </c>
      <c r="O1993" s="3">
        <v>2.9832383305726662</v>
      </c>
      <c r="P1993" s="3">
        <v>2.9832383305726662</v>
      </c>
    </row>
    <row r="1994" spans="1:16" x14ac:dyDescent="0.3">
      <c r="A1994" s="3" t="str">
        <f t="shared" si="31"/>
        <v>NGA</v>
      </c>
      <c r="C1994" s="3" t="s">
        <v>850</v>
      </c>
      <c r="D1994" s="3" t="s">
        <v>1263</v>
      </c>
      <c r="E1994" s="3" t="s">
        <v>1290</v>
      </c>
      <c r="F1994" s="3" t="s">
        <v>2</v>
      </c>
      <c r="G1994" s="3">
        <v>2.5238045850252834E-2</v>
      </c>
      <c r="H1994" s="3">
        <v>0.75889029267768271</v>
      </c>
      <c r="I1994" s="3">
        <v>0.49789728024966612</v>
      </c>
      <c r="J1994" s="3">
        <v>0.49789728024966612</v>
      </c>
      <c r="K1994" s="3">
        <v>0.49789728024966612</v>
      </c>
      <c r="L1994" s="3">
        <v>0.49789728024966612</v>
      </c>
      <c r="M1994" s="3">
        <v>0.49789728024966612</v>
      </c>
      <c r="N1994" s="3">
        <v>8.2982880041611071E-2</v>
      </c>
    </row>
    <row r="1995" spans="1:16" x14ac:dyDescent="0.3">
      <c r="A1995" s="3" t="str">
        <f t="shared" si="31"/>
        <v>NGA</v>
      </c>
      <c r="C1995" s="3" t="s">
        <v>850</v>
      </c>
      <c r="D1995" s="3" t="s">
        <v>1263</v>
      </c>
      <c r="E1995" s="3" t="s">
        <v>1290</v>
      </c>
      <c r="F1995" s="3" t="s">
        <v>4</v>
      </c>
      <c r="H1995" s="3">
        <v>6.0108146239149278E-2</v>
      </c>
      <c r="I1995" s="3">
        <v>7.2245368075900609E-2</v>
      </c>
      <c r="J1995" s="3">
        <v>7.2245368075900609E-2</v>
      </c>
      <c r="K1995" s="3">
        <v>7.2245368075900609E-2</v>
      </c>
      <c r="L1995" s="3">
        <v>7.2245368075900609E-2</v>
      </c>
      <c r="M1995" s="3">
        <v>7.2245368075900609E-2</v>
      </c>
      <c r="N1995" s="3">
        <v>1.2040894679316747E-2</v>
      </c>
    </row>
    <row r="1996" spans="1:16" x14ac:dyDescent="0.3">
      <c r="A1996" s="3" t="str">
        <f t="shared" si="31"/>
        <v>NGA</v>
      </c>
      <c r="C1996" s="3" t="s">
        <v>850</v>
      </c>
      <c r="D1996" s="3" t="s">
        <v>1263</v>
      </c>
      <c r="E1996" s="3" t="s">
        <v>1290</v>
      </c>
      <c r="F1996" s="3" t="s">
        <v>8</v>
      </c>
      <c r="G1996" s="3">
        <v>2.4920663328860138</v>
      </c>
      <c r="H1996" s="3">
        <v>2.783356101047064</v>
      </c>
      <c r="I1996" s="3">
        <v>2.5426803614324953</v>
      </c>
      <c r="J1996" s="3">
        <v>1.6673338814425427</v>
      </c>
      <c r="K1996" s="3">
        <v>1.4396730943354679</v>
      </c>
      <c r="L1996" s="3">
        <v>1.3795917786997629</v>
      </c>
      <c r="M1996" s="3">
        <v>1.2170053603703974</v>
      </c>
      <c r="N1996" s="3">
        <v>0.74684592037449893</v>
      </c>
    </row>
    <row r="1997" spans="1:16" x14ac:dyDescent="0.3">
      <c r="A1997" s="3" t="str">
        <f t="shared" si="31"/>
        <v>NGA</v>
      </c>
      <c r="C1997" s="3" t="s">
        <v>850</v>
      </c>
      <c r="D1997" s="3" t="s">
        <v>1263</v>
      </c>
      <c r="E1997" s="3" t="s">
        <v>1291</v>
      </c>
      <c r="F1997" s="3" t="s">
        <v>2</v>
      </c>
      <c r="G1997" s="3">
        <v>4.9554355710427578E-4</v>
      </c>
      <c r="H1997" s="3">
        <v>6.4734297586280113E-4</v>
      </c>
      <c r="I1997" s="3">
        <v>1.254540650896901E-3</v>
      </c>
      <c r="J1997" s="3">
        <v>1.254540650896901E-3</v>
      </c>
      <c r="K1997" s="3">
        <v>1.254540650896901E-3</v>
      </c>
      <c r="L1997" s="3">
        <v>1.254540650896901E-3</v>
      </c>
      <c r="M1997" s="3">
        <v>1.254540650896901E-3</v>
      </c>
      <c r="N1997" s="3">
        <v>2.0909010848281707E-4</v>
      </c>
    </row>
    <row r="1998" spans="1:16" x14ac:dyDescent="0.3">
      <c r="A1998" s="3" t="str">
        <f t="shared" si="31"/>
        <v>NGA</v>
      </c>
      <c r="C1998" s="3" t="s">
        <v>850</v>
      </c>
      <c r="D1998" s="3" t="s">
        <v>1263</v>
      </c>
      <c r="E1998" s="3" t="s">
        <v>1292</v>
      </c>
      <c r="F1998" s="3" t="s">
        <v>0</v>
      </c>
      <c r="G1998" s="3">
        <v>7.3436360408783014E-3</v>
      </c>
      <c r="H1998" s="3">
        <v>5.8376993916605781E-3</v>
      </c>
      <c r="I1998" s="3">
        <v>9.2957418238965913E-3</v>
      </c>
      <c r="J1998" s="3">
        <v>6.3412601767517526E-3</v>
      </c>
      <c r="K1998" s="3">
        <v>6.3414410245265975E-3</v>
      </c>
      <c r="L1998" s="3">
        <v>6.5895187479777404E-3</v>
      </c>
      <c r="M1998" s="3">
        <v>7.2208086828642803E-3</v>
      </c>
      <c r="N1998" s="3">
        <v>1.5492903039827628E-3</v>
      </c>
    </row>
    <row r="1999" spans="1:16" x14ac:dyDescent="0.3">
      <c r="A1999" s="3" t="str">
        <f t="shared" si="31"/>
        <v>NGA</v>
      </c>
      <c r="C1999" s="3" t="s">
        <v>850</v>
      </c>
      <c r="D1999" s="3" t="s">
        <v>1263</v>
      </c>
      <c r="E1999" s="3" t="s">
        <v>1292</v>
      </c>
      <c r="F1999" s="3" t="s">
        <v>2</v>
      </c>
      <c r="H1999" s="3">
        <v>1.5782682779617498E-2</v>
      </c>
      <c r="J1999" s="3">
        <v>7.8471704313261368E-3</v>
      </c>
      <c r="K1999" s="3">
        <v>7.8471704313261368E-3</v>
      </c>
      <c r="L1999" s="3">
        <v>7.8471704313261368E-3</v>
      </c>
      <c r="M1999" s="3">
        <v>7.8471704313261368E-3</v>
      </c>
      <c r="N1999" s="3">
        <v>1.3078617385543585E-3</v>
      </c>
    </row>
    <row r="2000" spans="1:16" x14ac:dyDescent="0.3">
      <c r="A2000" s="3" t="str">
        <f t="shared" si="31"/>
        <v>NGA</v>
      </c>
      <c r="C2000" s="3" t="s">
        <v>850</v>
      </c>
      <c r="D2000" s="3" t="s">
        <v>1263</v>
      </c>
      <c r="E2000" s="3" t="s">
        <v>1293</v>
      </c>
      <c r="F2000" s="3" t="s">
        <v>0</v>
      </c>
      <c r="N2000" s="3">
        <v>5.9058183129661107E-3</v>
      </c>
      <c r="O2000" s="3">
        <v>7.5117882880442978E-3</v>
      </c>
      <c r="P2000" s="3">
        <v>7.5617656730584838E-3</v>
      </c>
    </row>
    <row r="2001" spans="1:16" x14ac:dyDescent="0.3">
      <c r="A2001" s="3" t="str">
        <f t="shared" si="31"/>
        <v>NGA</v>
      </c>
      <c r="C2001" s="3" t="s">
        <v>850</v>
      </c>
      <c r="D2001" s="3" t="s">
        <v>1263</v>
      </c>
      <c r="E2001" s="3" t="s">
        <v>1293</v>
      </c>
      <c r="F2001" s="3" t="s">
        <v>1</v>
      </c>
      <c r="H2001" s="3">
        <v>0.58337017867200358</v>
      </c>
      <c r="I2001" s="3">
        <v>2.3980540467573999</v>
      </c>
      <c r="J2001" s="3">
        <v>2.54381269696797</v>
      </c>
      <c r="K2001" s="3">
        <v>2.5438861945256779</v>
      </c>
      <c r="L2001" s="3">
        <v>2.6447063835383351</v>
      </c>
      <c r="M2001" s="3">
        <v>2.9012661812951657</v>
      </c>
      <c r="N2001" s="3">
        <v>2.9965604963901598</v>
      </c>
      <c r="O2001" s="3">
        <v>3.0195954350923198</v>
      </c>
      <c r="P2001" s="3">
        <v>3.0399065268475796</v>
      </c>
    </row>
    <row r="2002" spans="1:16" x14ac:dyDescent="0.3">
      <c r="A2002" s="3" t="str">
        <f t="shared" si="31"/>
        <v>NGA</v>
      </c>
      <c r="C2002" s="3" t="s">
        <v>850</v>
      </c>
      <c r="D2002" s="3" t="s">
        <v>1263</v>
      </c>
      <c r="E2002" s="3" t="s">
        <v>1293</v>
      </c>
      <c r="F2002" s="3" t="s">
        <v>2</v>
      </c>
      <c r="H2002" s="3">
        <v>5.8049864015968069</v>
      </c>
      <c r="I2002" s="3">
        <v>5.2868581850930072</v>
      </c>
      <c r="J2002" s="3">
        <v>5.8047213166552751</v>
      </c>
      <c r="K2002" s="3">
        <v>5.8049864015968069</v>
      </c>
      <c r="L2002" s="3">
        <v>6.1686163606855633</v>
      </c>
      <c r="M2002" s="3">
        <v>7.0939551214611392</v>
      </c>
      <c r="N2002" s="3">
        <v>7.860153972788817</v>
      </c>
      <c r="O2002" s="3">
        <v>8.0277343255523448</v>
      </c>
      <c r="P2002" s="3">
        <v>8.1009906994625744</v>
      </c>
    </row>
    <row r="2003" spans="1:16" x14ac:dyDescent="0.3">
      <c r="A2003" s="3" t="str">
        <f t="shared" si="31"/>
        <v>NGA</v>
      </c>
      <c r="C2003" s="3" t="s">
        <v>850</v>
      </c>
      <c r="D2003" s="3" t="s">
        <v>1263</v>
      </c>
      <c r="E2003" s="3" t="s">
        <v>1293</v>
      </c>
      <c r="F2003" s="3" t="s">
        <v>4</v>
      </c>
      <c r="H2003" s="3">
        <v>0.48440737113919863</v>
      </c>
      <c r="I2003" s="3">
        <v>0.48578651484304114</v>
      </c>
      <c r="J2003" s="3">
        <v>0.51924013577290506</v>
      </c>
      <c r="K2003" s="3">
        <v>0.51925700447628498</v>
      </c>
      <c r="L2003" s="3">
        <v>0.54239662864565763</v>
      </c>
      <c r="M2003" s="3">
        <v>0.60128064141335269</v>
      </c>
      <c r="N2003" s="3">
        <v>0.68335647468706295</v>
      </c>
      <c r="O2003" s="3">
        <v>0.70068420556012556</v>
      </c>
      <c r="P2003" s="3">
        <v>0.70534588130472708</v>
      </c>
    </row>
    <row r="2004" spans="1:16" x14ac:dyDescent="0.3">
      <c r="A2004" s="3" t="str">
        <f t="shared" si="31"/>
        <v>NGA</v>
      </c>
      <c r="C2004" s="3" t="s">
        <v>850</v>
      </c>
      <c r="D2004" s="3" t="s">
        <v>1263</v>
      </c>
      <c r="E2004" s="3" t="s">
        <v>1293</v>
      </c>
      <c r="F2004" s="3" t="s">
        <v>5</v>
      </c>
      <c r="H2004" s="3">
        <v>0.76948961270289606</v>
      </c>
      <c r="I2004" s="3">
        <v>0.76948961270289606</v>
      </c>
      <c r="J2004" s="3">
        <v>0.83586589683775991</v>
      </c>
      <c r="K2004" s="3">
        <v>0.83588973507943198</v>
      </c>
      <c r="L2004" s="3">
        <v>0.86858981408894742</v>
      </c>
      <c r="M2004" s="3">
        <v>0.95180256879089142</v>
      </c>
      <c r="N2004" s="3">
        <v>0.98271038262541066</v>
      </c>
      <c r="O2004" s="3">
        <v>0.9901815481024494</v>
      </c>
      <c r="P2004" s="3">
        <v>0.99676925946929829</v>
      </c>
    </row>
    <row r="2005" spans="1:16" x14ac:dyDescent="0.3">
      <c r="A2005" s="3" t="str">
        <f t="shared" si="31"/>
        <v>NGA</v>
      </c>
      <c r="C2005" s="3" t="s">
        <v>850</v>
      </c>
      <c r="D2005" s="3" t="s">
        <v>1263</v>
      </c>
      <c r="E2005" s="3" t="s">
        <v>1293</v>
      </c>
      <c r="F2005" s="3" t="s">
        <v>7</v>
      </c>
      <c r="H2005" s="3">
        <v>0.21900858207697951</v>
      </c>
      <c r="I2005" s="3">
        <v>0.22444497453486778</v>
      </c>
      <c r="J2005" s="3">
        <v>0.23790029371560772</v>
      </c>
      <c r="K2005" s="3">
        <v>0.23790707844568532</v>
      </c>
      <c r="L2005" s="3">
        <v>0.24721402400993309</v>
      </c>
      <c r="M2005" s="3">
        <v>0.27089765419433237</v>
      </c>
      <c r="N2005" s="3">
        <v>0.27969449351646375</v>
      </c>
      <c r="O2005" s="3">
        <v>0.28182090215223671</v>
      </c>
      <c r="P2005" s="3">
        <v>0.2836958661566476</v>
      </c>
    </row>
    <row r="2006" spans="1:16" x14ac:dyDescent="0.3">
      <c r="A2006" s="3" t="str">
        <f t="shared" si="31"/>
        <v>NGA</v>
      </c>
      <c r="C2006" s="3" t="s">
        <v>850</v>
      </c>
      <c r="D2006" s="3" t="s">
        <v>1263</v>
      </c>
      <c r="E2006" s="3" t="s">
        <v>1293</v>
      </c>
      <c r="F2006" s="3" t="s">
        <v>8</v>
      </c>
      <c r="H2006" s="3">
        <v>7.4919088361474874E-3</v>
      </c>
      <c r="I2006" s="3">
        <v>0.31744413491601331</v>
      </c>
      <c r="J2006" s="3">
        <v>1.3642530772523551</v>
      </c>
      <c r="K2006" s="3">
        <v>1.5920003228454718</v>
      </c>
      <c r="L2006" s="3">
        <v>1.7706809657757787</v>
      </c>
      <c r="M2006" s="3">
        <v>2.2350702246153324</v>
      </c>
      <c r="N2006" s="3">
        <v>2.81732865763975</v>
      </c>
      <c r="O2006" s="3">
        <v>3.591271613450334</v>
      </c>
      <c r="P2006" s="3">
        <v>3.6151644650942698</v>
      </c>
    </row>
    <row r="2007" spans="1:16" x14ac:dyDescent="0.3">
      <c r="A2007" s="3" t="str">
        <f t="shared" si="31"/>
        <v>ELC</v>
      </c>
      <c r="C2007" s="3" t="s">
        <v>850</v>
      </c>
      <c r="D2007" s="3" t="s">
        <v>748</v>
      </c>
      <c r="E2007" s="3" t="s">
        <v>1395</v>
      </c>
      <c r="F2007" s="3" t="s">
        <v>0</v>
      </c>
      <c r="G2007" s="3">
        <v>1.2996500595707099</v>
      </c>
      <c r="H2007" s="3">
        <v>1.25632839091835</v>
      </c>
      <c r="J2007" s="3">
        <v>0.124687545797046</v>
      </c>
      <c r="K2007" s="3">
        <v>0.15707853014882478</v>
      </c>
      <c r="L2007" s="3">
        <v>0.25329601314481587</v>
      </c>
      <c r="M2007" s="3">
        <v>0.4481799017845659</v>
      </c>
      <c r="N2007" s="3">
        <v>0.56282922157239901</v>
      </c>
      <c r="O2007" s="3">
        <v>1.9341215436879788</v>
      </c>
      <c r="P2007" s="3">
        <v>1.946989319807054</v>
      </c>
    </row>
    <row r="2008" spans="1:16" x14ac:dyDescent="0.3">
      <c r="A2008" s="3" t="str">
        <f t="shared" si="31"/>
        <v>ELC</v>
      </c>
      <c r="C2008" s="3" t="s">
        <v>850</v>
      </c>
      <c r="D2008" s="3" t="s">
        <v>748</v>
      </c>
      <c r="E2008" s="3" t="s">
        <v>1395</v>
      </c>
      <c r="F2008" s="3" t="s">
        <v>1</v>
      </c>
      <c r="G2008" s="3">
        <v>3.5774993582968002</v>
      </c>
      <c r="H2008" s="3">
        <v>4.1056470882898619</v>
      </c>
      <c r="I2008" s="3">
        <v>3.7949088656404681</v>
      </c>
      <c r="J2008" s="3">
        <v>4.1381317292041002</v>
      </c>
      <c r="K2008" s="3">
        <v>4.2272932114660042</v>
      </c>
      <c r="L2008" s="3">
        <v>4.4921475706377256</v>
      </c>
      <c r="M2008" s="3">
        <v>5.028597349112248</v>
      </c>
      <c r="N2008" s="3">
        <v>5.2838150971753075</v>
      </c>
      <c r="O2008" s="3">
        <v>5.3239858917848171</v>
      </c>
      <c r="P2008" s="3">
        <v>5.3594065501918235</v>
      </c>
    </row>
    <row r="2009" spans="1:16" x14ac:dyDescent="0.3">
      <c r="A2009" s="3" t="str">
        <f t="shared" si="31"/>
        <v>ELC</v>
      </c>
      <c r="C2009" s="3" t="s">
        <v>850</v>
      </c>
      <c r="D2009" s="3" t="s">
        <v>748</v>
      </c>
      <c r="E2009" s="3" t="s">
        <v>1395</v>
      </c>
      <c r="F2009" s="3" t="s">
        <v>2</v>
      </c>
      <c r="G2009" s="3">
        <v>9.7407851524281401</v>
      </c>
      <c r="H2009" s="3">
        <v>11.837111758776409</v>
      </c>
      <c r="I2009" s="3">
        <v>10.538340405119321</v>
      </c>
      <c r="J2009" s="3">
        <v>11.7102495725717</v>
      </c>
      <c r="K2009" s="3">
        <v>12.126206625419906</v>
      </c>
      <c r="L2009" s="3">
        <v>13.064932629378905</v>
      </c>
      <c r="M2009" s="3">
        <v>14.811782758644917</v>
      </c>
      <c r="N2009" s="3">
        <v>15.721835311692617</v>
      </c>
      <c r="O2009" s="3">
        <v>15.841362321168781</v>
      </c>
      <c r="P2009" s="3">
        <v>15.946755441076482</v>
      </c>
    </row>
    <row r="2010" spans="1:16" x14ac:dyDescent="0.3">
      <c r="A2010" s="3" t="str">
        <f t="shared" si="31"/>
        <v>ELC</v>
      </c>
      <c r="C2010" s="3" t="s">
        <v>850</v>
      </c>
      <c r="D2010" s="3" t="s">
        <v>748</v>
      </c>
      <c r="E2010" s="3" t="s">
        <v>1395</v>
      </c>
      <c r="F2010" s="3" t="s">
        <v>3</v>
      </c>
      <c r="G2010" s="3">
        <v>6.5976653974280302</v>
      </c>
      <c r="H2010" s="3">
        <v>6.6849626690787955</v>
      </c>
      <c r="I2010" s="3">
        <v>7.1378685341234656</v>
      </c>
      <c r="J2010" s="3">
        <v>7.9316304785702103</v>
      </c>
      <c r="K2010" s="3">
        <v>8.2133680809757568</v>
      </c>
      <c r="L2010" s="3">
        <v>8.8491895242238279</v>
      </c>
      <c r="M2010" s="3">
        <v>10.032372652893697</v>
      </c>
      <c r="N2010" s="3">
        <v>10.648772886050148</v>
      </c>
      <c r="O2010" s="3">
        <v>10.72973137164848</v>
      </c>
      <c r="P2010" s="3">
        <v>10.80111663777031</v>
      </c>
    </row>
    <row r="2011" spans="1:16" x14ac:dyDescent="0.3">
      <c r="A2011" s="3" t="str">
        <f t="shared" si="31"/>
        <v>ELC</v>
      </c>
      <c r="C2011" s="3" t="s">
        <v>850</v>
      </c>
      <c r="D2011" s="3" t="s">
        <v>748</v>
      </c>
      <c r="E2011" s="3" t="s">
        <v>1395</v>
      </c>
      <c r="F2011" s="3" t="s">
        <v>4</v>
      </c>
      <c r="G2011" s="3">
        <v>3.7824761832300799</v>
      </c>
      <c r="H2011" s="3">
        <v>3.8187011473480936</v>
      </c>
      <c r="I2011" s="3">
        <v>3.9636010038201097</v>
      </c>
      <c r="J2011" s="3">
        <v>4.2702110812176999</v>
      </c>
      <c r="K2011" s="3">
        <v>4.323422325332495</v>
      </c>
      <c r="L2011" s="3">
        <v>4.5518682698056701</v>
      </c>
      <c r="M2011" s="3">
        <v>5.0512013598326106</v>
      </c>
      <c r="N2011" s="3">
        <v>5.270035823807552</v>
      </c>
      <c r="O2011" s="3">
        <v>5.3101018599517937</v>
      </c>
      <c r="P2011" s="3">
        <v>5.3454301474249091</v>
      </c>
    </row>
    <row r="2012" spans="1:16" x14ac:dyDescent="0.3">
      <c r="A2012" s="3" t="str">
        <f t="shared" si="31"/>
        <v>ELC</v>
      </c>
      <c r="C2012" s="3" t="s">
        <v>850</v>
      </c>
      <c r="D2012" s="3" t="s">
        <v>748</v>
      </c>
      <c r="E2012" s="3" t="s">
        <v>1395</v>
      </c>
      <c r="F2012" s="3" t="s">
        <v>5</v>
      </c>
      <c r="G2012" s="3">
        <v>3.2969789503899198</v>
      </c>
      <c r="H2012" s="3">
        <v>3.5969198191344001</v>
      </c>
      <c r="I2012" s="3">
        <v>3.4548556142341007</v>
      </c>
      <c r="J2012" s="3">
        <v>3.72211095760917</v>
      </c>
      <c r="K2012" s="3">
        <v>3.76849230762229</v>
      </c>
      <c r="L2012" s="3">
        <v>3.967616223740845</v>
      </c>
      <c r="M2012" s="3">
        <v>4.40285774471882</v>
      </c>
      <c r="N2012" s="3">
        <v>4.5936038555718204</v>
      </c>
      <c r="O2012" s="3">
        <v>4.6285272421033126</v>
      </c>
      <c r="P2012" s="3">
        <v>4.6593209905659183</v>
      </c>
    </row>
    <row r="2013" spans="1:16" x14ac:dyDescent="0.3">
      <c r="A2013" s="3" t="str">
        <f t="shared" si="31"/>
        <v>ELC</v>
      </c>
      <c r="C2013" s="3" t="s">
        <v>850</v>
      </c>
      <c r="D2013" s="3" t="s">
        <v>748</v>
      </c>
      <c r="E2013" s="3" t="s">
        <v>1395</v>
      </c>
      <c r="F2013" s="3" t="s">
        <v>6</v>
      </c>
      <c r="G2013" s="3">
        <v>11.4537126542766</v>
      </c>
      <c r="H2013" s="3">
        <v>11.499759107224126</v>
      </c>
      <c r="I2013" s="3">
        <v>12.002176557048255</v>
      </c>
      <c r="J2013" s="3">
        <v>12.9306222506358</v>
      </c>
      <c r="K2013" s="3">
        <v>13.091751170037785</v>
      </c>
      <c r="L2013" s="3">
        <v>13.783508124551153</v>
      </c>
      <c r="M2013" s="3">
        <v>15.295538195565745</v>
      </c>
      <c r="N2013" s="3">
        <v>15.958190634815645</v>
      </c>
      <c r="O2013" s="3">
        <v>16.079514562042629</v>
      </c>
      <c r="P2013" s="3">
        <v>16.186492116872657</v>
      </c>
    </row>
    <row r="2014" spans="1:16" x14ac:dyDescent="0.3">
      <c r="A2014" s="3" t="str">
        <f t="shared" si="31"/>
        <v>ELC</v>
      </c>
      <c r="C2014" s="3" t="s">
        <v>850</v>
      </c>
      <c r="D2014" s="3" t="s">
        <v>748</v>
      </c>
      <c r="E2014" s="3" t="s">
        <v>1395</v>
      </c>
      <c r="F2014" s="3" t="s">
        <v>7</v>
      </c>
      <c r="G2014" s="3">
        <v>1.4987747044408299</v>
      </c>
      <c r="H2014" s="3">
        <v>1.5147135738303961</v>
      </c>
      <c r="I2014" s="3">
        <v>1.5784690513886301</v>
      </c>
      <c r="J2014" s="3">
        <v>1.70911132471093</v>
      </c>
      <c r="K2014" s="3">
        <v>1.7368718298485062</v>
      </c>
      <c r="L2014" s="3">
        <v>1.8357788970543831</v>
      </c>
      <c r="M2014" s="3">
        <v>2.0446681143437133</v>
      </c>
      <c r="N2014" s="3">
        <v>2.1396728506046334</v>
      </c>
      <c r="O2014" s="3">
        <v>2.1559399525058964</v>
      </c>
      <c r="P2014" s="3">
        <v>2.1702834940095586</v>
      </c>
    </row>
    <row r="2015" spans="1:16" x14ac:dyDescent="0.3">
      <c r="A2015" s="3" t="str">
        <f t="shared" si="31"/>
        <v>ELC</v>
      </c>
      <c r="C2015" s="3" t="s">
        <v>850</v>
      </c>
      <c r="D2015" s="3" t="s">
        <v>748</v>
      </c>
      <c r="E2015" s="3" t="s">
        <v>1395</v>
      </c>
      <c r="F2015" s="3" t="s">
        <v>8</v>
      </c>
      <c r="G2015" s="3">
        <v>0.939800004492931</v>
      </c>
      <c r="H2015" s="3">
        <v>1.050566822415453</v>
      </c>
      <c r="I2015" s="3">
        <v>0.98977198987383586</v>
      </c>
      <c r="J2015" s="3">
        <v>1.1411888668940799</v>
      </c>
      <c r="K2015" s="3">
        <v>1.1412214127069051</v>
      </c>
      <c r="L2015" s="3">
        <v>1.1858660934545726</v>
      </c>
      <c r="M2015" s="3">
        <v>1.2994745916701429</v>
      </c>
      <c r="N2015" s="3">
        <v>1.3416723331755529</v>
      </c>
      <c r="O2015" s="3">
        <v>1.3518725469866077</v>
      </c>
      <c r="P2015" s="3">
        <v>1.3608666008158148</v>
      </c>
    </row>
    <row r="2016" spans="1:16" x14ac:dyDescent="0.3">
      <c r="A2016" s="3" t="str">
        <f t="shared" si="31"/>
        <v>NGA</v>
      </c>
      <c r="C2016" s="3" t="s">
        <v>850</v>
      </c>
      <c r="D2016" s="3" t="s">
        <v>748</v>
      </c>
      <c r="E2016" s="3" t="s">
        <v>1397</v>
      </c>
      <c r="F2016" s="3" t="s">
        <v>0</v>
      </c>
      <c r="G2016" s="3">
        <v>0.194066526706689</v>
      </c>
      <c r="H2016" s="3">
        <v>0.24671561189597149</v>
      </c>
      <c r="I2016" s="3">
        <v>1.5403536689620265</v>
      </c>
      <c r="J2016" s="3">
        <v>1.5080092478442446</v>
      </c>
      <c r="K2016" s="3">
        <v>1.4756648267264629</v>
      </c>
      <c r="L2016" s="3">
        <v>1.4433204056086815</v>
      </c>
      <c r="M2016" s="3">
        <v>1.4109759844909</v>
      </c>
      <c r="N2016" s="3">
        <v>1.3566988951492911</v>
      </c>
    </row>
    <row r="2017" spans="1:16" x14ac:dyDescent="0.3">
      <c r="A2017" s="3" t="str">
        <f t="shared" si="31"/>
        <v>NGA</v>
      </c>
      <c r="C2017" s="3" t="s">
        <v>850</v>
      </c>
      <c r="D2017" s="3" t="s">
        <v>748</v>
      </c>
      <c r="E2017" s="3" t="s">
        <v>1397</v>
      </c>
      <c r="F2017" s="3" t="s">
        <v>1</v>
      </c>
      <c r="G2017" s="3">
        <v>0.49454064897476802</v>
      </c>
      <c r="I2017" s="3">
        <v>0.44516654672245298</v>
      </c>
      <c r="J2017" s="3">
        <v>0.35613323737796299</v>
      </c>
      <c r="K2017" s="3">
        <v>0.26709992803347199</v>
      </c>
      <c r="L2017" s="3">
        <v>0.17806661868898099</v>
      </c>
      <c r="M2017" s="3">
        <v>8.9033309344490705E-2</v>
      </c>
    </row>
    <row r="2018" spans="1:16" x14ac:dyDescent="0.3">
      <c r="A2018" s="3" t="str">
        <f t="shared" si="31"/>
        <v>NGA</v>
      </c>
      <c r="C2018" s="3" t="s">
        <v>850</v>
      </c>
      <c r="D2018" s="3" t="s">
        <v>748</v>
      </c>
      <c r="E2018" s="3" t="s">
        <v>1397</v>
      </c>
      <c r="F2018" s="3" t="s">
        <v>2</v>
      </c>
      <c r="G2018" s="3">
        <v>2.4675248741637499</v>
      </c>
      <c r="H2018" s="3">
        <v>0.45278002164996201</v>
      </c>
      <c r="I2018" s="3">
        <v>2.0778783906450999</v>
      </c>
      <c r="J2018" s="3">
        <v>1.6623027125160801</v>
      </c>
      <c r="K2018" s="3">
        <v>1.24672703438706</v>
      </c>
      <c r="L2018" s="3">
        <v>0.83115135625804004</v>
      </c>
      <c r="M2018" s="3">
        <v>0.41557567812902002</v>
      </c>
    </row>
    <row r="2019" spans="1:16" x14ac:dyDescent="0.3">
      <c r="A2019" s="3" t="str">
        <f t="shared" si="31"/>
        <v>NGA</v>
      </c>
      <c r="C2019" s="3" t="s">
        <v>850</v>
      </c>
      <c r="D2019" s="3" t="s">
        <v>748</v>
      </c>
      <c r="E2019" s="3" t="s">
        <v>1397</v>
      </c>
      <c r="F2019" s="3" t="s">
        <v>3</v>
      </c>
      <c r="G2019" s="3">
        <v>1.66294653482979</v>
      </c>
      <c r="H2019" s="3">
        <v>1.63257987179217</v>
      </c>
      <c r="I2019" s="3">
        <v>1.4073964412001501</v>
      </c>
      <c r="J2019" s="3">
        <v>1.12591715296012</v>
      </c>
      <c r="K2019" s="3">
        <v>0.84443786472008997</v>
      </c>
      <c r="L2019" s="3">
        <v>0.56295857648005998</v>
      </c>
      <c r="M2019" s="3">
        <v>0.28147928824002999</v>
      </c>
    </row>
    <row r="2020" spans="1:16" x14ac:dyDescent="0.3">
      <c r="A2020" s="3" t="str">
        <f t="shared" si="31"/>
        <v>NGA</v>
      </c>
      <c r="C2020" s="3" t="s">
        <v>850</v>
      </c>
      <c r="D2020" s="3" t="s">
        <v>748</v>
      </c>
      <c r="E2020" s="3" t="s">
        <v>1397</v>
      </c>
      <c r="F2020" s="3" t="s">
        <v>4</v>
      </c>
      <c r="G2020" s="3">
        <v>0.31850043270076001</v>
      </c>
      <c r="H2020" s="3">
        <v>0.307883751610735</v>
      </c>
      <c r="I2020" s="3">
        <v>0.26541702725063299</v>
      </c>
      <c r="J2020" s="3">
        <v>0.21233362180050699</v>
      </c>
      <c r="K2020" s="3">
        <v>0.15925021635038</v>
      </c>
      <c r="L2020" s="3">
        <v>0.106166810900253</v>
      </c>
      <c r="M2020" s="3">
        <v>5.30834054501267E-2</v>
      </c>
    </row>
    <row r="2021" spans="1:16" x14ac:dyDescent="0.3">
      <c r="A2021" s="3" t="str">
        <f t="shared" si="31"/>
        <v>NGA</v>
      </c>
      <c r="C2021" s="3" t="s">
        <v>850</v>
      </c>
      <c r="D2021" s="3" t="s">
        <v>748</v>
      </c>
      <c r="E2021" s="3" t="s">
        <v>1397</v>
      </c>
      <c r="F2021" s="3" t="s">
        <v>5</v>
      </c>
      <c r="G2021" s="3">
        <v>0.27761951997480999</v>
      </c>
      <c r="I2021" s="3">
        <v>0.231349599979008</v>
      </c>
      <c r="J2021" s="3">
        <v>0.18507967998320701</v>
      </c>
      <c r="K2021" s="3">
        <v>0.138809759987405</v>
      </c>
      <c r="L2021" s="3">
        <v>9.2539839991603298E-2</v>
      </c>
      <c r="M2021" s="3">
        <v>4.6269919995801698E-2</v>
      </c>
    </row>
    <row r="2022" spans="1:16" x14ac:dyDescent="0.3">
      <c r="A2022" s="3" t="str">
        <f t="shared" si="31"/>
        <v>NGA</v>
      </c>
      <c r="C2022" s="3" t="s">
        <v>850</v>
      </c>
      <c r="D2022" s="3" t="s">
        <v>748</v>
      </c>
      <c r="E2022" s="3" t="s">
        <v>1397</v>
      </c>
      <c r="F2022" s="3" t="s">
        <v>6</v>
      </c>
      <c r="G2022" s="3">
        <v>0.88489295804511903</v>
      </c>
      <c r="H2022" s="3">
        <v>0.93230250530185699</v>
      </c>
      <c r="I2022" s="3">
        <v>0.80370905629470402</v>
      </c>
      <c r="J2022" s="3">
        <v>0.64296724503576297</v>
      </c>
      <c r="K2022" s="3">
        <v>0.48222543377682198</v>
      </c>
      <c r="L2022" s="3">
        <v>0.32148362251788198</v>
      </c>
      <c r="M2022" s="3">
        <v>0.16074181125894099</v>
      </c>
    </row>
    <row r="2023" spans="1:16" x14ac:dyDescent="0.3">
      <c r="A2023" s="3" t="str">
        <f t="shared" si="31"/>
        <v>NGA</v>
      </c>
      <c r="C2023" s="3" t="s">
        <v>850</v>
      </c>
      <c r="D2023" s="3" t="s">
        <v>748</v>
      </c>
      <c r="E2023" s="3" t="s">
        <v>1397</v>
      </c>
      <c r="F2023" s="3" t="s">
        <v>7</v>
      </c>
      <c r="G2023" s="3">
        <v>0.16625161026305199</v>
      </c>
      <c r="H2023" s="3">
        <v>0.16070988992095001</v>
      </c>
      <c r="I2023" s="3">
        <v>0.13854300855254301</v>
      </c>
      <c r="J2023" s="3">
        <v>0.11083440684203499</v>
      </c>
      <c r="K2023" s="3">
        <v>8.3125805131525995E-2</v>
      </c>
      <c r="L2023" s="3">
        <v>5.5417203421017303E-2</v>
      </c>
      <c r="M2023" s="3">
        <v>2.77086017105087E-2</v>
      </c>
    </row>
    <row r="2024" spans="1:16" x14ac:dyDescent="0.3">
      <c r="A2024" s="3" t="str">
        <f t="shared" si="31"/>
        <v>NGA</v>
      </c>
      <c r="C2024" s="3" t="s">
        <v>850</v>
      </c>
      <c r="D2024" s="3" t="s">
        <v>748</v>
      </c>
      <c r="E2024" s="3" t="s">
        <v>1397</v>
      </c>
      <c r="F2024" s="3" t="s">
        <v>8</v>
      </c>
      <c r="G2024" s="3">
        <v>0.10424733191001199</v>
      </c>
      <c r="I2024" s="3">
        <v>8.6872776591676706E-2</v>
      </c>
    </row>
    <row r="2025" spans="1:16" x14ac:dyDescent="0.3">
      <c r="A2025" s="3" t="str">
        <f t="shared" si="31"/>
        <v>BIO</v>
      </c>
      <c r="C2025" s="3" t="s">
        <v>850</v>
      </c>
      <c r="D2025" s="3" t="s">
        <v>764</v>
      </c>
      <c r="E2025" s="3" t="s">
        <v>1408</v>
      </c>
      <c r="F2025" s="3" t="s">
        <v>0</v>
      </c>
      <c r="H2025" s="3">
        <v>0.48491796629557399</v>
      </c>
      <c r="J2025" s="3">
        <v>0.52674705947889899</v>
      </c>
      <c r="K2025" s="3">
        <v>0.52676208189254203</v>
      </c>
      <c r="L2025" s="3">
        <v>0.54736906027045895</v>
      </c>
      <c r="M2025" s="3">
        <v>0.59980818240257106</v>
      </c>
      <c r="N2025" s="3">
        <v>0.61928570877830902</v>
      </c>
      <c r="O2025" s="3">
        <v>0.62399389756887302</v>
      </c>
      <c r="P2025" s="3">
        <v>0.62814535009769101</v>
      </c>
    </row>
    <row r="2026" spans="1:16" x14ac:dyDescent="0.3">
      <c r="A2026" s="3" t="str">
        <f t="shared" si="31"/>
        <v>BIO</v>
      </c>
      <c r="C2026" s="3" t="s">
        <v>850</v>
      </c>
      <c r="D2026" s="3" t="s">
        <v>764</v>
      </c>
      <c r="E2026" s="3" t="s">
        <v>1408</v>
      </c>
      <c r="F2026" s="3" t="s">
        <v>1</v>
      </c>
      <c r="H2026" s="3">
        <v>1.32458000740701</v>
      </c>
      <c r="J2026" s="3">
        <v>1.4499574353829801</v>
      </c>
      <c r="K2026" s="3">
        <v>1.44999878703358</v>
      </c>
      <c r="L2026" s="3">
        <v>1.5067228654734199</v>
      </c>
      <c r="M2026" s="3">
        <v>1.65107012602697</v>
      </c>
    </row>
    <row r="2027" spans="1:16" x14ac:dyDescent="0.3">
      <c r="A2027" s="3" t="str">
        <f t="shared" si="31"/>
        <v>BIO</v>
      </c>
      <c r="C2027" s="3" t="s">
        <v>850</v>
      </c>
      <c r="D2027" s="3" t="s">
        <v>764</v>
      </c>
      <c r="E2027" s="3" t="s">
        <v>1408</v>
      </c>
      <c r="F2027" s="3" t="s">
        <v>2</v>
      </c>
      <c r="G2027" s="3">
        <v>1.1905926380645599</v>
      </c>
      <c r="J2027" s="3">
        <v>18.5490792357426</v>
      </c>
      <c r="K2027" s="3">
        <v>18.549608240956701</v>
      </c>
      <c r="L2027" s="3">
        <v>19.275270525848001</v>
      </c>
      <c r="M2027" s="3">
        <v>21.121882507780299</v>
      </c>
      <c r="N2027" s="3">
        <v>21.807771823265501</v>
      </c>
      <c r="O2027" s="3">
        <v>21.973567845020899</v>
      </c>
      <c r="P2027" s="3">
        <v>3.3999578223275502</v>
      </c>
    </row>
    <row r="2028" spans="1:16" x14ac:dyDescent="0.3">
      <c r="A2028" s="3" t="str">
        <f t="shared" si="31"/>
        <v>BIO</v>
      </c>
      <c r="C2028" s="3" t="s">
        <v>850</v>
      </c>
      <c r="D2028" s="3" t="s">
        <v>764</v>
      </c>
      <c r="E2028" s="3" t="s">
        <v>1408</v>
      </c>
      <c r="F2028" s="3" t="s">
        <v>3</v>
      </c>
      <c r="G2028" s="3">
        <v>0.80641670334275095</v>
      </c>
      <c r="H2028" s="3">
        <v>0.64912651147997902</v>
      </c>
      <c r="J2028" s="3">
        <v>12.5637324212313</v>
      </c>
      <c r="K2028" s="3">
        <v>12.5640907290413</v>
      </c>
      <c r="L2028" s="3">
        <v>13.0555990491948</v>
      </c>
      <c r="M2028" s="3">
        <v>14.3063532527852</v>
      </c>
      <c r="N2028" s="3">
        <v>0.62985621387518298</v>
      </c>
      <c r="O2028" s="3">
        <v>0.68745091049338902</v>
      </c>
      <c r="P2028" s="3">
        <v>0.78646947698165404</v>
      </c>
    </row>
    <row r="2029" spans="1:16" x14ac:dyDescent="0.3">
      <c r="A2029" s="3" t="str">
        <f t="shared" si="31"/>
        <v>BIO</v>
      </c>
      <c r="C2029" s="3" t="s">
        <v>850</v>
      </c>
      <c r="D2029" s="3" t="s">
        <v>764</v>
      </c>
      <c r="E2029" s="3" t="s">
        <v>1408</v>
      </c>
      <c r="F2029" s="3" t="s">
        <v>4</v>
      </c>
      <c r="G2029" s="3">
        <v>3.8816586555001503E-2</v>
      </c>
      <c r="H2029" s="3">
        <v>1.0373789166787299</v>
      </c>
      <c r="J2029" s="3">
        <v>1.12686337052081</v>
      </c>
      <c r="K2029" s="3">
        <v>1.12689550778169</v>
      </c>
      <c r="L2029" s="3">
        <v>1.1709797578848899</v>
      </c>
      <c r="M2029" s="3">
        <v>1.2656585256158499</v>
      </c>
    </row>
    <row r="2030" spans="1:16" x14ac:dyDescent="0.3">
      <c r="A2030" s="3" t="str">
        <f t="shared" si="31"/>
        <v>BIO</v>
      </c>
      <c r="C2030" s="3" t="s">
        <v>850</v>
      </c>
      <c r="D2030" s="3" t="s">
        <v>764</v>
      </c>
      <c r="E2030" s="3" t="s">
        <v>1408</v>
      </c>
      <c r="F2030" s="3" t="s">
        <v>5</v>
      </c>
      <c r="G2030" s="3">
        <v>3.3834309219242902E-2</v>
      </c>
      <c r="J2030" s="3">
        <v>0.98222556669216199</v>
      </c>
      <c r="K2030" s="3">
        <v>0.98225357899609</v>
      </c>
      <c r="L2030" s="3">
        <v>1.02067942428716</v>
      </c>
      <c r="M2030" s="3">
        <v>1.1184626876697901</v>
      </c>
      <c r="N2030" s="3">
        <v>0.14656737899778</v>
      </c>
    </row>
    <row r="2031" spans="1:16" x14ac:dyDescent="0.3">
      <c r="A2031" s="3" t="str">
        <f t="shared" si="31"/>
        <v>BIO</v>
      </c>
      <c r="C2031" s="3" t="s">
        <v>850</v>
      </c>
      <c r="D2031" s="3" t="s">
        <v>764</v>
      </c>
      <c r="E2031" s="3" t="s">
        <v>1408</v>
      </c>
      <c r="F2031" s="3" t="s">
        <v>6</v>
      </c>
      <c r="G2031" s="3">
        <v>0.11754047007407099</v>
      </c>
      <c r="H2031" s="3">
        <v>3.1252861442253099</v>
      </c>
      <c r="J2031" s="3">
        <v>3.4122539366667102</v>
      </c>
      <c r="K2031" s="3">
        <v>3.4123512514768701</v>
      </c>
      <c r="L2031" s="3">
        <v>3.5458427287001499</v>
      </c>
      <c r="M2031" s="3">
        <v>3.8855420164525198</v>
      </c>
    </row>
    <row r="2032" spans="1:16" x14ac:dyDescent="0.3">
      <c r="A2032" s="3" t="str">
        <f t="shared" si="31"/>
        <v>BIO</v>
      </c>
      <c r="C2032" s="3" t="s">
        <v>850</v>
      </c>
      <c r="D2032" s="3" t="s">
        <v>764</v>
      </c>
      <c r="E2032" s="3" t="s">
        <v>1408</v>
      </c>
      <c r="F2032" s="3" t="s">
        <v>7</v>
      </c>
      <c r="H2032" s="3">
        <v>0.193126521494631</v>
      </c>
      <c r="J2032" s="3">
        <v>0.209785642882694</v>
      </c>
      <c r="K2032" s="3">
        <v>0.20979162580494601</v>
      </c>
      <c r="L2032" s="3">
        <v>0.21799869242086201</v>
      </c>
      <c r="M2032" s="3">
        <v>0.238883431596385</v>
      </c>
    </row>
    <row r="2033" spans="1:13" x14ac:dyDescent="0.3">
      <c r="A2033" s="3" t="str">
        <f t="shared" si="31"/>
        <v>BIO</v>
      </c>
      <c r="C2033" s="3" t="s">
        <v>850</v>
      </c>
      <c r="D2033" s="3" t="s">
        <v>764</v>
      </c>
      <c r="E2033" s="3" t="s">
        <v>1408</v>
      </c>
      <c r="F2033" s="3" t="s">
        <v>8</v>
      </c>
      <c r="J2033" s="3">
        <v>0.131545153210511</v>
      </c>
      <c r="K2033" s="3">
        <v>0.13154890477526801</v>
      </c>
    </row>
    <row r="2034" spans="1:13" x14ac:dyDescent="0.3">
      <c r="A2034" s="3" t="str">
        <f t="shared" si="31"/>
        <v>ELC</v>
      </c>
      <c r="C2034" s="3" t="s">
        <v>850</v>
      </c>
      <c r="D2034" s="3" t="s">
        <v>764</v>
      </c>
      <c r="E2034" s="3" t="s">
        <v>1406</v>
      </c>
      <c r="F2034" s="3" t="s">
        <v>0</v>
      </c>
      <c r="G2034" s="3">
        <v>4.0236843949557601E-2</v>
      </c>
    </row>
    <row r="2035" spans="1:13" x14ac:dyDescent="0.3">
      <c r="A2035" s="3" t="str">
        <f t="shared" si="31"/>
        <v>ELC</v>
      </c>
      <c r="C2035" s="3" t="s">
        <v>850</v>
      </c>
      <c r="D2035" s="3" t="s">
        <v>764</v>
      </c>
      <c r="E2035" s="3" t="s">
        <v>1406</v>
      </c>
      <c r="F2035" s="3" t="s">
        <v>1</v>
      </c>
      <c r="G2035" s="3">
        <v>0.110758494064917</v>
      </c>
      <c r="I2035" s="3">
        <v>1.3679498019040299</v>
      </c>
    </row>
    <row r="2036" spans="1:13" x14ac:dyDescent="0.3">
      <c r="A2036" s="3" t="str">
        <f t="shared" si="31"/>
        <v>ELC</v>
      </c>
      <c r="C2036" s="3" t="s">
        <v>850</v>
      </c>
      <c r="D2036" s="3" t="s">
        <v>764</v>
      </c>
      <c r="E2036" s="3" t="s">
        <v>1406</v>
      </c>
      <c r="F2036" s="3" t="s">
        <v>2</v>
      </c>
      <c r="G2036" s="3">
        <v>0.30157229574080902</v>
      </c>
      <c r="H2036" s="3">
        <v>17.0473198813396</v>
      </c>
      <c r="I2036" s="3">
        <v>13.825031710412301</v>
      </c>
    </row>
    <row r="2037" spans="1:13" x14ac:dyDescent="0.3">
      <c r="A2037" s="3" t="str">
        <f t="shared" si="31"/>
        <v>ELC</v>
      </c>
      <c r="C2037" s="3" t="s">
        <v>850</v>
      </c>
      <c r="D2037" s="3" t="s">
        <v>764</v>
      </c>
      <c r="E2037" s="3" t="s">
        <v>1406</v>
      </c>
      <c r="F2037" s="3" t="s">
        <v>3</v>
      </c>
      <c r="G2037" s="3">
        <v>0.204262086607679</v>
      </c>
      <c r="H2037" s="3">
        <v>10.888144186599201</v>
      </c>
      <c r="I2037" s="3">
        <v>11.853144690595</v>
      </c>
    </row>
    <row r="2038" spans="1:13" x14ac:dyDescent="0.3">
      <c r="A2038" s="3" t="str">
        <f t="shared" si="31"/>
        <v>ELC</v>
      </c>
      <c r="C2038" s="3" t="s">
        <v>850</v>
      </c>
      <c r="D2038" s="3" t="s">
        <v>764</v>
      </c>
      <c r="E2038" s="3" t="s">
        <v>1406</v>
      </c>
      <c r="F2038" s="3" t="s">
        <v>4</v>
      </c>
      <c r="G2038" s="3">
        <v>0.117104525796597</v>
      </c>
      <c r="I2038" s="3">
        <v>1.0631295008116499</v>
      </c>
    </row>
    <row r="2039" spans="1:13" x14ac:dyDescent="0.3">
      <c r="A2039" s="3" t="str">
        <f t="shared" si="31"/>
        <v>ELC</v>
      </c>
      <c r="C2039" s="3" t="s">
        <v>850</v>
      </c>
      <c r="D2039" s="3" t="s">
        <v>764</v>
      </c>
      <c r="E2039" s="3" t="s">
        <v>1406</v>
      </c>
      <c r="F2039" s="3" t="s">
        <v>5</v>
      </c>
      <c r="G2039" s="3">
        <v>0.10207365171485799</v>
      </c>
      <c r="H2039" s="3">
        <v>0.90422683083422495</v>
      </c>
      <c r="I2039" s="3">
        <v>0.926672215744481</v>
      </c>
    </row>
    <row r="2040" spans="1:13" x14ac:dyDescent="0.3">
      <c r="A2040" s="3" t="str">
        <f t="shared" si="31"/>
        <v>ELC</v>
      </c>
      <c r="C2040" s="3" t="s">
        <v>850</v>
      </c>
      <c r="D2040" s="3" t="s">
        <v>764</v>
      </c>
      <c r="E2040" s="3" t="s">
        <v>1406</v>
      </c>
      <c r="F2040" s="3" t="s">
        <v>6</v>
      </c>
      <c r="G2040" s="3">
        <v>0.35460410694354699</v>
      </c>
      <c r="I2040" s="3">
        <v>3.2192614643729698</v>
      </c>
    </row>
    <row r="2041" spans="1:13" x14ac:dyDescent="0.3">
      <c r="A2041" s="3" t="str">
        <f t="shared" si="31"/>
        <v>ELC</v>
      </c>
      <c r="C2041" s="3" t="s">
        <v>850</v>
      </c>
      <c r="D2041" s="3" t="s">
        <v>764</v>
      </c>
      <c r="E2041" s="3" t="s">
        <v>1406</v>
      </c>
      <c r="F2041" s="3" t="s">
        <v>7</v>
      </c>
      <c r="G2041" s="3">
        <v>4.64016936359389E-2</v>
      </c>
      <c r="I2041" s="3">
        <v>0.1979204503668</v>
      </c>
    </row>
    <row r="2042" spans="1:13" x14ac:dyDescent="0.3">
      <c r="A2042" s="3" t="str">
        <f t="shared" si="31"/>
        <v>ELC</v>
      </c>
      <c r="C2042" s="3" t="s">
        <v>850</v>
      </c>
      <c r="D2042" s="3" t="s">
        <v>764</v>
      </c>
      <c r="E2042" s="3" t="s">
        <v>1406</v>
      </c>
      <c r="F2042" s="3" t="s">
        <v>8</v>
      </c>
      <c r="G2042" s="3">
        <v>2.90959753712982E-2</v>
      </c>
      <c r="H2042" s="3">
        <v>0.121099125325893</v>
      </c>
      <c r="I2042" s="3">
        <v>0.124105137078195</v>
      </c>
      <c r="L2042" s="3">
        <v>0.13669510935135201</v>
      </c>
      <c r="M2042" s="3">
        <v>0.14979079205324999</v>
      </c>
    </row>
    <row r="2043" spans="1:13" x14ac:dyDescent="0.3">
      <c r="A2043" s="3" t="str">
        <f t="shared" si="31"/>
        <v>PTC</v>
      </c>
      <c r="C2043" s="3" t="s">
        <v>850</v>
      </c>
      <c r="D2043" s="3" t="s">
        <v>764</v>
      </c>
      <c r="E2043" s="3" t="s">
        <v>1410</v>
      </c>
      <c r="F2043" s="3" t="s">
        <v>2</v>
      </c>
      <c r="G2043" s="3">
        <v>12.8466593957297</v>
      </c>
    </row>
    <row r="2044" spans="1:13" x14ac:dyDescent="0.3">
      <c r="A2044" s="3" t="str">
        <f t="shared" si="31"/>
        <v>PTC</v>
      </c>
      <c r="C2044" s="3" t="s">
        <v>850</v>
      </c>
      <c r="D2044" s="3" t="s">
        <v>764</v>
      </c>
      <c r="E2044" s="3" t="s">
        <v>1410</v>
      </c>
      <c r="F2044" s="3" t="s">
        <v>3</v>
      </c>
      <c r="G2044" s="3">
        <v>8.6653814639962992</v>
      </c>
    </row>
    <row r="2045" spans="1:13" x14ac:dyDescent="0.3">
      <c r="A2045" s="3" t="str">
        <f t="shared" si="31"/>
        <v>PTC</v>
      </c>
      <c r="C2045" s="3" t="s">
        <v>850</v>
      </c>
      <c r="D2045" s="3" t="s">
        <v>764</v>
      </c>
      <c r="E2045" s="3" t="s">
        <v>1410</v>
      </c>
      <c r="F2045" s="3" t="s">
        <v>4</v>
      </c>
      <c r="G2045" s="3">
        <v>0.41883634287176102</v>
      </c>
    </row>
    <row r="2046" spans="1:13" x14ac:dyDescent="0.3">
      <c r="A2046" s="3" t="str">
        <f t="shared" si="31"/>
        <v>PTC</v>
      </c>
      <c r="C2046" s="3" t="s">
        <v>850</v>
      </c>
      <c r="D2046" s="3" t="s">
        <v>764</v>
      </c>
      <c r="E2046" s="3" t="s">
        <v>1410</v>
      </c>
      <c r="F2046" s="3" t="s">
        <v>5</v>
      </c>
      <c r="G2046" s="3">
        <v>0.36507688064995603</v>
      </c>
    </row>
    <row r="2047" spans="1:13" x14ac:dyDescent="0.3">
      <c r="A2047" s="3" t="str">
        <f t="shared" si="31"/>
        <v>PTC</v>
      </c>
      <c r="C2047" s="3" t="s">
        <v>850</v>
      </c>
      <c r="D2047" s="3" t="s">
        <v>764</v>
      </c>
      <c r="E2047" s="3" t="s">
        <v>1410</v>
      </c>
      <c r="F2047" s="3" t="s">
        <v>6</v>
      </c>
      <c r="G2047" s="3">
        <v>1.2482779449318999</v>
      </c>
    </row>
    <row r="2048" spans="1:13" x14ac:dyDescent="0.3">
      <c r="A2048" s="3" t="str">
        <f t="shared" si="31"/>
        <v>RFL</v>
      </c>
      <c r="C2048" s="3" t="s">
        <v>850</v>
      </c>
      <c r="D2048" s="3" t="s">
        <v>764</v>
      </c>
      <c r="E2048" s="3" t="s">
        <v>1407</v>
      </c>
      <c r="F2048" s="3" t="s">
        <v>0</v>
      </c>
      <c r="G2048" s="3">
        <v>0.44167187454661</v>
      </c>
      <c r="I2048" s="3">
        <v>0.49695495749319302</v>
      </c>
    </row>
    <row r="2049" spans="1:16" x14ac:dyDescent="0.3">
      <c r="A2049" s="3" t="str">
        <f t="shared" si="31"/>
        <v>RFL</v>
      </c>
      <c r="C2049" s="3" t="s">
        <v>850</v>
      </c>
      <c r="D2049" s="3" t="s">
        <v>764</v>
      </c>
      <c r="E2049" s="3" t="s">
        <v>1407</v>
      </c>
      <c r="F2049" s="3" t="s">
        <v>1</v>
      </c>
      <c r="G2049" s="3">
        <v>1.20297906471782</v>
      </c>
      <c r="N2049" s="3">
        <v>1.7046852030988899</v>
      </c>
      <c r="O2049" s="3">
        <v>1.7176452628110701</v>
      </c>
      <c r="P2049" s="3">
        <v>1.5543761759391299</v>
      </c>
    </row>
    <row r="2050" spans="1:16" x14ac:dyDescent="0.3">
      <c r="A2050" s="3" t="str">
        <f t="shared" si="31"/>
        <v>RFL</v>
      </c>
      <c r="C2050" s="3" t="s">
        <v>850</v>
      </c>
      <c r="D2050" s="3" t="s">
        <v>764</v>
      </c>
      <c r="E2050" s="3" t="s">
        <v>1407</v>
      </c>
      <c r="F2050" s="3" t="s">
        <v>2</v>
      </c>
      <c r="G2050" s="3">
        <v>2.5953334280897602</v>
      </c>
      <c r="I2050" s="3">
        <v>3.6749366657863001</v>
      </c>
    </row>
    <row r="2051" spans="1:16" x14ac:dyDescent="0.3">
      <c r="A2051" s="3" t="str">
        <f t="shared" si="31"/>
        <v>RFL</v>
      </c>
      <c r="C2051" s="3" t="s">
        <v>850</v>
      </c>
      <c r="D2051" s="3" t="s">
        <v>764</v>
      </c>
      <c r="E2051" s="3" t="s">
        <v>1407</v>
      </c>
      <c r="F2051" s="3" t="s">
        <v>3</v>
      </c>
      <c r="G2051" s="3">
        <v>1.78224194600347</v>
      </c>
    </row>
    <row r="2052" spans="1:16" x14ac:dyDescent="0.3">
      <c r="A2052" s="3" t="str">
        <f t="shared" si="31"/>
        <v>RFL</v>
      </c>
      <c r="C2052" s="3" t="s">
        <v>850</v>
      </c>
      <c r="D2052" s="3" t="s">
        <v>764</v>
      </c>
      <c r="E2052" s="3" t="s">
        <v>1407</v>
      </c>
      <c r="F2052" s="3" t="s">
        <v>4</v>
      </c>
      <c r="G2052" s="3">
        <v>0.45618381542217201</v>
      </c>
    </row>
    <row r="2053" spans="1:16" x14ac:dyDescent="0.3">
      <c r="A2053" s="3" t="str">
        <f t="shared" si="31"/>
        <v>RFL</v>
      </c>
      <c r="C2053" s="3" t="s">
        <v>850</v>
      </c>
      <c r="D2053" s="3" t="s">
        <v>764</v>
      </c>
      <c r="E2053" s="3" t="s">
        <v>1407</v>
      </c>
      <c r="F2053" s="3" t="s">
        <v>5</v>
      </c>
      <c r="G2053" s="3">
        <v>0.39763064302260398</v>
      </c>
      <c r="N2053" s="3">
        <v>1.0082150641180001</v>
      </c>
    </row>
    <row r="2054" spans="1:16" x14ac:dyDescent="0.3">
      <c r="A2054" s="3" t="str">
        <f t="shared" si="31"/>
        <v>RFL</v>
      </c>
      <c r="C2054" s="3" t="s">
        <v>850</v>
      </c>
      <c r="D2054" s="3" t="s">
        <v>764</v>
      </c>
      <c r="E2054" s="3" t="s">
        <v>1407</v>
      </c>
      <c r="F2054" s="3" t="s">
        <v>6</v>
      </c>
      <c r="G2054" s="3">
        <v>1.3813697922388899</v>
      </c>
    </row>
    <row r="2055" spans="1:16" x14ac:dyDescent="0.3">
      <c r="A2055" s="3" t="str">
        <f t="shared" si="31"/>
        <v>RFL</v>
      </c>
      <c r="C2055" s="3" t="s">
        <v>850</v>
      </c>
      <c r="D2055" s="3" t="s">
        <v>764</v>
      </c>
      <c r="E2055" s="3" t="s">
        <v>1407</v>
      </c>
      <c r="F2055" s="3" t="s">
        <v>7</v>
      </c>
      <c r="G2055" s="3">
        <v>0.145526345640653</v>
      </c>
    </row>
    <row r="2056" spans="1:16" x14ac:dyDescent="0.3">
      <c r="A2056" s="3" t="str">
        <f t="shared" ref="A2056:A2119" si="32">RIGHT(E2056,3)</f>
        <v>RFL</v>
      </c>
      <c r="C2056" s="3" t="s">
        <v>850</v>
      </c>
      <c r="D2056" s="3" t="s">
        <v>764</v>
      </c>
      <c r="E2056" s="3" t="s">
        <v>1407</v>
      </c>
      <c r="F2056" s="3" t="s">
        <v>8</v>
      </c>
      <c r="G2056" s="3">
        <v>9.1251647016497503E-2</v>
      </c>
      <c r="N2056" s="3">
        <v>0.154654937272765</v>
      </c>
      <c r="O2056" s="3">
        <v>0.15583071871217499</v>
      </c>
      <c r="P2056" s="3">
        <v>0.15686746576016</v>
      </c>
    </row>
    <row r="2057" spans="1:16" x14ac:dyDescent="0.3">
      <c r="A2057" s="3" t="str">
        <f t="shared" si="32"/>
        <v>STM</v>
      </c>
      <c r="C2057" s="3" t="s">
        <v>850</v>
      </c>
      <c r="D2057" s="3" t="s">
        <v>764</v>
      </c>
      <c r="E2057" s="3" t="s">
        <v>1541</v>
      </c>
      <c r="F2057" s="3" t="s">
        <v>1</v>
      </c>
      <c r="P2057" s="3">
        <v>0.17469663896450699</v>
      </c>
    </row>
    <row r="2058" spans="1:16" x14ac:dyDescent="0.3">
      <c r="A2058" s="3" t="str">
        <f t="shared" si="32"/>
        <v>STM</v>
      </c>
      <c r="C2058" s="3" t="s">
        <v>850</v>
      </c>
      <c r="D2058" s="3" t="s">
        <v>764</v>
      </c>
      <c r="E2058" s="3" t="s">
        <v>1541</v>
      </c>
      <c r="F2058" s="3" t="s">
        <v>2</v>
      </c>
      <c r="P2058" s="3">
        <v>18.719800913586401</v>
      </c>
    </row>
    <row r="2059" spans="1:16" x14ac:dyDescent="0.3">
      <c r="A2059" s="3" t="str">
        <f t="shared" si="32"/>
        <v>STM</v>
      </c>
      <c r="C2059" s="3" t="s">
        <v>850</v>
      </c>
      <c r="D2059" s="3" t="s">
        <v>764</v>
      </c>
      <c r="E2059" s="3" t="s">
        <v>1541</v>
      </c>
      <c r="F2059" s="3" t="s">
        <v>3</v>
      </c>
      <c r="N2059" s="3">
        <v>14.1410661811741</v>
      </c>
      <c r="O2059" s="3">
        <v>14.195769072342699</v>
      </c>
      <c r="P2059" s="3">
        <v>14.195769072342699</v>
      </c>
    </row>
    <row r="2060" spans="1:16" x14ac:dyDescent="0.3">
      <c r="A2060" s="3" t="str">
        <f t="shared" si="32"/>
        <v>STM</v>
      </c>
      <c r="C2060" s="3" t="s">
        <v>850</v>
      </c>
      <c r="D2060" s="3" t="s">
        <v>764</v>
      </c>
      <c r="E2060" s="3" t="s">
        <v>1541</v>
      </c>
      <c r="F2060" s="3" t="s">
        <v>4</v>
      </c>
      <c r="M2060" s="3">
        <v>1.75035878220141E-2</v>
      </c>
      <c r="N2060" s="3">
        <v>1.3248301410541601</v>
      </c>
      <c r="O2060" s="3">
        <v>1.3349023102179201</v>
      </c>
      <c r="P2060" s="3">
        <v>1.34378346048729</v>
      </c>
    </row>
    <row r="2061" spans="1:16" x14ac:dyDescent="0.3">
      <c r="A2061" s="3" t="str">
        <f t="shared" si="32"/>
        <v>STM</v>
      </c>
      <c r="C2061" s="3" t="s">
        <v>850</v>
      </c>
      <c r="D2061" s="3" t="s">
        <v>764</v>
      </c>
      <c r="E2061" s="3" t="s">
        <v>1541</v>
      </c>
      <c r="F2061" s="3" t="s">
        <v>5</v>
      </c>
      <c r="O2061" s="3">
        <v>1.16356180565741</v>
      </c>
      <c r="P2061" s="3">
        <v>1.17130302174839</v>
      </c>
    </row>
    <row r="2062" spans="1:16" x14ac:dyDescent="0.3">
      <c r="A2062" s="3" t="str">
        <f t="shared" si="32"/>
        <v>STM</v>
      </c>
      <c r="C2062" s="3" t="s">
        <v>850</v>
      </c>
      <c r="D2062" s="3" t="s">
        <v>764</v>
      </c>
      <c r="E2062" s="3" t="s">
        <v>1541</v>
      </c>
      <c r="F2062" s="3" t="s">
        <v>6</v>
      </c>
      <c r="N2062" s="3">
        <v>4.0117169325837896</v>
      </c>
      <c r="O2062" s="3">
        <v>4.0422164587720699</v>
      </c>
      <c r="P2062" s="3">
        <v>4.0691094617408199</v>
      </c>
    </row>
    <row r="2063" spans="1:16" x14ac:dyDescent="0.3">
      <c r="A2063" s="3" t="str">
        <f t="shared" si="32"/>
        <v>STM</v>
      </c>
      <c r="C2063" s="3" t="s">
        <v>850</v>
      </c>
      <c r="D2063" s="3" t="s">
        <v>764</v>
      </c>
      <c r="E2063" s="3" t="s">
        <v>1541</v>
      </c>
      <c r="F2063" s="3" t="s">
        <v>7</v>
      </c>
      <c r="N2063" s="3">
        <v>0.24664067545559001</v>
      </c>
      <c r="O2063" s="3">
        <v>0.248515788746623</v>
      </c>
      <c r="P2063" s="3">
        <v>0.25016917270384298</v>
      </c>
    </row>
    <row r="2064" spans="1:16" x14ac:dyDescent="0.3">
      <c r="A2064" s="3" t="str">
        <f t="shared" si="32"/>
        <v>NGA</v>
      </c>
      <c r="C2064" s="3" t="s">
        <v>850</v>
      </c>
      <c r="D2064" s="3" t="s">
        <v>1264</v>
      </c>
      <c r="E2064" s="3" t="s">
        <v>1295</v>
      </c>
      <c r="F2064" s="3" t="s">
        <v>1</v>
      </c>
      <c r="P2064" s="3">
        <v>0.17469663896450727</v>
      </c>
    </row>
    <row r="2065" spans="1:16" x14ac:dyDescent="0.3">
      <c r="A2065" s="3" t="str">
        <f t="shared" si="32"/>
        <v>NGA</v>
      </c>
      <c r="C2065" s="3" t="s">
        <v>850</v>
      </c>
      <c r="D2065" s="3" t="s">
        <v>1264</v>
      </c>
      <c r="E2065" s="3" t="s">
        <v>1295</v>
      </c>
      <c r="F2065" s="3" t="s">
        <v>2</v>
      </c>
      <c r="P2065" s="3">
        <v>18.719800913586383</v>
      </c>
    </row>
    <row r="2066" spans="1:16" x14ac:dyDescent="0.3">
      <c r="A2066" s="3" t="str">
        <f t="shared" si="32"/>
        <v>NGA</v>
      </c>
      <c r="C2066" s="3" t="s">
        <v>850</v>
      </c>
      <c r="D2066" s="3" t="s">
        <v>1264</v>
      </c>
      <c r="E2066" s="3" t="s">
        <v>1295</v>
      </c>
      <c r="F2066" s="3" t="s">
        <v>3</v>
      </c>
      <c r="N2066" s="3">
        <v>14.141066181174084</v>
      </c>
      <c r="O2066" s="3">
        <v>14.195769072342735</v>
      </c>
      <c r="P2066" s="3">
        <v>14.195769072342735</v>
      </c>
    </row>
    <row r="2067" spans="1:16" x14ac:dyDescent="0.3">
      <c r="A2067" s="3" t="str">
        <f t="shared" si="32"/>
        <v>NGA</v>
      </c>
      <c r="C2067" s="3" t="s">
        <v>850</v>
      </c>
      <c r="D2067" s="3" t="s">
        <v>1264</v>
      </c>
      <c r="E2067" s="3" t="s">
        <v>1295</v>
      </c>
      <c r="F2067" s="3" t="s">
        <v>4</v>
      </c>
      <c r="M2067" s="3">
        <v>1.7503587822014135E-2</v>
      </c>
      <c r="N2067" s="3">
        <v>1.3248301410541581</v>
      </c>
      <c r="O2067" s="3">
        <v>1.3349023102179163</v>
      </c>
      <c r="P2067" s="3">
        <v>1.3437834604872885</v>
      </c>
    </row>
    <row r="2068" spans="1:16" x14ac:dyDescent="0.3">
      <c r="A2068" s="3" t="str">
        <f t="shared" si="32"/>
        <v>NGA</v>
      </c>
      <c r="C2068" s="3" t="s">
        <v>850</v>
      </c>
      <c r="D2068" s="3" t="s">
        <v>1264</v>
      </c>
      <c r="E2068" s="3" t="s">
        <v>1295</v>
      </c>
      <c r="F2068" s="3" t="s">
        <v>5</v>
      </c>
      <c r="O2068" s="3">
        <v>1.1635618056574133</v>
      </c>
      <c r="P2068" s="3">
        <v>1.1713030217483935</v>
      </c>
    </row>
    <row r="2069" spans="1:16" x14ac:dyDescent="0.3">
      <c r="A2069" s="3" t="str">
        <f t="shared" si="32"/>
        <v>NGA</v>
      </c>
      <c r="C2069" s="3" t="s">
        <v>850</v>
      </c>
      <c r="D2069" s="3" t="s">
        <v>1264</v>
      </c>
      <c r="E2069" s="3" t="s">
        <v>1295</v>
      </c>
      <c r="F2069" s="3" t="s">
        <v>6</v>
      </c>
      <c r="N2069" s="3">
        <v>4.0117169325837905</v>
      </c>
      <c r="O2069" s="3">
        <v>4.0422164587720664</v>
      </c>
      <c r="P2069" s="3">
        <v>4.0691094617408226</v>
      </c>
    </row>
    <row r="2070" spans="1:16" x14ac:dyDescent="0.3">
      <c r="A2070" s="3" t="str">
        <f t="shared" si="32"/>
        <v>NGA</v>
      </c>
      <c r="C2070" s="3" t="s">
        <v>850</v>
      </c>
      <c r="D2070" s="3" t="s">
        <v>1264</v>
      </c>
      <c r="E2070" s="3" t="s">
        <v>1295</v>
      </c>
      <c r="F2070" s="3" t="s">
        <v>7</v>
      </c>
      <c r="N2070" s="3">
        <v>0.24664067545558988</v>
      </c>
      <c r="O2070" s="3">
        <v>0.24851578874662347</v>
      </c>
      <c r="P2070" s="3">
        <v>0.25016917270384331</v>
      </c>
    </row>
    <row r="2071" spans="1:16" x14ac:dyDescent="0.3">
      <c r="A2071" s="3" t="str">
        <f t="shared" si="32"/>
        <v>COA</v>
      </c>
      <c r="C2071" s="3" t="s">
        <v>850</v>
      </c>
      <c r="D2071" s="3" t="s">
        <v>797</v>
      </c>
      <c r="E2071" s="3" t="s">
        <v>1394</v>
      </c>
      <c r="F2071" s="3" t="s">
        <v>0</v>
      </c>
      <c r="G2071" s="3">
        <v>0.50204464767555801</v>
      </c>
      <c r="H2071" s="3">
        <v>0.83858006715937106</v>
      </c>
      <c r="I2071" s="3">
        <v>3.5997174239872995</v>
      </c>
      <c r="J2071" s="3">
        <v>5.2725202008794128</v>
      </c>
      <c r="K2071" s="3">
        <v>6.393787990426457</v>
      </c>
      <c r="L2071" s="3">
        <v>7.8964626988313711</v>
      </c>
      <c r="M2071" s="3">
        <v>9.9887365638677643</v>
      </c>
      <c r="N2071" s="3">
        <v>11.470491413620271</v>
      </c>
      <c r="O2071" s="3">
        <v>11.557697106130789</v>
      </c>
      <c r="P2071" s="3">
        <v>11.6345908563189</v>
      </c>
    </row>
    <row r="2072" spans="1:16" x14ac:dyDescent="0.3">
      <c r="A2072" s="3" t="str">
        <f t="shared" si="32"/>
        <v>COA</v>
      </c>
      <c r="C2072" s="3" t="s">
        <v>850</v>
      </c>
      <c r="D2072" s="3" t="s">
        <v>797</v>
      </c>
      <c r="E2072" s="3" t="s">
        <v>1394</v>
      </c>
      <c r="F2072" s="3" t="s">
        <v>1</v>
      </c>
      <c r="G2072" s="3">
        <v>1.3819600065950901</v>
      </c>
      <c r="H2072" s="3">
        <v>2.118736114402604</v>
      </c>
      <c r="I2072" s="3">
        <v>6.0138039340484637</v>
      </c>
      <c r="J2072" s="3">
        <v>11.397468587475206</v>
      </c>
      <c r="K2072" s="3">
        <v>17.599947204551139</v>
      </c>
      <c r="L2072" s="3">
        <v>21.736305115251422</v>
      </c>
      <c r="M2072" s="3">
        <v>27.495631138766864</v>
      </c>
      <c r="N2072" s="3">
        <v>31.574403716897411</v>
      </c>
      <c r="O2072" s="3">
        <v>31.814451648799352</v>
      </c>
      <c r="P2072" s="3">
        <v>32.026114272848965</v>
      </c>
    </row>
    <row r="2073" spans="1:16" x14ac:dyDescent="0.3">
      <c r="A2073" s="3" t="str">
        <f t="shared" si="32"/>
        <v>COA</v>
      </c>
      <c r="C2073" s="3" t="s">
        <v>850</v>
      </c>
      <c r="D2073" s="3" t="s">
        <v>797</v>
      </c>
      <c r="E2073" s="3" t="s">
        <v>1394</v>
      </c>
      <c r="F2073" s="3" t="s">
        <v>2</v>
      </c>
      <c r="G2073" s="3">
        <v>20.217971167685601</v>
      </c>
      <c r="H2073" s="3">
        <v>24.352277513229943</v>
      </c>
      <c r="I2073" s="3">
        <v>40.525199478932038</v>
      </c>
      <c r="J2073" s="3">
        <v>73.167892937765544</v>
      </c>
      <c r="K2073" s="3">
        <v>87.574600783188941</v>
      </c>
      <c r="L2073" s="3">
        <v>107.09384213916891</v>
      </c>
      <c r="M2073" s="3">
        <v>134.51631046098618</v>
      </c>
      <c r="N2073" s="3">
        <v>153.75513352063092</v>
      </c>
      <c r="O2073" s="3">
        <v>154.92407410148422</v>
      </c>
      <c r="P2073" s="3">
        <v>155.95478921217563</v>
      </c>
    </row>
    <row r="2074" spans="1:16" x14ac:dyDescent="0.3">
      <c r="A2074" s="3" t="str">
        <f t="shared" si="32"/>
        <v>COA</v>
      </c>
      <c r="C2074" s="3" t="s">
        <v>850</v>
      </c>
      <c r="D2074" s="3" t="s">
        <v>797</v>
      </c>
      <c r="E2074" s="3" t="s">
        <v>1394</v>
      </c>
      <c r="F2074" s="3" t="s">
        <v>3</v>
      </c>
      <c r="G2074" s="3">
        <v>13.6941126091859</v>
      </c>
      <c r="H2074" s="3">
        <v>13.2376421888797</v>
      </c>
      <c r="I2074" s="3">
        <v>24.257406242742299</v>
      </c>
      <c r="J2074" s="3">
        <v>40.620505321428226</v>
      </c>
      <c r="K2074" s="3">
        <v>56.125084473733949</v>
      </c>
      <c r="L2074" s="3">
        <v>69.345930767247964</v>
      </c>
      <c r="M2074" s="3">
        <v>87.919820605462775</v>
      </c>
      <c r="N2074" s="3">
        <v>102.1346906164944</v>
      </c>
      <c r="O2074" s="3">
        <v>104.9337591306127</v>
      </c>
      <c r="P2074" s="3">
        <v>105.63188698314181</v>
      </c>
    </row>
    <row r="2075" spans="1:16" x14ac:dyDescent="0.3">
      <c r="A2075" s="3" t="str">
        <f t="shared" si="32"/>
        <v>COA</v>
      </c>
      <c r="C2075" s="3" t="s">
        <v>850</v>
      </c>
      <c r="D2075" s="3" t="s">
        <v>797</v>
      </c>
      <c r="E2075" s="3" t="s">
        <v>1394</v>
      </c>
      <c r="F2075" s="3" t="s">
        <v>4</v>
      </c>
      <c r="G2075" s="3">
        <v>1.53804310529735</v>
      </c>
      <c r="H2075" s="3">
        <v>1.4867750017874399</v>
      </c>
      <c r="I2075" s="3">
        <v>1.2817025877477899</v>
      </c>
      <c r="J2075" s="3">
        <v>8.3809144450083704</v>
      </c>
      <c r="K2075" s="3">
        <v>10.221221649318176</v>
      </c>
      <c r="L2075" s="3">
        <v>12.812871854512668</v>
      </c>
      <c r="M2075" s="3">
        <v>16.565988141625947</v>
      </c>
      <c r="N2075" s="3">
        <v>19.397956754496789</v>
      </c>
      <c r="O2075" s="3">
        <v>22.7677957522117</v>
      </c>
      <c r="P2075" s="3">
        <v>22.919270668263618</v>
      </c>
    </row>
    <row r="2076" spans="1:16" x14ac:dyDescent="0.3">
      <c r="A2076" s="3" t="str">
        <f t="shared" si="32"/>
        <v>COA</v>
      </c>
      <c r="C2076" s="3" t="s">
        <v>850</v>
      </c>
      <c r="D2076" s="3" t="s">
        <v>797</v>
      </c>
      <c r="E2076" s="3" t="s">
        <v>1394</v>
      </c>
      <c r="F2076" s="3" t="s">
        <v>5</v>
      </c>
      <c r="G2076" s="3">
        <v>1.3406285981230901</v>
      </c>
      <c r="H2076" s="3">
        <v>1.2959409781856499</v>
      </c>
      <c r="I2076" s="3">
        <v>1.11719049843591</v>
      </c>
      <c r="J2076" s="3">
        <v>4.4335156372904976</v>
      </c>
      <c r="K2076" s="3">
        <v>8.9092834938339944</v>
      </c>
      <c r="L2076" s="3">
        <v>11.168284148268514</v>
      </c>
      <c r="M2076" s="3">
        <v>14.439671672620721</v>
      </c>
      <c r="N2076" s="3">
        <v>16.90814482420226</v>
      </c>
      <c r="O2076" s="3">
        <v>19.845450362549698</v>
      </c>
      <c r="P2076" s="3">
        <v>19.977482815774241</v>
      </c>
    </row>
    <row r="2077" spans="1:16" x14ac:dyDescent="0.3">
      <c r="A2077" s="3" t="str">
        <f t="shared" si="32"/>
        <v>COA</v>
      </c>
      <c r="C2077" s="3" t="s">
        <v>850</v>
      </c>
      <c r="D2077" s="3" t="s">
        <v>797</v>
      </c>
      <c r="E2077" s="3" t="s">
        <v>1394</v>
      </c>
      <c r="F2077" s="3" t="s">
        <v>6</v>
      </c>
      <c r="G2077" s="3">
        <v>4.65734691366211</v>
      </c>
      <c r="H2077" s="3">
        <v>4.5021020165400403</v>
      </c>
      <c r="I2077" s="3">
        <v>3.8811224280517602</v>
      </c>
      <c r="J2077" s="3">
        <v>15.23778060494471</v>
      </c>
      <c r="K2077" s="3">
        <v>30.786608701052351</v>
      </c>
      <c r="L2077" s="3">
        <v>38.634382305629515</v>
      </c>
      <c r="M2077" s="3">
        <v>49.999190285456862</v>
      </c>
      <c r="N2077" s="3">
        <v>58.4734292031766</v>
      </c>
      <c r="O2077" s="3">
        <v>68.943141393265705</v>
      </c>
      <c r="P2077" s="3">
        <v>69.401822447354391</v>
      </c>
    </row>
    <row r="2078" spans="1:16" x14ac:dyDescent="0.3">
      <c r="A2078" s="3" t="str">
        <f t="shared" si="32"/>
        <v>COA</v>
      </c>
      <c r="C2078" s="3" t="s">
        <v>850</v>
      </c>
      <c r="D2078" s="3" t="s">
        <v>797</v>
      </c>
      <c r="E2078" s="3" t="s">
        <v>1394</v>
      </c>
      <c r="F2078" s="3" t="s">
        <v>7</v>
      </c>
      <c r="H2078" s="3">
        <v>0.30554363007851698</v>
      </c>
      <c r="I2078" s="3">
        <v>1.527718150392587</v>
      </c>
      <c r="J2078" s="3">
        <v>4.5970964213119068</v>
      </c>
      <c r="K2078" s="3">
        <v>5.557658878792755</v>
      </c>
      <c r="L2078" s="3">
        <v>6.8481003947840353</v>
      </c>
      <c r="M2078" s="3">
        <v>8.6484865527617156</v>
      </c>
      <c r="N2078" s="3">
        <v>9.9208344712453638</v>
      </c>
      <c r="O2078" s="3">
        <v>9.9962587237163483</v>
      </c>
      <c r="P2078" s="3">
        <v>10.062764171476298</v>
      </c>
    </row>
    <row r="2079" spans="1:16" x14ac:dyDescent="0.3">
      <c r="A2079" s="3" t="str">
        <f t="shared" si="32"/>
        <v>COA</v>
      </c>
      <c r="C2079" s="3" t="s">
        <v>850</v>
      </c>
      <c r="D2079" s="3" t="s">
        <v>797</v>
      </c>
      <c r="E2079" s="3" t="s">
        <v>1394</v>
      </c>
      <c r="F2079" s="3" t="s">
        <v>8</v>
      </c>
      <c r="H2079" s="3">
        <v>0.191589772678812</v>
      </c>
      <c r="I2079" s="3">
        <v>0.95794886339406005</v>
      </c>
      <c r="J2079" s="3">
        <v>4.4726841039823597</v>
      </c>
      <c r="K2079" s="3">
        <v>4.4726841039823597</v>
      </c>
      <c r="L2079" s="3">
        <v>4.4726841039823597</v>
      </c>
      <c r="M2079" s="3">
        <v>5.2183532884293617</v>
      </c>
      <c r="N2079" s="3">
        <v>6.2208150784934411</v>
      </c>
      <c r="O2079" s="3">
        <v>6.2681095201470765</v>
      </c>
      <c r="P2079" s="3">
        <v>6.3098114650213866</v>
      </c>
    </row>
    <row r="2080" spans="1:16" x14ac:dyDescent="0.3">
      <c r="A2080" s="3" t="str">
        <f t="shared" si="32"/>
        <v>DST</v>
      </c>
      <c r="C2080" s="3" t="s">
        <v>850</v>
      </c>
      <c r="D2080" s="3" t="s">
        <v>797</v>
      </c>
      <c r="E2080" s="3" t="s">
        <v>1390</v>
      </c>
      <c r="F2080" s="3" t="s">
        <v>2</v>
      </c>
      <c r="G2080" s="3">
        <v>3.1652389530123101E-2</v>
      </c>
      <c r="I2080" s="3">
        <v>0.237693858356229</v>
      </c>
    </row>
    <row r="2081" spans="1:14" x14ac:dyDescent="0.3">
      <c r="A2081" s="3" t="str">
        <f t="shared" si="32"/>
        <v>DST</v>
      </c>
      <c r="C2081" s="3" t="s">
        <v>850</v>
      </c>
      <c r="D2081" s="3" t="s">
        <v>797</v>
      </c>
      <c r="E2081" s="3" t="s">
        <v>1390</v>
      </c>
      <c r="F2081" s="3" t="s">
        <v>3</v>
      </c>
      <c r="I2081" s="3">
        <v>0.160995702083331</v>
      </c>
    </row>
    <row r="2082" spans="1:14" x14ac:dyDescent="0.3">
      <c r="A2082" s="3" t="str">
        <f t="shared" si="32"/>
        <v>DST</v>
      </c>
      <c r="C2082" s="3" t="s">
        <v>850</v>
      </c>
      <c r="D2082" s="3" t="s">
        <v>797</v>
      </c>
      <c r="E2082" s="3" t="s">
        <v>1390</v>
      </c>
      <c r="F2082" s="3" t="s">
        <v>4</v>
      </c>
      <c r="G2082" s="3">
        <v>6.5095564195984099E-2</v>
      </c>
      <c r="I2082" s="3">
        <v>5.4246303496658897E-2</v>
      </c>
    </row>
    <row r="2083" spans="1:14" x14ac:dyDescent="0.3">
      <c r="A2083" s="3" t="str">
        <f t="shared" si="32"/>
        <v>DST</v>
      </c>
      <c r="C2083" s="3" t="s">
        <v>850</v>
      </c>
      <c r="D2083" s="3" t="s">
        <v>797</v>
      </c>
      <c r="E2083" s="3" t="s">
        <v>1390</v>
      </c>
      <c r="F2083" s="3" t="s">
        <v>5</v>
      </c>
      <c r="G2083" s="3">
        <v>5.6740266037756698E-2</v>
      </c>
      <c r="I2083" s="3">
        <v>4.72835550314602E-2</v>
      </c>
    </row>
    <row r="2084" spans="1:14" x14ac:dyDescent="0.3">
      <c r="A2084" s="3" t="str">
        <f t="shared" si="32"/>
        <v>ELC</v>
      </c>
      <c r="C2084" s="3" t="s">
        <v>850</v>
      </c>
      <c r="D2084" s="3" t="s">
        <v>797</v>
      </c>
      <c r="E2084" s="3" t="s">
        <v>1389</v>
      </c>
      <c r="F2084" s="3" t="s">
        <v>0</v>
      </c>
      <c r="G2084" s="3">
        <v>1.69799481467133</v>
      </c>
      <c r="H2084" s="3">
        <v>1.64139498751562</v>
      </c>
    </row>
    <row r="2085" spans="1:14" x14ac:dyDescent="0.3">
      <c r="A2085" s="3" t="str">
        <f t="shared" si="32"/>
        <v>ELC</v>
      </c>
      <c r="C2085" s="3" t="s">
        <v>850</v>
      </c>
      <c r="D2085" s="3" t="s">
        <v>797</v>
      </c>
      <c r="E2085" s="3" t="s">
        <v>1389</v>
      </c>
      <c r="F2085" s="3" t="s">
        <v>1</v>
      </c>
      <c r="G2085" s="3">
        <v>4.67400844953948</v>
      </c>
      <c r="H2085" s="3">
        <v>4.5182081678881598</v>
      </c>
      <c r="I2085" s="3">
        <v>3.8950070412828999</v>
      </c>
      <c r="J2085" s="3">
        <v>3.1160056330263202</v>
      </c>
    </row>
    <row r="2086" spans="1:14" x14ac:dyDescent="0.3">
      <c r="A2086" s="3" t="str">
        <f t="shared" si="32"/>
        <v>ELC</v>
      </c>
      <c r="C2086" s="3" t="s">
        <v>850</v>
      </c>
      <c r="D2086" s="3" t="s">
        <v>797</v>
      </c>
      <c r="E2086" s="3" t="s">
        <v>1389</v>
      </c>
      <c r="F2086" s="3" t="s">
        <v>2</v>
      </c>
      <c r="G2086" s="3">
        <v>12.726350880262199</v>
      </c>
      <c r="H2086" s="3">
        <v>12.3021391842535</v>
      </c>
      <c r="I2086" s="3">
        <v>10.605292400218501</v>
      </c>
    </row>
    <row r="2087" spans="1:14" x14ac:dyDescent="0.3">
      <c r="A2087" s="3" t="str">
        <f t="shared" si="32"/>
        <v>ELC</v>
      </c>
      <c r="C2087" s="3" t="s">
        <v>850</v>
      </c>
      <c r="D2087" s="3" t="s">
        <v>797</v>
      </c>
      <c r="E2087" s="3" t="s">
        <v>1389</v>
      </c>
      <c r="F2087" s="3" t="s">
        <v>3</v>
      </c>
      <c r="G2087" s="3">
        <v>8.6198600548440591</v>
      </c>
      <c r="H2087" s="3">
        <v>8.3325313863492596</v>
      </c>
      <c r="I2087" s="3">
        <v>7.1832167123700499</v>
      </c>
      <c r="J2087" s="3">
        <v>5.7465733698960397</v>
      </c>
    </row>
    <row r="2088" spans="1:14" x14ac:dyDescent="0.3">
      <c r="A2088" s="3" t="str">
        <f t="shared" si="32"/>
        <v>ELC</v>
      </c>
      <c r="C2088" s="3" t="s">
        <v>850</v>
      </c>
      <c r="D2088" s="3" t="s">
        <v>797</v>
      </c>
      <c r="E2088" s="3" t="s">
        <v>1389</v>
      </c>
      <c r="F2088" s="3" t="s">
        <v>4</v>
      </c>
      <c r="G2088" s="3">
        <v>4.9418109886163899</v>
      </c>
      <c r="H2088" s="3">
        <v>4.7770839556625102</v>
      </c>
      <c r="I2088" s="3">
        <v>4.1181758238469897</v>
      </c>
    </row>
    <row r="2089" spans="1:14" x14ac:dyDescent="0.3">
      <c r="A2089" s="3" t="str">
        <f t="shared" si="32"/>
        <v>ELC</v>
      </c>
      <c r="C2089" s="3" t="s">
        <v>850</v>
      </c>
      <c r="D2089" s="3" t="s">
        <v>797</v>
      </c>
      <c r="E2089" s="3" t="s">
        <v>1389</v>
      </c>
      <c r="F2089" s="3" t="s">
        <v>5</v>
      </c>
      <c r="G2089" s="3">
        <v>4.3075081023670103</v>
      </c>
      <c r="H2089" s="3">
        <v>4.1639244989547803</v>
      </c>
      <c r="I2089" s="3">
        <v>3.58959008530584</v>
      </c>
      <c r="J2089" s="3">
        <v>2.8716720682446701</v>
      </c>
    </row>
    <row r="2090" spans="1:14" x14ac:dyDescent="0.3">
      <c r="A2090" s="3" t="str">
        <f t="shared" si="32"/>
        <v>ELC</v>
      </c>
      <c r="C2090" s="3" t="s">
        <v>850</v>
      </c>
      <c r="D2090" s="3" t="s">
        <v>797</v>
      </c>
      <c r="E2090" s="3" t="s">
        <v>1389</v>
      </c>
      <c r="F2090" s="3" t="s">
        <v>6</v>
      </c>
      <c r="G2090" s="3">
        <v>14.9642933130177</v>
      </c>
      <c r="H2090" s="3">
        <v>14.4654835359171</v>
      </c>
      <c r="I2090" s="3">
        <v>12.4702444275147</v>
      </c>
      <c r="J2090" s="3">
        <v>9.9761955420117996</v>
      </c>
    </row>
    <row r="2091" spans="1:14" x14ac:dyDescent="0.3">
      <c r="A2091" s="3" t="str">
        <f t="shared" si="32"/>
        <v>ELC</v>
      </c>
      <c r="C2091" s="3" t="s">
        <v>850</v>
      </c>
      <c r="D2091" s="3" t="s">
        <v>797</v>
      </c>
      <c r="E2091" s="3" t="s">
        <v>1389</v>
      </c>
      <c r="F2091" s="3" t="s">
        <v>7</v>
      </c>
      <c r="G2091" s="3">
        <v>1.9581514714366199</v>
      </c>
      <c r="H2091" s="3">
        <v>1.89287975572207</v>
      </c>
      <c r="I2091" s="3">
        <v>1.6317928928638501</v>
      </c>
    </row>
    <row r="2092" spans="1:14" x14ac:dyDescent="0.3">
      <c r="A2092" s="3" t="str">
        <f t="shared" si="32"/>
        <v>ELC</v>
      </c>
      <c r="C2092" s="3" t="s">
        <v>850</v>
      </c>
      <c r="D2092" s="3" t="s">
        <v>797</v>
      </c>
      <c r="E2092" s="3" t="s">
        <v>1389</v>
      </c>
      <c r="F2092" s="3" t="s">
        <v>8</v>
      </c>
      <c r="G2092" s="3">
        <v>1.2278501606687799</v>
      </c>
      <c r="H2092" s="3">
        <v>1.1869218219798201</v>
      </c>
      <c r="I2092" s="3">
        <v>1.0232084672239801</v>
      </c>
      <c r="J2092" s="3">
        <v>0.81856677377918696</v>
      </c>
      <c r="K2092" s="3">
        <v>0.61392508033438997</v>
      </c>
      <c r="L2092" s="3">
        <v>0.40928338688959298</v>
      </c>
      <c r="M2092" s="3">
        <v>0.20464169344479699</v>
      </c>
    </row>
    <row r="2093" spans="1:14" x14ac:dyDescent="0.3">
      <c r="A2093" s="3" t="str">
        <f t="shared" si="32"/>
        <v>NGA</v>
      </c>
      <c r="C2093" s="3" t="s">
        <v>850</v>
      </c>
      <c r="D2093" s="3" t="s">
        <v>797</v>
      </c>
      <c r="E2093" s="3" t="s">
        <v>1392</v>
      </c>
      <c r="F2093" s="3" t="s">
        <v>0</v>
      </c>
      <c r="G2093" s="3">
        <v>6.7259372545449798</v>
      </c>
      <c r="H2093" s="3">
        <v>6.50173934606015</v>
      </c>
      <c r="I2093" s="3">
        <v>5.6049477121208202</v>
      </c>
      <c r="J2093" s="3">
        <v>4.48395816969665</v>
      </c>
      <c r="K2093" s="3">
        <v>3.3629686272724899</v>
      </c>
      <c r="L2093" s="3">
        <v>2.2419790848483299</v>
      </c>
      <c r="M2093" s="3">
        <v>1.12098954242416</v>
      </c>
    </row>
    <row r="2094" spans="1:14" x14ac:dyDescent="0.3">
      <c r="A2094" s="3" t="str">
        <f t="shared" si="32"/>
        <v>NGA</v>
      </c>
      <c r="C2094" s="3" t="s">
        <v>850</v>
      </c>
      <c r="D2094" s="3" t="s">
        <v>797</v>
      </c>
      <c r="E2094" s="3" t="s">
        <v>1392</v>
      </c>
      <c r="F2094" s="3" t="s">
        <v>1</v>
      </c>
      <c r="G2094" s="3">
        <v>18.277251532900301</v>
      </c>
      <c r="H2094" s="3">
        <v>17.8971009673376</v>
      </c>
      <c r="I2094" s="3">
        <v>15.428535316670301</v>
      </c>
      <c r="J2094" s="3">
        <v>12.3428282533363</v>
      </c>
      <c r="K2094" s="3">
        <v>9.2571211900022004</v>
      </c>
      <c r="L2094" s="3">
        <v>6.1714141266681297</v>
      </c>
      <c r="M2094" s="3">
        <v>3.0857070633340702</v>
      </c>
    </row>
    <row r="2095" spans="1:14" x14ac:dyDescent="0.3">
      <c r="A2095" s="3" t="str">
        <f t="shared" si="32"/>
        <v>NGA</v>
      </c>
      <c r="C2095" s="3" t="s">
        <v>850</v>
      </c>
      <c r="D2095" s="3" t="s">
        <v>797</v>
      </c>
      <c r="E2095" s="3" t="s">
        <v>1392</v>
      </c>
      <c r="F2095" s="3" t="s">
        <v>2</v>
      </c>
      <c r="G2095" s="3">
        <v>86.417868646723903</v>
      </c>
      <c r="H2095" s="3">
        <v>83.5372730251664</v>
      </c>
      <c r="I2095" s="3">
        <v>72.014890538936598</v>
      </c>
      <c r="J2095" s="3">
        <v>57.6119124311493</v>
      </c>
      <c r="K2095" s="3">
        <v>43.208934323362001</v>
      </c>
      <c r="L2095" s="3">
        <v>28.8059562155746</v>
      </c>
      <c r="M2095" s="3">
        <v>14.4029781077873</v>
      </c>
    </row>
    <row r="2096" spans="1:14" x14ac:dyDescent="0.3">
      <c r="A2096" s="3" t="str">
        <f t="shared" si="32"/>
        <v>NGA</v>
      </c>
      <c r="C2096" s="3" t="s">
        <v>850</v>
      </c>
      <c r="D2096" s="3" t="s">
        <v>797</v>
      </c>
      <c r="E2096" s="3" t="s">
        <v>1392</v>
      </c>
      <c r="F2096" s="3" t="s">
        <v>3</v>
      </c>
      <c r="G2096" s="3">
        <v>58.472491856547599</v>
      </c>
      <c r="H2096" s="3">
        <v>59.773056307355453</v>
      </c>
      <c r="I2096" s="3">
        <v>51.968672673416052</v>
      </c>
      <c r="J2096" s="3">
        <v>42.213193130991847</v>
      </c>
      <c r="K2096" s="3">
        <v>32.45771358856765</v>
      </c>
      <c r="L2096" s="3">
        <v>22.702234046143548</v>
      </c>
      <c r="M2096" s="3">
        <v>12.94675450371933</v>
      </c>
      <c r="N2096" s="3">
        <v>2.0073172639610002</v>
      </c>
    </row>
    <row r="2097" spans="1:16" x14ac:dyDescent="0.3">
      <c r="A2097" s="3" t="str">
        <f t="shared" si="32"/>
        <v>NGA</v>
      </c>
      <c r="C2097" s="3" t="s">
        <v>850</v>
      </c>
      <c r="D2097" s="3" t="s">
        <v>797</v>
      </c>
      <c r="E2097" s="3" t="s">
        <v>1392</v>
      </c>
      <c r="F2097" s="3" t="s">
        <v>4</v>
      </c>
      <c r="G2097" s="3">
        <v>11.0385544701816</v>
      </c>
      <c r="H2097" s="3">
        <v>11.429444224216089</v>
      </c>
      <c r="I2097" s="3">
        <v>12.678374680073311</v>
      </c>
      <c r="J2097" s="3">
        <v>10.83861560170971</v>
      </c>
      <c r="K2097" s="3">
        <v>8.9988565233461095</v>
      </c>
      <c r="L2097" s="3">
        <v>7.1590974449825104</v>
      </c>
      <c r="M2097" s="3">
        <v>5.3193383666189096</v>
      </c>
      <c r="N2097" s="3">
        <v>3.198050329325576</v>
      </c>
    </row>
    <row r="2098" spans="1:16" x14ac:dyDescent="0.3">
      <c r="A2098" s="3" t="str">
        <f t="shared" si="32"/>
        <v>NGA</v>
      </c>
      <c r="C2098" s="3" t="s">
        <v>850</v>
      </c>
      <c r="D2098" s="3" t="s">
        <v>797</v>
      </c>
      <c r="E2098" s="3" t="s">
        <v>1392</v>
      </c>
      <c r="F2098" s="3" t="s">
        <v>5</v>
      </c>
      <c r="G2098" s="3">
        <v>9.6217081001795908</v>
      </c>
      <c r="H2098" s="3">
        <v>9.9624254579486848</v>
      </c>
      <c r="I2098" s="3">
        <v>11.051050269842644</v>
      </c>
      <c r="J2098" s="3">
        <v>9.4474322531460437</v>
      </c>
      <c r="K2098" s="3">
        <v>7.8438142364494547</v>
      </c>
      <c r="L2098" s="3">
        <v>6.2401962197528551</v>
      </c>
      <c r="M2098" s="3">
        <v>4.6365782030562546</v>
      </c>
      <c r="N2098" s="3">
        <v>2.7875666910531329</v>
      </c>
    </row>
    <row r="2099" spans="1:16" x14ac:dyDescent="0.3">
      <c r="A2099" s="3" t="str">
        <f t="shared" si="32"/>
        <v>NGA</v>
      </c>
      <c r="C2099" s="3" t="s">
        <v>850</v>
      </c>
      <c r="D2099" s="3" t="s">
        <v>797</v>
      </c>
      <c r="E2099" s="3" t="s">
        <v>1392</v>
      </c>
      <c r="F2099" s="3" t="s">
        <v>6</v>
      </c>
      <c r="G2099" s="3">
        <v>33.281836930156601</v>
      </c>
      <c r="H2099" s="3">
        <v>34.336597123894151</v>
      </c>
      <c r="I2099" s="3">
        <v>38.555637898844338</v>
      </c>
      <c r="J2099" s="3">
        <v>32.984665124422641</v>
      </c>
      <c r="K2099" s="3">
        <v>27.413692350000844</v>
      </c>
      <c r="L2099" s="3">
        <v>21.842719575579139</v>
      </c>
      <c r="M2099" s="3">
        <v>16.271746801157462</v>
      </c>
      <c r="N2099" s="3">
        <v>9.9495190812161809</v>
      </c>
    </row>
    <row r="2100" spans="1:16" x14ac:dyDescent="0.3">
      <c r="A2100" s="3" t="str">
        <f t="shared" si="32"/>
        <v>NGA</v>
      </c>
      <c r="C2100" s="3" t="s">
        <v>850</v>
      </c>
      <c r="D2100" s="3" t="s">
        <v>797</v>
      </c>
      <c r="E2100" s="3" t="s">
        <v>1392</v>
      </c>
      <c r="F2100" s="3" t="s">
        <v>7</v>
      </c>
      <c r="G2100" s="3">
        <v>5.7619308083273504</v>
      </c>
      <c r="H2100" s="3">
        <v>5.5698664480497699</v>
      </c>
      <c r="I2100" s="3">
        <v>4.8016090069394597</v>
      </c>
      <c r="J2100" s="3">
        <v>3.8412872055515699</v>
      </c>
      <c r="K2100" s="3">
        <v>2.8809654041636801</v>
      </c>
      <c r="L2100" s="3">
        <v>1.9206436027757801</v>
      </c>
      <c r="M2100" s="3">
        <v>0.96032180138789203</v>
      </c>
    </row>
    <row r="2101" spans="1:16" x14ac:dyDescent="0.3">
      <c r="A2101" s="3" t="str">
        <f t="shared" si="32"/>
        <v>NGA</v>
      </c>
      <c r="C2101" s="3" t="s">
        <v>850</v>
      </c>
      <c r="D2101" s="3" t="s">
        <v>797</v>
      </c>
      <c r="E2101" s="3" t="s">
        <v>1392</v>
      </c>
      <c r="F2101" s="3" t="s">
        <v>8</v>
      </c>
      <c r="G2101" s="3">
        <v>3.6129930559338401</v>
      </c>
      <c r="H2101" s="3">
        <v>3.4925599540693799</v>
      </c>
      <c r="I2101" s="3">
        <v>3.0108275466115302</v>
      </c>
      <c r="K2101" s="3">
        <v>0.20479259577628101</v>
      </c>
      <c r="L2101" s="3">
        <v>0.61643438626584202</v>
      </c>
      <c r="M2101" s="3">
        <v>0.60216550932230695</v>
      </c>
    </row>
    <row r="2102" spans="1:16" x14ac:dyDescent="0.3">
      <c r="A2102" s="3" t="str">
        <f t="shared" si="32"/>
        <v>STM</v>
      </c>
      <c r="C2102" s="3" t="s">
        <v>850</v>
      </c>
      <c r="D2102" s="3" t="s">
        <v>780</v>
      </c>
      <c r="E2102" s="3" t="s">
        <v>1542</v>
      </c>
      <c r="F2102" s="3" t="s">
        <v>0</v>
      </c>
      <c r="G2102" s="3">
        <v>7.3436360408782996E-3</v>
      </c>
      <c r="H2102" s="3">
        <v>5.8376993916605798E-3</v>
      </c>
      <c r="I2102" s="3">
        <v>9.2957418238965896E-3</v>
      </c>
      <c r="J2102" s="3">
        <v>6.3412601767517604E-3</v>
      </c>
      <c r="K2102" s="3">
        <v>6.3414410245266001E-3</v>
      </c>
      <c r="L2102" s="3">
        <v>6.5895187479777396E-3</v>
      </c>
      <c r="M2102" s="3">
        <v>7.2208086828642803E-3</v>
      </c>
      <c r="N2102" s="3">
        <v>7.4551086169488698E-3</v>
      </c>
      <c r="O2102" s="3">
        <v>7.5117882880443004E-3</v>
      </c>
      <c r="P2102" s="3">
        <v>7.5617656730584803E-3</v>
      </c>
    </row>
    <row r="2103" spans="1:16" x14ac:dyDescent="0.3">
      <c r="A2103" s="3" t="str">
        <f t="shared" si="32"/>
        <v>STM</v>
      </c>
      <c r="C2103" s="3" t="s">
        <v>850</v>
      </c>
      <c r="D2103" s="3" t="s">
        <v>780</v>
      </c>
      <c r="E2103" s="3" t="s">
        <v>1542</v>
      </c>
      <c r="F2103" s="3" t="s">
        <v>1</v>
      </c>
      <c r="G2103" s="3">
        <v>2.2053104109381199</v>
      </c>
      <c r="H2103" s="3">
        <v>2.3542807636936298</v>
      </c>
      <c r="I2103" s="3">
        <v>2.4313653281130798</v>
      </c>
      <c r="J2103" s="3">
        <v>2.5771239783236499</v>
      </c>
      <c r="K2103" s="3">
        <v>2.5771974758813601</v>
      </c>
      <c r="L2103" s="3">
        <v>2.6780176648940199</v>
      </c>
      <c r="M2103" s="3">
        <v>2.9345774626508501</v>
      </c>
      <c r="N2103" s="3">
        <v>3.0298717777458402</v>
      </c>
      <c r="O2103" s="3">
        <v>3.0529067164480002</v>
      </c>
      <c r="P2103" s="3">
        <v>3.07321780820326</v>
      </c>
    </row>
    <row r="2104" spans="1:16" x14ac:dyDescent="0.3">
      <c r="A2104" s="3" t="str">
        <f t="shared" si="32"/>
        <v>STM</v>
      </c>
      <c r="C2104" s="3" t="s">
        <v>850</v>
      </c>
      <c r="D2104" s="3" t="s">
        <v>780</v>
      </c>
      <c r="E2104" s="3" t="s">
        <v>1542</v>
      </c>
      <c r="F2104" s="3" t="s">
        <v>2</v>
      </c>
      <c r="G2104" s="3">
        <v>1.09703025430291</v>
      </c>
      <c r="H2104" s="3">
        <v>8.0339917180609497</v>
      </c>
      <c r="I2104" s="3">
        <v>8.7692483365662408</v>
      </c>
      <c r="J2104" s="3">
        <v>9.2949586385598302</v>
      </c>
      <c r="K2104" s="3">
        <v>9.2952237235013602</v>
      </c>
      <c r="L2104" s="3">
        <v>9.6588536825901201</v>
      </c>
      <c r="M2104" s="3">
        <v>10.5841924433657</v>
      </c>
      <c r="N2104" s="3">
        <v>10.927892135250101</v>
      </c>
      <c r="O2104" s="3">
        <v>11.010972656125</v>
      </c>
      <c r="P2104" s="3">
        <v>11.0842290300352</v>
      </c>
    </row>
    <row r="2105" spans="1:16" x14ac:dyDescent="0.3">
      <c r="A2105" s="3" t="str">
        <f t="shared" si="32"/>
        <v>STM</v>
      </c>
      <c r="C2105" s="3" t="s">
        <v>850</v>
      </c>
      <c r="D2105" s="3" t="s">
        <v>780</v>
      </c>
      <c r="E2105" s="3" t="s">
        <v>1542</v>
      </c>
      <c r="F2105" s="3" t="s">
        <v>4</v>
      </c>
      <c r="H2105" s="3">
        <v>0.54451551737834802</v>
      </c>
      <c r="I2105" s="3">
        <v>0.55803188291894101</v>
      </c>
      <c r="J2105" s="3">
        <v>0.59148550384880505</v>
      </c>
      <c r="K2105" s="3">
        <v>0.59150237255218596</v>
      </c>
      <c r="L2105" s="3">
        <v>0.61464199672155795</v>
      </c>
      <c r="M2105" s="3">
        <v>0.67352600948925301</v>
      </c>
      <c r="N2105" s="3">
        <v>0.69539736936637997</v>
      </c>
      <c r="O2105" s="3">
        <v>0.70068420556012601</v>
      </c>
      <c r="P2105" s="3">
        <v>0.70534588130472697</v>
      </c>
    </row>
    <row r="2106" spans="1:16" x14ac:dyDescent="0.3">
      <c r="A2106" s="3" t="str">
        <f t="shared" si="32"/>
        <v>STM</v>
      </c>
      <c r="C2106" s="3" t="s">
        <v>850</v>
      </c>
      <c r="D2106" s="3" t="s">
        <v>780</v>
      </c>
      <c r="E2106" s="3" t="s">
        <v>1542</v>
      </c>
      <c r="F2106" s="3" t="s">
        <v>5</v>
      </c>
      <c r="H2106" s="3">
        <v>0.76948961270289595</v>
      </c>
      <c r="I2106" s="3">
        <v>0.76948961270289595</v>
      </c>
      <c r="J2106" s="3">
        <v>0.83586589683776003</v>
      </c>
      <c r="K2106" s="3">
        <v>0.83588973507943298</v>
      </c>
      <c r="L2106" s="3">
        <v>0.86858981408894798</v>
      </c>
      <c r="M2106" s="3">
        <v>0.95180256879089198</v>
      </c>
      <c r="N2106" s="3">
        <v>0.98271038262541099</v>
      </c>
      <c r="O2106" s="3">
        <v>0.99018154810244996</v>
      </c>
      <c r="P2106" s="3">
        <v>0.99676925946929995</v>
      </c>
    </row>
    <row r="2107" spans="1:16" x14ac:dyDescent="0.3">
      <c r="A2107" s="3" t="str">
        <f t="shared" si="32"/>
        <v>STM</v>
      </c>
      <c r="C2107" s="3" t="s">
        <v>850</v>
      </c>
      <c r="D2107" s="3" t="s">
        <v>780</v>
      </c>
      <c r="E2107" s="3" t="s">
        <v>1542</v>
      </c>
      <c r="F2107" s="3" t="s">
        <v>7</v>
      </c>
      <c r="H2107" s="3">
        <v>0.21900858207698001</v>
      </c>
      <c r="I2107" s="3">
        <v>0.224444974534868</v>
      </c>
      <c r="J2107" s="3">
        <v>0.237900293715608</v>
      </c>
      <c r="K2107" s="3">
        <v>0.23790707844568501</v>
      </c>
      <c r="L2107" s="3">
        <v>0.247214024009933</v>
      </c>
      <c r="M2107" s="3">
        <v>0.27089765419433198</v>
      </c>
      <c r="N2107" s="3">
        <v>0.27969449351646403</v>
      </c>
      <c r="O2107" s="3">
        <v>0.28182090215223699</v>
      </c>
      <c r="P2107" s="3">
        <v>0.28369586615664799</v>
      </c>
    </row>
    <row r="2108" spans="1:16" x14ac:dyDescent="0.3">
      <c r="A2108" s="3" t="str">
        <f t="shared" si="32"/>
        <v>STM</v>
      </c>
      <c r="C2108" s="3" t="s">
        <v>850</v>
      </c>
      <c r="D2108" s="3" t="s">
        <v>780</v>
      </c>
      <c r="E2108" s="3" t="s">
        <v>1542</v>
      </c>
      <c r="F2108" s="3" t="s">
        <v>8</v>
      </c>
      <c r="G2108" s="3">
        <v>2.4920663328860102</v>
      </c>
      <c r="H2108" s="3">
        <v>2.7908480098832098</v>
      </c>
      <c r="I2108" s="3">
        <v>2.8601244963485102</v>
      </c>
      <c r="J2108" s="3">
        <v>3.0315869586948998</v>
      </c>
      <c r="K2108" s="3">
        <v>3.0316734171809401</v>
      </c>
      <c r="L2108" s="3">
        <v>3.1502727444755401</v>
      </c>
      <c r="M2108" s="3">
        <v>3.4520755849857299</v>
      </c>
      <c r="N2108" s="3">
        <v>3.5641745780142502</v>
      </c>
      <c r="O2108" s="3">
        <v>3.5912716134503402</v>
      </c>
      <c r="P2108" s="3">
        <v>3.6151644650942698</v>
      </c>
    </row>
    <row r="2109" spans="1:16" x14ac:dyDescent="0.3">
      <c r="A2109" s="3" t="str">
        <f t="shared" si="32"/>
        <v>NGA</v>
      </c>
      <c r="C2109" s="3" t="s">
        <v>850</v>
      </c>
      <c r="D2109" s="3" t="s">
        <v>780</v>
      </c>
      <c r="E2109" s="3" t="s">
        <v>1294</v>
      </c>
      <c r="F2109" s="3" t="s">
        <v>1</v>
      </c>
      <c r="G2109" s="3">
        <v>0.12969921165064099</v>
      </c>
    </row>
    <row r="2110" spans="1:16" x14ac:dyDescent="0.3">
      <c r="A2110" s="3" t="str">
        <f t="shared" si="32"/>
        <v>NGA</v>
      </c>
      <c r="C2110" s="3" t="s">
        <v>850</v>
      </c>
      <c r="D2110" s="3" t="s">
        <v>780</v>
      </c>
      <c r="E2110" s="3" t="s">
        <v>1294</v>
      </c>
      <c r="F2110" s="3" t="s">
        <v>2</v>
      </c>
      <c r="G2110" s="3">
        <v>7.3886899227217198</v>
      </c>
      <c r="H2110" s="3">
        <v>0.50843409087200797</v>
      </c>
    </row>
    <row r="2111" spans="1:16" x14ac:dyDescent="0.3">
      <c r="A2111" s="3" t="str">
        <f t="shared" si="32"/>
        <v>NGA</v>
      </c>
      <c r="C2111" s="3" t="s">
        <v>850</v>
      </c>
      <c r="D2111" s="3" t="s">
        <v>780</v>
      </c>
      <c r="E2111" s="3" t="s">
        <v>1294</v>
      </c>
      <c r="F2111" s="3" t="s">
        <v>4</v>
      </c>
      <c r="G2111" s="3">
        <v>0.5411364259932</v>
      </c>
    </row>
    <row r="2112" spans="1:16" x14ac:dyDescent="0.3">
      <c r="A2112" s="3" t="str">
        <f t="shared" si="32"/>
        <v>NGA</v>
      </c>
      <c r="C2112" s="3" t="s">
        <v>850</v>
      </c>
      <c r="D2112" s="3" t="s">
        <v>780</v>
      </c>
      <c r="E2112" s="3" t="s">
        <v>1294</v>
      </c>
      <c r="F2112" s="3" t="s">
        <v>5</v>
      </c>
      <c r="G2112" s="3">
        <v>0.76471440311150896</v>
      </c>
      <c r="I2112" s="3">
        <v>1.9100838365551698E-2</v>
      </c>
    </row>
    <row r="2113" spans="1:16" x14ac:dyDescent="0.3">
      <c r="A2113" s="3" t="str">
        <f t="shared" si="32"/>
        <v>NGA</v>
      </c>
      <c r="C2113" s="3" t="s">
        <v>850</v>
      </c>
      <c r="D2113" s="3" t="s">
        <v>780</v>
      </c>
      <c r="E2113" s="3" t="s">
        <v>1294</v>
      </c>
      <c r="F2113" s="3" t="s">
        <v>7</v>
      </c>
      <c r="G2113" s="3">
        <v>0.217649483962507</v>
      </c>
    </row>
    <row r="2114" spans="1:16" x14ac:dyDescent="0.3">
      <c r="A2114" s="3" t="str">
        <f t="shared" si="32"/>
        <v>NGA</v>
      </c>
      <c r="C2114" s="3" t="s">
        <v>850</v>
      </c>
      <c r="D2114" s="3" t="s">
        <v>780</v>
      </c>
      <c r="E2114" s="3" t="s">
        <v>1294</v>
      </c>
      <c r="F2114" s="3" t="s">
        <v>8</v>
      </c>
      <c r="G2114" s="3">
        <v>0.28146255538086801</v>
      </c>
    </row>
    <row r="2115" spans="1:16" x14ac:dyDescent="0.3">
      <c r="A2115" s="3" t="str">
        <f t="shared" si="32"/>
        <v>EXT</v>
      </c>
      <c r="C2115" s="3" t="s">
        <v>850</v>
      </c>
      <c r="D2115" s="3" t="s">
        <v>1543</v>
      </c>
      <c r="E2115" s="3" t="s">
        <v>1544</v>
      </c>
      <c r="F2115" s="3" t="s">
        <v>0</v>
      </c>
      <c r="G2115" s="3">
        <v>11.914283276028099</v>
      </c>
      <c r="H2115" s="3">
        <v>11.988681246751201</v>
      </c>
      <c r="I2115" s="3">
        <v>12.286273129643501</v>
      </c>
      <c r="J2115" s="3">
        <v>13.022826607143701</v>
      </c>
      <c r="K2115" s="3">
        <v>13.023198007960399</v>
      </c>
      <c r="L2115" s="3">
        <v>13.5326666447256</v>
      </c>
      <c r="M2115" s="3">
        <v>14.829124940350299</v>
      </c>
      <c r="N2115" s="3">
        <v>15.310670008638301</v>
      </c>
      <c r="O2115" s="3">
        <v>15.4270710879607</v>
      </c>
      <c r="P2115" s="3">
        <v>15.529707914266</v>
      </c>
    </row>
    <row r="2116" spans="1:16" x14ac:dyDescent="0.3">
      <c r="A2116" s="3" t="str">
        <f t="shared" si="32"/>
        <v>EXT</v>
      </c>
      <c r="C2116" s="3" t="s">
        <v>850</v>
      </c>
      <c r="D2116" s="3" t="s">
        <v>1543</v>
      </c>
      <c r="E2116" s="3" t="s">
        <v>1544</v>
      </c>
      <c r="F2116" s="3" t="s">
        <v>1</v>
      </c>
      <c r="G2116" s="3">
        <v>34.782310266219802</v>
      </c>
      <c r="H2116" s="3">
        <v>34.999506151269202</v>
      </c>
      <c r="I2116" s="3">
        <v>35.868289691467197</v>
      </c>
      <c r="J2116" s="3">
        <v>38.0185685616717</v>
      </c>
      <c r="K2116" s="3">
        <v>38.019652821474999</v>
      </c>
      <c r="L2116" s="3">
        <v>39.506984940774799</v>
      </c>
      <c r="M2116" s="3">
        <v>43.291838266896598</v>
      </c>
      <c r="N2116" s="3">
        <v>44.697650902396298</v>
      </c>
      <c r="O2116" s="3">
        <v>45.0374697872182</v>
      </c>
      <c r="P2116" s="3">
        <v>45.337105598671201</v>
      </c>
    </row>
    <row r="2117" spans="1:16" x14ac:dyDescent="0.3">
      <c r="A2117" s="3" t="str">
        <f t="shared" si="32"/>
        <v>EXT</v>
      </c>
      <c r="C2117" s="3" t="s">
        <v>850</v>
      </c>
      <c r="D2117" s="3" t="s">
        <v>1543</v>
      </c>
      <c r="E2117" s="3" t="s">
        <v>1544</v>
      </c>
      <c r="F2117" s="3" t="s">
        <v>2</v>
      </c>
      <c r="G2117" s="3">
        <v>63.997658122003401</v>
      </c>
      <c r="H2117" s="3">
        <v>65.863860784346002</v>
      </c>
      <c r="I2117" s="3">
        <v>73.328671433716593</v>
      </c>
      <c r="J2117" s="3">
        <v>77.724673978594097</v>
      </c>
      <c r="K2117" s="3">
        <v>77.726890625430201</v>
      </c>
      <c r="L2117" s="3">
        <v>80.767573335063105</v>
      </c>
      <c r="M2117" s="3">
        <v>88.505278934168501</v>
      </c>
      <c r="N2117" s="3">
        <v>91.379304256609402</v>
      </c>
      <c r="O2117" s="3">
        <v>92.074025626555496</v>
      </c>
      <c r="P2117" s="3">
        <v>92.686597236654805</v>
      </c>
    </row>
    <row r="2118" spans="1:16" x14ac:dyDescent="0.3">
      <c r="A2118" s="3" t="str">
        <f t="shared" si="32"/>
        <v>EXT</v>
      </c>
      <c r="C2118" s="3" t="s">
        <v>850</v>
      </c>
      <c r="D2118" s="3" t="s">
        <v>1543</v>
      </c>
      <c r="E2118" s="3" t="s">
        <v>1544</v>
      </c>
      <c r="F2118" s="3" t="s">
        <v>3</v>
      </c>
      <c r="G2118" s="3">
        <v>46.632401256480598</v>
      </c>
      <c r="H2118" s="3">
        <v>46.923594267679803</v>
      </c>
      <c r="I2118" s="3">
        <v>48.088366312476403</v>
      </c>
      <c r="J2118" s="3">
        <v>50.97123022580579</v>
      </c>
      <c r="K2118" s="3">
        <v>50.97268388537649</v>
      </c>
      <c r="L2118" s="3">
        <v>52.96673970449789</v>
      </c>
      <c r="M2118" s="3">
        <v>58.041066212707193</v>
      </c>
      <c r="N2118" s="3">
        <v>59.92582942734969</v>
      </c>
      <c r="O2118" s="3">
        <v>60.381422240772892</v>
      </c>
      <c r="P2118" s="3">
        <v>60.783141887442092</v>
      </c>
    </row>
    <row r="2119" spans="1:16" x14ac:dyDescent="0.3">
      <c r="A2119" s="3" t="str">
        <f t="shared" si="32"/>
        <v>EXT</v>
      </c>
      <c r="C2119" s="3" t="s">
        <v>850</v>
      </c>
      <c r="D2119" s="3" t="s">
        <v>1543</v>
      </c>
      <c r="E2119" s="3" t="s">
        <v>1544</v>
      </c>
      <c r="F2119" s="3" t="s">
        <v>4</v>
      </c>
      <c r="G2119" s="3">
        <v>11.178498065655999</v>
      </c>
      <c r="H2119" s="3">
        <v>11.2483014732592</v>
      </c>
      <c r="I2119" s="3">
        <v>11.527515103672</v>
      </c>
      <c r="J2119" s="3">
        <v>12.2185815684131</v>
      </c>
      <c r="K2119" s="3">
        <v>12.2189300327911</v>
      </c>
      <c r="L2119" s="3">
        <v>12.6969356365399</v>
      </c>
      <c r="M2119" s="3">
        <v>13.913329121073099</v>
      </c>
      <c r="N2119" s="3">
        <v>14.3651356200184</v>
      </c>
      <c r="O2119" s="3">
        <v>14.4743481685116</v>
      </c>
      <c r="P2119" s="3">
        <v>14.5706464969749</v>
      </c>
    </row>
    <row r="2120" spans="1:16" x14ac:dyDescent="0.3">
      <c r="A2120" s="3" t="str">
        <f t="shared" ref="A2120:A2183" si="33">RIGHT(E2120,3)</f>
        <v>EXT</v>
      </c>
      <c r="C2120" s="3" t="s">
        <v>850</v>
      </c>
      <c r="D2120" s="3" t="s">
        <v>1543</v>
      </c>
      <c r="E2120" s="3" t="s">
        <v>1544</v>
      </c>
      <c r="F2120" s="3" t="s">
        <v>5</v>
      </c>
      <c r="G2120" s="3">
        <v>9.8215847569887504</v>
      </c>
      <c r="H2120" s="3">
        <v>9.8829150072669893</v>
      </c>
      <c r="I2120" s="3">
        <v>10.12823600838</v>
      </c>
      <c r="J2120" s="3">
        <v>10.7354166704243</v>
      </c>
      <c r="K2120" s="3">
        <v>10.7357228361009</v>
      </c>
      <c r="L2120" s="3">
        <v>11.155705245540901</v>
      </c>
      <c r="M2120" s="3">
        <v>12.2244455750577</v>
      </c>
      <c r="N2120" s="3">
        <v>12.6214090845637</v>
      </c>
      <c r="O2120" s="3">
        <v>12.7173647572536</v>
      </c>
      <c r="P2120" s="3">
        <v>12.801973815590699</v>
      </c>
    </row>
    <row r="2121" spans="1:16" x14ac:dyDescent="0.3">
      <c r="A2121" s="3" t="str">
        <f t="shared" si="33"/>
        <v>EXT</v>
      </c>
      <c r="C2121" s="3" t="s">
        <v>850</v>
      </c>
      <c r="D2121" s="3" t="s">
        <v>1543</v>
      </c>
      <c r="E2121" s="3" t="s">
        <v>1544</v>
      </c>
      <c r="F2121" s="3" t="s">
        <v>6</v>
      </c>
      <c r="G2121" s="3">
        <v>33.414018592806599</v>
      </c>
      <c r="H2121" s="3">
        <v>33.622670269068898</v>
      </c>
      <c r="I2121" s="3">
        <v>34.4572769741184</v>
      </c>
      <c r="J2121" s="3">
        <v>36.522966619193902</v>
      </c>
      <c r="K2121" s="3">
        <v>36.524008225601001</v>
      </c>
      <c r="L2121" s="3">
        <v>37.952830598456103</v>
      </c>
      <c r="M2121" s="3">
        <v>41.58879262749079</v>
      </c>
      <c r="N2121" s="3">
        <v>42.939302388948796</v>
      </c>
      <c r="O2121" s="3">
        <v>43.265753232746093</v>
      </c>
      <c r="P2121" s="3">
        <v>43.553601753972195</v>
      </c>
    </row>
    <row r="2122" spans="1:16" x14ac:dyDescent="0.3">
      <c r="A2122" s="3" t="str">
        <f t="shared" si="33"/>
        <v>EXT</v>
      </c>
      <c r="C2122" s="3" t="s">
        <v>850</v>
      </c>
      <c r="D2122" s="3" t="s">
        <v>1543</v>
      </c>
      <c r="E2122" s="3" t="s">
        <v>1544</v>
      </c>
      <c r="F2122" s="3" t="s">
        <v>7</v>
      </c>
      <c r="G2122" s="3">
        <v>3.1863909507277599</v>
      </c>
      <c r="H2122" s="3">
        <v>3.2062881627691602</v>
      </c>
      <c r="I2122" s="3">
        <v>3.2858770109347901</v>
      </c>
      <c r="J2122" s="3">
        <v>3.4828630386344801</v>
      </c>
      <c r="K2122" s="3">
        <v>3.4829623671609302</v>
      </c>
      <c r="L2122" s="3">
        <v>3.6192161573603303</v>
      </c>
      <c r="M2122" s="3">
        <v>3.9659447758989002</v>
      </c>
      <c r="N2122" s="3">
        <v>4.09473060484153</v>
      </c>
      <c r="O2122" s="3">
        <v>4.1258612517478301</v>
      </c>
      <c r="P2122" s="3">
        <v>4.15331074635644</v>
      </c>
    </row>
    <row r="2123" spans="1:16" x14ac:dyDescent="0.3">
      <c r="A2123" s="3" t="str">
        <f t="shared" si="33"/>
        <v>EXT</v>
      </c>
      <c r="C2123" s="3" t="s">
        <v>850</v>
      </c>
      <c r="D2123" s="3" t="s">
        <v>1543</v>
      </c>
      <c r="E2123" s="3" t="s">
        <v>1544</v>
      </c>
      <c r="F2123" s="3" t="s">
        <v>8</v>
      </c>
      <c r="G2123" s="3">
        <v>2.69900096220776</v>
      </c>
      <c r="H2123" s="3">
        <v>2.7158546990138999</v>
      </c>
      <c r="I2123" s="3">
        <v>2.7832696462384301</v>
      </c>
      <c r="J2123" s="3">
        <v>2.9501247140955402</v>
      </c>
      <c r="K2123" s="3">
        <v>2.9502088493421605</v>
      </c>
      <c r="L2123" s="3">
        <v>3.0656212756700105</v>
      </c>
      <c r="M2123" s="3">
        <v>3.3593143251204705</v>
      </c>
      <c r="N2123" s="3">
        <v>3.4684010886751806</v>
      </c>
      <c r="O2123" s="3">
        <v>3.4947699954582703</v>
      </c>
      <c r="P2123" s="3">
        <v>3.5180208185701805</v>
      </c>
    </row>
    <row r="2124" spans="1:16" x14ac:dyDescent="0.3">
      <c r="A2124" s="3" t="str">
        <f t="shared" si="33"/>
        <v>ELC</v>
      </c>
      <c r="C2124" s="3" t="s">
        <v>850</v>
      </c>
      <c r="D2124" s="3" t="s">
        <v>1423</v>
      </c>
      <c r="E2124" s="3" t="s">
        <v>1422</v>
      </c>
      <c r="F2124" s="3" t="s">
        <v>0</v>
      </c>
      <c r="G2124" s="3">
        <v>2.13917398212582E-2</v>
      </c>
      <c r="H2124" s="3">
        <v>2.1525319155941889E-2</v>
      </c>
      <c r="I2124" s="3">
        <v>2.2059636494574118E-2</v>
      </c>
      <c r="J2124" s="3">
        <v>2.338209626744597E-2</v>
      </c>
      <c r="K2124" s="3">
        <v>2.3382096267445932E-2</v>
      </c>
      <c r="L2124" s="3">
        <v>2.42968319903E-2</v>
      </c>
      <c r="M2124" s="3">
        <v>2.6624584143461309E-2</v>
      </c>
      <c r="N2124" s="3">
        <v>2.7489183933006804E-2</v>
      </c>
      <c r="O2124" s="3">
        <v>2.769817859479996E-2</v>
      </c>
      <c r="P2124" s="3">
        <v>2.7882459951348099E-2</v>
      </c>
    </row>
    <row r="2125" spans="1:16" x14ac:dyDescent="0.3">
      <c r="A2125" s="3" t="str">
        <f t="shared" si="33"/>
        <v>ELC</v>
      </c>
      <c r="C2125" s="3" t="s">
        <v>850</v>
      </c>
      <c r="D2125" s="3" t="s">
        <v>1423</v>
      </c>
      <c r="E2125" s="3" t="s">
        <v>1422</v>
      </c>
      <c r="F2125" s="3" t="s">
        <v>1</v>
      </c>
      <c r="G2125" s="3">
        <v>5.8884262667422201E-2</v>
      </c>
      <c r="H2125" s="3">
        <v>5.9251961634158544E-2</v>
      </c>
      <c r="I2125" s="3">
        <v>6.0722757501097742E-2</v>
      </c>
      <c r="J2125" s="3">
        <v>6.4363044325987148E-2</v>
      </c>
      <c r="K2125" s="3">
        <v>6.4364879909609027E-2</v>
      </c>
      <c r="L2125" s="3">
        <v>6.6882839599929522E-2</v>
      </c>
      <c r="M2125" s="3">
        <v>7.3290358126077038E-2</v>
      </c>
      <c r="N2125" s="3">
        <v>7.5670310459787948E-2</v>
      </c>
      <c r="O2125" s="3">
        <v>7.6245602449309294E-2</v>
      </c>
      <c r="P2125" s="3">
        <v>7.675286702406349E-2</v>
      </c>
    </row>
    <row r="2126" spans="1:16" x14ac:dyDescent="0.3">
      <c r="A2126" s="3" t="str">
        <f t="shared" si="33"/>
        <v>ELC</v>
      </c>
      <c r="C2126" s="3" t="s">
        <v>850</v>
      </c>
      <c r="D2126" s="3" t="s">
        <v>1423</v>
      </c>
      <c r="E2126" s="3" t="s">
        <v>1422</v>
      </c>
      <c r="F2126" s="3" t="s">
        <v>2</v>
      </c>
      <c r="G2126" s="3">
        <v>0.144296617455729</v>
      </c>
      <c r="H2126" s="3">
        <v>0.148504376607627</v>
      </c>
      <c r="I2126" s="3">
        <v>0.16533541321522033</v>
      </c>
      <c r="J2126" s="3">
        <v>0.17524715555340609</v>
      </c>
      <c r="K2126" s="3">
        <v>0.17525215346504738</v>
      </c>
      <c r="L2126" s="3">
        <v>0.18210803292425681</v>
      </c>
      <c r="M2126" s="3">
        <v>0.19955437045571223</v>
      </c>
      <c r="N2126" s="3">
        <v>0.20603448464551172</v>
      </c>
      <c r="O2126" s="3">
        <v>0.2076008848341924</v>
      </c>
      <c r="P2126" s="3">
        <v>0.20898206055030227</v>
      </c>
    </row>
    <row r="2127" spans="1:16" x14ac:dyDescent="0.3">
      <c r="A2127" s="3" t="str">
        <f t="shared" si="33"/>
        <v>ELC</v>
      </c>
      <c r="C2127" s="3" t="s">
        <v>850</v>
      </c>
      <c r="D2127" s="3" t="s">
        <v>1423</v>
      </c>
      <c r="E2127" s="3" t="s">
        <v>1422</v>
      </c>
      <c r="F2127" s="3" t="s">
        <v>3</v>
      </c>
      <c r="G2127" s="3">
        <v>0.108595033386365</v>
      </c>
      <c r="H2127" s="3">
        <v>0.10927314804314517</v>
      </c>
      <c r="I2127" s="3">
        <v>0.11198560667028065</v>
      </c>
      <c r="J2127" s="3">
        <v>0.11869906543459507</v>
      </c>
      <c r="K2127" s="3">
        <v>0.11870245063898847</v>
      </c>
      <c r="L2127" s="3">
        <v>0.12334610081391185</v>
      </c>
      <c r="M2127" s="3">
        <v>0.13516292005814307</v>
      </c>
      <c r="N2127" s="3">
        <v>0.13955205548125435</v>
      </c>
      <c r="O2127" s="3">
        <v>0.1406130155744765</v>
      </c>
      <c r="P2127" s="3">
        <v>0.14154851872821861</v>
      </c>
    </row>
    <row r="2128" spans="1:16" x14ac:dyDescent="0.3">
      <c r="A2128" s="3" t="str">
        <f t="shared" si="33"/>
        <v>ELC</v>
      </c>
      <c r="C2128" s="3" t="s">
        <v>850</v>
      </c>
      <c r="D2128" s="3" t="s">
        <v>1423</v>
      </c>
      <c r="E2128" s="3" t="s">
        <v>1422</v>
      </c>
      <c r="F2128" s="3" t="s">
        <v>4</v>
      </c>
      <c r="G2128" s="3">
        <v>6.2258102322241403E-2</v>
      </c>
      <c r="H2128" s="3">
        <v>6.264686901231703E-2</v>
      </c>
      <c r="I2128" s="3">
        <v>6.4201935772619262E-2</v>
      </c>
      <c r="J2128" s="3">
        <v>6.8050796900529259E-2</v>
      </c>
      <c r="K2128" s="3">
        <v>6.8052737655966561E-2</v>
      </c>
      <c r="L2128" s="3">
        <v>7.0714966661509768E-2</v>
      </c>
      <c r="M2128" s="3">
        <v>7.7489611124422264E-2</v>
      </c>
      <c r="N2128" s="3">
        <v>8.0005925487584423E-2</v>
      </c>
      <c r="O2128" s="3">
        <v>8.06141794747504E-2</v>
      </c>
      <c r="P2128" s="3">
        <v>8.1150508340373989E-2</v>
      </c>
    </row>
    <row r="2129" spans="1:16" x14ac:dyDescent="0.3">
      <c r="A2129" s="3" t="str">
        <f t="shared" si="33"/>
        <v>ELC</v>
      </c>
      <c r="C2129" s="3" t="s">
        <v>850</v>
      </c>
      <c r="D2129" s="3" t="s">
        <v>1423</v>
      </c>
      <c r="E2129" s="3" t="s">
        <v>1422</v>
      </c>
      <c r="F2129" s="3" t="s">
        <v>5</v>
      </c>
      <c r="G2129" s="3">
        <v>5.4267004709165102E-2</v>
      </c>
      <c r="H2129" s="3">
        <v>5.4605871507447848E-2</v>
      </c>
      <c r="I2129" s="3">
        <v>5.5961338700579247E-2</v>
      </c>
      <c r="J2129" s="3">
        <v>5.9316181799909551E-2</v>
      </c>
      <c r="K2129" s="3">
        <v>5.9317873450964363E-2</v>
      </c>
      <c r="L2129" s="3">
        <v>6.1638393810433761E-2</v>
      </c>
      <c r="M2129" s="3">
        <v>6.7543483256767109E-2</v>
      </c>
      <c r="N2129" s="3">
        <v>6.9736817751426927E-2</v>
      </c>
      <c r="O2129" s="3">
        <v>7.0266999699714713E-2</v>
      </c>
      <c r="P2129" s="3">
        <v>7.073448842794261E-2</v>
      </c>
    </row>
    <row r="2130" spans="1:16" x14ac:dyDescent="0.3">
      <c r="A2130" s="3" t="str">
        <f t="shared" si="33"/>
        <v>ELC</v>
      </c>
      <c r="C2130" s="3" t="s">
        <v>850</v>
      </c>
      <c r="D2130" s="3" t="s">
        <v>1423</v>
      </c>
      <c r="E2130" s="3" t="s">
        <v>1422</v>
      </c>
      <c r="F2130" s="3" t="s">
        <v>6</v>
      </c>
      <c r="G2130" s="3">
        <v>0.188523702425684</v>
      </c>
      <c r="H2130" s="3">
        <v>0.18970092648261774</v>
      </c>
      <c r="I2130" s="3">
        <v>0.19440982271035534</v>
      </c>
      <c r="J2130" s="3">
        <v>0.20606455555460754</v>
      </c>
      <c r="K2130" s="3">
        <v>0.20607043235436384</v>
      </c>
      <c r="L2130" s="3">
        <v>0.21413192555941279</v>
      </c>
      <c r="M2130" s="3">
        <v>0.23464622023154164</v>
      </c>
      <c r="N2130" s="3">
        <v>0.2422658694420948</v>
      </c>
      <c r="O2130" s="3">
        <v>0.24410772278163609</v>
      </c>
      <c r="P2130" s="3">
        <v>0.2457317797267311</v>
      </c>
    </row>
    <row r="2131" spans="1:16" x14ac:dyDescent="0.3">
      <c r="A2131" s="3" t="str">
        <f t="shared" si="33"/>
        <v>ELC</v>
      </c>
      <c r="C2131" s="3" t="s">
        <v>850</v>
      </c>
      <c r="D2131" s="3" t="s">
        <v>1423</v>
      </c>
      <c r="E2131" s="3" t="s">
        <v>1422</v>
      </c>
      <c r="F2131" s="3" t="s">
        <v>7</v>
      </c>
      <c r="G2131" s="3">
        <v>2.46692548444233E-2</v>
      </c>
      <c r="H2131" s="3">
        <v>2.4823300409494528E-2</v>
      </c>
      <c r="I2131" s="3">
        <v>2.5439482669779849E-2</v>
      </c>
      <c r="J2131" s="3">
        <v>2.6964561855999752E-2</v>
      </c>
      <c r="K2131" s="3">
        <v>2.6965330864188015E-2</v>
      </c>
      <c r="L2131" s="3">
        <v>2.8020216948765886E-2</v>
      </c>
      <c r="M2131" s="3">
        <v>3.0704613428937023E-2</v>
      </c>
      <c r="N2131" s="3">
        <v>3.1701682050981159E-2</v>
      </c>
      <c r="O2131" s="3">
        <v>3.1942697630638103E-2</v>
      </c>
      <c r="P2131" s="3">
        <v>3.2155213479547355E-2</v>
      </c>
    </row>
    <row r="2132" spans="1:16" x14ac:dyDescent="0.3">
      <c r="A2132" s="3" t="str">
        <f t="shared" si="33"/>
        <v>ELC</v>
      </c>
      <c r="C2132" s="3" t="s">
        <v>850</v>
      </c>
      <c r="D2132" s="3" t="s">
        <v>1423</v>
      </c>
      <c r="E2132" s="3" t="s">
        <v>1422</v>
      </c>
      <c r="F2132" s="3" t="s">
        <v>8</v>
      </c>
      <c r="G2132" s="3">
        <v>1.54687463999307E-2</v>
      </c>
      <c r="H2132" s="3">
        <v>1.5565339985555759E-2</v>
      </c>
      <c r="I2132" s="3">
        <v>1.5951714328056119E-2</v>
      </c>
      <c r="J2132" s="3">
        <v>1.6908008440716871E-2</v>
      </c>
      <c r="K2132" s="3">
        <v>1.6908490643877037E-2</v>
      </c>
      <c r="L2132" s="3">
        <v>1.7569952265886181E-2</v>
      </c>
      <c r="M2132" s="3">
        <v>1.9253191125369679E-2</v>
      </c>
      <c r="N2132" s="3">
        <v>1.9878398564953811E-2</v>
      </c>
      <c r="O2132" s="3">
        <v>2.0029526310954081E-2</v>
      </c>
      <c r="P2132" s="3">
        <v>2.0162783427696122E-2</v>
      </c>
    </row>
    <row r="2133" spans="1:16" x14ac:dyDescent="0.3">
      <c r="A2133" s="3" t="str">
        <f t="shared" si="33"/>
        <v>COA</v>
      </c>
      <c r="C2133" s="3" t="s">
        <v>850</v>
      </c>
      <c r="D2133" s="3" t="s">
        <v>735</v>
      </c>
      <c r="E2133" s="3" t="s">
        <v>1433</v>
      </c>
      <c r="F2133" s="3" t="s">
        <v>0</v>
      </c>
      <c r="G2133" s="3">
        <v>6.0661321065515897E-3</v>
      </c>
      <c r="H2133" s="3">
        <v>0.20148831598761499</v>
      </c>
      <c r="I2133" s="3">
        <v>0.20648980748625401</v>
      </c>
      <c r="J2133" s="3">
        <v>0.218868726965538</v>
      </c>
      <c r="K2133" s="3">
        <v>0.218874968930236</v>
      </c>
      <c r="L2133" s="3">
        <v>0.227437376717845</v>
      </c>
      <c r="M2133" s="3">
        <v>0.24922636195793399</v>
      </c>
      <c r="N2133" s="3">
        <v>0.257319471023434</v>
      </c>
      <c r="O2133" s="3">
        <v>0.25927577105085903</v>
      </c>
      <c r="P2133" s="3">
        <v>0.261000741534678</v>
      </c>
    </row>
    <row r="2134" spans="1:16" x14ac:dyDescent="0.3">
      <c r="A2134" s="3" t="str">
        <f t="shared" si="33"/>
        <v>COA</v>
      </c>
      <c r="C2134" s="3" t="s">
        <v>850</v>
      </c>
      <c r="D2134" s="3" t="s">
        <v>735</v>
      </c>
      <c r="E2134" s="3" t="s">
        <v>1433</v>
      </c>
      <c r="F2134" s="3" t="s">
        <v>1</v>
      </c>
      <c r="G2134" s="3">
        <v>1.6698020793151198E-2</v>
      </c>
      <c r="H2134" s="3">
        <v>0.55462954496233996</v>
      </c>
      <c r="I2134" s="3">
        <v>0.56839696835078302</v>
      </c>
      <c r="J2134" s="3">
        <v>0.60247196889990695</v>
      </c>
      <c r="K2134" s="3">
        <v>0.60248915092866795</v>
      </c>
      <c r="L2134" s="3">
        <v>0.62605857882201899</v>
      </c>
      <c r="M2134" s="3">
        <v>0.686036324477725</v>
      </c>
      <c r="N2134" s="3">
        <v>0.70831393088050099</v>
      </c>
      <c r="O2134" s="3">
        <v>0.71369896667625699</v>
      </c>
      <c r="P2134" s="3">
        <v>0.71844723006723898</v>
      </c>
    </row>
    <row r="2135" spans="1:16" x14ac:dyDescent="0.3">
      <c r="A2135" s="3" t="str">
        <f t="shared" si="33"/>
        <v>COA</v>
      </c>
      <c r="C2135" s="3" t="s">
        <v>850</v>
      </c>
      <c r="D2135" s="3" t="s">
        <v>735</v>
      </c>
      <c r="E2135" s="3" t="s">
        <v>1433</v>
      </c>
      <c r="F2135" s="3" t="s">
        <v>2</v>
      </c>
      <c r="G2135" s="3">
        <v>0.24429079086386499</v>
      </c>
      <c r="H2135" s="3">
        <v>2.3234629511194398</v>
      </c>
      <c r="I2135" s="3">
        <v>2.5867972102167598</v>
      </c>
      <c r="J2135" s="3">
        <v>2.7418738930047999</v>
      </c>
      <c r="K2135" s="3">
        <v>2.7419520891010798</v>
      </c>
      <c r="L2135" s="3">
        <v>2.8492174928871399</v>
      </c>
      <c r="M2135" s="3">
        <v>3.1221785989033202</v>
      </c>
      <c r="N2135" s="3">
        <v>3.2235648717052601</v>
      </c>
      <c r="O2135" s="3">
        <v>3.2480723837945602</v>
      </c>
      <c r="P2135" s="3">
        <v>3.26968191934295</v>
      </c>
    </row>
    <row r="2136" spans="1:16" x14ac:dyDescent="0.3">
      <c r="A2136" s="3" t="str">
        <f t="shared" si="33"/>
        <v>COA</v>
      </c>
      <c r="C2136" s="3" t="s">
        <v>850</v>
      </c>
      <c r="D2136" s="3" t="s">
        <v>735</v>
      </c>
      <c r="E2136" s="3" t="s">
        <v>1433</v>
      </c>
      <c r="F2136" s="3" t="s">
        <v>3</v>
      </c>
      <c r="G2136" s="3">
        <v>0.165463961330785</v>
      </c>
      <c r="H2136" s="3">
        <v>1.7096607980872001</v>
      </c>
      <c r="I2136" s="3">
        <v>1.75209925862662</v>
      </c>
      <c r="J2136" s="3">
        <v>1.85713638324932</v>
      </c>
      <c r="K2136" s="3">
        <v>1.8571893473246599</v>
      </c>
      <c r="L2136" s="3">
        <v>1.9298427558359801</v>
      </c>
      <c r="M2136" s="3">
        <v>2.11472580333424</v>
      </c>
      <c r="N2136" s="3">
        <v>2.1833971366376699</v>
      </c>
      <c r="O2136" s="3">
        <v>2.1999966573085801</v>
      </c>
      <c r="P2136" s="3">
        <v>2.2146333095610502</v>
      </c>
    </row>
    <row r="2137" spans="1:16" x14ac:dyDescent="0.3">
      <c r="A2137" s="3" t="str">
        <f t="shared" si="33"/>
        <v>COA</v>
      </c>
      <c r="C2137" s="3" t="s">
        <v>850</v>
      </c>
      <c r="D2137" s="3" t="s">
        <v>735</v>
      </c>
      <c r="E2137" s="3" t="s">
        <v>1433</v>
      </c>
      <c r="F2137" s="3" t="s">
        <v>4</v>
      </c>
      <c r="G2137" s="3">
        <v>1.85839500640071E-2</v>
      </c>
      <c r="H2137" s="3">
        <v>0.50087771547968296</v>
      </c>
      <c r="J2137" s="3">
        <v>0.54408349891209196</v>
      </c>
      <c r="K2137" s="3">
        <v>0.54409901574741104</v>
      </c>
      <c r="L2137" s="3">
        <v>0.56538421648295101</v>
      </c>
      <c r="M2137" s="3">
        <v>0.61954922896112596</v>
      </c>
      <c r="N2137" s="3">
        <v>0.63966780486954899</v>
      </c>
      <c r="O2137" s="3">
        <v>0.64453095082283196</v>
      </c>
      <c r="P2137" s="3">
        <v>0.64881903706233202</v>
      </c>
    </row>
    <row r="2138" spans="1:16" x14ac:dyDescent="0.3">
      <c r="A2138" s="3" t="str">
        <f t="shared" si="33"/>
        <v>COA</v>
      </c>
      <c r="C2138" s="3" t="s">
        <v>850</v>
      </c>
      <c r="D2138" s="3" t="s">
        <v>735</v>
      </c>
      <c r="E2138" s="3" t="s">
        <v>1433</v>
      </c>
      <c r="F2138" s="3" t="s">
        <v>5</v>
      </c>
      <c r="G2138" s="3">
        <v>1.61986194249625E-2</v>
      </c>
      <c r="J2138" s="3">
        <v>0.474248020680409</v>
      </c>
      <c r="K2138" s="3">
        <v>0.47426154586257901</v>
      </c>
      <c r="L2138" s="3">
        <v>0.49281469871283001</v>
      </c>
      <c r="M2138" s="3">
        <v>0.54002739678080602</v>
      </c>
      <c r="N2138" s="3">
        <v>0.55756366616327102</v>
      </c>
      <c r="O2138" s="3">
        <v>0.56180260622897105</v>
      </c>
      <c r="P2138" s="3">
        <v>0.56554029799072103</v>
      </c>
    </row>
    <row r="2139" spans="1:16" x14ac:dyDescent="0.3">
      <c r="A2139" s="3" t="str">
        <f t="shared" si="33"/>
        <v>COA</v>
      </c>
      <c r="C2139" s="3" t="s">
        <v>850</v>
      </c>
      <c r="D2139" s="3" t="s">
        <v>735</v>
      </c>
      <c r="E2139" s="3" t="s">
        <v>1433</v>
      </c>
      <c r="F2139" s="3" t="s">
        <v>6</v>
      </c>
      <c r="G2139" s="3">
        <v>5.6274042109841403E-2</v>
      </c>
      <c r="H2139" s="3">
        <v>1.5167073499285599</v>
      </c>
      <c r="J2139" s="3">
        <v>1.6475387430333499</v>
      </c>
      <c r="K2139" s="3">
        <v>1.64758572954813</v>
      </c>
      <c r="L2139" s="3">
        <v>1.71203942633394</v>
      </c>
      <c r="M2139" s="3">
        <v>1.8760564508405</v>
      </c>
      <c r="N2139" s="3">
        <v>1.93697749205946</v>
      </c>
      <c r="O2139" s="3">
        <v>1.9517035798512901</v>
      </c>
      <c r="P2139" s="3">
        <v>1.9646883298522799</v>
      </c>
    </row>
    <row r="2140" spans="1:16" x14ac:dyDescent="0.3">
      <c r="A2140" s="3" t="str">
        <f t="shared" si="33"/>
        <v>COA</v>
      </c>
      <c r="C2140" s="3" t="s">
        <v>850</v>
      </c>
      <c r="D2140" s="3" t="s">
        <v>735</v>
      </c>
      <c r="E2140" s="3" t="s">
        <v>1433</v>
      </c>
      <c r="F2140" s="3" t="s">
        <v>7</v>
      </c>
      <c r="H2140" s="3">
        <v>0.19291305270591799</v>
      </c>
      <c r="I2140" s="3">
        <v>0.197701682698463</v>
      </c>
      <c r="J2140" s="3">
        <v>0.20955376024571001</v>
      </c>
      <c r="K2140" s="3">
        <v>0.20955973655485199</v>
      </c>
      <c r="L2140" s="3">
        <v>0.217757731643171</v>
      </c>
      <c r="M2140" s="3">
        <v>0.238619386262827</v>
      </c>
      <c r="N2140" s="3">
        <v>0.24636805579761001</v>
      </c>
      <c r="O2140" s="3">
        <v>0.248241096467235</v>
      </c>
      <c r="P2140" s="3">
        <v>0.24989265288741899</v>
      </c>
    </row>
    <row r="2141" spans="1:16" x14ac:dyDescent="0.3">
      <c r="A2141" s="3" t="str">
        <f t="shared" si="33"/>
        <v>COA</v>
      </c>
      <c r="C2141" s="3" t="s">
        <v>850</v>
      </c>
      <c r="D2141" s="3" t="s">
        <v>735</v>
      </c>
      <c r="E2141" s="3" t="s">
        <v>1433</v>
      </c>
      <c r="F2141" s="3" t="s">
        <v>8</v>
      </c>
      <c r="J2141" s="3">
        <v>0.13139975223554701</v>
      </c>
      <c r="K2141" s="3">
        <v>0.131403499653582</v>
      </c>
      <c r="L2141" s="3">
        <v>0.13654401596868099</v>
      </c>
      <c r="M2141" s="3">
        <v>0.14962522360261701</v>
      </c>
      <c r="N2141" s="3">
        <v>0.15448399233018301</v>
      </c>
      <c r="O2141" s="3">
        <v>0.155658474141567</v>
      </c>
      <c r="P2141" s="3">
        <v>0.15669407524059201</v>
      </c>
    </row>
    <row r="2142" spans="1:16" x14ac:dyDescent="0.3">
      <c r="A2142" s="3" t="str">
        <f t="shared" si="33"/>
        <v>DST</v>
      </c>
      <c r="C2142" s="3" t="s">
        <v>850</v>
      </c>
      <c r="D2142" s="3" t="s">
        <v>735</v>
      </c>
      <c r="E2142" s="3" t="s">
        <v>1431</v>
      </c>
      <c r="F2142" s="3" t="s">
        <v>3</v>
      </c>
      <c r="G2142" s="3">
        <v>0.154066773132849</v>
      </c>
    </row>
    <row r="2143" spans="1:16" x14ac:dyDescent="0.3">
      <c r="A2143" s="3" t="str">
        <f t="shared" si="33"/>
        <v>DST</v>
      </c>
      <c r="C2143" s="3" t="s">
        <v>850</v>
      </c>
      <c r="D2143" s="3" t="s">
        <v>735</v>
      </c>
      <c r="E2143" s="3" t="s">
        <v>1431</v>
      </c>
      <c r="F2143" s="3" t="s">
        <v>4</v>
      </c>
      <c r="G2143" s="3">
        <v>5.1911652460093702E-2</v>
      </c>
    </row>
    <row r="2144" spans="1:16" x14ac:dyDescent="0.3">
      <c r="A2144" s="3" t="str">
        <f t="shared" si="33"/>
        <v>DST</v>
      </c>
      <c r="C2144" s="3" t="s">
        <v>850</v>
      </c>
      <c r="D2144" s="3" t="s">
        <v>735</v>
      </c>
      <c r="E2144" s="3" t="s">
        <v>1431</v>
      </c>
      <c r="F2144" s="3" t="s">
        <v>5</v>
      </c>
      <c r="G2144" s="3">
        <v>4.5248566587068301E-2</v>
      </c>
    </row>
    <row r="2145" spans="1:9" x14ac:dyDescent="0.3">
      <c r="A2145" s="3" t="str">
        <f t="shared" si="33"/>
        <v>DST</v>
      </c>
      <c r="C2145" s="3" t="s">
        <v>850</v>
      </c>
      <c r="D2145" s="3" t="s">
        <v>735</v>
      </c>
      <c r="E2145" s="3" t="s">
        <v>1431</v>
      </c>
      <c r="F2145" s="3" t="s">
        <v>6</v>
      </c>
      <c r="G2145" s="3">
        <v>0.15719362710670701</v>
      </c>
    </row>
    <row r="2146" spans="1:9" x14ac:dyDescent="0.3">
      <c r="A2146" s="3" t="str">
        <f t="shared" si="33"/>
        <v>ELC</v>
      </c>
      <c r="C2146" s="3" t="s">
        <v>850</v>
      </c>
      <c r="D2146" s="3" t="s">
        <v>735</v>
      </c>
      <c r="E2146" s="3" t="s">
        <v>1430</v>
      </c>
      <c r="F2146" s="3" t="s">
        <v>0</v>
      </c>
      <c r="G2146" s="3">
        <v>8.5566959285135205E-2</v>
      </c>
    </row>
    <row r="2147" spans="1:9" x14ac:dyDescent="0.3">
      <c r="A2147" s="3" t="str">
        <f t="shared" si="33"/>
        <v>ELC</v>
      </c>
      <c r="C2147" s="3" t="s">
        <v>850</v>
      </c>
      <c r="D2147" s="3" t="s">
        <v>735</v>
      </c>
      <c r="E2147" s="3" t="s">
        <v>1430</v>
      </c>
      <c r="F2147" s="3" t="s">
        <v>1</v>
      </c>
      <c r="G2147" s="3">
        <v>0.23553705066969599</v>
      </c>
    </row>
    <row r="2148" spans="1:9" x14ac:dyDescent="0.3">
      <c r="A2148" s="3" t="str">
        <f t="shared" si="33"/>
        <v>ELC</v>
      </c>
      <c r="C2148" s="3" t="s">
        <v>850</v>
      </c>
      <c r="D2148" s="3" t="s">
        <v>735</v>
      </c>
      <c r="E2148" s="3" t="s">
        <v>1430</v>
      </c>
      <c r="F2148" s="3" t="s">
        <v>2</v>
      </c>
      <c r="G2148" s="3">
        <v>0.64131829980323996</v>
      </c>
    </row>
    <row r="2149" spans="1:9" x14ac:dyDescent="0.3">
      <c r="A2149" s="3" t="str">
        <f t="shared" si="33"/>
        <v>ELC</v>
      </c>
      <c r="C2149" s="3" t="s">
        <v>850</v>
      </c>
      <c r="D2149" s="3" t="s">
        <v>735</v>
      </c>
      <c r="E2149" s="3" t="s">
        <v>1430</v>
      </c>
      <c r="F2149" s="3" t="s">
        <v>3</v>
      </c>
      <c r="G2149" s="3">
        <v>0.43438013354544402</v>
      </c>
    </row>
    <row r="2150" spans="1:9" x14ac:dyDescent="0.3">
      <c r="A2150" s="3" t="str">
        <f t="shared" si="33"/>
        <v>ELC</v>
      </c>
      <c r="C2150" s="3" t="s">
        <v>850</v>
      </c>
      <c r="D2150" s="3" t="s">
        <v>735</v>
      </c>
      <c r="E2150" s="3" t="s">
        <v>1430</v>
      </c>
      <c r="F2150" s="3" t="s">
        <v>4</v>
      </c>
      <c r="G2150" s="3">
        <v>0.249032409288966</v>
      </c>
    </row>
    <row r="2151" spans="1:9" x14ac:dyDescent="0.3">
      <c r="A2151" s="3" t="str">
        <f t="shared" si="33"/>
        <v>ELC</v>
      </c>
      <c r="C2151" s="3" t="s">
        <v>850</v>
      </c>
      <c r="D2151" s="3" t="s">
        <v>735</v>
      </c>
      <c r="E2151" s="3" t="s">
        <v>1430</v>
      </c>
      <c r="F2151" s="3" t="s">
        <v>5</v>
      </c>
      <c r="G2151" s="3">
        <v>0.21706801883665999</v>
      </c>
      <c r="H2151" s="3">
        <v>0.43658788705066998</v>
      </c>
    </row>
    <row r="2152" spans="1:9" x14ac:dyDescent="0.3">
      <c r="A2152" s="3" t="str">
        <f t="shared" si="33"/>
        <v>ELC</v>
      </c>
      <c r="C2152" s="3" t="s">
        <v>850</v>
      </c>
      <c r="D2152" s="3" t="s">
        <v>735</v>
      </c>
      <c r="E2152" s="3" t="s">
        <v>1430</v>
      </c>
      <c r="F2152" s="3" t="s">
        <v>6</v>
      </c>
      <c r="G2152" s="3">
        <v>0.75409480970273202</v>
      </c>
    </row>
    <row r="2153" spans="1:9" x14ac:dyDescent="0.3">
      <c r="A2153" s="3" t="str">
        <f t="shared" si="33"/>
        <v>ELC</v>
      </c>
      <c r="C2153" s="3" t="s">
        <v>850</v>
      </c>
      <c r="D2153" s="3" t="s">
        <v>735</v>
      </c>
      <c r="E2153" s="3" t="s">
        <v>1430</v>
      </c>
      <c r="F2153" s="3" t="s">
        <v>7</v>
      </c>
      <c r="G2153" s="3">
        <v>9.8677019377692896E-2</v>
      </c>
    </row>
    <row r="2154" spans="1:9" x14ac:dyDescent="0.3">
      <c r="A2154" s="3" t="str">
        <f t="shared" si="33"/>
        <v>ELC</v>
      </c>
      <c r="C2154" s="3" t="s">
        <v>850</v>
      </c>
      <c r="D2154" s="3" t="s">
        <v>735</v>
      </c>
      <c r="E2154" s="3" t="s">
        <v>1430</v>
      </c>
      <c r="F2154" s="3" t="s">
        <v>8</v>
      </c>
      <c r="G2154" s="3">
        <v>6.1874985599722702E-2</v>
      </c>
      <c r="H2154" s="3">
        <v>0.12096527067249099</v>
      </c>
      <c r="I2154" s="3">
        <v>0.123967959785921</v>
      </c>
    </row>
    <row r="2155" spans="1:9" x14ac:dyDescent="0.3">
      <c r="A2155" s="3" t="str">
        <f t="shared" si="33"/>
        <v>NGA</v>
      </c>
      <c r="C2155" s="3" t="s">
        <v>850</v>
      </c>
      <c r="D2155" s="3" t="s">
        <v>735</v>
      </c>
      <c r="E2155" s="3" t="s">
        <v>1432</v>
      </c>
      <c r="F2155" s="3" t="s">
        <v>0</v>
      </c>
      <c r="G2155" s="3">
        <v>0.10860485172126499</v>
      </c>
    </row>
    <row r="2156" spans="1:9" x14ac:dyDescent="0.3">
      <c r="A2156" s="3" t="str">
        <f t="shared" si="33"/>
        <v>NGA</v>
      </c>
      <c r="C2156" s="3" t="s">
        <v>850</v>
      </c>
      <c r="D2156" s="3" t="s">
        <v>735</v>
      </c>
      <c r="E2156" s="3" t="s">
        <v>1432</v>
      </c>
      <c r="F2156" s="3" t="s">
        <v>1</v>
      </c>
      <c r="G2156" s="3">
        <v>0.29895261765238701</v>
      </c>
    </row>
    <row r="2157" spans="1:9" x14ac:dyDescent="0.3">
      <c r="A2157" s="3" t="str">
        <f t="shared" si="33"/>
        <v>NGA</v>
      </c>
      <c r="C2157" s="3" t="s">
        <v>850</v>
      </c>
      <c r="D2157" s="3" t="s">
        <v>735</v>
      </c>
      <c r="E2157" s="3" t="s">
        <v>1432</v>
      </c>
      <c r="F2157" s="3" t="s">
        <v>2</v>
      </c>
      <c r="G2157" s="3">
        <v>1.3720202956780101</v>
      </c>
    </row>
    <row r="2158" spans="1:9" x14ac:dyDescent="0.3">
      <c r="A2158" s="3" t="str">
        <f t="shared" si="33"/>
        <v>NGA</v>
      </c>
      <c r="C2158" s="3" t="s">
        <v>850</v>
      </c>
      <c r="D2158" s="3" t="s">
        <v>735</v>
      </c>
      <c r="E2158" s="3" t="s">
        <v>1432</v>
      </c>
      <c r="F2158" s="3" t="s">
        <v>3</v>
      </c>
      <c r="G2158" s="3">
        <v>0.94514031494320405</v>
      </c>
    </row>
    <row r="2159" spans="1:9" x14ac:dyDescent="0.3">
      <c r="A2159" s="3" t="str">
        <f t="shared" si="33"/>
        <v>NGA</v>
      </c>
      <c r="C2159" s="3" t="s">
        <v>850</v>
      </c>
      <c r="D2159" s="3" t="s">
        <v>735</v>
      </c>
      <c r="E2159" s="3" t="s">
        <v>1432</v>
      </c>
      <c r="F2159" s="3" t="s">
        <v>4</v>
      </c>
      <c r="G2159" s="3">
        <v>0.178241414702624</v>
      </c>
      <c r="I2159" s="3">
        <v>0.51331087133565101</v>
      </c>
    </row>
    <row r="2160" spans="1:9" x14ac:dyDescent="0.3">
      <c r="A2160" s="3" t="str">
        <f t="shared" si="33"/>
        <v>NGA</v>
      </c>
      <c r="C2160" s="3" t="s">
        <v>850</v>
      </c>
      <c r="D2160" s="3" t="s">
        <v>735</v>
      </c>
      <c r="E2160" s="3" t="s">
        <v>1432</v>
      </c>
      <c r="F2160" s="3" t="s">
        <v>5</v>
      </c>
      <c r="G2160" s="3">
        <v>0.15536335561548301</v>
      </c>
      <c r="I2160" s="3">
        <v>0.44742519339665499</v>
      </c>
    </row>
    <row r="2161" spans="1:16" x14ac:dyDescent="0.3">
      <c r="A2161" s="3" t="str">
        <f t="shared" si="33"/>
        <v>NGA</v>
      </c>
      <c r="C2161" s="3" t="s">
        <v>850</v>
      </c>
      <c r="D2161" s="3" t="s">
        <v>735</v>
      </c>
      <c r="E2161" s="3" t="s">
        <v>1432</v>
      </c>
      <c r="F2161" s="3" t="s">
        <v>6</v>
      </c>
      <c r="G2161" s="3">
        <v>0.539732664054005</v>
      </c>
      <c r="I2161" s="3">
        <v>1.5543561777497299</v>
      </c>
    </row>
    <row r="2162" spans="1:16" x14ac:dyDescent="0.3">
      <c r="A2162" s="3" t="str">
        <f t="shared" si="33"/>
        <v>NGA</v>
      </c>
      <c r="C2162" s="3" t="s">
        <v>850</v>
      </c>
      <c r="D2162" s="3" t="s">
        <v>735</v>
      </c>
      <c r="E2162" s="3" t="s">
        <v>1432</v>
      </c>
      <c r="F2162" s="3" t="s">
        <v>7</v>
      </c>
      <c r="G2162" s="3">
        <v>9.3038875830088894E-2</v>
      </c>
    </row>
    <row r="2163" spans="1:16" x14ac:dyDescent="0.3">
      <c r="A2163" s="3" t="str">
        <f t="shared" si="33"/>
        <v>NGA</v>
      </c>
      <c r="C2163" s="3" t="s">
        <v>850</v>
      </c>
      <c r="D2163" s="3" t="s">
        <v>735</v>
      </c>
      <c r="E2163" s="3" t="s">
        <v>1432</v>
      </c>
      <c r="F2163" s="3" t="s">
        <v>8</v>
      </c>
      <c r="G2163" s="3">
        <v>5.8339612794410398E-2</v>
      </c>
    </row>
    <row r="2164" spans="1:16" x14ac:dyDescent="0.3">
      <c r="A2164" s="3" t="str">
        <f t="shared" si="33"/>
        <v>BIO</v>
      </c>
      <c r="C2164" s="3" t="s">
        <v>850</v>
      </c>
      <c r="D2164" s="3" t="s">
        <v>719</v>
      </c>
      <c r="E2164" s="3" t="s">
        <v>1420</v>
      </c>
      <c r="F2164" s="3" t="s">
        <v>0</v>
      </c>
      <c r="G2164" s="3">
        <v>3.3680876078536301E-2</v>
      </c>
      <c r="H2164" s="3">
        <v>5.2860419146190702</v>
      </c>
      <c r="J2164" s="3">
        <v>9.6113665033875098</v>
      </c>
      <c r="K2164" s="3">
        <v>9.6116412788726304</v>
      </c>
      <c r="L2164" s="3">
        <v>9.9876494941125795</v>
      </c>
      <c r="N2164" s="3">
        <v>11.2998870840302</v>
      </c>
      <c r="O2164" s="3">
        <v>11.3857957326291</v>
      </c>
      <c r="P2164" s="3">
        <v>11.461545812402401</v>
      </c>
    </row>
    <row r="2165" spans="1:16" x14ac:dyDescent="0.3">
      <c r="A2165" s="3" t="str">
        <f t="shared" si="33"/>
        <v>BIO</v>
      </c>
      <c r="C2165" s="3" t="s">
        <v>850</v>
      </c>
      <c r="D2165" s="3" t="s">
        <v>719</v>
      </c>
      <c r="E2165" s="3" t="s">
        <v>1420</v>
      </c>
      <c r="F2165" s="3" t="s">
        <v>1</v>
      </c>
      <c r="G2165" s="3">
        <v>9.2712120213065699E-2</v>
      </c>
      <c r="H2165" s="3">
        <v>12.324387038373301</v>
      </c>
      <c r="J2165" s="3">
        <v>27.947548410007101</v>
      </c>
      <c r="K2165" s="3">
        <v>27.948345452202201</v>
      </c>
      <c r="L2165" s="3">
        <v>29.041687152809899</v>
      </c>
      <c r="M2165" s="3">
        <v>31.823942654749199</v>
      </c>
    </row>
    <row r="2166" spans="1:16" x14ac:dyDescent="0.3">
      <c r="A2166" s="3" t="str">
        <f t="shared" si="33"/>
        <v>BIO</v>
      </c>
      <c r="C2166" s="3" t="s">
        <v>850</v>
      </c>
      <c r="D2166" s="3" t="s">
        <v>719</v>
      </c>
      <c r="E2166" s="3" t="s">
        <v>1420</v>
      </c>
      <c r="F2166" s="3" t="s">
        <v>2</v>
      </c>
      <c r="H2166" s="3">
        <v>10.789003032068299</v>
      </c>
      <c r="J2166" s="3">
        <v>10.9711967668716</v>
      </c>
      <c r="K2166" s="3">
        <v>29.087821631634402</v>
      </c>
      <c r="L2166" s="3">
        <v>30.225739739312601</v>
      </c>
      <c r="P2166" s="3">
        <v>34.686209449125698</v>
      </c>
    </row>
    <row r="2167" spans="1:16" x14ac:dyDescent="0.3">
      <c r="A2167" s="3" t="str">
        <f t="shared" si="33"/>
        <v>BIO</v>
      </c>
      <c r="C2167" s="3" t="s">
        <v>850</v>
      </c>
      <c r="D2167" s="3" t="s">
        <v>719</v>
      </c>
      <c r="E2167" s="3" t="s">
        <v>1420</v>
      </c>
      <c r="F2167" s="3" t="s">
        <v>3</v>
      </c>
      <c r="G2167" s="3">
        <v>4.0831225485708902E-2</v>
      </c>
      <c r="J2167" s="3">
        <v>1.9048107949969599</v>
      </c>
      <c r="K2167" s="3">
        <v>19.701873233263299</v>
      </c>
      <c r="P2167" s="3">
        <v>23.4937944189634</v>
      </c>
    </row>
    <row r="2168" spans="1:16" x14ac:dyDescent="0.3">
      <c r="A2168" s="3" t="str">
        <f t="shared" si="33"/>
        <v>BIO</v>
      </c>
      <c r="C2168" s="3" t="s">
        <v>850</v>
      </c>
      <c r="D2168" s="3" t="s">
        <v>719</v>
      </c>
      <c r="E2168" s="3" t="s">
        <v>1420</v>
      </c>
      <c r="F2168" s="3" t="s">
        <v>4</v>
      </c>
      <c r="J2168" s="3">
        <v>4.8491194737874999</v>
      </c>
      <c r="K2168" s="3">
        <v>4.8492577668775603</v>
      </c>
      <c r="L2168" s="3">
        <v>5.0389611517377197</v>
      </c>
      <c r="M2168" s="3">
        <v>5.5217043654742897</v>
      </c>
      <c r="P2168" s="3">
        <v>5.7825702008495101</v>
      </c>
    </row>
    <row r="2169" spans="1:16" x14ac:dyDescent="0.3">
      <c r="A2169" s="3" t="str">
        <f t="shared" si="33"/>
        <v>BIO</v>
      </c>
      <c r="C2169" s="3" t="s">
        <v>850</v>
      </c>
      <c r="D2169" s="3" t="s">
        <v>719</v>
      </c>
      <c r="E2169" s="3" t="s">
        <v>1420</v>
      </c>
      <c r="F2169" s="3" t="s">
        <v>5</v>
      </c>
      <c r="J2169" s="3">
        <v>4.2267139457175604</v>
      </c>
      <c r="K2169" s="3">
        <v>4.22683448828937</v>
      </c>
      <c r="L2169" s="3">
        <v>4.3921886204514298</v>
      </c>
      <c r="M2169" s="3">
        <v>4.8129696477556001</v>
      </c>
      <c r="P2169" s="3">
        <v>5.0403522210870602</v>
      </c>
    </row>
    <row r="2170" spans="1:16" x14ac:dyDescent="0.3">
      <c r="A2170" s="3" t="str">
        <f t="shared" si="33"/>
        <v>BIO</v>
      </c>
      <c r="C2170" s="3" t="s">
        <v>850</v>
      </c>
      <c r="D2170" s="3" t="s">
        <v>719</v>
      </c>
      <c r="E2170" s="3" t="s">
        <v>1420</v>
      </c>
      <c r="F2170" s="3" t="s">
        <v>6</v>
      </c>
      <c r="K2170" s="3">
        <v>14.684032987328401</v>
      </c>
      <c r="L2170" s="3">
        <v>15.2584736326826</v>
      </c>
    </row>
    <row r="2171" spans="1:16" x14ac:dyDescent="0.3">
      <c r="A2171" s="3" t="str">
        <f t="shared" si="33"/>
        <v>BIO</v>
      </c>
      <c r="C2171" s="3" t="s">
        <v>850</v>
      </c>
      <c r="D2171" s="3" t="s">
        <v>719</v>
      </c>
      <c r="E2171" s="3" t="s">
        <v>1420</v>
      </c>
      <c r="F2171" s="3" t="s">
        <v>7</v>
      </c>
      <c r="G2171" s="3">
        <v>3.1073007518094799E-2</v>
      </c>
      <c r="H2171" s="3">
        <v>0.36864274098743099</v>
      </c>
      <c r="J2171" s="3">
        <v>0.400441916592155</v>
      </c>
      <c r="K2171" s="3">
        <v>0.40045333688203399</v>
      </c>
      <c r="L2171" s="3">
        <v>0.41611910618882397</v>
      </c>
      <c r="M2171" s="3">
        <v>0.45598420309466597</v>
      </c>
    </row>
    <row r="2172" spans="1:16" x14ac:dyDescent="0.3">
      <c r="A2172" s="3" t="str">
        <f t="shared" si="33"/>
        <v>BIO</v>
      </c>
      <c r="C2172" s="3" t="s">
        <v>850</v>
      </c>
      <c r="D2172" s="3" t="s">
        <v>719</v>
      </c>
      <c r="E2172" s="3" t="s">
        <v>1420</v>
      </c>
      <c r="F2172" s="3" t="s">
        <v>8</v>
      </c>
      <c r="G2172" s="3">
        <v>1.9484190998546001E-2</v>
      </c>
      <c r="H2172" s="3">
        <v>0.231155789198838</v>
      </c>
      <c r="J2172" s="3">
        <v>0.25109532066253598</v>
      </c>
      <c r="K2172" s="3">
        <v>0.25110248170444999</v>
      </c>
      <c r="L2172" s="3">
        <v>0.26092563258982499</v>
      </c>
      <c r="M2172" s="3">
        <v>0.28592286408847001</v>
      </c>
      <c r="O2172" s="3">
        <v>0.29745196481309999</v>
      </c>
    </row>
    <row r="2173" spans="1:16" x14ac:dyDescent="0.3">
      <c r="A2173" s="3" t="str">
        <f t="shared" si="33"/>
        <v>COK</v>
      </c>
      <c r="C2173" s="3" t="s">
        <v>850</v>
      </c>
      <c r="D2173" s="3" t="s">
        <v>719</v>
      </c>
      <c r="E2173" s="3" t="s">
        <v>1419</v>
      </c>
      <c r="F2173" s="3" t="s">
        <v>0</v>
      </c>
      <c r="G2173" s="3">
        <v>8.6377437614399692</v>
      </c>
      <c r="H2173" s="3">
        <v>3.5620839823813601</v>
      </c>
      <c r="I2173" s="3">
        <v>9.0677606000642097</v>
      </c>
    </row>
    <row r="2174" spans="1:16" x14ac:dyDescent="0.3">
      <c r="A2174" s="3" t="str">
        <f t="shared" si="33"/>
        <v>COK</v>
      </c>
      <c r="C2174" s="3" t="s">
        <v>850</v>
      </c>
      <c r="D2174" s="3" t="s">
        <v>719</v>
      </c>
      <c r="E2174" s="3" t="s">
        <v>1419</v>
      </c>
      <c r="F2174" s="3" t="s">
        <v>1</v>
      </c>
      <c r="G2174" s="3">
        <v>23.776802483193698</v>
      </c>
      <c r="H2174" s="3">
        <v>13.403840759110301</v>
      </c>
    </row>
    <row r="2175" spans="1:16" x14ac:dyDescent="0.3">
      <c r="A2175" s="3" t="str">
        <f t="shared" si="33"/>
        <v>COK</v>
      </c>
      <c r="C2175" s="3" t="s">
        <v>850</v>
      </c>
      <c r="D2175" s="3" t="s">
        <v>719</v>
      </c>
      <c r="E2175" s="3" t="s">
        <v>1419</v>
      </c>
      <c r="F2175" s="3" t="s">
        <v>2</v>
      </c>
      <c r="G2175" s="3">
        <v>23.949915522365</v>
      </c>
      <c r="H2175" s="3">
        <v>13.8593036099453</v>
      </c>
    </row>
    <row r="2176" spans="1:16" x14ac:dyDescent="0.3">
      <c r="A2176" s="3" t="str">
        <f t="shared" si="33"/>
        <v>COK</v>
      </c>
      <c r="C2176" s="3" t="s">
        <v>850</v>
      </c>
      <c r="D2176" s="3" t="s">
        <v>719</v>
      </c>
      <c r="E2176" s="3" t="s">
        <v>1419</v>
      </c>
      <c r="F2176" s="3" t="s">
        <v>3</v>
      </c>
      <c r="G2176" s="3">
        <v>16.712344510954502</v>
      </c>
    </row>
    <row r="2177" spans="1:16" x14ac:dyDescent="0.3">
      <c r="A2177" s="3" t="str">
        <f t="shared" si="33"/>
        <v>COK</v>
      </c>
      <c r="C2177" s="3" t="s">
        <v>850</v>
      </c>
      <c r="D2177" s="3" t="s">
        <v>719</v>
      </c>
      <c r="E2177" s="3" t="s">
        <v>1419</v>
      </c>
      <c r="F2177" s="3" t="s">
        <v>4</v>
      </c>
      <c r="G2177" s="3">
        <v>4.01658887534429</v>
      </c>
      <c r="H2177" s="3">
        <v>4.4640498911935298</v>
      </c>
    </row>
    <row r="2178" spans="1:16" x14ac:dyDescent="0.3">
      <c r="A2178" s="3" t="str">
        <f t="shared" si="33"/>
        <v>COK</v>
      </c>
      <c r="C2178" s="3" t="s">
        <v>850</v>
      </c>
      <c r="D2178" s="3" t="s">
        <v>719</v>
      </c>
      <c r="E2178" s="3" t="s">
        <v>1419</v>
      </c>
      <c r="F2178" s="3" t="s">
        <v>5</v>
      </c>
      <c r="G2178" s="3">
        <v>3.50104226249795</v>
      </c>
      <c r="H2178" s="3">
        <v>3.8910697151269198</v>
      </c>
    </row>
    <row r="2179" spans="1:16" x14ac:dyDescent="0.3">
      <c r="A2179" s="3" t="str">
        <f t="shared" si="33"/>
        <v>COK</v>
      </c>
      <c r="C2179" s="3" t="s">
        <v>850</v>
      </c>
      <c r="D2179" s="3" t="s">
        <v>719</v>
      </c>
      <c r="E2179" s="3" t="s">
        <v>1419</v>
      </c>
      <c r="F2179" s="3" t="s">
        <v>6</v>
      </c>
      <c r="G2179" s="3">
        <v>12.1626290821139</v>
      </c>
      <c r="H2179" s="3">
        <v>13.517585372982399</v>
      </c>
      <c r="J2179" s="3">
        <v>14.6836142221494</v>
      </c>
    </row>
    <row r="2180" spans="1:16" x14ac:dyDescent="0.3">
      <c r="A2180" s="3" t="str">
        <f t="shared" si="33"/>
        <v>NGA</v>
      </c>
      <c r="C2180" s="3" t="s">
        <v>850</v>
      </c>
      <c r="D2180" s="3" t="s">
        <v>719</v>
      </c>
      <c r="E2180" s="3" t="s">
        <v>1418</v>
      </c>
      <c r="F2180" s="3" t="s">
        <v>0</v>
      </c>
      <c r="G2180" s="3">
        <v>0.12179258371599</v>
      </c>
      <c r="M2180" s="3">
        <v>10.944487530239901</v>
      </c>
    </row>
    <row r="2181" spans="1:16" x14ac:dyDescent="0.3">
      <c r="A2181" s="3" t="str">
        <f t="shared" si="33"/>
        <v>NGA</v>
      </c>
      <c r="C2181" s="3" t="s">
        <v>850</v>
      </c>
      <c r="D2181" s="3" t="s">
        <v>719</v>
      </c>
      <c r="E2181" s="3" t="s">
        <v>1418</v>
      </c>
      <c r="F2181" s="3" t="s">
        <v>1</v>
      </c>
      <c r="G2181" s="3">
        <v>0.33525400693874802</v>
      </c>
      <c r="I2181" s="3">
        <v>26.366872832425202</v>
      </c>
      <c r="N2181" s="3">
        <v>32.857359171267802</v>
      </c>
      <c r="O2181" s="3">
        <v>33.107160915349503</v>
      </c>
      <c r="P2181" s="3">
        <v>33.327423977920397</v>
      </c>
    </row>
    <row r="2182" spans="1:16" x14ac:dyDescent="0.3">
      <c r="A2182" s="3" t="str">
        <f t="shared" si="33"/>
        <v>NGA</v>
      </c>
      <c r="C2182" s="3" t="s">
        <v>850</v>
      </c>
      <c r="D2182" s="3" t="s">
        <v>719</v>
      </c>
      <c r="E2182" s="3" t="s">
        <v>1418</v>
      </c>
      <c r="F2182" s="3" t="s">
        <v>2</v>
      </c>
      <c r="I2182" s="3">
        <v>27.441871120608301</v>
      </c>
      <c r="J2182" s="3">
        <v>18.1157953265262</v>
      </c>
      <c r="M2182" s="3">
        <v>33.121430001637798</v>
      </c>
      <c r="N2182" s="3">
        <v>34.196979728010298</v>
      </c>
      <c r="O2182" s="3">
        <v>34.456966087043497</v>
      </c>
    </row>
    <row r="2183" spans="1:16" x14ac:dyDescent="0.3">
      <c r="A2183" s="3" t="str">
        <f t="shared" si="33"/>
        <v>NGA</v>
      </c>
      <c r="C2183" s="3" t="s">
        <v>850</v>
      </c>
      <c r="D2183" s="3" t="s">
        <v>719</v>
      </c>
      <c r="E2183" s="3" t="s">
        <v>1418</v>
      </c>
      <c r="F2183" s="3" t="s">
        <v>3</v>
      </c>
      <c r="G2183" s="3">
        <v>0.83052441854150905</v>
      </c>
      <c r="H2183" s="3">
        <v>18.136826147703299</v>
      </c>
      <c r="I2183" s="3">
        <v>18.5870318151905</v>
      </c>
      <c r="J2183" s="3">
        <v>17.7965005722942</v>
      </c>
      <c r="L2183" s="3">
        <v>20.472612224694998</v>
      </c>
      <c r="M2183" s="3">
        <v>22.433932092288</v>
      </c>
      <c r="N2183" s="3">
        <v>23.1624274960832</v>
      </c>
      <c r="O2183" s="3">
        <v>23.33852243894</v>
      </c>
    </row>
    <row r="2184" spans="1:16" x14ac:dyDescent="0.3">
      <c r="A2184" s="3" t="str">
        <f t="shared" ref="A2184:A2206" si="34">RIGHT(E2184,3)</f>
        <v>NGA</v>
      </c>
      <c r="C2184" s="3" t="s">
        <v>850</v>
      </c>
      <c r="D2184" s="3" t="s">
        <v>719</v>
      </c>
      <c r="E2184" s="3" t="s">
        <v>1418</v>
      </c>
      <c r="F2184" s="3" t="s">
        <v>4</v>
      </c>
      <c r="G2184" s="3">
        <v>0.41975853162467902</v>
      </c>
      <c r="I2184" s="3">
        <v>4.5748598280917498</v>
      </c>
      <c r="N2184" s="3">
        <v>5.7010102595465701</v>
      </c>
      <c r="O2184" s="3">
        <v>5.7443528269890498</v>
      </c>
    </row>
    <row r="2185" spans="1:16" x14ac:dyDescent="0.3">
      <c r="A2185" s="3" t="str">
        <f t="shared" si="34"/>
        <v>NGA</v>
      </c>
      <c r="C2185" s="3" t="s">
        <v>850</v>
      </c>
      <c r="D2185" s="3" t="s">
        <v>719</v>
      </c>
      <c r="E2185" s="3" t="s">
        <v>1418</v>
      </c>
      <c r="F2185" s="3" t="s">
        <v>5</v>
      </c>
      <c r="G2185" s="3">
        <v>0.36588070247446303</v>
      </c>
      <c r="I2185" s="3">
        <v>3.98765671574502</v>
      </c>
      <c r="N2185" s="3">
        <v>4.9692608521941199</v>
      </c>
      <c r="O2185" s="3">
        <v>5.0070402130126404</v>
      </c>
    </row>
    <row r="2186" spans="1:16" x14ac:dyDescent="0.3">
      <c r="A2186" s="3" t="str">
        <f t="shared" si="34"/>
        <v>NGA</v>
      </c>
      <c r="C2186" s="3" t="s">
        <v>850</v>
      </c>
      <c r="D2186" s="3" t="s">
        <v>719</v>
      </c>
      <c r="E2186" s="3" t="s">
        <v>1418</v>
      </c>
      <c r="F2186" s="3" t="s">
        <v>6</v>
      </c>
      <c r="G2186" s="3">
        <v>1.2710704238471799</v>
      </c>
      <c r="I2186" s="3">
        <v>13.853128841067599</v>
      </c>
      <c r="M2186" s="3">
        <v>16.720267914548799</v>
      </c>
      <c r="N2186" s="3">
        <v>17.2632239276038</v>
      </c>
      <c r="O2186" s="3">
        <v>17.394469516243699</v>
      </c>
      <c r="P2186" s="3">
        <v>17.510195510908101</v>
      </c>
    </row>
    <row r="2187" spans="1:16" x14ac:dyDescent="0.3">
      <c r="A2187" s="3" t="str">
        <f t="shared" si="34"/>
        <v>NGA</v>
      </c>
      <c r="C2187" s="3" t="s">
        <v>850</v>
      </c>
      <c r="D2187" s="3" t="s">
        <v>719</v>
      </c>
      <c r="E2187" s="3" t="s">
        <v>1418</v>
      </c>
      <c r="F2187" s="3" t="s">
        <v>7</v>
      </c>
      <c r="I2187" s="3">
        <v>0.37779346283473703</v>
      </c>
      <c r="N2187" s="3">
        <v>0.47079134411618501</v>
      </c>
      <c r="O2187" s="3">
        <v>0.47437058790890102</v>
      </c>
      <c r="P2187" s="3">
        <v>0.47752659149234</v>
      </c>
    </row>
    <row r="2188" spans="1:16" x14ac:dyDescent="0.3">
      <c r="A2188" s="3" t="str">
        <f t="shared" si="34"/>
        <v>NGA</v>
      </c>
      <c r="C2188" s="3" t="s">
        <v>850</v>
      </c>
      <c r="D2188" s="3" t="s">
        <v>719</v>
      </c>
      <c r="E2188" s="3" t="s">
        <v>1418</v>
      </c>
      <c r="F2188" s="3" t="s">
        <v>8</v>
      </c>
      <c r="I2188" s="3">
        <v>0.23689370858574099</v>
      </c>
      <c r="N2188" s="3">
        <v>0.295207615930972</v>
      </c>
      <c r="P2188" s="3">
        <v>0.29943092280665901</v>
      </c>
    </row>
    <row r="2189" spans="1:16" x14ac:dyDescent="0.3">
      <c r="A2189" s="3" t="str">
        <f t="shared" si="34"/>
        <v>PTC</v>
      </c>
      <c r="C2189" s="3" t="s">
        <v>850</v>
      </c>
      <c r="D2189" s="3" t="s">
        <v>719</v>
      </c>
      <c r="E2189" s="3" t="s">
        <v>1421</v>
      </c>
      <c r="F2189" s="3" t="s">
        <v>1</v>
      </c>
      <c r="G2189" s="3">
        <v>1.36379792840273</v>
      </c>
    </row>
    <row r="2190" spans="1:16" x14ac:dyDescent="0.3">
      <c r="A2190" s="3" t="str">
        <f t="shared" si="34"/>
        <v>PTC</v>
      </c>
      <c r="C2190" s="3" t="s">
        <v>850</v>
      </c>
      <c r="D2190" s="3" t="s">
        <v>719</v>
      </c>
      <c r="E2190" s="3" t="s">
        <v>1421</v>
      </c>
      <c r="F2190" s="3" t="s">
        <v>3</v>
      </c>
      <c r="G2190" s="3">
        <v>0.44057457584976101</v>
      </c>
    </row>
    <row r="2191" spans="1:16" x14ac:dyDescent="0.3">
      <c r="A2191" s="3" t="str">
        <f t="shared" si="34"/>
        <v>PTC</v>
      </c>
      <c r="C2191" s="3" t="s">
        <v>850</v>
      </c>
      <c r="D2191" s="3" t="s">
        <v>719</v>
      </c>
      <c r="E2191" s="3" t="s">
        <v>1421</v>
      </c>
      <c r="F2191" s="3" t="s">
        <v>7</v>
      </c>
      <c r="G2191" s="3">
        <v>0.33528205300751002</v>
      </c>
    </row>
    <row r="2192" spans="1:16" x14ac:dyDescent="0.3">
      <c r="A2192" s="3" t="str">
        <f t="shared" si="34"/>
        <v>PTC</v>
      </c>
      <c r="C2192" s="3" t="s">
        <v>850</v>
      </c>
      <c r="D2192" s="3" t="s">
        <v>719</v>
      </c>
      <c r="E2192" s="3" t="s">
        <v>1421</v>
      </c>
      <c r="F2192" s="3" t="s">
        <v>8</v>
      </c>
      <c r="G2192" s="3">
        <v>0.21023711835356601</v>
      </c>
    </row>
    <row r="2193" spans="1:16" x14ac:dyDescent="0.3">
      <c r="A2193" s="3" t="str">
        <f t="shared" si="34"/>
        <v>NGA</v>
      </c>
      <c r="C2193" s="3" t="s">
        <v>850</v>
      </c>
      <c r="D2193" s="3" t="s">
        <v>1265</v>
      </c>
      <c r="E2193" s="3" t="s">
        <v>1299</v>
      </c>
      <c r="F2193" s="3" t="s">
        <v>1</v>
      </c>
      <c r="G2193" s="3">
        <v>0.58622175480633609</v>
      </c>
      <c r="H2193" s="3">
        <v>0.4756396601162049</v>
      </c>
      <c r="I2193" s="3">
        <v>3.3311281355680317E-2</v>
      </c>
      <c r="J2193" s="3">
        <v>3.3311281355680317E-2</v>
      </c>
      <c r="K2193" s="3">
        <v>3.3311281355680317E-2</v>
      </c>
      <c r="L2193" s="3">
        <v>3.3311281355680317E-2</v>
      </c>
      <c r="M2193" s="3">
        <v>3.3311281355680317E-2</v>
      </c>
      <c r="N2193" s="3">
        <v>3.3311281355680317E-2</v>
      </c>
      <c r="O2193" s="3">
        <v>3.3311281355680317E-2</v>
      </c>
      <c r="P2193" s="3">
        <v>3.3311281355680317E-2</v>
      </c>
    </row>
    <row r="2194" spans="1:16" x14ac:dyDescent="0.3">
      <c r="A2194" s="3" t="str">
        <f t="shared" si="34"/>
        <v>NGA</v>
      </c>
      <c r="C2194" s="3" t="s">
        <v>850</v>
      </c>
      <c r="D2194" s="3" t="s">
        <v>1265</v>
      </c>
      <c r="E2194" s="3" t="s">
        <v>1299</v>
      </c>
      <c r="F2194" s="3" t="s">
        <v>2</v>
      </c>
      <c r="G2194" s="3">
        <v>0.28477506282033743</v>
      </c>
      <c r="H2194" s="3">
        <v>0.82446771637080363</v>
      </c>
      <c r="I2194" s="3">
        <v>1.9367360750061626</v>
      </c>
      <c r="J2194" s="3">
        <v>2.0702825868447268</v>
      </c>
      <c r="K2194" s="3">
        <v>2.0703530524620968</v>
      </c>
      <c r="L2194" s="3">
        <v>2.1670141808274579</v>
      </c>
      <c r="M2194" s="3">
        <v>2.4129903071095695</v>
      </c>
      <c r="N2194" s="3">
        <v>2.8381278523048405</v>
      </c>
      <c r="O2194" s="3">
        <v>2.9269674149193117</v>
      </c>
      <c r="P2194" s="3">
        <v>2.9464406282372293</v>
      </c>
    </row>
    <row r="2195" spans="1:16" x14ac:dyDescent="0.3">
      <c r="A2195" s="3" t="str">
        <f t="shared" si="34"/>
        <v>NGA</v>
      </c>
      <c r="C2195" s="3" t="s">
        <v>850</v>
      </c>
      <c r="D2195" s="3" t="s">
        <v>1265</v>
      </c>
      <c r="E2195" s="3" t="s">
        <v>1301</v>
      </c>
      <c r="F2195" s="3" t="s">
        <v>2</v>
      </c>
      <c r="H2195" s="3">
        <v>0.16231451336139169</v>
      </c>
      <c r="I2195" s="3">
        <v>0.39333885139723801</v>
      </c>
      <c r="J2195" s="3">
        <v>0.39333885139723801</v>
      </c>
      <c r="K2195" s="3">
        <v>0.39333885139723801</v>
      </c>
      <c r="L2195" s="3">
        <v>0.39333885139723801</v>
      </c>
      <c r="M2195" s="3">
        <v>0.39333885139723801</v>
      </c>
      <c r="N2195" s="3">
        <v>6.5556475232872974E-2</v>
      </c>
    </row>
    <row r="2196" spans="1:16" x14ac:dyDescent="0.3">
      <c r="A2196" s="3" t="str">
        <f t="shared" si="34"/>
        <v>NGA</v>
      </c>
      <c r="C2196" s="3" t="s">
        <v>850</v>
      </c>
      <c r="D2196" s="3" t="s">
        <v>1265</v>
      </c>
      <c r="E2196" s="3" t="s">
        <v>1301</v>
      </c>
      <c r="F2196" s="3" t="s">
        <v>4</v>
      </c>
      <c r="G2196" s="3">
        <v>1.0933518345412814E-2</v>
      </c>
      <c r="H2196" s="3">
        <v>2.3551989992743588E-2</v>
      </c>
      <c r="I2196" s="3">
        <v>5.7073840779961471E-2</v>
      </c>
      <c r="J2196" s="3">
        <v>5.7073840779961471E-2</v>
      </c>
      <c r="K2196" s="3">
        <v>5.7073840779961471E-2</v>
      </c>
      <c r="L2196" s="3">
        <v>5.7073840779961471E-2</v>
      </c>
      <c r="M2196" s="3">
        <v>5.7073840779961471E-2</v>
      </c>
      <c r="N2196" s="3">
        <v>9.5123067966602498E-3</v>
      </c>
    </row>
    <row r="2197" spans="1:16" x14ac:dyDescent="0.3">
      <c r="A2197" s="3" t="str">
        <f t="shared" si="34"/>
        <v>NGA</v>
      </c>
      <c r="C2197" s="3" t="s">
        <v>850</v>
      </c>
      <c r="D2197" s="3" t="s">
        <v>1265</v>
      </c>
      <c r="E2197" s="3" t="s">
        <v>1301</v>
      </c>
      <c r="F2197" s="3" t="s">
        <v>8</v>
      </c>
      <c r="G2197" s="3">
        <v>0.67816003620045517</v>
      </c>
      <c r="H2197" s="3">
        <v>0.73987946989858777</v>
      </c>
      <c r="I2197" s="3">
        <v>0.67590237455800695</v>
      </c>
      <c r="J2197" s="3">
        <v>0.44321533557333542</v>
      </c>
      <c r="K2197" s="3">
        <v>0.38269672562831181</v>
      </c>
      <c r="L2197" s="3">
        <v>0.36672574299097127</v>
      </c>
      <c r="M2197" s="3">
        <v>0.32350815798790583</v>
      </c>
      <c r="N2197" s="3">
        <v>0.27002457624210718</v>
      </c>
    </row>
    <row r="2198" spans="1:16" x14ac:dyDescent="0.3">
      <c r="A2198" s="3" t="str">
        <f t="shared" si="34"/>
        <v>NGA</v>
      </c>
      <c r="C2198" s="3" t="s">
        <v>850</v>
      </c>
      <c r="D2198" s="3" t="s">
        <v>1265</v>
      </c>
      <c r="E2198" s="3" t="s">
        <v>1303</v>
      </c>
      <c r="F2198" s="3" t="s">
        <v>2</v>
      </c>
      <c r="G2198" s="3">
        <v>2.6345353668834966E-4</v>
      </c>
      <c r="H2198" s="3">
        <v>4.0898025219238951E-4</v>
      </c>
      <c r="I2198" s="3">
        <v>9.9108711420855308E-4</v>
      </c>
      <c r="J2198" s="3">
        <v>9.9108711420855308E-4</v>
      </c>
      <c r="K2198" s="3">
        <v>9.9108711420855308E-4</v>
      </c>
      <c r="L2198" s="3">
        <v>9.9108711420855308E-4</v>
      </c>
      <c r="M2198" s="3">
        <v>9.9108711420855308E-4</v>
      </c>
      <c r="N2198" s="3">
        <v>1.6518118570142535E-4</v>
      </c>
    </row>
    <row r="2199" spans="1:16" x14ac:dyDescent="0.3">
      <c r="A2199" s="3" t="str">
        <f t="shared" si="34"/>
        <v>NGA</v>
      </c>
      <c r="C2199" s="3" t="s">
        <v>850</v>
      </c>
      <c r="D2199" s="3" t="s">
        <v>1265</v>
      </c>
      <c r="E2199" s="3" t="s">
        <v>1306</v>
      </c>
      <c r="F2199" s="3" t="s">
        <v>0</v>
      </c>
      <c r="G2199" s="3">
        <v>1.9521057830182819E-3</v>
      </c>
      <c r="H2199" s="3">
        <v>1.5517935091664879E-3</v>
      </c>
      <c r="I2199" s="3">
        <v>7.3436360408783014E-3</v>
      </c>
      <c r="J2199" s="3">
        <v>1.6856514393897883E-3</v>
      </c>
      <c r="K2199" s="3">
        <v>1.6856995128486736E-3</v>
      </c>
      <c r="L2199" s="3">
        <v>1.7516442241459816E-3</v>
      </c>
      <c r="M2199" s="3">
        <v>1.9194554726601309E-3</v>
      </c>
      <c r="N2199" s="3">
        <v>1.223939340146384E-3</v>
      </c>
    </row>
    <row r="2200" spans="1:16" x14ac:dyDescent="0.3">
      <c r="A2200" s="3" t="str">
        <f t="shared" si="34"/>
        <v>NGA</v>
      </c>
      <c r="C2200" s="3" t="s">
        <v>850</v>
      </c>
      <c r="D2200" s="3" t="s">
        <v>1265</v>
      </c>
      <c r="E2200" s="3" t="s">
        <v>1306</v>
      </c>
      <c r="F2200" s="3" t="s">
        <v>2</v>
      </c>
      <c r="H2200" s="3">
        <v>2.5581775606123209E-3</v>
      </c>
      <c r="J2200" s="3">
        <v>6.1992646407476506E-3</v>
      </c>
      <c r="K2200" s="3">
        <v>6.1992646407476506E-3</v>
      </c>
      <c r="L2200" s="3">
        <v>6.1992646407476506E-3</v>
      </c>
      <c r="M2200" s="3">
        <v>6.1992646407476506E-3</v>
      </c>
      <c r="N2200" s="3">
        <v>1.0332107734579408E-3</v>
      </c>
    </row>
    <row r="2201" spans="1:16" x14ac:dyDescent="0.3">
      <c r="A2201" s="3" t="str">
        <f t="shared" si="34"/>
        <v>NGA</v>
      </c>
      <c r="C2201" s="3" t="s">
        <v>850</v>
      </c>
      <c r="D2201" s="3" t="s">
        <v>1265</v>
      </c>
      <c r="E2201" s="3" t="s">
        <v>1307</v>
      </c>
      <c r="F2201" s="3" t="s">
        <v>0</v>
      </c>
      <c r="N2201" s="3">
        <v>7.5779839347293106E-4</v>
      </c>
      <c r="O2201" s="3">
        <v>1.9968044816320368E-3</v>
      </c>
      <c r="P2201" s="3">
        <v>2.0100896092940281E-3</v>
      </c>
    </row>
    <row r="2202" spans="1:16" x14ac:dyDescent="0.3">
      <c r="A2202" s="3" t="str">
        <f t="shared" si="34"/>
        <v>NGA</v>
      </c>
      <c r="C2202" s="3" t="s">
        <v>850</v>
      </c>
      <c r="D2202" s="3" t="s">
        <v>1265</v>
      </c>
      <c r="E2202" s="3" t="s">
        <v>1307</v>
      </c>
      <c r="F2202" s="3" t="s">
        <v>1</v>
      </c>
      <c r="H2202" s="3">
        <v>0.15501799315947518</v>
      </c>
      <c r="I2202" s="3">
        <v>0.61300102105412546</v>
      </c>
      <c r="J2202" s="3">
        <v>0.65174699136325809</v>
      </c>
      <c r="K2202" s="3">
        <v>0.65176652868873997</v>
      </c>
      <c r="L2202" s="3">
        <v>0.67856683209716151</v>
      </c>
      <c r="M2202" s="3">
        <v>0.74676627200720314</v>
      </c>
      <c r="N2202" s="3">
        <v>0.77209767222232906</v>
      </c>
      <c r="O2202" s="3">
        <v>0.77822088377606491</v>
      </c>
      <c r="P2202" s="3">
        <v>0.78362003474898378</v>
      </c>
    </row>
    <row r="2203" spans="1:16" x14ac:dyDescent="0.3">
      <c r="A2203" s="3" t="str">
        <f t="shared" si="34"/>
        <v>NGA</v>
      </c>
      <c r="C2203" s="3" t="s">
        <v>850</v>
      </c>
      <c r="D2203" s="3" t="s">
        <v>1265</v>
      </c>
      <c r="E2203" s="3" t="s">
        <v>1307</v>
      </c>
      <c r="F2203" s="3" t="s">
        <v>4</v>
      </c>
      <c r="H2203" s="3">
        <v>0.10015648302794923</v>
      </c>
      <c r="I2203" s="3">
        <v>9.1263748350387988E-2</v>
      </c>
      <c r="J2203" s="3">
        <v>0.10015648302794923</v>
      </c>
      <c r="K2203" s="3">
        <v>0.10016096711365766</v>
      </c>
      <c r="L2203" s="3">
        <v>0.10631200644982026</v>
      </c>
      <c r="M2203" s="3">
        <v>0.12196471870452325</v>
      </c>
      <c r="N2203" s="3">
        <v>0.17534015847794746</v>
      </c>
      <c r="O2203" s="3">
        <v>0.18625782679446401</v>
      </c>
      <c r="P2203" s="3">
        <v>0.18749700642277589</v>
      </c>
    </row>
    <row r="2204" spans="1:16" x14ac:dyDescent="0.3">
      <c r="A2204" s="3" t="str">
        <f t="shared" si="34"/>
        <v>NGA</v>
      </c>
      <c r="C2204" s="3" t="s">
        <v>850</v>
      </c>
      <c r="D2204" s="3" t="s">
        <v>1265</v>
      </c>
      <c r="E2204" s="3" t="s">
        <v>1307</v>
      </c>
      <c r="F2204" s="3" t="s">
        <v>5</v>
      </c>
      <c r="H2204" s="3">
        <v>0.20454787173114991</v>
      </c>
      <c r="I2204" s="3">
        <v>0.20454787173114991</v>
      </c>
      <c r="J2204" s="3">
        <v>0.22219220042545471</v>
      </c>
      <c r="K2204" s="3">
        <v>0.22219853717301316</v>
      </c>
      <c r="L2204" s="3">
        <v>0.23089096323883532</v>
      </c>
      <c r="M2204" s="3">
        <v>0.25301080942542925</v>
      </c>
      <c r="N2204" s="3">
        <v>0.26122681057131142</v>
      </c>
      <c r="O2204" s="3">
        <v>0.26321281658419515</v>
      </c>
      <c r="P2204" s="3">
        <v>0.26496398036525609</v>
      </c>
    </row>
    <row r="2205" spans="1:16" x14ac:dyDescent="0.3">
      <c r="A2205" s="3" t="str">
        <f t="shared" si="34"/>
        <v>NGA</v>
      </c>
      <c r="C2205" s="3" t="s">
        <v>850</v>
      </c>
      <c r="D2205" s="3" t="s">
        <v>1265</v>
      </c>
      <c r="E2205" s="3" t="s">
        <v>1307</v>
      </c>
      <c r="F2205" s="3" t="s">
        <v>7</v>
      </c>
      <c r="H2205" s="3">
        <v>5.8217471185019722E-2</v>
      </c>
      <c r="I2205" s="3">
        <v>5.9662588167496373E-2</v>
      </c>
      <c r="J2205" s="3">
        <v>6.3239318582619206E-2</v>
      </c>
      <c r="K2205" s="3">
        <v>6.324110570629661E-2</v>
      </c>
      <c r="L2205" s="3">
        <v>6.5715103894261634E-2</v>
      </c>
      <c r="M2205" s="3">
        <v>7.2010752424291821E-2</v>
      </c>
      <c r="N2205" s="3">
        <v>7.4349152750428124E-2</v>
      </c>
      <c r="O2205" s="3">
        <v>7.4914400615633522E-2</v>
      </c>
      <c r="P2205" s="3">
        <v>7.5412808768704806E-2</v>
      </c>
    </row>
    <row r="2206" spans="1:16" x14ac:dyDescent="0.3">
      <c r="A2206" s="3" t="str">
        <f t="shared" si="34"/>
        <v>NGA</v>
      </c>
      <c r="C2206" s="3" t="s">
        <v>850</v>
      </c>
      <c r="D2206" s="3" t="s">
        <v>1265</v>
      </c>
      <c r="E2206" s="3" t="s">
        <v>1307</v>
      </c>
      <c r="F2206" s="3" t="s">
        <v>8</v>
      </c>
      <c r="H2206" s="3">
        <v>1.991520070367985E-3</v>
      </c>
      <c r="I2206" s="3">
        <v>8.438388396501631E-2</v>
      </c>
      <c r="J2206" s="3">
        <v>0.36264955218100764</v>
      </c>
      <c r="K2206" s="3">
        <v>0.42319114476156172</v>
      </c>
      <c r="L2206" s="3">
        <v>0.47068853085695578</v>
      </c>
      <c r="M2206" s="3">
        <v>0.59413218738804663</v>
      </c>
      <c r="N2206" s="3">
        <v>0.67741423563510028</v>
      </c>
      <c r="O2206" s="3">
        <v>0.95464182129692088</v>
      </c>
      <c r="P2206" s="3">
        <v>0.96099308565796659</v>
      </c>
    </row>
    <row r="2207" spans="1:16" x14ac:dyDescent="0.3">
      <c r="A2207" s="3" t="str">
        <f t="shared" ref="A2207:A2270" si="35">RIGHT(E2207,3)</f>
        <v>ELC</v>
      </c>
      <c r="C2207" s="3" t="s">
        <v>850</v>
      </c>
      <c r="D2207" s="3" t="s">
        <v>749</v>
      </c>
      <c r="E2207" s="3" t="s">
        <v>1428</v>
      </c>
      <c r="F2207" s="3" t="s">
        <v>0</v>
      </c>
      <c r="G2207" s="3">
        <v>0.34547659811373299</v>
      </c>
      <c r="H2207" s="3">
        <v>0.333960711509942</v>
      </c>
      <c r="J2207" s="3">
        <v>3.3144790654911001E-2</v>
      </c>
      <c r="K2207" s="3">
        <v>4.17550523180414E-2</v>
      </c>
      <c r="L2207" s="3">
        <v>6.7331851595457903E-2</v>
      </c>
      <c r="M2207" s="3">
        <v>0.11913642958830351</v>
      </c>
      <c r="N2207" s="3">
        <v>0.14961283105088991</v>
      </c>
      <c r="O2207" s="3">
        <v>0.51413357490439993</v>
      </c>
      <c r="P2207" s="3">
        <v>0.51755412298668402</v>
      </c>
    </row>
    <row r="2208" spans="1:16" x14ac:dyDescent="0.3">
      <c r="A2208" s="3" t="str">
        <f t="shared" si="35"/>
        <v>ELC</v>
      </c>
      <c r="C2208" s="3" t="s">
        <v>850</v>
      </c>
      <c r="D2208" s="3" t="s">
        <v>749</v>
      </c>
      <c r="E2208" s="3" t="s">
        <v>1428</v>
      </c>
      <c r="F2208" s="3" t="s">
        <v>1</v>
      </c>
      <c r="G2208" s="3">
        <v>0.95098084207889699</v>
      </c>
      <c r="H2208" s="3">
        <v>1.0998083991548739</v>
      </c>
      <c r="I2208" s="3">
        <v>1.0087732427651874</v>
      </c>
      <c r="J2208" s="3">
        <v>1.1000097001681799</v>
      </c>
      <c r="K2208" s="3">
        <v>1.1237108536808393</v>
      </c>
      <c r="L2208" s="3">
        <v>1.1941151770049661</v>
      </c>
      <c r="M2208" s="3">
        <v>1.3367157510298364</v>
      </c>
      <c r="N2208" s="3">
        <v>1.4045584435529264</v>
      </c>
      <c r="O2208" s="3">
        <v>1.4152367560440593</v>
      </c>
      <c r="P2208" s="3">
        <v>1.4246523741016202</v>
      </c>
    </row>
    <row r="2209" spans="1:16" x14ac:dyDescent="0.3">
      <c r="A2209" s="3" t="str">
        <f t="shared" si="35"/>
        <v>ELC</v>
      </c>
      <c r="C2209" s="3" t="s">
        <v>850</v>
      </c>
      <c r="D2209" s="3" t="s">
        <v>749</v>
      </c>
      <c r="E2209" s="3" t="s">
        <v>1428</v>
      </c>
      <c r="F2209" s="3" t="s">
        <v>2</v>
      </c>
      <c r="G2209" s="3">
        <v>2.5893226354555798</v>
      </c>
      <c r="H2209" s="3">
        <v>3.0122761514783321</v>
      </c>
      <c r="I2209" s="3">
        <v>2.8013309937658994</v>
      </c>
      <c r="J2209" s="3">
        <v>3.1128511522026199</v>
      </c>
      <c r="K2209" s="3">
        <v>3.2234220143521459</v>
      </c>
      <c r="L2209" s="3">
        <v>3.472956774898202</v>
      </c>
      <c r="M2209" s="3">
        <v>3.937309340905621</v>
      </c>
      <c r="N2209" s="3">
        <v>4.179222044880321</v>
      </c>
      <c r="O2209" s="3">
        <v>4.2109950473993045</v>
      </c>
      <c r="P2209" s="3">
        <v>4.2390109400329985</v>
      </c>
    </row>
    <row r="2210" spans="1:16" x14ac:dyDescent="0.3">
      <c r="A2210" s="3" t="str">
        <f t="shared" si="35"/>
        <v>ELC</v>
      </c>
      <c r="C2210" s="3" t="s">
        <v>850</v>
      </c>
      <c r="D2210" s="3" t="s">
        <v>749</v>
      </c>
      <c r="E2210" s="3" t="s">
        <v>1428</v>
      </c>
      <c r="F2210" s="3" t="s">
        <v>3</v>
      </c>
      <c r="G2210" s="3">
        <v>1.75380978918973</v>
      </c>
      <c r="H2210" s="3">
        <v>1.7825294496216353</v>
      </c>
      <c r="I2210" s="3">
        <v>1.8974080913492533</v>
      </c>
      <c r="J2210" s="3">
        <v>2.10840810189841</v>
      </c>
      <c r="K2210" s="3">
        <v>2.1833003759555836</v>
      </c>
      <c r="L2210" s="3">
        <v>2.3523162026417754</v>
      </c>
      <c r="M2210" s="3">
        <v>2.6668332368451586</v>
      </c>
      <c r="N2210" s="3">
        <v>2.8306864633804185</v>
      </c>
      <c r="O2210" s="3">
        <v>2.8522070734761691</v>
      </c>
      <c r="P2210" s="3">
        <v>2.871182903711095</v>
      </c>
    </row>
    <row r="2211" spans="1:16" x14ac:dyDescent="0.3">
      <c r="A2211" s="3" t="str">
        <f t="shared" si="35"/>
        <v>ELC</v>
      </c>
      <c r="C2211" s="3" t="s">
        <v>850</v>
      </c>
      <c r="D2211" s="3" t="s">
        <v>749</v>
      </c>
      <c r="E2211" s="3" t="s">
        <v>1428</v>
      </c>
      <c r="F2211" s="3" t="s">
        <v>4</v>
      </c>
      <c r="G2211" s="3">
        <v>1.0054683525042001</v>
      </c>
      <c r="H2211" s="3">
        <v>1.0150977733456936</v>
      </c>
      <c r="I2211" s="3">
        <v>1.0536154567116705</v>
      </c>
      <c r="J2211" s="3">
        <v>1.1351194013363499</v>
      </c>
      <c r="K2211" s="3">
        <v>1.1492641624301549</v>
      </c>
      <c r="L2211" s="3">
        <v>1.2099902995685952</v>
      </c>
      <c r="M2211" s="3">
        <v>1.3427244121073969</v>
      </c>
      <c r="N2211" s="3">
        <v>1.4008955987336569</v>
      </c>
      <c r="O2211" s="3">
        <v>1.4115460640378206</v>
      </c>
      <c r="P2211" s="3">
        <v>1.4209371277964986</v>
      </c>
    </row>
    <row r="2212" spans="1:16" x14ac:dyDescent="0.3">
      <c r="A2212" s="3" t="str">
        <f t="shared" si="35"/>
        <v>ELC</v>
      </c>
      <c r="C2212" s="3" t="s">
        <v>850</v>
      </c>
      <c r="D2212" s="3" t="s">
        <v>749</v>
      </c>
      <c r="E2212" s="3" t="s">
        <v>1428</v>
      </c>
      <c r="F2212" s="3" t="s">
        <v>5</v>
      </c>
      <c r="G2212" s="3">
        <v>0.87641212605301599</v>
      </c>
      <c r="H2212" s="3">
        <v>0.95614324306104492</v>
      </c>
      <c r="I2212" s="3">
        <v>0.91837934049261427</v>
      </c>
      <c r="J2212" s="3">
        <v>0.98942190012396403</v>
      </c>
      <c r="K2212" s="3">
        <v>1.0017511197476963</v>
      </c>
      <c r="L2212" s="3">
        <v>1.054682793652636</v>
      </c>
      <c r="M2212" s="3">
        <v>1.1703799068239922</v>
      </c>
      <c r="N2212" s="3">
        <v>1.2210845692026382</v>
      </c>
      <c r="O2212" s="3">
        <v>1.2303680010654401</v>
      </c>
      <c r="P2212" s="3">
        <v>1.2385536810365101</v>
      </c>
    </row>
    <row r="2213" spans="1:16" x14ac:dyDescent="0.3">
      <c r="A2213" s="3" t="str">
        <f t="shared" si="35"/>
        <v>ELC</v>
      </c>
      <c r="C2213" s="3" t="s">
        <v>850</v>
      </c>
      <c r="D2213" s="3" t="s">
        <v>749</v>
      </c>
      <c r="E2213" s="3" t="s">
        <v>1428</v>
      </c>
      <c r="F2213" s="3" t="s">
        <v>6</v>
      </c>
      <c r="G2213" s="3">
        <v>3.0446577941747801</v>
      </c>
      <c r="H2213" s="3">
        <v>3.0738166345752989</v>
      </c>
      <c r="I2213" s="3">
        <v>3.1904519961773881</v>
      </c>
      <c r="J2213" s="3">
        <v>3.4372540159918099</v>
      </c>
      <c r="K2213" s="3">
        <v>3.4800857540606893</v>
      </c>
      <c r="L2213" s="3">
        <v>3.6639705141211953</v>
      </c>
      <c r="M2213" s="3">
        <v>4.0659025583149617</v>
      </c>
      <c r="N2213" s="3">
        <v>4.2420506750775608</v>
      </c>
      <c r="O2213" s="3">
        <v>4.2743013392771356</v>
      </c>
      <c r="P2213" s="3">
        <v>4.302738410814225</v>
      </c>
    </row>
    <row r="2214" spans="1:16" x14ac:dyDescent="0.3">
      <c r="A2214" s="3" t="str">
        <f t="shared" si="35"/>
        <v>ELC</v>
      </c>
      <c r="C2214" s="3" t="s">
        <v>850</v>
      </c>
      <c r="D2214" s="3" t="s">
        <v>749</v>
      </c>
      <c r="E2214" s="3" t="s">
        <v>1428</v>
      </c>
      <c r="F2214" s="3" t="s">
        <v>7</v>
      </c>
      <c r="G2214" s="3">
        <v>0.39840846573743499</v>
      </c>
      <c r="H2214" s="3">
        <v>0.40264538038529268</v>
      </c>
      <c r="I2214" s="3">
        <v>0.41959303897672362</v>
      </c>
      <c r="J2214" s="3">
        <v>0.45432073188518102</v>
      </c>
      <c r="K2214" s="3">
        <v>0.46170010666858863</v>
      </c>
      <c r="L2214" s="3">
        <v>0.48799185871065703</v>
      </c>
      <c r="M2214" s="3">
        <v>0.54351937216731461</v>
      </c>
      <c r="N2214" s="3">
        <v>0.56877379573034759</v>
      </c>
      <c r="O2214" s="3">
        <v>0.57309796205853103</v>
      </c>
      <c r="P2214" s="3">
        <v>0.57691080220507407</v>
      </c>
    </row>
    <row r="2215" spans="1:16" x14ac:dyDescent="0.3">
      <c r="A2215" s="3" t="str">
        <f t="shared" si="35"/>
        <v>ELC</v>
      </c>
      <c r="C2215" s="3" t="s">
        <v>850</v>
      </c>
      <c r="D2215" s="3" t="s">
        <v>749</v>
      </c>
      <c r="E2215" s="3" t="s">
        <v>1428</v>
      </c>
      <c r="F2215" s="3" t="s">
        <v>8</v>
      </c>
      <c r="G2215" s="3">
        <v>0.24982025435888</v>
      </c>
      <c r="H2215" s="3">
        <v>0.27926459836360157</v>
      </c>
      <c r="I2215" s="3">
        <v>0.26310394667532477</v>
      </c>
      <c r="J2215" s="3">
        <v>0.30335400259209899</v>
      </c>
      <c r="K2215" s="3">
        <v>0.30336265401069812</v>
      </c>
      <c r="L2215" s="3">
        <v>0.31523022737400003</v>
      </c>
      <c r="M2215" s="3">
        <v>0.34542995474775984</v>
      </c>
      <c r="N2215" s="3">
        <v>0.35664707590742745</v>
      </c>
      <c r="O2215" s="3">
        <v>0.35935852514833933</v>
      </c>
      <c r="P2215" s="3">
        <v>0.36174934958395</v>
      </c>
    </row>
    <row r="2216" spans="1:16" x14ac:dyDescent="0.3">
      <c r="A2216" s="3" t="str">
        <f t="shared" si="35"/>
        <v>NGA</v>
      </c>
      <c r="C2216" s="3" t="s">
        <v>850</v>
      </c>
      <c r="D2216" s="3" t="s">
        <v>749</v>
      </c>
      <c r="E2216" s="3" t="s">
        <v>1429</v>
      </c>
      <c r="F2216" s="3" t="s">
        <v>0</v>
      </c>
      <c r="G2216" s="3">
        <v>5.15873045676008E-2</v>
      </c>
      <c r="H2216" s="3">
        <v>6.5582631010321302E-2</v>
      </c>
      <c r="I2216" s="3">
        <v>0.40946110187598117</v>
      </c>
      <c r="J2216" s="3">
        <v>0.40086321778138101</v>
      </c>
      <c r="K2216" s="3">
        <v>0.3922653336867809</v>
      </c>
      <c r="L2216" s="3">
        <v>0.3836674495921808</v>
      </c>
      <c r="M2216" s="3">
        <v>0.37506956549758064</v>
      </c>
      <c r="N2216" s="3">
        <v>0.36064147845740613</v>
      </c>
    </row>
    <row r="2217" spans="1:16" x14ac:dyDescent="0.3">
      <c r="A2217" s="3" t="str">
        <f t="shared" si="35"/>
        <v>NGA</v>
      </c>
      <c r="C2217" s="3" t="s">
        <v>850</v>
      </c>
      <c r="D2217" s="3" t="s">
        <v>749</v>
      </c>
      <c r="E2217" s="3" t="s">
        <v>1429</v>
      </c>
      <c r="F2217" s="3" t="s">
        <v>1</v>
      </c>
      <c r="G2217" s="3">
        <v>0.14200249338488399</v>
      </c>
      <c r="I2217" s="3">
        <v>0.11833541115406999</v>
      </c>
      <c r="J2217" s="3">
        <v>9.4668328923255995E-2</v>
      </c>
      <c r="K2217" s="3">
        <v>7.1001246692441997E-2</v>
      </c>
      <c r="L2217" s="3">
        <v>4.7334164461627998E-2</v>
      </c>
      <c r="M2217" s="3">
        <v>2.3667082230813999E-2</v>
      </c>
    </row>
    <row r="2218" spans="1:16" x14ac:dyDescent="0.3">
      <c r="A2218" s="3" t="str">
        <f t="shared" si="35"/>
        <v>NGA</v>
      </c>
      <c r="C2218" s="3" t="s">
        <v>850</v>
      </c>
      <c r="D2218" s="3" t="s">
        <v>749</v>
      </c>
      <c r="E2218" s="3" t="s">
        <v>1429</v>
      </c>
      <c r="F2218" s="3" t="s">
        <v>2</v>
      </c>
      <c r="G2218" s="3">
        <v>0.33760295037635102</v>
      </c>
      <c r="I2218" s="3">
        <v>0.55234742029806305</v>
      </c>
      <c r="J2218" s="3">
        <v>0.44187793623845101</v>
      </c>
      <c r="K2218" s="3">
        <v>0.33140845217883802</v>
      </c>
      <c r="L2218" s="3">
        <v>0.220938968119225</v>
      </c>
      <c r="M2218" s="3">
        <v>0.110469484059613</v>
      </c>
    </row>
    <row r="2219" spans="1:16" x14ac:dyDescent="0.3">
      <c r="A2219" s="3" t="str">
        <f t="shared" si="35"/>
        <v>NGA</v>
      </c>
      <c r="C2219" s="3" t="s">
        <v>850</v>
      </c>
      <c r="D2219" s="3" t="s">
        <v>749</v>
      </c>
      <c r="E2219" s="3" t="s">
        <v>1429</v>
      </c>
      <c r="F2219" s="3" t="s">
        <v>3</v>
      </c>
      <c r="G2219" s="3">
        <v>0.44894164959802202</v>
      </c>
      <c r="H2219" s="3">
        <v>0.43397692794475501</v>
      </c>
      <c r="I2219" s="3">
        <v>0.37411804133168503</v>
      </c>
      <c r="J2219" s="3">
        <v>0.29929443306534798</v>
      </c>
      <c r="K2219" s="3">
        <v>0.22447082479901101</v>
      </c>
      <c r="L2219" s="3">
        <v>0.14964721653267399</v>
      </c>
      <c r="M2219" s="3">
        <v>7.4823608266336994E-2</v>
      </c>
    </row>
    <row r="2220" spans="1:16" x14ac:dyDescent="0.3">
      <c r="A2220" s="3" t="str">
        <f t="shared" si="35"/>
        <v>NGA</v>
      </c>
      <c r="C2220" s="3" t="s">
        <v>850</v>
      </c>
      <c r="D2220" s="3" t="s">
        <v>749</v>
      </c>
      <c r="E2220" s="3" t="s">
        <v>1429</v>
      </c>
      <c r="F2220" s="3" t="s">
        <v>4</v>
      </c>
      <c r="G2220" s="3">
        <v>8.4664671983754894E-2</v>
      </c>
      <c r="H2220" s="3">
        <v>8.1842516250954706E-2</v>
      </c>
      <c r="I2220" s="3">
        <v>7.0553893319788494E-2</v>
      </c>
      <c r="J2220" s="3">
        <v>5.6443114655830802E-2</v>
      </c>
      <c r="K2220" s="3">
        <v>4.2332335991873103E-2</v>
      </c>
      <c r="L2220" s="3">
        <v>2.8221557327915401E-2</v>
      </c>
      <c r="M2220" s="3">
        <v>1.41107786639577E-2</v>
      </c>
    </row>
    <row r="2221" spans="1:16" x14ac:dyDescent="0.3">
      <c r="A2221" s="3" t="str">
        <f t="shared" si="35"/>
        <v>NGA</v>
      </c>
      <c r="C2221" s="3" t="s">
        <v>850</v>
      </c>
      <c r="D2221" s="3" t="s">
        <v>749</v>
      </c>
      <c r="E2221" s="3" t="s">
        <v>1429</v>
      </c>
      <c r="F2221" s="3" t="s">
        <v>5</v>
      </c>
      <c r="G2221" s="3">
        <v>7.3797593917354506E-2</v>
      </c>
      <c r="I2221" s="3">
        <v>6.1497994931128799E-2</v>
      </c>
      <c r="J2221" s="3">
        <v>4.9198395944903002E-2</v>
      </c>
      <c r="K2221" s="3">
        <v>3.6898796958677302E-2</v>
      </c>
      <c r="L2221" s="3">
        <v>2.4599197972451501E-2</v>
      </c>
      <c r="M2221" s="3">
        <v>1.2299598986225801E-2</v>
      </c>
    </row>
    <row r="2222" spans="1:16" x14ac:dyDescent="0.3">
      <c r="A2222" s="3" t="str">
        <f t="shared" si="35"/>
        <v>NGA</v>
      </c>
      <c r="C2222" s="3" t="s">
        <v>850</v>
      </c>
      <c r="D2222" s="3" t="s">
        <v>749</v>
      </c>
      <c r="E2222" s="3" t="s">
        <v>1429</v>
      </c>
      <c r="F2222" s="3" t="s">
        <v>6</v>
      </c>
      <c r="G2222" s="3">
        <v>0.256373015425652</v>
      </c>
      <c r="H2222" s="3">
        <v>0.24782724824479699</v>
      </c>
      <c r="I2222" s="3">
        <v>0.21364417952137699</v>
      </c>
      <c r="J2222" s="3">
        <v>0.17091534361710101</v>
      </c>
      <c r="K2222" s="3">
        <v>0.128186507712826</v>
      </c>
      <c r="L2222" s="3">
        <v>8.5457671808550698E-2</v>
      </c>
      <c r="M2222" s="3">
        <v>4.27288359042753E-2</v>
      </c>
    </row>
    <row r="2223" spans="1:16" x14ac:dyDescent="0.3">
      <c r="A2223" s="3" t="str">
        <f t="shared" si="35"/>
        <v>NGA</v>
      </c>
      <c r="C2223" s="3" t="s">
        <v>850</v>
      </c>
      <c r="D2223" s="3" t="s">
        <v>749</v>
      </c>
      <c r="E2223" s="3" t="s">
        <v>1429</v>
      </c>
      <c r="F2223" s="3" t="s">
        <v>7</v>
      </c>
      <c r="G2223" s="3">
        <v>4.41934660192922E-2</v>
      </c>
      <c r="H2223" s="3">
        <v>4.2720350485315799E-2</v>
      </c>
      <c r="I2223" s="3">
        <v>3.6827888349410198E-2</v>
      </c>
      <c r="J2223" s="3">
        <v>2.9462310679528099E-2</v>
      </c>
      <c r="K2223" s="3">
        <v>2.20967330096461E-2</v>
      </c>
      <c r="L2223" s="3">
        <v>1.47311553397641E-2</v>
      </c>
      <c r="M2223" s="3">
        <v>7.3655776698820299E-3</v>
      </c>
    </row>
    <row r="2224" spans="1:16" x14ac:dyDescent="0.3">
      <c r="A2224" s="3" t="str">
        <f t="shared" si="35"/>
        <v>NGA</v>
      </c>
      <c r="C2224" s="3" t="s">
        <v>850</v>
      </c>
      <c r="D2224" s="3" t="s">
        <v>749</v>
      </c>
      <c r="E2224" s="3" t="s">
        <v>1429</v>
      </c>
      <c r="F2224" s="3" t="s">
        <v>8</v>
      </c>
      <c r="G2224" s="3">
        <v>2.7711316077344901E-2</v>
      </c>
      <c r="I2224" s="3">
        <v>2.3092763397787399E-2</v>
      </c>
    </row>
    <row r="2225" spans="1:16" x14ac:dyDescent="0.3">
      <c r="A2225" s="3" t="str">
        <f t="shared" si="35"/>
        <v>BIO</v>
      </c>
      <c r="C2225" s="3" t="s">
        <v>850</v>
      </c>
      <c r="D2225" s="3" t="s">
        <v>765</v>
      </c>
      <c r="E2225" s="3" t="s">
        <v>1436</v>
      </c>
      <c r="F2225" s="3" t="s">
        <v>0</v>
      </c>
      <c r="H2225" s="3">
        <v>0.128902244205153</v>
      </c>
      <c r="J2225" s="3">
        <v>0.14002137024122599</v>
      </c>
      <c r="K2225" s="3">
        <v>0.14002536354105499</v>
      </c>
      <c r="L2225" s="3">
        <v>0.14550316791999601</v>
      </c>
      <c r="M2225" s="3">
        <v>0.15944268139815199</v>
      </c>
      <c r="N2225" s="3">
        <v>0.16462025170056299</v>
      </c>
      <c r="O2225" s="3">
        <v>0.16587179555628301</v>
      </c>
      <c r="P2225" s="3">
        <v>0.16697534622849999</v>
      </c>
    </row>
    <row r="2226" spans="1:16" x14ac:dyDescent="0.3">
      <c r="A2226" s="3" t="str">
        <f t="shared" si="35"/>
        <v>BIO</v>
      </c>
      <c r="C2226" s="3" t="s">
        <v>850</v>
      </c>
      <c r="D2226" s="3" t="s">
        <v>765</v>
      </c>
      <c r="E2226" s="3" t="s">
        <v>1436</v>
      </c>
      <c r="F2226" s="3" t="s">
        <v>1</v>
      </c>
      <c r="H2226" s="3">
        <v>0.35482451028338602</v>
      </c>
      <c r="J2226" s="3">
        <v>0.38543172332965397</v>
      </c>
      <c r="K2226" s="3">
        <v>0.38544271554057402</v>
      </c>
      <c r="L2226" s="3">
        <v>0.40052126803723997</v>
      </c>
      <c r="M2226" s="3">
        <v>0.43889205881729498</v>
      </c>
      <c r="P2226" s="3">
        <v>0.45962695079716998</v>
      </c>
    </row>
    <row r="2227" spans="1:16" x14ac:dyDescent="0.3">
      <c r="A2227" s="3" t="str">
        <f t="shared" si="35"/>
        <v>BIO</v>
      </c>
      <c r="C2227" s="3" t="s">
        <v>850</v>
      </c>
      <c r="D2227" s="3" t="s">
        <v>765</v>
      </c>
      <c r="E2227" s="3" t="s">
        <v>1436</v>
      </c>
      <c r="F2227" s="3" t="s">
        <v>2</v>
      </c>
      <c r="G2227" s="3">
        <v>0.316486650624757</v>
      </c>
      <c r="J2227" s="3">
        <v>4.9307678981087903</v>
      </c>
      <c r="K2227" s="3">
        <v>4.93090851974799</v>
      </c>
      <c r="L2227" s="3">
        <v>5.1238060891494497</v>
      </c>
      <c r="M2227" s="3">
        <v>5.6146776286504503</v>
      </c>
      <c r="N2227" s="3">
        <v>5.7970026365642298</v>
      </c>
      <c r="O2227" s="3">
        <v>5.8410749967777198</v>
      </c>
      <c r="P2227" s="3">
        <v>5.8799358665087702</v>
      </c>
    </row>
    <row r="2228" spans="1:16" x14ac:dyDescent="0.3">
      <c r="A2228" s="3" t="str">
        <f t="shared" si="35"/>
        <v>BIO</v>
      </c>
      <c r="C2228" s="3" t="s">
        <v>850</v>
      </c>
      <c r="D2228" s="3" t="s">
        <v>765</v>
      </c>
      <c r="E2228" s="3" t="s">
        <v>1436</v>
      </c>
      <c r="F2228" s="3" t="s">
        <v>3</v>
      </c>
      <c r="G2228" s="3">
        <v>0.21436393379997201</v>
      </c>
      <c r="J2228" s="3">
        <v>3.33972633982098</v>
      </c>
      <c r="K2228" s="3">
        <v>3.33982158620086</v>
      </c>
      <c r="L2228" s="3">
        <v>3.4704756966214001</v>
      </c>
      <c r="M2228" s="3">
        <v>3.8029546621327799</v>
      </c>
      <c r="N2228" s="3">
        <v>3.92644772526626</v>
      </c>
      <c r="O2228" s="3">
        <v>3.9562989827792201</v>
      </c>
      <c r="P2228" s="3">
        <v>3.9826203738710499</v>
      </c>
    </row>
    <row r="2229" spans="1:16" x14ac:dyDescent="0.3">
      <c r="A2229" s="3" t="str">
        <f t="shared" si="35"/>
        <v>BIO</v>
      </c>
      <c r="C2229" s="3" t="s">
        <v>850</v>
      </c>
      <c r="D2229" s="3" t="s">
        <v>765</v>
      </c>
      <c r="E2229" s="3" t="s">
        <v>1436</v>
      </c>
      <c r="F2229" s="3" t="s">
        <v>4</v>
      </c>
      <c r="G2229" s="3">
        <v>1.03183331348738E-2</v>
      </c>
      <c r="H2229" s="3">
        <v>0.275758952534852</v>
      </c>
      <c r="J2229" s="3">
        <v>0.29954595925236799</v>
      </c>
      <c r="K2229" s="3">
        <v>0.299554502068552</v>
      </c>
      <c r="L2229" s="3">
        <v>0.31127310019724902</v>
      </c>
      <c r="M2229" s="3">
        <v>0.341093726356899</v>
      </c>
    </row>
    <row r="2230" spans="1:16" x14ac:dyDescent="0.3">
      <c r="A2230" s="3" t="str">
        <f t="shared" si="35"/>
        <v>BIO</v>
      </c>
      <c r="C2230" s="3" t="s">
        <v>850</v>
      </c>
      <c r="D2230" s="3" t="s">
        <v>765</v>
      </c>
      <c r="E2230" s="3" t="s">
        <v>1436</v>
      </c>
      <c r="F2230" s="3" t="s">
        <v>5</v>
      </c>
      <c r="G2230" s="3">
        <v>8.9939302987860903E-3</v>
      </c>
      <c r="J2230" s="3">
        <v>0.26109793544979898</v>
      </c>
      <c r="K2230" s="3">
        <v>0.26110538175845299</v>
      </c>
      <c r="L2230" s="3">
        <v>0.27131984696240902</v>
      </c>
      <c r="M2230" s="3">
        <v>0.29731286634260101</v>
      </c>
      <c r="N2230" s="3">
        <v>0.30696748487887698</v>
      </c>
      <c r="O2230" s="3">
        <v>0.30930123947855198</v>
      </c>
      <c r="P2230" s="3">
        <v>0.31135903109767299</v>
      </c>
    </row>
    <row r="2231" spans="1:16" x14ac:dyDescent="0.3">
      <c r="A2231" s="3" t="str">
        <f t="shared" si="35"/>
        <v>BIO</v>
      </c>
      <c r="C2231" s="3" t="s">
        <v>850</v>
      </c>
      <c r="D2231" s="3" t="s">
        <v>765</v>
      </c>
      <c r="E2231" s="3" t="s">
        <v>1436</v>
      </c>
      <c r="F2231" s="3" t="s">
        <v>6</v>
      </c>
      <c r="G2231" s="3">
        <v>3.1244935082980901E-2</v>
      </c>
      <c r="H2231" s="3">
        <v>0.83502543074343505</v>
      </c>
      <c r="J2231" s="3">
        <v>0.90705484392406199</v>
      </c>
      <c r="K2231" s="3">
        <v>0.907080712417903</v>
      </c>
      <c r="L2231" s="3">
        <v>0.94256578864180895</v>
      </c>
      <c r="M2231" s="3">
        <v>1.0328655993101601</v>
      </c>
      <c r="N2231" s="3">
        <v>1.0664057668893401</v>
      </c>
      <c r="O2231" s="3">
        <v>1.07451323587612</v>
      </c>
      <c r="P2231" s="3">
        <v>1.08166200881718</v>
      </c>
    </row>
    <row r="2232" spans="1:16" x14ac:dyDescent="0.3">
      <c r="A2232" s="3" t="str">
        <f t="shared" si="35"/>
        <v>BIO</v>
      </c>
      <c r="C2232" s="3" t="s">
        <v>850</v>
      </c>
      <c r="D2232" s="3" t="s">
        <v>765</v>
      </c>
      <c r="E2232" s="3" t="s">
        <v>1436</v>
      </c>
      <c r="F2232" s="3" t="s">
        <v>7</v>
      </c>
      <c r="H2232" s="3">
        <v>5.1337429764395398E-2</v>
      </c>
      <c r="J2232" s="3">
        <v>5.5765803804260099E-2</v>
      </c>
      <c r="K2232" s="3">
        <v>5.5767394201314699E-2</v>
      </c>
      <c r="L2232" s="3">
        <v>5.7949019504279699E-2</v>
      </c>
      <c r="M2232" s="3">
        <v>6.3500659031949694E-2</v>
      </c>
      <c r="N2232" s="3">
        <v>6.55627111970567E-2</v>
      </c>
      <c r="O2232" s="3">
        <v>6.6061159033912603E-2</v>
      </c>
      <c r="P2232" s="3">
        <v>6.6500666161781199E-2</v>
      </c>
    </row>
    <row r="2233" spans="1:16" x14ac:dyDescent="0.3">
      <c r="A2233" s="3" t="str">
        <f t="shared" si="35"/>
        <v>BIO</v>
      </c>
      <c r="C2233" s="3" t="s">
        <v>850</v>
      </c>
      <c r="D2233" s="3" t="s">
        <v>765</v>
      </c>
      <c r="E2233" s="3" t="s">
        <v>1436</v>
      </c>
      <c r="F2233" s="3" t="s">
        <v>8</v>
      </c>
      <c r="J2233" s="3">
        <v>3.49676989546929E-2</v>
      </c>
      <c r="K2233" s="3">
        <v>3.4968696206084102E-2</v>
      </c>
    </row>
    <row r="2234" spans="1:16" x14ac:dyDescent="0.3">
      <c r="A2234" s="3" t="str">
        <f t="shared" si="35"/>
        <v>ELC</v>
      </c>
      <c r="C2234" s="3" t="s">
        <v>850</v>
      </c>
      <c r="D2234" s="3" t="s">
        <v>765</v>
      </c>
      <c r="E2234" s="3" t="s">
        <v>1434</v>
      </c>
      <c r="F2234" s="3" t="s">
        <v>0</v>
      </c>
      <c r="G2234" s="3">
        <v>1.0695869910641901E-2</v>
      </c>
    </row>
    <row r="2235" spans="1:16" x14ac:dyDescent="0.3">
      <c r="A2235" s="3" t="str">
        <f t="shared" si="35"/>
        <v>ELC</v>
      </c>
      <c r="C2235" s="3" t="s">
        <v>850</v>
      </c>
      <c r="D2235" s="3" t="s">
        <v>765</v>
      </c>
      <c r="E2235" s="3" t="s">
        <v>1434</v>
      </c>
      <c r="F2235" s="3" t="s">
        <v>1</v>
      </c>
      <c r="G2235" s="3">
        <v>2.9442131333711999E-2</v>
      </c>
      <c r="I2235" s="3">
        <v>0.36363222582259103</v>
      </c>
    </row>
    <row r="2236" spans="1:16" x14ac:dyDescent="0.3">
      <c r="A2236" s="3" t="str">
        <f t="shared" si="35"/>
        <v>ELC</v>
      </c>
      <c r="C2236" s="3" t="s">
        <v>850</v>
      </c>
      <c r="D2236" s="3" t="s">
        <v>765</v>
      </c>
      <c r="E2236" s="3" t="s">
        <v>1434</v>
      </c>
      <c r="F2236" s="3" t="s">
        <v>2</v>
      </c>
      <c r="G2236" s="3">
        <v>8.0164787475404994E-2</v>
      </c>
      <c r="H2236" s="3">
        <v>4.17833094405003</v>
      </c>
      <c r="I2236" s="3">
        <v>4.6518903278502597</v>
      </c>
    </row>
    <row r="2237" spans="1:16" x14ac:dyDescent="0.3">
      <c r="A2237" s="3" t="str">
        <f t="shared" si="35"/>
        <v>ELC</v>
      </c>
      <c r="C2237" s="3" t="s">
        <v>850</v>
      </c>
      <c r="D2237" s="3" t="s">
        <v>765</v>
      </c>
      <c r="E2237" s="3" t="s">
        <v>1434</v>
      </c>
      <c r="F2237" s="3" t="s">
        <v>3</v>
      </c>
      <c r="G2237" s="3">
        <v>5.4297516693180503E-2</v>
      </c>
      <c r="H2237" s="3">
        <v>3.0745179788794301</v>
      </c>
      <c r="I2237" s="3">
        <v>3.15083593041133</v>
      </c>
    </row>
    <row r="2238" spans="1:16" x14ac:dyDescent="0.3">
      <c r="A2238" s="3" t="str">
        <f t="shared" si="35"/>
        <v>ELC</v>
      </c>
      <c r="C2238" s="3" t="s">
        <v>850</v>
      </c>
      <c r="D2238" s="3" t="s">
        <v>765</v>
      </c>
      <c r="E2238" s="3" t="s">
        <v>1434</v>
      </c>
      <c r="F2238" s="3" t="s">
        <v>4</v>
      </c>
      <c r="G2238" s="3">
        <v>3.1129051161120701E-2</v>
      </c>
      <c r="I2238" s="3">
        <v>0.28260404451955201</v>
      </c>
    </row>
    <row r="2239" spans="1:16" x14ac:dyDescent="0.3">
      <c r="A2239" s="3" t="str">
        <f t="shared" si="35"/>
        <v>ELC</v>
      </c>
      <c r="C2239" s="3" t="s">
        <v>850</v>
      </c>
      <c r="D2239" s="3" t="s">
        <v>765</v>
      </c>
      <c r="E2239" s="3" t="s">
        <v>1434</v>
      </c>
      <c r="F2239" s="3" t="s">
        <v>5</v>
      </c>
      <c r="G2239" s="3">
        <v>2.7133502354582499E-2</v>
      </c>
      <c r="H2239" s="3">
        <v>0.240364094272389</v>
      </c>
      <c r="I2239" s="3">
        <v>0.24633058899537</v>
      </c>
    </row>
    <row r="2240" spans="1:16" x14ac:dyDescent="0.3">
      <c r="A2240" s="3" t="str">
        <f t="shared" si="35"/>
        <v>ELC</v>
      </c>
      <c r="C2240" s="3" t="s">
        <v>850</v>
      </c>
      <c r="D2240" s="3" t="s">
        <v>765</v>
      </c>
      <c r="E2240" s="3" t="s">
        <v>1434</v>
      </c>
      <c r="F2240" s="3" t="s">
        <v>6</v>
      </c>
      <c r="G2240" s="3">
        <v>9.4261851212841502E-2</v>
      </c>
      <c r="I2240" s="3">
        <v>0.85575304749153902</v>
      </c>
    </row>
    <row r="2241" spans="1:16" x14ac:dyDescent="0.3">
      <c r="A2241" s="3" t="str">
        <f t="shared" si="35"/>
        <v>ELC</v>
      </c>
      <c r="C2241" s="3" t="s">
        <v>850</v>
      </c>
      <c r="D2241" s="3" t="s">
        <v>765</v>
      </c>
      <c r="E2241" s="3" t="s">
        <v>1434</v>
      </c>
      <c r="F2241" s="3" t="s">
        <v>7</v>
      </c>
      <c r="G2241" s="3">
        <v>1.23346274222116E-2</v>
      </c>
      <c r="I2241" s="3">
        <v>5.2611765287377099E-2</v>
      </c>
    </row>
    <row r="2242" spans="1:16" x14ac:dyDescent="0.3">
      <c r="A2242" s="3" t="str">
        <f t="shared" si="35"/>
        <v>ELC</v>
      </c>
      <c r="C2242" s="3" t="s">
        <v>850</v>
      </c>
      <c r="D2242" s="3" t="s">
        <v>765</v>
      </c>
      <c r="E2242" s="3" t="s">
        <v>1434</v>
      </c>
      <c r="F2242" s="3" t="s">
        <v>8</v>
      </c>
      <c r="G2242" s="3">
        <v>7.73437319996533E-3</v>
      </c>
      <c r="H2242" s="3">
        <v>3.2190906732199501E-2</v>
      </c>
      <c r="I2242" s="3">
        <v>3.2989973147368498E-2</v>
      </c>
      <c r="L2242" s="3">
        <v>3.63366746377011E-2</v>
      </c>
      <c r="M2242" s="3">
        <v>3.9817805482509398E-2</v>
      </c>
      <c r="N2242" s="3">
        <v>4.1110806110481998E-2</v>
      </c>
    </row>
    <row r="2243" spans="1:16" x14ac:dyDescent="0.3">
      <c r="A2243" s="3" t="str">
        <f t="shared" si="35"/>
        <v>PTC</v>
      </c>
      <c r="C2243" s="3" t="s">
        <v>850</v>
      </c>
      <c r="D2243" s="3" t="s">
        <v>765</v>
      </c>
      <c r="E2243" s="3" t="s">
        <v>1437</v>
      </c>
      <c r="F2243" s="3" t="s">
        <v>2</v>
      </c>
      <c r="G2243" s="3">
        <v>3.4149347760800599</v>
      </c>
    </row>
    <row r="2244" spans="1:16" x14ac:dyDescent="0.3">
      <c r="A2244" s="3" t="str">
        <f t="shared" si="35"/>
        <v>PTC</v>
      </c>
      <c r="C2244" s="3" t="s">
        <v>850</v>
      </c>
      <c r="D2244" s="3" t="s">
        <v>765</v>
      </c>
      <c r="E2244" s="3" t="s">
        <v>1437</v>
      </c>
      <c r="F2244" s="3" t="s">
        <v>3</v>
      </c>
      <c r="G2244" s="3">
        <v>2.3130165232112398</v>
      </c>
    </row>
    <row r="2245" spans="1:16" x14ac:dyDescent="0.3">
      <c r="A2245" s="3" t="str">
        <f t="shared" si="35"/>
        <v>PTC</v>
      </c>
      <c r="C2245" s="3" t="s">
        <v>850</v>
      </c>
      <c r="D2245" s="3" t="s">
        <v>765</v>
      </c>
      <c r="E2245" s="3" t="s">
        <v>1437</v>
      </c>
      <c r="F2245" s="3" t="s">
        <v>4</v>
      </c>
      <c r="G2245" s="3">
        <v>0.111336243041852</v>
      </c>
    </row>
    <row r="2246" spans="1:16" x14ac:dyDescent="0.3">
      <c r="A2246" s="3" t="str">
        <f t="shared" si="35"/>
        <v>PTC</v>
      </c>
      <c r="C2246" s="3" t="s">
        <v>850</v>
      </c>
      <c r="D2246" s="3" t="s">
        <v>765</v>
      </c>
      <c r="E2246" s="3" t="s">
        <v>1437</v>
      </c>
      <c r="F2246" s="3" t="s">
        <v>5</v>
      </c>
      <c r="G2246" s="3">
        <v>9.7045753084165506E-2</v>
      </c>
    </row>
    <row r="2247" spans="1:16" x14ac:dyDescent="0.3">
      <c r="A2247" s="3" t="str">
        <f t="shared" si="35"/>
        <v>PTC</v>
      </c>
      <c r="C2247" s="3" t="s">
        <v>850</v>
      </c>
      <c r="D2247" s="3" t="s">
        <v>765</v>
      </c>
      <c r="E2247" s="3" t="s">
        <v>1437</v>
      </c>
      <c r="F2247" s="3" t="s">
        <v>6</v>
      </c>
      <c r="G2247" s="3">
        <v>0.33713717523505798</v>
      </c>
    </row>
    <row r="2248" spans="1:16" x14ac:dyDescent="0.3">
      <c r="A2248" s="3" t="str">
        <f t="shared" si="35"/>
        <v>RFL</v>
      </c>
      <c r="C2248" s="3" t="s">
        <v>850</v>
      </c>
      <c r="D2248" s="3" t="s">
        <v>765</v>
      </c>
      <c r="E2248" s="3" t="s">
        <v>1435</v>
      </c>
      <c r="F2248" s="3" t="s">
        <v>0</v>
      </c>
      <c r="G2248" s="3">
        <v>0.117406447664289</v>
      </c>
      <c r="I2248" s="3">
        <v>0.132101950726039</v>
      </c>
    </row>
    <row r="2249" spans="1:16" x14ac:dyDescent="0.3">
      <c r="A2249" s="3" t="str">
        <f t="shared" si="35"/>
        <v>RFL</v>
      </c>
      <c r="C2249" s="3" t="s">
        <v>850</v>
      </c>
      <c r="D2249" s="3" t="s">
        <v>765</v>
      </c>
      <c r="E2249" s="3" t="s">
        <v>1435</v>
      </c>
      <c r="F2249" s="3" t="s">
        <v>1</v>
      </c>
      <c r="G2249" s="3">
        <v>0.323180450064872</v>
      </c>
      <c r="N2249" s="3">
        <v>0.45314416791236301</v>
      </c>
      <c r="O2249" s="3">
        <v>0.456589247076362</v>
      </c>
    </row>
    <row r="2250" spans="1:16" x14ac:dyDescent="0.3">
      <c r="A2250" s="3" t="str">
        <f t="shared" si="35"/>
        <v>RFL</v>
      </c>
      <c r="C2250" s="3" t="s">
        <v>850</v>
      </c>
      <c r="D2250" s="3" t="s">
        <v>765</v>
      </c>
      <c r="E2250" s="3" t="s">
        <v>1435</v>
      </c>
      <c r="F2250" s="3" t="s">
        <v>2</v>
      </c>
      <c r="G2250" s="3">
        <v>0.248354883919749</v>
      </c>
    </row>
    <row r="2251" spans="1:16" x14ac:dyDescent="0.3">
      <c r="A2251" s="3" t="str">
        <f t="shared" si="35"/>
        <v>RFL</v>
      </c>
      <c r="C2251" s="3" t="s">
        <v>850</v>
      </c>
      <c r="D2251" s="3" t="s">
        <v>765</v>
      </c>
      <c r="E2251" s="3" t="s">
        <v>1435</v>
      </c>
      <c r="F2251" s="3" t="s">
        <v>3</v>
      </c>
      <c r="G2251" s="3">
        <v>0.47376051729206098</v>
      </c>
    </row>
    <row r="2252" spans="1:16" x14ac:dyDescent="0.3">
      <c r="A2252" s="3" t="str">
        <f t="shared" si="35"/>
        <v>RFL</v>
      </c>
      <c r="C2252" s="3" t="s">
        <v>850</v>
      </c>
      <c r="D2252" s="3" t="s">
        <v>765</v>
      </c>
      <c r="E2252" s="3" t="s">
        <v>1435</v>
      </c>
      <c r="F2252" s="3" t="s">
        <v>4</v>
      </c>
      <c r="G2252" s="3">
        <v>0.121264052200831</v>
      </c>
    </row>
    <row r="2253" spans="1:16" x14ac:dyDescent="0.3">
      <c r="A2253" s="3" t="str">
        <f t="shared" si="35"/>
        <v>RFL</v>
      </c>
      <c r="C2253" s="3" t="s">
        <v>850</v>
      </c>
      <c r="D2253" s="3" t="s">
        <v>765</v>
      </c>
      <c r="E2253" s="3" t="s">
        <v>1435</v>
      </c>
      <c r="F2253" s="3" t="s">
        <v>5</v>
      </c>
      <c r="G2253" s="3">
        <v>0.10569928485411</v>
      </c>
    </row>
    <row r="2254" spans="1:16" x14ac:dyDescent="0.3">
      <c r="A2254" s="3" t="str">
        <f t="shared" si="35"/>
        <v>RFL</v>
      </c>
      <c r="C2254" s="3" t="s">
        <v>850</v>
      </c>
      <c r="D2254" s="3" t="s">
        <v>765</v>
      </c>
      <c r="E2254" s="3" t="s">
        <v>1435</v>
      </c>
      <c r="F2254" s="3" t="s">
        <v>6</v>
      </c>
      <c r="G2254" s="3">
        <v>0.36719956502552797</v>
      </c>
    </row>
    <row r="2255" spans="1:16" x14ac:dyDescent="0.3">
      <c r="A2255" s="3" t="str">
        <f t="shared" si="35"/>
        <v>RFL</v>
      </c>
      <c r="C2255" s="3" t="s">
        <v>850</v>
      </c>
      <c r="D2255" s="3" t="s">
        <v>765</v>
      </c>
      <c r="E2255" s="3" t="s">
        <v>1435</v>
      </c>
      <c r="F2255" s="3" t="s">
        <v>7</v>
      </c>
      <c r="G2255" s="3">
        <v>3.8684218461440101E-2</v>
      </c>
    </row>
    <row r="2256" spans="1:16" x14ac:dyDescent="0.3">
      <c r="A2256" s="3" t="str">
        <f t="shared" si="35"/>
        <v>RFL</v>
      </c>
      <c r="C2256" s="3" t="s">
        <v>850</v>
      </c>
      <c r="D2256" s="3" t="s">
        <v>765</v>
      </c>
      <c r="E2256" s="3" t="s">
        <v>1435</v>
      </c>
      <c r="F2256" s="3" t="s">
        <v>8</v>
      </c>
      <c r="G2256" s="3">
        <v>2.4256766928438901E-2</v>
      </c>
      <c r="O2256" s="3">
        <v>4.1423355607033703E-2</v>
      </c>
      <c r="P2256" s="3">
        <v>4.1698946594472798E-2</v>
      </c>
    </row>
    <row r="2257" spans="1:16" x14ac:dyDescent="0.3">
      <c r="A2257" s="3" t="str">
        <f t="shared" si="35"/>
        <v>STM</v>
      </c>
      <c r="C2257" s="3" t="s">
        <v>850</v>
      </c>
      <c r="D2257" s="3" t="s">
        <v>765</v>
      </c>
      <c r="E2257" s="3" t="s">
        <v>1545</v>
      </c>
      <c r="F2257" s="3" t="s">
        <v>4</v>
      </c>
      <c r="N2257" s="3">
        <v>0.35217003749540998</v>
      </c>
      <c r="O2257" s="3">
        <v>0.35484744955159903</v>
      </c>
      <c r="P2257" s="3">
        <v>0.35720826164851999</v>
      </c>
    </row>
    <row r="2258" spans="1:16" x14ac:dyDescent="0.3">
      <c r="A2258" s="3" t="str">
        <f t="shared" si="35"/>
        <v>NGA</v>
      </c>
      <c r="C2258" s="3" t="s">
        <v>850</v>
      </c>
      <c r="D2258" s="3" t="s">
        <v>1266</v>
      </c>
      <c r="E2258" s="3" t="s">
        <v>1313</v>
      </c>
      <c r="F2258" s="3" t="s">
        <v>4</v>
      </c>
      <c r="N2258" s="3">
        <v>0.35217003749541009</v>
      </c>
      <c r="O2258" s="3">
        <v>0.35484744955159869</v>
      </c>
      <c r="P2258" s="3">
        <v>0.35720826164852076</v>
      </c>
    </row>
    <row r="2259" spans="1:16" x14ac:dyDescent="0.3">
      <c r="A2259" s="3" t="str">
        <f t="shared" si="35"/>
        <v>COA</v>
      </c>
      <c r="C2259" s="3" t="s">
        <v>850</v>
      </c>
      <c r="D2259" s="3" t="s">
        <v>798</v>
      </c>
      <c r="E2259" s="3" t="s">
        <v>1427</v>
      </c>
      <c r="F2259" s="3" t="s">
        <v>0</v>
      </c>
      <c r="G2259" s="3">
        <v>0.13345490634413501</v>
      </c>
      <c r="H2259" s="3">
        <v>0.2229136887385671</v>
      </c>
      <c r="I2259" s="3">
        <v>0.95688691017384409</v>
      </c>
      <c r="J2259" s="3">
        <v>1.4015560027654188</v>
      </c>
      <c r="K2259" s="3">
        <v>1.6996145291007025</v>
      </c>
      <c r="L2259" s="3">
        <v>2.0990597047526496</v>
      </c>
      <c r="M2259" s="3">
        <v>2.6552337701420745</v>
      </c>
      <c r="N2259" s="3">
        <v>3.0491179707091867</v>
      </c>
      <c r="O2259" s="3">
        <v>3.0722992307436359</v>
      </c>
      <c r="P2259" s="3">
        <v>3.0927393415531226</v>
      </c>
    </row>
    <row r="2260" spans="1:16" x14ac:dyDescent="0.3">
      <c r="A2260" s="3" t="str">
        <f t="shared" si="35"/>
        <v>COA</v>
      </c>
      <c r="C2260" s="3" t="s">
        <v>850</v>
      </c>
      <c r="D2260" s="3" t="s">
        <v>798</v>
      </c>
      <c r="E2260" s="3" t="s">
        <v>1427</v>
      </c>
      <c r="F2260" s="3" t="s">
        <v>1</v>
      </c>
      <c r="G2260" s="3">
        <v>0.36735645744932699</v>
      </c>
      <c r="H2260" s="3">
        <v>0.61360638776961596</v>
      </c>
      <c r="I2260" s="3">
        <v>1.5986061090508621</v>
      </c>
      <c r="J2260" s="3">
        <v>3.029706839708628</v>
      </c>
      <c r="K2260" s="3">
        <v>4.678466978425023</v>
      </c>
      <c r="L2260" s="3">
        <v>5.7780051572187592</v>
      </c>
      <c r="M2260" s="3">
        <v>7.3089652394190452</v>
      </c>
      <c r="N2260" s="3">
        <v>8.3931959247448944</v>
      </c>
      <c r="O2260" s="3">
        <v>8.457006134490971</v>
      </c>
      <c r="P2260" s="3">
        <v>8.5132708826560695</v>
      </c>
    </row>
    <row r="2261" spans="1:16" x14ac:dyDescent="0.3">
      <c r="A2261" s="3" t="str">
        <f t="shared" si="35"/>
        <v>COA</v>
      </c>
      <c r="C2261" s="3" t="s">
        <v>850</v>
      </c>
      <c r="D2261" s="3" t="s">
        <v>798</v>
      </c>
      <c r="E2261" s="3" t="s">
        <v>1427</v>
      </c>
      <c r="F2261" s="3" t="s">
        <v>2</v>
      </c>
      <c r="G2261" s="3">
        <v>5.37439739900503</v>
      </c>
      <c r="H2261" s="3">
        <v>5.1952508190381996</v>
      </c>
      <c r="I2261" s="3">
        <v>10.772521380475609</v>
      </c>
      <c r="J2261" s="3">
        <v>19.449693059406073</v>
      </c>
      <c r="K2261" s="3">
        <v>23.279324258822431</v>
      </c>
      <c r="L2261" s="3">
        <v>28.467983353449952</v>
      </c>
      <c r="M2261" s="3">
        <v>35.757500249122884</v>
      </c>
      <c r="N2261" s="3">
        <v>40.871617771306951</v>
      </c>
      <c r="O2261" s="3">
        <v>41.182348811786952</v>
      </c>
      <c r="P2261" s="3">
        <v>41.456336372856853</v>
      </c>
    </row>
    <row r="2262" spans="1:16" x14ac:dyDescent="0.3">
      <c r="A2262" s="3" t="str">
        <f t="shared" si="35"/>
        <v>COA</v>
      </c>
      <c r="C2262" s="3" t="s">
        <v>850</v>
      </c>
      <c r="D2262" s="3" t="s">
        <v>798</v>
      </c>
      <c r="E2262" s="3" t="s">
        <v>1427</v>
      </c>
      <c r="F2262" s="3" t="s">
        <v>3</v>
      </c>
      <c r="G2262" s="3">
        <v>3.6402071492772601</v>
      </c>
      <c r="H2262" s="3">
        <v>3.5188669109680202</v>
      </c>
      <c r="I2262" s="3">
        <v>6.3942453551547498</v>
      </c>
      <c r="J2262" s="3">
        <v>10.74392992037507</v>
      </c>
      <c r="K2262" s="3">
        <v>14.865400327950038</v>
      </c>
      <c r="L2262" s="3">
        <v>18.37980250723853</v>
      </c>
      <c r="M2262" s="3">
        <v>23.317165628789319</v>
      </c>
      <c r="N2262" s="3">
        <v>27.115808389064238</v>
      </c>
      <c r="O2262" s="3">
        <v>27.893784072694451</v>
      </c>
      <c r="P2262" s="3">
        <v>28.079362362607327</v>
      </c>
    </row>
    <row r="2263" spans="1:16" x14ac:dyDescent="0.3">
      <c r="A2263" s="3" t="str">
        <f t="shared" si="35"/>
        <v>COA</v>
      </c>
      <c r="C2263" s="3" t="s">
        <v>850</v>
      </c>
      <c r="D2263" s="3" t="s">
        <v>798</v>
      </c>
      <c r="E2263" s="3" t="s">
        <v>1427</v>
      </c>
      <c r="F2263" s="3" t="s">
        <v>4</v>
      </c>
      <c r="G2263" s="3">
        <v>0.40884690140815599</v>
      </c>
      <c r="H2263" s="3">
        <v>0.39521867136121702</v>
      </c>
      <c r="I2263" s="3">
        <v>0.34070575117346302</v>
      </c>
      <c r="J2263" s="3">
        <v>2.2278380170275609</v>
      </c>
      <c r="K2263" s="3">
        <v>2.7170336029833249</v>
      </c>
      <c r="L2263" s="3">
        <v>3.405953277781868</v>
      </c>
      <c r="M2263" s="3">
        <v>4.4036171009385354</v>
      </c>
      <c r="N2263" s="3">
        <v>5.1564188841067597</v>
      </c>
      <c r="O2263" s="3">
        <v>6.0521988708410852</v>
      </c>
      <c r="P2263" s="3">
        <v>6.0924643548548936</v>
      </c>
    </row>
    <row r="2264" spans="1:16" x14ac:dyDescent="0.3">
      <c r="A2264" s="3" t="str">
        <f t="shared" si="35"/>
        <v>COA</v>
      </c>
      <c r="C2264" s="3" t="s">
        <v>850</v>
      </c>
      <c r="D2264" s="3" t="s">
        <v>798</v>
      </c>
      <c r="E2264" s="3" t="s">
        <v>1427</v>
      </c>
      <c r="F2264" s="3" t="s">
        <v>5</v>
      </c>
      <c r="G2264" s="3">
        <v>0.35636962734917499</v>
      </c>
      <c r="H2264" s="3">
        <v>0.34449063977086902</v>
      </c>
      <c r="I2264" s="3">
        <v>0.29697468945764599</v>
      </c>
      <c r="J2264" s="3">
        <v>1.178529473203735</v>
      </c>
      <c r="K2264" s="3">
        <v>2.3682905489938051</v>
      </c>
      <c r="L2264" s="3">
        <v>2.9687843938435172</v>
      </c>
      <c r="M2264" s="3">
        <v>3.8383937357599054</v>
      </c>
      <c r="N2264" s="3">
        <v>4.4945701431423366</v>
      </c>
      <c r="O2264" s="3">
        <v>5.2753728811840856</v>
      </c>
      <c r="P2264" s="3">
        <v>5.3104701155855336</v>
      </c>
    </row>
    <row r="2265" spans="1:16" x14ac:dyDescent="0.3">
      <c r="A2265" s="3" t="str">
        <f t="shared" si="35"/>
        <v>COA</v>
      </c>
      <c r="C2265" s="3" t="s">
        <v>850</v>
      </c>
      <c r="D2265" s="3" t="s">
        <v>798</v>
      </c>
      <c r="E2265" s="3" t="s">
        <v>1427</v>
      </c>
      <c r="F2265" s="3" t="s">
        <v>6</v>
      </c>
      <c r="G2265" s="3">
        <v>1.2380289264165101</v>
      </c>
      <c r="H2265" s="3">
        <v>1.1967612955359599</v>
      </c>
      <c r="I2265" s="3">
        <v>1.03169077201376</v>
      </c>
      <c r="J2265" s="3">
        <v>4.050549274732127</v>
      </c>
      <c r="K2265" s="3">
        <v>8.1837820597733852</v>
      </c>
      <c r="L2265" s="3">
        <v>10.269899093901453</v>
      </c>
      <c r="M2265" s="3">
        <v>13.290923999931552</v>
      </c>
      <c r="N2265" s="3">
        <v>15.570482387705049</v>
      </c>
      <c r="O2265" s="3">
        <v>18.32665783871618</v>
      </c>
      <c r="P2265" s="3">
        <v>18.44858571385366</v>
      </c>
    </row>
    <row r="2266" spans="1:16" x14ac:dyDescent="0.3">
      <c r="A2266" s="3" t="str">
        <f t="shared" si="35"/>
        <v>COA</v>
      </c>
      <c r="C2266" s="3" t="s">
        <v>850</v>
      </c>
      <c r="D2266" s="3" t="s">
        <v>798</v>
      </c>
      <c r="E2266" s="3" t="s">
        <v>1427</v>
      </c>
      <c r="F2266" s="3" t="s">
        <v>7</v>
      </c>
      <c r="H2266" s="3">
        <v>8.1220458628461306E-2</v>
      </c>
      <c r="I2266" s="3">
        <v>0.40610229314232726</v>
      </c>
      <c r="J2266" s="3">
        <v>1.2220129727538103</v>
      </c>
      <c r="K2266" s="3">
        <v>1.4773523601854133</v>
      </c>
      <c r="L2266" s="3">
        <v>1.8203811176008162</v>
      </c>
      <c r="M2266" s="3">
        <v>2.298964779848049</v>
      </c>
      <c r="N2266" s="3">
        <v>2.6371838467867477</v>
      </c>
      <c r="O2266" s="3">
        <v>2.6572333316208043</v>
      </c>
      <c r="P2266" s="3">
        <v>2.6749119949493991</v>
      </c>
    </row>
    <row r="2267" spans="1:16" x14ac:dyDescent="0.3">
      <c r="A2267" s="3" t="str">
        <f t="shared" si="35"/>
        <v>COA</v>
      </c>
      <c r="C2267" s="3" t="s">
        <v>850</v>
      </c>
      <c r="D2267" s="3" t="s">
        <v>798</v>
      </c>
      <c r="E2267" s="3" t="s">
        <v>1427</v>
      </c>
      <c r="F2267" s="3" t="s">
        <v>8</v>
      </c>
      <c r="H2267" s="3">
        <v>5.0928926914624001E-2</v>
      </c>
      <c r="I2267" s="3">
        <v>0.25464463457310904</v>
      </c>
      <c r="J2267" s="3">
        <v>1.188941344096581</v>
      </c>
      <c r="K2267" s="3">
        <v>1.188941344096581</v>
      </c>
      <c r="L2267" s="3">
        <v>1.188941344096581</v>
      </c>
      <c r="M2267" s="3">
        <v>1.3871572032533721</v>
      </c>
      <c r="N2267" s="3">
        <v>1.6536343879539555</v>
      </c>
      <c r="O2267" s="3">
        <v>1.6662063281403561</v>
      </c>
      <c r="P2267" s="3">
        <v>1.6772916552588448</v>
      </c>
    </row>
    <row r="2268" spans="1:16" x14ac:dyDescent="0.3">
      <c r="A2268" s="3" t="str">
        <f t="shared" si="35"/>
        <v>DST</v>
      </c>
      <c r="C2268" s="3" t="s">
        <v>850</v>
      </c>
      <c r="D2268" s="3" t="s">
        <v>798</v>
      </c>
      <c r="E2268" s="3" t="s">
        <v>1425</v>
      </c>
      <c r="F2268" s="3" t="s">
        <v>2</v>
      </c>
      <c r="I2268" s="3">
        <v>6.3184443360516707E-2</v>
      </c>
    </row>
    <row r="2269" spans="1:16" x14ac:dyDescent="0.3">
      <c r="A2269" s="3" t="str">
        <f t="shared" si="35"/>
        <v>DST</v>
      </c>
      <c r="C2269" s="3" t="s">
        <v>850</v>
      </c>
      <c r="D2269" s="3" t="s">
        <v>798</v>
      </c>
      <c r="E2269" s="3" t="s">
        <v>1425</v>
      </c>
      <c r="F2269" s="3" t="s">
        <v>3</v>
      </c>
      <c r="G2269" s="3">
        <v>5.1355591044288197E-2</v>
      </c>
      <c r="I2269" s="3">
        <v>4.2796325870252602E-2</v>
      </c>
    </row>
    <row r="2270" spans="1:16" x14ac:dyDescent="0.3">
      <c r="A2270" s="3" t="str">
        <f t="shared" si="35"/>
        <v>DST</v>
      </c>
      <c r="C2270" s="3" t="s">
        <v>850</v>
      </c>
      <c r="D2270" s="3" t="s">
        <v>798</v>
      </c>
      <c r="E2270" s="3" t="s">
        <v>1425</v>
      </c>
      <c r="F2270" s="3" t="s">
        <v>4</v>
      </c>
      <c r="G2270" s="3">
        <v>1.7303884153368101E-2</v>
      </c>
      <c r="I2270" s="3">
        <v>1.4419903461137199E-2</v>
      </c>
    </row>
    <row r="2271" spans="1:16" x14ac:dyDescent="0.3">
      <c r="A2271" s="3" t="str">
        <f t="shared" ref="A2271:A2334" si="36">RIGHT(E2271,3)</f>
        <v>DST</v>
      </c>
      <c r="C2271" s="3" t="s">
        <v>850</v>
      </c>
      <c r="D2271" s="3" t="s">
        <v>798</v>
      </c>
      <c r="E2271" s="3" t="s">
        <v>1425</v>
      </c>
      <c r="F2271" s="3" t="s">
        <v>5</v>
      </c>
      <c r="G2271" s="3">
        <v>1.5082855529028501E-2</v>
      </c>
      <c r="I2271" s="3">
        <v>1.2569046274185701E-2</v>
      </c>
    </row>
    <row r="2272" spans="1:16" x14ac:dyDescent="0.3">
      <c r="A2272" s="3" t="str">
        <f t="shared" si="36"/>
        <v>DST</v>
      </c>
      <c r="C2272" s="3" t="s">
        <v>850</v>
      </c>
      <c r="D2272" s="3" t="s">
        <v>798</v>
      </c>
      <c r="E2272" s="3" t="s">
        <v>1425</v>
      </c>
      <c r="F2272" s="3" t="s">
        <v>6</v>
      </c>
      <c r="G2272" s="3">
        <v>5.2397875702237001E-2</v>
      </c>
    </row>
    <row r="2273" spans="1:14" x14ac:dyDescent="0.3">
      <c r="A2273" s="3" t="str">
        <f t="shared" si="36"/>
        <v>ELC</v>
      </c>
      <c r="C2273" s="3" t="s">
        <v>850</v>
      </c>
      <c r="D2273" s="3" t="s">
        <v>798</v>
      </c>
      <c r="E2273" s="3" t="s">
        <v>1424</v>
      </c>
      <c r="F2273" s="3" t="s">
        <v>0</v>
      </c>
      <c r="G2273" s="3">
        <v>0.451365710229088</v>
      </c>
      <c r="H2273" s="3">
        <v>0.43632018655478499</v>
      </c>
    </row>
    <row r="2274" spans="1:14" x14ac:dyDescent="0.3">
      <c r="A2274" s="3" t="str">
        <f t="shared" si="36"/>
        <v>ELC</v>
      </c>
      <c r="C2274" s="3" t="s">
        <v>850</v>
      </c>
      <c r="D2274" s="3" t="s">
        <v>798</v>
      </c>
      <c r="E2274" s="3" t="s">
        <v>1424</v>
      </c>
      <c r="F2274" s="3" t="s">
        <v>1</v>
      </c>
      <c r="G2274" s="3">
        <v>1.2424579422826501</v>
      </c>
      <c r="H2274" s="3">
        <v>1.2010426775398999</v>
      </c>
      <c r="I2274" s="3">
        <v>1.03538161856888</v>
      </c>
      <c r="J2274" s="3">
        <v>0.82830529485509996</v>
      </c>
    </row>
    <row r="2275" spans="1:14" x14ac:dyDescent="0.3">
      <c r="A2275" s="3" t="str">
        <f t="shared" si="36"/>
        <v>ELC</v>
      </c>
      <c r="C2275" s="3" t="s">
        <v>850</v>
      </c>
      <c r="D2275" s="3" t="s">
        <v>798</v>
      </c>
      <c r="E2275" s="3" t="s">
        <v>1424</v>
      </c>
      <c r="F2275" s="3" t="s">
        <v>2</v>
      </c>
      <c r="G2275" s="3">
        <v>3.3829540314620901</v>
      </c>
      <c r="H2275" s="3">
        <v>3.2701888970800201</v>
      </c>
      <c r="I2275" s="3">
        <v>2.81912835955174</v>
      </c>
    </row>
    <row r="2276" spans="1:14" x14ac:dyDescent="0.3">
      <c r="A2276" s="3" t="str">
        <f t="shared" si="36"/>
        <v>ELC</v>
      </c>
      <c r="C2276" s="3" t="s">
        <v>850</v>
      </c>
      <c r="D2276" s="3" t="s">
        <v>798</v>
      </c>
      <c r="E2276" s="3" t="s">
        <v>1424</v>
      </c>
      <c r="F2276" s="3" t="s">
        <v>3</v>
      </c>
      <c r="G2276" s="3">
        <v>2.2913552044522199</v>
      </c>
      <c r="H2276" s="3">
        <v>2.2149766976371499</v>
      </c>
      <c r="I2276" s="3">
        <v>1.90946267037685</v>
      </c>
      <c r="J2276" s="3">
        <v>1.52757013630148</v>
      </c>
    </row>
    <row r="2277" spans="1:14" x14ac:dyDescent="0.3">
      <c r="A2277" s="3" t="str">
        <f t="shared" si="36"/>
        <v>ELC</v>
      </c>
      <c r="C2277" s="3" t="s">
        <v>850</v>
      </c>
      <c r="D2277" s="3" t="s">
        <v>798</v>
      </c>
      <c r="E2277" s="3" t="s">
        <v>1424</v>
      </c>
      <c r="F2277" s="3" t="s">
        <v>4</v>
      </c>
      <c r="G2277" s="3">
        <v>1.3136459589992899</v>
      </c>
      <c r="H2277" s="3">
        <v>1.26985776036598</v>
      </c>
      <c r="I2277" s="3">
        <v>1.0947049658327399</v>
      </c>
    </row>
    <row r="2278" spans="1:14" x14ac:dyDescent="0.3">
      <c r="A2278" s="3" t="str">
        <f t="shared" si="36"/>
        <v>ELC</v>
      </c>
      <c r="C2278" s="3" t="s">
        <v>850</v>
      </c>
      <c r="D2278" s="3" t="s">
        <v>798</v>
      </c>
      <c r="E2278" s="3" t="s">
        <v>1424</v>
      </c>
      <c r="F2278" s="3" t="s">
        <v>5</v>
      </c>
      <c r="G2278" s="3">
        <v>1.1450337993633799</v>
      </c>
      <c r="H2278" s="3">
        <v>1.1068660060512701</v>
      </c>
      <c r="I2278" s="3">
        <v>0.95419483280281603</v>
      </c>
      <c r="J2278" s="3">
        <v>0.76335586624225304</v>
      </c>
    </row>
    <row r="2279" spans="1:14" x14ac:dyDescent="0.3">
      <c r="A2279" s="3" t="str">
        <f t="shared" si="36"/>
        <v>ELC</v>
      </c>
      <c r="C2279" s="3" t="s">
        <v>850</v>
      </c>
      <c r="D2279" s="3" t="s">
        <v>798</v>
      </c>
      <c r="E2279" s="3" t="s">
        <v>1424</v>
      </c>
      <c r="F2279" s="3" t="s">
        <v>6</v>
      </c>
      <c r="G2279" s="3">
        <v>3.9778501211819099</v>
      </c>
      <c r="H2279" s="3">
        <v>3.8452551171425098</v>
      </c>
      <c r="I2279" s="3">
        <v>3.31487510098493</v>
      </c>
      <c r="J2279" s="3">
        <v>2.6519000807879398</v>
      </c>
    </row>
    <row r="2280" spans="1:14" x14ac:dyDescent="0.3">
      <c r="A2280" s="3" t="str">
        <f t="shared" si="36"/>
        <v>ELC</v>
      </c>
      <c r="C2280" s="3" t="s">
        <v>850</v>
      </c>
      <c r="D2280" s="3" t="s">
        <v>798</v>
      </c>
      <c r="E2280" s="3" t="s">
        <v>1424</v>
      </c>
      <c r="F2280" s="3" t="s">
        <v>7</v>
      </c>
      <c r="G2280" s="3">
        <v>0.52052127721732999</v>
      </c>
      <c r="H2280" s="3">
        <v>0.50317056797675197</v>
      </c>
      <c r="I2280" s="3">
        <v>0.43376773101444199</v>
      </c>
    </row>
    <row r="2281" spans="1:14" x14ac:dyDescent="0.3">
      <c r="A2281" s="3" t="str">
        <f t="shared" si="36"/>
        <v>ELC</v>
      </c>
      <c r="C2281" s="3" t="s">
        <v>850</v>
      </c>
      <c r="D2281" s="3" t="s">
        <v>798</v>
      </c>
      <c r="E2281" s="3" t="s">
        <v>1424</v>
      </c>
      <c r="F2281" s="3" t="s">
        <v>8</v>
      </c>
      <c r="G2281" s="3">
        <v>0.32639054903853698</v>
      </c>
      <c r="H2281" s="3">
        <v>0.31551086407058598</v>
      </c>
      <c r="I2281" s="3">
        <v>0.27199212419878099</v>
      </c>
      <c r="J2281" s="3">
        <v>0.21759369935902501</v>
      </c>
      <c r="K2281" s="3">
        <v>0.16319527451926799</v>
      </c>
      <c r="L2281" s="3">
        <v>0.108796849679512</v>
      </c>
      <c r="M2281" s="3">
        <v>5.4398424839756203E-2</v>
      </c>
    </row>
    <row r="2282" spans="1:14" x14ac:dyDescent="0.3">
      <c r="A2282" s="3" t="str">
        <f t="shared" si="36"/>
        <v>NGA</v>
      </c>
      <c r="C2282" s="3" t="s">
        <v>850</v>
      </c>
      <c r="D2282" s="3" t="s">
        <v>798</v>
      </c>
      <c r="E2282" s="3" t="s">
        <v>1426</v>
      </c>
      <c r="F2282" s="3" t="s">
        <v>0</v>
      </c>
      <c r="G2282" s="3">
        <v>1.7879073714613201</v>
      </c>
      <c r="H2282" s="3">
        <v>1.7283104590792799</v>
      </c>
      <c r="I2282" s="3">
        <v>1.4899228095510999</v>
      </c>
      <c r="J2282" s="3">
        <v>1.19193824764088</v>
      </c>
      <c r="K2282" s="3">
        <v>0.89395368573066003</v>
      </c>
      <c r="L2282" s="3">
        <v>0.59596912382043998</v>
      </c>
      <c r="M2282" s="3">
        <v>0.29798456191021999</v>
      </c>
    </row>
    <row r="2283" spans="1:14" x14ac:dyDescent="0.3">
      <c r="A2283" s="3" t="str">
        <f t="shared" si="36"/>
        <v>NGA</v>
      </c>
      <c r="C2283" s="3" t="s">
        <v>850</v>
      </c>
      <c r="D2283" s="3" t="s">
        <v>798</v>
      </c>
      <c r="E2283" s="3" t="s">
        <v>1426</v>
      </c>
      <c r="F2283" s="3" t="s">
        <v>1</v>
      </c>
      <c r="G2283" s="3">
        <v>4.92150746810242</v>
      </c>
      <c r="H2283" s="3">
        <v>4.7574572191656701</v>
      </c>
      <c r="I2283" s="3">
        <v>4.1012562234186802</v>
      </c>
      <c r="J2283" s="3">
        <v>3.2810049787349498</v>
      </c>
      <c r="K2283" s="3">
        <v>2.46075373405121</v>
      </c>
      <c r="L2283" s="3">
        <v>1.64050248936747</v>
      </c>
      <c r="M2283" s="3">
        <v>0.820251244683737</v>
      </c>
    </row>
    <row r="2284" spans="1:14" x14ac:dyDescent="0.3">
      <c r="A2284" s="3" t="str">
        <f t="shared" si="36"/>
        <v>NGA</v>
      </c>
      <c r="C2284" s="3" t="s">
        <v>850</v>
      </c>
      <c r="D2284" s="3" t="s">
        <v>798</v>
      </c>
      <c r="E2284" s="3" t="s">
        <v>1426</v>
      </c>
      <c r="F2284" s="3" t="s">
        <v>2</v>
      </c>
      <c r="G2284" s="3">
        <v>19.867158706707698</v>
      </c>
      <c r="H2284" s="3">
        <v>20.993774980470501</v>
      </c>
      <c r="I2284" s="3">
        <v>19.143198750856602</v>
      </c>
      <c r="J2284" s="3">
        <v>15.3145590006853</v>
      </c>
      <c r="K2284" s="3">
        <v>11.485919250514</v>
      </c>
      <c r="L2284" s="3">
        <v>7.6572795003426304</v>
      </c>
      <c r="M2284" s="3">
        <v>3.8286397501713201</v>
      </c>
    </row>
    <row r="2285" spans="1:14" x14ac:dyDescent="0.3">
      <c r="A2285" s="3" t="str">
        <f t="shared" si="36"/>
        <v>NGA</v>
      </c>
      <c r="C2285" s="3" t="s">
        <v>850</v>
      </c>
      <c r="D2285" s="3" t="s">
        <v>798</v>
      </c>
      <c r="E2285" s="3" t="s">
        <v>1426</v>
      </c>
      <c r="F2285" s="3" t="s">
        <v>3</v>
      </c>
      <c r="G2285" s="3">
        <v>15.5593724347525</v>
      </c>
      <c r="H2285" s="3">
        <v>15.942966208795202</v>
      </c>
      <c r="I2285" s="3">
        <v>13.868383217494902</v>
      </c>
      <c r="J2285" s="3">
        <v>11.275154478369503</v>
      </c>
      <c r="K2285" s="3">
        <v>8.6819257392440523</v>
      </c>
      <c r="L2285" s="3">
        <v>6.088697000118632</v>
      </c>
      <c r="M2285" s="3">
        <v>3.4954682609932219</v>
      </c>
      <c r="N2285" s="3">
        <v>0.56751016143659105</v>
      </c>
    </row>
    <row r="2286" spans="1:14" x14ac:dyDescent="0.3">
      <c r="A2286" s="3" t="str">
        <f t="shared" si="36"/>
        <v>NGA</v>
      </c>
      <c r="C2286" s="3" t="s">
        <v>850</v>
      </c>
      <c r="D2286" s="3" t="s">
        <v>798</v>
      </c>
      <c r="E2286" s="3" t="s">
        <v>1426</v>
      </c>
      <c r="F2286" s="3" t="s">
        <v>4</v>
      </c>
      <c r="G2286" s="3">
        <v>2.93429928954194</v>
      </c>
      <c r="H2286" s="3">
        <v>3.0382066925131341</v>
      </c>
      <c r="I2286" s="3">
        <v>3.3702008643232761</v>
      </c>
      <c r="J2286" s="3">
        <v>2.881150982732946</v>
      </c>
      <c r="K2286" s="3">
        <v>2.3921011011426261</v>
      </c>
      <c r="L2286" s="3">
        <v>1.9030512195523028</v>
      </c>
      <c r="M2286" s="3">
        <v>1.4140013379619789</v>
      </c>
      <c r="N2286" s="3">
        <v>0.850114644504258</v>
      </c>
    </row>
    <row r="2287" spans="1:14" x14ac:dyDescent="0.3">
      <c r="A2287" s="3" t="str">
        <f t="shared" si="36"/>
        <v>NGA</v>
      </c>
      <c r="C2287" s="3" t="s">
        <v>850</v>
      </c>
      <c r="D2287" s="3" t="s">
        <v>798</v>
      </c>
      <c r="E2287" s="3" t="s">
        <v>1426</v>
      </c>
      <c r="F2287" s="3" t="s">
        <v>5</v>
      </c>
      <c r="G2287" s="3">
        <v>2.5576692418198901</v>
      </c>
      <c r="H2287" s="3">
        <v>2.6482396786952238</v>
      </c>
      <c r="I2287" s="3">
        <v>2.9376209578062991</v>
      </c>
      <c r="J2287" s="3">
        <v>2.5113427508363189</v>
      </c>
      <c r="K2287" s="3">
        <v>2.0850645438663387</v>
      </c>
      <c r="L2287" s="3">
        <v>1.658786336896352</v>
      </c>
      <c r="M2287" s="3">
        <v>1.2325081299263709</v>
      </c>
      <c r="N2287" s="3">
        <v>0.74099874065971505</v>
      </c>
    </row>
    <row r="2288" spans="1:14" x14ac:dyDescent="0.3">
      <c r="A2288" s="3" t="str">
        <f t="shared" si="36"/>
        <v>NGA</v>
      </c>
      <c r="C2288" s="3" t="s">
        <v>850</v>
      </c>
      <c r="D2288" s="3" t="s">
        <v>798</v>
      </c>
      <c r="E2288" s="3" t="s">
        <v>1426</v>
      </c>
      <c r="F2288" s="3" t="s">
        <v>6</v>
      </c>
      <c r="G2288" s="3">
        <v>8.8853489819890505</v>
      </c>
      <c r="H2288" s="3">
        <v>9.1999908934333483</v>
      </c>
      <c r="I2288" s="3">
        <v>10.248967036401698</v>
      </c>
      <c r="J2288" s="3">
        <v>8.7680755394035188</v>
      </c>
      <c r="K2288" s="3">
        <v>7.2871840424053484</v>
      </c>
      <c r="L2288" s="3">
        <v>5.8062925454071674</v>
      </c>
      <c r="M2288" s="3">
        <v>4.3254010484089971</v>
      </c>
      <c r="N2288" s="3">
        <v>2.6178962701715118</v>
      </c>
    </row>
    <row r="2289" spans="1:16" x14ac:dyDescent="0.3">
      <c r="A2289" s="3" t="str">
        <f t="shared" si="36"/>
        <v>NGA</v>
      </c>
      <c r="C2289" s="3" t="s">
        <v>850</v>
      </c>
      <c r="D2289" s="3" t="s">
        <v>798</v>
      </c>
      <c r="E2289" s="3" t="s">
        <v>1426</v>
      </c>
      <c r="F2289" s="3" t="s">
        <v>7</v>
      </c>
      <c r="G2289" s="3">
        <v>1.5316524933528399</v>
      </c>
      <c r="H2289" s="3">
        <v>1.4805974102410799</v>
      </c>
      <c r="I2289" s="3">
        <v>1.27637707779403</v>
      </c>
      <c r="J2289" s="3">
        <v>1.02110166223523</v>
      </c>
      <c r="K2289" s="3">
        <v>0.76582624667641996</v>
      </c>
      <c r="L2289" s="3">
        <v>0.51055083111761301</v>
      </c>
      <c r="M2289" s="3">
        <v>0.25527541555880701</v>
      </c>
    </row>
    <row r="2290" spans="1:16" x14ac:dyDescent="0.3">
      <c r="A2290" s="3" t="str">
        <f t="shared" si="36"/>
        <v>NGA</v>
      </c>
      <c r="C2290" s="3" t="s">
        <v>850</v>
      </c>
      <c r="D2290" s="3" t="s">
        <v>798</v>
      </c>
      <c r="E2290" s="3" t="s">
        <v>1426</v>
      </c>
      <c r="F2290" s="3" t="s">
        <v>8</v>
      </c>
      <c r="G2290" s="3">
        <v>0.96041587562798103</v>
      </c>
      <c r="H2290" s="3">
        <v>0.92840201310704795</v>
      </c>
      <c r="I2290" s="3">
        <v>0.80034656302331797</v>
      </c>
      <c r="K2290" s="3">
        <v>5.4438538117746099E-2</v>
      </c>
      <c r="L2290" s="3">
        <v>0.163862305209897</v>
      </c>
      <c r="M2290" s="3">
        <v>0.160069312604664</v>
      </c>
    </row>
    <row r="2291" spans="1:16" x14ac:dyDescent="0.3">
      <c r="A2291" s="3" t="str">
        <f t="shared" si="36"/>
        <v>STM</v>
      </c>
      <c r="C2291" s="3" t="s">
        <v>850</v>
      </c>
      <c r="D2291" s="3" t="s">
        <v>781</v>
      </c>
      <c r="E2291" s="3" t="s">
        <v>1546</v>
      </c>
      <c r="F2291" s="3" t="s">
        <v>0</v>
      </c>
      <c r="G2291" s="3">
        <v>1.95210578301828E-3</v>
      </c>
      <c r="H2291" s="3">
        <v>1.5517935091664901E-3</v>
      </c>
      <c r="I2291" s="3">
        <v>7.3436360408782996E-3</v>
      </c>
      <c r="J2291" s="3">
        <v>1.68565143938979E-3</v>
      </c>
      <c r="K2291" s="3">
        <v>1.6856995128486699E-3</v>
      </c>
      <c r="L2291" s="3">
        <v>1.7516442241459801E-3</v>
      </c>
      <c r="M2291" s="3">
        <v>1.91945547266013E-3</v>
      </c>
      <c r="N2291" s="3">
        <v>1.9817377336193102E-3</v>
      </c>
      <c r="O2291" s="3">
        <v>1.9968044816320398E-3</v>
      </c>
      <c r="P2291" s="3">
        <v>2.0100896092940298E-3</v>
      </c>
    </row>
    <row r="2292" spans="1:16" x14ac:dyDescent="0.3">
      <c r="A2292" s="3" t="str">
        <f t="shared" si="36"/>
        <v>STM</v>
      </c>
      <c r="C2292" s="3" t="s">
        <v>850</v>
      </c>
      <c r="D2292" s="3" t="s">
        <v>781</v>
      </c>
      <c r="E2292" s="3" t="s">
        <v>1546</v>
      </c>
      <c r="F2292" s="3" t="s">
        <v>1</v>
      </c>
      <c r="G2292" s="3">
        <v>0.58622175480633598</v>
      </c>
      <c r="H2292" s="3">
        <v>0.63065765327568002</v>
      </c>
      <c r="I2292" s="3">
        <v>0.64631230240980597</v>
      </c>
      <c r="J2292" s="3">
        <v>0.68505827271893904</v>
      </c>
      <c r="K2292" s="3">
        <v>0.68507781004442103</v>
      </c>
      <c r="L2292" s="3">
        <v>0.71187811345284202</v>
      </c>
      <c r="M2292" s="3">
        <v>0.78007755336288398</v>
      </c>
      <c r="N2292" s="3">
        <v>0.80540895357801001</v>
      </c>
      <c r="O2292" s="3">
        <v>0.81153216513174697</v>
      </c>
      <c r="P2292" s="3">
        <v>0.81693131610466496</v>
      </c>
    </row>
    <row r="2293" spans="1:16" x14ac:dyDescent="0.3">
      <c r="A2293" s="3" t="str">
        <f t="shared" si="36"/>
        <v>STM</v>
      </c>
      <c r="C2293" s="3" t="s">
        <v>850</v>
      </c>
      <c r="D2293" s="3" t="s">
        <v>781</v>
      </c>
      <c r="E2293" s="3" t="s">
        <v>1546</v>
      </c>
      <c r="F2293" s="3" t="s">
        <v>2</v>
      </c>
      <c r="G2293" s="3">
        <v>0.28503851635702598</v>
      </c>
      <c r="H2293" s="3">
        <v>0.98974938754499997</v>
      </c>
      <c r="I2293" s="3">
        <v>2.33106601351761</v>
      </c>
      <c r="J2293" s="3">
        <v>2.4708117899969202</v>
      </c>
      <c r="K2293" s="3">
        <v>2.4708822556142902</v>
      </c>
      <c r="L2293" s="3">
        <v>2.56754338397965</v>
      </c>
      <c r="M2293" s="3">
        <v>2.8135195102617701</v>
      </c>
      <c r="N2293" s="3">
        <v>2.9048827194968698</v>
      </c>
      <c r="O2293" s="3">
        <v>2.9269674149193099</v>
      </c>
      <c r="P2293" s="3">
        <v>2.9464406282372302</v>
      </c>
    </row>
    <row r="2294" spans="1:16" x14ac:dyDescent="0.3">
      <c r="A2294" s="3" t="str">
        <f t="shared" si="36"/>
        <v>STM</v>
      </c>
      <c r="C2294" s="3" t="s">
        <v>850</v>
      </c>
      <c r="D2294" s="3" t="s">
        <v>781</v>
      </c>
      <c r="E2294" s="3" t="s">
        <v>1546</v>
      </c>
      <c r="F2294" s="3" t="s">
        <v>4</v>
      </c>
      <c r="G2294" s="3">
        <v>1.0933518345412801E-2</v>
      </c>
      <c r="H2294" s="3">
        <v>0.123708473020693</v>
      </c>
      <c r="I2294" s="3">
        <v>0.148337589130349</v>
      </c>
      <c r="J2294" s="3">
        <v>0.15723032380791099</v>
      </c>
      <c r="K2294" s="3">
        <v>0.15723480789361899</v>
      </c>
      <c r="L2294" s="3">
        <v>0.163385847229782</v>
      </c>
      <c r="M2294" s="3">
        <v>0.17903855948448499</v>
      </c>
      <c r="N2294" s="3">
        <v>0.184852465274608</v>
      </c>
      <c r="O2294" s="3">
        <v>0.18625782679446401</v>
      </c>
      <c r="P2294" s="3">
        <v>0.187497006422776</v>
      </c>
    </row>
    <row r="2295" spans="1:16" x14ac:dyDescent="0.3">
      <c r="A2295" s="3" t="str">
        <f t="shared" si="36"/>
        <v>STM</v>
      </c>
      <c r="C2295" s="3" t="s">
        <v>850</v>
      </c>
      <c r="D2295" s="3" t="s">
        <v>781</v>
      </c>
      <c r="E2295" s="3" t="s">
        <v>1546</v>
      </c>
      <c r="F2295" s="3" t="s">
        <v>5</v>
      </c>
      <c r="H2295" s="3">
        <v>0.20454787173114999</v>
      </c>
      <c r="I2295" s="3">
        <v>0.20454787173114999</v>
      </c>
      <c r="J2295" s="3">
        <v>0.22219220042545501</v>
      </c>
      <c r="K2295" s="3">
        <v>0.22219853717301299</v>
      </c>
      <c r="L2295" s="3">
        <v>0.23089096323883501</v>
      </c>
      <c r="M2295" s="3">
        <v>0.25301080942542897</v>
      </c>
      <c r="N2295" s="3">
        <v>0.26122681057131097</v>
      </c>
      <c r="O2295" s="3">
        <v>0.26321281658419499</v>
      </c>
      <c r="P2295" s="3">
        <v>0.26496398036525598</v>
      </c>
    </row>
    <row r="2296" spans="1:16" x14ac:dyDescent="0.3">
      <c r="A2296" s="3" t="str">
        <f t="shared" si="36"/>
        <v>STM</v>
      </c>
      <c r="C2296" s="3" t="s">
        <v>850</v>
      </c>
      <c r="D2296" s="3" t="s">
        <v>781</v>
      </c>
      <c r="E2296" s="3" t="s">
        <v>1546</v>
      </c>
      <c r="F2296" s="3" t="s">
        <v>7</v>
      </c>
      <c r="H2296" s="3">
        <v>5.8217471185019701E-2</v>
      </c>
      <c r="I2296" s="3">
        <v>5.9662588167496401E-2</v>
      </c>
      <c r="J2296" s="3">
        <v>6.3239318582619206E-2</v>
      </c>
      <c r="K2296" s="3">
        <v>6.3241122118472798E-2</v>
      </c>
      <c r="L2296" s="3">
        <v>6.5715120306437794E-2</v>
      </c>
      <c r="M2296" s="3">
        <v>7.2010768836468106E-2</v>
      </c>
      <c r="N2296" s="3">
        <v>7.4349169162604395E-2</v>
      </c>
      <c r="O2296" s="3">
        <v>7.4914417027809793E-2</v>
      </c>
      <c r="P2296" s="3">
        <v>7.5412825180880994E-2</v>
      </c>
    </row>
    <row r="2297" spans="1:16" x14ac:dyDescent="0.3">
      <c r="A2297" s="3" t="str">
        <f t="shared" si="36"/>
        <v>STM</v>
      </c>
      <c r="C2297" s="3" t="s">
        <v>850</v>
      </c>
      <c r="D2297" s="3" t="s">
        <v>781</v>
      </c>
      <c r="E2297" s="3" t="s">
        <v>1546</v>
      </c>
      <c r="F2297" s="3" t="s">
        <v>8</v>
      </c>
      <c r="G2297" s="3">
        <v>0.67816003620045495</v>
      </c>
      <c r="H2297" s="3">
        <v>0.74187098996895595</v>
      </c>
      <c r="I2297" s="3">
        <v>0.76028625852302301</v>
      </c>
      <c r="J2297" s="3">
        <v>0.80586488775434295</v>
      </c>
      <c r="K2297" s="3">
        <v>0.80588787038987397</v>
      </c>
      <c r="L2297" s="3">
        <v>0.83741427384792699</v>
      </c>
      <c r="M2297" s="3">
        <v>0.91764034537595196</v>
      </c>
      <c r="N2297" s="3">
        <v>0.94743881187720702</v>
      </c>
      <c r="O2297" s="3">
        <v>0.95464182129692099</v>
      </c>
      <c r="P2297" s="3">
        <v>0.96099308565796704</v>
      </c>
    </row>
    <row r="2298" spans="1:16" x14ac:dyDescent="0.3">
      <c r="A2298" s="3" t="str">
        <f t="shared" si="36"/>
        <v>NGA</v>
      </c>
      <c r="C2298" s="3" t="s">
        <v>850</v>
      </c>
      <c r="D2298" s="3" t="s">
        <v>781</v>
      </c>
      <c r="E2298" s="3" t="s">
        <v>1309</v>
      </c>
      <c r="F2298" s="3" t="s">
        <v>1</v>
      </c>
      <c r="G2298" s="3">
        <v>4.0522236185814201E-2</v>
      </c>
    </row>
    <row r="2299" spans="1:16" x14ac:dyDescent="0.3">
      <c r="A2299" s="3" t="str">
        <f t="shared" si="36"/>
        <v>NGA</v>
      </c>
      <c r="C2299" s="3" t="s">
        <v>850</v>
      </c>
      <c r="D2299" s="3" t="s">
        <v>781</v>
      </c>
      <c r="E2299" s="3" t="s">
        <v>1309</v>
      </c>
      <c r="F2299" s="3" t="s">
        <v>2</v>
      </c>
      <c r="G2299" s="3">
        <v>1.7494012583737999</v>
      </c>
      <c r="H2299" s="3">
        <v>1.10401563494318</v>
      </c>
    </row>
    <row r="2300" spans="1:16" x14ac:dyDescent="0.3">
      <c r="A2300" s="3" t="str">
        <f t="shared" si="36"/>
        <v>NGA</v>
      </c>
      <c r="C2300" s="3" t="s">
        <v>850</v>
      </c>
      <c r="D2300" s="3" t="s">
        <v>781</v>
      </c>
      <c r="E2300" s="3" t="s">
        <v>1309</v>
      </c>
      <c r="F2300" s="3" t="s">
        <v>4</v>
      </c>
      <c r="G2300" s="3">
        <v>0.132912873374299</v>
      </c>
      <c r="H2300" s="3">
        <v>2.10361581811459E-2</v>
      </c>
    </row>
    <row r="2301" spans="1:16" x14ac:dyDescent="0.3">
      <c r="A2301" s="3" t="str">
        <f t="shared" si="36"/>
        <v>NGA</v>
      </c>
      <c r="C2301" s="3" t="s">
        <v>850</v>
      </c>
      <c r="D2301" s="3" t="s">
        <v>781</v>
      </c>
      <c r="E2301" s="3" t="s">
        <v>1309</v>
      </c>
      <c r="F2301" s="3" t="s">
        <v>5</v>
      </c>
      <c r="G2301" s="3">
        <v>0.20327851221951501</v>
      </c>
      <c r="I2301" s="3">
        <v>5.0774380465422302E-3</v>
      </c>
    </row>
    <row r="2302" spans="1:16" x14ac:dyDescent="0.3">
      <c r="A2302" s="3" t="str">
        <f t="shared" si="36"/>
        <v>NGA</v>
      </c>
      <c r="C2302" s="3" t="s">
        <v>850</v>
      </c>
      <c r="D2302" s="3" t="s">
        <v>781</v>
      </c>
      <c r="E2302" s="3" t="s">
        <v>1309</v>
      </c>
      <c r="F2302" s="3" t="s">
        <v>7</v>
      </c>
      <c r="G2302" s="3">
        <v>5.7856191939400697E-2</v>
      </c>
    </row>
    <row r="2303" spans="1:16" x14ac:dyDescent="0.3">
      <c r="A2303" s="3" t="str">
        <f t="shared" si="36"/>
        <v>NGA</v>
      </c>
      <c r="C2303" s="3" t="s">
        <v>850</v>
      </c>
      <c r="D2303" s="3" t="s">
        <v>781</v>
      </c>
      <c r="E2303" s="3" t="s">
        <v>1309</v>
      </c>
      <c r="F2303" s="3" t="s">
        <v>8</v>
      </c>
      <c r="G2303" s="3">
        <v>5.9107136629982203E-2</v>
      </c>
    </row>
    <row r="2304" spans="1:16" x14ac:dyDescent="0.3">
      <c r="A2304" s="3" t="str">
        <f t="shared" si="36"/>
        <v>EXT</v>
      </c>
      <c r="C2304" s="3" t="s">
        <v>850</v>
      </c>
      <c r="D2304" s="3" t="s">
        <v>1547</v>
      </c>
      <c r="E2304" s="3" t="s">
        <v>1548</v>
      </c>
      <c r="F2304" s="3" t="s">
        <v>0</v>
      </c>
      <c r="G2304" s="3">
        <v>5.1174965443007601</v>
      </c>
      <c r="H2304" s="3">
        <v>5.2637854630979701</v>
      </c>
      <c r="I2304" s="3">
        <v>5.84894113828679</v>
      </c>
      <c r="J2304" s="3">
        <v>6.76894687682403</v>
      </c>
      <c r="K2304" s="3">
        <v>7.4152663918605297</v>
      </c>
      <c r="L2304" s="3">
        <v>7.9501848227150411</v>
      </c>
      <c r="M2304" s="3">
        <v>8.6551982618034593</v>
      </c>
      <c r="N2304" s="3">
        <v>9.4827508305726802</v>
      </c>
      <c r="O2304" s="3">
        <v>10.460625325413799</v>
      </c>
      <c r="P2304" s="3">
        <v>11.3076952602981</v>
      </c>
    </row>
    <row r="2305" spans="1:16" x14ac:dyDescent="0.3">
      <c r="A2305" s="3" t="str">
        <f t="shared" si="36"/>
        <v>EXT</v>
      </c>
      <c r="C2305" s="3" t="s">
        <v>850</v>
      </c>
      <c r="D2305" s="3" t="s">
        <v>1547</v>
      </c>
      <c r="E2305" s="3" t="s">
        <v>1548</v>
      </c>
      <c r="F2305" s="3" t="s">
        <v>1</v>
      </c>
      <c r="G2305" s="3">
        <v>19.351305502536501</v>
      </c>
      <c r="H2305" s="3">
        <v>19.904482536419</v>
      </c>
      <c r="I2305" s="3">
        <v>22.117190671949199</v>
      </c>
      <c r="J2305" s="3">
        <v>25.596101103329598</v>
      </c>
      <c r="K2305" s="3">
        <v>28.040094231502998</v>
      </c>
      <c r="L2305" s="3">
        <v>30.062835211354098</v>
      </c>
      <c r="M2305" s="3">
        <v>32.728773590616399</v>
      </c>
      <c r="N2305" s="3">
        <v>35.858081532308496</v>
      </c>
      <c r="O2305" s="3">
        <v>39.555816924799096</v>
      </c>
      <c r="P2305" s="3">
        <v>42.758927850240795</v>
      </c>
    </row>
    <row r="2306" spans="1:16" x14ac:dyDescent="0.3">
      <c r="A2306" s="3" t="str">
        <f t="shared" si="36"/>
        <v>EXT</v>
      </c>
      <c r="C2306" s="3" t="s">
        <v>850</v>
      </c>
      <c r="D2306" s="3" t="s">
        <v>1547</v>
      </c>
      <c r="E2306" s="3" t="s">
        <v>1548</v>
      </c>
      <c r="F2306" s="3" t="s">
        <v>2</v>
      </c>
      <c r="G2306" s="3">
        <v>43.505091555901998</v>
      </c>
      <c r="H2306" s="3">
        <v>44.7487294852669</v>
      </c>
      <c r="I2306" s="3">
        <v>49.723281202726596</v>
      </c>
      <c r="J2306" s="3">
        <v>57.544475323823299</v>
      </c>
      <c r="K2306" s="3">
        <v>63.038995824739601</v>
      </c>
      <c r="L2306" s="3">
        <v>67.586468423462193</v>
      </c>
      <c r="M2306" s="3">
        <v>73.579960348696801</v>
      </c>
      <c r="N2306" s="3">
        <v>80.615187428961804</v>
      </c>
      <c r="O2306" s="3">
        <v>88.928338021241899</v>
      </c>
      <c r="P2306" s="3">
        <v>96.129487011256202</v>
      </c>
    </row>
    <row r="2307" spans="1:16" x14ac:dyDescent="0.3">
      <c r="A2307" s="3" t="str">
        <f t="shared" si="36"/>
        <v>EXT</v>
      </c>
      <c r="C2307" s="3" t="s">
        <v>850</v>
      </c>
      <c r="D2307" s="3" t="s">
        <v>1547</v>
      </c>
      <c r="E2307" s="3" t="s">
        <v>1548</v>
      </c>
      <c r="F2307" s="3" t="s">
        <v>3</v>
      </c>
      <c r="G2307" s="3">
        <v>29.4670329628165</v>
      </c>
      <c r="H2307" s="3">
        <v>30.3093785032532</v>
      </c>
      <c r="I2307" s="3">
        <v>33.678760664999999</v>
      </c>
      <c r="J2307" s="3">
        <v>38.976241413403997</v>
      </c>
      <c r="K2307" s="3">
        <v>42.69781079585961</v>
      </c>
      <c r="L2307" s="3">
        <v>45.777922115516908</v>
      </c>
      <c r="M2307" s="3">
        <v>49.837456708067506</v>
      </c>
      <c r="N2307" s="3">
        <v>54.602583291209804</v>
      </c>
      <c r="O2307" s="3">
        <v>60.233277855150817</v>
      </c>
      <c r="P2307" s="3">
        <v>65.110787293011512</v>
      </c>
    </row>
    <row r="2308" spans="1:16" x14ac:dyDescent="0.3">
      <c r="A2308" s="3" t="str">
        <f t="shared" si="36"/>
        <v>EXT</v>
      </c>
      <c r="C2308" s="3" t="s">
        <v>850</v>
      </c>
      <c r="D2308" s="3" t="s">
        <v>1547</v>
      </c>
      <c r="E2308" s="3" t="s">
        <v>1548</v>
      </c>
      <c r="F2308" s="3" t="s">
        <v>4</v>
      </c>
      <c r="G2308" s="3">
        <v>18.144208812415702</v>
      </c>
      <c r="H2308" s="3">
        <v>18.662879741965298</v>
      </c>
      <c r="I2308" s="3">
        <v>20.737563460163397</v>
      </c>
      <c r="J2308" s="3">
        <v>23.999466244881596</v>
      </c>
      <c r="K2308" s="3">
        <v>26.291007849032095</v>
      </c>
      <c r="L2308" s="3">
        <v>28.187574192167794</v>
      </c>
      <c r="M2308" s="3">
        <v>30.687216535575995</v>
      </c>
      <c r="N2308" s="3">
        <v>33.621324351969598</v>
      </c>
      <c r="O2308" s="3">
        <v>37.088402223569297</v>
      </c>
      <c r="P2308" s="3">
        <v>40.09170933754811</v>
      </c>
    </row>
    <row r="2309" spans="1:16" x14ac:dyDescent="0.3">
      <c r="A2309" s="3" t="str">
        <f t="shared" si="36"/>
        <v>EXT</v>
      </c>
      <c r="C2309" s="3" t="s">
        <v>850</v>
      </c>
      <c r="D2309" s="3" t="s">
        <v>1547</v>
      </c>
      <c r="E2309" s="3" t="s">
        <v>1548</v>
      </c>
      <c r="F2309" s="3" t="s">
        <v>5</v>
      </c>
      <c r="G2309" s="3">
        <v>15.8153208713476</v>
      </c>
      <c r="H2309" s="3">
        <v>16.267418136225501</v>
      </c>
      <c r="I2309" s="3">
        <v>18.0758071957369</v>
      </c>
      <c r="J2309" s="3">
        <v>20.919030602434098</v>
      </c>
      <c r="K2309" s="3">
        <v>22.916442897142797</v>
      </c>
      <c r="L2309" s="3">
        <v>24.569576719652897</v>
      </c>
      <c r="M2309" s="3">
        <v>26.748379120645797</v>
      </c>
      <c r="N2309" s="3">
        <v>29.305881465726898</v>
      </c>
      <c r="O2309" s="3">
        <v>32.32794484651081</v>
      </c>
      <c r="P2309" s="3">
        <v>34.945764459029398</v>
      </c>
    </row>
    <row r="2310" spans="1:16" x14ac:dyDescent="0.3">
      <c r="A2310" s="3" t="str">
        <f t="shared" si="36"/>
        <v>EXT</v>
      </c>
      <c r="C2310" s="3" t="s">
        <v>850</v>
      </c>
      <c r="D2310" s="3" t="s">
        <v>1547</v>
      </c>
      <c r="E2310" s="3" t="s">
        <v>1548</v>
      </c>
      <c r="F2310" s="3" t="s">
        <v>6</v>
      </c>
      <c r="G2310" s="3">
        <v>54.9424620300275</v>
      </c>
      <c r="H2310" s="3">
        <v>56.513048995128699</v>
      </c>
      <c r="I2310" s="3">
        <v>62.795396855533497</v>
      </c>
      <c r="J2310" s="3">
        <v>72.672761680192494</v>
      </c>
      <c r="K2310" s="3">
        <v>79.6117767057533</v>
      </c>
      <c r="L2310" s="3">
        <v>85.354767506424494</v>
      </c>
      <c r="M2310" s="3">
        <v>92.923932189283505</v>
      </c>
      <c r="N2310" s="3">
        <v>101.808701371608</v>
      </c>
      <c r="O2310" s="3">
        <v>112.307356688293</v>
      </c>
      <c r="P2310" s="3">
        <v>121.40166820004001</v>
      </c>
    </row>
    <row r="2311" spans="1:16" x14ac:dyDescent="0.3">
      <c r="A2311" s="3" t="str">
        <f t="shared" si="36"/>
        <v>EXT</v>
      </c>
      <c r="C2311" s="3" t="s">
        <v>850</v>
      </c>
      <c r="D2311" s="3" t="s">
        <v>1547</v>
      </c>
      <c r="E2311" s="3" t="s">
        <v>1548</v>
      </c>
      <c r="F2311" s="3" t="s">
        <v>7</v>
      </c>
      <c r="G2311" s="3">
        <v>25.763156077322801</v>
      </c>
      <c r="H2311" s="3">
        <v>26.499622475439299</v>
      </c>
      <c r="I2311" s="3">
        <v>29.4454880679056</v>
      </c>
      <c r="J2311" s="3">
        <v>34.077098705799301</v>
      </c>
      <c r="K2311" s="3">
        <v>37.330883129014801</v>
      </c>
      <c r="L2311" s="3">
        <v>40.023837956329601</v>
      </c>
      <c r="M2311" s="3">
        <v>43.5731068440776</v>
      </c>
      <c r="N2311" s="3">
        <v>47.739277901903698</v>
      </c>
      <c r="O2311" s="3">
        <v>52.662218839242001</v>
      </c>
      <c r="P2311" s="3">
        <v>56.926646719537501</v>
      </c>
    </row>
    <row r="2312" spans="1:16" x14ac:dyDescent="0.3">
      <c r="A2312" s="3" t="str">
        <f t="shared" si="36"/>
        <v>EXT</v>
      </c>
      <c r="C2312" s="3" t="s">
        <v>850</v>
      </c>
      <c r="D2312" s="3" t="s">
        <v>1547</v>
      </c>
      <c r="E2312" s="3" t="s">
        <v>1548</v>
      </c>
      <c r="F2312" s="3" t="s">
        <v>8</v>
      </c>
      <c r="G2312" s="3">
        <v>16.1546722969636</v>
      </c>
      <c r="H2312" s="3">
        <v>16.616470272475201</v>
      </c>
      <c r="I2312" s="3">
        <v>18.463662174521801</v>
      </c>
      <c r="J2312" s="3">
        <v>21.3678930008127</v>
      </c>
      <c r="K2312" s="3">
        <v>23.4081640345421</v>
      </c>
      <c r="L2312" s="3">
        <v>25.0967693674923</v>
      </c>
      <c r="M2312" s="3">
        <v>27.322322618937598</v>
      </c>
      <c r="N2312" s="3">
        <v>29.934701629113199</v>
      </c>
      <c r="O2312" s="3">
        <v>33.021609822399697</v>
      </c>
      <c r="P2312" s="3">
        <v>35.69560033557471</v>
      </c>
    </row>
    <row r="2313" spans="1:16" x14ac:dyDescent="0.3">
      <c r="A2313" s="3" t="str">
        <f t="shared" si="36"/>
        <v>DST</v>
      </c>
      <c r="C2313" s="3" t="s">
        <v>850</v>
      </c>
      <c r="D2313" s="3" t="s">
        <v>731</v>
      </c>
      <c r="E2313" s="3" t="s">
        <v>1310</v>
      </c>
      <c r="F2313" s="3" t="s">
        <v>0</v>
      </c>
      <c r="G2313" s="3">
        <v>0.23054268601481501</v>
      </c>
      <c r="I2313" s="3">
        <v>0.32227032500120201</v>
      </c>
    </row>
    <row r="2314" spans="1:16" x14ac:dyDescent="0.3">
      <c r="A2314" s="3" t="str">
        <f t="shared" si="36"/>
        <v>DST</v>
      </c>
      <c r="C2314" s="3" t="s">
        <v>850</v>
      </c>
      <c r="D2314" s="3" t="s">
        <v>731</v>
      </c>
      <c r="E2314" s="3" t="s">
        <v>1310</v>
      </c>
      <c r="F2314" s="3" t="s">
        <v>1</v>
      </c>
      <c r="G2314" s="3">
        <v>0.634606450562895</v>
      </c>
    </row>
    <row r="2315" spans="1:16" x14ac:dyDescent="0.3">
      <c r="A2315" s="3" t="str">
        <f t="shared" si="36"/>
        <v>DST</v>
      </c>
      <c r="C2315" s="3" t="s">
        <v>850</v>
      </c>
      <c r="D2315" s="3" t="s">
        <v>731</v>
      </c>
      <c r="E2315" s="3" t="s">
        <v>1310</v>
      </c>
      <c r="F2315" s="3" t="s">
        <v>2</v>
      </c>
      <c r="G2315" s="3">
        <v>0.51579137437155798</v>
      </c>
    </row>
    <row r="2316" spans="1:16" x14ac:dyDescent="0.3">
      <c r="A2316" s="3" t="str">
        <f t="shared" si="36"/>
        <v>DST</v>
      </c>
      <c r="C2316" s="3" t="s">
        <v>850</v>
      </c>
      <c r="D2316" s="3" t="s">
        <v>731</v>
      </c>
      <c r="E2316" s="3" t="s">
        <v>1310</v>
      </c>
      <c r="F2316" s="3" t="s">
        <v>3</v>
      </c>
      <c r="G2316" s="3">
        <v>0.34935776220614301</v>
      </c>
    </row>
    <row r="2317" spans="1:16" x14ac:dyDescent="0.3">
      <c r="A2317" s="3" t="str">
        <f t="shared" si="36"/>
        <v>DST</v>
      </c>
      <c r="C2317" s="3" t="s">
        <v>850</v>
      </c>
      <c r="D2317" s="3" t="s">
        <v>731</v>
      </c>
      <c r="E2317" s="3" t="s">
        <v>1310</v>
      </c>
      <c r="F2317" s="3" t="s">
        <v>4</v>
      </c>
      <c r="G2317" s="3">
        <v>0.17657024646290401</v>
      </c>
    </row>
    <row r="2318" spans="1:16" x14ac:dyDescent="0.3">
      <c r="A2318" s="3" t="str">
        <f t="shared" si="36"/>
        <v>DST</v>
      </c>
      <c r="C2318" s="3" t="s">
        <v>850</v>
      </c>
      <c r="D2318" s="3" t="s">
        <v>731</v>
      </c>
      <c r="E2318" s="3" t="s">
        <v>1310</v>
      </c>
      <c r="F2318" s="3" t="s">
        <v>5</v>
      </c>
      <c r="G2318" s="3">
        <v>0.15390668907166</v>
      </c>
    </row>
    <row r="2319" spans="1:16" x14ac:dyDescent="0.3">
      <c r="A2319" s="3" t="str">
        <f t="shared" si="36"/>
        <v>DST</v>
      </c>
      <c r="C2319" s="3" t="s">
        <v>850</v>
      </c>
      <c r="D2319" s="3" t="s">
        <v>731</v>
      </c>
      <c r="E2319" s="3" t="s">
        <v>1310</v>
      </c>
      <c r="F2319" s="3" t="s">
        <v>6</v>
      </c>
      <c r="G2319" s="3">
        <v>0.53467220104314095</v>
      </c>
    </row>
    <row r="2320" spans="1:16" x14ac:dyDescent="0.3">
      <c r="A2320" s="3" t="str">
        <f t="shared" si="36"/>
        <v>DST</v>
      </c>
      <c r="C2320" s="3" t="s">
        <v>850</v>
      </c>
      <c r="D2320" s="3" t="s">
        <v>731</v>
      </c>
      <c r="E2320" s="3" t="s">
        <v>1310</v>
      </c>
      <c r="F2320" s="3" t="s">
        <v>8</v>
      </c>
      <c r="K2320" s="3">
        <v>0.21553586334917699</v>
      </c>
    </row>
    <row r="2321" spans="1:16" x14ac:dyDescent="0.3">
      <c r="A2321" s="3" t="str">
        <f t="shared" si="36"/>
        <v>ELC</v>
      </c>
      <c r="C2321" s="3" t="s">
        <v>850</v>
      </c>
      <c r="D2321" s="3" t="s">
        <v>731</v>
      </c>
      <c r="E2321" s="3" t="s">
        <v>1308</v>
      </c>
      <c r="F2321" s="3" t="s">
        <v>0</v>
      </c>
      <c r="G2321" s="3">
        <v>5.14258336764956E-2</v>
      </c>
      <c r="H2321" s="3">
        <v>0.29002888075328898</v>
      </c>
      <c r="J2321" s="3">
        <v>0.37296164525070202</v>
      </c>
      <c r="K2321" s="3">
        <v>0.40857315086186002</v>
      </c>
      <c r="L2321" s="3">
        <v>0.43804657733082702</v>
      </c>
      <c r="M2321" s="3">
        <v>0.47689205461866901</v>
      </c>
      <c r="N2321" s="3">
        <v>0.52248930529829396</v>
      </c>
      <c r="O2321" s="3">
        <v>0.57636913137483803</v>
      </c>
      <c r="P2321" s="3">
        <v>0.62304176779905596</v>
      </c>
    </row>
    <row r="2322" spans="1:16" x14ac:dyDescent="0.3">
      <c r="A2322" s="3" t="str">
        <f t="shared" si="36"/>
        <v>ELC</v>
      </c>
      <c r="C2322" s="3" t="s">
        <v>850</v>
      </c>
      <c r="D2322" s="3" t="s">
        <v>731</v>
      </c>
      <c r="E2322" s="3" t="s">
        <v>1308</v>
      </c>
      <c r="F2322" s="3" t="s">
        <v>1</v>
      </c>
      <c r="G2322" s="3">
        <v>0.14155801834711601</v>
      </c>
      <c r="H2322" s="3">
        <v>0.79835193107685898</v>
      </c>
      <c r="I2322" s="3">
        <v>0.88710177974425297</v>
      </c>
      <c r="J2322" s="3">
        <v>1.02663792974736</v>
      </c>
      <c r="K2322" s="3">
        <v>1.1246644235206</v>
      </c>
      <c r="L2322" s="3">
        <v>1.20579485051752</v>
      </c>
      <c r="M2322" s="3">
        <v>1.3127233802756599</v>
      </c>
      <c r="N2322" s="3">
        <v>1.4382372706072999</v>
      </c>
      <c r="O2322" s="3">
        <v>1.58655030440783</v>
      </c>
      <c r="P2322" s="3">
        <v>1.71502436989036</v>
      </c>
    </row>
    <row r="2323" spans="1:16" x14ac:dyDescent="0.3">
      <c r="A2323" s="3" t="str">
        <f t="shared" si="36"/>
        <v>ELC</v>
      </c>
      <c r="C2323" s="3" t="s">
        <v>850</v>
      </c>
      <c r="D2323" s="3" t="s">
        <v>731</v>
      </c>
      <c r="E2323" s="3" t="s">
        <v>1308</v>
      </c>
      <c r="F2323" s="3" t="s">
        <v>2</v>
      </c>
      <c r="G2323" s="3">
        <v>0.34516386386465597</v>
      </c>
      <c r="H2323" s="3">
        <v>0.88556653202881197</v>
      </c>
      <c r="I2323" s="3">
        <v>0.98401170719918396</v>
      </c>
      <c r="J2323" s="3">
        <v>1.13879124694956</v>
      </c>
      <c r="K2323" s="3">
        <v>1.2475264785668001</v>
      </c>
      <c r="L2323" s="3">
        <v>1.3375198612855801</v>
      </c>
      <c r="M2323" s="3">
        <v>1.4561296166914801</v>
      </c>
      <c r="N2323" s="3">
        <v>1.5953550588251399</v>
      </c>
      <c r="O2323" s="3">
        <v>1.7598702981385199</v>
      </c>
      <c r="P2323" s="3">
        <v>1.9023792947304701</v>
      </c>
    </row>
    <row r="2324" spans="1:16" x14ac:dyDescent="0.3">
      <c r="A2324" s="3" t="str">
        <f t="shared" si="36"/>
        <v>ELC</v>
      </c>
      <c r="C2324" s="3" t="s">
        <v>850</v>
      </c>
      <c r="D2324" s="3" t="s">
        <v>731</v>
      </c>
      <c r="E2324" s="3" t="s">
        <v>1308</v>
      </c>
      <c r="F2324" s="3" t="s">
        <v>3</v>
      </c>
      <c r="G2324" s="3">
        <v>0.23378769220618001</v>
      </c>
      <c r="H2324" s="3">
        <v>0.59981526889856496</v>
      </c>
      <c r="I2324" s="3">
        <v>0.66649452684353605</v>
      </c>
      <c r="J2324" s="3">
        <v>0.77133038942144705</v>
      </c>
      <c r="K2324" s="3">
        <v>0.84497934727199098</v>
      </c>
      <c r="L2324" s="3">
        <v>0.90593400522511802</v>
      </c>
      <c r="M2324" s="3">
        <v>0.98627121283142005</v>
      </c>
      <c r="N2324" s="3">
        <v>1.0805719152525</v>
      </c>
      <c r="O2324" s="3">
        <v>1.1920019986371999</v>
      </c>
      <c r="P2324" s="3">
        <v>1.2885267305683299</v>
      </c>
    </row>
    <row r="2325" spans="1:16" x14ac:dyDescent="0.3">
      <c r="A2325" s="3" t="str">
        <f t="shared" si="36"/>
        <v>ELC</v>
      </c>
      <c r="C2325" s="3" t="s">
        <v>850</v>
      </c>
      <c r="D2325" s="3" t="s">
        <v>731</v>
      </c>
      <c r="E2325" s="3" t="s">
        <v>1308</v>
      </c>
      <c r="F2325" s="3" t="s">
        <v>4</v>
      </c>
      <c r="G2325" s="3">
        <v>0.170674882656457</v>
      </c>
      <c r="H2325" s="3">
        <v>0.357171489412275</v>
      </c>
      <c r="I2325" s="3">
        <v>0.39687693058392198</v>
      </c>
      <c r="J2325" s="3">
        <v>0.45930345275221202</v>
      </c>
      <c r="K2325" s="3">
        <v>0.50315913521498901</v>
      </c>
      <c r="L2325" s="3">
        <v>0.53945575368505805</v>
      </c>
      <c r="M2325" s="3">
        <v>0.58729408255697002</v>
      </c>
      <c r="N2325" s="3">
        <v>0.64344724184251201</v>
      </c>
      <c r="O2325" s="3">
        <v>0.70980041908144997</v>
      </c>
      <c r="P2325" s="3">
        <v>0.76727791933294098</v>
      </c>
    </row>
    <row r="2326" spans="1:16" x14ac:dyDescent="0.3">
      <c r="A2326" s="3" t="str">
        <f t="shared" si="36"/>
        <v>ELC</v>
      </c>
      <c r="C2326" s="3" t="s">
        <v>850</v>
      </c>
      <c r="D2326" s="3" t="s">
        <v>731</v>
      </c>
      <c r="E2326" s="3" t="s">
        <v>1308</v>
      </c>
      <c r="F2326" s="3" t="s">
        <v>5</v>
      </c>
      <c r="G2326" s="3">
        <v>0.14876802079374299</v>
      </c>
      <c r="H2326" s="3">
        <v>0.31132697873753001</v>
      </c>
      <c r="I2326" s="3">
        <v>0.34593605422603102</v>
      </c>
      <c r="J2326" s="3">
        <v>0.40034986136311601</v>
      </c>
      <c r="K2326" s="3">
        <v>0.43857647666232502</v>
      </c>
      <c r="L2326" s="3">
        <v>0.47021426663618798</v>
      </c>
      <c r="M2326" s="3">
        <v>0.51191233839452199</v>
      </c>
      <c r="N2326" s="3">
        <v>0.56085799599922603</v>
      </c>
      <c r="O2326" s="3">
        <v>0.61869445498822995</v>
      </c>
      <c r="P2326" s="3">
        <v>0.66879446864868597</v>
      </c>
    </row>
    <row r="2327" spans="1:16" x14ac:dyDescent="0.3">
      <c r="A2327" s="3" t="str">
        <f t="shared" si="36"/>
        <v>ELC</v>
      </c>
      <c r="C2327" s="3" t="s">
        <v>850</v>
      </c>
      <c r="D2327" s="3" t="s">
        <v>731</v>
      </c>
      <c r="E2327" s="3" t="s">
        <v>1308</v>
      </c>
      <c r="F2327" s="3" t="s">
        <v>6</v>
      </c>
      <c r="G2327" s="3">
        <v>0.51682045531878495</v>
      </c>
      <c r="H2327" s="3">
        <v>1.08155065884239</v>
      </c>
      <c r="I2327" s="3">
        <v>1.2017826687642701</v>
      </c>
      <c r="J2327" s="3">
        <v>1.39081636317098</v>
      </c>
      <c r="K2327" s="3">
        <v>1.5236157149323699</v>
      </c>
      <c r="L2327" s="3">
        <v>1.6335254719643599</v>
      </c>
      <c r="M2327" s="3">
        <v>1.7783846716571301</v>
      </c>
      <c r="N2327" s="3">
        <v>1.94842200168394</v>
      </c>
      <c r="O2327" s="3">
        <v>2.1493459967014101</v>
      </c>
      <c r="P2327" s="3">
        <v>2.3233935623901099</v>
      </c>
    </row>
    <row r="2328" spans="1:16" x14ac:dyDescent="0.3">
      <c r="A2328" s="3" t="str">
        <f t="shared" si="36"/>
        <v>ELC</v>
      </c>
      <c r="C2328" s="3" t="s">
        <v>850</v>
      </c>
      <c r="D2328" s="3" t="s">
        <v>731</v>
      </c>
      <c r="E2328" s="3" t="s">
        <v>1308</v>
      </c>
      <c r="F2328" s="3" t="s">
        <v>7</v>
      </c>
      <c r="G2328" s="3">
        <v>0.23721997502796099</v>
      </c>
      <c r="H2328" s="3">
        <v>0.24400115277053999</v>
      </c>
      <c r="I2328" s="3">
        <v>0.27112586374086001</v>
      </c>
      <c r="J2328" s="3">
        <v>0.31377244619227901</v>
      </c>
      <c r="K2328" s="3">
        <v>0.34373238810719597</v>
      </c>
      <c r="L2328" s="3">
        <v>0.36852836710020997</v>
      </c>
      <c r="M2328" s="3">
        <v>0.40120904777427602</v>
      </c>
      <c r="N2328" s="3">
        <v>0.43956999203644298</v>
      </c>
      <c r="O2328" s="3">
        <v>0.48489906285038198</v>
      </c>
      <c r="P2328" s="3">
        <v>0.524164728603293</v>
      </c>
    </row>
    <row r="2329" spans="1:16" x14ac:dyDescent="0.3">
      <c r="A2329" s="3" t="str">
        <f t="shared" si="36"/>
        <v>ELC</v>
      </c>
      <c r="C2329" s="3" t="s">
        <v>850</v>
      </c>
      <c r="D2329" s="3" t="s">
        <v>731</v>
      </c>
      <c r="E2329" s="3" t="s">
        <v>1308</v>
      </c>
      <c r="F2329" s="3" t="s">
        <v>8</v>
      </c>
      <c r="G2329" s="3">
        <v>0.148747729019263</v>
      </c>
      <c r="H2329" s="3">
        <v>0.15299983632669201</v>
      </c>
      <c r="I2329" s="3">
        <v>0.17000826555641099</v>
      </c>
      <c r="J2329" s="3">
        <v>0.19674961518067499</v>
      </c>
      <c r="L2329" s="3">
        <v>0.23108407156215399</v>
      </c>
      <c r="M2329" s="3">
        <v>0.25157634685430902</v>
      </c>
      <c r="N2329" s="3">
        <v>0.27563040613561302</v>
      </c>
      <c r="O2329" s="3">
        <v>0.30405379814268102</v>
      </c>
      <c r="P2329" s="3">
        <v>0.328675159006102</v>
      </c>
    </row>
    <row r="2330" spans="1:16" x14ac:dyDescent="0.3">
      <c r="A2330" s="3" t="str">
        <f t="shared" si="36"/>
        <v>OTP</v>
      </c>
      <c r="C2330" s="3" t="s">
        <v>850</v>
      </c>
      <c r="D2330" s="3" t="s">
        <v>717</v>
      </c>
      <c r="E2330" s="3" t="s">
        <v>1297</v>
      </c>
      <c r="F2330" s="3" t="s">
        <v>4</v>
      </c>
      <c r="G2330" s="3">
        <v>2.4639776316077201E-2</v>
      </c>
      <c r="H2330" s="3">
        <v>0.246378179320936</v>
      </c>
      <c r="I2330" s="3">
        <v>0.273767135592622</v>
      </c>
      <c r="J2330" s="3">
        <v>0.31682917533848498</v>
      </c>
      <c r="K2330" s="3">
        <v>0.34708098299490098</v>
      </c>
      <c r="L2330" s="3">
        <v>0.37211852109425703</v>
      </c>
      <c r="M2330" s="3">
        <v>0.40511757258241599</v>
      </c>
      <c r="N2330" s="3">
        <v>0.443852224025786</v>
      </c>
      <c r="O2330" s="3">
        <v>0.48962288457651199</v>
      </c>
      <c r="P2330" s="3">
        <v>0.52927107118620098</v>
      </c>
    </row>
    <row r="2331" spans="1:16" x14ac:dyDescent="0.3">
      <c r="A2331" s="3" t="str">
        <f t="shared" si="36"/>
        <v>OTP</v>
      </c>
      <c r="C2331" s="3" t="s">
        <v>850</v>
      </c>
      <c r="D2331" s="3" t="s">
        <v>717</v>
      </c>
      <c r="E2331" s="3" t="s">
        <v>1297</v>
      </c>
      <c r="F2331" s="3" t="s">
        <v>5</v>
      </c>
      <c r="G2331" s="3">
        <v>2.14771540972532E-2</v>
      </c>
      <c r="H2331" s="3">
        <v>0.214754470803526</v>
      </c>
      <c r="I2331" s="3">
        <v>0.23862793567853399</v>
      </c>
      <c r="J2331" s="3">
        <v>0.27616277574769998</v>
      </c>
      <c r="K2331" s="3">
        <v>0.30253163260835902</v>
      </c>
    </row>
    <row r="2332" spans="1:16" x14ac:dyDescent="0.3">
      <c r="A2332" s="3" t="str">
        <f t="shared" si="36"/>
        <v>OTP</v>
      </c>
      <c r="C2332" s="3" t="s">
        <v>850</v>
      </c>
      <c r="D2332" s="3" t="s">
        <v>717</v>
      </c>
      <c r="E2332" s="3" t="s">
        <v>1297</v>
      </c>
      <c r="F2332" s="3" t="s">
        <v>6</v>
      </c>
      <c r="G2332" s="3">
        <v>7.4611684018323604E-2</v>
      </c>
      <c r="H2332" s="3">
        <v>0.746057538375823</v>
      </c>
      <c r="I2332" s="3">
        <v>0.82899401169118403</v>
      </c>
      <c r="J2332" s="3">
        <v>0.95939013467085599</v>
      </c>
      <c r="K2332" s="3">
        <v>1.0509956056333101</v>
      </c>
      <c r="L2332" s="3">
        <v>2.2390544855426199E-3</v>
      </c>
    </row>
    <row r="2333" spans="1:16" x14ac:dyDescent="0.3">
      <c r="A2333" s="3" t="str">
        <f t="shared" si="36"/>
        <v>PTC</v>
      </c>
      <c r="C2333" s="3" t="s">
        <v>850</v>
      </c>
      <c r="D2333" s="3" t="s">
        <v>717</v>
      </c>
      <c r="E2333" s="3" t="s">
        <v>1296</v>
      </c>
      <c r="F2333" s="3" t="s">
        <v>4</v>
      </c>
      <c r="G2333" s="3">
        <v>0.214891163936936</v>
      </c>
    </row>
    <row r="2334" spans="1:16" x14ac:dyDescent="0.3">
      <c r="A2334" s="3" t="str">
        <f t="shared" si="36"/>
        <v>PTC</v>
      </c>
      <c r="C2334" s="3" t="s">
        <v>850</v>
      </c>
      <c r="D2334" s="3" t="s">
        <v>717</v>
      </c>
      <c r="E2334" s="3" t="s">
        <v>1296</v>
      </c>
      <c r="F2334" s="3" t="s">
        <v>5</v>
      </c>
      <c r="G2334" s="3">
        <v>0.18730895048752</v>
      </c>
      <c r="L2334" s="3">
        <v>0.32435549403784902</v>
      </c>
      <c r="M2334" s="3">
        <v>0.35311897406229897</v>
      </c>
      <c r="N2334" s="3">
        <v>0.38688186489705201</v>
      </c>
      <c r="O2334" s="3">
        <v>0.426777662536243</v>
      </c>
      <c r="P2334" s="3">
        <v>0.46133683233428302</v>
      </c>
    </row>
    <row r="2335" spans="1:16" x14ac:dyDescent="0.3">
      <c r="A2335" s="3" t="str">
        <f t="shared" ref="A2335:A2398" si="37">RIGHT(E2335,3)</f>
        <v>PTC</v>
      </c>
      <c r="C2335" s="3" t="s">
        <v>850</v>
      </c>
      <c r="D2335" s="3" t="s">
        <v>717</v>
      </c>
      <c r="E2335" s="3" t="s">
        <v>1296</v>
      </c>
      <c r="F2335" s="3" t="s">
        <v>6</v>
      </c>
      <c r="G2335" s="3">
        <v>0.65071173602865895</v>
      </c>
      <c r="L2335" s="3">
        <v>1.12457269725648</v>
      </c>
      <c r="M2335" s="3">
        <v>1.22673614922661</v>
      </c>
      <c r="N2335" s="3">
        <v>1.3440285116644199</v>
      </c>
      <c r="O2335" s="3">
        <v>1.4826266068140399</v>
      </c>
      <c r="P2335" s="3">
        <v>1.6026852442494699</v>
      </c>
    </row>
    <row r="2336" spans="1:16" x14ac:dyDescent="0.3">
      <c r="A2336" s="3" t="str">
        <f t="shared" si="37"/>
        <v>ELC</v>
      </c>
      <c r="C2336" s="3" t="s">
        <v>850</v>
      </c>
      <c r="D2336" s="3" t="s">
        <v>1305</v>
      </c>
      <c r="E2336" s="3" t="s">
        <v>1304</v>
      </c>
      <c r="F2336" s="3" t="s">
        <v>0</v>
      </c>
      <c r="G2336" s="3">
        <v>0.56568417044145203</v>
      </c>
      <c r="H2336" s="3">
        <v>0.58185483610936273</v>
      </c>
      <c r="I2336" s="3">
        <v>0.64653749878100375</v>
      </c>
      <c r="J2336" s="3">
        <v>0.7482342324281237</v>
      </c>
      <c r="K2336" s="3">
        <v>0.8196778993731888</v>
      </c>
      <c r="L2336" s="3">
        <v>0.87880737531758868</v>
      </c>
      <c r="M2336" s="3">
        <v>0.95673902392513999</v>
      </c>
      <c r="N2336" s="3">
        <v>1.0482160545998864</v>
      </c>
      <c r="O2336" s="3">
        <v>1.1563095564950872</v>
      </c>
      <c r="P2336" s="3">
        <v>1.2499440219554621</v>
      </c>
    </row>
    <row r="2337" spans="1:16" x14ac:dyDescent="0.3">
      <c r="A2337" s="3" t="str">
        <f t="shared" si="37"/>
        <v>ELC</v>
      </c>
      <c r="C2337" s="3" t="s">
        <v>850</v>
      </c>
      <c r="D2337" s="3" t="s">
        <v>1305</v>
      </c>
      <c r="E2337" s="3" t="s">
        <v>1304</v>
      </c>
      <c r="F2337" s="3" t="s">
        <v>1</v>
      </c>
      <c r="G2337" s="3">
        <v>1.55713820181828</v>
      </c>
      <c r="H2337" s="3">
        <v>1.601650603925413</v>
      </c>
      <c r="I2337" s="3">
        <v>1.7797002123539829</v>
      </c>
      <c r="J2337" s="3">
        <v>2.0596371051231279</v>
      </c>
      <c r="K2337" s="3">
        <v>2.2562974836366769</v>
      </c>
      <c r="L2337" s="3">
        <v>2.419061037325426</v>
      </c>
      <c r="M2337" s="3">
        <v>2.6335806465320868</v>
      </c>
      <c r="N2337" s="3">
        <v>2.8853861353464412</v>
      </c>
      <c r="O2337" s="3">
        <v>3.1829311789667747</v>
      </c>
      <c r="P2337" s="3">
        <v>3.4406753598962219</v>
      </c>
    </row>
    <row r="2338" spans="1:16" x14ac:dyDescent="0.3">
      <c r="A2338" s="3" t="str">
        <f t="shared" si="37"/>
        <v>ELC</v>
      </c>
      <c r="C2338" s="3" t="s">
        <v>850</v>
      </c>
      <c r="D2338" s="3" t="s">
        <v>1305</v>
      </c>
      <c r="E2338" s="3" t="s">
        <v>1304</v>
      </c>
      <c r="F2338" s="3" t="s">
        <v>2</v>
      </c>
      <c r="G2338" s="3">
        <v>3.79680250251121</v>
      </c>
      <c r="H2338" s="3">
        <v>3.9053380194716421</v>
      </c>
      <c r="I2338" s="3">
        <v>4.3394800873133583</v>
      </c>
      <c r="J2338" s="3">
        <v>5.0220560422093188</v>
      </c>
      <c r="K2338" s="3">
        <v>5.5015771382900294</v>
      </c>
      <c r="L2338" s="3">
        <v>5.8984469005509688</v>
      </c>
      <c r="M2338" s="3">
        <v>6.4215145307218204</v>
      </c>
      <c r="N2338" s="3">
        <v>7.0354970975614304</v>
      </c>
      <c r="O2338" s="3">
        <v>7.76100737334062</v>
      </c>
      <c r="P2338" s="3">
        <v>8.389470376828621</v>
      </c>
    </row>
    <row r="2339" spans="1:16" x14ac:dyDescent="0.3">
      <c r="A2339" s="3" t="str">
        <f t="shared" si="37"/>
        <v>ELC</v>
      </c>
      <c r="C2339" s="3" t="s">
        <v>850</v>
      </c>
      <c r="D2339" s="3" t="s">
        <v>1305</v>
      </c>
      <c r="E2339" s="3" t="s">
        <v>1304</v>
      </c>
      <c r="F2339" s="3" t="s">
        <v>3</v>
      </c>
      <c r="G2339" s="3">
        <v>2.57166461426799</v>
      </c>
      <c r="H2339" s="3">
        <v>2.645178300632713</v>
      </c>
      <c r="I2339" s="3">
        <v>2.939233046091613</v>
      </c>
      <c r="J2339" s="3">
        <v>3.4015579704444363</v>
      </c>
      <c r="K2339" s="3">
        <v>3.7263490107395763</v>
      </c>
      <c r="L2339" s="3">
        <v>3.9951583373780677</v>
      </c>
      <c r="M2339" s="3">
        <v>4.3494444806498649</v>
      </c>
      <c r="N2339" s="3">
        <v>4.7653094722775622</v>
      </c>
      <c r="O2339" s="3">
        <v>5.2567148330449811</v>
      </c>
      <c r="P2339" s="3">
        <v>5.6823877687264375</v>
      </c>
    </row>
    <row r="2340" spans="1:16" x14ac:dyDescent="0.3">
      <c r="A2340" s="3" t="str">
        <f t="shared" si="37"/>
        <v>ELC</v>
      </c>
      <c r="C2340" s="3" t="s">
        <v>850</v>
      </c>
      <c r="D2340" s="3" t="s">
        <v>1305</v>
      </c>
      <c r="E2340" s="3" t="s">
        <v>1304</v>
      </c>
      <c r="F2340" s="3" t="s">
        <v>4</v>
      </c>
      <c r="G2340" s="3">
        <v>1.87742370922103</v>
      </c>
      <c r="H2340" s="3">
        <v>1.9310918030181969</v>
      </c>
      <c r="I2340" s="3">
        <v>2.1457641782068393</v>
      </c>
      <c r="J2340" s="3">
        <v>2.4832808860730711</v>
      </c>
      <c r="K2340" s="3">
        <v>2.7203920537617221</v>
      </c>
      <c r="L2340" s="3">
        <v>2.9166342076922431</v>
      </c>
      <c r="M2340" s="3">
        <v>3.1752780454371061</v>
      </c>
      <c r="N2340" s="3">
        <v>3.4788770415056862</v>
      </c>
      <c r="O2340" s="3">
        <v>3.8376236953362328</v>
      </c>
      <c r="P2340" s="3">
        <v>4.1483829045224558</v>
      </c>
    </row>
    <row r="2341" spans="1:16" x14ac:dyDescent="0.3">
      <c r="A2341" s="3" t="str">
        <f t="shared" si="37"/>
        <v>ELC</v>
      </c>
      <c r="C2341" s="3" t="s">
        <v>850</v>
      </c>
      <c r="D2341" s="3" t="s">
        <v>1305</v>
      </c>
      <c r="E2341" s="3" t="s">
        <v>1304</v>
      </c>
      <c r="F2341" s="3" t="s">
        <v>5</v>
      </c>
      <c r="G2341" s="3">
        <v>1.6364482287311699</v>
      </c>
      <c r="H2341" s="3">
        <v>1.6832277897873109</v>
      </c>
      <c r="I2341" s="3">
        <v>1.8703460340118461</v>
      </c>
      <c r="J2341" s="3">
        <v>2.1645410077101728</v>
      </c>
      <c r="K2341" s="3">
        <v>2.3712179280402381</v>
      </c>
      <c r="L2341" s="3">
        <v>2.5422715498863391</v>
      </c>
      <c r="M2341" s="3">
        <v>2.7677173286260941</v>
      </c>
      <c r="N2341" s="3">
        <v>3.0323480760278798</v>
      </c>
      <c r="O2341" s="3">
        <v>3.345048039994893</v>
      </c>
      <c r="P2341" s="3">
        <v>3.6159199560876565</v>
      </c>
    </row>
    <row r="2342" spans="1:16" x14ac:dyDescent="0.3">
      <c r="A2342" s="3" t="str">
        <f t="shared" si="37"/>
        <v>ELC</v>
      </c>
      <c r="C2342" s="3" t="s">
        <v>850</v>
      </c>
      <c r="D2342" s="3" t="s">
        <v>1305</v>
      </c>
      <c r="E2342" s="3" t="s">
        <v>1304</v>
      </c>
      <c r="F2342" s="3" t="s">
        <v>6</v>
      </c>
      <c r="G2342" s="3">
        <v>5.68502500850665</v>
      </c>
      <c r="H2342" s="3">
        <v>5.8475373140118982</v>
      </c>
      <c r="I2342" s="3">
        <v>6.4975865360329284</v>
      </c>
      <c r="J2342" s="3">
        <v>7.5196205689388593</v>
      </c>
      <c r="K2342" s="3">
        <v>8.2376166779074893</v>
      </c>
      <c r="L2342" s="3">
        <v>8.8318573638744997</v>
      </c>
      <c r="M2342" s="3">
        <v>9.6150565312514775</v>
      </c>
      <c r="N2342" s="3">
        <v>10.534384372233893</v>
      </c>
      <c r="O2342" s="3">
        <v>11.620704785003641</v>
      </c>
      <c r="P2342" s="3">
        <v>12.56171446074725</v>
      </c>
    </row>
    <row r="2343" spans="1:16" x14ac:dyDescent="0.3">
      <c r="A2343" s="3" t="str">
        <f t="shared" si="37"/>
        <v>ELC</v>
      </c>
      <c r="C2343" s="3" t="s">
        <v>850</v>
      </c>
      <c r="D2343" s="3" t="s">
        <v>1305</v>
      </c>
      <c r="E2343" s="3" t="s">
        <v>1304</v>
      </c>
      <c r="F2343" s="3" t="s">
        <v>7</v>
      </c>
      <c r="G2343" s="3">
        <v>2.6094197253075699</v>
      </c>
      <c r="H2343" s="3">
        <v>2.6840126804759281</v>
      </c>
      <c r="I2343" s="3">
        <v>2.9823845011494292</v>
      </c>
      <c r="J2343" s="3">
        <v>3.4514969081150628</v>
      </c>
      <c r="K2343" s="3">
        <v>3.7810562691791469</v>
      </c>
      <c r="L2343" s="3">
        <v>4.0538120381023077</v>
      </c>
      <c r="M2343" s="3">
        <v>4.4132995255170293</v>
      </c>
      <c r="N2343" s="3">
        <v>4.8352699124008778</v>
      </c>
      <c r="O2343" s="3">
        <v>5.3338896913542051</v>
      </c>
      <c r="P2343" s="3">
        <v>5.7658120146362215</v>
      </c>
    </row>
    <row r="2344" spans="1:16" x14ac:dyDescent="0.3">
      <c r="A2344" s="3" t="str">
        <f t="shared" si="37"/>
        <v>ELC</v>
      </c>
      <c r="C2344" s="3" t="s">
        <v>850</v>
      </c>
      <c r="D2344" s="3" t="s">
        <v>1305</v>
      </c>
      <c r="E2344" s="3" t="s">
        <v>1304</v>
      </c>
      <c r="F2344" s="3" t="s">
        <v>8</v>
      </c>
      <c r="G2344" s="3">
        <v>1.6362250192118899</v>
      </c>
      <c r="H2344" s="3">
        <v>1.6829981995936101</v>
      </c>
      <c r="I2344" s="3">
        <v>1.870090921120515</v>
      </c>
      <c r="J2344" s="3">
        <v>2.164245766987412</v>
      </c>
      <c r="K2344" s="3">
        <v>2.3708944968405619</v>
      </c>
      <c r="L2344" s="3">
        <v>2.5419247871836887</v>
      </c>
      <c r="M2344" s="3">
        <v>2.7673398153973907</v>
      </c>
      <c r="N2344" s="3">
        <v>3.0319344674917401</v>
      </c>
      <c r="O2344" s="3">
        <v>3.3445917795694911</v>
      </c>
      <c r="P2344" s="3">
        <v>3.6154267490671179</v>
      </c>
    </row>
    <row r="2345" spans="1:16" x14ac:dyDescent="0.3">
      <c r="A2345" s="3" t="str">
        <f t="shared" si="37"/>
        <v>OTP</v>
      </c>
      <c r="C2345" s="3" t="s">
        <v>850</v>
      </c>
      <c r="D2345" s="3" t="s">
        <v>761</v>
      </c>
      <c r="E2345" s="3" t="s">
        <v>1312</v>
      </c>
      <c r="F2345" s="3" t="s">
        <v>0</v>
      </c>
      <c r="G2345" s="3">
        <v>0.16085723185265199</v>
      </c>
      <c r="H2345" s="3">
        <v>0.165455501792794</v>
      </c>
      <c r="I2345" s="3">
        <v>0.18384858155335901</v>
      </c>
      <c r="J2345" s="3">
        <v>0.21276693550016701</v>
      </c>
      <c r="K2345" s="3">
        <v>0.233082565844247</v>
      </c>
      <c r="L2345" s="3">
        <v>0.24989654848387299</v>
      </c>
      <c r="M2345" s="3">
        <v>0.27205709304877002</v>
      </c>
      <c r="N2345" s="3">
        <v>0.29806938524523802</v>
      </c>
      <c r="O2345" s="3">
        <v>0.32880671608225298</v>
      </c>
      <c r="P2345" s="3">
        <v>0.35543249369276098</v>
      </c>
    </row>
    <row r="2346" spans="1:16" x14ac:dyDescent="0.3">
      <c r="A2346" s="3" t="str">
        <f t="shared" si="37"/>
        <v>OTP</v>
      </c>
      <c r="C2346" s="3" t="s">
        <v>850</v>
      </c>
      <c r="D2346" s="3" t="s">
        <v>761</v>
      </c>
      <c r="E2346" s="3" t="s">
        <v>1312</v>
      </c>
      <c r="F2346" s="3" t="s">
        <v>1</v>
      </c>
      <c r="G2346" s="3">
        <v>0.44278584030561802</v>
      </c>
      <c r="H2346" s="3">
        <v>5.8704954407086003</v>
      </c>
      <c r="I2346" s="3">
        <v>6.5230968332583297</v>
      </c>
      <c r="J2346" s="3">
        <v>7.5491434932850199</v>
      </c>
      <c r="K2346" s="3">
        <v>8.2699585403385498</v>
      </c>
      <c r="L2346" s="3">
        <v>8.8665322858867608</v>
      </c>
      <c r="M2346" s="3">
        <v>9.6528063863078106</v>
      </c>
      <c r="N2346" s="3">
        <v>10.575743617691</v>
      </c>
      <c r="O2346" s="3">
        <v>11.666329053551699</v>
      </c>
      <c r="P2346" s="3">
        <v>12.611033245157</v>
      </c>
    </row>
    <row r="2347" spans="1:16" x14ac:dyDescent="0.3">
      <c r="A2347" s="3" t="str">
        <f t="shared" si="37"/>
        <v>OTP</v>
      </c>
      <c r="C2347" s="3" t="s">
        <v>850</v>
      </c>
      <c r="D2347" s="3" t="s">
        <v>761</v>
      </c>
      <c r="E2347" s="3" t="s">
        <v>1312</v>
      </c>
      <c r="F2347" s="3" t="s">
        <v>2</v>
      </c>
      <c r="G2347" s="3">
        <v>2.1593078695080301</v>
      </c>
      <c r="H2347" s="3">
        <v>0.60158814633630797</v>
      </c>
      <c r="K2347" s="3">
        <v>15.1551278126316</v>
      </c>
      <c r="N2347" s="3">
        <v>15.7891966696012</v>
      </c>
      <c r="O2347" s="3">
        <v>16.250197208765002</v>
      </c>
    </row>
    <row r="2348" spans="1:16" x14ac:dyDescent="0.3">
      <c r="A2348" s="3" t="str">
        <f t="shared" si="37"/>
        <v>OTP</v>
      </c>
      <c r="C2348" s="3" t="s">
        <v>850</v>
      </c>
      <c r="D2348" s="3" t="s">
        <v>761</v>
      </c>
      <c r="E2348" s="3" t="s">
        <v>1312</v>
      </c>
      <c r="F2348" s="3" t="s">
        <v>3</v>
      </c>
      <c r="G2348" s="3">
        <v>1.4625505634415901</v>
      </c>
      <c r="H2348" s="3">
        <v>14.6243431905843</v>
      </c>
      <c r="I2348" s="3">
        <v>15.5268228802267</v>
      </c>
      <c r="J2348" s="3">
        <v>15.4151025293722</v>
      </c>
      <c r="K2348" s="3">
        <v>13.125338219841399</v>
      </c>
      <c r="L2348" s="3">
        <v>14.6460431842627</v>
      </c>
      <c r="M2348" s="3">
        <v>15.547100608873601</v>
      </c>
      <c r="P2348" s="3">
        <v>16.549678577144899</v>
      </c>
    </row>
    <row r="2349" spans="1:16" x14ac:dyDescent="0.3">
      <c r="A2349" s="3" t="str">
        <f t="shared" si="37"/>
        <v>OTP</v>
      </c>
      <c r="C2349" s="3" t="s">
        <v>850</v>
      </c>
      <c r="D2349" s="3" t="s">
        <v>761</v>
      </c>
      <c r="E2349" s="3" t="s">
        <v>1312</v>
      </c>
      <c r="F2349" s="3" t="s">
        <v>4</v>
      </c>
      <c r="G2349" s="3">
        <v>0.44351597368939</v>
      </c>
      <c r="H2349" s="3">
        <v>4.4348072277768296</v>
      </c>
      <c r="I2349" s="3">
        <v>4.7950311047995404</v>
      </c>
      <c r="J2349" s="3">
        <v>5.7029251560927197</v>
      </c>
      <c r="K2349" s="3">
        <v>6.2474576939082196</v>
      </c>
      <c r="L2349" s="3">
        <v>6.05126834946706</v>
      </c>
      <c r="M2349" s="3">
        <v>7.2921163064834698</v>
      </c>
      <c r="N2349" s="3">
        <v>7.9893400324639599</v>
      </c>
      <c r="O2349" s="3">
        <v>8.8132119223771497</v>
      </c>
      <c r="P2349" s="3">
        <v>9.5268792813516203</v>
      </c>
    </row>
    <row r="2350" spans="1:16" x14ac:dyDescent="0.3">
      <c r="A2350" s="3" t="str">
        <f t="shared" si="37"/>
        <v>OTP</v>
      </c>
      <c r="C2350" s="3" t="s">
        <v>850</v>
      </c>
      <c r="D2350" s="3" t="s">
        <v>761</v>
      </c>
      <c r="E2350" s="3" t="s">
        <v>1312</v>
      </c>
      <c r="F2350" s="3" t="s">
        <v>5</v>
      </c>
      <c r="G2350" s="3">
        <v>0.386588773750558</v>
      </c>
      <c r="H2350" s="3">
        <v>3.8655804744634601</v>
      </c>
      <c r="I2350" s="3">
        <v>4.2953028422136201</v>
      </c>
      <c r="J2350" s="3">
        <v>1.78641943008278</v>
      </c>
      <c r="K2350" s="3">
        <v>2.6904132765910398E-2</v>
      </c>
    </row>
    <row r="2351" spans="1:16" x14ac:dyDescent="0.3">
      <c r="A2351" s="3" t="str">
        <f t="shared" si="37"/>
        <v>OTP</v>
      </c>
      <c r="C2351" s="3" t="s">
        <v>850</v>
      </c>
      <c r="D2351" s="3" t="s">
        <v>761</v>
      </c>
      <c r="E2351" s="3" t="s">
        <v>1312</v>
      </c>
      <c r="F2351" s="3" t="s">
        <v>6</v>
      </c>
      <c r="G2351" s="3">
        <v>1.34301031232982</v>
      </c>
      <c r="H2351" s="3">
        <v>13.429035690764801</v>
      </c>
      <c r="I2351" s="3">
        <v>14.9218922104413</v>
      </c>
      <c r="J2351" s="3">
        <v>17.269022424075398</v>
      </c>
      <c r="K2351" s="3">
        <v>18.917920901399501</v>
      </c>
      <c r="L2351" s="3">
        <v>20.282611531356402</v>
      </c>
      <c r="M2351" s="3">
        <v>21.585523956820801</v>
      </c>
      <c r="N2351" s="3">
        <v>21.974662366055199</v>
      </c>
      <c r="O2351" s="3">
        <v>22.6245433471904</v>
      </c>
      <c r="P2351" s="3">
        <v>23.155617281411899</v>
      </c>
    </row>
    <row r="2352" spans="1:16" x14ac:dyDescent="0.3">
      <c r="A2352" s="3" t="str">
        <f t="shared" si="37"/>
        <v>OTP</v>
      </c>
      <c r="C2352" s="3" t="s">
        <v>850</v>
      </c>
      <c r="D2352" s="3" t="s">
        <v>761</v>
      </c>
      <c r="E2352" s="3" t="s">
        <v>1312</v>
      </c>
      <c r="F2352" s="3" t="s">
        <v>7</v>
      </c>
      <c r="G2352" s="3">
        <v>0.44520676627078398</v>
      </c>
      <c r="H2352" s="3">
        <v>2.2533628614336001</v>
      </c>
      <c r="I2352" s="3">
        <v>2.2459373957290598</v>
      </c>
      <c r="J2352" s="3">
        <v>2.2459373957290598</v>
      </c>
      <c r="K2352" s="3">
        <v>6.2712745477490799</v>
      </c>
      <c r="L2352" s="3">
        <v>2.2459373957290598</v>
      </c>
      <c r="M2352" s="3">
        <v>2.3899518275649498</v>
      </c>
      <c r="N2352" s="3">
        <v>2.4330372793791302</v>
      </c>
      <c r="O2352" s="3">
        <v>2.5049921803428901</v>
      </c>
      <c r="P2352" s="3">
        <v>2.5534325973377698</v>
      </c>
    </row>
    <row r="2353" spans="1:16" x14ac:dyDescent="0.3">
      <c r="A2353" s="3" t="str">
        <f t="shared" si="37"/>
        <v>OTP</v>
      </c>
      <c r="C2353" s="3" t="s">
        <v>850</v>
      </c>
      <c r="D2353" s="3" t="s">
        <v>761</v>
      </c>
      <c r="E2353" s="3" t="s">
        <v>1312</v>
      </c>
      <c r="F2353" s="3" t="s">
        <v>8</v>
      </c>
      <c r="G2353" s="3">
        <v>0.27916492031913998</v>
      </c>
      <c r="H2353" s="3">
        <v>2.7914273212628702</v>
      </c>
      <c r="I2353" s="3">
        <v>3.10174003259301</v>
      </c>
      <c r="J2353" s="3">
        <v>2.9509093199067502</v>
      </c>
      <c r="K2353" s="3">
        <v>3.4853222610533798</v>
      </c>
      <c r="L2353" s="3">
        <v>3.7689937619157101</v>
      </c>
      <c r="M2353" s="3">
        <v>4.0106699084759301</v>
      </c>
      <c r="N2353" s="3">
        <v>2.9438089681909601</v>
      </c>
      <c r="O2353" s="3">
        <v>4.2037235406978803</v>
      </c>
      <c r="P2353" s="3">
        <v>4.3023990350439503</v>
      </c>
    </row>
    <row r="2354" spans="1:16" x14ac:dyDescent="0.3">
      <c r="A2354" s="3" t="str">
        <f t="shared" si="37"/>
        <v>PTC</v>
      </c>
      <c r="C2354" s="3" t="s">
        <v>850</v>
      </c>
      <c r="D2354" s="3" t="s">
        <v>761</v>
      </c>
      <c r="E2354" s="3" t="s">
        <v>1311</v>
      </c>
      <c r="F2354" s="3" t="s">
        <v>1</v>
      </c>
      <c r="G2354" s="3">
        <v>5.2645592522655598</v>
      </c>
    </row>
    <row r="2355" spans="1:16" x14ac:dyDescent="0.3">
      <c r="A2355" s="3" t="str">
        <f t="shared" si="37"/>
        <v>PTC</v>
      </c>
      <c r="C2355" s="3" t="s">
        <v>850</v>
      </c>
      <c r="D2355" s="3" t="s">
        <v>761</v>
      </c>
      <c r="E2355" s="3" t="s">
        <v>1311</v>
      </c>
      <c r="F2355" s="3" t="s">
        <v>2</v>
      </c>
      <c r="G2355" s="3">
        <v>18.8319965012832</v>
      </c>
      <c r="H2355" s="3">
        <v>20.9897743180878</v>
      </c>
      <c r="I2355" s="3">
        <v>23.991594838955699</v>
      </c>
      <c r="J2355" s="3">
        <v>27.765338565664699</v>
      </c>
      <c r="K2355" s="3">
        <v>15.261329233224901</v>
      </c>
      <c r="L2355" s="3">
        <v>32.610622786548198</v>
      </c>
      <c r="M2355" s="3">
        <v>35.502496099464203</v>
      </c>
      <c r="N2355" s="3">
        <v>23.1078122944024</v>
      </c>
      <c r="O2355" s="3">
        <v>26.657925584031499</v>
      </c>
      <c r="P2355" s="3">
        <v>46.382693351384297</v>
      </c>
    </row>
    <row r="2356" spans="1:16" x14ac:dyDescent="0.3">
      <c r="A2356" s="3" t="str">
        <f t="shared" si="37"/>
        <v>PTC</v>
      </c>
      <c r="C2356" s="3" t="s">
        <v>850</v>
      </c>
      <c r="D2356" s="3" t="s">
        <v>761</v>
      </c>
      <c r="E2356" s="3" t="s">
        <v>1311</v>
      </c>
      <c r="F2356" s="3" t="s">
        <v>3</v>
      </c>
      <c r="G2356" s="3">
        <v>12.755359012310199</v>
      </c>
      <c r="I2356" s="3">
        <v>0.72325476968776703</v>
      </c>
      <c r="J2356" s="3">
        <v>3.3910214776741898</v>
      </c>
      <c r="K2356" s="3">
        <v>7.4764513713990004</v>
      </c>
      <c r="L2356" s="3">
        <v>7.4419070354128003</v>
      </c>
      <c r="M2356" s="3">
        <v>8.4995841678017694</v>
      </c>
      <c r="N2356" s="3">
        <v>26.345869053613601</v>
      </c>
      <c r="O2356" s="3">
        <v>29.062691825007299</v>
      </c>
      <c r="P2356" s="3">
        <v>14.8664225045693</v>
      </c>
    </row>
    <row r="2357" spans="1:16" x14ac:dyDescent="0.3">
      <c r="A2357" s="3" t="str">
        <f t="shared" si="37"/>
        <v>PTC</v>
      </c>
      <c r="C2357" s="3" t="s">
        <v>850</v>
      </c>
      <c r="D2357" s="3" t="s">
        <v>761</v>
      </c>
      <c r="E2357" s="3" t="s">
        <v>1311</v>
      </c>
      <c r="F2357" s="3" t="s">
        <v>4</v>
      </c>
      <c r="G2357" s="3">
        <v>3.8680409508648301</v>
      </c>
      <c r="I2357" s="3">
        <v>0.132777335867655</v>
      </c>
      <c r="L2357" s="3">
        <v>0.64686503022955499</v>
      </c>
    </row>
    <row r="2358" spans="1:16" x14ac:dyDescent="0.3">
      <c r="A2358" s="3" t="str">
        <f t="shared" si="37"/>
        <v>PTC</v>
      </c>
      <c r="C2358" s="3" t="s">
        <v>850</v>
      </c>
      <c r="D2358" s="3" t="s">
        <v>761</v>
      </c>
      <c r="E2358" s="3" t="s">
        <v>1311</v>
      </c>
      <c r="F2358" s="3" t="s">
        <v>5</v>
      </c>
      <c r="G2358" s="3">
        <v>3.3715611087753499</v>
      </c>
      <c r="J2358" s="3">
        <v>3.1845105333758101</v>
      </c>
      <c r="K2358" s="3">
        <v>5.4186652541845399</v>
      </c>
      <c r="L2358" s="3">
        <v>5.8383988926812798</v>
      </c>
      <c r="M2358" s="3">
        <v>6.3561415331214004</v>
      </c>
      <c r="N2358" s="3">
        <v>6.9638735681469797</v>
      </c>
      <c r="O2358" s="3">
        <v>7.6819979256525901</v>
      </c>
      <c r="P2358" s="3">
        <v>8.3040629820171699</v>
      </c>
    </row>
    <row r="2359" spans="1:16" x14ac:dyDescent="0.3">
      <c r="A2359" s="3" t="str">
        <f t="shared" si="37"/>
        <v>PTC</v>
      </c>
      <c r="C2359" s="3" t="s">
        <v>850</v>
      </c>
      <c r="D2359" s="3" t="s">
        <v>761</v>
      </c>
      <c r="E2359" s="3" t="s">
        <v>1311</v>
      </c>
      <c r="F2359" s="3" t="s">
        <v>6</v>
      </c>
      <c r="G2359" s="3">
        <v>11.7128112485158</v>
      </c>
      <c r="M2359" s="3">
        <v>0.49572672925391598</v>
      </c>
      <c r="N2359" s="3">
        <v>2.2178508439033702</v>
      </c>
      <c r="O2359" s="3">
        <v>4.0627355754671202</v>
      </c>
      <c r="P2359" s="3">
        <v>5.6927171150730498</v>
      </c>
    </row>
    <row r="2360" spans="1:16" x14ac:dyDescent="0.3">
      <c r="A2360" s="3" t="str">
        <f t="shared" si="37"/>
        <v>PTC</v>
      </c>
      <c r="C2360" s="3" t="s">
        <v>850</v>
      </c>
      <c r="D2360" s="3" t="s">
        <v>761</v>
      </c>
      <c r="E2360" s="3" t="s">
        <v>1311</v>
      </c>
      <c r="F2360" s="3" t="s">
        <v>7</v>
      </c>
      <c r="G2360" s="3">
        <v>3.88278687960752</v>
      </c>
      <c r="H2360" s="3">
        <v>2.1983509483052401</v>
      </c>
      <c r="I2360" s="3">
        <v>2.7006570694519998</v>
      </c>
      <c r="J2360" s="3">
        <v>3.4787287214974199</v>
      </c>
      <c r="L2360" s="3">
        <v>4.4777309249831099</v>
      </c>
      <c r="M2360" s="3">
        <v>4.9299638297538904</v>
      </c>
      <c r="N2360" s="3">
        <v>5.5867600931999597</v>
      </c>
      <c r="O2360" s="3">
        <v>6.34181788555248</v>
      </c>
      <c r="P2360" s="3">
        <v>7.0097655040075804</v>
      </c>
    </row>
    <row r="2361" spans="1:16" x14ac:dyDescent="0.3">
      <c r="A2361" s="3" t="str">
        <f t="shared" si="37"/>
        <v>PTC</v>
      </c>
      <c r="C2361" s="3" t="s">
        <v>850</v>
      </c>
      <c r="D2361" s="3" t="s">
        <v>761</v>
      </c>
      <c r="E2361" s="3" t="s">
        <v>1311</v>
      </c>
      <c r="F2361" s="3" t="s">
        <v>8</v>
      </c>
      <c r="G2361" s="3">
        <v>2.4346842231112</v>
      </c>
      <c r="J2361" s="3">
        <v>0.638717077408955</v>
      </c>
      <c r="K2361" s="3">
        <v>0.44705251861697898</v>
      </c>
      <c r="L2361" s="3">
        <v>0.44705251861697898</v>
      </c>
      <c r="M2361" s="3">
        <v>0.57925060943319095</v>
      </c>
      <c r="N2361" s="3">
        <v>2.0849692627533898</v>
      </c>
      <c r="O2361" s="3">
        <v>1.3436293169675899</v>
      </c>
      <c r="P2361" s="3">
        <v>1.69416175023049</v>
      </c>
    </row>
    <row r="2362" spans="1:16" x14ac:dyDescent="0.3">
      <c r="A2362" s="3" t="str">
        <f t="shared" si="37"/>
        <v>COA</v>
      </c>
      <c r="C2362" s="3" t="s">
        <v>850</v>
      </c>
      <c r="D2362" s="3" t="s">
        <v>794</v>
      </c>
      <c r="E2362" s="3" t="s">
        <v>1302</v>
      </c>
      <c r="F2362" s="3" t="s">
        <v>0</v>
      </c>
      <c r="G2362" s="3">
        <v>3.9547091212858598</v>
      </c>
      <c r="H2362" s="3">
        <v>3.8228854839096602</v>
      </c>
      <c r="I2362" s="3">
        <v>4.4418588900801996</v>
      </c>
      <c r="J2362" s="3">
        <v>5.0777065534210299</v>
      </c>
      <c r="K2362" s="3">
        <v>5.6223681823954692</v>
      </c>
      <c r="L2362" s="3">
        <v>6.0775826450352302</v>
      </c>
      <c r="M2362" s="3">
        <v>6.6693713305016082</v>
      </c>
      <c r="N2362" s="3">
        <v>7.4539418066576308</v>
      </c>
      <c r="O2362" s="3">
        <v>8.3991399214616216</v>
      </c>
      <c r="P2362" s="3">
        <v>9.0792769768508208</v>
      </c>
    </row>
    <row r="2363" spans="1:16" x14ac:dyDescent="0.3">
      <c r="A2363" s="3" t="str">
        <f t="shared" si="37"/>
        <v>COA</v>
      </c>
      <c r="C2363" s="3" t="s">
        <v>850</v>
      </c>
      <c r="D2363" s="3" t="s">
        <v>794</v>
      </c>
      <c r="E2363" s="3" t="s">
        <v>1302</v>
      </c>
      <c r="F2363" s="3" t="s">
        <v>1</v>
      </c>
      <c r="G2363" s="3">
        <v>10.885983684195701</v>
      </c>
      <c r="H2363" s="3">
        <v>10.523117561389199</v>
      </c>
      <c r="I2363" s="3">
        <v>9.0716530701630802</v>
      </c>
      <c r="J2363" s="3">
        <v>11.175822807918109</v>
      </c>
      <c r="K2363" s="3">
        <v>12.675093025924749</v>
      </c>
      <c r="L2363" s="3">
        <v>13.928145288715529</v>
      </c>
      <c r="M2363" s="3">
        <v>15.557140437765529</v>
      </c>
      <c r="N2363" s="3">
        <v>17.716798996865592</v>
      </c>
      <c r="O2363" s="3">
        <v>23.120006387872813</v>
      </c>
      <c r="P2363" s="3">
        <v>24.99219487529724</v>
      </c>
    </row>
    <row r="2364" spans="1:16" x14ac:dyDescent="0.3">
      <c r="A2364" s="3" t="str">
        <f t="shared" si="37"/>
        <v>COA</v>
      </c>
      <c r="C2364" s="3" t="s">
        <v>850</v>
      </c>
      <c r="D2364" s="3" t="s">
        <v>794</v>
      </c>
      <c r="E2364" s="3" t="s">
        <v>1302</v>
      </c>
      <c r="F2364" s="3" t="s">
        <v>2</v>
      </c>
      <c r="G2364" s="3">
        <v>16.1342968967522</v>
      </c>
      <c r="H2364" s="3">
        <v>15.5964870001938</v>
      </c>
      <c r="I2364" s="3">
        <v>13.4452474139602</v>
      </c>
      <c r="J2364" s="3">
        <v>16.942297738303399</v>
      </c>
      <c r="K2364" s="3">
        <v>19.484398855931872</v>
      </c>
      <c r="L2364" s="3">
        <v>21.637797993584844</v>
      </c>
      <c r="M2364" s="3">
        <v>24.384694644928572</v>
      </c>
      <c r="N2364" s="3">
        <v>27.969344651855621</v>
      </c>
      <c r="O2364" s="3">
        <v>36.499337556966331</v>
      </c>
      <c r="P2364" s="3">
        <v>39.454943988312849</v>
      </c>
    </row>
    <row r="2365" spans="1:16" x14ac:dyDescent="0.3">
      <c r="A2365" s="3" t="str">
        <f t="shared" si="37"/>
        <v>COA</v>
      </c>
      <c r="C2365" s="3" t="s">
        <v>850</v>
      </c>
      <c r="D2365" s="3" t="s">
        <v>794</v>
      </c>
      <c r="E2365" s="3" t="s">
        <v>1302</v>
      </c>
      <c r="F2365" s="3" t="s">
        <v>3</v>
      </c>
      <c r="G2365" s="3">
        <v>10.928142925008199</v>
      </c>
      <c r="H2365" s="3">
        <v>10.563871494174601</v>
      </c>
      <c r="I2365" s="3">
        <v>9.1067857708401707</v>
      </c>
      <c r="J2365" s="3">
        <v>11.475421107410829</v>
      </c>
      <c r="K2365" s="3">
        <v>13.19724663975609</v>
      </c>
      <c r="L2365" s="3">
        <v>13.57427583558737</v>
      </c>
      <c r="M2365" s="3">
        <v>11.752918681419331</v>
      </c>
      <c r="N2365" s="3">
        <v>9.9315615272513007</v>
      </c>
      <c r="O2365" s="3">
        <v>9.9315615272513007</v>
      </c>
      <c r="P2365" s="3">
        <v>5.7415690365126002</v>
      </c>
    </row>
    <row r="2366" spans="1:16" x14ac:dyDescent="0.3">
      <c r="A2366" s="3" t="str">
        <f t="shared" si="37"/>
        <v>COA</v>
      </c>
      <c r="C2366" s="3" t="s">
        <v>850</v>
      </c>
      <c r="D2366" s="3" t="s">
        <v>794</v>
      </c>
      <c r="E2366" s="3" t="s">
        <v>1302</v>
      </c>
      <c r="F2366" s="3" t="s">
        <v>4</v>
      </c>
      <c r="G2366" s="3">
        <v>9.7992872425807498</v>
      </c>
      <c r="H2366" s="3">
        <v>9.4726443344947207</v>
      </c>
      <c r="I2366" s="3">
        <v>8.1660727021506201</v>
      </c>
      <c r="J2366" s="3">
        <v>6.5328581617205002</v>
      </c>
      <c r="K2366" s="3">
        <v>4.8996436212903696</v>
      </c>
      <c r="L2366" s="3">
        <v>3.2664290808602501</v>
      </c>
      <c r="M2366" s="3">
        <v>1.6332145404301199</v>
      </c>
    </row>
    <row r="2367" spans="1:16" x14ac:dyDescent="0.3">
      <c r="A2367" s="3" t="str">
        <f t="shared" si="37"/>
        <v>COA</v>
      </c>
      <c r="C2367" s="3" t="s">
        <v>850</v>
      </c>
      <c r="D2367" s="3" t="s">
        <v>794</v>
      </c>
      <c r="E2367" s="3" t="s">
        <v>1302</v>
      </c>
      <c r="F2367" s="3" t="s">
        <v>5</v>
      </c>
      <c r="G2367" s="3">
        <v>8.5415061992600396</v>
      </c>
      <c r="H2367" s="3">
        <v>8.2567893259513703</v>
      </c>
      <c r="I2367" s="3">
        <v>7.1179218327167</v>
      </c>
      <c r="J2367" s="3">
        <v>5.6943374661733603</v>
      </c>
      <c r="K2367" s="3">
        <v>7.1737972359636402</v>
      </c>
      <c r="L2367" s="3">
        <v>5.7502128694203005</v>
      </c>
      <c r="M2367" s="3">
        <v>4.32662850287696</v>
      </c>
      <c r="N2367" s="3">
        <v>2.9030441363336199</v>
      </c>
      <c r="O2367" s="3">
        <v>2.9030441363336199</v>
      </c>
      <c r="P2367" s="3">
        <v>2.9030441363336199</v>
      </c>
    </row>
    <row r="2368" spans="1:16" x14ac:dyDescent="0.3">
      <c r="A2368" s="3" t="str">
        <f t="shared" si="37"/>
        <v>COA</v>
      </c>
      <c r="C2368" s="3" t="s">
        <v>850</v>
      </c>
      <c r="D2368" s="3" t="s">
        <v>794</v>
      </c>
      <c r="E2368" s="3" t="s">
        <v>1302</v>
      </c>
      <c r="F2368" s="3" t="s">
        <v>6</v>
      </c>
      <c r="G2368" s="3">
        <v>29.673212693540599</v>
      </c>
      <c r="H2368" s="3">
        <v>28.684105603755899</v>
      </c>
      <c r="I2368" s="3">
        <v>24.727677244617201</v>
      </c>
      <c r="J2368" s="3">
        <v>19.7821417956937</v>
      </c>
      <c r="K2368" s="3">
        <v>14.836606346770299</v>
      </c>
      <c r="L2368" s="3">
        <v>9.8910708978468698</v>
      </c>
      <c r="M2368" s="3">
        <v>4.9455354489234304</v>
      </c>
    </row>
    <row r="2369" spans="1:16" x14ac:dyDescent="0.3">
      <c r="A2369" s="3" t="str">
        <f t="shared" si="37"/>
        <v>COA</v>
      </c>
      <c r="C2369" s="3" t="s">
        <v>850</v>
      </c>
      <c r="D2369" s="3" t="s">
        <v>794</v>
      </c>
      <c r="E2369" s="3" t="s">
        <v>1302</v>
      </c>
      <c r="F2369" s="3" t="s">
        <v>7</v>
      </c>
      <c r="G2369" s="3">
        <v>17.169415940237101</v>
      </c>
      <c r="H2369" s="3">
        <v>16.5971020755625</v>
      </c>
      <c r="I2369" s="3">
        <v>14.3078466168642</v>
      </c>
      <c r="J2369" s="3">
        <v>17.88614441177414</v>
      </c>
      <c r="K2369" s="3">
        <v>20.47031889996666</v>
      </c>
      <c r="L2369" s="3">
        <v>22.649846004880899</v>
      </c>
      <c r="M2369" s="3">
        <v>19.788276681508048</v>
      </c>
      <c r="N2369" s="3">
        <v>16.9267073581352</v>
      </c>
      <c r="O2369" s="3">
        <v>16.9267073581352</v>
      </c>
      <c r="P2369" s="3">
        <v>10.486840239852459</v>
      </c>
    </row>
    <row r="2370" spans="1:16" x14ac:dyDescent="0.3">
      <c r="A2370" s="3" t="str">
        <f t="shared" si="37"/>
        <v>COA</v>
      </c>
      <c r="C2370" s="3" t="s">
        <v>850</v>
      </c>
      <c r="D2370" s="3" t="s">
        <v>794</v>
      </c>
      <c r="E2370" s="3" t="s">
        <v>1302</v>
      </c>
      <c r="F2370" s="3" t="s">
        <v>8</v>
      </c>
      <c r="G2370" s="3">
        <v>10.7660058112576</v>
      </c>
      <c r="H2370" s="3">
        <v>11.128861807715607</v>
      </c>
      <c r="I2370" s="3">
        <v>12.580285793548086</v>
      </c>
      <c r="J2370" s="3">
        <v>14.824041491965795</v>
      </c>
      <c r="K2370" s="3">
        <v>16.667558191188665</v>
      </c>
      <c r="L2370" s="3">
        <v>17.811099363532257</v>
      </c>
      <c r="M2370" s="3">
        <v>19.565178506436034</v>
      </c>
      <c r="N2370" s="3">
        <v>21.59835852454141</v>
      </c>
      <c r="O2370" s="3">
        <v>23.82561138702205</v>
      </c>
      <c r="P2370" s="3">
        <v>25.754937642227063</v>
      </c>
    </row>
    <row r="2371" spans="1:16" x14ac:dyDescent="0.3">
      <c r="A2371" s="3" t="str">
        <f t="shared" si="37"/>
        <v>ELC</v>
      </c>
      <c r="C2371" s="3" t="s">
        <v>850</v>
      </c>
      <c r="D2371" s="3" t="s">
        <v>794</v>
      </c>
      <c r="E2371" s="3" t="s">
        <v>1298</v>
      </c>
      <c r="F2371" s="3" t="s">
        <v>0</v>
      </c>
      <c r="G2371" s="3">
        <v>0.15427750102948601</v>
      </c>
      <c r="H2371" s="3">
        <v>0.14913491766183701</v>
      </c>
      <c r="J2371" s="3">
        <v>0.10285166735299101</v>
      </c>
      <c r="K2371" s="3">
        <v>7.7138750514743504E-2</v>
      </c>
      <c r="L2371" s="3">
        <v>5.1425833676495697E-2</v>
      </c>
      <c r="M2371" s="3">
        <v>2.57129168382478E-2</v>
      </c>
    </row>
    <row r="2372" spans="1:16" x14ac:dyDescent="0.3">
      <c r="A2372" s="3" t="str">
        <f t="shared" si="37"/>
        <v>ELC</v>
      </c>
      <c r="C2372" s="3" t="s">
        <v>850</v>
      </c>
      <c r="D2372" s="3" t="s">
        <v>794</v>
      </c>
      <c r="E2372" s="3" t="s">
        <v>1298</v>
      </c>
      <c r="F2372" s="3" t="s">
        <v>1</v>
      </c>
      <c r="G2372" s="3">
        <v>0.42467405504134897</v>
      </c>
      <c r="H2372" s="3">
        <v>0.41051825320663698</v>
      </c>
      <c r="I2372" s="3">
        <v>0.35389504586779102</v>
      </c>
      <c r="J2372" s="3">
        <v>0.28311603669423302</v>
      </c>
      <c r="K2372" s="3">
        <v>0.21233702752067399</v>
      </c>
      <c r="L2372" s="3">
        <v>0.14155801834711601</v>
      </c>
      <c r="M2372" s="3">
        <v>7.0779009173558199E-2</v>
      </c>
    </row>
    <row r="2373" spans="1:16" x14ac:dyDescent="0.3">
      <c r="A2373" s="3" t="str">
        <f t="shared" si="37"/>
        <v>ELC</v>
      </c>
      <c r="C2373" s="3" t="s">
        <v>850</v>
      </c>
      <c r="D2373" s="3" t="s">
        <v>794</v>
      </c>
      <c r="E2373" s="3" t="s">
        <v>1298</v>
      </c>
      <c r="F2373" s="3" t="s">
        <v>2</v>
      </c>
      <c r="G2373" s="3">
        <v>1.03549159159397</v>
      </c>
      <c r="H2373" s="3">
        <v>1.0009752052075001</v>
      </c>
      <c r="I2373" s="3">
        <v>0.86290965966164201</v>
      </c>
      <c r="J2373" s="3">
        <v>0.69032772772931295</v>
      </c>
      <c r="K2373" s="3">
        <v>0.51774579579698499</v>
      </c>
      <c r="L2373" s="3">
        <v>0.34516386386465697</v>
      </c>
      <c r="M2373" s="3">
        <v>0.17258193193232799</v>
      </c>
    </row>
    <row r="2374" spans="1:16" x14ac:dyDescent="0.3">
      <c r="A2374" s="3" t="str">
        <f t="shared" si="37"/>
        <v>ELC</v>
      </c>
      <c r="C2374" s="3" t="s">
        <v>850</v>
      </c>
      <c r="D2374" s="3" t="s">
        <v>794</v>
      </c>
      <c r="E2374" s="3" t="s">
        <v>1298</v>
      </c>
      <c r="F2374" s="3" t="s">
        <v>3</v>
      </c>
      <c r="G2374" s="3">
        <v>0.70136307661854003</v>
      </c>
      <c r="H2374" s="3">
        <v>0.67798430739792204</v>
      </c>
      <c r="I2374" s="3">
        <v>0.58446923051544997</v>
      </c>
      <c r="J2374" s="3">
        <v>0.46757538441236002</v>
      </c>
      <c r="K2374" s="3">
        <v>0.35068153830927001</v>
      </c>
      <c r="L2374" s="3">
        <v>0.23378769220618001</v>
      </c>
      <c r="M2374" s="3">
        <v>0.11689384610309</v>
      </c>
    </row>
    <row r="2375" spans="1:16" x14ac:dyDescent="0.3">
      <c r="A2375" s="3" t="str">
        <f t="shared" si="37"/>
        <v>ELC</v>
      </c>
      <c r="C2375" s="3" t="s">
        <v>850</v>
      </c>
      <c r="D2375" s="3" t="s">
        <v>794</v>
      </c>
      <c r="E2375" s="3" t="s">
        <v>1298</v>
      </c>
      <c r="F2375" s="3" t="s">
        <v>4</v>
      </c>
      <c r="G2375" s="3">
        <v>0.51202464796937197</v>
      </c>
      <c r="H2375" s="3">
        <v>0.494957159703726</v>
      </c>
      <c r="I2375" s="3">
        <v>0.42668720664114301</v>
      </c>
      <c r="J2375" s="3">
        <v>0.341349765312915</v>
      </c>
      <c r="K2375" s="3">
        <v>0.25601232398468599</v>
      </c>
      <c r="L2375" s="3">
        <v>0.170674882656457</v>
      </c>
      <c r="M2375" s="3">
        <v>8.5337441328228694E-2</v>
      </c>
    </row>
    <row r="2376" spans="1:16" x14ac:dyDescent="0.3">
      <c r="A2376" s="3" t="str">
        <f t="shared" si="37"/>
        <v>ELC</v>
      </c>
      <c r="C2376" s="3" t="s">
        <v>850</v>
      </c>
      <c r="D2376" s="3" t="s">
        <v>794</v>
      </c>
      <c r="E2376" s="3" t="s">
        <v>1298</v>
      </c>
      <c r="F2376" s="3" t="s">
        <v>5</v>
      </c>
      <c r="G2376" s="3">
        <v>0.446304062381228</v>
      </c>
      <c r="H2376" s="3">
        <v>0.43142726030185402</v>
      </c>
      <c r="I2376" s="3">
        <v>0.37192005198435701</v>
      </c>
      <c r="J2376" s="3">
        <v>0.29753604158748498</v>
      </c>
      <c r="K2376" s="3">
        <v>0.223152031190614</v>
      </c>
      <c r="L2376" s="3">
        <v>0.14876802079374299</v>
      </c>
      <c r="M2376" s="3">
        <v>7.43840103968713E-2</v>
      </c>
    </row>
    <row r="2377" spans="1:16" x14ac:dyDescent="0.3">
      <c r="A2377" s="3" t="str">
        <f t="shared" si="37"/>
        <v>ELC</v>
      </c>
      <c r="C2377" s="3" t="s">
        <v>850</v>
      </c>
      <c r="D2377" s="3" t="s">
        <v>794</v>
      </c>
      <c r="E2377" s="3" t="s">
        <v>1298</v>
      </c>
      <c r="F2377" s="3" t="s">
        <v>6</v>
      </c>
      <c r="G2377" s="3">
        <v>1.55046136595636</v>
      </c>
      <c r="H2377" s="3">
        <v>1.4987793204244799</v>
      </c>
      <c r="I2377" s="3">
        <v>1.2920511382969699</v>
      </c>
      <c r="J2377" s="3">
        <v>1.0336409106375699</v>
      </c>
      <c r="K2377" s="3">
        <v>0.77523068297817999</v>
      </c>
      <c r="L2377" s="3">
        <v>0.51682045531878695</v>
      </c>
      <c r="M2377" s="3">
        <v>0.25841022765939298</v>
      </c>
    </row>
    <row r="2378" spans="1:16" x14ac:dyDescent="0.3">
      <c r="A2378" s="3" t="str">
        <f t="shared" si="37"/>
        <v>ELC</v>
      </c>
      <c r="C2378" s="3" t="s">
        <v>850</v>
      </c>
      <c r="D2378" s="3" t="s">
        <v>794</v>
      </c>
      <c r="E2378" s="3" t="s">
        <v>1298</v>
      </c>
      <c r="F2378" s="3" t="s">
        <v>7</v>
      </c>
      <c r="G2378" s="3">
        <v>0.71165992508388198</v>
      </c>
      <c r="H2378" s="3">
        <v>0.68793792758108596</v>
      </c>
      <c r="I2378" s="3">
        <v>0.59304993756990199</v>
      </c>
      <c r="J2378" s="3">
        <v>0.47443995005592099</v>
      </c>
      <c r="K2378" s="3">
        <v>0.35582996254194099</v>
      </c>
      <c r="L2378" s="3">
        <v>0.23721997502796099</v>
      </c>
      <c r="M2378" s="3">
        <v>0.11860998751398</v>
      </c>
    </row>
    <row r="2379" spans="1:16" x14ac:dyDescent="0.3">
      <c r="A2379" s="3" t="str">
        <f t="shared" si="37"/>
        <v>ELC</v>
      </c>
      <c r="C2379" s="3" t="s">
        <v>850</v>
      </c>
      <c r="D2379" s="3" t="s">
        <v>794</v>
      </c>
      <c r="E2379" s="3" t="s">
        <v>1298</v>
      </c>
      <c r="F2379" s="3" t="s">
        <v>8</v>
      </c>
      <c r="G2379" s="3">
        <v>0.446243187057767</v>
      </c>
      <c r="H2379" s="3">
        <v>0.43136841415586302</v>
      </c>
      <c r="I2379" s="3">
        <v>0.37186932254815702</v>
      </c>
      <c r="J2379" s="3">
        <v>0.29749545803852601</v>
      </c>
      <c r="L2379" s="3">
        <v>0.148747729019263</v>
      </c>
      <c r="M2379" s="3">
        <v>7.4373864509631502E-2</v>
      </c>
    </row>
    <row r="2380" spans="1:16" x14ac:dyDescent="0.3">
      <c r="A2380" s="3" t="str">
        <f t="shared" si="37"/>
        <v>NGA</v>
      </c>
      <c r="C2380" s="3" t="s">
        <v>850</v>
      </c>
      <c r="D2380" s="3" t="s">
        <v>794</v>
      </c>
      <c r="E2380" s="3" t="s">
        <v>1300</v>
      </c>
      <c r="F2380" s="3" t="s">
        <v>0</v>
      </c>
      <c r="H2380" s="3">
        <v>0.25442584287102299</v>
      </c>
      <c r="I2380" s="3">
        <v>0.25442584287102299</v>
      </c>
      <c r="J2380" s="3">
        <v>0.25442584287102299</v>
      </c>
      <c r="K2380" s="3">
        <v>0.25442584287102299</v>
      </c>
      <c r="L2380" s="3">
        <v>0.25442584287102299</v>
      </c>
      <c r="M2380" s="3">
        <v>0.25442584287102299</v>
      </c>
      <c r="N2380" s="3">
        <v>0.16003427877163101</v>
      </c>
    </row>
    <row r="2381" spans="1:16" x14ac:dyDescent="0.3">
      <c r="A2381" s="3" t="str">
        <f t="shared" si="37"/>
        <v>NGA</v>
      </c>
      <c r="C2381" s="3" t="s">
        <v>850</v>
      </c>
      <c r="D2381" s="3" t="s">
        <v>794</v>
      </c>
      <c r="E2381" s="3" t="s">
        <v>1300</v>
      </c>
      <c r="F2381" s="3" t="s">
        <v>1</v>
      </c>
      <c r="H2381" s="3">
        <v>0.70034874611231002</v>
      </c>
      <c r="I2381" s="3">
        <v>3.5017437305617602</v>
      </c>
      <c r="J2381" s="3">
        <v>3.5017437305617602</v>
      </c>
      <c r="K2381" s="3">
        <v>3.5017437305617602</v>
      </c>
      <c r="L2381" s="3">
        <v>3.5017437305617602</v>
      </c>
      <c r="M2381" s="3">
        <v>3.5017437305617602</v>
      </c>
      <c r="N2381" s="3">
        <v>3.2419155117982261</v>
      </c>
    </row>
    <row r="2382" spans="1:16" x14ac:dyDescent="0.3">
      <c r="A2382" s="3" t="str">
        <f t="shared" si="37"/>
        <v>NGA</v>
      </c>
      <c r="C2382" s="3" t="s">
        <v>850</v>
      </c>
      <c r="D2382" s="3" t="s">
        <v>794</v>
      </c>
      <c r="E2382" s="3" t="s">
        <v>1300</v>
      </c>
      <c r="F2382" s="3" t="s">
        <v>2</v>
      </c>
      <c r="G2382" s="3">
        <v>0.68624095601718704</v>
      </c>
      <c r="H2382" s="3">
        <v>1.7690002639410429</v>
      </c>
      <c r="I2382" s="3">
        <v>6.1000374956365118</v>
      </c>
      <c r="J2382" s="3">
        <v>5.9856640029669848</v>
      </c>
      <c r="K2382" s="3">
        <v>5.8712905102974595</v>
      </c>
      <c r="L2382" s="3">
        <v>5.7569170176279334</v>
      </c>
      <c r="M2382" s="3">
        <v>5.6425435249584064</v>
      </c>
      <c r="N2382" s="3">
        <v>5.1179816567159913</v>
      </c>
    </row>
    <row r="2383" spans="1:16" x14ac:dyDescent="0.3">
      <c r="A2383" s="3" t="str">
        <f t="shared" si="37"/>
        <v>NGA</v>
      </c>
      <c r="C2383" s="3" t="s">
        <v>850</v>
      </c>
      <c r="D2383" s="3" t="s">
        <v>794</v>
      </c>
      <c r="E2383" s="3" t="s">
        <v>1300</v>
      </c>
      <c r="F2383" s="3" t="s">
        <v>3</v>
      </c>
      <c r="G2383" s="3">
        <v>0.46480731675763398</v>
      </c>
      <c r="H2383" s="3">
        <v>1.1981859415650611</v>
      </c>
      <c r="I2383" s="3">
        <v>4.1317004407947682</v>
      </c>
      <c r="J2383" s="3">
        <v>4.054232554668503</v>
      </c>
      <c r="K2383" s="3">
        <v>3.9767646685422369</v>
      </c>
      <c r="L2383" s="3">
        <v>4.9808160254446303</v>
      </c>
      <c r="M2383" s="3">
        <v>8.5852437103884558</v>
      </c>
      <c r="N2383" s="3">
        <v>12.479271322814858</v>
      </c>
      <c r="O2383" s="3">
        <v>14.790307671209991</v>
      </c>
      <c r="P2383" s="3">
        <v>20.982202675489901</v>
      </c>
    </row>
    <row r="2384" spans="1:16" x14ac:dyDescent="0.3">
      <c r="A2384" s="3" t="str">
        <f t="shared" si="37"/>
        <v>NGA</v>
      </c>
      <c r="C2384" s="3" t="s">
        <v>850</v>
      </c>
      <c r="D2384" s="3" t="s">
        <v>794</v>
      </c>
      <c r="E2384" s="3" t="s">
        <v>1300</v>
      </c>
      <c r="F2384" s="3" t="s">
        <v>4</v>
      </c>
      <c r="G2384" s="3">
        <v>1.0571402187179499</v>
      </c>
      <c r="H2384" s="3">
        <v>1.7258295482386059</v>
      </c>
      <c r="I2384" s="3">
        <v>4.400586866321051</v>
      </c>
      <c r="J2384" s="3">
        <v>8.1629196475916963</v>
      </c>
      <c r="K2384" s="3">
        <v>11.317262037877201</v>
      </c>
      <c r="L2384" s="3">
        <v>14.224128366482915</v>
      </c>
      <c r="M2384" s="3">
        <v>17.508858546757672</v>
      </c>
      <c r="N2384" s="3">
        <v>21.065807812131649</v>
      </c>
      <c r="O2384" s="3">
        <v>23.23814330219794</v>
      </c>
      <c r="P2384" s="3">
        <v>25.119898161154861</v>
      </c>
    </row>
    <row r="2385" spans="1:16" x14ac:dyDescent="0.3">
      <c r="A2385" s="3" t="str">
        <f t="shared" si="37"/>
        <v>NGA</v>
      </c>
      <c r="C2385" s="3" t="s">
        <v>850</v>
      </c>
      <c r="D2385" s="3" t="s">
        <v>794</v>
      </c>
      <c r="E2385" s="3" t="s">
        <v>1300</v>
      </c>
      <c r="F2385" s="3" t="s">
        <v>5</v>
      </c>
      <c r="G2385" s="3">
        <v>0.92145168399907196</v>
      </c>
      <c r="H2385" s="3">
        <v>1.5043118361804471</v>
      </c>
      <c r="I2385" s="3">
        <v>3.8357524449058071</v>
      </c>
      <c r="J2385" s="3">
        <v>7.1151734863936849</v>
      </c>
      <c r="K2385" s="3">
        <v>6.9615982057271726</v>
      </c>
      <c r="L2385" s="3">
        <v>9.4953556261972007</v>
      </c>
      <c r="M2385" s="3">
        <v>12.35847643316769</v>
      </c>
      <c r="N2385" s="3">
        <v>15.458875824322188</v>
      </c>
      <c r="O2385" s="3">
        <v>17.352382627005447</v>
      </c>
      <c r="P2385" s="3">
        <v>18.992606083608081</v>
      </c>
    </row>
    <row r="2386" spans="1:16" x14ac:dyDescent="0.3">
      <c r="A2386" s="3" t="str">
        <f t="shared" si="37"/>
        <v>NGA</v>
      </c>
      <c r="C2386" s="3" t="s">
        <v>850</v>
      </c>
      <c r="D2386" s="3" t="s">
        <v>794</v>
      </c>
      <c r="E2386" s="3" t="s">
        <v>1300</v>
      </c>
      <c r="F2386" s="3" t="s">
        <v>6</v>
      </c>
      <c r="G2386" s="3">
        <v>3.2011253247693401</v>
      </c>
      <c r="H2386" s="3">
        <v>5.2259828689534</v>
      </c>
      <c r="I2386" s="3">
        <v>13.325413045689681</v>
      </c>
      <c r="J2386" s="3">
        <v>24.718129483005129</v>
      </c>
      <c r="K2386" s="3">
        <v>34.269790776132169</v>
      </c>
      <c r="L2386" s="3">
        <v>43.072070034321577</v>
      </c>
      <c r="M2386" s="3">
        <v>53.018558474486625</v>
      </c>
      <c r="N2386" s="3">
        <v>63.789353276066322</v>
      </c>
      <c r="O2386" s="3">
        <v>70.367400377121271</v>
      </c>
      <c r="P2386" s="3">
        <v>76.065540536162757</v>
      </c>
    </row>
    <row r="2387" spans="1:16" x14ac:dyDescent="0.3">
      <c r="A2387" s="3" t="str">
        <f t="shared" si="37"/>
        <v>NGA</v>
      </c>
      <c r="C2387" s="3" t="s">
        <v>850</v>
      </c>
      <c r="D2387" s="3" t="s">
        <v>794</v>
      </c>
      <c r="E2387" s="3" t="s">
        <v>1300</v>
      </c>
      <c r="F2387" s="3" t="s">
        <v>7</v>
      </c>
      <c r="G2387" s="3">
        <v>0.70744686578799298</v>
      </c>
      <c r="H2387" s="3">
        <v>1.8348548293103701</v>
      </c>
      <c r="I2387" s="3">
        <v>6.3444866834001052</v>
      </c>
      <c r="J2387" s="3">
        <v>6.2265788724354358</v>
      </c>
      <c r="K2387" s="3">
        <v>6.1086710614707673</v>
      </c>
      <c r="L2387" s="3">
        <v>5.9907632505060979</v>
      </c>
      <c r="M2387" s="3">
        <v>11.531795944445427</v>
      </c>
      <c r="N2387" s="3">
        <v>17.517933266752124</v>
      </c>
      <c r="O2387" s="3">
        <v>21.069912661006878</v>
      </c>
      <c r="P2387" s="3">
        <v>30.586631635100176</v>
      </c>
    </row>
    <row r="2388" spans="1:16" x14ac:dyDescent="0.3">
      <c r="A2388" s="3" t="str">
        <f t="shared" si="37"/>
        <v>NGA</v>
      </c>
      <c r="C2388" s="3" t="s">
        <v>850</v>
      </c>
      <c r="D2388" s="3" t="s">
        <v>794</v>
      </c>
      <c r="E2388" s="3" t="s">
        <v>1300</v>
      </c>
      <c r="F2388" s="3" t="s">
        <v>8</v>
      </c>
      <c r="G2388" s="3">
        <v>0.443601406986739</v>
      </c>
      <c r="H2388" s="3">
        <v>0.42881469342051398</v>
      </c>
      <c r="I2388" s="3">
        <v>0.36966783915561602</v>
      </c>
      <c r="J2388" s="3">
        <v>0.29573427132449298</v>
      </c>
      <c r="K2388" s="3">
        <v>0.221800703493369</v>
      </c>
      <c r="L2388" s="3">
        <v>0.14786713566224599</v>
      </c>
      <c r="M2388" s="3">
        <v>7.3933567831123204E-2</v>
      </c>
    </row>
    <row r="2389" spans="1:16" x14ac:dyDescent="0.3">
      <c r="A2389" s="3" t="str">
        <f t="shared" si="37"/>
        <v>000</v>
      </c>
      <c r="C2389" s="3" t="s">
        <v>850</v>
      </c>
      <c r="D2389" s="3" t="s">
        <v>1245</v>
      </c>
      <c r="E2389" s="3" t="s">
        <v>1549</v>
      </c>
      <c r="F2389" s="3" t="s">
        <v>0</v>
      </c>
      <c r="G2389" s="3">
        <v>56.713225176045697</v>
      </c>
      <c r="H2389" s="3">
        <v>46.131208025430098</v>
      </c>
      <c r="I2389" s="3">
        <v>8.9397107812674701</v>
      </c>
      <c r="J2389" s="3">
        <v>19.3926374619905</v>
      </c>
      <c r="K2389" s="3">
        <v>19.253506022863299</v>
      </c>
      <c r="L2389" s="3">
        <v>20.3490747927268</v>
      </c>
      <c r="M2389" s="3">
        <v>15.3194412142541</v>
      </c>
      <c r="N2389" s="3">
        <v>15.2410160591728</v>
      </c>
      <c r="O2389" s="3">
        <v>26.585043477265899</v>
      </c>
      <c r="P2389" s="3">
        <v>27.2091345247573</v>
      </c>
    </row>
    <row r="2390" spans="1:16" x14ac:dyDescent="0.3">
      <c r="A2390" s="3" t="str">
        <f t="shared" si="37"/>
        <v>000</v>
      </c>
      <c r="C2390" s="3" t="s">
        <v>850</v>
      </c>
      <c r="D2390" s="3" t="s">
        <v>1245</v>
      </c>
      <c r="E2390" s="3" t="s">
        <v>1549</v>
      </c>
      <c r="F2390" s="3" t="s">
        <v>1</v>
      </c>
      <c r="G2390" s="3">
        <v>189.665762806418</v>
      </c>
      <c r="H2390" s="3">
        <v>196.85684649493999</v>
      </c>
      <c r="I2390" s="3">
        <v>147.275252303971</v>
      </c>
      <c r="J2390" s="3">
        <v>120.274952111001</v>
      </c>
      <c r="K2390" s="3">
        <v>91.298209053913396</v>
      </c>
      <c r="L2390" s="3">
        <v>96.275539449123599</v>
      </c>
      <c r="M2390" s="3">
        <v>75.529094580276904</v>
      </c>
      <c r="N2390" s="3">
        <v>56.766929859271897</v>
      </c>
      <c r="O2390" s="3">
        <v>56.857675036452697</v>
      </c>
      <c r="P2390" s="3">
        <v>61.858834903935602</v>
      </c>
    </row>
    <row r="2391" spans="1:16" x14ac:dyDescent="0.3">
      <c r="A2391" s="3" t="str">
        <f t="shared" si="37"/>
        <v>000</v>
      </c>
      <c r="C2391" s="3" t="s">
        <v>850</v>
      </c>
      <c r="D2391" s="3" t="s">
        <v>1245</v>
      </c>
      <c r="E2391" s="3" t="s">
        <v>1549</v>
      </c>
      <c r="F2391" s="3" t="s">
        <v>2</v>
      </c>
      <c r="G2391" s="3">
        <v>543.20647148599699</v>
      </c>
      <c r="H2391" s="3">
        <v>536.720000552957</v>
      </c>
      <c r="I2391" s="3">
        <v>454.84940920184101</v>
      </c>
      <c r="J2391" s="3">
        <v>352.25035616008603</v>
      </c>
      <c r="K2391" s="3">
        <v>361.56051892745</v>
      </c>
      <c r="L2391" s="3">
        <v>356.19978870344897</v>
      </c>
      <c r="M2391" s="3">
        <v>303.17265103645701</v>
      </c>
      <c r="N2391" s="3">
        <v>239.59033703867999</v>
      </c>
      <c r="O2391" s="3">
        <v>157.44571488365901</v>
      </c>
      <c r="P2391" s="3">
        <v>153.07178587993999</v>
      </c>
    </row>
    <row r="2392" spans="1:16" x14ac:dyDescent="0.3">
      <c r="A2392" s="3" t="str">
        <f t="shared" si="37"/>
        <v>000</v>
      </c>
      <c r="C2392" s="3" t="s">
        <v>850</v>
      </c>
      <c r="D2392" s="3" t="s">
        <v>1245</v>
      </c>
      <c r="E2392" s="3" t="s">
        <v>1549</v>
      </c>
      <c r="F2392" s="3" t="s">
        <v>3</v>
      </c>
      <c r="G2392" s="3">
        <v>369.766077100156</v>
      </c>
      <c r="H2392" s="3">
        <v>327.68683413368399</v>
      </c>
      <c r="I2392" s="3">
        <v>313.07209700667198</v>
      </c>
      <c r="J2392" s="3">
        <v>248.87692192621299</v>
      </c>
      <c r="K2392" s="3">
        <v>243.13128636118901</v>
      </c>
      <c r="L2392" s="3">
        <v>246.062541818113</v>
      </c>
      <c r="M2392" s="3">
        <v>217.08081967166601</v>
      </c>
      <c r="N2392" s="3">
        <v>199.28527818127901</v>
      </c>
      <c r="O2392" s="3">
        <v>197.50773180771199</v>
      </c>
      <c r="P2392" s="3">
        <v>204.746687360566</v>
      </c>
    </row>
    <row r="2393" spans="1:16" x14ac:dyDescent="0.3">
      <c r="A2393" s="3" t="str">
        <f t="shared" si="37"/>
        <v>000</v>
      </c>
      <c r="C2393" s="3" t="s">
        <v>850</v>
      </c>
      <c r="D2393" s="3" t="s">
        <v>1245</v>
      </c>
      <c r="E2393" s="3" t="s">
        <v>1549</v>
      </c>
      <c r="F2393" s="3" t="s">
        <v>4</v>
      </c>
      <c r="G2393" s="3">
        <v>260.90701524966801</v>
      </c>
      <c r="H2393" s="3">
        <v>235.43730730836</v>
      </c>
      <c r="I2393" s="3">
        <v>180.685313269239</v>
      </c>
      <c r="J2393" s="3">
        <v>130.168512495957</v>
      </c>
      <c r="K2393" s="3">
        <v>118.24802707562</v>
      </c>
      <c r="L2393" s="3">
        <v>122.29474767289</v>
      </c>
      <c r="M2393" s="3">
        <v>24.386392491047499</v>
      </c>
      <c r="N2393" s="3">
        <v>19.657032177093399</v>
      </c>
      <c r="O2393" s="3">
        <v>19.470274885447498</v>
      </c>
      <c r="P2393" s="3">
        <v>19.459931049847999</v>
      </c>
    </row>
    <row r="2394" spans="1:16" x14ac:dyDescent="0.3">
      <c r="A2394" s="3" t="str">
        <f t="shared" si="37"/>
        <v>000</v>
      </c>
      <c r="C2394" s="3" t="s">
        <v>850</v>
      </c>
      <c r="D2394" s="3" t="s">
        <v>1245</v>
      </c>
      <c r="E2394" s="3" t="s">
        <v>1549</v>
      </c>
      <c r="F2394" s="3" t="s">
        <v>5</v>
      </c>
      <c r="G2394" s="3">
        <v>216.56769635167501</v>
      </c>
      <c r="H2394" s="3">
        <v>318.38550888455302</v>
      </c>
      <c r="I2394" s="3">
        <v>306.91765328120698</v>
      </c>
      <c r="J2394" s="3">
        <v>170.744101495189</v>
      </c>
      <c r="K2394" s="3">
        <v>181.47774862158801</v>
      </c>
      <c r="L2394" s="3">
        <v>188.76753347456199</v>
      </c>
      <c r="M2394" s="3">
        <v>163.72219222573199</v>
      </c>
      <c r="N2394" s="3">
        <v>123.894810365616</v>
      </c>
      <c r="O2394" s="3">
        <v>125.45533459901399</v>
      </c>
      <c r="P2394" s="3">
        <v>128.70354673319099</v>
      </c>
    </row>
    <row r="2395" spans="1:16" x14ac:dyDescent="0.3">
      <c r="A2395" s="3" t="str">
        <f t="shared" si="37"/>
        <v>000</v>
      </c>
      <c r="C2395" s="3" t="s">
        <v>850</v>
      </c>
      <c r="D2395" s="3" t="s">
        <v>1245</v>
      </c>
      <c r="E2395" s="3" t="s">
        <v>1549</v>
      </c>
      <c r="F2395" s="3" t="s">
        <v>6</v>
      </c>
      <c r="G2395" s="3">
        <v>630.48425755975097</v>
      </c>
      <c r="H2395" s="3">
        <v>583.327109453145</v>
      </c>
      <c r="I2395" s="3">
        <v>559.88016922182703</v>
      </c>
      <c r="J2395" s="3">
        <v>511.17833585010197</v>
      </c>
      <c r="K2395" s="3">
        <v>510.97617587679702</v>
      </c>
      <c r="L2395" s="3">
        <v>530.36272288467899</v>
      </c>
      <c r="M2395" s="3">
        <v>479.71840083643002</v>
      </c>
      <c r="N2395" s="3">
        <v>241.02275061175399</v>
      </c>
      <c r="O2395" s="3">
        <v>229.79536833814899</v>
      </c>
      <c r="P2395" s="3">
        <v>241.413202584799</v>
      </c>
    </row>
    <row r="2396" spans="1:16" x14ac:dyDescent="0.3">
      <c r="A2396" s="3" t="str">
        <f t="shared" si="37"/>
        <v>000</v>
      </c>
      <c r="C2396" s="3" t="s">
        <v>850</v>
      </c>
      <c r="D2396" s="3" t="s">
        <v>1245</v>
      </c>
      <c r="E2396" s="3" t="s">
        <v>1549</v>
      </c>
      <c r="F2396" s="3" t="s">
        <v>7</v>
      </c>
      <c r="G2396" s="3">
        <v>282.98602297438703</v>
      </c>
      <c r="H2396" s="3">
        <v>171.92896977743399</v>
      </c>
      <c r="I2396" s="3">
        <v>173.84016774280201</v>
      </c>
      <c r="J2396" s="3">
        <v>143.020403923879</v>
      </c>
      <c r="K2396" s="3">
        <v>142.262745238268</v>
      </c>
      <c r="L2396" s="3">
        <v>143.69419520630299</v>
      </c>
      <c r="M2396" s="3">
        <v>142.43259663203301</v>
      </c>
      <c r="N2396" s="3">
        <v>90.662640063501996</v>
      </c>
      <c r="O2396" s="3">
        <v>57.0599271359658</v>
      </c>
      <c r="P2396" s="3">
        <v>62.761929759137601</v>
      </c>
    </row>
    <row r="2397" spans="1:16" x14ac:dyDescent="0.3">
      <c r="A2397" s="3" t="str">
        <f t="shared" si="37"/>
        <v>000</v>
      </c>
      <c r="C2397" s="3" t="s">
        <v>850</v>
      </c>
      <c r="D2397" s="3" t="s">
        <v>1245</v>
      </c>
      <c r="E2397" s="3" t="s">
        <v>1549</v>
      </c>
      <c r="F2397" s="3" t="s">
        <v>8</v>
      </c>
      <c r="G2397" s="3">
        <v>163.56332744527001</v>
      </c>
      <c r="H2397" s="3">
        <v>152.45450335804</v>
      </c>
      <c r="I2397" s="3">
        <v>129.11198229036501</v>
      </c>
      <c r="J2397" s="3">
        <v>95.8490494785257</v>
      </c>
      <c r="K2397" s="3">
        <v>70.539244577322506</v>
      </c>
      <c r="L2397" s="3">
        <v>67.787830804126301</v>
      </c>
      <c r="M2397" s="3">
        <v>42.261797112367702</v>
      </c>
      <c r="N2397" s="3">
        <v>21.085450136202301</v>
      </c>
      <c r="O2397" s="3">
        <v>14.7264199663638</v>
      </c>
      <c r="P2397" s="3">
        <v>14.9632310654319</v>
      </c>
    </row>
    <row r="2398" spans="1:16" x14ac:dyDescent="0.3">
      <c r="A2398" s="3" t="str">
        <f t="shared" si="37"/>
        <v>LC0</v>
      </c>
      <c r="C2398" s="3" t="s">
        <v>850</v>
      </c>
      <c r="D2398" s="3" t="s">
        <v>1119</v>
      </c>
      <c r="E2398" s="3" t="s">
        <v>1120</v>
      </c>
      <c r="F2398" s="3" t="s">
        <v>2</v>
      </c>
      <c r="H2398" s="3">
        <v>8.9378352094961505E-2</v>
      </c>
      <c r="I2398" s="3">
        <v>9.6522508954269504E-2</v>
      </c>
      <c r="J2398" s="3">
        <v>0.13601024030294501</v>
      </c>
      <c r="K2398" s="3">
        <v>0.15857494286576099</v>
      </c>
      <c r="L2398" s="3">
        <v>0.15857494286576099</v>
      </c>
      <c r="M2398" s="3">
        <v>2.0418127159059498</v>
      </c>
      <c r="N2398" s="3">
        <v>2.1326558714402202</v>
      </c>
      <c r="O2398" s="3">
        <v>2.1699602446275601</v>
      </c>
      <c r="P2398" s="3">
        <v>2.2067781645912801</v>
      </c>
    </row>
    <row r="2399" spans="1:16" x14ac:dyDescent="0.3">
      <c r="A2399" s="3" t="str">
        <f t="shared" ref="A2399:A2462" si="38">RIGHT(E2399,3)</f>
        <v>LC0</v>
      </c>
      <c r="C2399" s="3" t="s">
        <v>850</v>
      </c>
      <c r="D2399" s="3" t="s">
        <v>1119</v>
      </c>
      <c r="E2399" s="3" t="s">
        <v>1120</v>
      </c>
      <c r="F2399" s="3" t="s">
        <v>3</v>
      </c>
      <c r="H2399" s="3">
        <v>0.93644348311071002</v>
      </c>
      <c r="I2399" s="3">
        <v>1.0112949317714699</v>
      </c>
      <c r="J2399" s="3">
        <v>1.42501959571477</v>
      </c>
      <c r="K2399" s="3">
        <v>1.66143667175159</v>
      </c>
      <c r="L2399" s="3">
        <v>1.6878344390104301</v>
      </c>
      <c r="M2399" s="3">
        <v>4.0011491043143401</v>
      </c>
      <c r="N2399" s="3">
        <v>4.1748219338308301</v>
      </c>
      <c r="O2399" s="3">
        <v>4.0929088295225302</v>
      </c>
      <c r="P2399" s="3">
        <v>4.1600505661291196</v>
      </c>
    </row>
    <row r="2400" spans="1:16" x14ac:dyDescent="0.3">
      <c r="A2400" s="3" t="str">
        <f t="shared" si="38"/>
        <v>LC0</v>
      </c>
      <c r="C2400" s="3" t="s">
        <v>850</v>
      </c>
      <c r="D2400" s="3" t="s">
        <v>1119</v>
      </c>
      <c r="E2400" s="3" t="s">
        <v>1120</v>
      </c>
      <c r="F2400" s="3" t="s">
        <v>4</v>
      </c>
      <c r="H2400" s="3">
        <v>8.8975607354152206E-2</v>
      </c>
      <c r="I2400" s="3">
        <v>9.6087572172153204E-2</v>
      </c>
      <c r="J2400" s="3">
        <v>0.13539736920279299</v>
      </c>
      <c r="K2400" s="3">
        <v>0.15786039372979699</v>
      </c>
      <c r="L2400" s="3">
        <v>0.15786039372979699</v>
      </c>
      <c r="M2400" s="3">
        <v>5.3204412011303797</v>
      </c>
      <c r="N2400" s="3">
        <v>5.4003218242411801</v>
      </c>
      <c r="O2400" s="3">
        <v>5.4257405922438497</v>
      </c>
      <c r="P2400" s="3">
        <v>5.47349741035777</v>
      </c>
    </row>
    <row r="2401" spans="1:16" x14ac:dyDescent="0.3">
      <c r="A2401" s="3" t="str">
        <f t="shared" si="38"/>
        <v>LC0</v>
      </c>
      <c r="C2401" s="3" t="s">
        <v>850</v>
      </c>
      <c r="D2401" s="3" t="s">
        <v>1119</v>
      </c>
      <c r="E2401" s="3" t="s">
        <v>1120</v>
      </c>
      <c r="F2401" s="3" t="s">
        <v>5</v>
      </c>
      <c r="G2401" s="3">
        <v>0.56340047205543997</v>
      </c>
      <c r="H2401" s="3">
        <v>0.67216675830671002</v>
      </c>
      <c r="I2401" s="3">
        <v>0.72589413909186595</v>
      </c>
      <c r="J2401" s="3">
        <v>1.84070928838228</v>
      </c>
      <c r="K2401" s="3">
        <v>2.0104063416205</v>
      </c>
      <c r="L2401" s="3">
        <v>2.0220675466771798</v>
      </c>
      <c r="M2401" s="3">
        <v>4.6375394839722199</v>
      </c>
      <c r="N2401" s="3">
        <v>4.8497054047412398</v>
      </c>
      <c r="O2401" s="3">
        <v>4.7645314754069803</v>
      </c>
      <c r="P2401" s="3">
        <v>4.8426674247587203</v>
      </c>
    </row>
    <row r="2402" spans="1:16" x14ac:dyDescent="0.3">
      <c r="A2402" s="3" t="str">
        <f t="shared" si="38"/>
        <v>LC0</v>
      </c>
      <c r="C2402" s="3" t="s">
        <v>850</v>
      </c>
      <c r="D2402" s="3" t="s">
        <v>1119</v>
      </c>
      <c r="E2402" s="3" t="s">
        <v>1120</v>
      </c>
      <c r="F2402" s="3" t="s">
        <v>6</v>
      </c>
      <c r="G2402" s="3">
        <v>0.44029901281133499</v>
      </c>
      <c r="H2402" s="3">
        <v>1.00387199756345</v>
      </c>
      <c r="I2402" s="3">
        <v>1.0859960222924101</v>
      </c>
      <c r="J2402" s="3">
        <v>1.5302811909915499</v>
      </c>
      <c r="K2402" s="3">
        <v>1.78416163290007</v>
      </c>
      <c r="L2402" s="3">
        <v>1.78416163290007</v>
      </c>
      <c r="M2402" s="3">
        <v>16.110823111563398</v>
      </c>
      <c r="N2402" s="3">
        <v>16.878598266326701</v>
      </c>
      <c r="O2402" s="3">
        <v>16.5469837786233</v>
      </c>
      <c r="P2402" s="3">
        <v>16.818428251066202</v>
      </c>
    </row>
    <row r="2403" spans="1:16" x14ac:dyDescent="0.3">
      <c r="A2403" s="3" t="str">
        <f t="shared" si="38"/>
        <v>LC0</v>
      </c>
      <c r="C2403" s="3" t="s">
        <v>850</v>
      </c>
      <c r="D2403" s="3" t="s">
        <v>1119</v>
      </c>
      <c r="E2403" s="3" t="s">
        <v>1120</v>
      </c>
      <c r="F2403" s="3" t="s">
        <v>7</v>
      </c>
      <c r="H2403" s="3">
        <v>0.12200067610050599</v>
      </c>
      <c r="I2403" s="3">
        <v>0.131752388305689</v>
      </c>
      <c r="J2403" s="3">
        <v>0.18565279941525001</v>
      </c>
      <c r="K2403" s="3">
        <v>0.216453422878809</v>
      </c>
      <c r="L2403" s="3">
        <v>0.216453422878809</v>
      </c>
      <c r="M2403" s="3">
        <v>2.7870566638605299</v>
      </c>
      <c r="N2403" s="3">
        <v>2.9110567839624202</v>
      </c>
      <c r="O2403" s="3">
        <v>2.9110567839624202</v>
      </c>
      <c r="P2403" s="3">
        <v>2.9388040066905901</v>
      </c>
    </row>
    <row r="2404" spans="1:16" x14ac:dyDescent="0.3">
      <c r="A2404" s="3" t="str">
        <f t="shared" si="38"/>
        <v>C00</v>
      </c>
      <c r="C2404" s="3" t="s">
        <v>850</v>
      </c>
      <c r="D2404" s="3" t="s">
        <v>1119</v>
      </c>
      <c r="E2404" s="3" t="s">
        <v>1121</v>
      </c>
      <c r="F2404" s="3" t="s">
        <v>2</v>
      </c>
      <c r="G2404" s="3">
        <v>3.04779519090782</v>
      </c>
      <c r="H2404" s="3">
        <v>3.3886149067755702</v>
      </c>
      <c r="I2404" s="3">
        <v>3.0756129220949799</v>
      </c>
      <c r="J2404" s="3">
        <v>4.2561525059996503</v>
      </c>
      <c r="K2404" s="3">
        <v>5.0053564360378804</v>
      </c>
      <c r="L2404" s="3">
        <v>5.4845179037170997</v>
      </c>
      <c r="M2404" s="3">
        <v>3.8654789456490199</v>
      </c>
      <c r="N2404" s="3">
        <v>3.8391402012589002</v>
      </c>
      <c r="O2404" s="3">
        <v>3.8299444674955798</v>
      </c>
      <c r="P2404" s="3">
        <v>3.8459370999654299</v>
      </c>
    </row>
    <row r="2405" spans="1:16" x14ac:dyDescent="0.3">
      <c r="A2405" s="3" t="str">
        <f t="shared" si="38"/>
        <v>C00</v>
      </c>
      <c r="C2405" s="3" t="s">
        <v>850</v>
      </c>
      <c r="D2405" s="3" t="s">
        <v>1119</v>
      </c>
      <c r="E2405" s="3" t="s">
        <v>1121</v>
      </c>
      <c r="F2405" s="3" t="s">
        <v>3</v>
      </c>
      <c r="G2405" s="3">
        <v>2.0643441524308299</v>
      </c>
      <c r="H2405" s="3">
        <v>1.04152718193369</v>
      </c>
      <c r="I2405" s="3">
        <v>1.1372678218348999</v>
      </c>
      <c r="J2405" s="3">
        <v>1.5498966679839099</v>
      </c>
      <c r="K2405" s="3">
        <v>1.8362168377083199</v>
      </c>
      <c r="L2405" s="3">
        <v>2.1343665258771498</v>
      </c>
    </row>
    <row r="2406" spans="1:16" x14ac:dyDescent="0.3">
      <c r="A2406" s="3" t="str">
        <f t="shared" si="38"/>
        <v>C00</v>
      </c>
      <c r="C2406" s="3" t="s">
        <v>850</v>
      </c>
      <c r="D2406" s="3" t="s">
        <v>1119</v>
      </c>
      <c r="E2406" s="3" t="s">
        <v>1121</v>
      </c>
      <c r="F2406" s="3" t="s">
        <v>4</v>
      </c>
      <c r="G2406" s="3">
        <v>2.60837023827087</v>
      </c>
      <c r="H2406" s="3">
        <v>5.4654706753248998</v>
      </c>
      <c r="I2406" s="3">
        <v>2.65704759445816</v>
      </c>
      <c r="J2406" s="3">
        <v>3.7502590067899999</v>
      </c>
      <c r="K2406" s="3">
        <v>4.4472587954120302</v>
      </c>
      <c r="L2406" s="3">
        <v>4.9021156442213503</v>
      </c>
    </row>
    <row r="2407" spans="1:16" x14ac:dyDescent="0.3">
      <c r="A2407" s="3" t="str">
        <f t="shared" si="38"/>
        <v>C00</v>
      </c>
      <c r="C2407" s="3" t="s">
        <v>850</v>
      </c>
      <c r="D2407" s="3" t="s">
        <v>1119</v>
      </c>
      <c r="E2407" s="3" t="s">
        <v>1121</v>
      </c>
      <c r="F2407" s="3" t="s">
        <v>5</v>
      </c>
      <c r="G2407" s="3">
        <v>1.7101741266506301</v>
      </c>
      <c r="H2407" s="3">
        <v>4.4901430375990401</v>
      </c>
      <c r="I2407" s="3">
        <v>4.5425690450540097</v>
      </c>
      <c r="J2407" s="3">
        <v>1.54620622926062</v>
      </c>
      <c r="K2407" s="3">
        <v>2.0036258148679602</v>
      </c>
      <c r="L2407" s="3">
        <v>2.3884386081443898</v>
      </c>
    </row>
    <row r="2408" spans="1:16" x14ac:dyDescent="0.3">
      <c r="A2408" s="3" t="str">
        <f t="shared" si="38"/>
        <v>C00</v>
      </c>
      <c r="C2408" s="3" t="s">
        <v>850</v>
      </c>
      <c r="D2408" s="3" t="s">
        <v>1119</v>
      </c>
      <c r="E2408" s="3" t="s">
        <v>1121</v>
      </c>
      <c r="F2408" s="3" t="s">
        <v>6</v>
      </c>
      <c r="G2408" s="3">
        <v>7.4581045085583497</v>
      </c>
      <c r="H2408" s="3">
        <v>6.5730173750715997</v>
      </c>
      <c r="I2408" s="3">
        <v>7.2507700456009898</v>
      </c>
      <c r="J2408" s="3">
        <v>10.235871310165299</v>
      </c>
      <c r="K2408" s="3">
        <v>12.1605955515543</v>
      </c>
      <c r="L2408" s="3">
        <v>13.537947157412299</v>
      </c>
    </row>
    <row r="2409" spans="1:16" x14ac:dyDescent="0.3">
      <c r="A2409" s="3" t="str">
        <f t="shared" si="38"/>
        <v>C00</v>
      </c>
      <c r="C2409" s="3" t="s">
        <v>850</v>
      </c>
      <c r="D2409" s="3" t="s">
        <v>1119</v>
      </c>
      <c r="E2409" s="3" t="s">
        <v>1121</v>
      </c>
      <c r="F2409" s="3" t="s">
        <v>7</v>
      </c>
      <c r="G2409" s="3">
        <v>1.57098839443038</v>
      </c>
      <c r="H2409" s="3">
        <v>1.2824029766604199</v>
      </c>
      <c r="I2409" s="3">
        <v>1.4736288072025701</v>
      </c>
      <c r="J2409" s="3">
        <v>1.98014205965844</v>
      </c>
      <c r="K2409" s="3">
        <v>2.3014885350158898</v>
      </c>
      <c r="L2409" s="3">
        <v>2.5137964882519701</v>
      </c>
      <c r="M2409" s="3">
        <v>5.27689461705112E-2</v>
      </c>
    </row>
    <row r="2410" spans="1:16" x14ac:dyDescent="0.3">
      <c r="A2410" s="3" t="str">
        <f t="shared" si="38"/>
        <v>C00</v>
      </c>
      <c r="C2410" s="3" t="s">
        <v>850</v>
      </c>
      <c r="D2410" s="3" t="s">
        <v>1119</v>
      </c>
      <c r="E2410" s="3" t="s">
        <v>1121</v>
      </c>
      <c r="F2410" s="3" t="s">
        <v>8</v>
      </c>
      <c r="G2410" s="3">
        <v>0.98508127723895</v>
      </c>
      <c r="H2410" s="3">
        <v>0.88062505676397196</v>
      </c>
      <c r="I2410" s="3">
        <v>0.95534081348352695</v>
      </c>
      <c r="J2410" s="3">
        <v>1.35805202226682</v>
      </c>
      <c r="L2410" s="3">
        <v>0.14676234123523599</v>
      </c>
      <c r="M2410" s="3">
        <v>0.22901691373820199</v>
      </c>
    </row>
    <row r="2411" spans="1:16" x14ac:dyDescent="0.3">
      <c r="A2411" s="3" t="str">
        <f t="shared" si="38"/>
        <v>LC0</v>
      </c>
      <c r="C2411" s="3" t="s">
        <v>850</v>
      </c>
      <c r="D2411" s="3" t="s">
        <v>1122</v>
      </c>
      <c r="E2411" s="3" t="s">
        <v>1123</v>
      </c>
      <c r="F2411" s="3" t="s">
        <v>0</v>
      </c>
      <c r="G2411" s="3">
        <v>1.1512819956243101</v>
      </c>
      <c r="H2411" s="3">
        <v>1.2202958598089999</v>
      </c>
      <c r="I2411" s="3">
        <v>3.51057609498887</v>
      </c>
      <c r="J2411" s="3">
        <v>2.3592940993645501</v>
      </c>
      <c r="K2411" s="3">
        <v>2.3592940993645501</v>
      </c>
      <c r="L2411" s="3">
        <v>2.3592940993645501</v>
      </c>
      <c r="M2411" s="3">
        <v>2.4661227445951002</v>
      </c>
      <c r="N2411" s="3">
        <v>2.5758440575777501</v>
      </c>
      <c r="O2411" s="3">
        <v>2.6209006695155099</v>
      </c>
      <c r="P2411" s="3">
        <v>2.6653697381641099</v>
      </c>
    </row>
    <row r="2412" spans="1:16" x14ac:dyDescent="0.3">
      <c r="A2412" s="3" t="str">
        <f t="shared" si="38"/>
        <v>LC0</v>
      </c>
      <c r="C2412" s="3" t="s">
        <v>850</v>
      </c>
      <c r="D2412" s="3" t="s">
        <v>1122</v>
      </c>
      <c r="E2412" s="3" t="s">
        <v>1123</v>
      </c>
      <c r="F2412" s="3" t="s">
        <v>1</v>
      </c>
      <c r="G2412" s="3">
        <v>1.132883082952</v>
      </c>
      <c r="H2412" s="3">
        <v>0.163666501436561</v>
      </c>
      <c r="I2412" s="3">
        <v>0.16320485477479699</v>
      </c>
      <c r="J2412" s="3">
        <v>0.861900163463869</v>
      </c>
      <c r="K2412" s="3">
        <v>2.3629915563712101</v>
      </c>
      <c r="L2412" s="3">
        <v>2.5654212467249802</v>
      </c>
      <c r="M2412" s="3">
        <v>2.6820169462475598</v>
      </c>
      <c r="N2412" s="3">
        <v>2.8113465176521002</v>
      </c>
      <c r="O2412" s="3">
        <v>2.8605225338382398</v>
      </c>
      <c r="P2412" s="3">
        <v>2.9090572892403399</v>
      </c>
    </row>
    <row r="2413" spans="1:16" x14ac:dyDescent="0.3">
      <c r="A2413" s="3" t="str">
        <f t="shared" si="38"/>
        <v>LC0</v>
      </c>
      <c r="C2413" s="3" t="s">
        <v>850</v>
      </c>
      <c r="D2413" s="3" t="s">
        <v>1122</v>
      </c>
      <c r="E2413" s="3" t="s">
        <v>1123</v>
      </c>
      <c r="F2413" s="3" t="s">
        <v>2</v>
      </c>
      <c r="G2413" s="3">
        <v>5.7324225411447299E-2</v>
      </c>
      <c r="H2413" s="3">
        <v>0.21885013507654999</v>
      </c>
      <c r="I2413" s="3">
        <v>5.9197545232422003E-2</v>
      </c>
      <c r="J2413" s="3">
        <v>2.5898290848818801</v>
      </c>
      <c r="K2413" s="3">
        <v>3.0627104888278698</v>
      </c>
      <c r="L2413" s="3">
        <v>3.36086682321258</v>
      </c>
      <c r="M2413" s="3">
        <v>3.5248417888845802</v>
      </c>
      <c r="N2413" s="3">
        <v>3.6932568098837502</v>
      </c>
      <c r="O2413" s="3">
        <v>3.7624157548450601</v>
      </c>
      <c r="P2413" s="3">
        <v>3.8306728593827399</v>
      </c>
    </row>
    <row r="2414" spans="1:16" x14ac:dyDescent="0.3">
      <c r="A2414" s="3" t="str">
        <f t="shared" si="38"/>
        <v>LC0</v>
      </c>
      <c r="C2414" s="3" t="s">
        <v>850</v>
      </c>
      <c r="D2414" s="3" t="s">
        <v>1122</v>
      </c>
      <c r="E2414" s="3" t="s">
        <v>1123</v>
      </c>
      <c r="F2414" s="3" t="s">
        <v>3</v>
      </c>
      <c r="G2414" s="3">
        <v>0.124247264874307</v>
      </c>
      <c r="H2414" s="3">
        <v>1.95114410879536E-2</v>
      </c>
      <c r="I2414" s="3">
        <v>0.14316670182691499</v>
      </c>
      <c r="J2414" s="3">
        <v>2.3654030123541299</v>
      </c>
      <c r="K2414" s="3">
        <v>2.7578338712076702</v>
      </c>
      <c r="L2414" s="3">
        <v>3.0052653527564299</v>
      </c>
      <c r="M2414" s="3">
        <v>3.1413435238838501</v>
      </c>
      <c r="N2414" s="3">
        <v>3.28110637093818</v>
      </c>
      <c r="O2414" s="3">
        <v>3.3384994169368198</v>
      </c>
      <c r="P2414" s="3">
        <v>3.3951440511581299</v>
      </c>
    </row>
    <row r="2415" spans="1:16" x14ac:dyDescent="0.3">
      <c r="A2415" s="3" t="str">
        <f t="shared" si="38"/>
        <v>LC0</v>
      </c>
      <c r="C2415" s="3" t="s">
        <v>850</v>
      </c>
      <c r="D2415" s="3" t="s">
        <v>1122</v>
      </c>
      <c r="E2415" s="3" t="s">
        <v>1123</v>
      </c>
      <c r="F2415" s="3" t="s">
        <v>4</v>
      </c>
      <c r="G2415" s="3">
        <v>1.77704332989875</v>
      </c>
      <c r="H2415" s="3">
        <v>1.72645830273304</v>
      </c>
      <c r="I2415" s="3">
        <v>4.26734716254317</v>
      </c>
      <c r="J2415" s="3">
        <v>23.3162549680928</v>
      </c>
      <c r="K2415" s="3">
        <v>27.184525159086601</v>
      </c>
      <c r="L2415" s="3">
        <v>29.6235072187153</v>
      </c>
      <c r="M2415" s="3">
        <v>65.743004349618005</v>
      </c>
      <c r="N2415" s="3">
        <v>67.479856887679603</v>
      </c>
      <c r="O2415" s="3">
        <v>67.828108920282702</v>
      </c>
      <c r="P2415" s="3">
        <v>67.9881839635717</v>
      </c>
    </row>
    <row r="2416" spans="1:16" x14ac:dyDescent="0.3">
      <c r="A2416" s="3" t="str">
        <f t="shared" si="38"/>
        <v>LC0</v>
      </c>
      <c r="C2416" s="3" t="s">
        <v>850</v>
      </c>
      <c r="D2416" s="3" t="s">
        <v>1122</v>
      </c>
      <c r="E2416" s="3" t="s">
        <v>1123</v>
      </c>
      <c r="F2416" s="3" t="s">
        <v>5</v>
      </c>
      <c r="G2416" s="3">
        <v>7.4031355046279806E-2</v>
      </c>
      <c r="H2416" s="3">
        <v>7.9615209970839207E-2</v>
      </c>
      <c r="I2416" s="3">
        <v>0.192044832944404</v>
      </c>
      <c r="J2416" s="3">
        <v>3.1632318486008799</v>
      </c>
      <c r="K2416" s="3">
        <v>3.68802605263964</v>
      </c>
      <c r="L2416" s="3">
        <v>4.0189139134792997</v>
      </c>
      <c r="M2416" s="3">
        <v>4.2008900091219701</v>
      </c>
      <c r="N2416" s="3">
        <v>4.3877935882348398</v>
      </c>
      <c r="O2416" s="3">
        <v>4.4645447845607604</v>
      </c>
      <c r="P2416" s="3">
        <v>4.5402951366510198</v>
      </c>
    </row>
    <row r="2417" spans="1:16" x14ac:dyDescent="0.3">
      <c r="A2417" s="3" t="str">
        <f t="shared" si="38"/>
        <v>LC0</v>
      </c>
      <c r="C2417" s="3" t="s">
        <v>850</v>
      </c>
      <c r="D2417" s="3" t="s">
        <v>1122</v>
      </c>
      <c r="E2417" s="3" t="s">
        <v>1123</v>
      </c>
      <c r="F2417" s="3" t="s">
        <v>6</v>
      </c>
      <c r="G2417" s="3">
        <v>15.6272985688578</v>
      </c>
      <c r="H2417" s="3">
        <v>7.9612064939636404</v>
      </c>
      <c r="I2417" s="3">
        <v>13.3633695843611</v>
      </c>
      <c r="J2417" s="3">
        <v>48.150158500945203</v>
      </c>
      <c r="K2417" s="3">
        <v>58.263479614661698</v>
      </c>
      <c r="L2417" s="3">
        <v>64.391390810471805</v>
      </c>
      <c r="M2417" s="3">
        <v>76.704976634443696</v>
      </c>
      <c r="N2417" s="3">
        <v>186.59689247358301</v>
      </c>
      <c r="O2417" s="3">
        <v>205.39028778738</v>
      </c>
      <c r="P2417" s="3">
        <v>205.87501087885099</v>
      </c>
    </row>
    <row r="2418" spans="1:16" x14ac:dyDescent="0.3">
      <c r="A2418" s="3" t="str">
        <f t="shared" si="38"/>
        <v>LC0</v>
      </c>
      <c r="C2418" s="3" t="s">
        <v>850</v>
      </c>
      <c r="D2418" s="3" t="s">
        <v>1122</v>
      </c>
      <c r="E2418" s="3" t="s">
        <v>1123</v>
      </c>
      <c r="F2418" s="3" t="s">
        <v>7</v>
      </c>
      <c r="H2418" s="3">
        <v>0.25416604688411698</v>
      </c>
      <c r="I2418" s="3">
        <v>0.57331110904514104</v>
      </c>
      <c r="J2418" s="3">
        <v>3.15564006714777</v>
      </c>
      <c r="K2418" s="3">
        <v>3.67917476094649</v>
      </c>
      <c r="L2418" s="3">
        <v>3.7197425949444201</v>
      </c>
      <c r="M2418" s="3">
        <v>3.74205340447635</v>
      </c>
      <c r="N2418" s="3">
        <v>4.3772628489221503</v>
      </c>
      <c r="O2418" s="3">
        <v>4.4538298417698998</v>
      </c>
      <c r="P2418" s="3">
        <v>4.5293983924160797</v>
      </c>
    </row>
    <row r="2419" spans="1:16" x14ac:dyDescent="0.3">
      <c r="A2419" s="3" t="str">
        <f t="shared" si="38"/>
        <v>LC0</v>
      </c>
      <c r="C2419" s="3" t="s">
        <v>850</v>
      </c>
      <c r="D2419" s="3" t="s">
        <v>1122</v>
      </c>
      <c r="E2419" s="3" t="s">
        <v>1123</v>
      </c>
      <c r="F2419" s="3" t="s">
        <v>8</v>
      </c>
      <c r="G2419" s="3">
        <v>0.45233148321025302</v>
      </c>
      <c r="H2419" s="3">
        <v>0.313836826497357</v>
      </c>
      <c r="I2419" s="3">
        <v>0.51114841102474395</v>
      </c>
      <c r="J2419" s="3">
        <v>0.34486572889887901</v>
      </c>
      <c r="K2419" s="3">
        <v>0.97253430188754697</v>
      </c>
      <c r="L2419" s="3">
        <v>0.97253430188754697</v>
      </c>
      <c r="M2419" s="3">
        <v>0.97253430188754697</v>
      </c>
      <c r="N2419" s="3">
        <v>1.0158037379923099</v>
      </c>
      <c r="O2419" s="3">
        <v>7.7802051179063598</v>
      </c>
      <c r="P2419" s="3">
        <v>7.7802051179063598</v>
      </c>
    </row>
    <row r="2420" spans="1:16" x14ac:dyDescent="0.3">
      <c r="A2420" s="3" t="str">
        <f t="shared" si="38"/>
        <v>C00</v>
      </c>
      <c r="C2420" s="3" t="s">
        <v>850</v>
      </c>
      <c r="D2420" s="3" t="s">
        <v>1122</v>
      </c>
      <c r="E2420" s="3" t="s">
        <v>1124</v>
      </c>
      <c r="F2420" s="3" t="s">
        <v>0</v>
      </c>
      <c r="G2420" s="3">
        <v>4.6383636435875601</v>
      </c>
      <c r="H2420" s="3">
        <v>4.2431515042501999</v>
      </c>
      <c r="J2420" s="3">
        <v>3.7695004219553701</v>
      </c>
      <c r="K2420" s="3">
        <v>5.0311526859481699</v>
      </c>
      <c r="L2420" s="3">
        <v>5.86196049070508</v>
      </c>
      <c r="M2420" s="3">
        <v>6.1851843729968401</v>
      </c>
      <c r="N2420" s="3">
        <v>6.6247744497079104</v>
      </c>
      <c r="O2420" s="3">
        <v>9.1827263838831392</v>
      </c>
      <c r="P2420" s="3">
        <v>9.3279297738503502</v>
      </c>
    </row>
    <row r="2421" spans="1:16" x14ac:dyDescent="0.3">
      <c r="A2421" s="3" t="str">
        <f t="shared" si="38"/>
        <v>C00</v>
      </c>
      <c r="C2421" s="3" t="s">
        <v>850</v>
      </c>
      <c r="D2421" s="3" t="s">
        <v>1122</v>
      </c>
      <c r="E2421" s="3" t="s">
        <v>1124</v>
      </c>
      <c r="F2421" s="3" t="s">
        <v>1</v>
      </c>
      <c r="G2421" s="3">
        <v>14.804063487025401</v>
      </c>
      <c r="H2421" s="3">
        <v>17.4099627283872</v>
      </c>
      <c r="I2421" s="3">
        <v>17.7338608775969</v>
      </c>
      <c r="J2421" s="3">
        <v>23.8991015996227</v>
      </c>
      <c r="K2421" s="3">
        <v>26.3934123536702</v>
      </c>
      <c r="L2421" s="3">
        <v>28.594339678436199</v>
      </c>
      <c r="M2421" s="3">
        <v>29.7191092339731</v>
      </c>
      <c r="N2421" s="3">
        <v>30.145997834291698</v>
      </c>
      <c r="O2421" s="3">
        <v>30.269007173284798</v>
      </c>
      <c r="P2421" s="3">
        <v>30.2721898137384</v>
      </c>
    </row>
    <row r="2422" spans="1:16" x14ac:dyDescent="0.3">
      <c r="A2422" s="3" t="str">
        <f t="shared" si="38"/>
        <v>C00</v>
      </c>
      <c r="C2422" s="3" t="s">
        <v>850</v>
      </c>
      <c r="D2422" s="3" t="s">
        <v>1122</v>
      </c>
      <c r="E2422" s="3" t="s">
        <v>1124</v>
      </c>
      <c r="F2422" s="3" t="s">
        <v>2</v>
      </c>
      <c r="G2422" s="3">
        <v>28.1347812904859</v>
      </c>
      <c r="H2422" s="3">
        <v>38.101591797587297</v>
      </c>
      <c r="I2422" s="3">
        <v>39.072147429438502</v>
      </c>
      <c r="J2422" s="3">
        <v>51.898617857986103</v>
      </c>
      <c r="K2422" s="3">
        <v>60.059920700606398</v>
      </c>
      <c r="L2422" s="3">
        <v>64.929287186891898</v>
      </c>
      <c r="M2422" s="3">
        <v>67.450595467724199</v>
      </c>
      <c r="N2422" s="3">
        <v>68.720844542230395</v>
      </c>
      <c r="O2422" s="3">
        <v>69.018054832386099</v>
      </c>
      <c r="P2422" s="3">
        <v>69.134983644000002</v>
      </c>
    </row>
    <row r="2423" spans="1:16" x14ac:dyDescent="0.3">
      <c r="A2423" s="3" t="str">
        <f t="shared" si="38"/>
        <v>C00</v>
      </c>
      <c r="C2423" s="3" t="s">
        <v>850</v>
      </c>
      <c r="D2423" s="3" t="s">
        <v>1122</v>
      </c>
      <c r="E2423" s="3" t="s">
        <v>1124</v>
      </c>
      <c r="F2423" s="3" t="s">
        <v>3</v>
      </c>
      <c r="G2423" s="3">
        <v>18.970936145110901</v>
      </c>
      <c r="H2423" s="3">
        <v>24.517453520169301</v>
      </c>
      <c r="I2423" s="3">
        <v>26.361423703788301</v>
      </c>
      <c r="J2423" s="3">
        <v>34.540917713233299</v>
      </c>
      <c r="K2423" s="3">
        <v>39.996625145818101</v>
      </c>
      <c r="L2423" s="3">
        <v>43.249279742634101</v>
      </c>
      <c r="M2423" s="3">
        <v>44.9320077642844</v>
      </c>
      <c r="N2423" s="3">
        <v>45.766686317271798</v>
      </c>
      <c r="O2423" s="3">
        <v>45.957443865644002</v>
      </c>
      <c r="P2423" s="3">
        <v>46.026230055731801</v>
      </c>
    </row>
    <row r="2424" spans="1:16" x14ac:dyDescent="0.3">
      <c r="A2424" s="3" t="str">
        <f t="shared" si="38"/>
        <v>C00</v>
      </c>
      <c r="C2424" s="3" t="s">
        <v>850</v>
      </c>
      <c r="D2424" s="3" t="s">
        <v>1122</v>
      </c>
      <c r="E2424" s="3" t="s">
        <v>1124</v>
      </c>
      <c r="F2424" s="3" t="s">
        <v>4</v>
      </c>
      <c r="G2424" s="3">
        <v>27.1684369446326</v>
      </c>
      <c r="H2424" s="3">
        <v>30.1266922105916</v>
      </c>
      <c r="I2424" s="3">
        <v>29.499938330326501</v>
      </c>
      <c r="J2424" s="3">
        <v>25.162044294731899</v>
      </c>
      <c r="K2424" s="3">
        <v>30.053366177604499</v>
      </c>
      <c r="L2424" s="3">
        <v>33.110530786314399</v>
      </c>
    </row>
    <row r="2425" spans="1:16" x14ac:dyDescent="0.3">
      <c r="A2425" s="3" t="str">
        <f t="shared" si="38"/>
        <v>C00</v>
      </c>
      <c r="C2425" s="3" t="s">
        <v>850</v>
      </c>
      <c r="D2425" s="3" t="s">
        <v>1122</v>
      </c>
      <c r="E2425" s="3" t="s">
        <v>1124</v>
      </c>
      <c r="F2425" s="3" t="s">
        <v>5</v>
      </c>
      <c r="G2425" s="3">
        <v>25.075340860814901</v>
      </c>
      <c r="H2425" s="3">
        <v>31.014856670669499</v>
      </c>
      <c r="I2425" s="3">
        <v>30.3849301962764</v>
      </c>
      <c r="J2425" s="3">
        <v>39.092667323709598</v>
      </c>
      <c r="K2425" s="3">
        <v>46.203133537061603</v>
      </c>
      <c r="L2425" s="3">
        <v>50.662938068181603</v>
      </c>
      <c r="M2425" s="3">
        <v>53.195565967108401</v>
      </c>
      <c r="N2425" s="3">
        <v>54.4324901938501</v>
      </c>
      <c r="O2425" s="3">
        <v>54.657244995492498</v>
      </c>
      <c r="P2425" s="3">
        <v>54.721023360211198</v>
      </c>
    </row>
    <row r="2426" spans="1:16" x14ac:dyDescent="0.3">
      <c r="A2426" s="3" t="str">
        <f t="shared" si="38"/>
        <v>C00</v>
      </c>
      <c r="C2426" s="3" t="s">
        <v>850</v>
      </c>
      <c r="D2426" s="3" t="s">
        <v>1122</v>
      </c>
      <c r="E2426" s="3" t="s">
        <v>1124</v>
      </c>
      <c r="F2426" s="3" t="s">
        <v>6</v>
      </c>
      <c r="G2426" s="3">
        <v>72.037551148070605</v>
      </c>
      <c r="H2426" s="3">
        <v>84.634890594253804</v>
      </c>
      <c r="I2426" s="3">
        <v>88.887316583865896</v>
      </c>
      <c r="J2426" s="3">
        <v>98.6469349444003</v>
      </c>
      <c r="K2426" s="3">
        <v>115.058526539339</v>
      </c>
      <c r="L2426" s="3">
        <v>125.573492018869</v>
      </c>
      <c r="M2426" s="3">
        <v>122.690446878293</v>
      </c>
      <c r="N2426" s="3">
        <v>17.738472189948101</v>
      </c>
    </row>
    <row r="2427" spans="1:16" x14ac:dyDescent="0.3">
      <c r="A2427" s="3" t="str">
        <f t="shared" si="38"/>
        <v>C00</v>
      </c>
      <c r="C2427" s="3" t="s">
        <v>850</v>
      </c>
      <c r="D2427" s="3" t="s">
        <v>1122</v>
      </c>
      <c r="E2427" s="3" t="s">
        <v>1124</v>
      </c>
      <c r="F2427" s="3" t="s">
        <v>7</v>
      </c>
      <c r="G2427" s="3">
        <v>15.7098839443037</v>
      </c>
      <c r="H2427" s="3">
        <v>15.481380672313399</v>
      </c>
      <c r="I2427" s="3">
        <v>17.373547196969</v>
      </c>
      <c r="J2427" s="3">
        <v>22.462091178271798</v>
      </c>
      <c r="K2427" s="3">
        <v>26.508011972191401</v>
      </c>
      <c r="L2427" s="3">
        <v>29.3212182475832</v>
      </c>
      <c r="M2427" s="3">
        <v>30.898728347991</v>
      </c>
      <c r="N2427" s="3">
        <v>31.0801522863811</v>
      </c>
      <c r="O2427" s="3">
        <v>31.187083714268098</v>
      </c>
      <c r="P2427" s="3">
        <v>31.189378583402</v>
      </c>
    </row>
    <row r="2428" spans="1:16" x14ac:dyDescent="0.3">
      <c r="A2428" s="3" t="str">
        <f t="shared" si="38"/>
        <v>C00</v>
      </c>
      <c r="C2428" s="3" t="s">
        <v>850</v>
      </c>
      <c r="D2428" s="3" t="s">
        <v>1122</v>
      </c>
      <c r="E2428" s="3" t="s">
        <v>1124</v>
      </c>
      <c r="F2428" s="3" t="s">
        <v>8</v>
      </c>
      <c r="G2428" s="3">
        <v>9.3430645270437207</v>
      </c>
      <c r="H2428" s="3">
        <v>9.0049954854996006</v>
      </c>
      <c r="I2428" s="3">
        <v>9.8477725841060995</v>
      </c>
      <c r="J2428" s="3">
        <v>14.900534132776301</v>
      </c>
      <c r="K2428" s="3">
        <v>4.8434678008004903</v>
      </c>
      <c r="L2428" s="3">
        <v>7.6712630890825197</v>
      </c>
      <c r="M2428" s="3">
        <v>8.7835843628161996</v>
      </c>
      <c r="N2428" s="3">
        <v>5.7444827238331699</v>
      </c>
      <c r="O2428" s="3">
        <v>7.8711581454631294E-2</v>
      </c>
    </row>
    <row r="2429" spans="1:16" x14ac:dyDescent="0.3">
      <c r="A2429" s="3" t="str">
        <f t="shared" si="38"/>
        <v>LC0</v>
      </c>
      <c r="C2429" s="3" t="s">
        <v>850</v>
      </c>
      <c r="D2429" s="3" t="s">
        <v>1125</v>
      </c>
      <c r="E2429" s="3" t="s">
        <v>1126</v>
      </c>
      <c r="F2429" s="3" t="s">
        <v>0</v>
      </c>
      <c r="H2429" s="3">
        <v>3.0944360705020399E-3</v>
      </c>
      <c r="I2429" s="3">
        <v>3.3417793718785202E-3</v>
      </c>
      <c r="J2429" s="3">
        <v>4.70891422459788E-3</v>
      </c>
      <c r="K2429" s="3">
        <v>5.49014399549744E-3</v>
      </c>
      <c r="L2429" s="3">
        <v>5.9827169807320597E-3</v>
      </c>
      <c r="M2429" s="3">
        <v>6.3359342472924796E-2</v>
      </c>
      <c r="N2429" s="3">
        <v>0.53363508769345902</v>
      </c>
      <c r="O2429" s="3">
        <v>0.54296942180885199</v>
      </c>
      <c r="P2429" s="3">
        <v>0.55218203515713804</v>
      </c>
    </row>
    <row r="2430" spans="1:16" x14ac:dyDescent="0.3">
      <c r="A2430" s="3" t="str">
        <f t="shared" si="38"/>
        <v>LC0</v>
      </c>
      <c r="C2430" s="3" t="s">
        <v>850</v>
      </c>
      <c r="D2430" s="3" t="s">
        <v>1125</v>
      </c>
      <c r="E2430" s="3" t="s">
        <v>1126</v>
      </c>
      <c r="F2430" s="3" t="s">
        <v>1</v>
      </c>
      <c r="G2430" s="3">
        <v>2.8124023358783599</v>
      </c>
      <c r="H2430" s="3">
        <v>3.8622771642210099</v>
      </c>
      <c r="I2430" s="3">
        <v>3.58466800593951</v>
      </c>
      <c r="J2430" s="3">
        <v>5.8507391891978999</v>
      </c>
      <c r="K2430" s="3">
        <v>6.8209498538655904</v>
      </c>
      <c r="L2430" s="3">
        <v>7.4297764674979803</v>
      </c>
      <c r="M2430" s="3">
        <v>7.7625273497783098</v>
      </c>
      <c r="N2430" s="3">
        <v>8.1018235555449092</v>
      </c>
      <c r="O2430" s="3">
        <v>8.2372354376609298</v>
      </c>
      <c r="P2430" s="3">
        <v>8.2372354376609298</v>
      </c>
    </row>
    <row r="2431" spans="1:16" x14ac:dyDescent="0.3">
      <c r="A2431" s="3" t="str">
        <f t="shared" si="38"/>
        <v>LC0</v>
      </c>
      <c r="C2431" s="3" t="s">
        <v>850</v>
      </c>
      <c r="D2431" s="3" t="s">
        <v>1125</v>
      </c>
      <c r="E2431" s="3" t="s">
        <v>1126</v>
      </c>
      <c r="F2431" s="3" t="s">
        <v>2</v>
      </c>
      <c r="G2431" s="3">
        <v>26.7880650346927</v>
      </c>
      <c r="H2431" s="3">
        <v>5.67872365894765</v>
      </c>
      <c r="I2431" s="3">
        <v>5.1746692429544803</v>
      </c>
      <c r="J2431" s="3">
        <v>8.6713292280987702</v>
      </c>
      <c r="K2431" s="3">
        <v>10.1099412356982</v>
      </c>
      <c r="L2431" s="3">
        <v>14.3143483735193</v>
      </c>
      <c r="M2431" s="3">
        <v>41.260480334652499</v>
      </c>
      <c r="N2431" s="3">
        <v>48.189429736113098</v>
      </c>
      <c r="O2431" s="3">
        <v>48.416252502331403</v>
      </c>
      <c r="P2431" s="3">
        <v>48.842407443799999</v>
      </c>
    </row>
    <row r="2432" spans="1:16" x14ac:dyDescent="0.3">
      <c r="A2432" s="3" t="str">
        <f t="shared" si="38"/>
        <v>LC0</v>
      </c>
      <c r="C2432" s="3" t="s">
        <v>850</v>
      </c>
      <c r="D2432" s="3" t="s">
        <v>1125</v>
      </c>
      <c r="E2432" s="3" t="s">
        <v>1126</v>
      </c>
      <c r="F2432" s="3" t="s">
        <v>3</v>
      </c>
      <c r="G2432" s="3">
        <v>1.0378834874746701</v>
      </c>
      <c r="H2432" s="3">
        <v>0.85278977112250898</v>
      </c>
      <c r="I2432" s="3">
        <v>1.82566944269943</v>
      </c>
      <c r="J2432" s="3">
        <v>2.87670876730953</v>
      </c>
      <c r="K2432" s="3">
        <v>3.1648971006646001</v>
      </c>
      <c r="L2432" s="3">
        <v>3.2009821004714198</v>
      </c>
      <c r="M2432" s="3">
        <v>16.808877968584301</v>
      </c>
      <c r="N2432" s="3">
        <v>23.960560700692799</v>
      </c>
      <c r="O2432" s="3">
        <v>24.379678341811701</v>
      </c>
      <c r="P2432" s="3">
        <v>24.793330641734102</v>
      </c>
    </row>
    <row r="2433" spans="1:16" x14ac:dyDescent="0.3">
      <c r="A2433" s="3" t="str">
        <f t="shared" si="38"/>
        <v>LC0</v>
      </c>
      <c r="C2433" s="3" t="s">
        <v>850</v>
      </c>
      <c r="D2433" s="3" t="s">
        <v>1125</v>
      </c>
      <c r="E2433" s="3" t="s">
        <v>1126</v>
      </c>
      <c r="F2433" s="3" t="s">
        <v>4</v>
      </c>
      <c r="G2433" s="3">
        <v>1.2548548218811399</v>
      </c>
      <c r="H2433" s="3">
        <v>1.7136853024158101</v>
      </c>
      <c r="I2433" s="3">
        <v>1.3130254412232301</v>
      </c>
      <c r="J2433" s="3">
        <v>2.67876008054892</v>
      </c>
      <c r="K2433" s="3">
        <v>3.1246329482618602</v>
      </c>
      <c r="L2433" s="3">
        <v>3.40576013729819</v>
      </c>
      <c r="M2433" s="3">
        <v>25.261097861572502</v>
      </c>
      <c r="N2433" s="3">
        <v>26.333722458762701</v>
      </c>
      <c r="O2433" s="3">
        <v>26.4572792236503</v>
      </c>
      <c r="P2433" s="3">
        <v>26.893014731850101</v>
      </c>
    </row>
    <row r="2434" spans="1:16" x14ac:dyDescent="0.3">
      <c r="A2434" s="3" t="str">
        <f t="shared" si="38"/>
        <v>LC0</v>
      </c>
      <c r="C2434" s="3" t="s">
        <v>850</v>
      </c>
      <c r="D2434" s="3" t="s">
        <v>1125</v>
      </c>
      <c r="E2434" s="3" t="s">
        <v>1126</v>
      </c>
      <c r="F2434" s="3" t="s">
        <v>5</v>
      </c>
      <c r="H2434" s="3">
        <v>0.50870142200529</v>
      </c>
      <c r="I2434" s="3">
        <v>9.9026748020959898E-2</v>
      </c>
      <c r="J2434" s="3">
        <v>0.825575875579732</v>
      </c>
      <c r="K2434" s="3">
        <v>0.96254257774862395</v>
      </c>
      <c r="L2434" s="3">
        <v>0.98950805898910399</v>
      </c>
      <c r="M2434" s="3">
        <v>8.93366353713634</v>
      </c>
      <c r="N2434" s="3">
        <v>22.8808231945684</v>
      </c>
      <c r="O2434" s="3">
        <v>23.177132011892599</v>
      </c>
      <c r="P2434" s="3">
        <v>23.337998683512399</v>
      </c>
    </row>
    <row r="2435" spans="1:16" x14ac:dyDescent="0.3">
      <c r="A2435" s="3" t="str">
        <f t="shared" si="38"/>
        <v>LC0</v>
      </c>
      <c r="C2435" s="3" t="s">
        <v>850</v>
      </c>
      <c r="D2435" s="3" t="s">
        <v>1125</v>
      </c>
      <c r="E2435" s="3" t="s">
        <v>1126</v>
      </c>
      <c r="F2435" s="3" t="s">
        <v>6</v>
      </c>
      <c r="G2435" s="3">
        <v>38.702177254711401</v>
      </c>
      <c r="H2435" s="3">
        <v>6.3498993248164703</v>
      </c>
      <c r="I2435" s="3">
        <v>47.371020364473402</v>
      </c>
      <c r="J2435" s="3">
        <v>54.656017565621902</v>
      </c>
      <c r="K2435" s="3">
        <v>65.8802485570192</v>
      </c>
      <c r="L2435" s="3">
        <v>73.209710215212496</v>
      </c>
      <c r="M2435" s="3">
        <v>77.677895568802398</v>
      </c>
      <c r="N2435" s="3">
        <v>79.488033774949997</v>
      </c>
      <c r="O2435" s="3">
        <v>80.838863487485398</v>
      </c>
      <c r="P2435" s="3">
        <v>82.158313779416602</v>
      </c>
    </row>
    <row r="2436" spans="1:16" x14ac:dyDescent="0.3">
      <c r="A2436" s="3" t="str">
        <f t="shared" si="38"/>
        <v>LC0</v>
      </c>
      <c r="C2436" s="3" t="s">
        <v>850</v>
      </c>
      <c r="D2436" s="3" t="s">
        <v>1125</v>
      </c>
      <c r="E2436" s="3" t="s">
        <v>1126</v>
      </c>
      <c r="F2436" s="3" t="s">
        <v>7</v>
      </c>
      <c r="H2436" s="3">
        <v>3.7778513928587401E-2</v>
      </c>
      <c r="I2436" s="3">
        <v>3.6077406876733602E-2</v>
      </c>
      <c r="J2436" s="3">
        <v>7.1503933447621307E-2</v>
      </c>
      <c r="K2436" s="3">
        <v>8.3366753384731804E-2</v>
      </c>
      <c r="L2436" s="3">
        <v>9.0846376982530494E-2</v>
      </c>
      <c r="M2436" s="3">
        <v>0.78514760669845296</v>
      </c>
      <c r="N2436" s="3">
        <v>1.6225147815011001</v>
      </c>
      <c r="O2436" s="3">
        <v>1.65089577710457</v>
      </c>
      <c r="P2436" s="3">
        <v>1.67890668133215</v>
      </c>
    </row>
    <row r="2437" spans="1:16" x14ac:dyDescent="0.3">
      <c r="A2437" s="3" t="str">
        <f t="shared" si="38"/>
        <v>LC0</v>
      </c>
      <c r="C2437" s="3" t="s">
        <v>850</v>
      </c>
      <c r="D2437" s="3" t="s">
        <v>1125</v>
      </c>
      <c r="E2437" s="3" t="s">
        <v>1126</v>
      </c>
      <c r="F2437" s="3" t="s">
        <v>8</v>
      </c>
      <c r="H2437" s="3">
        <v>2.29395977702774E-2</v>
      </c>
      <c r="I2437" s="3">
        <v>0.18993987862549699</v>
      </c>
      <c r="J2437" s="3">
        <v>4.1399574183920103E-2</v>
      </c>
      <c r="K2437" s="3">
        <v>4.82679472976403E-2</v>
      </c>
      <c r="L2437" s="3">
        <v>5.25985234921892E-2</v>
      </c>
      <c r="M2437" s="3">
        <v>0.459839320671659</v>
      </c>
      <c r="N2437" s="3">
        <v>0.96707134433571396</v>
      </c>
      <c r="O2437" s="3">
        <v>0.99571960417759797</v>
      </c>
      <c r="P2437" s="3">
        <v>1.0126140725364901</v>
      </c>
    </row>
    <row r="2438" spans="1:16" x14ac:dyDescent="0.3">
      <c r="A2438" s="3" t="str">
        <f t="shared" si="38"/>
        <v>C00</v>
      </c>
      <c r="C2438" s="3" t="s">
        <v>850</v>
      </c>
      <c r="D2438" s="3" t="s">
        <v>1125</v>
      </c>
      <c r="E2438" s="3" t="s">
        <v>1127</v>
      </c>
      <c r="F2438" s="3" t="s">
        <v>0</v>
      </c>
      <c r="G2438" s="3">
        <v>1.02170217162562</v>
      </c>
      <c r="H2438" s="3">
        <v>0.80609699493356202</v>
      </c>
      <c r="J2438" s="3">
        <v>0.43118829978133799</v>
      </c>
      <c r="K2438" s="3">
        <v>0.67997337213356801</v>
      </c>
      <c r="L2438" s="3">
        <v>0.83470202577799901</v>
      </c>
      <c r="M2438" s="3">
        <v>0.86591833394042805</v>
      </c>
      <c r="N2438" s="3">
        <v>0.47955942551969699</v>
      </c>
      <c r="O2438" s="3">
        <v>1.3076288264053799</v>
      </c>
      <c r="P2438" s="3">
        <v>1.3066571612452</v>
      </c>
    </row>
    <row r="2439" spans="1:16" x14ac:dyDescent="0.3">
      <c r="A2439" s="3" t="str">
        <f t="shared" si="38"/>
        <v>C00</v>
      </c>
      <c r="C2439" s="3" t="s">
        <v>850</v>
      </c>
      <c r="D2439" s="3" t="s">
        <v>1125</v>
      </c>
      <c r="E2439" s="3" t="s">
        <v>1127</v>
      </c>
      <c r="F2439" s="3" t="s">
        <v>1</v>
      </c>
      <c r="I2439" s="3">
        <v>0.22025312977370801</v>
      </c>
    </row>
    <row r="2440" spans="1:16" x14ac:dyDescent="0.3">
      <c r="A2440" s="3" t="str">
        <f t="shared" si="38"/>
        <v>C00</v>
      </c>
      <c r="C2440" s="3" t="s">
        <v>850</v>
      </c>
      <c r="D2440" s="3" t="s">
        <v>1125</v>
      </c>
      <c r="E2440" s="3" t="s">
        <v>1127</v>
      </c>
      <c r="F2440" s="3" t="s">
        <v>2</v>
      </c>
      <c r="H2440" s="3">
        <v>25.057722813092902</v>
      </c>
      <c r="I2440" s="3">
        <v>21.404598496317401</v>
      </c>
      <c r="J2440" s="3">
        <v>26.1083176789286</v>
      </c>
      <c r="K2440" s="3">
        <v>31.063226923441398</v>
      </c>
      <c r="L2440" s="3">
        <v>30.891146475388801</v>
      </c>
      <c r="M2440" s="3">
        <v>6.2426993102939097</v>
      </c>
    </row>
    <row r="2441" spans="1:16" x14ac:dyDescent="0.3">
      <c r="A2441" s="3" t="str">
        <f t="shared" si="38"/>
        <v>C00</v>
      </c>
      <c r="C2441" s="3" t="s">
        <v>850</v>
      </c>
      <c r="D2441" s="3" t="s">
        <v>1125</v>
      </c>
      <c r="E2441" s="3" t="s">
        <v>1127</v>
      </c>
      <c r="F2441" s="3" t="s">
        <v>3</v>
      </c>
      <c r="G2441" s="3">
        <v>15.275621407724</v>
      </c>
      <c r="H2441" s="3">
        <v>15.4465470587281</v>
      </c>
      <c r="I2441" s="3">
        <v>16.1771005915678</v>
      </c>
      <c r="J2441" s="3">
        <v>20.6803730636206</v>
      </c>
      <c r="K2441" s="3">
        <v>24.722668697696601</v>
      </c>
      <c r="L2441" s="3">
        <v>27.4177744444161</v>
      </c>
      <c r="M2441" s="3">
        <v>15.366155122371801</v>
      </c>
      <c r="N2441" s="3">
        <v>8.6792858944749494</v>
      </c>
      <c r="O2441" s="3">
        <v>8.4138007062445208</v>
      </c>
      <c r="P2441" s="3">
        <v>8.2887932811728806</v>
      </c>
    </row>
    <row r="2442" spans="1:16" x14ac:dyDescent="0.3">
      <c r="A2442" s="3" t="str">
        <f t="shared" si="38"/>
        <v>C00</v>
      </c>
      <c r="C2442" s="3" t="s">
        <v>850</v>
      </c>
      <c r="D2442" s="3" t="s">
        <v>1125</v>
      </c>
      <c r="E2442" s="3" t="s">
        <v>1127</v>
      </c>
      <c r="F2442" s="3" t="s">
        <v>4</v>
      </c>
      <c r="G2442" s="3">
        <v>11.5261593456461</v>
      </c>
      <c r="H2442" s="3">
        <v>12.4348984095007</v>
      </c>
      <c r="I2442" s="3">
        <v>11.785824607772501</v>
      </c>
      <c r="J2442" s="3">
        <v>15.3708532590156</v>
      </c>
      <c r="K2442" s="3">
        <v>18.6316725077826</v>
      </c>
      <c r="L2442" s="3">
        <v>20.771028090999401</v>
      </c>
    </row>
    <row r="2443" spans="1:16" x14ac:dyDescent="0.3">
      <c r="A2443" s="3" t="str">
        <f t="shared" si="38"/>
        <v>C00</v>
      </c>
      <c r="C2443" s="3" t="s">
        <v>850</v>
      </c>
      <c r="D2443" s="3" t="s">
        <v>1125</v>
      </c>
      <c r="E2443" s="3" t="s">
        <v>1127</v>
      </c>
      <c r="F2443" s="3" t="s">
        <v>5</v>
      </c>
      <c r="G2443" s="3">
        <v>11.1405155336597</v>
      </c>
      <c r="H2443" s="3">
        <v>14.261931047441999</v>
      </c>
      <c r="I2443" s="3">
        <v>13.5368362873457</v>
      </c>
      <c r="J2443" s="3">
        <v>14.9072912623708</v>
      </c>
      <c r="K2443" s="3">
        <v>18.0012466576874</v>
      </c>
      <c r="L2443" s="3">
        <v>20.084084480769398</v>
      </c>
      <c r="M2443" s="3">
        <v>13.4261069871665</v>
      </c>
    </row>
    <row r="2444" spans="1:16" x14ac:dyDescent="0.3">
      <c r="A2444" s="3" t="str">
        <f t="shared" si="38"/>
        <v>C00</v>
      </c>
      <c r="C2444" s="3" t="s">
        <v>850</v>
      </c>
      <c r="D2444" s="3" t="s">
        <v>1125</v>
      </c>
      <c r="E2444" s="3" t="s">
        <v>1127</v>
      </c>
      <c r="F2444" s="3" t="s">
        <v>6</v>
      </c>
      <c r="H2444" s="3">
        <v>27.760693241479899</v>
      </c>
    </row>
    <row r="2445" spans="1:16" x14ac:dyDescent="0.3">
      <c r="A2445" s="3" t="str">
        <f t="shared" si="38"/>
        <v>C00</v>
      </c>
      <c r="C2445" s="3" t="s">
        <v>850</v>
      </c>
      <c r="D2445" s="3" t="s">
        <v>1125</v>
      </c>
      <c r="E2445" s="3" t="s">
        <v>1127</v>
      </c>
      <c r="F2445" s="3" t="s">
        <v>7</v>
      </c>
      <c r="G2445" s="3">
        <v>1.6415946144047699</v>
      </c>
      <c r="H2445" s="3">
        <v>0.93712315600015295</v>
      </c>
      <c r="I2445" s="3">
        <v>1.5382412869112501</v>
      </c>
      <c r="J2445" s="3">
        <v>1.91150609054712</v>
      </c>
      <c r="K2445" s="3">
        <v>2.2456592450874799</v>
      </c>
      <c r="L2445" s="3">
        <v>2.4524669292701899</v>
      </c>
      <c r="M2445" s="3">
        <v>1.8756790830246299</v>
      </c>
      <c r="N2445" s="3">
        <v>1.0659249723679101</v>
      </c>
      <c r="O2445" s="3">
        <v>1.05019819046073</v>
      </c>
      <c r="P2445" s="3">
        <v>1.0459620412411801</v>
      </c>
    </row>
    <row r="2446" spans="1:16" x14ac:dyDescent="0.3">
      <c r="A2446" s="3" t="str">
        <f t="shared" si="38"/>
        <v>C00</v>
      </c>
      <c r="C2446" s="3" t="s">
        <v>850</v>
      </c>
      <c r="D2446" s="3" t="s">
        <v>1125</v>
      </c>
      <c r="E2446" s="3" t="s">
        <v>1127</v>
      </c>
      <c r="F2446" s="3" t="s">
        <v>8</v>
      </c>
      <c r="G2446" s="3">
        <v>0.68896205438459901</v>
      </c>
      <c r="H2446" s="3">
        <v>0.62162031958312003</v>
      </c>
      <c r="I2446" s="3">
        <v>0.66518090143180697</v>
      </c>
      <c r="J2446" s="3">
        <v>1.2020380311732399</v>
      </c>
      <c r="K2446" s="3">
        <v>0.67222427165702203</v>
      </c>
      <c r="L2446" s="3">
        <v>0.81583491681853204</v>
      </c>
      <c r="M2446" s="3">
        <v>0.48991737475018199</v>
      </c>
    </row>
    <row r="2447" spans="1:16" x14ac:dyDescent="0.3">
      <c r="A2447" s="3" t="str">
        <f t="shared" si="38"/>
        <v>LC0</v>
      </c>
      <c r="C2447" s="3" t="s">
        <v>850</v>
      </c>
      <c r="D2447" s="3" t="s">
        <v>1128</v>
      </c>
      <c r="E2447" s="3" t="s">
        <v>1129</v>
      </c>
      <c r="F2447" s="3" t="s">
        <v>0</v>
      </c>
      <c r="G2447" s="3">
        <v>1.02170217162562</v>
      </c>
      <c r="H2447" s="3">
        <v>0.37588715227025399</v>
      </c>
      <c r="I2447" s="3">
        <v>0.86347461604323805</v>
      </c>
      <c r="J2447" s="3">
        <v>0.67837144317141496</v>
      </c>
      <c r="K2447" s="3">
        <v>0.79091627662054598</v>
      </c>
      <c r="L2447" s="3">
        <v>0.86187689108987897</v>
      </c>
      <c r="M2447" s="3">
        <v>1.60147890056459</v>
      </c>
      <c r="N2447" s="3">
        <v>1.6290866158728601</v>
      </c>
      <c r="O2447" s="3">
        <v>1.6455463071976599</v>
      </c>
      <c r="P2447" s="3">
        <v>1.65568764398433</v>
      </c>
    </row>
    <row r="2448" spans="1:16" x14ac:dyDescent="0.3">
      <c r="A2448" s="3" t="str">
        <f t="shared" si="38"/>
        <v>LC0</v>
      </c>
      <c r="C2448" s="3" t="s">
        <v>850</v>
      </c>
      <c r="D2448" s="3" t="s">
        <v>1128</v>
      </c>
      <c r="E2448" s="3" t="s">
        <v>1129</v>
      </c>
      <c r="F2448" s="3" t="s">
        <v>1</v>
      </c>
      <c r="G2448" s="3">
        <v>1.7437635623944301</v>
      </c>
      <c r="H2448" s="3">
        <v>0.65062613589962603</v>
      </c>
      <c r="I2448" s="3">
        <v>0.48824317754325097</v>
      </c>
      <c r="J2448" s="3">
        <v>1.18233702294317</v>
      </c>
      <c r="K2448" s="3">
        <v>1.37849198298363</v>
      </c>
      <c r="L2448" s="3">
        <v>1.50216959722055</v>
      </c>
      <c r="M2448" s="3">
        <v>4.4226991995488101</v>
      </c>
      <c r="N2448" s="3">
        <v>4.4925590871202798</v>
      </c>
      <c r="O2448" s="3">
        <v>4.5212467664667901</v>
      </c>
      <c r="P2448" s="3">
        <v>4.5495603552468502</v>
      </c>
    </row>
    <row r="2449" spans="1:16" x14ac:dyDescent="0.3">
      <c r="A2449" s="3" t="str">
        <f t="shared" si="38"/>
        <v>LC0</v>
      </c>
      <c r="C2449" s="3" t="s">
        <v>850</v>
      </c>
      <c r="D2449" s="3" t="s">
        <v>1128</v>
      </c>
      <c r="E2449" s="3" t="s">
        <v>1129</v>
      </c>
      <c r="F2449" s="3" t="s">
        <v>2</v>
      </c>
      <c r="G2449" s="3">
        <v>1.4196823739466999</v>
      </c>
      <c r="H2449" s="3">
        <v>1.8459783109513901</v>
      </c>
      <c r="I2449" s="3">
        <v>0.73291025988813197</v>
      </c>
      <c r="J2449" s="3">
        <v>2.7545517786874401</v>
      </c>
      <c r="K2449" s="3">
        <v>3.2205924982542</v>
      </c>
      <c r="L2449" s="3">
        <v>3.4397236208522899</v>
      </c>
      <c r="M2449" s="3">
        <v>6.9560585296939896</v>
      </c>
      <c r="N2449" s="3">
        <v>14.5046074358302</v>
      </c>
      <c r="O2449" s="3">
        <v>14.5762882434103</v>
      </c>
      <c r="P2449" s="3">
        <v>14.6952426513718</v>
      </c>
    </row>
    <row r="2450" spans="1:16" x14ac:dyDescent="0.3">
      <c r="A2450" s="3" t="str">
        <f t="shared" si="38"/>
        <v>LC0</v>
      </c>
      <c r="C2450" s="3" t="s">
        <v>850</v>
      </c>
      <c r="D2450" s="3" t="s">
        <v>1128</v>
      </c>
      <c r="E2450" s="3" t="s">
        <v>1129</v>
      </c>
      <c r="F2450" s="3" t="s">
        <v>3</v>
      </c>
      <c r="H2450" s="3">
        <v>2.02478000074905E-4</v>
      </c>
      <c r="I2450" s="3">
        <v>9.6103219106604104E-4</v>
      </c>
      <c r="J2450" s="3">
        <v>1.5419079949441101E-2</v>
      </c>
      <c r="K2450" s="3">
        <v>1.79771737523522E-2</v>
      </c>
      <c r="L2450" s="3">
        <v>1.9590076828944099E-2</v>
      </c>
      <c r="M2450" s="3">
        <v>0.179961084179869</v>
      </c>
      <c r="N2450" s="3">
        <v>2.2027564234339301</v>
      </c>
      <c r="O2450" s="3">
        <v>9.8728666182019804</v>
      </c>
      <c r="P2450" s="3">
        <v>9.9078738999416593</v>
      </c>
    </row>
    <row r="2451" spans="1:16" x14ac:dyDescent="0.3">
      <c r="A2451" s="3" t="str">
        <f t="shared" si="38"/>
        <v>LC0</v>
      </c>
      <c r="C2451" s="3" t="s">
        <v>850</v>
      </c>
      <c r="D2451" s="3" t="s">
        <v>1128</v>
      </c>
      <c r="E2451" s="3" t="s">
        <v>1129</v>
      </c>
      <c r="F2451" s="3" t="s">
        <v>4</v>
      </c>
      <c r="G2451" s="3">
        <v>1.1390357846297401</v>
      </c>
      <c r="H2451" s="3">
        <v>2.3665148067884401</v>
      </c>
      <c r="I2451" s="3">
        <v>3.9402443429389198</v>
      </c>
      <c r="J2451" s="3">
        <v>5.9738625732281898</v>
      </c>
      <c r="K2451" s="3">
        <v>6.5782316985304998</v>
      </c>
      <c r="L2451" s="3">
        <v>6.7224326055914903</v>
      </c>
      <c r="M2451" s="3">
        <v>32.889264256859597</v>
      </c>
      <c r="N2451" s="3">
        <v>37.286423792156803</v>
      </c>
      <c r="O2451" s="3">
        <v>37.374812827386997</v>
      </c>
      <c r="P2451" s="3">
        <v>37.5190307192277</v>
      </c>
    </row>
    <row r="2452" spans="1:16" x14ac:dyDescent="0.3">
      <c r="A2452" s="3" t="str">
        <f t="shared" si="38"/>
        <v>LC0</v>
      </c>
      <c r="C2452" s="3" t="s">
        <v>850</v>
      </c>
      <c r="D2452" s="3" t="s">
        <v>1128</v>
      </c>
      <c r="E2452" s="3" t="s">
        <v>1129</v>
      </c>
      <c r="F2452" s="3" t="s">
        <v>5</v>
      </c>
      <c r="G2452" s="3">
        <v>7.4783332240675797</v>
      </c>
      <c r="H2452" s="3">
        <v>2.5302823786043098</v>
      </c>
      <c r="I2452" s="3">
        <v>3.3837628837730498</v>
      </c>
      <c r="J2452" s="3">
        <v>5.54557875864867</v>
      </c>
      <c r="K2452" s="3">
        <v>5.2360526894521398</v>
      </c>
      <c r="L2452" s="3">
        <v>6.3119057384586297</v>
      </c>
      <c r="M2452" s="3">
        <v>13.500559528346299</v>
      </c>
      <c r="N2452" s="3">
        <v>24.794482902888699</v>
      </c>
      <c r="O2452" s="3">
        <v>24.9897192339517</v>
      </c>
      <c r="P2452" s="3">
        <v>25.051470086145599</v>
      </c>
    </row>
    <row r="2453" spans="1:16" x14ac:dyDescent="0.3">
      <c r="A2453" s="3" t="str">
        <f t="shared" si="38"/>
        <v>LC0</v>
      </c>
      <c r="C2453" s="3" t="s">
        <v>850</v>
      </c>
      <c r="D2453" s="3" t="s">
        <v>1128</v>
      </c>
      <c r="E2453" s="3" t="s">
        <v>1129</v>
      </c>
      <c r="F2453" s="3" t="s">
        <v>6</v>
      </c>
      <c r="G2453" s="3">
        <v>35.3033112183467</v>
      </c>
      <c r="H2453" s="3">
        <v>5.7374478998605003</v>
      </c>
      <c r="I2453" s="3">
        <v>20.132974020227302</v>
      </c>
      <c r="J2453" s="3">
        <v>24.5970287482467</v>
      </c>
      <c r="K2453" s="3">
        <v>26.355294537853901</v>
      </c>
      <c r="L2453" s="3">
        <v>27.424043238513701</v>
      </c>
      <c r="M2453" s="3">
        <v>60.850864743867099</v>
      </c>
      <c r="N2453" s="3">
        <v>86.240622781235302</v>
      </c>
      <c r="O2453" s="3">
        <v>87.018062410961605</v>
      </c>
      <c r="P2453" s="3">
        <v>88.004215638096994</v>
      </c>
    </row>
    <row r="2454" spans="1:16" x14ac:dyDescent="0.3">
      <c r="A2454" s="3" t="str">
        <f t="shared" si="38"/>
        <v>LC0</v>
      </c>
      <c r="C2454" s="3" t="s">
        <v>850</v>
      </c>
      <c r="D2454" s="3" t="s">
        <v>1128</v>
      </c>
      <c r="E2454" s="3" t="s">
        <v>1129</v>
      </c>
      <c r="F2454" s="3" t="s">
        <v>7</v>
      </c>
      <c r="H2454" s="3">
        <v>1.2851647955967099E-3</v>
      </c>
      <c r="I2454" s="3">
        <v>1.21892661571714E-4</v>
      </c>
      <c r="J2454" s="3">
        <v>1.9556813096339E-3</v>
      </c>
      <c r="K2454" s="3">
        <v>2.2801375194108501E-3</v>
      </c>
      <c r="L2454" s="3">
        <v>2.4847103221648098E-3</v>
      </c>
      <c r="M2454" s="3">
        <v>2.9465806032907799E-2</v>
      </c>
      <c r="N2454" s="3">
        <v>3.58181479221691E-2</v>
      </c>
      <c r="O2454" s="3">
        <v>1.2444350791763299</v>
      </c>
      <c r="P2454" s="3">
        <v>1.2515067546935901</v>
      </c>
    </row>
    <row r="2455" spans="1:16" x14ac:dyDescent="0.3">
      <c r="A2455" s="3" t="str">
        <f t="shared" si="38"/>
        <v>LC0</v>
      </c>
      <c r="C2455" s="3" t="s">
        <v>850</v>
      </c>
      <c r="D2455" s="3" t="s">
        <v>1128</v>
      </c>
      <c r="E2455" s="3" t="s">
        <v>1129</v>
      </c>
      <c r="F2455" s="3" t="s">
        <v>8</v>
      </c>
      <c r="G2455" s="3">
        <v>1.80810024531637E-2</v>
      </c>
      <c r="H2455" s="3">
        <v>4.3019503340080999E-2</v>
      </c>
      <c r="I2455" s="3">
        <v>3.29514335057021E-2</v>
      </c>
      <c r="J2455" s="3">
        <v>6.5464319377707206E-2</v>
      </c>
      <c r="K2455" s="3">
        <v>7.63251405331212E-2</v>
      </c>
      <c r="L2455" s="3">
        <v>8.3172994132532194E-2</v>
      </c>
      <c r="M2455" s="3">
        <v>0.71875982898857804</v>
      </c>
      <c r="N2455" s="3">
        <v>0.75073847738661403</v>
      </c>
      <c r="O2455" s="3">
        <v>0.76372227552163696</v>
      </c>
      <c r="P2455" s="3">
        <v>0.76815653816511598</v>
      </c>
    </row>
    <row r="2456" spans="1:16" x14ac:dyDescent="0.3">
      <c r="A2456" s="3" t="str">
        <f t="shared" si="38"/>
        <v>C00</v>
      </c>
      <c r="C2456" s="3" t="s">
        <v>850</v>
      </c>
      <c r="D2456" s="3" t="s">
        <v>1128</v>
      </c>
      <c r="E2456" s="3" t="s">
        <v>1130</v>
      </c>
      <c r="F2456" s="3" t="s">
        <v>0</v>
      </c>
      <c r="H2456" s="3">
        <v>0.29201561074572802</v>
      </c>
      <c r="J2456" s="3">
        <v>0.549766559524002</v>
      </c>
      <c r="K2456" s="3">
        <v>0.63727025596346798</v>
      </c>
      <c r="L2456" s="3">
        <v>0.68700455685582396</v>
      </c>
    </row>
    <row r="2457" spans="1:16" x14ac:dyDescent="0.3">
      <c r="A2457" s="3" t="str">
        <f t="shared" si="38"/>
        <v>C00</v>
      </c>
      <c r="C2457" s="3" t="s">
        <v>850</v>
      </c>
      <c r="D2457" s="3" t="s">
        <v>1128</v>
      </c>
      <c r="E2457" s="3" t="s">
        <v>1130</v>
      </c>
      <c r="F2457" s="3" t="s">
        <v>1</v>
      </c>
      <c r="G2457" s="3">
        <v>0.64210183357974704</v>
      </c>
      <c r="H2457" s="3">
        <v>2.6520171810133601</v>
      </c>
      <c r="I2457" s="3">
        <v>3.16718051678551</v>
      </c>
      <c r="J2457" s="3">
        <v>2.1983137023711898</v>
      </c>
      <c r="K2457" s="3">
        <v>2.5528250405658399</v>
      </c>
      <c r="L2457" s="3">
        <v>2.7613799215890502</v>
      </c>
      <c r="M2457" s="3">
        <v>1.26113177243239E-2</v>
      </c>
    </row>
    <row r="2458" spans="1:16" x14ac:dyDescent="0.3">
      <c r="A2458" s="3" t="str">
        <f t="shared" si="38"/>
        <v>C00</v>
      </c>
      <c r="C2458" s="3" t="s">
        <v>850</v>
      </c>
      <c r="D2458" s="3" t="s">
        <v>1128</v>
      </c>
      <c r="E2458" s="3" t="s">
        <v>1130</v>
      </c>
      <c r="F2458" s="3" t="s">
        <v>2</v>
      </c>
      <c r="G2458" s="3">
        <v>7.7237031987767599</v>
      </c>
      <c r="H2458" s="3">
        <v>9.6279883133570596</v>
      </c>
      <c r="I2458" s="3">
        <v>7.7957047722344601</v>
      </c>
      <c r="J2458" s="3">
        <v>10.1677214285072</v>
      </c>
      <c r="K2458" s="3">
        <v>13.268543709507901</v>
      </c>
      <c r="L2458" s="3">
        <v>14.371570796678</v>
      </c>
      <c r="M2458" s="3">
        <v>11.513141419682301</v>
      </c>
    </row>
    <row r="2459" spans="1:16" x14ac:dyDescent="0.3">
      <c r="A2459" s="3" t="str">
        <f t="shared" si="38"/>
        <v>C00</v>
      </c>
      <c r="C2459" s="3" t="s">
        <v>850</v>
      </c>
      <c r="D2459" s="3" t="s">
        <v>1128</v>
      </c>
      <c r="E2459" s="3" t="s">
        <v>1130</v>
      </c>
      <c r="F2459" s="3" t="s">
        <v>3</v>
      </c>
      <c r="G2459" s="3">
        <v>6.1930324572924897</v>
      </c>
      <c r="H2459" s="3">
        <v>7.7478170775620203</v>
      </c>
      <c r="I2459" s="3">
        <v>7.36086788356537</v>
      </c>
      <c r="J2459" s="3">
        <v>9.6465660257065995</v>
      </c>
      <c r="K2459" s="3">
        <v>11.150506853873599</v>
      </c>
      <c r="L2459" s="3">
        <v>12.0444231441843</v>
      </c>
      <c r="M2459" s="3">
        <v>12.3238853657313</v>
      </c>
      <c r="N2459" s="3">
        <v>7.6215590793876897</v>
      </c>
      <c r="P2459" s="3">
        <v>2.12882716460253E-2</v>
      </c>
    </row>
    <row r="2460" spans="1:16" x14ac:dyDescent="0.3">
      <c r="A2460" s="3" t="str">
        <f t="shared" si="38"/>
        <v>C00</v>
      </c>
      <c r="C2460" s="3" t="s">
        <v>850</v>
      </c>
      <c r="D2460" s="3" t="s">
        <v>1128</v>
      </c>
      <c r="E2460" s="3" t="s">
        <v>1130</v>
      </c>
      <c r="F2460" s="3" t="s">
        <v>4</v>
      </c>
      <c r="G2460" s="3">
        <v>15.8151779395017</v>
      </c>
      <c r="H2460" s="3">
        <v>24.552558445549401</v>
      </c>
      <c r="I2460" s="3">
        <v>22.0653045851457</v>
      </c>
      <c r="J2460" s="3">
        <v>14.959942249288099</v>
      </c>
      <c r="K2460" s="3">
        <v>22.9120313066989</v>
      </c>
      <c r="L2460" s="3">
        <v>25.1588433513705</v>
      </c>
    </row>
    <row r="2461" spans="1:16" x14ac:dyDescent="0.3">
      <c r="A2461" s="3" t="str">
        <f t="shared" si="38"/>
        <v>C00</v>
      </c>
      <c r="C2461" s="3" t="s">
        <v>850</v>
      </c>
      <c r="D2461" s="3" t="s">
        <v>1128</v>
      </c>
      <c r="E2461" s="3" t="s">
        <v>1130</v>
      </c>
      <c r="F2461" s="3" t="s">
        <v>5</v>
      </c>
      <c r="G2461" s="3">
        <v>5.7111687339280799</v>
      </c>
      <c r="H2461" s="3">
        <v>18.165154945603799</v>
      </c>
      <c r="I2461" s="3">
        <v>21.833682567242398</v>
      </c>
      <c r="J2461" s="3">
        <v>22.6261279224702</v>
      </c>
      <c r="K2461" s="3">
        <v>30.082777306517102</v>
      </c>
      <c r="L2461" s="3">
        <v>31.856821705037099</v>
      </c>
      <c r="M2461" s="3">
        <v>26.145335534073599</v>
      </c>
    </row>
    <row r="2462" spans="1:16" x14ac:dyDescent="0.3">
      <c r="A2462" s="3" t="str">
        <f t="shared" si="38"/>
        <v>C00</v>
      </c>
      <c r="C2462" s="3" t="s">
        <v>850</v>
      </c>
      <c r="D2462" s="3" t="s">
        <v>1128</v>
      </c>
      <c r="E2462" s="3" t="s">
        <v>1130</v>
      </c>
      <c r="F2462" s="3" t="s">
        <v>6</v>
      </c>
      <c r="G2462" s="3">
        <v>16.036118845927</v>
      </c>
      <c r="H2462" s="3">
        <v>62.157915456589699</v>
      </c>
      <c r="I2462" s="3">
        <v>58.6144047893468</v>
      </c>
      <c r="J2462" s="3">
        <v>81.505363260585696</v>
      </c>
      <c r="K2462" s="3">
        <v>96.342404217921697</v>
      </c>
      <c r="L2462" s="3">
        <v>105.174205975513</v>
      </c>
      <c r="M2462" s="3">
        <v>76.403737639818999</v>
      </c>
    </row>
    <row r="2463" spans="1:16" x14ac:dyDescent="0.3">
      <c r="A2463" s="3" t="str">
        <f t="shared" ref="A2463:A2526" si="39">RIGHT(E2463,3)</f>
        <v>C00</v>
      </c>
      <c r="C2463" s="3" t="s">
        <v>850</v>
      </c>
      <c r="D2463" s="3" t="s">
        <v>1128</v>
      </c>
      <c r="E2463" s="3" t="s">
        <v>1130</v>
      </c>
      <c r="F2463" s="3" t="s">
        <v>7</v>
      </c>
      <c r="G2463" s="3">
        <v>0.78549419721518599</v>
      </c>
      <c r="H2463" s="3">
        <v>0.68933916991865596</v>
      </c>
      <c r="I2463" s="3">
        <v>0.68221689622075798</v>
      </c>
      <c r="J2463" s="3">
        <v>0.95169073315410102</v>
      </c>
      <c r="K2463" s="3">
        <v>1.10464530541817</v>
      </c>
      <c r="L2463" s="3">
        <v>1.19644249031544</v>
      </c>
      <c r="M2463" s="3">
        <v>1.19860139596021</v>
      </c>
      <c r="N2463" s="3">
        <v>1.2024954449594001</v>
      </c>
    </row>
    <row r="2464" spans="1:16" x14ac:dyDescent="0.3">
      <c r="A2464" s="3" t="str">
        <f t="shared" si="39"/>
        <v>C00</v>
      </c>
      <c r="C2464" s="3" t="s">
        <v>850</v>
      </c>
      <c r="D2464" s="3" t="s">
        <v>1128</v>
      </c>
      <c r="E2464" s="3" t="s">
        <v>1130</v>
      </c>
      <c r="F2464" s="3" t="s">
        <v>8</v>
      </c>
      <c r="G2464" s="3">
        <v>0.47445963616630998</v>
      </c>
      <c r="H2464" s="3">
        <v>0.340356540300912</v>
      </c>
      <c r="I2464" s="3">
        <v>0.38228049622525101</v>
      </c>
      <c r="J2464" s="3">
        <v>0.52318859324529399</v>
      </c>
      <c r="K2464" s="3">
        <v>0.58800547508270795</v>
      </c>
      <c r="L2464" s="3">
        <v>0.63813869684408198</v>
      </c>
      <c r="M2464" s="3">
        <v>3.1709363242876799E-2</v>
      </c>
      <c r="N2464" s="3">
        <v>9.9484779396186206E-4</v>
      </c>
    </row>
    <row r="2465" spans="1:16" x14ac:dyDescent="0.3">
      <c r="A2465" s="3" t="str">
        <f t="shared" si="39"/>
        <v>LC0</v>
      </c>
      <c r="C2465" s="3" t="s">
        <v>850</v>
      </c>
      <c r="D2465" s="3" t="s">
        <v>1131</v>
      </c>
      <c r="E2465" s="3" t="s">
        <v>1132</v>
      </c>
      <c r="F2465" s="3" t="s">
        <v>0</v>
      </c>
      <c r="G2465" s="3">
        <v>0.17684478384489</v>
      </c>
      <c r="H2465" s="3">
        <v>7.7196767043973394E-2</v>
      </c>
      <c r="I2465" s="3">
        <v>0.18513198579603499</v>
      </c>
      <c r="J2465" s="3">
        <v>7.8752476555942294E-2</v>
      </c>
      <c r="K2465" s="3">
        <v>7.9955046520000905E-2</v>
      </c>
      <c r="L2465" s="3">
        <v>8.5348710670833494E-2</v>
      </c>
      <c r="M2465" s="3">
        <v>1.08756585245844</v>
      </c>
      <c r="N2465" s="3">
        <v>1.1767905901139299</v>
      </c>
      <c r="O2465" s="3">
        <v>1.7434411158557399</v>
      </c>
      <c r="P2465" s="3">
        <v>1.8647804175788401</v>
      </c>
    </row>
    <row r="2466" spans="1:16" x14ac:dyDescent="0.3">
      <c r="A2466" s="3" t="str">
        <f t="shared" si="39"/>
        <v>LC0</v>
      </c>
      <c r="C2466" s="3" t="s">
        <v>850</v>
      </c>
      <c r="D2466" s="3" t="s">
        <v>1131</v>
      </c>
      <c r="E2466" s="3" t="s">
        <v>1132</v>
      </c>
      <c r="F2466" s="3" t="s">
        <v>1</v>
      </c>
      <c r="G2466" s="3">
        <v>2.24787069202839</v>
      </c>
      <c r="H2466" s="3">
        <v>2.3654706491490902</v>
      </c>
      <c r="I2466" s="3">
        <v>2.1893935367197299</v>
      </c>
      <c r="J2466" s="3">
        <v>2.3397285468035198</v>
      </c>
      <c r="K2466" s="3">
        <v>2.3673333271378398</v>
      </c>
      <c r="L2466" s="3">
        <v>2.4899529925961299</v>
      </c>
      <c r="M2466" s="3">
        <v>11.4038844729124</v>
      </c>
      <c r="N2466" s="3">
        <v>15.121577785595999</v>
      </c>
      <c r="O2466" s="3">
        <v>22.146245107378999</v>
      </c>
      <c r="P2466" s="3">
        <v>23.876505057941401</v>
      </c>
    </row>
    <row r="2467" spans="1:16" x14ac:dyDescent="0.3">
      <c r="A2467" s="3" t="str">
        <f t="shared" si="39"/>
        <v>LC0</v>
      </c>
      <c r="C2467" s="3" t="s">
        <v>850</v>
      </c>
      <c r="D2467" s="3" t="s">
        <v>1131</v>
      </c>
      <c r="E2467" s="3" t="s">
        <v>1132</v>
      </c>
      <c r="F2467" s="3" t="s">
        <v>2</v>
      </c>
      <c r="G2467" s="3">
        <v>0.48210516387941799</v>
      </c>
      <c r="H2467" s="3">
        <v>1.0808087404754501</v>
      </c>
      <c r="I2467" s="3">
        <v>0.20018778784301799</v>
      </c>
      <c r="J2467" s="3">
        <v>1.3116008538691</v>
      </c>
      <c r="K2467" s="3">
        <v>1.3116008538691</v>
      </c>
      <c r="L2467" s="3">
        <v>1.3116008538691</v>
      </c>
      <c r="M2467" s="3">
        <v>13.916490674847999</v>
      </c>
      <c r="N2467" s="3">
        <v>17.539389425920401</v>
      </c>
      <c r="O2467" s="3">
        <v>25.6869216188874</v>
      </c>
      <c r="P2467" s="3">
        <v>27.4460533981201</v>
      </c>
    </row>
    <row r="2468" spans="1:16" x14ac:dyDescent="0.3">
      <c r="A2468" s="3" t="str">
        <f t="shared" si="39"/>
        <v>LC0</v>
      </c>
      <c r="C2468" s="3" t="s">
        <v>850</v>
      </c>
      <c r="D2468" s="3" t="s">
        <v>1131</v>
      </c>
      <c r="E2468" s="3" t="s">
        <v>1132</v>
      </c>
      <c r="F2468" s="3" t="s">
        <v>3</v>
      </c>
      <c r="G2468" s="3">
        <v>0.57107453875932901</v>
      </c>
      <c r="H2468" s="3">
        <v>0.155507270149954</v>
      </c>
      <c r="I2468" s="3">
        <v>0.61614650538913696</v>
      </c>
      <c r="J2468" s="3">
        <v>0.75534849346696897</v>
      </c>
      <c r="K2468" s="3">
        <v>0.75534849346696897</v>
      </c>
      <c r="L2468" s="3">
        <v>0.75534849346696897</v>
      </c>
      <c r="M2468" s="3">
        <v>2.9644063840271802</v>
      </c>
      <c r="N2468" s="3">
        <v>5.7127652568012897</v>
      </c>
      <c r="O2468" s="3">
        <v>8.4930601340518397</v>
      </c>
      <c r="P2468" s="3">
        <v>9.0884165727461603</v>
      </c>
    </row>
    <row r="2469" spans="1:16" x14ac:dyDescent="0.3">
      <c r="A2469" s="3" t="str">
        <f t="shared" si="39"/>
        <v>LC0</v>
      </c>
      <c r="C2469" s="3" t="s">
        <v>850</v>
      </c>
      <c r="D2469" s="3" t="s">
        <v>1131</v>
      </c>
      <c r="E2469" s="3" t="s">
        <v>1132</v>
      </c>
      <c r="F2469" s="3" t="s">
        <v>4</v>
      </c>
      <c r="G2469" s="3">
        <v>2.0880023375285801</v>
      </c>
      <c r="H2469" s="3">
        <v>2.37584379949072</v>
      </c>
      <c r="I2469" s="3">
        <v>3.5248988464021598</v>
      </c>
      <c r="J2469" s="3">
        <v>3.1746942599180898</v>
      </c>
      <c r="K2469" s="3">
        <v>3.4328064956093001</v>
      </c>
      <c r="L2469" s="3">
        <v>3.5973374993224998</v>
      </c>
      <c r="M2469" s="3">
        <v>3.8707482938778099</v>
      </c>
      <c r="N2469" s="3">
        <v>4.6777324414800496</v>
      </c>
      <c r="O2469" s="3">
        <v>6.5128262251050399</v>
      </c>
      <c r="P2469" s="3">
        <v>7.1755544444542601</v>
      </c>
    </row>
    <row r="2470" spans="1:16" x14ac:dyDescent="0.3">
      <c r="A2470" s="3" t="str">
        <f t="shared" si="39"/>
        <v>LC0</v>
      </c>
      <c r="C2470" s="3" t="s">
        <v>850</v>
      </c>
      <c r="D2470" s="3" t="s">
        <v>1131</v>
      </c>
      <c r="E2470" s="3" t="s">
        <v>1132</v>
      </c>
      <c r="F2470" s="3" t="s">
        <v>5</v>
      </c>
      <c r="G2470" s="3">
        <v>0.66950724526829897</v>
      </c>
      <c r="H2470" s="3">
        <v>0.314108712428254</v>
      </c>
      <c r="I2470" s="3">
        <v>0.72161012899930099</v>
      </c>
      <c r="J2470" s="3">
        <v>1.04648082900121</v>
      </c>
      <c r="K2470" s="3">
        <v>0.50959989483402801</v>
      </c>
      <c r="L2470" s="3">
        <v>0.538250133525631</v>
      </c>
      <c r="M2470" s="3">
        <v>2.68948638644757</v>
      </c>
      <c r="N2470" s="3">
        <v>3.6052405294061698</v>
      </c>
      <c r="O2470" s="3">
        <v>5.1833227821494701</v>
      </c>
      <c r="P2470" s="3">
        <v>5.7958538047379804</v>
      </c>
    </row>
    <row r="2471" spans="1:16" x14ac:dyDescent="0.3">
      <c r="A2471" s="3" t="str">
        <f t="shared" si="39"/>
        <v>LC0</v>
      </c>
      <c r="C2471" s="3" t="s">
        <v>850</v>
      </c>
      <c r="D2471" s="3" t="s">
        <v>1131</v>
      </c>
      <c r="E2471" s="3" t="s">
        <v>1132</v>
      </c>
      <c r="F2471" s="3" t="s">
        <v>6</v>
      </c>
      <c r="G2471" s="3">
        <v>6.72362754280599</v>
      </c>
      <c r="H2471" s="3">
        <v>0.74621797611007201</v>
      </c>
      <c r="I2471" s="3">
        <v>7.6326032103614603</v>
      </c>
      <c r="J2471" s="3">
        <v>8.0672753684639495</v>
      </c>
      <c r="K2471" s="3">
        <v>8.0854552557404205</v>
      </c>
      <c r="L2471" s="3">
        <v>8.1669941342918797</v>
      </c>
      <c r="M2471" s="3">
        <v>11.7210093514053</v>
      </c>
      <c r="N2471" s="3">
        <v>12.5118866197729</v>
      </c>
      <c r="O2471" s="3">
        <v>18.008951832595301</v>
      </c>
      <c r="P2471" s="3">
        <v>19.8206109634617</v>
      </c>
    </row>
    <row r="2472" spans="1:16" x14ac:dyDescent="0.3">
      <c r="A2472" s="3" t="str">
        <f t="shared" si="39"/>
        <v>LC0</v>
      </c>
      <c r="C2472" s="3" t="s">
        <v>850</v>
      </c>
      <c r="D2472" s="3" t="s">
        <v>1131</v>
      </c>
      <c r="E2472" s="3" t="s">
        <v>1132</v>
      </c>
      <c r="F2472" s="3" t="s">
        <v>7</v>
      </c>
      <c r="H2472" s="3">
        <v>0.108577966086846</v>
      </c>
      <c r="I2472" s="3">
        <v>1.0245290226721099E-2</v>
      </c>
      <c r="J2472" s="3">
        <v>8.5299525444660101E-2</v>
      </c>
      <c r="K2472" s="3">
        <v>8.6602070478597207E-2</v>
      </c>
      <c r="L2472" s="3">
        <v>9.2444134278966097E-2</v>
      </c>
      <c r="M2472" s="3">
        <v>1.17694303120002</v>
      </c>
      <c r="N2472" s="3">
        <v>1.46037215288054</v>
      </c>
      <c r="O2472" s="3">
        <v>2.1711076781498901</v>
      </c>
      <c r="P2472" s="3">
        <v>2.3233005173484198</v>
      </c>
    </row>
    <row r="2473" spans="1:16" x14ac:dyDescent="0.3">
      <c r="A2473" s="3" t="str">
        <f t="shared" si="39"/>
        <v>LC0</v>
      </c>
      <c r="C2473" s="3" t="s">
        <v>850</v>
      </c>
      <c r="D2473" s="3" t="s">
        <v>1131</v>
      </c>
      <c r="E2473" s="3" t="s">
        <v>1132</v>
      </c>
      <c r="F2473" s="3" t="s">
        <v>8</v>
      </c>
      <c r="G2473" s="3">
        <v>0.37296251724867002</v>
      </c>
      <c r="H2473" s="3">
        <v>0.343999357081547</v>
      </c>
      <c r="I2473" s="3">
        <v>0.347790285078038</v>
      </c>
      <c r="J2473" s="3">
        <v>0.33651706722375402</v>
      </c>
      <c r="K2473" s="3">
        <v>0.34026181719105197</v>
      </c>
      <c r="L2473" s="3">
        <v>0.35705745009009798</v>
      </c>
      <c r="M2473" s="3">
        <v>1.1918630449043801</v>
      </c>
      <c r="N2473" s="3">
        <v>2.2276642815645298</v>
      </c>
      <c r="O2473" s="3">
        <v>3.2622914720935201</v>
      </c>
      <c r="P2473" s="3">
        <v>3.4645840009751399</v>
      </c>
    </row>
    <row r="2474" spans="1:16" x14ac:dyDescent="0.3">
      <c r="A2474" s="3" t="str">
        <f t="shared" si="39"/>
        <v>C00</v>
      </c>
      <c r="C2474" s="3" t="s">
        <v>850</v>
      </c>
      <c r="D2474" s="3" t="s">
        <v>1131</v>
      </c>
      <c r="E2474" s="3" t="s">
        <v>1133</v>
      </c>
      <c r="F2474" s="3" t="s">
        <v>0</v>
      </c>
      <c r="G2474" s="3">
        <v>6.1644698119988899</v>
      </c>
      <c r="H2474" s="3">
        <v>2.9815189838159402</v>
      </c>
      <c r="J2474" s="3">
        <v>0.375013165714011</v>
      </c>
      <c r="K2474" s="3">
        <v>0.69592570763825201</v>
      </c>
      <c r="L2474" s="3">
        <v>1.25033658642507</v>
      </c>
      <c r="M2474" s="3">
        <v>0.82815139121399195</v>
      </c>
      <c r="N2474" s="3">
        <v>1.33657916357044</v>
      </c>
      <c r="O2474" s="3">
        <v>6.2503169779089598</v>
      </c>
      <c r="P2474" s="3">
        <v>6.6324331439879201</v>
      </c>
    </row>
    <row r="2475" spans="1:16" x14ac:dyDescent="0.3">
      <c r="A2475" s="3" t="str">
        <f t="shared" si="39"/>
        <v>C00</v>
      </c>
      <c r="C2475" s="3" t="s">
        <v>850</v>
      </c>
      <c r="D2475" s="3" t="s">
        <v>1131</v>
      </c>
      <c r="E2475" s="3" t="s">
        <v>1133</v>
      </c>
      <c r="F2475" s="3" t="s">
        <v>1</v>
      </c>
      <c r="G2475" s="3">
        <v>15.365960327817801</v>
      </c>
      <c r="H2475" s="3">
        <v>12.106351187023099</v>
      </c>
      <c r="I2475" s="3">
        <v>11.6230845703046</v>
      </c>
      <c r="J2475" s="3">
        <v>7.5832564845732504</v>
      </c>
      <c r="K2475" s="3">
        <v>8.3826154173120901</v>
      </c>
      <c r="L2475" s="3">
        <v>9.6847587316864097</v>
      </c>
      <c r="M2475" s="3">
        <v>2.3674600537065702</v>
      </c>
    </row>
    <row r="2476" spans="1:16" x14ac:dyDescent="0.3">
      <c r="A2476" s="3" t="str">
        <f t="shared" si="39"/>
        <v>C00</v>
      </c>
      <c r="C2476" s="3" t="s">
        <v>850</v>
      </c>
      <c r="D2476" s="3" t="s">
        <v>1131</v>
      </c>
      <c r="E2476" s="3" t="s">
        <v>1133</v>
      </c>
      <c r="F2476" s="3" t="s">
        <v>2</v>
      </c>
      <c r="G2476" s="3">
        <v>22.582653312888201</v>
      </c>
      <c r="H2476" s="3">
        <v>20.868164714465902</v>
      </c>
      <c r="I2476" s="3">
        <v>19.8883515495084</v>
      </c>
      <c r="J2476" s="3">
        <v>10.998934232161799</v>
      </c>
      <c r="K2476" s="3">
        <v>11.757740235608299</v>
      </c>
      <c r="L2476" s="3">
        <v>13.209851614995999</v>
      </c>
      <c r="M2476" s="3">
        <v>2.25637830375004</v>
      </c>
    </row>
    <row r="2477" spans="1:16" x14ac:dyDescent="0.3">
      <c r="A2477" s="3" t="str">
        <f t="shared" si="39"/>
        <v>C00</v>
      </c>
      <c r="C2477" s="3" t="s">
        <v>850</v>
      </c>
      <c r="D2477" s="3" t="s">
        <v>1131</v>
      </c>
      <c r="E2477" s="3" t="s">
        <v>1133</v>
      </c>
      <c r="F2477" s="3" t="s">
        <v>3</v>
      </c>
      <c r="G2477" s="3">
        <v>15.0512348049871</v>
      </c>
      <c r="H2477" s="3">
        <v>12.886582554431699</v>
      </c>
      <c r="I2477" s="3">
        <v>12.9470391528187</v>
      </c>
      <c r="J2477" s="3">
        <v>7.58286963679162</v>
      </c>
      <c r="K2477" s="3">
        <v>8.0968269856046895</v>
      </c>
      <c r="L2477" s="3">
        <v>9.0803765507657097</v>
      </c>
      <c r="M2477" s="3">
        <v>7.9898623291714701</v>
      </c>
      <c r="N2477" s="3">
        <v>6.1670802481130798</v>
      </c>
      <c r="O2477" s="3">
        <v>8.9053026549203498</v>
      </c>
      <c r="P2477" s="3">
        <v>9.3916183412802301</v>
      </c>
    </row>
    <row r="2478" spans="1:16" x14ac:dyDescent="0.3">
      <c r="A2478" s="3" t="str">
        <f t="shared" si="39"/>
        <v>C00</v>
      </c>
      <c r="C2478" s="3" t="s">
        <v>850</v>
      </c>
      <c r="D2478" s="3" t="s">
        <v>1131</v>
      </c>
      <c r="E2478" s="3" t="s">
        <v>1133</v>
      </c>
      <c r="F2478" s="3" t="s">
        <v>4</v>
      </c>
      <c r="G2478" s="3">
        <v>4.9909291553553103</v>
      </c>
      <c r="H2478" s="3">
        <v>2.8793412059321701</v>
      </c>
      <c r="I2478" s="3">
        <v>2.5638763324915899</v>
      </c>
      <c r="J2478" s="3">
        <v>0.22216967671197799</v>
      </c>
      <c r="L2478" s="3">
        <v>3.14276311268578E-2</v>
      </c>
    </row>
    <row r="2479" spans="1:16" x14ac:dyDescent="0.3">
      <c r="A2479" s="3" t="str">
        <f t="shared" si="39"/>
        <v>C00</v>
      </c>
      <c r="C2479" s="3" t="s">
        <v>850</v>
      </c>
      <c r="D2479" s="3" t="s">
        <v>1131</v>
      </c>
      <c r="E2479" s="3" t="s">
        <v>1133</v>
      </c>
      <c r="F2479" s="3" t="s">
        <v>5</v>
      </c>
      <c r="G2479" s="3">
        <v>3.8800216095727298</v>
      </c>
      <c r="H2479" s="3">
        <v>5.5456007202339803</v>
      </c>
      <c r="I2479" s="3">
        <v>6.8598768175931699</v>
      </c>
      <c r="J2479" s="3">
        <v>1.91438088007217</v>
      </c>
      <c r="K2479" s="3">
        <v>2.4825909897945202</v>
      </c>
      <c r="L2479" s="3">
        <v>2.62474724476421</v>
      </c>
      <c r="M2479" s="3">
        <v>0.68443456611604903</v>
      </c>
    </row>
    <row r="2480" spans="1:16" x14ac:dyDescent="0.3">
      <c r="A2480" s="3" t="str">
        <f t="shared" si="39"/>
        <v>C00</v>
      </c>
      <c r="C2480" s="3" t="s">
        <v>850</v>
      </c>
      <c r="D2480" s="3" t="s">
        <v>1131</v>
      </c>
      <c r="E2480" s="3" t="s">
        <v>1133</v>
      </c>
      <c r="F2480" s="3" t="s">
        <v>6</v>
      </c>
      <c r="G2480" s="3">
        <v>14.712078405132599</v>
      </c>
      <c r="H2480" s="3">
        <v>13.384654227373799</v>
      </c>
      <c r="I2480" s="3">
        <v>10.804811313154699</v>
      </c>
      <c r="J2480" s="3">
        <v>2.2187651962675798</v>
      </c>
      <c r="K2480" s="3">
        <v>2.3094229388042802</v>
      </c>
      <c r="L2480" s="3">
        <v>2.8212662223225502</v>
      </c>
    </row>
    <row r="2481" spans="1:16" x14ac:dyDescent="0.3">
      <c r="A2481" s="3" t="str">
        <f t="shared" si="39"/>
        <v>C00</v>
      </c>
      <c r="C2481" s="3" t="s">
        <v>850</v>
      </c>
      <c r="D2481" s="3" t="s">
        <v>1131</v>
      </c>
      <c r="E2481" s="3" t="s">
        <v>1133</v>
      </c>
      <c r="F2481" s="3" t="s">
        <v>7</v>
      </c>
      <c r="G2481" s="3">
        <v>4.9194817826436301</v>
      </c>
      <c r="H2481" s="3">
        <v>3.1883934892588499</v>
      </c>
      <c r="I2481" s="3">
        <v>2.8469941492664801</v>
      </c>
      <c r="J2481" s="3">
        <v>2.5096649601104302</v>
      </c>
      <c r="K2481" s="3">
        <v>2.6367653789400398</v>
      </c>
      <c r="L2481" s="3">
        <v>2.89986690577599</v>
      </c>
      <c r="M2481" s="3">
        <v>2.12475776048703</v>
      </c>
      <c r="N2481" s="3">
        <v>2.0912810880925901</v>
      </c>
      <c r="O2481" s="3">
        <v>3.03100693383033</v>
      </c>
      <c r="P2481" s="3">
        <v>3.2025447266723002</v>
      </c>
    </row>
    <row r="2482" spans="1:16" x14ac:dyDescent="0.3">
      <c r="A2482" s="3" t="str">
        <f t="shared" si="39"/>
        <v>C00</v>
      </c>
      <c r="C2482" s="3" t="s">
        <v>850</v>
      </c>
      <c r="D2482" s="3" t="s">
        <v>1131</v>
      </c>
      <c r="E2482" s="3" t="s">
        <v>1133</v>
      </c>
      <c r="F2482" s="3" t="s">
        <v>8</v>
      </c>
      <c r="G2482" s="3">
        <v>2.6365390883499402</v>
      </c>
      <c r="H2482" s="3">
        <v>1.6453354181706299</v>
      </c>
      <c r="I2482" s="3">
        <v>1.2178994827541401</v>
      </c>
      <c r="J2482" s="3">
        <v>1.2710260375811999</v>
      </c>
      <c r="K2482" s="3">
        <v>1.35255724541179</v>
      </c>
      <c r="L2482" s="3">
        <v>1.5183868027145999</v>
      </c>
      <c r="M2482" s="3">
        <v>0.87758267397281997</v>
      </c>
    </row>
    <row r="2483" spans="1:16" x14ac:dyDescent="0.3">
      <c r="A2483" s="3" t="str">
        <f t="shared" si="39"/>
        <v>L00</v>
      </c>
      <c r="C2483" s="3" t="s">
        <v>850</v>
      </c>
      <c r="D2483" s="3" t="s">
        <v>1134</v>
      </c>
      <c r="E2483" s="3" t="s">
        <v>1217</v>
      </c>
      <c r="F2483" s="3" t="s">
        <v>0</v>
      </c>
      <c r="G2483" s="3">
        <v>3.03018138015352</v>
      </c>
      <c r="H2483" s="3">
        <v>0.47305075827402898</v>
      </c>
      <c r="I2483" s="3">
        <v>3.0654489400068501</v>
      </c>
      <c r="J2483" s="3">
        <v>0.55869550178817895</v>
      </c>
      <c r="K2483" s="3">
        <v>0.61197630439426198</v>
      </c>
      <c r="L2483" s="3">
        <v>0.68299975820736702</v>
      </c>
      <c r="M2483" s="3">
        <v>5.0789999940039596</v>
      </c>
      <c r="N2483" s="3">
        <v>5.7966041329681204</v>
      </c>
      <c r="O2483" s="3">
        <v>7.2675819757462197</v>
      </c>
      <c r="P2483" s="3">
        <v>7.9424019168151396</v>
      </c>
    </row>
    <row r="2484" spans="1:16" x14ac:dyDescent="0.3">
      <c r="A2484" s="3" t="str">
        <f t="shared" si="39"/>
        <v>L00</v>
      </c>
      <c r="C2484" s="3" t="s">
        <v>850</v>
      </c>
      <c r="D2484" s="3" t="s">
        <v>1134</v>
      </c>
      <c r="E2484" s="3" t="s">
        <v>1217</v>
      </c>
      <c r="F2484" s="3" t="s">
        <v>1</v>
      </c>
      <c r="G2484" s="3">
        <v>1.1890521300757999</v>
      </c>
      <c r="H2484" s="3">
        <v>1.0962864507633501</v>
      </c>
      <c r="I2484" s="3">
        <v>0.25986001576994699</v>
      </c>
      <c r="J2484" s="3">
        <v>1.3628209117275301</v>
      </c>
      <c r="K2484" s="3">
        <v>1.4936168397546099</v>
      </c>
      <c r="L2484" s="3">
        <v>1.6277235024786401</v>
      </c>
      <c r="M2484" s="3">
        <v>14.933255327114599</v>
      </c>
      <c r="N2484" s="3">
        <v>16.371132973304402</v>
      </c>
      <c r="O2484" s="3">
        <v>17.840762198317702</v>
      </c>
      <c r="P2484" s="3">
        <v>19.497338228071701</v>
      </c>
    </row>
    <row r="2485" spans="1:16" x14ac:dyDescent="0.3">
      <c r="A2485" s="3" t="str">
        <f t="shared" si="39"/>
        <v>L00</v>
      </c>
      <c r="C2485" s="3" t="s">
        <v>850</v>
      </c>
      <c r="D2485" s="3" t="s">
        <v>1134</v>
      </c>
      <c r="E2485" s="3" t="s">
        <v>1217</v>
      </c>
      <c r="F2485" s="3" t="s">
        <v>2</v>
      </c>
      <c r="G2485" s="3">
        <v>4.0537300221354098</v>
      </c>
      <c r="H2485" s="3">
        <v>10.342595872774201</v>
      </c>
      <c r="I2485" s="3">
        <v>3.2658789303764002</v>
      </c>
      <c r="J2485" s="3">
        <v>13.798832416916801</v>
      </c>
      <c r="K2485" s="3">
        <v>15.1210754533714</v>
      </c>
      <c r="L2485" s="3">
        <v>16.4767873903081</v>
      </c>
      <c r="M2485" s="3">
        <v>29.241357949425399</v>
      </c>
      <c r="N2485" s="3">
        <v>76.733176830810606</v>
      </c>
      <c r="O2485" s="3">
        <v>79.913186994486395</v>
      </c>
      <c r="P2485" s="3">
        <v>86.494282973734201</v>
      </c>
    </row>
    <row r="2486" spans="1:16" x14ac:dyDescent="0.3">
      <c r="A2486" s="3" t="str">
        <f t="shared" si="39"/>
        <v>L00</v>
      </c>
      <c r="C2486" s="3" t="s">
        <v>850</v>
      </c>
      <c r="D2486" s="3" t="s">
        <v>1134</v>
      </c>
      <c r="E2486" s="3" t="s">
        <v>1217</v>
      </c>
      <c r="F2486" s="3" t="s">
        <v>3</v>
      </c>
      <c r="G2486" s="3">
        <v>3.5811252082546599</v>
      </c>
      <c r="H2486" s="3">
        <v>14.9191285821401</v>
      </c>
      <c r="I2486" s="3">
        <v>0.42267295326280502</v>
      </c>
      <c r="J2486" s="3">
        <v>21.1366311223479</v>
      </c>
      <c r="K2486" s="3">
        <v>23.159892827415</v>
      </c>
      <c r="L2486" s="3">
        <v>25.159613383043201</v>
      </c>
      <c r="M2486" s="3">
        <v>47.4209503937333</v>
      </c>
      <c r="N2486" s="3">
        <v>51.9732052077105</v>
      </c>
      <c r="O2486" s="3">
        <v>56.3852484266516</v>
      </c>
      <c r="P2486" s="3">
        <v>58.623375293681299</v>
      </c>
    </row>
    <row r="2487" spans="1:16" x14ac:dyDescent="0.3">
      <c r="A2487" s="3" t="str">
        <f t="shared" si="39"/>
        <v>L00</v>
      </c>
      <c r="C2487" s="3" t="s">
        <v>850</v>
      </c>
      <c r="D2487" s="3" t="s">
        <v>1134</v>
      </c>
      <c r="E2487" s="3" t="s">
        <v>1217</v>
      </c>
      <c r="F2487" s="3" t="s">
        <v>4</v>
      </c>
      <c r="G2487" s="3">
        <v>3.7420274901263499</v>
      </c>
      <c r="H2487" s="3">
        <v>5.8134222223871799</v>
      </c>
      <c r="I2487" s="3">
        <v>15.175198383766601</v>
      </c>
      <c r="J2487" s="3">
        <v>13.7249931445449</v>
      </c>
      <c r="K2487" s="3">
        <v>13.9870044073781</v>
      </c>
      <c r="L2487" s="3">
        <v>15.280447134051</v>
      </c>
      <c r="M2487" s="3">
        <v>16.963345490782</v>
      </c>
      <c r="N2487" s="3">
        <v>18.302105133162399</v>
      </c>
      <c r="O2487" s="3">
        <v>19.855683388775301</v>
      </c>
      <c r="P2487" s="3">
        <v>20.640648759215299</v>
      </c>
    </row>
    <row r="2488" spans="1:16" x14ac:dyDescent="0.3">
      <c r="A2488" s="3" t="str">
        <f t="shared" si="39"/>
        <v>L00</v>
      </c>
      <c r="C2488" s="3" t="s">
        <v>850</v>
      </c>
      <c r="D2488" s="3" t="s">
        <v>1134</v>
      </c>
      <c r="E2488" s="3" t="s">
        <v>1217</v>
      </c>
      <c r="F2488" s="3" t="s">
        <v>5</v>
      </c>
      <c r="G2488" s="3">
        <v>0.33310018726576501</v>
      </c>
      <c r="H2488" s="3">
        <v>0.63203840098502795</v>
      </c>
      <c r="J2488" s="3">
        <v>2.6752815988249199</v>
      </c>
      <c r="K2488" s="3">
        <v>2.8630709605656901</v>
      </c>
      <c r="L2488" s="3">
        <v>3.18494142657251</v>
      </c>
      <c r="M2488" s="3">
        <v>14.564456076505399</v>
      </c>
      <c r="N2488" s="3">
        <v>15.952950514107499</v>
      </c>
      <c r="O2488" s="3">
        <v>17.307120258585599</v>
      </c>
      <c r="P2488" s="3">
        <v>17.915998334612301</v>
      </c>
    </row>
    <row r="2489" spans="1:16" x14ac:dyDescent="0.3">
      <c r="A2489" s="3" t="str">
        <f t="shared" si="39"/>
        <v>L00</v>
      </c>
      <c r="C2489" s="3" t="s">
        <v>850</v>
      </c>
      <c r="D2489" s="3" t="s">
        <v>1134</v>
      </c>
      <c r="E2489" s="3" t="s">
        <v>1217</v>
      </c>
      <c r="F2489" s="3" t="s">
        <v>6</v>
      </c>
      <c r="G2489" s="3">
        <v>1.21029241960561</v>
      </c>
      <c r="H2489" s="3">
        <v>0.34541863180715399</v>
      </c>
      <c r="I2489" s="3">
        <v>0.45386707349864802</v>
      </c>
      <c r="J2489" s="3">
        <v>1.0424103546516901</v>
      </c>
      <c r="K2489" s="3">
        <v>1.1327795876915501</v>
      </c>
      <c r="L2489" s="3">
        <v>1.2723237268296299</v>
      </c>
      <c r="M2489" s="3">
        <v>10.312271374095101</v>
      </c>
      <c r="N2489" s="3">
        <v>55.420587733771001</v>
      </c>
      <c r="O2489" s="3">
        <v>57.709200807543901</v>
      </c>
      <c r="P2489" s="3">
        <v>62.466009050960601</v>
      </c>
    </row>
    <row r="2490" spans="1:16" x14ac:dyDescent="0.3">
      <c r="A2490" s="3" t="str">
        <f t="shared" si="39"/>
        <v>L00</v>
      </c>
      <c r="C2490" s="3" t="s">
        <v>850</v>
      </c>
      <c r="D2490" s="3" t="s">
        <v>1134</v>
      </c>
      <c r="E2490" s="3" t="s">
        <v>1217</v>
      </c>
      <c r="F2490" s="3" t="s">
        <v>7</v>
      </c>
      <c r="H2490" s="3">
        <v>1.41416810588518</v>
      </c>
      <c r="I2490" s="3">
        <v>1.3690351885749401</v>
      </c>
      <c r="J2490" s="3">
        <v>1.5892473461707901</v>
      </c>
      <c r="K2490" s="3">
        <v>1.7485038172809899</v>
      </c>
      <c r="L2490" s="3">
        <v>2.7241094197334599</v>
      </c>
      <c r="M2490" s="3">
        <v>4.3086004409340299</v>
      </c>
      <c r="N2490" s="3">
        <v>20.043940243469201</v>
      </c>
      <c r="O2490" s="3">
        <v>30.558826142175</v>
      </c>
      <c r="P2490" s="3">
        <v>33.222933506494698</v>
      </c>
    </row>
    <row r="2491" spans="1:16" x14ac:dyDescent="0.3">
      <c r="A2491" s="3" t="str">
        <f t="shared" si="39"/>
        <v>L00</v>
      </c>
      <c r="C2491" s="3" t="s">
        <v>850</v>
      </c>
      <c r="D2491" s="3" t="s">
        <v>1134</v>
      </c>
      <c r="E2491" s="3" t="s">
        <v>1217</v>
      </c>
      <c r="F2491" s="3" t="s">
        <v>8</v>
      </c>
      <c r="G2491" s="3">
        <v>16.7084640924983</v>
      </c>
      <c r="H2491" s="3">
        <v>5.80566583524437</v>
      </c>
      <c r="I2491" s="3">
        <v>13.8495472801432</v>
      </c>
      <c r="J2491" s="3">
        <v>7.78111177902906</v>
      </c>
      <c r="K2491" s="3">
        <v>8.5229340647365994</v>
      </c>
      <c r="L2491" s="3">
        <v>9.2835332502002803</v>
      </c>
      <c r="M2491" s="3">
        <v>16.8243276198193</v>
      </c>
      <c r="N2491" s="3">
        <v>18.463897359090801</v>
      </c>
      <c r="O2491" s="3">
        <v>19.461639656135201</v>
      </c>
      <c r="P2491" s="3">
        <v>20.8538870654119</v>
      </c>
    </row>
    <row r="2492" spans="1:16" x14ac:dyDescent="0.3">
      <c r="A2492" s="3" t="str">
        <f t="shared" si="39"/>
        <v>C00</v>
      </c>
      <c r="C2492" s="3" t="s">
        <v>850</v>
      </c>
      <c r="D2492" s="3" t="s">
        <v>1134</v>
      </c>
      <c r="E2492" s="3" t="s">
        <v>1135</v>
      </c>
      <c r="F2492" s="3" t="s">
        <v>0</v>
      </c>
      <c r="G2492" s="3">
        <v>3.7325931331584199</v>
      </c>
      <c r="H2492" s="3">
        <v>4.5451031683402201</v>
      </c>
      <c r="J2492" s="3">
        <v>2.9012282694124201</v>
      </c>
      <c r="K2492" s="3">
        <v>3.3657323435829198</v>
      </c>
      <c r="L2492" s="3">
        <v>3.8182939784654502</v>
      </c>
      <c r="O2492" s="3">
        <v>0.34226349659886202</v>
      </c>
      <c r="P2492" s="3">
        <v>0.30745872284157799</v>
      </c>
    </row>
    <row r="2493" spans="1:16" x14ac:dyDescent="0.3">
      <c r="A2493" s="3" t="str">
        <f t="shared" si="39"/>
        <v>C00</v>
      </c>
      <c r="C2493" s="3" t="s">
        <v>850</v>
      </c>
      <c r="D2493" s="3" t="s">
        <v>1134</v>
      </c>
      <c r="E2493" s="3" t="s">
        <v>1135</v>
      </c>
      <c r="F2493" s="3" t="s">
        <v>1</v>
      </c>
      <c r="G2493" s="3">
        <v>17.426590829746001</v>
      </c>
      <c r="H2493" s="3">
        <v>14.349093039271001</v>
      </c>
      <c r="I2493" s="3">
        <v>15.0378029405648</v>
      </c>
      <c r="J2493" s="3">
        <v>13.706444923187901</v>
      </c>
      <c r="K2493" s="3">
        <v>13.8907323203441</v>
      </c>
      <c r="L2493" s="3">
        <v>15.1978792512536</v>
      </c>
      <c r="M2493" s="3">
        <v>3.48257838891909</v>
      </c>
      <c r="N2493" s="3">
        <v>3.8158840112993699</v>
      </c>
      <c r="O2493" s="3">
        <v>3.1038946711926001</v>
      </c>
      <c r="P2493" s="3">
        <v>3.20906506963785</v>
      </c>
    </row>
    <row r="2494" spans="1:16" x14ac:dyDescent="0.3">
      <c r="A2494" s="3" t="str">
        <f t="shared" si="39"/>
        <v>C00</v>
      </c>
      <c r="C2494" s="3" t="s">
        <v>850</v>
      </c>
      <c r="D2494" s="3" t="s">
        <v>1134</v>
      </c>
      <c r="E2494" s="3" t="s">
        <v>1135</v>
      </c>
      <c r="F2494" s="3" t="s">
        <v>2</v>
      </c>
      <c r="G2494" s="3">
        <v>61.490373315091098</v>
      </c>
      <c r="H2494" s="3">
        <v>40.4106712324933</v>
      </c>
      <c r="I2494" s="3">
        <v>53.0633905505223</v>
      </c>
      <c r="J2494" s="3">
        <v>39.308320150770498</v>
      </c>
      <c r="K2494" s="3">
        <v>43.391728369279903</v>
      </c>
      <c r="L2494" s="3">
        <v>47.502504883083397</v>
      </c>
      <c r="M2494" s="3">
        <v>40.770875421696402</v>
      </c>
    </row>
    <row r="2495" spans="1:16" x14ac:dyDescent="0.3">
      <c r="A2495" s="3" t="str">
        <f t="shared" si="39"/>
        <v>C00</v>
      </c>
      <c r="C2495" s="3" t="s">
        <v>850</v>
      </c>
      <c r="D2495" s="3" t="s">
        <v>1134</v>
      </c>
      <c r="E2495" s="3" t="s">
        <v>1135</v>
      </c>
      <c r="F2495" s="3" t="s">
        <v>3</v>
      </c>
      <c r="G2495" s="3">
        <v>39.087008101130202</v>
      </c>
      <c r="H2495" s="3">
        <v>19.385259174266199</v>
      </c>
      <c r="I2495" s="3">
        <v>37.730480647900997</v>
      </c>
      <c r="J2495" s="3">
        <v>14.8341060788951</v>
      </c>
      <c r="K2495" s="3">
        <v>16.472220502892</v>
      </c>
      <c r="L2495" s="3">
        <v>18.1750825555966</v>
      </c>
    </row>
    <row r="2496" spans="1:16" x14ac:dyDescent="0.3">
      <c r="A2496" s="3" t="str">
        <f t="shared" si="39"/>
        <v>C00</v>
      </c>
      <c r="C2496" s="3" t="s">
        <v>850</v>
      </c>
      <c r="D2496" s="3" t="s">
        <v>1134</v>
      </c>
      <c r="E2496" s="3" t="s">
        <v>1135</v>
      </c>
      <c r="F2496" s="3" t="s">
        <v>4</v>
      </c>
      <c r="G2496" s="3">
        <v>11.326342170501899</v>
      </c>
      <c r="H2496" s="3">
        <v>4.5429690061910497</v>
      </c>
    </row>
    <row r="2497" spans="1:16" x14ac:dyDescent="0.3">
      <c r="A2497" s="3" t="str">
        <f t="shared" si="39"/>
        <v>C00</v>
      </c>
      <c r="C2497" s="3" t="s">
        <v>850</v>
      </c>
      <c r="D2497" s="3" t="s">
        <v>1134</v>
      </c>
      <c r="E2497" s="3" t="s">
        <v>1135</v>
      </c>
      <c r="F2497" s="3" t="s">
        <v>5</v>
      </c>
      <c r="G2497" s="3">
        <v>14.527861125664099</v>
      </c>
      <c r="H2497" s="3">
        <v>20.2939613185928</v>
      </c>
      <c r="I2497" s="3">
        <v>21.1945133246791</v>
      </c>
      <c r="J2497" s="3">
        <v>9.2880491135889596</v>
      </c>
      <c r="K2497" s="3">
        <v>9.3286407320526301</v>
      </c>
      <c r="L2497" s="3">
        <v>10.1341940056274</v>
      </c>
    </row>
    <row r="2498" spans="1:16" x14ac:dyDescent="0.3">
      <c r="A2498" s="3" t="str">
        <f t="shared" si="39"/>
        <v>C00</v>
      </c>
      <c r="C2498" s="3" t="s">
        <v>850</v>
      </c>
      <c r="D2498" s="3" t="s">
        <v>1134</v>
      </c>
      <c r="E2498" s="3" t="s">
        <v>1135</v>
      </c>
      <c r="F2498" s="3" t="s">
        <v>6</v>
      </c>
      <c r="G2498" s="3">
        <v>50.416722252261998</v>
      </c>
      <c r="H2498" s="3">
        <v>40.262401409157498</v>
      </c>
      <c r="I2498" s="3">
        <v>41.168032315907098</v>
      </c>
      <c r="J2498" s="3">
        <v>40.518228772833503</v>
      </c>
      <c r="K2498" s="3">
        <v>41.221255603985803</v>
      </c>
      <c r="L2498" s="3">
        <v>44.998384196789303</v>
      </c>
      <c r="M2498" s="3">
        <v>40.284683406703898</v>
      </c>
    </row>
    <row r="2499" spans="1:16" x14ac:dyDescent="0.3">
      <c r="A2499" s="3" t="str">
        <f t="shared" si="39"/>
        <v>C00</v>
      </c>
      <c r="C2499" s="3" t="s">
        <v>850</v>
      </c>
      <c r="D2499" s="3" t="s">
        <v>1134</v>
      </c>
      <c r="E2499" s="3" t="s">
        <v>1135</v>
      </c>
      <c r="F2499" s="3" t="s">
        <v>7</v>
      </c>
      <c r="G2499" s="3">
        <v>26.646332424105299</v>
      </c>
      <c r="H2499" s="3">
        <v>19.420306548464701</v>
      </c>
      <c r="I2499" s="3">
        <v>20.7179525026364</v>
      </c>
      <c r="J2499" s="3">
        <v>18.646038777778799</v>
      </c>
      <c r="K2499" s="3">
        <v>20.598317356882699</v>
      </c>
      <c r="L2499" s="3">
        <v>21.757137345886498</v>
      </c>
      <c r="M2499" s="3">
        <v>22.5239265327968</v>
      </c>
      <c r="N2499" s="3">
        <v>9.40334054983912</v>
      </c>
    </row>
    <row r="2500" spans="1:16" x14ac:dyDescent="0.3">
      <c r="A2500" s="3" t="str">
        <f t="shared" si="39"/>
        <v>C00</v>
      </c>
      <c r="C2500" s="3" t="s">
        <v>850</v>
      </c>
      <c r="D2500" s="3" t="s">
        <v>1134</v>
      </c>
      <c r="E2500" s="3" t="s">
        <v>1135</v>
      </c>
      <c r="F2500" s="3" t="s">
        <v>8</v>
      </c>
      <c r="H2500" s="3">
        <v>4.5838212735268602</v>
      </c>
      <c r="J2500" s="3">
        <v>4.9073342788450098</v>
      </c>
      <c r="K2500" s="3">
        <v>5.4183651151879104</v>
      </c>
      <c r="L2500" s="3">
        <v>6.0664345851901</v>
      </c>
    </row>
    <row r="2501" spans="1:16" x14ac:dyDescent="0.3">
      <c r="A2501" s="3" t="str">
        <f t="shared" si="39"/>
        <v>LC0</v>
      </c>
      <c r="C2501" s="3" t="s">
        <v>850</v>
      </c>
      <c r="D2501" s="3" t="s">
        <v>1255</v>
      </c>
      <c r="E2501" s="3" t="s">
        <v>1550</v>
      </c>
      <c r="F2501" s="3" t="s">
        <v>1</v>
      </c>
      <c r="G2501" s="3">
        <v>1.80330723091585</v>
      </c>
      <c r="H2501" s="3">
        <v>3.64384751584825</v>
      </c>
      <c r="I2501" s="3">
        <v>3.9838982917380901</v>
      </c>
      <c r="J2501" s="3">
        <v>3.61382802254685</v>
      </c>
      <c r="K2501" s="3">
        <v>3.5096622896671898</v>
      </c>
      <c r="L2501" s="3">
        <v>3.5305171113779799</v>
      </c>
      <c r="M2501" s="3">
        <v>3.4931024456505302</v>
      </c>
      <c r="N2501" s="3">
        <v>1.5419084913422301</v>
      </c>
      <c r="O2501" s="3">
        <v>0.97006367764012902</v>
      </c>
      <c r="P2501" s="3">
        <v>0.98069478845491898</v>
      </c>
    </row>
    <row r="2502" spans="1:16" x14ac:dyDescent="0.3">
      <c r="A2502" s="3" t="str">
        <f t="shared" si="39"/>
        <v>LC0</v>
      </c>
      <c r="C2502" s="3" t="s">
        <v>850</v>
      </c>
      <c r="D2502" s="3" t="s">
        <v>1255</v>
      </c>
      <c r="E2502" s="3" t="s">
        <v>1550</v>
      </c>
      <c r="F2502" s="3" t="s">
        <v>2</v>
      </c>
      <c r="G2502" s="3">
        <v>2.2110043648685602E-3</v>
      </c>
      <c r="H2502" s="3">
        <v>6.5818121671737803E-3</v>
      </c>
      <c r="I2502" s="3">
        <v>7.7322626380064499E-3</v>
      </c>
      <c r="J2502" s="3">
        <v>7.8466056888584108E-3</v>
      </c>
      <c r="K2502" s="3">
        <v>8.1766684698045804E-3</v>
      </c>
      <c r="L2502" s="3">
        <v>8.9809975462737893E-3</v>
      </c>
      <c r="M2502" s="3">
        <v>9.6390999141813608E-3</v>
      </c>
      <c r="N2502" s="3">
        <v>1.01716893294339E-2</v>
      </c>
      <c r="O2502" s="3">
        <v>1.0589868781046599E-2</v>
      </c>
      <c r="P2502" s="3">
        <v>1.07059251477614E-2</v>
      </c>
    </row>
    <row r="2503" spans="1:16" x14ac:dyDescent="0.3">
      <c r="A2503" s="3" t="str">
        <f t="shared" si="39"/>
        <v>LC0</v>
      </c>
      <c r="C2503" s="3" t="s">
        <v>850</v>
      </c>
      <c r="D2503" s="3" t="s">
        <v>1255</v>
      </c>
      <c r="E2503" s="3" t="s">
        <v>1550</v>
      </c>
      <c r="F2503" s="3" t="s">
        <v>5</v>
      </c>
      <c r="H2503" s="3">
        <v>5.4010776373223197E-3</v>
      </c>
      <c r="I2503" s="3">
        <v>5.4010776373223197E-3</v>
      </c>
      <c r="J2503" s="3">
        <v>5.4010776373223197E-3</v>
      </c>
      <c r="K2503" s="3">
        <v>5.4010776372823699E-3</v>
      </c>
      <c r="L2503" s="3">
        <v>5.7799722538362103E-3</v>
      </c>
      <c r="M2503" s="3">
        <v>6.2035124460131704E-3</v>
      </c>
      <c r="N2503" s="3">
        <v>6.5462752657317698E-3</v>
      </c>
      <c r="O2503" s="3">
        <v>6.8154063521748999E-3</v>
      </c>
      <c r="P2503" s="3">
        <v>6.8900976742145899E-3</v>
      </c>
    </row>
    <row r="2504" spans="1:16" x14ac:dyDescent="0.3">
      <c r="A2504" s="3" t="str">
        <f t="shared" si="39"/>
        <v>LC0</v>
      </c>
      <c r="C2504" s="3" t="s">
        <v>850</v>
      </c>
      <c r="D2504" s="3" t="s">
        <v>1255</v>
      </c>
      <c r="E2504" s="3" t="s">
        <v>1550</v>
      </c>
      <c r="F2504" s="3" t="s">
        <v>6</v>
      </c>
      <c r="G2504" s="3">
        <v>0.27714152509260298</v>
      </c>
      <c r="H2504" s="3">
        <v>0.36745616478488202</v>
      </c>
      <c r="I2504" s="3">
        <v>0.32080921004331497</v>
      </c>
      <c r="J2504" s="3">
        <v>0.32555326822321201</v>
      </c>
      <c r="K2504" s="3">
        <v>0.33924747197357902</v>
      </c>
      <c r="L2504" s="3">
        <v>0.37261883915559202</v>
      </c>
      <c r="M2504" s="3">
        <v>0.39992330495816902</v>
      </c>
      <c r="N2504" s="3">
        <v>0.42202027677398801</v>
      </c>
      <c r="O2504" s="3">
        <v>0.43937041421531098</v>
      </c>
      <c r="P2504" s="3">
        <v>0.44418555734943099</v>
      </c>
    </row>
    <row r="2505" spans="1:16" x14ac:dyDescent="0.3">
      <c r="A2505" s="3" t="str">
        <f t="shared" si="39"/>
        <v>C00</v>
      </c>
      <c r="C2505" s="3" t="s">
        <v>850</v>
      </c>
      <c r="D2505" s="3" t="s">
        <v>1255</v>
      </c>
      <c r="E2505" s="3" t="s">
        <v>1551</v>
      </c>
      <c r="F2505" s="3" t="s">
        <v>0</v>
      </c>
      <c r="G2505" s="3">
        <v>1.2901587428648</v>
      </c>
      <c r="H2505" s="3">
        <v>1.24481528814479</v>
      </c>
      <c r="I2505" s="3">
        <v>1.18050831030729</v>
      </c>
      <c r="J2505" s="3">
        <v>1.05827135499725</v>
      </c>
      <c r="K2505" s="3">
        <v>1.00482918041722</v>
      </c>
      <c r="L2505" s="3">
        <v>1.0036434452277601</v>
      </c>
      <c r="M2505" s="3">
        <v>1.0038636588649501</v>
      </c>
      <c r="N2505" s="3">
        <v>0.984659841873048</v>
      </c>
      <c r="O2505" s="3">
        <v>0.95908163354842302</v>
      </c>
      <c r="P2505" s="3">
        <v>0.95720083392696298</v>
      </c>
    </row>
    <row r="2506" spans="1:16" x14ac:dyDescent="0.3">
      <c r="A2506" s="3" t="str">
        <f t="shared" si="39"/>
        <v>C00</v>
      </c>
      <c r="C2506" s="3" t="s">
        <v>850</v>
      </c>
      <c r="D2506" s="3" t="s">
        <v>1255</v>
      </c>
      <c r="E2506" s="3" t="s">
        <v>1551</v>
      </c>
      <c r="F2506" s="3" t="s">
        <v>1</v>
      </c>
      <c r="G2506" s="3">
        <v>1.4725853936053901</v>
      </c>
      <c r="N2506" s="3">
        <v>1.17610987304134</v>
      </c>
      <c r="O2506" s="3">
        <v>1.6786620245303401</v>
      </c>
      <c r="P2506" s="3">
        <v>1.66019895716996</v>
      </c>
    </row>
    <row r="2507" spans="1:16" x14ac:dyDescent="0.3">
      <c r="A2507" s="3" t="str">
        <f t="shared" si="39"/>
        <v>C00</v>
      </c>
      <c r="C2507" s="3" t="s">
        <v>850</v>
      </c>
      <c r="D2507" s="3" t="s">
        <v>1255</v>
      </c>
      <c r="E2507" s="3" t="s">
        <v>1551</v>
      </c>
      <c r="F2507" s="3" t="s">
        <v>2</v>
      </c>
      <c r="G2507" s="3">
        <v>32.8006079997322</v>
      </c>
      <c r="H2507" s="3">
        <v>34.195101110409198</v>
      </c>
      <c r="I2507" s="3">
        <v>37.471214037263799</v>
      </c>
      <c r="J2507" s="3">
        <v>32.264346392653998</v>
      </c>
      <c r="K2507" s="3">
        <v>31.0958710828534</v>
      </c>
      <c r="L2507" s="3">
        <v>31.156547061446801</v>
      </c>
      <c r="M2507" s="3">
        <v>30.655700922423598</v>
      </c>
      <c r="N2507" s="3">
        <v>29.734291528047802</v>
      </c>
      <c r="O2507" s="3">
        <v>29.0916622251275</v>
      </c>
      <c r="P2507" s="3">
        <v>28.932976307905498</v>
      </c>
    </row>
    <row r="2508" spans="1:16" x14ac:dyDescent="0.3">
      <c r="A2508" s="3" t="str">
        <f t="shared" si="39"/>
        <v>C00</v>
      </c>
      <c r="C2508" s="3" t="s">
        <v>850</v>
      </c>
      <c r="D2508" s="3" t="s">
        <v>1255</v>
      </c>
      <c r="E2508" s="3" t="s">
        <v>1551</v>
      </c>
      <c r="F2508" s="3" t="s">
        <v>3</v>
      </c>
      <c r="G2508" s="3">
        <v>28.6743525026783</v>
      </c>
      <c r="H2508" s="3">
        <v>27.5848952276957</v>
      </c>
      <c r="I2508" s="3">
        <v>27.514819773025401</v>
      </c>
      <c r="J2508" s="3">
        <v>23.614859437441901</v>
      </c>
      <c r="K2508" s="3">
        <v>22.180398269098198</v>
      </c>
      <c r="L2508" s="3">
        <v>21.8118726676663</v>
      </c>
      <c r="M2508" s="3">
        <v>21.473083417107201</v>
      </c>
      <c r="N2508" s="3">
        <v>20.729031811638599</v>
      </c>
      <c r="O2508" s="3">
        <v>19.617292726141802</v>
      </c>
      <c r="P2508" s="3">
        <v>19.5375205188267</v>
      </c>
    </row>
    <row r="2509" spans="1:16" x14ac:dyDescent="0.3">
      <c r="A2509" s="3" t="str">
        <f t="shared" si="39"/>
        <v>C00</v>
      </c>
      <c r="C2509" s="3" t="s">
        <v>850</v>
      </c>
      <c r="D2509" s="3" t="s">
        <v>1255</v>
      </c>
      <c r="E2509" s="3" t="s">
        <v>1551</v>
      </c>
      <c r="F2509" s="3" t="s">
        <v>4</v>
      </c>
      <c r="G2509" s="3">
        <v>14.163041414867701</v>
      </c>
      <c r="H2509" s="3">
        <v>14.94273260161</v>
      </c>
      <c r="I2509" s="3">
        <v>13.6668571508215</v>
      </c>
      <c r="J2509" s="3">
        <v>11.7574752470347</v>
      </c>
      <c r="K2509" s="3">
        <v>11.0951891675304</v>
      </c>
      <c r="L2509" s="3">
        <v>10.9772936187893</v>
      </c>
      <c r="M2509" s="3">
        <v>10.8743689415027</v>
      </c>
      <c r="N2509" s="3">
        <v>10.5663178389665</v>
      </c>
      <c r="O2509" s="3">
        <v>10.015658503260401</v>
      </c>
      <c r="P2509" s="3">
        <v>9.9742586586071305</v>
      </c>
    </row>
    <row r="2510" spans="1:16" x14ac:dyDescent="0.3">
      <c r="A2510" s="3" t="str">
        <f t="shared" si="39"/>
        <v>C00</v>
      </c>
      <c r="C2510" s="3" t="s">
        <v>850</v>
      </c>
      <c r="D2510" s="3" t="s">
        <v>1255</v>
      </c>
      <c r="E2510" s="3" t="s">
        <v>1551</v>
      </c>
      <c r="F2510" s="3" t="s">
        <v>5</v>
      </c>
      <c r="G2510" s="3">
        <v>12.345153586253099</v>
      </c>
      <c r="H2510" s="3">
        <v>13.350237693563299</v>
      </c>
      <c r="I2510" s="3">
        <v>12.245994059294601</v>
      </c>
      <c r="J2510" s="3">
        <v>10.2429511978027</v>
      </c>
      <c r="K2510" s="3">
        <v>9.6656724107100693</v>
      </c>
      <c r="L2510" s="3">
        <v>9.56253037266187</v>
      </c>
      <c r="M2510" s="3">
        <v>9.4723929841726608</v>
      </c>
      <c r="N2510" s="3">
        <v>9.2035388146693506</v>
      </c>
      <c r="O2510" s="3">
        <v>8.7232898632980405</v>
      </c>
      <c r="P2510" s="3">
        <v>8.6871291770458807</v>
      </c>
    </row>
    <row r="2511" spans="1:16" x14ac:dyDescent="0.3">
      <c r="A2511" s="3" t="str">
        <f t="shared" si="39"/>
        <v>C00</v>
      </c>
      <c r="C2511" s="3" t="s">
        <v>850</v>
      </c>
      <c r="D2511" s="3" t="s">
        <v>1255</v>
      </c>
      <c r="E2511" s="3" t="s">
        <v>1551</v>
      </c>
      <c r="F2511" s="3" t="s">
        <v>6</v>
      </c>
      <c r="G2511" s="3">
        <v>35.8214828607112</v>
      </c>
      <c r="H2511" s="3">
        <v>32.199738043152799</v>
      </c>
      <c r="I2511" s="3">
        <v>37.769506699317198</v>
      </c>
      <c r="J2511" s="3">
        <v>32.595464400639003</v>
      </c>
      <c r="K2511" s="3">
        <v>31.571420217443901</v>
      </c>
      <c r="L2511" s="3">
        <v>31.815586671583102</v>
      </c>
      <c r="M2511" s="3">
        <v>31.4766160850787</v>
      </c>
      <c r="N2511" s="3">
        <v>30.7016674829019</v>
      </c>
      <c r="O2511" s="3">
        <v>30.0316784603834</v>
      </c>
      <c r="P2511" s="3">
        <v>29.858391576287499</v>
      </c>
    </row>
    <row r="2512" spans="1:16" x14ac:dyDescent="0.3">
      <c r="A2512" s="3" t="str">
        <f t="shared" si="39"/>
        <v>C00</v>
      </c>
      <c r="C2512" s="3" t="s">
        <v>850</v>
      </c>
      <c r="D2512" s="3" t="s">
        <v>1255</v>
      </c>
      <c r="E2512" s="3" t="s">
        <v>1551</v>
      </c>
      <c r="F2512" s="3" t="s">
        <v>7</v>
      </c>
      <c r="G2512" s="3">
        <v>16.862064093201599</v>
      </c>
      <c r="H2512" s="3">
        <v>16.222115424560101</v>
      </c>
      <c r="I2512" s="3">
        <v>16.183750894771698</v>
      </c>
      <c r="J2512" s="3">
        <v>13.891149609024099</v>
      </c>
      <c r="K2512" s="3">
        <v>13.049756219617199</v>
      </c>
      <c r="L2512" s="3">
        <v>12.8360214558907</v>
      </c>
      <c r="M2512" s="3">
        <v>12.6397864239651</v>
      </c>
      <c r="N2512" s="3">
        <v>12.205005122856599</v>
      </c>
      <c r="O2512" s="3">
        <v>11.5511710726588</v>
      </c>
      <c r="P2512" s="3">
        <v>11.504167921914799</v>
      </c>
    </row>
    <row r="2513" spans="1:16" x14ac:dyDescent="0.3">
      <c r="A2513" s="3" t="str">
        <f t="shared" si="39"/>
        <v>C00</v>
      </c>
      <c r="C2513" s="3" t="s">
        <v>850</v>
      </c>
      <c r="D2513" s="3" t="s">
        <v>1255</v>
      </c>
      <c r="E2513" s="3" t="s">
        <v>1551</v>
      </c>
      <c r="F2513" s="3" t="s">
        <v>8</v>
      </c>
      <c r="G2513" s="3">
        <v>10.5732822041878</v>
      </c>
      <c r="H2513" s="3">
        <v>10.1720052411575</v>
      </c>
      <c r="I2513" s="3">
        <v>10.147948933587999</v>
      </c>
      <c r="J2513" s="3">
        <v>8.7656486200441801</v>
      </c>
      <c r="K2513" s="3">
        <v>8.1829376467224009</v>
      </c>
      <c r="L2513" s="3">
        <v>8.05033095169658</v>
      </c>
      <c r="M2513" s="3">
        <v>7.9272826487469299</v>
      </c>
      <c r="N2513" s="3">
        <v>7.6546549699339801</v>
      </c>
      <c r="O2513" s="3">
        <v>7.2367867225117797</v>
      </c>
      <c r="P2513" s="3">
        <v>7.2094123886402697</v>
      </c>
    </row>
    <row r="2514" spans="1:16" x14ac:dyDescent="0.3">
      <c r="A2514" s="3" t="str">
        <f t="shared" si="39"/>
        <v>LC0</v>
      </c>
      <c r="C2514" s="3" t="s">
        <v>850</v>
      </c>
      <c r="D2514" s="3" t="s">
        <v>1256</v>
      </c>
      <c r="E2514" s="3" t="s">
        <v>1552</v>
      </c>
      <c r="F2514" s="3" t="s">
        <v>1</v>
      </c>
      <c r="G2514" s="3">
        <v>0.27782455148257601</v>
      </c>
      <c r="H2514" s="3">
        <v>0.28625345353861997</v>
      </c>
      <c r="I2514" s="3">
        <v>0.319969061762789</v>
      </c>
      <c r="J2514" s="3">
        <v>0.481665311169517</v>
      </c>
      <c r="K2514" s="3">
        <v>0.481665311169517</v>
      </c>
      <c r="L2514" s="3">
        <v>0.481665311169517</v>
      </c>
      <c r="M2514" s="3">
        <v>0.481665311169517</v>
      </c>
      <c r="N2514" s="3">
        <v>0.432869251741128</v>
      </c>
      <c r="O2514" s="3">
        <v>0.45359845930381898</v>
      </c>
      <c r="P2514" s="3">
        <v>0.45856953026420899</v>
      </c>
    </row>
    <row r="2515" spans="1:16" x14ac:dyDescent="0.3">
      <c r="A2515" s="3" t="str">
        <f t="shared" si="39"/>
        <v>LC0</v>
      </c>
      <c r="C2515" s="3" t="s">
        <v>850</v>
      </c>
      <c r="D2515" s="3" t="s">
        <v>1256</v>
      </c>
      <c r="E2515" s="3" t="s">
        <v>1552</v>
      </c>
      <c r="F2515" s="3" t="s">
        <v>2</v>
      </c>
      <c r="G2515" s="3">
        <v>7.3279632683289101E-3</v>
      </c>
      <c r="H2515" s="3">
        <v>7.5502858972300597E-3</v>
      </c>
      <c r="I2515" s="3">
        <v>8.4395764128364793E-3</v>
      </c>
      <c r="J2515" s="3">
        <v>1.2294811700986299E-2</v>
      </c>
      <c r="K2515" s="3">
        <v>1.2294811700986299E-2</v>
      </c>
      <c r="L2515" s="3">
        <v>1.2294811700986299E-2</v>
      </c>
      <c r="M2515" s="3">
        <v>1.2294811700986299E-2</v>
      </c>
      <c r="N2515" s="3">
        <v>1.16920372525347E-2</v>
      </c>
      <c r="O2515" s="3">
        <v>1.2311730393010501E-2</v>
      </c>
      <c r="P2515" s="3">
        <v>1.24466569655628E-2</v>
      </c>
    </row>
    <row r="2516" spans="1:16" x14ac:dyDescent="0.3">
      <c r="A2516" s="3" t="str">
        <f t="shared" si="39"/>
        <v>LC0</v>
      </c>
      <c r="C2516" s="3" t="s">
        <v>850</v>
      </c>
      <c r="D2516" s="3" t="s">
        <v>1256</v>
      </c>
      <c r="E2516" s="3" t="s">
        <v>1552</v>
      </c>
      <c r="F2516" s="3" t="s">
        <v>8</v>
      </c>
      <c r="I2516" s="3">
        <v>2.4704841303632201E-2</v>
      </c>
      <c r="J2516" s="3">
        <v>4.4421992588912003E-2</v>
      </c>
      <c r="K2516" s="3">
        <v>4.6230079850041399E-2</v>
      </c>
      <c r="L2516" s="3">
        <v>5.0636202687416698E-2</v>
      </c>
      <c r="M2516" s="3">
        <v>5.4241294132465201E-2</v>
      </c>
      <c r="N2516" s="3">
        <v>5.8918547532040302E-2</v>
      </c>
      <c r="O2516" s="3">
        <v>6.1791377343970999E-2</v>
      </c>
      <c r="P2516" s="3">
        <v>6.24685606879989E-2</v>
      </c>
    </row>
    <row r="2517" spans="1:16" x14ac:dyDescent="0.3">
      <c r="A2517" s="3" t="str">
        <f t="shared" si="39"/>
        <v>C00</v>
      </c>
      <c r="C2517" s="3" t="s">
        <v>850</v>
      </c>
      <c r="D2517" s="3" t="s">
        <v>1256</v>
      </c>
      <c r="E2517" s="3" t="s">
        <v>1553</v>
      </c>
      <c r="F2517" s="3" t="s">
        <v>0</v>
      </c>
      <c r="G2517" s="3">
        <v>3.0103704000178602</v>
      </c>
      <c r="H2517" s="3">
        <v>2.9992208800178002</v>
      </c>
      <c r="I2517" s="3">
        <v>2.6758848000158801</v>
      </c>
      <c r="J2517" s="3">
        <v>2.39360200029137</v>
      </c>
      <c r="K2517" s="3">
        <v>2.2390840367634302</v>
      </c>
      <c r="L2517" s="3">
        <v>2.1896430491313299</v>
      </c>
      <c r="M2517" s="3">
        <v>2.1428210337469999</v>
      </c>
      <c r="N2517" s="3">
        <v>2.0549951998492801</v>
      </c>
      <c r="O2517" s="3">
        <v>1.94212314233478</v>
      </c>
      <c r="P2517" s="3">
        <v>1.93449584383691</v>
      </c>
    </row>
    <row r="2518" spans="1:16" x14ac:dyDescent="0.3">
      <c r="A2518" s="3" t="str">
        <f t="shared" si="39"/>
        <v>C00</v>
      </c>
      <c r="C2518" s="3" t="s">
        <v>850</v>
      </c>
      <c r="D2518" s="3" t="s">
        <v>1256</v>
      </c>
      <c r="E2518" s="3" t="s">
        <v>1553</v>
      </c>
      <c r="F2518" s="3" t="s">
        <v>1</v>
      </c>
      <c r="G2518" s="3">
        <v>6.5355502320633203</v>
      </c>
      <c r="H2518" s="3">
        <v>6.6752071534648003</v>
      </c>
      <c r="I2518" s="3">
        <v>7.2338348390707301</v>
      </c>
      <c r="J2518" s="3">
        <v>6.2311264969515499</v>
      </c>
      <c r="K2518" s="3">
        <v>5.3669581729937699</v>
      </c>
      <c r="L2518" s="3">
        <v>5.3424431284989797</v>
      </c>
      <c r="M2518" s="3">
        <v>5.2135578729964704</v>
      </c>
      <c r="N2518" s="3">
        <v>5.0554630185528104</v>
      </c>
      <c r="O2518" s="3">
        <v>4.9182222927058996</v>
      </c>
      <c r="P2518" s="3">
        <v>4.8860448384259998</v>
      </c>
    </row>
    <row r="2519" spans="1:16" x14ac:dyDescent="0.3">
      <c r="A2519" s="3" t="str">
        <f t="shared" si="39"/>
        <v>C00</v>
      </c>
      <c r="C2519" s="3" t="s">
        <v>850</v>
      </c>
      <c r="D2519" s="3" t="s">
        <v>1256</v>
      </c>
      <c r="E2519" s="3" t="s">
        <v>1553</v>
      </c>
      <c r="F2519" s="3" t="s">
        <v>2</v>
      </c>
      <c r="G2519" s="3">
        <v>0.78377649448465003</v>
      </c>
      <c r="H2519" s="3">
        <v>0.80074849314131602</v>
      </c>
      <c r="I2519" s="3">
        <v>0.86863648776797497</v>
      </c>
      <c r="J2519" s="3">
        <v>0.69586023306498601</v>
      </c>
      <c r="K2519" s="3">
        <v>0.66679187544472596</v>
      </c>
      <c r="L2519" s="3">
        <v>0.663945420993302</v>
      </c>
      <c r="M2519" s="3">
        <v>0.64898048754902804</v>
      </c>
      <c r="N2519" s="3">
        <v>0.62556105135554596</v>
      </c>
      <c r="O2519" s="3">
        <v>0.61184911842434697</v>
      </c>
      <c r="P2519" s="3">
        <v>0.60804404523800704</v>
      </c>
    </row>
    <row r="2520" spans="1:16" x14ac:dyDescent="0.3">
      <c r="A2520" s="3" t="str">
        <f t="shared" si="39"/>
        <v>C00</v>
      </c>
      <c r="C2520" s="3" t="s">
        <v>850</v>
      </c>
      <c r="D2520" s="3" t="s">
        <v>1256</v>
      </c>
      <c r="E2520" s="3" t="s">
        <v>1553</v>
      </c>
      <c r="F2520" s="3" t="s">
        <v>3</v>
      </c>
      <c r="G2520" s="3">
        <v>0.65168982960632504</v>
      </c>
      <c r="H2520" s="3">
        <v>0.64927616357074702</v>
      </c>
      <c r="I2520" s="3">
        <v>0.63962149942843105</v>
      </c>
      <c r="J2520" s="3">
        <v>0.51817081369986395</v>
      </c>
      <c r="K2520" s="3">
        <v>0.48472051624741702</v>
      </c>
      <c r="L2520" s="3">
        <v>0.47401745166595</v>
      </c>
      <c r="M2520" s="3">
        <v>0.46388134641210499</v>
      </c>
      <c r="N2520" s="3">
        <v>0.44486866852784901</v>
      </c>
      <c r="O2520" s="3">
        <v>0.42065008578624102</v>
      </c>
      <c r="P2520" s="3">
        <v>0.418745478843777</v>
      </c>
    </row>
    <row r="2521" spans="1:16" x14ac:dyDescent="0.3">
      <c r="A2521" s="3" t="str">
        <f t="shared" si="39"/>
        <v>C00</v>
      </c>
      <c r="C2521" s="3" t="s">
        <v>850</v>
      </c>
      <c r="D2521" s="3" t="s">
        <v>1256</v>
      </c>
      <c r="E2521" s="3" t="s">
        <v>1553</v>
      </c>
      <c r="F2521" s="3" t="s">
        <v>4</v>
      </c>
      <c r="G2521" s="3">
        <v>0.32937305615971701</v>
      </c>
      <c r="H2521" s="3">
        <v>0.32815315595171801</v>
      </c>
      <c r="I2521" s="3">
        <v>0.323273555119722</v>
      </c>
      <c r="J2521" s="3">
        <v>0.26189069825470701</v>
      </c>
      <c r="K2521" s="3">
        <v>0.24498445512978501</v>
      </c>
      <c r="L2521" s="3">
        <v>0.239574978210983</v>
      </c>
      <c r="M2521" s="3">
        <v>0.23445205038037401</v>
      </c>
      <c r="N2521" s="3">
        <v>0.22484277993295701</v>
      </c>
      <c r="O2521" s="3">
        <v>0.21260237314576</v>
      </c>
      <c r="P2521" s="3">
        <v>0.21163975844637001</v>
      </c>
    </row>
    <row r="2522" spans="1:16" x14ac:dyDescent="0.3">
      <c r="A2522" s="3" t="str">
        <f t="shared" si="39"/>
        <v>C00</v>
      </c>
      <c r="C2522" s="3" t="s">
        <v>850</v>
      </c>
      <c r="D2522" s="3" t="s">
        <v>1256</v>
      </c>
      <c r="E2522" s="3" t="s">
        <v>1553</v>
      </c>
      <c r="F2522" s="3" t="s">
        <v>5</v>
      </c>
      <c r="G2522" s="3">
        <v>0.28709659502914098</v>
      </c>
      <c r="H2522" s="3">
        <v>0.28603327430681103</v>
      </c>
      <c r="I2522" s="3">
        <v>0.28177999141748999</v>
      </c>
      <c r="J2522" s="3">
        <v>0.22827589061283499</v>
      </c>
      <c r="K2522" s="3">
        <v>0.21353963716061999</v>
      </c>
      <c r="L2522" s="3">
        <v>0.208824490079727</v>
      </c>
      <c r="M2522" s="3">
        <v>0.204359112268025</v>
      </c>
      <c r="N2522" s="3">
        <v>0.195983233383659</v>
      </c>
      <c r="O2522" s="3">
        <v>0.18531393592700399</v>
      </c>
      <c r="P2522" s="3">
        <v>0.184474877001716</v>
      </c>
    </row>
    <row r="2523" spans="1:16" x14ac:dyDescent="0.3">
      <c r="A2523" s="3" t="str">
        <f t="shared" si="39"/>
        <v>C00</v>
      </c>
      <c r="C2523" s="3" t="s">
        <v>850</v>
      </c>
      <c r="D2523" s="3" t="s">
        <v>1256</v>
      </c>
      <c r="E2523" s="3" t="s">
        <v>1553</v>
      </c>
      <c r="F2523" s="3" t="s">
        <v>6</v>
      </c>
      <c r="G2523" s="3">
        <v>0.99737424865757796</v>
      </c>
      <c r="H2523" s="3">
        <v>0.99368026995884595</v>
      </c>
      <c r="I2523" s="3">
        <v>0.97890435516392005</v>
      </c>
      <c r="J2523" s="3">
        <v>0.79303098270289696</v>
      </c>
      <c r="K2523" s="3">
        <v>0.74183720343345405</v>
      </c>
      <c r="L2523" s="3">
        <v>0.72545677134703901</v>
      </c>
      <c r="M2523" s="3">
        <v>0.70994403829031705</v>
      </c>
      <c r="N2523" s="3">
        <v>0.68084621528050004</v>
      </c>
      <c r="O2523" s="3">
        <v>0.64378105073733904</v>
      </c>
      <c r="P2523" s="3">
        <v>0.64086615805077496</v>
      </c>
    </row>
    <row r="2524" spans="1:16" x14ac:dyDescent="0.3">
      <c r="A2524" s="3" t="str">
        <f t="shared" si="39"/>
        <v>LC0</v>
      </c>
      <c r="C2524" s="3" t="s">
        <v>850</v>
      </c>
      <c r="D2524" s="3" t="s">
        <v>1257</v>
      </c>
      <c r="E2524" s="3" t="s">
        <v>1554</v>
      </c>
      <c r="F2524" s="3" t="s">
        <v>0</v>
      </c>
      <c r="G2524" s="3">
        <v>0.215474302097349</v>
      </c>
      <c r="H2524" s="3">
        <v>0.14913227294105</v>
      </c>
      <c r="I2524" s="3">
        <v>0.48341284955913799</v>
      </c>
      <c r="J2524" s="3">
        <v>0.48341284955913799</v>
      </c>
      <c r="K2524" s="3">
        <v>0.48341284955913799</v>
      </c>
      <c r="L2524" s="3">
        <v>0.48341284955913799</v>
      </c>
      <c r="M2524" s="3">
        <v>0.48341284955913799</v>
      </c>
      <c r="N2524" s="3">
        <v>0.48341284955913799</v>
      </c>
      <c r="O2524" s="3">
        <v>0.48341284955913799</v>
      </c>
      <c r="P2524" s="3">
        <v>0.48341284955913799</v>
      </c>
    </row>
    <row r="2525" spans="1:16" x14ac:dyDescent="0.3">
      <c r="A2525" s="3" t="str">
        <f t="shared" si="39"/>
        <v>LC0</v>
      </c>
      <c r="C2525" s="3" t="s">
        <v>850</v>
      </c>
      <c r="D2525" s="3" t="s">
        <v>1257</v>
      </c>
      <c r="E2525" s="3" t="s">
        <v>1554</v>
      </c>
      <c r="F2525" s="3" t="s">
        <v>1</v>
      </c>
      <c r="G2525" s="3">
        <v>7.6553235789476801E-3</v>
      </c>
      <c r="H2525" s="3">
        <v>0.153548678933872</v>
      </c>
      <c r="I2525" s="3">
        <v>0.170463298651166</v>
      </c>
      <c r="J2525" s="3">
        <v>1.18157724067866</v>
      </c>
      <c r="K2525" s="3">
        <v>1.2119942077580399</v>
      </c>
      <c r="L2525" s="3">
        <v>1.2854401888970901</v>
      </c>
      <c r="M2525" s="3">
        <v>1.3925348913136399</v>
      </c>
      <c r="N2525" s="3">
        <v>1.49122917252802</v>
      </c>
      <c r="O2525" s="3">
        <v>2.0517507768836101</v>
      </c>
      <c r="P2525" s="3">
        <v>2.1735282239576499</v>
      </c>
    </row>
    <row r="2526" spans="1:16" x14ac:dyDescent="0.3">
      <c r="A2526" s="3" t="str">
        <f t="shared" si="39"/>
        <v>LC0</v>
      </c>
      <c r="C2526" s="3" t="s">
        <v>850</v>
      </c>
      <c r="D2526" s="3" t="s">
        <v>1257</v>
      </c>
      <c r="E2526" s="3" t="s">
        <v>1554</v>
      </c>
      <c r="F2526" s="3" t="s">
        <v>2</v>
      </c>
      <c r="G2526" s="3">
        <v>8.4429000565426293E-2</v>
      </c>
      <c r="H2526" s="3">
        <v>0.45110745406077501</v>
      </c>
      <c r="I2526" s="3">
        <v>0.57892807284104997</v>
      </c>
      <c r="J2526" s="3">
        <v>2.2563851991870001</v>
      </c>
      <c r="K2526" s="3">
        <v>2.3132101636547402</v>
      </c>
      <c r="L2526" s="3">
        <v>2.4504219131902101</v>
      </c>
      <c r="M2526" s="3">
        <v>2.6504961889594498</v>
      </c>
      <c r="N2526" s="3">
        <v>2.7940742016718101</v>
      </c>
      <c r="O2526" s="3">
        <v>3.8330798954674399</v>
      </c>
      <c r="P2526" s="3">
        <v>4.06058446832294</v>
      </c>
    </row>
    <row r="2527" spans="1:16" x14ac:dyDescent="0.3">
      <c r="A2527" s="3" t="str">
        <f t="shared" ref="A2527:A2590" si="40">RIGHT(E2527,3)</f>
        <v>LC0</v>
      </c>
      <c r="C2527" s="3" t="s">
        <v>850</v>
      </c>
      <c r="D2527" s="3" t="s">
        <v>1257</v>
      </c>
      <c r="E2527" s="3" t="s">
        <v>1554</v>
      </c>
      <c r="F2527" s="3" t="s">
        <v>3</v>
      </c>
      <c r="H2527" s="3">
        <v>6.9781748262503899E-4</v>
      </c>
      <c r="I2527" s="3">
        <v>6.9781748262503899E-4</v>
      </c>
      <c r="J2527" s="3">
        <v>0.15570042930891201</v>
      </c>
      <c r="K2527" s="3">
        <v>0.159708575936545</v>
      </c>
      <c r="L2527" s="3">
        <v>0.169386801278646</v>
      </c>
      <c r="M2527" s="3">
        <v>0.183499032429433</v>
      </c>
      <c r="N2527" s="3">
        <v>0.19650431166669</v>
      </c>
      <c r="O2527" s="3">
        <v>0.28641316533049199</v>
      </c>
      <c r="P2527" s="3">
        <v>0.28641316533049199</v>
      </c>
    </row>
    <row r="2528" spans="1:16" x14ac:dyDescent="0.3">
      <c r="A2528" s="3" t="str">
        <f t="shared" si="40"/>
        <v>LC0</v>
      </c>
      <c r="C2528" s="3" t="s">
        <v>850</v>
      </c>
      <c r="D2528" s="3" t="s">
        <v>1257</v>
      </c>
      <c r="E2528" s="3" t="s">
        <v>1554</v>
      </c>
      <c r="F2528" s="3" t="s">
        <v>4</v>
      </c>
      <c r="H2528" s="3">
        <v>1.06721023399995E-2</v>
      </c>
      <c r="I2528" s="3">
        <v>1.06721023399995E-2</v>
      </c>
      <c r="J2528" s="3">
        <v>0.18599955577859201</v>
      </c>
      <c r="K2528" s="3">
        <v>0.190787683181627</v>
      </c>
      <c r="L2528" s="3">
        <v>0.20234928016849801</v>
      </c>
      <c r="M2528" s="3">
        <v>3.7399987386992302</v>
      </c>
      <c r="N2528" s="3">
        <v>3.9487084158379702</v>
      </c>
      <c r="O2528" s="3">
        <v>4.2979374609052901</v>
      </c>
      <c r="P2528" s="3">
        <v>4.5398091282668904</v>
      </c>
    </row>
    <row r="2529" spans="1:16" x14ac:dyDescent="0.3">
      <c r="A2529" s="3" t="str">
        <f t="shared" si="40"/>
        <v>LC0</v>
      </c>
      <c r="C2529" s="3" t="s">
        <v>850</v>
      </c>
      <c r="D2529" s="3" t="s">
        <v>1257</v>
      </c>
      <c r="E2529" s="3" t="s">
        <v>1554</v>
      </c>
      <c r="F2529" s="3" t="s">
        <v>5</v>
      </c>
      <c r="I2529" s="3">
        <v>2.2892980205296799E-4</v>
      </c>
      <c r="J2529" s="3">
        <v>5.1079553799777203E-2</v>
      </c>
      <c r="K2529" s="3">
        <v>5.2394478506235097E-2</v>
      </c>
      <c r="L2529" s="3">
        <v>5.5569546386532498E-2</v>
      </c>
      <c r="M2529" s="3">
        <v>6.0199247624359298E-2</v>
      </c>
      <c r="N2529" s="3">
        <v>6.4465798869138002E-2</v>
      </c>
      <c r="O2529" s="3">
        <v>8.8697133444585102E-2</v>
      </c>
      <c r="P2529" s="3">
        <v>9.3961569357251806E-2</v>
      </c>
    </row>
    <row r="2530" spans="1:16" x14ac:dyDescent="0.3">
      <c r="A2530" s="3" t="str">
        <f t="shared" si="40"/>
        <v>LC0</v>
      </c>
      <c r="C2530" s="3" t="s">
        <v>850</v>
      </c>
      <c r="D2530" s="3" t="s">
        <v>1257</v>
      </c>
      <c r="E2530" s="3" t="s">
        <v>1554</v>
      </c>
      <c r="F2530" s="3" t="s">
        <v>6</v>
      </c>
      <c r="G2530" s="3">
        <v>0.689007434214715</v>
      </c>
      <c r="H2530" s="3">
        <v>0.94721436920198598</v>
      </c>
      <c r="I2530" s="3">
        <v>1.1504263859291399</v>
      </c>
      <c r="J2530" s="3">
        <v>1.3559406235935101</v>
      </c>
      <c r="K2530" s="3">
        <v>1.3559406235935101</v>
      </c>
      <c r="L2530" s="3">
        <v>1.3559406235935101</v>
      </c>
      <c r="M2530" s="3">
        <v>1.3559406235935101</v>
      </c>
      <c r="N2530" s="3">
        <v>12.1264748203747</v>
      </c>
      <c r="O2530" s="3">
        <v>13.014580475486801</v>
      </c>
      <c r="P2530" s="3">
        <v>13.7469918491401</v>
      </c>
    </row>
    <row r="2531" spans="1:16" x14ac:dyDescent="0.3">
      <c r="A2531" s="3" t="str">
        <f t="shared" si="40"/>
        <v>LC0</v>
      </c>
      <c r="C2531" s="3" t="s">
        <v>850</v>
      </c>
      <c r="D2531" s="3" t="s">
        <v>1257</v>
      </c>
      <c r="E2531" s="3" t="s">
        <v>1554</v>
      </c>
      <c r="F2531" s="3" t="s">
        <v>7</v>
      </c>
      <c r="H2531" s="3">
        <v>1.3849955912429299</v>
      </c>
      <c r="I2531" s="3">
        <v>1.5900136459165599</v>
      </c>
      <c r="J2531" s="3">
        <v>6.3104405832504398</v>
      </c>
      <c r="K2531" s="3">
        <v>6.3435086360295099</v>
      </c>
      <c r="L2531" s="3">
        <v>6.4233560308857403</v>
      </c>
      <c r="M2531" s="3">
        <v>6.5397849063428799</v>
      </c>
      <c r="N2531" s="3">
        <v>6.6470811956695597</v>
      </c>
      <c r="O2531" s="3">
        <v>7.2564568098873004</v>
      </c>
      <c r="P2531" s="3">
        <v>7.3888481504386201</v>
      </c>
    </row>
    <row r="2532" spans="1:16" x14ac:dyDescent="0.3">
      <c r="A2532" s="3" t="str">
        <f t="shared" si="40"/>
        <v>LC0</v>
      </c>
      <c r="C2532" s="3" t="s">
        <v>850</v>
      </c>
      <c r="D2532" s="3" t="s">
        <v>1257</v>
      </c>
      <c r="E2532" s="3" t="s">
        <v>1554</v>
      </c>
      <c r="F2532" s="3" t="s">
        <v>8</v>
      </c>
      <c r="G2532" s="3">
        <v>4.4141617079765799E-3</v>
      </c>
      <c r="H2532" s="3">
        <v>0.29095465071459797</v>
      </c>
      <c r="I2532" s="3">
        <v>0.32421104189938899</v>
      </c>
      <c r="J2532" s="3">
        <v>0.32421104189938899</v>
      </c>
      <c r="K2532" s="3">
        <v>0.332496760440328</v>
      </c>
      <c r="L2532" s="3">
        <v>0.35250377580425601</v>
      </c>
      <c r="M2532" s="3">
        <v>0.38167685407775298</v>
      </c>
      <c r="N2532" s="3">
        <v>0.40660821072631298</v>
      </c>
      <c r="O2532" s="3">
        <v>0.558906133180334</v>
      </c>
      <c r="P2532" s="3">
        <v>0.59207885708986996</v>
      </c>
    </row>
    <row r="2533" spans="1:16" x14ac:dyDescent="0.3">
      <c r="A2533" s="3" t="str">
        <f t="shared" si="40"/>
        <v>C00</v>
      </c>
      <c r="C2533" s="3" t="s">
        <v>850</v>
      </c>
      <c r="D2533" s="3" t="s">
        <v>1257</v>
      </c>
      <c r="E2533" s="3" t="s">
        <v>1555</v>
      </c>
      <c r="F2533" s="3" t="s">
        <v>0</v>
      </c>
      <c r="G2533" s="3">
        <v>1.9196786091036899</v>
      </c>
      <c r="H2533" s="3">
        <v>2.40194082890156</v>
      </c>
      <c r="J2533" s="3">
        <v>0.84181626724651604</v>
      </c>
      <c r="K2533" s="3">
        <v>0.12235472935251999</v>
      </c>
      <c r="L2533" s="3">
        <v>0.23543126193017899</v>
      </c>
      <c r="M2533" s="3">
        <v>0.40289596013351597</v>
      </c>
      <c r="N2533" s="3">
        <v>0.53099702238505198</v>
      </c>
      <c r="O2533" s="3">
        <v>1.83597738417111</v>
      </c>
      <c r="P2533" s="3">
        <v>1.96653039266112</v>
      </c>
    </row>
    <row r="2534" spans="1:16" x14ac:dyDescent="0.3">
      <c r="A2534" s="3" t="str">
        <f t="shared" si="40"/>
        <v>C00</v>
      </c>
      <c r="C2534" s="3" t="s">
        <v>850</v>
      </c>
      <c r="D2534" s="3" t="s">
        <v>1257</v>
      </c>
      <c r="E2534" s="3" t="s">
        <v>1555</v>
      </c>
      <c r="F2534" s="3" t="s">
        <v>1</v>
      </c>
      <c r="G2534" s="3">
        <v>11.6705157646775</v>
      </c>
      <c r="H2534" s="3">
        <v>13.8024325667828</v>
      </c>
      <c r="I2534" s="3">
        <v>9.8775937699563805</v>
      </c>
      <c r="J2534" s="3">
        <v>7.8254701466328802</v>
      </c>
      <c r="K2534" s="3">
        <v>4.0829484769146296</v>
      </c>
      <c r="L2534" s="3">
        <v>4.2906856612938702</v>
      </c>
      <c r="M2534" s="3">
        <v>4.1689216197428802</v>
      </c>
      <c r="N2534" s="3">
        <v>4.39636251892491</v>
      </c>
      <c r="O2534" s="3">
        <v>4.3327501983640202</v>
      </c>
      <c r="P2534" s="3">
        <v>4.5703412602645903</v>
      </c>
    </row>
    <row r="2535" spans="1:16" x14ac:dyDescent="0.3">
      <c r="A2535" s="3" t="str">
        <f t="shared" si="40"/>
        <v>C00</v>
      </c>
      <c r="C2535" s="3" t="s">
        <v>850</v>
      </c>
      <c r="D2535" s="3" t="s">
        <v>1257</v>
      </c>
      <c r="E2535" s="3" t="s">
        <v>1555</v>
      </c>
      <c r="F2535" s="3" t="s">
        <v>2</v>
      </c>
      <c r="G2535" s="3">
        <v>32.6951935947816</v>
      </c>
      <c r="H2535" s="3">
        <v>36.600004781488799</v>
      </c>
      <c r="I2535" s="3">
        <v>26.2404458304005</v>
      </c>
      <c r="J2535" s="3">
        <v>21.978100139268101</v>
      </c>
      <c r="K2535" s="3">
        <v>19.6114616555918</v>
      </c>
      <c r="L2535" s="3">
        <v>12.3089806882488</v>
      </c>
      <c r="M2535" s="3">
        <v>14.6778517204284</v>
      </c>
      <c r="N2535" s="3">
        <v>12.9632863534938</v>
      </c>
      <c r="O2535" s="3">
        <v>13.072836978566899</v>
      </c>
      <c r="P2535" s="3">
        <v>13.7967499140175</v>
      </c>
    </row>
    <row r="2536" spans="1:16" x14ac:dyDescent="0.3">
      <c r="A2536" s="3" t="str">
        <f t="shared" si="40"/>
        <v>C00</v>
      </c>
      <c r="C2536" s="3" t="s">
        <v>850</v>
      </c>
      <c r="D2536" s="3" t="s">
        <v>1257</v>
      </c>
      <c r="E2536" s="3" t="s">
        <v>1555</v>
      </c>
      <c r="F2536" s="3" t="s">
        <v>3</v>
      </c>
      <c r="G2536" s="3">
        <v>22.2299442911611</v>
      </c>
      <c r="H2536" s="3">
        <v>24.7955205492343</v>
      </c>
      <c r="I2536" s="3">
        <v>18.364312774450202</v>
      </c>
      <c r="J2536" s="3">
        <v>16.258892731299401</v>
      </c>
      <c r="K2536" s="3">
        <v>9.3607807710559996</v>
      </c>
      <c r="L2536" s="3">
        <v>9.8275075256586</v>
      </c>
      <c r="M2536" s="3">
        <v>9.8986550752357392</v>
      </c>
      <c r="N2536" s="3">
        <v>10.4198769084711</v>
      </c>
      <c r="O2536" s="3">
        <v>11.1643663176567</v>
      </c>
      <c r="P2536" s="3">
        <v>11.808784018574199</v>
      </c>
    </row>
    <row r="2537" spans="1:16" x14ac:dyDescent="0.3">
      <c r="A2537" s="3" t="str">
        <f t="shared" si="40"/>
        <v>C00</v>
      </c>
      <c r="C2537" s="3" t="s">
        <v>850</v>
      </c>
      <c r="D2537" s="3" t="s">
        <v>1257</v>
      </c>
      <c r="E2537" s="3" t="s">
        <v>1555</v>
      </c>
      <c r="F2537" s="3" t="s">
        <v>4</v>
      </c>
      <c r="G2537" s="3">
        <v>8.36410071436908</v>
      </c>
      <c r="H2537" s="3">
        <v>8.8028226133051408</v>
      </c>
      <c r="I2537" s="3">
        <v>6.8318130881302501</v>
      </c>
      <c r="J2537" s="3">
        <v>3.3196484729949298</v>
      </c>
      <c r="K2537" s="3">
        <v>3.3911993875747002</v>
      </c>
      <c r="L2537" s="3">
        <v>3.5552467206733702</v>
      </c>
    </row>
    <row r="2538" spans="1:16" x14ac:dyDescent="0.3">
      <c r="A2538" s="3" t="str">
        <f t="shared" si="40"/>
        <v>C00</v>
      </c>
      <c r="C2538" s="3" t="s">
        <v>850</v>
      </c>
      <c r="D2538" s="3" t="s">
        <v>1257</v>
      </c>
      <c r="E2538" s="3" t="s">
        <v>1555</v>
      </c>
      <c r="F2538" s="3" t="s">
        <v>5</v>
      </c>
      <c r="G2538" s="3">
        <v>7.2839835931946002</v>
      </c>
      <c r="H2538" s="3">
        <v>8.1001614516262403</v>
      </c>
      <c r="I2538" s="3">
        <v>8.0666358333667301</v>
      </c>
      <c r="J2538" s="3">
        <v>5.3358682672616</v>
      </c>
      <c r="K2538" s="3">
        <v>4.8182777046730001</v>
      </c>
      <c r="L2538" s="3">
        <v>4.3853551660760903</v>
      </c>
      <c r="M2538" s="3">
        <v>3.8222277785685499</v>
      </c>
      <c r="N2538" s="3">
        <v>3.40778687748604</v>
      </c>
      <c r="O2538" s="3">
        <v>3.65758140269579</v>
      </c>
      <c r="P2538" s="3">
        <v>3.8631433559941</v>
      </c>
    </row>
    <row r="2539" spans="1:16" x14ac:dyDescent="0.3">
      <c r="A2539" s="3" t="str">
        <f t="shared" si="40"/>
        <v>C00</v>
      </c>
      <c r="C2539" s="3" t="s">
        <v>850</v>
      </c>
      <c r="D2539" s="3" t="s">
        <v>1257</v>
      </c>
      <c r="E2539" s="3" t="s">
        <v>1555</v>
      </c>
      <c r="F2539" s="3" t="s">
        <v>6</v>
      </c>
      <c r="G2539" s="3">
        <v>23.623908702380898</v>
      </c>
      <c r="H2539" s="3">
        <v>16.045153596854401</v>
      </c>
      <c r="I2539" s="3">
        <v>19.569296730968901</v>
      </c>
      <c r="J2539" s="3">
        <v>17.358328819564701</v>
      </c>
      <c r="K2539" s="3">
        <v>9.4906711334543203</v>
      </c>
      <c r="L2539" s="3">
        <v>10.022432373258599</v>
      </c>
      <c r="M2539" s="3">
        <v>9.9691461199366795</v>
      </c>
    </row>
    <row r="2540" spans="1:16" x14ac:dyDescent="0.3">
      <c r="A2540" s="3" t="str">
        <f t="shared" si="40"/>
        <v>C00</v>
      </c>
      <c r="C2540" s="3" t="s">
        <v>850</v>
      </c>
      <c r="D2540" s="3" t="s">
        <v>1257</v>
      </c>
      <c r="E2540" s="3" t="s">
        <v>1555</v>
      </c>
      <c r="F2540" s="3" t="s">
        <v>7</v>
      </c>
      <c r="G2540" s="3">
        <v>11.0729853093709</v>
      </c>
      <c r="H2540" s="3">
        <v>5.1649948054498402</v>
      </c>
      <c r="I2540" s="3">
        <v>7.2147206984362704</v>
      </c>
      <c r="J2540" s="3">
        <v>1.6577896462980699</v>
      </c>
    </row>
    <row r="2541" spans="1:16" x14ac:dyDescent="0.3">
      <c r="A2541" s="3" t="str">
        <f t="shared" si="40"/>
        <v>C00</v>
      </c>
      <c r="C2541" s="3" t="s">
        <v>850</v>
      </c>
      <c r="D2541" s="3" t="s">
        <v>1257</v>
      </c>
      <c r="E2541" s="3" t="s">
        <v>1555</v>
      </c>
      <c r="F2541" s="3" t="s">
        <v>8</v>
      </c>
      <c r="G2541" s="3">
        <v>5.2917272879250703</v>
      </c>
      <c r="H2541" s="3">
        <v>4.9058429134756798</v>
      </c>
      <c r="I2541" s="3">
        <v>3.4056275322629399</v>
      </c>
      <c r="J2541" s="3">
        <v>4.67223224163219</v>
      </c>
      <c r="K2541" s="3">
        <v>2.4788218985069301</v>
      </c>
      <c r="L2541" s="3">
        <v>2.6491833218662602</v>
      </c>
      <c r="M2541" s="3">
        <v>2.6607202780611399</v>
      </c>
      <c r="N2541" s="3">
        <v>2.8467204895614602</v>
      </c>
      <c r="O2541" s="3">
        <v>2.96255790833384</v>
      </c>
      <c r="P2541" s="3">
        <v>3.1275752031736199</v>
      </c>
    </row>
    <row r="2542" spans="1:16" x14ac:dyDescent="0.3">
      <c r="A2542" s="3" t="str">
        <f t="shared" si="40"/>
        <v>LC0</v>
      </c>
      <c r="C2542" s="3" t="s">
        <v>850</v>
      </c>
      <c r="D2542" s="3" t="s">
        <v>1253</v>
      </c>
      <c r="E2542" s="3" t="s">
        <v>1556</v>
      </c>
      <c r="F2542" s="3" t="s">
        <v>0</v>
      </c>
      <c r="G2542" s="3">
        <v>4.6591757079985597E-3</v>
      </c>
      <c r="H2542" s="3">
        <v>3.7037330070309299E-3</v>
      </c>
      <c r="I2542" s="3">
        <v>5.8976907696184303E-3</v>
      </c>
      <c r="J2542" s="3">
        <v>4.0232175463432796E-3</v>
      </c>
      <c r="K2542" s="3">
        <v>4.0233322853573898E-3</v>
      </c>
      <c r="L2542" s="3">
        <v>4.1807253936692003E-3</v>
      </c>
      <c r="M2542" s="3">
        <v>4.5812477933319003E-3</v>
      </c>
      <c r="N2542" s="3">
        <v>1.7360152639676501E-3</v>
      </c>
      <c r="O2542" s="3">
        <v>9.5784836010803797E-4</v>
      </c>
      <c r="P2542" s="3">
        <v>9.6422111109273302E-4</v>
      </c>
    </row>
    <row r="2543" spans="1:16" x14ac:dyDescent="0.3">
      <c r="A2543" s="3" t="str">
        <f t="shared" si="40"/>
        <v>LC0</v>
      </c>
      <c r="C2543" s="3" t="s">
        <v>850</v>
      </c>
      <c r="D2543" s="3" t="s">
        <v>1253</v>
      </c>
      <c r="E2543" s="3" t="s">
        <v>1556</v>
      </c>
      <c r="F2543" s="3" t="s">
        <v>1</v>
      </c>
      <c r="G2543" s="3">
        <v>0.28120507123294802</v>
      </c>
      <c r="H2543" s="3">
        <v>0.30020068221380403</v>
      </c>
      <c r="I2543" s="3">
        <v>0.31002994267574002</v>
      </c>
      <c r="J2543" s="3">
        <v>0.32861602081330499</v>
      </c>
      <c r="K2543" s="3">
        <v>0.328625392684879</v>
      </c>
      <c r="L2543" s="3">
        <v>0.34148124657846401</v>
      </c>
      <c r="M2543" s="3">
        <v>0.37419587751918698</v>
      </c>
      <c r="N2543" s="3">
        <v>0.38634711234382502</v>
      </c>
      <c r="O2543" s="3">
        <v>0.38928435942997602</v>
      </c>
      <c r="P2543" s="3">
        <v>0.50620516608908195</v>
      </c>
    </row>
    <row r="2544" spans="1:16" x14ac:dyDescent="0.3">
      <c r="A2544" s="3" t="str">
        <f t="shared" si="40"/>
        <v>LC0</v>
      </c>
      <c r="C2544" s="3" t="s">
        <v>850</v>
      </c>
      <c r="D2544" s="3" t="s">
        <v>1253</v>
      </c>
      <c r="E2544" s="3" t="s">
        <v>1556</v>
      </c>
      <c r="F2544" s="3" t="s">
        <v>2</v>
      </c>
      <c r="G2544" s="3">
        <v>0.16290846714311899</v>
      </c>
      <c r="H2544" s="3">
        <v>1.71879236397952</v>
      </c>
      <c r="I2544" s="3">
        <v>1.5688443174236999</v>
      </c>
      <c r="J2544" s="3">
        <v>1.63985708386633</v>
      </c>
      <c r="K2544" s="3">
        <v>1.6398908855613199</v>
      </c>
      <c r="L2544" s="3">
        <v>1.6862583212025</v>
      </c>
      <c r="M2544" s="3">
        <v>1.8042507592955099</v>
      </c>
      <c r="N2544" s="3">
        <v>1.4692169421992001</v>
      </c>
      <c r="O2544" s="3">
        <v>1.4040387850853699</v>
      </c>
      <c r="P2544" s="3">
        <v>13.664625326287499</v>
      </c>
    </row>
    <row r="2545" spans="1:16" x14ac:dyDescent="0.3">
      <c r="A2545" s="3" t="str">
        <f t="shared" si="40"/>
        <v>LC0</v>
      </c>
      <c r="C2545" s="3" t="s">
        <v>850</v>
      </c>
      <c r="D2545" s="3" t="s">
        <v>1253</v>
      </c>
      <c r="E2545" s="3" t="s">
        <v>1556</v>
      </c>
      <c r="F2545" s="3" t="s">
        <v>3</v>
      </c>
      <c r="N2545" s="3">
        <v>9.2546749368227896</v>
      </c>
      <c r="O2545" s="3">
        <v>9.2904754535153895</v>
      </c>
      <c r="P2545" s="3">
        <v>9.2904754535153895</v>
      </c>
    </row>
    <row r="2546" spans="1:16" x14ac:dyDescent="0.3">
      <c r="A2546" s="3" t="str">
        <f t="shared" si="40"/>
        <v>LC0</v>
      </c>
      <c r="C2546" s="3" t="s">
        <v>850</v>
      </c>
      <c r="D2546" s="3" t="s">
        <v>1253</v>
      </c>
      <c r="E2546" s="3" t="s">
        <v>1556</v>
      </c>
      <c r="F2546" s="3" t="s">
        <v>4</v>
      </c>
      <c r="H2546" s="3">
        <v>0.123774301809945</v>
      </c>
      <c r="I2546" s="3">
        <v>0.13647064545696599</v>
      </c>
      <c r="J2546" s="3">
        <v>0.14073640679871999</v>
      </c>
      <c r="K2546" s="3">
        <v>0.140738557753954</v>
      </c>
      <c r="L2546" s="3">
        <v>0.14368915356603501</v>
      </c>
      <c r="M2546" s="3">
        <v>0.162652902764162</v>
      </c>
      <c r="N2546" s="3">
        <v>0.96659790257071798</v>
      </c>
      <c r="O2546" s="3">
        <v>0.96297806152105203</v>
      </c>
      <c r="P2546" s="3">
        <v>0.96938478717057996</v>
      </c>
    </row>
    <row r="2547" spans="1:16" x14ac:dyDescent="0.3">
      <c r="A2547" s="3" t="str">
        <f t="shared" si="40"/>
        <v>LC0</v>
      </c>
      <c r="C2547" s="3" t="s">
        <v>850</v>
      </c>
      <c r="D2547" s="3" t="s">
        <v>1253</v>
      </c>
      <c r="E2547" s="3" t="s">
        <v>1556</v>
      </c>
      <c r="F2547" s="3" t="s">
        <v>5</v>
      </c>
      <c r="H2547" s="3">
        <v>9.81196933909559E-2</v>
      </c>
      <c r="I2547" s="3">
        <v>9.81196933909559E-2</v>
      </c>
      <c r="J2547" s="3">
        <v>0.106583512187505</v>
      </c>
      <c r="K2547" s="3">
        <v>0.10658655186591701</v>
      </c>
      <c r="L2547" s="3">
        <v>0.11075622702898601</v>
      </c>
      <c r="M2547" s="3">
        <v>0.121366909542085</v>
      </c>
      <c r="N2547" s="3">
        <v>0.12530804814456301</v>
      </c>
      <c r="O2547" s="3">
        <v>0.88775819790897204</v>
      </c>
      <c r="P2547" s="3">
        <v>0.89366448325895298</v>
      </c>
    </row>
    <row r="2548" spans="1:16" x14ac:dyDescent="0.3">
      <c r="A2548" s="3" t="str">
        <f t="shared" si="40"/>
        <v>LC0</v>
      </c>
      <c r="C2548" s="3" t="s">
        <v>850</v>
      </c>
      <c r="D2548" s="3" t="s">
        <v>1253</v>
      </c>
      <c r="E2548" s="3" t="s">
        <v>1556</v>
      </c>
      <c r="F2548" s="3" t="s">
        <v>6</v>
      </c>
      <c r="N2548" s="3">
        <v>2.62548351545359</v>
      </c>
      <c r="O2548" s="3">
        <v>2.6454440472114702</v>
      </c>
      <c r="P2548" s="3">
        <v>2.6630442760317101</v>
      </c>
    </row>
    <row r="2549" spans="1:16" x14ac:dyDescent="0.3">
      <c r="A2549" s="3" t="str">
        <f t="shared" si="40"/>
        <v>LC0</v>
      </c>
      <c r="C2549" s="3" t="s">
        <v>850</v>
      </c>
      <c r="D2549" s="3" t="s">
        <v>1253</v>
      </c>
      <c r="E2549" s="3" t="s">
        <v>1556</v>
      </c>
      <c r="F2549" s="3" t="s">
        <v>7</v>
      </c>
      <c r="H2549" s="3">
        <v>2.7926374272810701E-2</v>
      </c>
      <c r="I2549" s="3">
        <v>2.8619583319840498E-2</v>
      </c>
      <c r="J2549" s="3">
        <v>3.0335307314936201E-2</v>
      </c>
      <c r="K2549" s="3">
        <v>3.0336172454145501E-2</v>
      </c>
      <c r="L2549" s="3">
        <v>3.1522926154384102E-2</v>
      </c>
      <c r="M2549" s="3">
        <v>3.4542889638901599E-2</v>
      </c>
      <c r="N2549" s="3">
        <v>0.19707953325265401</v>
      </c>
      <c r="O2549" s="3">
        <v>0.19857785242288001</v>
      </c>
      <c r="P2549" s="3">
        <v>0.19989899759885099</v>
      </c>
    </row>
    <row r="2550" spans="1:16" x14ac:dyDescent="0.3">
      <c r="A2550" s="3" t="str">
        <f t="shared" si="40"/>
        <v>LC0</v>
      </c>
      <c r="C2550" s="3" t="s">
        <v>850</v>
      </c>
      <c r="D2550" s="3" t="s">
        <v>1253</v>
      </c>
      <c r="E2550" s="3" t="s">
        <v>1556</v>
      </c>
      <c r="F2550" s="3" t="s">
        <v>8</v>
      </c>
      <c r="G2550" s="3">
        <v>2.4877058942459902</v>
      </c>
      <c r="H2550" s="3">
        <v>2.87220292410144</v>
      </c>
      <c r="I2550" s="3">
        <v>2.66345008250955</v>
      </c>
      <c r="J2550" s="3">
        <v>1.89394375133021</v>
      </c>
      <c r="K2550" s="3">
        <v>1.6881346637852199</v>
      </c>
      <c r="L2550" s="3">
        <v>1.64894017874415</v>
      </c>
      <c r="M2550" s="3">
        <v>1.54043520836373</v>
      </c>
      <c r="N2550" s="3">
        <v>1.1296746360511201</v>
      </c>
      <c r="O2550" s="3">
        <v>0.45793271771074601</v>
      </c>
      <c r="P2550" s="3">
        <v>0.460979359587389</v>
      </c>
    </row>
    <row r="2551" spans="1:16" x14ac:dyDescent="0.3">
      <c r="A2551" s="3" t="str">
        <f t="shared" si="40"/>
        <v>C00</v>
      </c>
      <c r="C2551" s="3" t="s">
        <v>850</v>
      </c>
      <c r="D2551" s="3" t="s">
        <v>1253</v>
      </c>
      <c r="E2551" s="3" t="s">
        <v>1557</v>
      </c>
      <c r="F2551" s="3" t="s">
        <v>0</v>
      </c>
      <c r="G2551" s="3">
        <v>3.4355909819791699</v>
      </c>
      <c r="H2551" s="3">
        <v>2.9749958460612</v>
      </c>
      <c r="I2551" s="3">
        <v>7.7088560805208095E-2</v>
      </c>
      <c r="J2551" s="3">
        <v>0.19258680889921301</v>
      </c>
      <c r="K2551" s="3">
        <v>0.21930548735576899</v>
      </c>
      <c r="L2551" s="3">
        <v>0.305387882978636</v>
      </c>
      <c r="M2551" s="3">
        <v>0.47257551123532898</v>
      </c>
      <c r="N2551" s="3">
        <v>0.55420882069964805</v>
      </c>
      <c r="O2551" s="3">
        <v>1.66328832574472</v>
      </c>
      <c r="P2551" s="3">
        <v>1.6501428121007899</v>
      </c>
    </row>
    <row r="2552" spans="1:16" x14ac:dyDescent="0.3">
      <c r="A2552" s="3" t="str">
        <f t="shared" si="40"/>
        <v>C00</v>
      </c>
      <c r="C2552" s="3" t="s">
        <v>850</v>
      </c>
      <c r="D2552" s="3" t="s">
        <v>1253</v>
      </c>
      <c r="E2552" s="3" t="s">
        <v>1557</v>
      </c>
      <c r="F2552" s="3" t="s">
        <v>1</v>
      </c>
      <c r="G2552" s="3">
        <v>9.1865095393196299</v>
      </c>
      <c r="H2552" s="3">
        <v>8.5448455049897305</v>
      </c>
      <c r="I2552" s="3">
        <v>8.9762689967510294</v>
      </c>
      <c r="J2552" s="3">
        <v>6.6980890130442496</v>
      </c>
      <c r="K2552" s="3">
        <v>3.6556218565134802</v>
      </c>
      <c r="L2552" s="3">
        <v>3.9115870742945602</v>
      </c>
      <c r="M2552" s="3">
        <v>4.29619389950689</v>
      </c>
      <c r="N2552" s="3">
        <v>4.2231572021001602</v>
      </c>
      <c r="O2552" s="3">
        <v>4.2407501947762301</v>
      </c>
      <c r="P2552" s="3">
        <v>4.1108227155525396</v>
      </c>
    </row>
    <row r="2553" spans="1:16" x14ac:dyDescent="0.3">
      <c r="A2553" s="3" t="str">
        <f t="shared" si="40"/>
        <v>C00</v>
      </c>
      <c r="C2553" s="3" t="s">
        <v>850</v>
      </c>
      <c r="D2553" s="3" t="s">
        <v>1253</v>
      </c>
      <c r="E2553" s="3" t="s">
        <v>1557</v>
      </c>
      <c r="F2553" s="3" t="s">
        <v>2</v>
      </c>
      <c r="G2553" s="3">
        <v>25.620244516612299</v>
      </c>
      <c r="H2553" s="3">
        <v>40.073666707565302</v>
      </c>
      <c r="I2553" s="3">
        <v>34.0217962766122</v>
      </c>
      <c r="J2553" s="3">
        <v>9.4014835094347102</v>
      </c>
      <c r="K2553" s="3">
        <v>9.7534383860099698</v>
      </c>
      <c r="L2553" s="3">
        <v>10.6565974857557</v>
      </c>
      <c r="M2553" s="3">
        <v>11.8774136800705</v>
      </c>
      <c r="N2553" s="3">
        <v>12.194341752979801</v>
      </c>
      <c r="O2553" s="3">
        <v>12.312410127474999</v>
      </c>
    </row>
    <row r="2554" spans="1:16" x14ac:dyDescent="0.3">
      <c r="A2554" s="3" t="str">
        <f t="shared" si="40"/>
        <v>C00</v>
      </c>
      <c r="C2554" s="3" t="s">
        <v>850</v>
      </c>
      <c r="D2554" s="3" t="s">
        <v>1253</v>
      </c>
      <c r="E2554" s="3" t="s">
        <v>1557</v>
      </c>
      <c r="F2554" s="3" t="s">
        <v>3</v>
      </c>
      <c r="G2554" s="3">
        <v>17.4631301028727</v>
      </c>
      <c r="H2554" s="3">
        <v>26.315690776332001</v>
      </c>
      <c r="I2554" s="3">
        <v>26.595509124086298</v>
      </c>
      <c r="J2554" s="3">
        <v>13.225135891674</v>
      </c>
      <c r="K2554" s="3">
        <v>7.7169728230595496</v>
      </c>
      <c r="L2554" s="3">
        <v>8.3601097230557997</v>
      </c>
      <c r="M2554" s="3">
        <v>9.2669166436057395</v>
      </c>
    </row>
    <row r="2555" spans="1:16" x14ac:dyDescent="0.3">
      <c r="A2555" s="3" t="str">
        <f t="shared" si="40"/>
        <v>C00</v>
      </c>
      <c r="C2555" s="3" t="s">
        <v>850</v>
      </c>
      <c r="D2555" s="3" t="s">
        <v>1253</v>
      </c>
      <c r="E2555" s="3" t="s">
        <v>1557</v>
      </c>
      <c r="F2555" s="3" t="s">
        <v>4</v>
      </c>
      <c r="G2555" s="3">
        <v>10.012436955608999</v>
      </c>
      <c r="H2555" s="3">
        <v>8.7076823560565195</v>
      </c>
      <c r="I2555" s="3">
        <v>9.2499572509283006</v>
      </c>
      <c r="J2555" s="3">
        <v>3.9007840857546099</v>
      </c>
      <c r="K2555" s="3">
        <v>3.9425715654887301</v>
      </c>
      <c r="L2555" s="3">
        <v>4.1722609038799296</v>
      </c>
      <c r="M2555" s="3">
        <v>4.5465147846232599</v>
      </c>
      <c r="N2555" s="3">
        <v>3.6430104311833702</v>
      </c>
      <c r="O2555" s="3">
        <v>3.6692385362520898</v>
      </c>
      <c r="P2555" s="3">
        <v>3.6529701078947601</v>
      </c>
    </row>
    <row r="2556" spans="1:16" x14ac:dyDescent="0.3">
      <c r="A2556" s="3" t="str">
        <f t="shared" si="40"/>
        <v>C00</v>
      </c>
      <c r="C2556" s="3" t="s">
        <v>850</v>
      </c>
      <c r="D2556" s="3" t="s">
        <v>1253</v>
      </c>
      <c r="E2556" s="3" t="s">
        <v>1557</v>
      </c>
      <c r="F2556" s="3" t="s">
        <v>5</v>
      </c>
      <c r="G2556" s="3">
        <v>8.7272972216203701</v>
      </c>
      <c r="H2556" s="3">
        <v>10.4147755948701</v>
      </c>
      <c r="I2556" s="3">
        <v>9.7666904140687603</v>
      </c>
      <c r="J2556" s="3">
        <v>6.2878623545002004</v>
      </c>
      <c r="K2556" s="3">
        <v>3.4526129968140502</v>
      </c>
      <c r="L2556" s="3">
        <v>3.65122291071722</v>
      </c>
      <c r="M2556" s="3">
        <v>3.98335866890534</v>
      </c>
      <c r="N2556" s="3">
        <v>3.8926370517637401</v>
      </c>
      <c r="O2556" s="3">
        <v>3.1498932972189899</v>
      </c>
      <c r="P2556" s="3">
        <v>3.1353911015003399</v>
      </c>
    </row>
    <row r="2557" spans="1:16" x14ac:dyDescent="0.3">
      <c r="A2557" s="3" t="str">
        <f t="shared" si="40"/>
        <v>C00</v>
      </c>
      <c r="C2557" s="3" t="s">
        <v>850</v>
      </c>
      <c r="D2557" s="3" t="s">
        <v>1253</v>
      </c>
      <c r="E2557" s="3" t="s">
        <v>1557</v>
      </c>
      <c r="F2557" s="3" t="s">
        <v>6</v>
      </c>
      <c r="G2557" s="3">
        <v>30.314107547286898</v>
      </c>
      <c r="H2557" s="3">
        <v>26.675244584704799</v>
      </c>
      <c r="I2557" s="3">
        <v>28.423033686751101</v>
      </c>
      <c r="J2557" s="3">
        <v>22.214320031283801</v>
      </c>
      <c r="K2557" s="3">
        <v>12.364667631556999</v>
      </c>
      <c r="L2557" s="3">
        <v>13.069124402517801</v>
      </c>
      <c r="M2557" s="3">
        <v>14.259826346369501</v>
      </c>
      <c r="N2557" s="3">
        <v>11.333106764940601</v>
      </c>
      <c r="O2557" s="3">
        <v>11.3813498020374</v>
      </c>
      <c r="P2557" s="3">
        <v>11.333887360310801</v>
      </c>
    </row>
    <row r="2558" spans="1:16" x14ac:dyDescent="0.3">
      <c r="A2558" s="3" t="str">
        <f t="shared" si="40"/>
        <v>C00</v>
      </c>
      <c r="C2558" s="3" t="s">
        <v>850</v>
      </c>
      <c r="D2558" s="3" t="s">
        <v>1253</v>
      </c>
      <c r="E2558" s="3" t="s">
        <v>1557</v>
      </c>
      <c r="F2558" s="3" t="s">
        <v>7</v>
      </c>
      <c r="G2558" s="3">
        <v>3.9673448058727798</v>
      </c>
      <c r="H2558" s="3">
        <v>3.4730498472963198</v>
      </c>
      <c r="I2558" s="3">
        <v>3.47526372229528</v>
      </c>
      <c r="J2558" s="3">
        <v>1.58624507971698</v>
      </c>
      <c r="K2558" s="3">
        <v>1.60865193763354</v>
      </c>
      <c r="L2558" s="3">
        <v>1.70803408466136</v>
      </c>
      <c r="M2558" s="3">
        <v>1.86863032311314</v>
      </c>
      <c r="N2558" s="3">
        <v>1.67234574495126</v>
      </c>
      <c r="O2558" s="3">
        <v>1.67967988168455</v>
      </c>
      <c r="P2558" s="3">
        <v>1.67381858873766</v>
      </c>
    </row>
    <row r="2559" spans="1:16" x14ac:dyDescent="0.3">
      <c r="A2559" s="3" t="str">
        <f t="shared" si="40"/>
        <v>C00</v>
      </c>
      <c r="C2559" s="3" t="s">
        <v>850</v>
      </c>
      <c r="D2559" s="3" t="s">
        <v>1253</v>
      </c>
      <c r="E2559" s="3" t="s">
        <v>1557</v>
      </c>
      <c r="F2559" s="3" t="s">
        <v>8</v>
      </c>
      <c r="N2559" s="3">
        <v>4.1205080440833701E-2</v>
      </c>
      <c r="O2559" s="3">
        <v>0.71963972977027801</v>
      </c>
      <c r="P2559" s="3">
        <v>0.67389358016330703</v>
      </c>
    </row>
    <row r="2560" spans="1:16" x14ac:dyDescent="0.3">
      <c r="A2560" s="3" t="str">
        <f t="shared" si="40"/>
        <v>LC0</v>
      </c>
      <c r="C2560" s="3" t="s">
        <v>850</v>
      </c>
      <c r="D2560" s="3" t="s">
        <v>1254</v>
      </c>
      <c r="E2560" s="3" t="s">
        <v>1558</v>
      </c>
      <c r="F2560" s="3" t="s">
        <v>0</v>
      </c>
      <c r="G2560" s="3">
        <v>1.2385150616198699E-3</v>
      </c>
      <c r="H2560" s="3">
        <v>9.84536622142151E-4</v>
      </c>
      <c r="I2560" s="3">
        <v>4.6591757079985597E-3</v>
      </c>
      <c r="J2560" s="3">
        <v>1.0694628920659801E-3</v>
      </c>
      <c r="K2560" s="3">
        <v>1.0694933923236199E-3</v>
      </c>
      <c r="L2560" s="3">
        <v>1.11133206667209E-3</v>
      </c>
      <c r="M2560" s="3">
        <v>1.2178000463135799E-3</v>
      </c>
      <c r="N2560" s="3">
        <v>8.7315819919919801E-4</v>
      </c>
      <c r="O2560" s="3">
        <v>2.5461791850732901E-4</v>
      </c>
      <c r="P2560" s="3">
        <v>2.5631194092340202E-4</v>
      </c>
    </row>
    <row r="2561" spans="1:16" x14ac:dyDescent="0.3">
      <c r="A2561" s="3" t="str">
        <f t="shared" si="40"/>
        <v>LC0</v>
      </c>
      <c r="C2561" s="3" t="s">
        <v>850</v>
      </c>
      <c r="D2561" s="3" t="s">
        <v>1254</v>
      </c>
      <c r="E2561" s="3" t="s">
        <v>1558</v>
      </c>
      <c r="F2561" s="3" t="s">
        <v>1</v>
      </c>
      <c r="G2561" s="3">
        <v>7.4750715137872306E-2</v>
      </c>
      <c r="H2561" s="3">
        <v>8.0416856254512795E-2</v>
      </c>
      <c r="I2561" s="3">
        <v>8.24130227367421E-2</v>
      </c>
      <c r="J2561" s="3">
        <v>8.7353625785814501E-2</v>
      </c>
      <c r="K2561" s="3">
        <v>8.7356117042816997E-2</v>
      </c>
      <c r="L2561" s="3">
        <v>9.0773495925921099E-2</v>
      </c>
      <c r="M2561" s="3">
        <v>9.9469790226637003E-2</v>
      </c>
      <c r="N2561" s="3">
        <v>0.10269986530658699</v>
      </c>
      <c r="O2561" s="3">
        <v>0.10348065250670301</v>
      </c>
      <c r="P2561" s="3">
        <v>0.10416911279166099</v>
      </c>
    </row>
    <row r="2562" spans="1:16" x14ac:dyDescent="0.3">
      <c r="A2562" s="3" t="str">
        <f t="shared" si="40"/>
        <v>LC0</v>
      </c>
      <c r="C2562" s="3" t="s">
        <v>850</v>
      </c>
      <c r="D2562" s="3" t="s">
        <v>1254</v>
      </c>
      <c r="E2562" s="3" t="s">
        <v>1558</v>
      </c>
      <c r="F2562" s="3" t="s">
        <v>2</v>
      </c>
      <c r="G2562" s="3">
        <v>3.6455736483102699E-2</v>
      </c>
      <c r="H2562" s="3">
        <v>0.27441559985678299</v>
      </c>
      <c r="I2562" s="3">
        <v>0.65325703981264105</v>
      </c>
      <c r="J2562" s="3">
        <v>0.67421904365492002</v>
      </c>
      <c r="K2562" s="3">
        <v>0.67422802891561395</v>
      </c>
      <c r="L2562" s="3">
        <v>0.68655354978225502</v>
      </c>
      <c r="M2562" s="3">
        <v>0.71791862826267705</v>
      </c>
      <c r="N2562" s="3">
        <v>0.43026928355409799</v>
      </c>
      <c r="O2562" s="3">
        <v>0.37322549983282</v>
      </c>
      <c r="P2562" s="3">
        <v>0.375708581720539</v>
      </c>
    </row>
    <row r="2563" spans="1:16" x14ac:dyDescent="0.3">
      <c r="A2563" s="3" t="str">
        <f t="shared" si="40"/>
        <v>LC0</v>
      </c>
      <c r="C2563" s="3" t="s">
        <v>850</v>
      </c>
      <c r="D2563" s="3" t="s">
        <v>1254</v>
      </c>
      <c r="E2563" s="3" t="s">
        <v>1558</v>
      </c>
      <c r="F2563" s="3" t="s">
        <v>4</v>
      </c>
      <c r="G2563" s="3">
        <v>1.12787718442381E-2</v>
      </c>
      <c r="H2563" s="3">
        <v>3.7066926608668199E-2</v>
      </c>
      <c r="I2563" s="3">
        <v>7.05133780760024E-2</v>
      </c>
      <c r="J2563" s="3">
        <v>7.1647314630265302E-2</v>
      </c>
      <c r="K2563" s="3">
        <v>7.1647886408113301E-2</v>
      </c>
      <c r="L2563" s="3">
        <v>7.2432222001306695E-2</v>
      </c>
      <c r="M2563" s="3">
        <v>7.4428141509384801E-2</v>
      </c>
      <c r="N2563" s="3">
        <v>0.26264980809560901</v>
      </c>
      <c r="O2563" s="3">
        <v>0.25598150999987002</v>
      </c>
      <c r="P2563" s="3">
        <v>0.25768456367825399</v>
      </c>
    </row>
    <row r="2564" spans="1:16" x14ac:dyDescent="0.3">
      <c r="A2564" s="3" t="str">
        <f t="shared" si="40"/>
        <v>LC0</v>
      </c>
      <c r="C2564" s="3" t="s">
        <v>850</v>
      </c>
      <c r="D2564" s="3" t="s">
        <v>1254</v>
      </c>
      <c r="E2564" s="3" t="s">
        <v>1558</v>
      </c>
      <c r="F2564" s="3" t="s">
        <v>5</v>
      </c>
      <c r="H2564" s="3">
        <v>2.6082450141760902E-2</v>
      </c>
      <c r="I2564" s="3">
        <v>2.60824501418997E-2</v>
      </c>
      <c r="J2564" s="3">
        <v>2.8332326024555501E-2</v>
      </c>
      <c r="K2564" s="3">
        <v>2.8333134040306799E-2</v>
      </c>
      <c r="L2564" s="3">
        <v>2.9441528703889299E-2</v>
      </c>
      <c r="M2564" s="3">
        <v>3.2262089878276001E-2</v>
      </c>
      <c r="N2564" s="3">
        <v>3.3309734316908597E-2</v>
      </c>
      <c r="O2564" s="3">
        <v>3.3562975293731902E-2</v>
      </c>
      <c r="P2564" s="3">
        <v>3.3786270904639502E-2</v>
      </c>
    </row>
    <row r="2565" spans="1:16" x14ac:dyDescent="0.3">
      <c r="A2565" s="3" t="str">
        <f t="shared" si="40"/>
        <v>LC0</v>
      </c>
      <c r="C2565" s="3" t="s">
        <v>850</v>
      </c>
      <c r="D2565" s="3" t="s">
        <v>1254</v>
      </c>
      <c r="E2565" s="3" t="s">
        <v>1558</v>
      </c>
      <c r="F2565" s="3" t="s">
        <v>7</v>
      </c>
      <c r="H2565" s="3">
        <v>7.4234665788482897E-3</v>
      </c>
      <c r="I2565" s="3">
        <v>7.6077373381853598E-3</v>
      </c>
      <c r="J2565" s="3">
        <v>8.0638158685260603E-3</v>
      </c>
      <c r="K2565" s="3">
        <v>8.0640458422411593E-3</v>
      </c>
      <c r="L2565" s="3">
        <v>8.3795120157563706E-3</v>
      </c>
      <c r="M2565" s="3">
        <v>9.1822871192016198E-3</v>
      </c>
      <c r="N2565" s="3">
        <v>9.4804628440432696E-3</v>
      </c>
      <c r="O2565" s="3">
        <v>9.5525391220180108E-3</v>
      </c>
      <c r="P2565" s="3">
        <v>9.6160924882436292E-3</v>
      </c>
    </row>
    <row r="2566" spans="1:16" x14ac:dyDescent="0.3">
      <c r="A2566" s="3" t="str">
        <f t="shared" si="40"/>
        <v>LC0</v>
      </c>
      <c r="C2566" s="3" t="s">
        <v>850</v>
      </c>
      <c r="D2566" s="3" t="s">
        <v>1254</v>
      </c>
      <c r="E2566" s="3" t="s">
        <v>1558</v>
      </c>
      <c r="F2566" s="3" t="s">
        <v>8</v>
      </c>
      <c r="G2566" s="3">
        <v>0.66128890859703604</v>
      </c>
      <c r="H2566" s="3">
        <v>0.76349697982443399</v>
      </c>
      <c r="I2566" s="3">
        <v>0.70800571813545099</v>
      </c>
      <c r="J2566" s="3">
        <v>0.50345340225233703</v>
      </c>
      <c r="K2566" s="3">
        <v>0.44874358567119499</v>
      </c>
      <c r="L2566" s="3">
        <v>0.43832479850837602</v>
      </c>
      <c r="M2566" s="3">
        <v>0.40948314211772202</v>
      </c>
      <c r="N2566" s="3">
        <v>0.364930199307759</v>
      </c>
      <c r="O2566" s="3">
        <v>0.121728950277596</v>
      </c>
      <c r="P2566" s="3">
        <v>0.122538817105508</v>
      </c>
    </row>
    <row r="2567" spans="1:16" x14ac:dyDescent="0.3">
      <c r="A2567" s="3" t="str">
        <f t="shared" si="40"/>
        <v>C00</v>
      </c>
      <c r="C2567" s="3" t="s">
        <v>850</v>
      </c>
      <c r="D2567" s="3" t="s">
        <v>1254</v>
      </c>
      <c r="E2567" s="3" t="s">
        <v>1559</v>
      </c>
      <c r="F2567" s="3" t="s">
        <v>0</v>
      </c>
      <c r="G2567" s="3">
        <v>0.91325836229823598</v>
      </c>
      <c r="H2567" s="3">
        <v>0.79082168059852698</v>
      </c>
      <c r="I2567" s="3">
        <v>1.7400460786575599E-2</v>
      </c>
      <c r="J2567" s="3">
        <v>5.1193961859284501E-2</v>
      </c>
      <c r="K2567" s="3">
        <v>5.8295811146070603E-2</v>
      </c>
      <c r="L2567" s="3">
        <v>8.1178473273681898E-2</v>
      </c>
      <c r="M2567" s="3">
        <v>0.125620754202692</v>
      </c>
      <c r="N2567" s="3">
        <v>0.14690906207048901</v>
      </c>
      <c r="O2567" s="3">
        <v>0.44213935046466901</v>
      </c>
      <c r="P2567" s="3">
        <v>0.43864497342007702</v>
      </c>
    </row>
    <row r="2568" spans="1:16" x14ac:dyDescent="0.3">
      <c r="A2568" s="3" t="str">
        <f t="shared" si="40"/>
        <v>C00</v>
      </c>
      <c r="C2568" s="3" t="s">
        <v>850</v>
      </c>
      <c r="D2568" s="3" t="s">
        <v>1254</v>
      </c>
      <c r="E2568" s="3" t="s">
        <v>1559</v>
      </c>
      <c r="F2568" s="3" t="s">
        <v>1</v>
      </c>
      <c r="G2568" s="3">
        <v>2.4425515138945002</v>
      </c>
      <c r="H2568" s="3">
        <v>2.2796861820744199</v>
      </c>
      <c r="I2568" s="3">
        <v>2.3860968219210101</v>
      </c>
      <c r="J2568" s="3">
        <v>1.78050467435354</v>
      </c>
      <c r="K2568" s="3">
        <v>0.97174758211118095</v>
      </c>
      <c r="L2568" s="3">
        <v>1.03978896911628</v>
      </c>
      <c r="M2568" s="3">
        <v>1.14202622645118</v>
      </c>
      <c r="N2568" s="3">
        <v>1.12258146715588</v>
      </c>
      <c r="O2568" s="3">
        <v>1.12729014819136</v>
      </c>
      <c r="P2568" s="3">
        <v>1.12314421798417</v>
      </c>
    </row>
    <row r="2569" spans="1:16" x14ac:dyDescent="0.3">
      <c r="A2569" s="3" t="str">
        <f t="shared" si="40"/>
        <v>C00</v>
      </c>
      <c r="C2569" s="3" t="s">
        <v>850</v>
      </c>
      <c r="D2569" s="3" t="s">
        <v>1254</v>
      </c>
      <c r="E2569" s="3" t="s">
        <v>1559</v>
      </c>
      <c r="F2569" s="3" t="s">
        <v>2</v>
      </c>
      <c r="G2569" s="3">
        <v>6.8016006351689402</v>
      </c>
      <c r="H2569" s="3">
        <v>10.334884769359199</v>
      </c>
      <c r="I2569" s="3">
        <v>9.7844280545704798</v>
      </c>
      <c r="J2569" s="3">
        <v>2.2608208608934599</v>
      </c>
      <c r="K2569" s="3">
        <v>2.3543784863121999</v>
      </c>
      <c r="L2569" s="3">
        <v>2.5944587533332202</v>
      </c>
      <c r="M2569" s="3">
        <v>2.9189795138472698</v>
      </c>
      <c r="N2569" s="3">
        <v>3.20221616381022</v>
      </c>
      <c r="O2569" s="3">
        <v>3.2728907863874301</v>
      </c>
      <c r="P2569" s="3">
        <v>3.2566318144777999</v>
      </c>
    </row>
    <row r="2570" spans="1:16" x14ac:dyDescent="0.3">
      <c r="A2570" s="3" t="str">
        <f t="shared" si="40"/>
        <v>C00</v>
      </c>
      <c r="C2570" s="3" t="s">
        <v>850</v>
      </c>
      <c r="D2570" s="3" t="s">
        <v>1254</v>
      </c>
      <c r="E2570" s="3" t="s">
        <v>1559</v>
      </c>
      <c r="F2570" s="3" t="s">
        <v>3</v>
      </c>
      <c r="G2570" s="3">
        <v>4.6424376772669396</v>
      </c>
      <c r="H2570" s="3">
        <v>7.1812972741813503</v>
      </c>
      <c r="I2570" s="3">
        <v>7.06969229880771</v>
      </c>
      <c r="J2570" s="3">
        <v>3.5155424522171299</v>
      </c>
      <c r="K2570" s="3">
        <v>2.05134720612975</v>
      </c>
      <c r="L2570" s="3">
        <v>2.2223076479009101</v>
      </c>
      <c r="M2570" s="3">
        <v>2.4633575888066601</v>
      </c>
      <c r="N2570" s="3">
        <v>2.4600855511483699</v>
      </c>
      <c r="O2570" s="3">
        <v>2.4696213266512199</v>
      </c>
      <c r="P2570" s="3">
        <v>2.4602905887800901</v>
      </c>
    </row>
    <row r="2571" spans="1:16" x14ac:dyDescent="0.3">
      <c r="A2571" s="3" t="str">
        <f t="shared" si="40"/>
        <v>C00</v>
      </c>
      <c r="C2571" s="3" t="s">
        <v>850</v>
      </c>
      <c r="D2571" s="3" t="s">
        <v>1254</v>
      </c>
      <c r="E2571" s="3" t="s">
        <v>1559</v>
      </c>
      <c r="F2571" s="3" t="s">
        <v>4</v>
      </c>
      <c r="G2571" s="3">
        <v>2.6502551024315801</v>
      </c>
      <c r="H2571" s="3">
        <v>2.3105354761153198</v>
      </c>
      <c r="I2571" s="3">
        <v>2.4246130247605802</v>
      </c>
      <c r="J2571" s="3">
        <v>1.00268091756746</v>
      </c>
      <c r="K2571" s="3">
        <v>1.01378898179564</v>
      </c>
      <c r="L2571" s="3">
        <v>1.0748456413704099</v>
      </c>
      <c r="M2571" s="3">
        <v>1.1773759272897999</v>
      </c>
      <c r="N2571" s="3">
        <v>0.96268911606687302</v>
      </c>
      <c r="O2571" s="3">
        <v>0.97536720586387704</v>
      </c>
      <c r="P2571" s="3">
        <v>0.97104268690873796</v>
      </c>
    </row>
    <row r="2572" spans="1:16" x14ac:dyDescent="0.3">
      <c r="A2572" s="3" t="str">
        <f t="shared" si="40"/>
        <v>C00</v>
      </c>
      <c r="C2572" s="3" t="s">
        <v>850</v>
      </c>
      <c r="D2572" s="3" t="s">
        <v>1254</v>
      </c>
      <c r="E2572" s="3" t="s">
        <v>1559</v>
      </c>
      <c r="F2572" s="3" t="s">
        <v>5</v>
      </c>
      <c r="G2572" s="3">
        <v>2.3199144513168002</v>
      </c>
      <c r="H2572" s="3">
        <v>2.7684846518010602</v>
      </c>
      <c r="I2572" s="3">
        <v>2.14878365084948</v>
      </c>
      <c r="J2572" s="3">
        <v>1.6714570815759799</v>
      </c>
      <c r="K2572" s="3">
        <v>0.91778320168474503</v>
      </c>
      <c r="L2572" s="3">
        <v>0.97057824208941001</v>
      </c>
      <c r="M2572" s="3">
        <v>1.0588674942659799</v>
      </c>
      <c r="N2572" s="3">
        <v>1.0347516213549199</v>
      </c>
      <c r="O2572" s="3">
        <v>1.03973678923395</v>
      </c>
      <c r="P2572" s="3">
        <v>1.03722850479087</v>
      </c>
    </row>
    <row r="2573" spans="1:16" x14ac:dyDescent="0.3">
      <c r="A2573" s="3" t="str">
        <f t="shared" si="40"/>
        <v>C00</v>
      </c>
      <c r="C2573" s="3" t="s">
        <v>850</v>
      </c>
      <c r="D2573" s="3" t="s">
        <v>1254</v>
      </c>
      <c r="E2573" s="3" t="s">
        <v>1559</v>
      </c>
      <c r="F2573" s="3" t="s">
        <v>6</v>
      </c>
      <c r="G2573" s="3">
        <v>8.0593882786979503</v>
      </c>
      <c r="H2573" s="3">
        <v>7.1087726782004301</v>
      </c>
      <c r="I2573" s="3">
        <v>7.5554899673642097</v>
      </c>
      <c r="J2573" s="3">
        <v>5.9050724133792301</v>
      </c>
      <c r="K2573" s="3">
        <v>3.2868103830721198</v>
      </c>
      <c r="L2573" s="3">
        <v>3.47407104370724</v>
      </c>
      <c r="M2573" s="3">
        <v>3.79058675030076</v>
      </c>
      <c r="N2573" s="3">
        <v>3.7104476701482798</v>
      </c>
      <c r="O2573" s="3">
        <v>3.7286459148757798</v>
      </c>
      <c r="P2573" s="3">
        <v>3.7207078582804001</v>
      </c>
    </row>
    <row r="2574" spans="1:16" x14ac:dyDescent="0.3">
      <c r="A2574" s="3" t="str">
        <f t="shared" si="40"/>
        <v>C00</v>
      </c>
      <c r="C2574" s="3" t="s">
        <v>850</v>
      </c>
      <c r="D2574" s="3" t="s">
        <v>1254</v>
      </c>
      <c r="E2574" s="3" t="s">
        <v>1559</v>
      </c>
      <c r="F2574" s="3" t="s">
        <v>7</v>
      </c>
      <c r="G2574" s="3">
        <v>1.0546106445990899</v>
      </c>
      <c r="H2574" s="3">
        <v>0.92321578219269096</v>
      </c>
      <c r="I2574" s="3">
        <v>0.92380428061013697</v>
      </c>
      <c r="J2574" s="3">
        <v>0.42166008448172898</v>
      </c>
      <c r="K2574" s="3">
        <v>0.42761633785195202</v>
      </c>
      <c r="L2574" s="3">
        <v>0.454034376935263</v>
      </c>
      <c r="M2574" s="3">
        <v>0.49672451627058001</v>
      </c>
      <c r="N2574" s="3">
        <v>0.48745537060256799</v>
      </c>
      <c r="O2574" s="3">
        <v>0.48973116234957598</v>
      </c>
      <c r="P2574" s="3">
        <v>0.48846073425943698</v>
      </c>
    </row>
    <row r="2575" spans="1:16" x14ac:dyDescent="0.3">
      <c r="A2575" s="3" t="str">
        <f t="shared" si="40"/>
        <v>C00</v>
      </c>
      <c r="C2575" s="3" t="s">
        <v>850</v>
      </c>
      <c r="D2575" s="3" t="s">
        <v>1254</v>
      </c>
      <c r="E2575" s="3" t="s">
        <v>1559</v>
      </c>
      <c r="F2575" s="3" t="s">
        <v>8</v>
      </c>
      <c r="O2575" s="3">
        <v>0.18747824896151499</v>
      </c>
      <c r="P2575" s="3">
        <v>0.185948606327067</v>
      </c>
    </row>
    <row r="2576" spans="1:16" x14ac:dyDescent="0.3">
      <c r="A2576" s="3" t="str">
        <f t="shared" si="40"/>
        <v>C00</v>
      </c>
      <c r="C2576" s="3" t="s">
        <v>850</v>
      </c>
      <c r="D2576" s="3" t="s">
        <v>1249</v>
      </c>
      <c r="E2576" s="3" t="s">
        <v>1560</v>
      </c>
      <c r="F2576" s="3" t="s">
        <v>0</v>
      </c>
      <c r="G2576" s="3">
        <v>0.77138750514743304</v>
      </c>
      <c r="H2576" s="3">
        <v>1.02101863452449</v>
      </c>
      <c r="I2576" s="3">
        <v>0.64653749878100397</v>
      </c>
      <c r="J2576" s="3">
        <v>1.2654475275100101</v>
      </c>
      <c r="K2576" s="3">
        <v>1.37264464433773</v>
      </c>
      <c r="L2576" s="3">
        <v>1.4478152480689399</v>
      </c>
      <c r="M2576" s="3">
        <v>1.49976553020708</v>
      </c>
      <c r="N2576" s="3">
        <v>1.5844002978125</v>
      </c>
      <c r="O2576" s="3">
        <v>1.6990012404225601</v>
      </c>
      <c r="P2576" s="3">
        <v>1.7443643133712901</v>
      </c>
    </row>
    <row r="2577" spans="1:16" x14ac:dyDescent="0.3">
      <c r="A2577" s="3" t="str">
        <f t="shared" si="40"/>
        <v>C00</v>
      </c>
      <c r="C2577" s="3" t="s">
        <v>850</v>
      </c>
      <c r="D2577" s="3" t="s">
        <v>1249</v>
      </c>
      <c r="E2577" s="3" t="s">
        <v>1560</v>
      </c>
      <c r="F2577" s="3" t="s">
        <v>1</v>
      </c>
      <c r="G2577" s="3">
        <v>2.12337027520674</v>
      </c>
      <c r="H2577" s="3">
        <v>2.81052078820891</v>
      </c>
      <c r="I2577" s="3">
        <v>3.0206970379660301</v>
      </c>
      <c r="J2577" s="3">
        <v>3.4833512946713499</v>
      </c>
      <c r="K2577" s="3">
        <v>3.77842889178168</v>
      </c>
      <c r="L2577" s="3">
        <v>3.9853482733728001</v>
      </c>
      <c r="M2577" s="3">
        <v>4.1283499218887902</v>
      </c>
      <c r="N2577" s="3">
        <v>4.3613209624918303</v>
      </c>
      <c r="O2577" s="3">
        <v>4.6767788010296201</v>
      </c>
      <c r="P2577" s="3">
        <v>4.8016480788551199</v>
      </c>
    </row>
    <row r="2578" spans="1:16" x14ac:dyDescent="0.3">
      <c r="A2578" s="3" t="str">
        <f t="shared" si="40"/>
        <v>C00</v>
      </c>
      <c r="C2578" s="3" t="s">
        <v>850</v>
      </c>
      <c r="D2578" s="3" t="s">
        <v>1249</v>
      </c>
      <c r="E2578" s="3" t="s">
        <v>1560</v>
      </c>
      <c r="F2578" s="3" t="s">
        <v>2</v>
      </c>
      <c r="G2578" s="3">
        <v>5.1774579579698399</v>
      </c>
      <c r="H2578" s="3">
        <v>5.7918797567079601</v>
      </c>
      <c r="I2578" s="3">
        <v>6.1864014541741801</v>
      </c>
      <c r="J2578" s="3">
        <v>7.1290466019361602</v>
      </c>
      <c r="K2578" s="3">
        <v>7.7182556421076001</v>
      </c>
      <c r="L2578" s="3">
        <v>8.1149628521756796</v>
      </c>
      <c r="M2578" s="3">
        <v>8.4266637695823992</v>
      </c>
      <c r="N2578" s="3">
        <v>8.8697669235896992</v>
      </c>
      <c r="O2578" s="3">
        <v>9.5129055166566605</v>
      </c>
      <c r="P2578" s="3">
        <v>9.7111549494065592</v>
      </c>
    </row>
    <row r="2579" spans="1:16" x14ac:dyDescent="0.3">
      <c r="A2579" s="3" t="str">
        <f t="shared" si="40"/>
        <v>C00</v>
      </c>
      <c r="C2579" s="3" t="s">
        <v>850</v>
      </c>
      <c r="D2579" s="3" t="s">
        <v>1249</v>
      </c>
      <c r="E2579" s="3" t="s">
        <v>1560</v>
      </c>
      <c r="F2579" s="3" t="s">
        <v>3</v>
      </c>
      <c r="G2579" s="3">
        <v>3.50681538309271</v>
      </c>
      <c r="H2579" s="3">
        <v>3.9229778769291999</v>
      </c>
      <c r="I2579" s="3">
        <v>4.1901968034505996</v>
      </c>
      <c r="J2579" s="3">
        <v>4.8286727759847397</v>
      </c>
      <c r="K2579" s="3">
        <v>5.22775806894205</v>
      </c>
      <c r="L2579" s="3">
        <v>5.4964572951151904</v>
      </c>
      <c r="M2579" s="3">
        <v>5.7075797380127602</v>
      </c>
      <c r="N2579" s="3">
        <v>6.0077040402058399</v>
      </c>
      <c r="O2579" s="3">
        <v>6.4433171016612203</v>
      </c>
      <c r="P2579" s="3">
        <v>6.5775961563827696</v>
      </c>
    </row>
    <row r="2580" spans="1:16" x14ac:dyDescent="0.3">
      <c r="A2580" s="3" t="str">
        <f t="shared" si="40"/>
        <v>C00</v>
      </c>
      <c r="C2580" s="3" t="s">
        <v>850</v>
      </c>
      <c r="D2580" s="3" t="s">
        <v>1249</v>
      </c>
      <c r="E2580" s="3" t="s">
        <v>1560</v>
      </c>
      <c r="F2580" s="3" t="s">
        <v>4</v>
      </c>
      <c r="G2580" s="3">
        <v>2.5601232398468601</v>
      </c>
      <c r="H2580" s="3">
        <v>2.7832204521341999</v>
      </c>
      <c r="I2580" s="3">
        <v>2.9693283154319099</v>
      </c>
      <c r="J2580" s="3">
        <v>3.4213346409169398</v>
      </c>
      <c r="K2580" s="3">
        <v>3.7027725835164498</v>
      </c>
      <c r="L2580" s="3">
        <v>3.8907315049455602</v>
      </c>
      <c r="M2580" s="3">
        <v>4.0420463902199097</v>
      </c>
      <c r="N2580" s="3">
        <v>4.2516440888246398</v>
      </c>
      <c r="O2580" s="3">
        <v>4.5600710885753504</v>
      </c>
      <c r="P2580" s="3">
        <v>4.6500198379909996</v>
      </c>
    </row>
    <row r="2581" spans="1:16" x14ac:dyDescent="0.3">
      <c r="A2581" s="3" t="str">
        <f t="shared" si="40"/>
        <v>C00</v>
      </c>
      <c r="C2581" s="3" t="s">
        <v>850</v>
      </c>
      <c r="D2581" s="3" t="s">
        <v>1249</v>
      </c>
      <c r="E2581" s="3" t="s">
        <v>1560</v>
      </c>
      <c r="F2581" s="3" t="s">
        <v>5</v>
      </c>
      <c r="G2581" s="3">
        <v>2.2315203119061402</v>
      </c>
      <c r="H2581" s="3">
        <v>2.4259820288267</v>
      </c>
      <c r="I2581" s="3">
        <v>2.5882021402222399</v>
      </c>
      <c r="J2581" s="3">
        <v>2.9821914922701001</v>
      </c>
      <c r="K2581" s="3">
        <v>3.2275056535873499</v>
      </c>
      <c r="L2581" s="3">
        <v>3.3913392317701501</v>
      </c>
      <c r="M2581" s="3">
        <v>3.5232321948619099</v>
      </c>
      <c r="N2581" s="3">
        <v>3.70592711926454</v>
      </c>
      <c r="O2581" s="3">
        <v>3.9747661751238801</v>
      </c>
      <c r="P2581" s="3">
        <v>4.0531696122035497</v>
      </c>
    </row>
    <row r="2582" spans="1:16" x14ac:dyDescent="0.3">
      <c r="A2582" s="3" t="str">
        <f t="shared" si="40"/>
        <v>C00</v>
      </c>
      <c r="C2582" s="3" t="s">
        <v>850</v>
      </c>
      <c r="D2582" s="3" t="s">
        <v>1249</v>
      </c>
      <c r="E2582" s="3" t="s">
        <v>1560</v>
      </c>
      <c r="F2582" s="3" t="s">
        <v>6</v>
      </c>
      <c r="G2582" s="3">
        <v>7.7523068297817899</v>
      </c>
      <c r="H2582" s="3">
        <v>8.4278672932787799</v>
      </c>
      <c r="I2582" s="3">
        <v>8.9914203430941697</v>
      </c>
      <c r="J2582" s="3">
        <v>10.360140281893599</v>
      </c>
      <c r="K2582" s="3">
        <v>11.2123622572327</v>
      </c>
      <c r="L2582" s="3">
        <v>11.7815204944746</v>
      </c>
      <c r="M2582" s="3">
        <v>12.239716959512901</v>
      </c>
      <c r="N2582" s="3">
        <v>12.8743995580339</v>
      </c>
      <c r="O2582" s="3">
        <v>13.8083470725291</v>
      </c>
      <c r="P2582" s="3">
        <v>14.0807207979701</v>
      </c>
    </row>
    <row r="2583" spans="1:16" x14ac:dyDescent="0.3">
      <c r="A2583" s="3" t="str">
        <f t="shared" si="40"/>
        <v>C00</v>
      </c>
      <c r="C2583" s="3" t="s">
        <v>850</v>
      </c>
      <c r="D2583" s="3" t="s">
        <v>1249</v>
      </c>
      <c r="E2583" s="3" t="s">
        <v>1560</v>
      </c>
      <c r="F2583" s="3" t="s">
        <v>7</v>
      </c>
      <c r="G2583" s="3">
        <v>3.5582996254194099</v>
      </c>
      <c r="H2583" s="3">
        <v>3.6159517608275502</v>
      </c>
      <c r="I2583" s="3">
        <v>3.84656030246019</v>
      </c>
      <c r="J2583" s="3">
        <v>4.4306814696647399</v>
      </c>
      <c r="K2583" s="3">
        <v>4.7908555411546798</v>
      </c>
      <c r="L2583" s="3">
        <v>5.0264460269940496</v>
      </c>
      <c r="M2583" s="3">
        <v>5.2279593959583801</v>
      </c>
      <c r="N2583" s="3">
        <v>5.4895511189167596</v>
      </c>
      <c r="O2583" s="3">
        <v>5.8882448583387603</v>
      </c>
      <c r="P2583" s="3">
        <v>5.98799384015964</v>
      </c>
    </row>
    <row r="2584" spans="1:16" x14ac:dyDescent="0.3">
      <c r="A2584" s="3" t="str">
        <f t="shared" si="40"/>
        <v>C00</v>
      </c>
      <c r="C2584" s="3" t="s">
        <v>850</v>
      </c>
      <c r="D2584" s="3" t="s">
        <v>1249</v>
      </c>
      <c r="E2584" s="3" t="s">
        <v>1560</v>
      </c>
      <c r="F2584" s="3" t="s">
        <v>8</v>
      </c>
      <c r="G2584" s="3">
        <v>2.2312159352889198</v>
      </c>
      <c r="H2584" s="3">
        <v>2.2673664500761701</v>
      </c>
      <c r="I2584" s="3">
        <v>2.4119685092250802</v>
      </c>
      <c r="J2584" s="3">
        <v>2.6584908402066199</v>
      </c>
      <c r="K2584" s="3">
        <v>2.4456789310293399</v>
      </c>
      <c r="L2584" s="3">
        <v>3.0320623529869102</v>
      </c>
      <c r="M2584" s="3">
        <v>3.1584204136727099</v>
      </c>
      <c r="N2584" s="3">
        <v>3.3224503387062598</v>
      </c>
      <c r="O2584" s="3">
        <v>3.5138275171172801</v>
      </c>
      <c r="P2584" s="3">
        <v>3.7664012871275898</v>
      </c>
    </row>
    <row r="2585" spans="1:16" x14ac:dyDescent="0.3">
      <c r="A2585" s="3" t="str">
        <f t="shared" si="40"/>
        <v>LC0</v>
      </c>
      <c r="C2585" s="3" t="s">
        <v>850</v>
      </c>
      <c r="D2585" s="3" t="s">
        <v>1250</v>
      </c>
      <c r="E2585" s="3" t="s">
        <v>1561</v>
      </c>
      <c r="F2585" s="3" t="s">
        <v>4</v>
      </c>
      <c r="M2585" s="3">
        <v>1.7587049168300899</v>
      </c>
      <c r="N2585" s="3">
        <v>1.7587049168300899</v>
      </c>
      <c r="O2585" s="3">
        <v>1.7587049168300899</v>
      </c>
      <c r="P2585" s="3">
        <v>1.7587049168300899</v>
      </c>
    </row>
    <row r="2586" spans="1:16" x14ac:dyDescent="0.3">
      <c r="A2586" s="3" t="str">
        <f t="shared" si="40"/>
        <v>LC0</v>
      </c>
      <c r="C2586" s="3" t="s">
        <v>850</v>
      </c>
      <c r="D2586" s="3" t="s">
        <v>1250</v>
      </c>
      <c r="E2586" s="3" t="s">
        <v>1561</v>
      </c>
      <c r="F2586" s="3" t="s">
        <v>6</v>
      </c>
      <c r="G2586" s="3">
        <v>1.09129171966279</v>
      </c>
      <c r="H2586" s="3">
        <v>1.09129171966279</v>
      </c>
      <c r="I2586" s="3">
        <v>1.09129171966279</v>
      </c>
      <c r="J2586" s="3">
        <v>1.09129171966279</v>
      </c>
      <c r="K2586" s="3">
        <v>1.1093334924986999</v>
      </c>
      <c r="L2586" s="3">
        <v>1.1550561410815099</v>
      </c>
      <c r="M2586" s="3">
        <v>1.40206230640667</v>
      </c>
      <c r="N2586" s="3">
        <v>5.3255327423722898</v>
      </c>
      <c r="O2586" s="3">
        <v>5.3255327423722898</v>
      </c>
      <c r="P2586" s="3">
        <v>5.3255327423722898</v>
      </c>
    </row>
    <row r="2587" spans="1:16" x14ac:dyDescent="0.3">
      <c r="A2587" s="3" t="str">
        <f t="shared" si="40"/>
        <v>LC0</v>
      </c>
      <c r="C2587" s="3" t="s">
        <v>850</v>
      </c>
      <c r="D2587" s="3" t="s">
        <v>1250</v>
      </c>
      <c r="E2587" s="3" t="s">
        <v>1561</v>
      </c>
      <c r="F2587" s="3" t="s">
        <v>8</v>
      </c>
      <c r="O2587" s="3">
        <v>1.29149088559065</v>
      </c>
      <c r="P2587" s="3">
        <v>1.29149088559065</v>
      </c>
    </row>
    <row r="2588" spans="1:16" x14ac:dyDescent="0.3">
      <c r="A2588" s="3" t="str">
        <f t="shared" si="40"/>
        <v>C00</v>
      </c>
      <c r="C2588" s="3" t="s">
        <v>850</v>
      </c>
      <c r="D2588" s="3" t="s">
        <v>1250</v>
      </c>
      <c r="E2588" s="3" t="s">
        <v>1562</v>
      </c>
      <c r="F2588" s="3" t="s">
        <v>0</v>
      </c>
      <c r="G2588" s="3">
        <v>2.3442105782385201</v>
      </c>
      <c r="H2588" s="3">
        <v>1.9375255612562601</v>
      </c>
      <c r="I2588" s="3">
        <v>0.95899523655213303</v>
      </c>
      <c r="J2588" s="3">
        <v>1.6069459226532901</v>
      </c>
      <c r="K2588" s="3">
        <v>1.4117135679686099</v>
      </c>
      <c r="L2588" s="3">
        <v>0.90827670598197097</v>
      </c>
      <c r="M2588" s="3">
        <v>0.90784823673163095</v>
      </c>
      <c r="N2588" s="3">
        <v>0.89733195451063597</v>
      </c>
      <c r="O2588" s="3">
        <v>0.91196017190887202</v>
      </c>
      <c r="P2588" s="3">
        <v>0.89300180802752205</v>
      </c>
    </row>
    <row r="2589" spans="1:16" x14ac:dyDescent="0.3">
      <c r="A2589" s="3" t="str">
        <f t="shared" si="40"/>
        <v>C00</v>
      </c>
      <c r="C2589" s="3" t="s">
        <v>850</v>
      </c>
      <c r="D2589" s="3" t="s">
        <v>1250</v>
      </c>
      <c r="E2589" s="3" t="s">
        <v>1562</v>
      </c>
      <c r="F2589" s="3" t="s">
        <v>1</v>
      </c>
      <c r="G2589" s="3">
        <v>6.4528230330948704</v>
      </c>
      <c r="H2589" s="3">
        <v>7.7306386043003696</v>
      </c>
      <c r="I2589" s="3">
        <v>4.9618298322661296</v>
      </c>
      <c r="J2589" s="3">
        <v>4.4233814824035997</v>
      </c>
      <c r="K2589" s="3">
        <v>3.8859724941456801</v>
      </c>
      <c r="L2589" s="3">
        <v>3.4289956265321502</v>
      </c>
      <c r="M2589" s="3">
        <v>2.9634084765497102</v>
      </c>
      <c r="N2589" s="3">
        <v>2.4700529714139998</v>
      </c>
      <c r="O2589" s="3">
        <v>2.5103195323777299</v>
      </c>
      <c r="P2589" s="3">
        <v>2.45813353498525</v>
      </c>
    </row>
    <row r="2590" spans="1:16" x14ac:dyDescent="0.3">
      <c r="A2590" s="3" t="str">
        <f t="shared" si="40"/>
        <v>C00</v>
      </c>
      <c r="C2590" s="3" t="s">
        <v>850</v>
      </c>
      <c r="D2590" s="3" t="s">
        <v>1250</v>
      </c>
      <c r="E2590" s="3" t="s">
        <v>1562</v>
      </c>
      <c r="F2590" s="3" t="s">
        <v>2</v>
      </c>
      <c r="G2590" s="3">
        <v>11.238609122678501</v>
      </c>
      <c r="H2590" s="3">
        <v>12.9621844690298</v>
      </c>
      <c r="I2590" s="3">
        <v>8.6418092875141692</v>
      </c>
      <c r="J2590" s="3">
        <v>7.7040165562056897</v>
      </c>
      <c r="K2590" s="3">
        <v>6.7680340370712599</v>
      </c>
      <c r="L2590" s="3">
        <v>5.9721367426817604</v>
      </c>
      <c r="M2590" s="3">
        <v>5.1612432834379298</v>
      </c>
      <c r="N2590" s="3">
        <v>4.3019868537628998</v>
      </c>
      <c r="O2590" s="3">
        <v>4.3721174209681202</v>
      </c>
      <c r="P2590" s="3">
        <v>4.2812272751570397</v>
      </c>
    </row>
    <row r="2591" spans="1:16" x14ac:dyDescent="0.3">
      <c r="A2591" s="3" t="str">
        <f t="shared" ref="A2591:A2654" si="41">RIGHT(E2591,3)</f>
        <v>C00</v>
      </c>
      <c r="C2591" s="3" t="s">
        <v>850</v>
      </c>
      <c r="D2591" s="3" t="s">
        <v>1250</v>
      </c>
      <c r="E2591" s="3" t="s">
        <v>1562</v>
      </c>
      <c r="F2591" s="3" t="s">
        <v>3</v>
      </c>
      <c r="G2591" s="3">
        <v>7.6121771873216701</v>
      </c>
      <c r="H2591" s="3">
        <v>8.7795957521020505</v>
      </c>
      <c r="I2591" s="3">
        <v>5.8533029129783998</v>
      </c>
      <c r="J2591" s="3">
        <v>5.2181135974876396</v>
      </c>
      <c r="K2591" s="3">
        <v>4.5841503817450704</v>
      </c>
      <c r="L2591" s="3">
        <v>4.0450702196298796</v>
      </c>
      <c r="M2591" s="3">
        <v>3.4958327984842001</v>
      </c>
      <c r="N2591" s="3">
        <v>2.91383798750417</v>
      </c>
      <c r="O2591" s="3">
        <v>2.9613390882174602</v>
      </c>
      <c r="P2591" s="3">
        <v>2.89977703129891</v>
      </c>
    </row>
    <row r="2592" spans="1:16" x14ac:dyDescent="0.3">
      <c r="A2592" s="3" t="str">
        <f t="shared" si="41"/>
        <v>C00</v>
      </c>
      <c r="C2592" s="3" t="s">
        <v>850</v>
      </c>
      <c r="D2592" s="3" t="s">
        <v>1250</v>
      </c>
      <c r="E2592" s="3" t="s">
        <v>1562</v>
      </c>
      <c r="F2592" s="3" t="s">
        <v>4</v>
      </c>
      <c r="G2592" s="3">
        <v>4.6167596000054099</v>
      </c>
      <c r="H2592" s="3">
        <v>5.3570653575929796</v>
      </c>
      <c r="I2592" s="3">
        <v>3.5500083287920399</v>
      </c>
      <c r="J2592" s="3">
        <v>3.1647681671472099</v>
      </c>
      <c r="K2592" s="3">
        <v>2.7802716308337101</v>
      </c>
      <c r="L2592" s="3">
        <v>2.4533213441584398</v>
      </c>
      <c r="M2592" s="3">
        <v>2.9239008168366901E-2</v>
      </c>
      <c r="N2592" s="3">
        <v>8.5279221631899792E-3</v>
      </c>
      <c r="O2592" s="3">
        <v>3.73371783499927E-2</v>
      </c>
    </row>
    <row r="2593" spans="1:16" x14ac:dyDescent="0.3">
      <c r="A2593" s="3" t="str">
        <f t="shared" si="41"/>
        <v>C00</v>
      </c>
      <c r="C2593" s="3" t="s">
        <v>850</v>
      </c>
      <c r="D2593" s="3" t="s">
        <v>1250</v>
      </c>
      <c r="E2593" s="3" t="s">
        <v>1562</v>
      </c>
      <c r="F2593" s="3" t="s">
        <v>5</v>
      </c>
      <c r="G2593" s="3">
        <v>4.0241784701020897</v>
      </c>
      <c r="H2593" s="3">
        <v>4.6694627710158896</v>
      </c>
      <c r="I2593" s="3">
        <v>4.4377676469797098</v>
      </c>
      <c r="J2593" s="3">
        <v>2.7585564388241801</v>
      </c>
      <c r="K2593" s="3">
        <v>2.4234117015370602</v>
      </c>
      <c r="L2593" s="3">
        <v>2.138426903015</v>
      </c>
      <c r="M2593" s="3">
        <v>1.8480724681720999</v>
      </c>
      <c r="N2593" s="3">
        <v>1.5404008348898699</v>
      </c>
      <c r="O2593" s="3">
        <v>1.56551229802224</v>
      </c>
      <c r="P2593" s="3">
        <v>1.5329675085447401</v>
      </c>
    </row>
    <row r="2594" spans="1:16" x14ac:dyDescent="0.3">
      <c r="A2594" s="3" t="str">
        <f t="shared" si="41"/>
        <v>C00</v>
      </c>
      <c r="C2594" s="3" t="s">
        <v>850</v>
      </c>
      <c r="D2594" s="3" t="s">
        <v>1250</v>
      </c>
      <c r="E2594" s="3" t="s">
        <v>1562</v>
      </c>
      <c r="F2594" s="3" t="s">
        <v>6</v>
      </c>
      <c r="G2594" s="3">
        <v>12.888713782230001</v>
      </c>
      <c r="H2594" s="3">
        <v>10.463394645916701</v>
      </c>
      <c r="I2594" s="3">
        <v>9.6584852382320001</v>
      </c>
      <c r="J2594" s="3">
        <v>8.4919398587978101</v>
      </c>
      <c r="K2594" s="3">
        <v>7.3096044777101197</v>
      </c>
      <c r="L2594" s="3">
        <v>6.27384396651901</v>
      </c>
      <c r="M2594" s="3">
        <v>5.0181458093350102</v>
      </c>
      <c r="N2594" s="3">
        <v>2.5823393265030199E-2</v>
      </c>
      <c r="O2594" s="3">
        <v>0.11306067544808</v>
      </c>
    </row>
    <row r="2595" spans="1:16" x14ac:dyDescent="0.3">
      <c r="A2595" s="3" t="str">
        <f t="shared" si="41"/>
        <v>C00</v>
      </c>
      <c r="C2595" s="3" t="s">
        <v>850</v>
      </c>
      <c r="D2595" s="3" t="s">
        <v>1250</v>
      </c>
      <c r="E2595" s="3" t="s">
        <v>1562</v>
      </c>
      <c r="F2595" s="3" t="s">
        <v>7</v>
      </c>
      <c r="G2595" s="3">
        <v>5.4067531343122903</v>
      </c>
      <c r="H2595" s="3">
        <v>4.4687633860111404</v>
      </c>
      <c r="I2595" s="3">
        <v>4.1574654782780103</v>
      </c>
      <c r="J2595" s="3">
        <v>3.7063052204569802</v>
      </c>
      <c r="K2595" s="3">
        <v>3.2560158328868001</v>
      </c>
      <c r="L2595" s="3">
        <v>2.8731196805197201</v>
      </c>
      <c r="M2595" s="3">
        <v>2.4830090623371999</v>
      </c>
      <c r="N2595" s="3">
        <v>2.06963162891897</v>
      </c>
      <c r="O2595" s="3">
        <v>2.1033705604814901</v>
      </c>
      <c r="P2595" s="3">
        <v>2.0596444574221202</v>
      </c>
    </row>
    <row r="2596" spans="1:16" x14ac:dyDescent="0.3">
      <c r="A2596" s="3" t="str">
        <f t="shared" si="41"/>
        <v>C00</v>
      </c>
      <c r="C2596" s="3" t="s">
        <v>850</v>
      </c>
      <c r="D2596" s="3" t="s">
        <v>1250</v>
      </c>
      <c r="E2596" s="3" t="s">
        <v>1562</v>
      </c>
      <c r="F2596" s="3" t="s">
        <v>8</v>
      </c>
      <c r="G2596" s="3">
        <v>3.3902804770211499</v>
      </c>
      <c r="H2596" s="3">
        <v>2.80211818214398</v>
      </c>
      <c r="I2596" s="3">
        <v>2.6069202152851898</v>
      </c>
      <c r="J2596" s="3">
        <v>2.3240221845999001</v>
      </c>
      <c r="K2596" s="3">
        <v>1.3096778535070099</v>
      </c>
      <c r="L2596" s="3">
        <v>1.80157690189237</v>
      </c>
      <c r="M2596" s="3">
        <v>1.5569597758931299</v>
      </c>
      <c r="N2596" s="3">
        <v>1.29775329700566</v>
      </c>
      <c r="O2596" s="3">
        <v>2.7418258214458199E-2</v>
      </c>
    </row>
    <row r="2597" spans="1:16" x14ac:dyDescent="0.3">
      <c r="A2597" s="3" t="str">
        <f t="shared" si="41"/>
        <v>LC0</v>
      </c>
      <c r="C2597" s="3" t="s">
        <v>850</v>
      </c>
      <c r="D2597" s="3" t="s">
        <v>1251</v>
      </c>
      <c r="E2597" s="3" t="s">
        <v>1563</v>
      </c>
      <c r="F2597" s="3" t="s">
        <v>1</v>
      </c>
      <c r="G2597" s="3">
        <v>0.46545544732348798</v>
      </c>
      <c r="H2597" s="3">
        <v>3.8870609369261101E-2</v>
      </c>
      <c r="I2597" s="3">
        <v>4.12564831273304E-2</v>
      </c>
      <c r="J2597" s="3">
        <v>4.12564831273304E-2</v>
      </c>
      <c r="K2597" s="3">
        <v>0.456550623708318</v>
      </c>
      <c r="L2597" s="3">
        <v>0.47039574300619302</v>
      </c>
      <c r="M2597" s="3">
        <v>0.62608933855393301</v>
      </c>
      <c r="N2597" s="3">
        <v>0.62584854362772402</v>
      </c>
      <c r="O2597" s="3">
        <v>0.62584854362772402</v>
      </c>
      <c r="P2597" s="3">
        <v>0.62584854362772402</v>
      </c>
    </row>
    <row r="2598" spans="1:16" x14ac:dyDescent="0.3">
      <c r="A2598" s="3" t="str">
        <f t="shared" si="41"/>
        <v>LC0</v>
      </c>
      <c r="C2598" s="3" t="s">
        <v>850</v>
      </c>
      <c r="D2598" s="3" t="s">
        <v>1251</v>
      </c>
      <c r="E2598" s="3" t="s">
        <v>1563</v>
      </c>
      <c r="F2598" s="3" t="s">
        <v>2</v>
      </c>
      <c r="M2598" s="3">
        <v>0.763303335773719</v>
      </c>
      <c r="N2598" s="3">
        <v>0.763303335773719</v>
      </c>
      <c r="O2598" s="3">
        <v>0.763303335773719</v>
      </c>
      <c r="P2598" s="3">
        <v>0.763303335773719</v>
      </c>
    </row>
    <row r="2599" spans="1:16" x14ac:dyDescent="0.3">
      <c r="A2599" s="3" t="str">
        <f t="shared" si="41"/>
        <v>LC0</v>
      </c>
      <c r="C2599" s="3" t="s">
        <v>850</v>
      </c>
      <c r="D2599" s="3" t="s">
        <v>1251</v>
      </c>
      <c r="E2599" s="3" t="s">
        <v>1563</v>
      </c>
      <c r="F2599" s="3" t="s">
        <v>3</v>
      </c>
      <c r="M2599" s="3">
        <v>0.114277357152092</v>
      </c>
      <c r="N2599" s="3">
        <v>0.114277357152092</v>
      </c>
      <c r="O2599" s="3">
        <v>0.114277357152092</v>
      </c>
      <c r="P2599" s="3">
        <v>0.114277357152092</v>
      </c>
    </row>
    <row r="2600" spans="1:16" x14ac:dyDescent="0.3">
      <c r="A2600" s="3" t="str">
        <f t="shared" si="41"/>
        <v>LC0</v>
      </c>
      <c r="C2600" s="3" t="s">
        <v>850</v>
      </c>
      <c r="D2600" s="3" t="s">
        <v>1251</v>
      </c>
      <c r="E2600" s="3" t="s">
        <v>1563</v>
      </c>
      <c r="F2600" s="3" t="s">
        <v>4</v>
      </c>
      <c r="I2600" s="3">
        <v>8.6247722264609696E-5</v>
      </c>
      <c r="J2600" s="3">
        <v>0.197652722171517</v>
      </c>
      <c r="K2600" s="3">
        <v>0.197652722171517</v>
      </c>
      <c r="L2600" s="3">
        <v>0.197652722171517</v>
      </c>
      <c r="M2600" s="3">
        <v>0.74035204346313399</v>
      </c>
      <c r="N2600" s="3">
        <v>0.54269932129161702</v>
      </c>
      <c r="O2600" s="3">
        <v>0.54269932129161702</v>
      </c>
      <c r="P2600" s="3">
        <v>0.54269932129161702</v>
      </c>
    </row>
    <row r="2601" spans="1:16" x14ac:dyDescent="0.3">
      <c r="A2601" s="3" t="str">
        <f t="shared" si="41"/>
        <v>LC0</v>
      </c>
      <c r="C2601" s="3" t="s">
        <v>850</v>
      </c>
      <c r="D2601" s="3" t="s">
        <v>1251</v>
      </c>
      <c r="E2601" s="3" t="s">
        <v>1563</v>
      </c>
      <c r="F2601" s="3" t="s">
        <v>5</v>
      </c>
      <c r="G2601" s="3">
        <v>8.6102167083658504E-2</v>
      </c>
      <c r="H2601" s="3">
        <v>8.8716120226881197E-3</v>
      </c>
      <c r="I2601" s="3">
        <v>1.3050860787354301E-2</v>
      </c>
      <c r="J2601" s="3">
        <v>8.6806385138524594E-2</v>
      </c>
      <c r="K2601" s="3">
        <v>8.7536422788390703E-2</v>
      </c>
      <c r="L2601" s="3">
        <v>8.8242331360919898E-2</v>
      </c>
      <c r="M2601" s="3">
        <v>0.13651991308547501</v>
      </c>
      <c r="N2601" s="3">
        <v>0.13755625734756999</v>
      </c>
      <c r="O2601" s="3">
        <v>0.13770950754167899</v>
      </c>
      <c r="P2601" s="3">
        <v>0.14264119136270301</v>
      </c>
    </row>
    <row r="2602" spans="1:16" x14ac:dyDescent="0.3">
      <c r="A2602" s="3" t="str">
        <f t="shared" si="41"/>
        <v>LC0</v>
      </c>
      <c r="C2602" s="3" t="s">
        <v>850</v>
      </c>
      <c r="D2602" s="3" t="s">
        <v>1251</v>
      </c>
      <c r="E2602" s="3" t="s">
        <v>1563</v>
      </c>
      <c r="F2602" s="3" t="s">
        <v>6</v>
      </c>
      <c r="M2602" s="3">
        <v>1.24747246661546E-2</v>
      </c>
      <c r="N2602" s="3">
        <v>0.45932359532905997</v>
      </c>
      <c r="O2602" s="3">
        <v>0.47840315418385299</v>
      </c>
      <c r="P2602" s="3">
        <v>0.49553583541649299</v>
      </c>
    </row>
    <row r="2603" spans="1:16" x14ac:dyDescent="0.3">
      <c r="A2603" s="3" t="str">
        <f t="shared" si="41"/>
        <v>LC0</v>
      </c>
      <c r="C2603" s="3" t="s">
        <v>850</v>
      </c>
      <c r="D2603" s="3" t="s">
        <v>1251</v>
      </c>
      <c r="E2603" s="3" t="s">
        <v>1563</v>
      </c>
      <c r="F2603" s="3" t="s">
        <v>7</v>
      </c>
      <c r="H2603" s="3">
        <v>0.15878900168545301</v>
      </c>
      <c r="I2603" s="3">
        <v>0.23359149952230299</v>
      </c>
      <c r="J2603" s="3">
        <v>1.3697199405620399</v>
      </c>
      <c r="K2603" s="3">
        <v>1.3827865567890101</v>
      </c>
      <c r="L2603" s="3">
        <v>1.1840778845088</v>
      </c>
      <c r="M2603" s="3">
        <v>0.65574216049018497</v>
      </c>
      <c r="N2603" s="3">
        <v>0.22669454229622599</v>
      </c>
      <c r="O2603" s="3">
        <v>0.139932560430856</v>
      </c>
      <c r="P2603" s="3">
        <v>0.14494385672136001</v>
      </c>
    </row>
    <row r="2604" spans="1:16" x14ac:dyDescent="0.3">
      <c r="A2604" s="3" t="str">
        <f t="shared" si="41"/>
        <v>LC0</v>
      </c>
      <c r="C2604" s="3" t="s">
        <v>850</v>
      </c>
      <c r="D2604" s="3" t="s">
        <v>1251</v>
      </c>
      <c r="E2604" s="3" t="s">
        <v>1563</v>
      </c>
      <c r="F2604" s="3" t="s">
        <v>8</v>
      </c>
      <c r="G2604" s="3">
        <v>3.2791663254750601E-2</v>
      </c>
      <c r="H2604" s="3">
        <v>7.8409732948948804E-3</v>
      </c>
      <c r="I2604" s="3">
        <v>3.3103522641640702E-2</v>
      </c>
      <c r="J2604" s="3">
        <v>4.7119179167915996E-3</v>
      </c>
      <c r="K2604" s="3">
        <v>3.2791663254750601E-2</v>
      </c>
      <c r="L2604" s="3">
        <v>3.3205614161431897E-2</v>
      </c>
      <c r="M2604" s="3">
        <v>8.0056460568693505E-2</v>
      </c>
      <c r="N2604" s="3">
        <v>8.4244700383500903E-2</v>
      </c>
      <c r="O2604" s="3">
        <v>0.107045078092392</v>
      </c>
      <c r="P2604" s="3">
        <v>0.1156275695847</v>
      </c>
    </row>
    <row r="2605" spans="1:16" x14ac:dyDescent="0.3">
      <c r="A2605" s="3" t="str">
        <f t="shared" si="41"/>
        <v>C00</v>
      </c>
      <c r="C2605" s="3" t="s">
        <v>850</v>
      </c>
      <c r="D2605" s="3" t="s">
        <v>1251</v>
      </c>
      <c r="E2605" s="3" t="s">
        <v>1564</v>
      </c>
      <c r="F2605" s="3" t="s">
        <v>0</v>
      </c>
      <c r="G2605" s="3">
        <v>1.3604866862328799</v>
      </c>
      <c r="H2605" s="3">
        <v>1.09766589913017</v>
      </c>
      <c r="I2605" s="3">
        <v>4.0084201246021099E-2</v>
      </c>
      <c r="J2605" s="3">
        <v>0.36494905478058198</v>
      </c>
      <c r="K2605" s="3">
        <v>0.44318056106856901</v>
      </c>
      <c r="L2605" s="3">
        <v>0.41070532844691199</v>
      </c>
      <c r="M2605" s="3">
        <v>0.22744855125162</v>
      </c>
      <c r="N2605" s="3">
        <v>4.6600821174079703E-2</v>
      </c>
      <c r="O2605" s="3">
        <v>4.85365438744026E-2</v>
      </c>
      <c r="P2605" s="3">
        <v>5.0274745487542502E-2</v>
      </c>
    </row>
    <row r="2606" spans="1:16" x14ac:dyDescent="0.3">
      <c r="A2606" s="3" t="str">
        <f t="shared" si="41"/>
        <v>C00</v>
      </c>
      <c r="C2606" s="3" t="s">
        <v>850</v>
      </c>
      <c r="D2606" s="3" t="s">
        <v>1251</v>
      </c>
      <c r="E2606" s="3" t="s">
        <v>1564</v>
      </c>
      <c r="F2606" s="3" t="s">
        <v>1</v>
      </c>
      <c r="G2606" s="3">
        <v>3.2795066762324101</v>
      </c>
      <c r="H2606" s="3">
        <v>4.8755880582717301</v>
      </c>
      <c r="I2606" s="3">
        <v>2.5830610402430101</v>
      </c>
      <c r="J2606" s="3">
        <v>2.0823113248287299</v>
      </c>
      <c r="K2606" s="3">
        <v>1.1728854923815899</v>
      </c>
      <c r="L2606" s="3">
        <v>0.66013784805387399</v>
      </c>
    </row>
    <row r="2607" spans="1:16" x14ac:dyDescent="0.3">
      <c r="A2607" s="3" t="str">
        <f t="shared" si="41"/>
        <v>C00</v>
      </c>
      <c r="C2607" s="3" t="s">
        <v>850</v>
      </c>
      <c r="D2607" s="3" t="s">
        <v>1251</v>
      </c>
      <c r="E2607" s="3" t="s">
        <v>1564</v>
      </c>
      <c r="F2607" s="3" t="s">
        <v>2</v>
      </c>
      <c r="G2607" s="3">
        <v>4.5657095644828702</v>
      </c>
      <c r="H2607" s="3">
        <v>12.269708732354999</v>
      </c>
      <c r="I2607" s="3">
        <v>3.1994640323131001</v>
      </c>
      <c r="J2607" s="3">
        <v>2.58896980309291</v>
      </c>
      <c r="K2607" s="3">
        <v>1.98654400618653</v>
      </c>
      <c r="L2607" s="3">
        <v>1.37830179835598</v>
      </c>
    </row>
    <row r="2608" spans="1:16" x14ac:dyDescent="0.3">
      <c r="A2608" s="3" t="str">
        <f t="shared" si="41"/>
        <v>C00</v>
      </c>
      <c r="C2608" s="3" t="s">
        <v>850</v>
      </c>
      <c r="D2608" s="3" t="s">
        <v>1251</v>
      </c>
      <c r="E2608" s="3" t="s">
        <v>1564</v>
      </c>
      <c r="F2608" s="3" t="s">
        <v>3</v>
      </c>
      <c r="G2608" s="3">
        <v>3.0924636502002998</v>
      </c>
      <c r="H2608" s="3">
        <v>8.3105654701561207</v>
      </c>
      <c r="I2608" s="3">
        <v>2.1670730650542902</v>
      </c>
      <c r="J2608" s="3">
        <v>1.75357080744094</v>
      </c>
      <c r="K2608" s="3">
        <v>1.3455334908826899</v>
      </c>
      <c r="L2608" s="3">
        <v>0.933556580904495</v>
      </c>
      <c r="M2608" s="3">
        <v>0.40272614178252197</v>
      </c>
    </row>
    <row r="2609" spans="1:16" x14ac:dyDescent="0.3">
      <c r="A2609" s="3" t="str">
        <f t="shared" si="41"/>
        <v>C00</v>
      </c>
      <c r="C2609" s="3" t="s">
        <v>850</v>
      </c>
      <c r="D2609" s="3" t="s">
        <v>1251</v>
      </c>
      <c r="E2609" s="3" t="s">
        <v>1564</v>
      </c>
      <c r="F2609" s="3" t="s">
        <v>4</v>
      </c>
      <c r="G2609" s="3">
        <v>4.4284260889515297</v>
      </c>
      <c r="H2609" s="3">
        <v>6.1272142166283698</v>
      </c>
      <c r="I2609" s="3">
        <v>3.1031750945182401</v>
      </c>
      <c r="J2609" s="3">
        <v>2.31347096136549</v>
      </c>
      <c r="K2609" s="3">
        <v>1.72915913031283</v>
      </c>
      <c r="L2609" s="3">
        <v>1.1392057783712699</v>
      </c>
    </row>
    <row r="2610" spans="1:16" x14ac:dyDescent="0.3">
      <c r="A2610" s="3" t="str">
        <f t="shared" si="41"/>
        <v>C00</v>
      </c>
      <c r="C2610" s="3" t="s">
        <v>850</v>
      </c>
      <c r="D2610" s="3" t="s">
        <v>1251</v>
      </c>
      <c r="E2610" s="3" t="s">
        <v>1564</v>
      </c>
      <c r="F2610" s="3" t="s">
        <v>5</v>
      </c>
      <c r="G2610" s="3">
        <v>3.7739162154148098</v>
      </c>
      <c r="H2610" s="3">
        <v>6.6895938798061296</v>
      </c>
      <c r="I2610" s="3">
        <v>5.0250898279295804</v>
      </c>
      <c r="J2610" s="3">
        <v>2.10200367615235</v>
      </c>
      <c r="K2610" s="3">
        <v>1.59196076668969</v>
      </c>
      <c r="L2610" s="3">
        <v>1.0770245791039299</v>
      </c>
      <c r="M2610" s="3">
        <v>0.508804732710886</v>
      </c>
    </row>
    <row r="2611" spans="1:16" x14ac:dyDescent="0.3">
      <c r="A2611" s="3" t="str">
        <f t="shared" si="41"/>
        <v>C00</v>
      </c>
      <c r="C2611" s="3" t="s">
        <v>850</v>
      </c>
      <c r="D2611" s="3" t="s">
        <v>1251</v>
      </c>
      <c r="E2611" s="3" t="s">
        <v>1564</v>
      </c>
      <c r="F2611" s="3" t="s">
        <v>6</v>
      </c>
      <c r="G2611" s="3">
        <v>13.409712970152301</v>
      </c>
      <c r="H2611" s="3">
        <v>10.819205210465499</v>
      </c>
      <c r="I2611" s="3">
        <v>9.3969828184864408</v>
      </c>
      <c r="J2611" s="3">
        <v>7.6039313183513597</v>
      </c>
      <c r="K2611" s="3">
        <v>5.8345771997337001</v>
      </c>
      <c r="L2611" s="3">
        <v>4.0481399968970297</v>
      </c>
      <c r="M2611" s="3">
        <v>2.2293846177479599</v>
      </c>
    </row>
    <row r="2612" spans="1:16" x14ac:dyDescent="0.3">
      <c r="A2612" s="3" t="str">
        <f t="shared" si="41"/>
        <v>C00</v>
      </c>
      <c r="C2612" s="3" t="s">
        <v>850</v>
      </c>
      <c r="D2612" s="3" t="s">
        <v>1251</v>
      </c>
      <c r="E2612" s="3" t="s">
        <v>1564</v>
      </c>
      <c r="F2612" s="3" t="s">
        <v>7</v>
      </c>
      <c r="G2612" s="3">
        <v>3.9223308921477802</v>
      </c>
      <c r="H2612" s="3">
        <v>3.0058203318589198</v>
      </c>
      <c r="I2612" s="3">
        <v>2.5150188610402999</v>
      </c>
      <c r="J2612" s="3">
        <v>0.85442421361374898</v>
      </c>
      <c r="K2612" s="3">
        <v>0.323822857154069</v>
      </c>
    </row>
    <row r="2613" spans="1:16" x14ac:dyDescent="0.3">
      <c r="A2613" s="3" t="str">
        <f t="shared" si="41"/>
        <v>C00</v>
      </c>
      <c r="C2613" s="3" t="s">
        <v>850</v>
      </c>
      <c r="D2613" s="3" t="s">
        <v>1251</v>
      </c>
      <c r="E2613" s="3" t="s">
        <v>1564</v>
      </c>
      <c r="F2613" s="3" t="s">
        <v>8</v>
      </c>
      <c r="G2613" s="3">
        <v>2.4266884568334302</v>
      </c>
      <c r="H2613" s="3">
        <v>1.9765132175459399</v>
      </c>
      <c r="I2613" s="3">
        <v>1.6904003646018999</v>
      </c>
      <c r="J2613" s="3">
        <v>1.3899277700189501</v>
      </c>
      <c r="K2613" s="3">
        <v>4.6706233102103402E-2</v>
      </c>
      <c r="L2613" s="3">
        <v>0.70926515071348395</v>
      </c>
      <c r="M2613" s="3">
        <v>0.33112374119805799</v>
      </c>
    </row>
    <row r="2614" spans="1:16" x14ac:dyDescent="0.3">
      <c r="A2614" s="3" t="str">
        <f t="shared" si="41"/>
        <v>LC0</v>
      </c>
      <c r="C2614" s="3" t="s">
        <v>850</v>
      </c>
      <c r="D2614" s="3" t="s">
        <v>1258</v>
      </c>
      <c r="E2614" s="3" t="s">
        <v>1565</v>
      </c>
      <c r="F2614" s="3" t="s">
        <v>0</v>
      </c>
      <c r="G2614" s="3">
        <v>11.9995406116712</v>
      </c>
      <c r="H2614" s="3">
        <v>9.5142369722329594</v>
      </c>
      <c r="I2614" s="3">
        <v>7.59015764054132</v>
      </c>
      <c r="J2614" s="3">
        <v>7.2151180392312799</v>
      </c>
      <c r="K2614" s="3">
        <v>7.2490230274279899</v>
      </c>
      <c r="L2614" s="3">
        <v>7.3258993346880104</v>
      </c>
      <c r="M2614" s="3">
        <v>7.5449757399527604</v>
      </c>
      <c r="N2614" s="3">
        <v>7.54230674469897</v>
      </c>
      <c r="O2614" s="3">
        <v>7.6994125098839401</v>
      </c>
      <c r="P2614" s="3">
        <v>7.84552048573528</v>
      </c>
    </row>
    <row r="2615" spans="1:16" x14ac:dyDescent="0.3">
      <c r="A2615" s="3" t="str">
        <f t="shared" si="41"/>
        <v>LC0</v>
      </c>
      <c r="C2615" s="3" t="s">
        <v>850</v>
      </c>
      <c r="D2615" s="3" t="s">
        <v>1258</v>
      </c>
      <c r="E2615" s="3" t="s">
        <v>1565</v>
      </c>
      <c r="F2615" s="3" t="s">
        <v>1</v>
      </c>
      <c r="G2615" s="3">
        <v>18.1232611455981</v>
      </c>
      <c r="H2615" s="3">
        <v>19.465432869257199</v>
      </c>
      <c r="I2615" s="3">
        <v>18.897780002632299</v>
      </c>
      <c r="J2615" s="3">
        <v>19.3147671248596</v>
      </c>
      <c r="K2615" s="3">
        <v>19.300974279006098</v>
      </c>
      <c r="L2615" s="3">
        <v>19.585982671983299</v>
      </c>
      <c r="M2615" s="3">
        <v>20.1573453869585</v>
      </c>
      <c r="N2615" s="3">
        <v>19.722338246957701</v>
      </c>
      <c r="O2615" s="3">
        <v>20.439233580081702</v>
      </c>
      <c r="P2615" s="3">
        <v>20.778595260427199</v>
      </c>
    </row>
    <row r="2616" spans="1:16" x14ac:dyDescent="0.3">
      <c r="A2616" s="3" t="str">
        <f t="shared" si="41"/>
        <v>LC0</v>
      </c>
      <c r="C2616" s="3" t="s">
        <v>850</v>
      </c>
      <c r="D2616" s="3" t="s">
        <v>1258</v>
      </c>
      <c r="E2616" s="3" t="s">
        <v>1565</v>
      </c>
      <c r="F2616" s="3" t="s">
        <v>2</v>
      </c>
      <c r="G2616" s="3">
        <v>6.3118925534080699</v>
      </c>
      <c r="H2616" s="3">
        <v>23.449764248020902</v>
      </c>
      <c r="I2616" s="3">
        <v>20.394564470891002</v>
      </c>
      <c r="J2616" s="3">
        <v>31.8701024336908</v>
      </c>
      <c r="K2616" s="3">
        <v>31.6919457886553</v>
      </c>
      <c r="L2616" s="3">
        <v>35.599763525238501</v>
      </c>
      <c r="M2616" s="3">
        <v>36.731897023773797</v>
      </c>
      <c r="N2616" s="3">
        <v>43.101303218564503</v>
      </c>
      <c r="O2616" s="3">
        <v>46.441513480223001</v>
      </c>
      <c r="P2616" s="3">
        <v>49.2576615096417</v>
      </c>
    </row>
    <row r="2617" spans="1:16" x14ac:dyDescent="0.3">
      <c r="A2617" s="3" t="str">
        <f t="shared" si="41"/>
        <v>LC0</v>
      </c>
      <c r="C2617" s="3" t="s">
        <v>850</v>
      </c>
      <c r="D2617" s="3" t="s">
        <v>1258</v>
      </c>
      <c r="E2617" s="3" t="s">
        <v>1565</v>
      </c>
      <c r="F2617" s="3" t="s">
        <v>3</v>
      </c>
      <c r="G2617" s="3">
        <v>0.414581398469903</v>
      </c>
      <c r="H2617" s="3">
        <v>2.3718844986063301</v>
      </c>
      <c r="I2617" s="3">
        <v>2.0389349372453802</v>
      </c>
      <c r="J2617" s="3">
        <v>2.4286495589583201</v>
      </c>
      <c r="K2617" s="3">
        <v>2.4392484187239498</v>
      </c>
      <c r="L2617" s="3">
        <v>2.7067780185699299</v>
      </c>
      <c r="M2617" s="3">
        <v>2.99483088540314</v>
      </c>
      <c r="N2617" s="3">
        <v>3.27682555421252</v>
      </c>
      <c r="O2617" s="3">
        <v>3.6420717439193302</v>
      </c>
      <c r="P2617" s="3">
        <v>3.8777380391841101</v>
      </c>
    </row>
    <row r="2618" spans="1:16" x14ac:dyDescent="0.3">
      <c r="A2618" s="3" t="str">
        <f t="shared" si="41"/>
        <v>LC0</v>
      </c>
      <c r="C2618" s="3" t="s">
        <v>850</v>
      </c>
      <c r="D2618" s="3" t="s">
        <v>1258</v>
      </c>
      <c r="E2618" s="3" t="s">
        <v>1565</v>
      </c>
      <c r="F2618" s="3" t="s">
        <v>4</v>
      </c>
      <c r="G2618" s="3">
        <v>3.01330943319158</v>
      </c>
      <c r="H2618" s="3">
        <v>13.766335183828801</v>
      </c>
      <c r="I2618" s="3">
        <v>12.1859458615045</v>
      </c>
      <c r="J2618" s="3">
        <v>21.9637222503464</v>
      </c>
      <c r="K2618" s="3">
        <v>24.8066078259269</v>
      </c>
      <c r="L2618" s="3">
        <v>26.810189616177698</v>
      </c>
      <c r="M2618" s="3">
        <v>29.217783038300801</v>
      </c>
      <c r="N2618" s="3">
        <v>31.528611508365401</v>
      </c>
      <c r="O2618" s="3">
        <v>34.450546553852199</v>
      </c>
      <c r="P2618" s="3">
        <v>36.817641955127101</v>
      </c>
    </row>
    <row r="2619" spans="1:16" x14ac:dyDescent="0.3">
      <c r="A2619" s="3" t="str">
        <f t="shared" si="41"/>
        <v>LC0</v>
      </c>
      <c r="C2619" s="3" t="s">
        <v>850</v>
      </c>
      <c r="D2619" s="3" t="s">
        <v>1258</v>
      </c>
      <c r="E2619" s="3" t="s">
        <v>1565</v>
      </c>
      <c r="F2619" s="3" t="s">
        <v>5</v>
      </c>
      <c r="G2619" s="3">
        <v>1.00503097985596</v>
      </c>
      <c r="H2619" s="3">
        <v>1.84013880318431</v>
      </c>
      <c r="I2619" s="3">
        <v>1.5198171318862901</v>
      </c>
      <c r="J2619" s="3">
        <v>2.2714138374565702</v>
      </c>
      <c r="K2619" s="3">
        <v>2.2714138374566302</v>
      </c>
      <c r="L2619" s="3">
        <v>2.4607761550155902</v>
      </c>
      <c r="M2619" s="3">
        <v>2.6301087184001601</v>
      </c>
      <c r="N2619" s="3">
        <v>2.8594856623656599</v>
      </c>
      <c r="O2619" s="3">
        <v>3.1494092146302002</v>
      </c>
      <c r="P2619" s="3">
        <v>3.3744334202764099</v>
      </c>
    </row>
    <row r="2620" spans="1:16" x14ac:dyDescent="0.3">
      <c r="A2620" s="3" t="str">
        <f t="shared" si="41"/>
        <v>LC0</v>
      </c>
      <c r="C2620" s="3" t="s">
        <v>850</v>
      </c>
      <c r="D2620" s="3" t="s">
        <v>1258</v>
      </c>
      <c r="E2620" s="3" t="s">
        <v>1565</v>
      </c>
      <c r="F2620" s="3" t="s">
        <v>6</v>
      </c>
      <c r="G2620" s="3">
        <v>16.989929897253798</v>
      </c>
      <c r="H2620" s="3">
        <v>14.9056449476015</v>
      </c>
      <c r="I2620" s="3">
        <v>5.4153300914833604</v>
      </c>
      <c r="J2620" s="3">
        <v>6.74525327918216</v>
      </c>
      <c r="K2620" s="3">
        <v>6.7611271321443098</v>
      </c>
      <c r="L2620" s="3">
        <v>7.04171840379054</v>
      </c>
      <c r="M2620" s="3">
        <v>7.4221609406331703</v>
      </c>
      <c r="N2620" s="3">
        <v>7.7559104836117596</v>
      </c>
      <c r="O2620" s="3">
        <v>8.1060061314383898</v>
      </c>
      <c r="P2620" s="3">
        <v>8.2950386027980603</v>
      </c>
    </row>
    <row r="2621" spans="1:16" x14ac:dyDescent="0.3">
      <c r="A2621" s="3" t="str">
        <f t="shared" si="41"/>
        <v>LC0</v>
      </c>
      <c r="C2621" s="3" t="s">
        <v>850</v>
      </c>
      <c r="D2621" s="3" t="s">
        <v>1258</v>
      </c>
      <c r="E2621" s="3" t="s">
        <v>1565</v>
      </c>
      <c r="F2621" s="3" t="s">
        <v>7</v>
      </c>
      <c r="H2621" s="3">
        <v>5.4592418319638103</v>
      </c>
      <c r="I2621" s="3">
        <v>2.09482764673974</v>
      </c>
      <c r="J2621" s="3">
        <v>3.7685660611813399</v>
      </c>
      <c r="K2621" s="3">
        <v>3.76856606118139</v>
      </c>
      <c r="L2621" s="3">
        <v>3.8413888948552999</v>
      </c>
      <c r="M2621" s="3">
        <v>3.9217232300628102</v>
      </c>
      <c r="N2621" s="3">
        <v>3.9702193409267501</v>
      </c>
      <c r="O2621" s="3">
        <v>4.0425166234307603</v>
      </c>
      <c r="P2621" s="3">
        <v>4.0566277284822903</v>
      </c>
    </row>
    <row r="2622" spans="1:16" x14ac:dyDescent="0.3">
      <c r="A2622" s="3" t="str">
        <f t="shared" si="41"/>
        <v>LC0</v>
      </c>
      <c r="C2622" s="3" t="s">
        <v>850</v>
      </c>
      <c r="D2622" s="3" t="s">
        <v>1258</v>
      </c>
      <c r="E2622" s="3" t="s">
        <v>1565</v>
      </c>
      <c r="F2622" s="3" t="s">
        <v>8</v>
      </c>
      <c r="G2622" s="3">
        <v>15.0131370603579</v>
      </c>
      <c r="H2622" s="3">
        <v>8.3525686325289801</v>
      </c>
      <c r="I2622" s="3">
        <v>8.3994409299908295</v>
      </c>
      <c r="J2622" s="3">
        <v>5.4334271783960997</v>
      </c>
      <c r="K2622" s="3">
        <v>5.4341531080440699</v>
      </c>
      <c r="L2622" s="3">
        <v>8.5378072921627393</v>
      </c>
      <c r="M2622" s="3">
        <v>8.9879167560405495</v>
      </c>
      <c r="N2622" s="3">
        <v>9.1346574326526895</v>
      </c>
      <c r="O2622" s="3">
        <v>9.6106866178923998</v>
      </c>
      <c r="P2622" s="3">
        <v>10.0225481414756</v>
      </c>
    </row>
    <row r="2623" spans="1:16" x14ac:dyDescent="0.3">
      <c r="A2623" s="3" t="str">
        <f t="shared" si="41"/>
        <v>C00</v>
      </c>
      <c r="C2623" s="3" t="s">
        <v>850</v>
      </c>
      <c r="D2623" s="3" t="s">
        <v>1258</v>
      </c>
      <c r="E2623" s="3" t="s">
        <v>1566</v>
      </c>
      <c r="F2623" s="3" t="s">
        <v>0</v>
      </c>
      <c r="G2623" s="3">
        <v>18.650424968595299</v>
      </c>
      <c r="H2623" s="3">
        <v>12.582691837585999</v>
      </c>
      <c r="J2623" s="3">
        <v>0.96173632844985102</v>
      </c>
    </row>
    <row r="2624" spans="1:16" x14ac:dyDescent="0.3">
      <c r="A2624" s="3" t="str">
        <f t="shared" si="41"/>
        <v>C00</v>
      </c>
      <c r="C2624" s="3" t="s">
        <v>850</v>
      </c>
      <c r="D2624" s="3" t="s">
        <v>1258</v>
      </c>
      <c r="E2624" s="3" t="s">
        <v>1566</v>
      </c>
      <c r="F2624" s="3" t="s">
        <v>1</v>
      </c>
      <c r="G2624" s="3">
        <v>78.102155570991599</v>
      </c>
      <c r="H2624" s="3">
        <v>58.392874012331603</v>
      </c>
      <c r="I2624" s="3">
        <v>43.5147621878194</v>
      </c>
      <c r="J2624" s="3">
        <v>28.245979279747299</v>
      </c>
      <c r="K2624" s="3">
        <v>7.8234657506044103</v>
      </c>
      <c r="L2624" s="3">
        <v>10.8138275428055</v>
      </c>
      <c r="M2624" s="3">
        <v>15.253970674082201</v>
      </c>
      <c r="P2624" s="3">
        <v>4.7672464173217399</v>
      </c>
    </row>
    <row r="2625" spans="1:16" x14ac:dyDescent="0.3">
      <c r="A2625" s="3" t="str">
        <f t="shared" si="41"/>
        <v>C00</v>
      </c>
      <c r="C2625" s="3" t="s">
        <v>850</v>
      </c>
      <c r="D2625" s="3" t="s">
        <v>1258</v>
      </c>
      <c r="E2625" s="3" t="s">
        <v>1566</v>
      </c>
      <c r="F2625" s="3" t="s">
        <v>2</v>
      </c>
      <c r="G2625" s="3">
        <v>212.516650004057</v>
      </c>
      <c r="H2625" s="3">
        <v>132.96772886412899</v>
      </c>
      <c r="I2625" s="3">
        <v>119.482746130561</v>
      </c>
      <c r="J2625" s="3">
        <v>75.312589643905994</v>
      </c>
      <c r="K2625" s="3">
        <v>75.022762708481096</v>
      </c>
      <c r="L2625" s="3">
        <v>73.860911967871203</v>
      </c>
      <c r="M2625" s="3">
        <v>85.824449278134196</v>
      </c>
      <c r="N2625" s="3">
        <v>91.159889204086497</v>
      </c>
      <c r="O2625" s="3">
        <v>8.3382205675182401</v>
      </c>
      <c r="P2625" s="3">
        <v>14.75936968359</v>
      </c>
    </row>
    <row r="2626" spans="1:16" x14ac:dyDescent="0.3">
      <c r="A2626" s="3" t="str">
        <f t="shared" si="41"/>
        <v>C00</v>
      </c>
      <c r="C2626" s="3" t="s">
        <v>850</v>
      </c>
      <c r="D2626" s="3" t="s">
        <v>1258</v>
      </c>
      <c r="E2626" s="3" t="s">
        <v>1566</v>
      </c>
      <c r="F2626" s="3" t="s">
        <v>3</v>
      </c>
      <c r="G2626" s="3">
        <v>147.78941006895201</v>
      </c>
      <c r="H2626" s="3">
        <v>107.29345672706199</v>
      </c>
      <c r="I2626" s="3">
        <v>92.236851919686799</v>
      </c>
      <c r="J2626" s="3">
        <v>69.702294768192999</v>
      </c>
      <c r="K2626" s="3">
        <v>69.374719501797699</v>
      </c>
      <c r="L2626" s="3">
        <v>72.394325866814697</v>
      </c>
      <c r="M2626" s="3">
        <v>79.660289017192994</v>
      </c>
      <c r="N2626" s="3">
        <v>87.307164387886402</v>
      </c>
      <c r="O2626" s="3">
        <v>90.379976861056207</v>
      </c>
      <c r="P2626" s="3">
        <v>96.400951564322398</v>
      </c>
    </row>
    <row r="2627" spans="1:16" x14ac:dyDescent="0.3">
      <c r="A2627" s="3" t="str">
        <f t="shared" si="41"/>
        <v>C00</v>
      </c>
      <c r="C2627" s="3" t="s">
        <v>850</v>
      </c>
      <c r="D2627" s="3" t="s">
        <v>1258</v>
      </c>
      <c r="E2627" s="3" t="s">
        <v>1566</v>
      </c>
      <c r="F2627" s="3" t="s">
        <v>4</v>
      </c>
      <c r="G2627" s="3">
        <v>90.827957388957799</v>
      </c>
      <c r="H2627" s="3">
        <v>48.147524632041502</v>
      </c>
      <c r="I2627" s="3">
        <v>47.651402191159598</v>
      </c>
      <c r="J2627" s="3">
        <v>23.772100255207601</v>
      </c>
    </row>
    <row r="2628" spans="1:16" x14ac:dyDescent="0.3">
      <c r="A2628" s="3" t="str">
        <f t="shared" si="41"/>
        <v>C00</v>
      </c>
      <c r="C2628" s="3" t="s">
        <v>850</v>
      </c>
      <c r="D2628" s="3" t="s">
        <v>1258</v>
      </c>
      <c r="E2628" s="3" t="s">
        <v>1566</v>
      </c>
      <c r="F2628" s="3" t="s">
        <v>5</v>
      </c>
      <c r="G2628" s="3">
        <v>80.791915957434</v>
      </c>
      <c r="H2628" s="3">
        <v>110.382552712831</v>
      </c>
      <c r="I2628" s="3">
        <v>110.70728270504399</v>
      </c>
      <c r="J2628" s="3">
        <v>37.614556677800699</v>
      </c>
      <c r="K2628" s="3">
        <v>37.371672209511701</v>
      </c>
      <c r="L2628" s="3">
        <v>38.638390760090303</v>
      </c>
      <c r="M2628" s="3">
        <v>43.269855611729803</v>
      </c>
      <c r="N2628" s="3">
        <v>46.352371388995302</v>
      </c>
      <c r="O2628" s="3">
        <v>48.371490001334699</v>
      </c>
      <c r="P2628" s="3">
        <v>51.127368681518398</v>
      </c>
    </row>
    <row r="2629" spans="1:16" x14ac:dyDescent="0.3">
      <c r="A2629" s="3" t="str">
        <f t="shared" si="41"/>
        <v>C00</v>
      </c>
      <c r="C2629" s="3" t="s">
        <v>850</v>
      </c>
      <c r="D2629" s="3" t="s">
        <v>1258</v>
      </c>
      <c r="E2629" s="3" t="s">
        <v>1566</v>
      </c>
      <c r="F2629" s="3" t="s">
        <v>6</v>
      </c>
      <c r="G2629" s="3">
        <v>267.17285679752501</v>
      </c>
      <c r="H2629" s="3">
        <v>172.64701066175499</v>
      </c>
      <c r="I2629" s="3">
        <v>175.84944215606001</v>
      </c>
      <c r="J2629" s="3">
        <v>131.818702418708</v>
      </c>
      <c r="K2629" s="3">
        <v>130.959047349721</v>
      </c>
      <c r="L2629" s="3">
        <v>135.73688445022501</v>
      </c>
      <c r="M2629" s="3">
        <v>149.53951906090401</v>
      </c>
      <c r="N2629" s="3">
        <v>163.95798733723501</v>
      </c>
      <c r="O2629" s="3">
        <v>170.088505362137</v>
      </c>
      <c r="P2629" s="3">
        <v>181.77862883389901</v>
      </c>
    </row>
    <row r="2630" spans="1:16" x14ac:dyDescent="0.3">
      <c r="A2630" s="3" t="str">
        <f t="shared" si="41"/>
        <v>C00</v>
      </c>
      <c r="C2630" s="3" t="s">
        <v>850</v>
      </c>
      <c r="D2630" s="3" t="s">
        <v>1258</v>
      </c>
      <c r="E2630" s="3" t="s">
        <v>1566</v>
      </c>
      <c r="F2630" s="3" t="s">
        <v>7</v>
      </c>
      <c r="G2630" s="3">
        <v>105.87288413336501</v>
      </c>
      <c r="H2630" s="3">
        <v>65.836791521412195</v>
      </c>
      <c r="I2630" s="3">
        <v>66.810156464196695</v>
      </c>
      <c r="J2630" s="3">
        <v>49.168496535752197</v>
      </c>
      <c r="K2630" s="3">
        <v>48.797677478518601</v>
      </c>
      <c r="L2630" s="3">
        <v>50.512905328825802</v>
      </c>
      <c r="M2630" s="3">
        <v>56.739792776453399</v>
      </c>
      <c r="N2630" s="3">
        <v>23.816711020186499</v>
      </c>
      <c r="P2630" s="3">
        <v>5.60995886532843</v>
      </c>
    </row>
    <row r="2631" spans="1:16" x14ac:dyDescent="0.3">
      <c r="A2631" s="3" t="str">
        <f t="shared" si="41"/>
        <v>C00</v>
      </c>
      <c r="C2631" s="3" t="s">
        <v>850</v>
      </c>
      <c r="D2631" s="3" t="s">
        <v>1258</v>
      </c>
      <c r="E2631" s="3" t="s">
        <v>1566</v>
      </c>
      <c r="F2631" s="3" t="s">
        <v>8</v>
      </c>
      <c r="G2631" s="3">
        <v>48.628571163663104</v>
      </c>
      <c r="H2631" s="3">
        <v>36.353291606037899</v>
      </c>
      <c r="I2631" s="3">
        <v>33.433571359302803</v>
      </c>
    </row>
    <row r="2632" spans="1:16" x14ac:dyDescent="0.3">
      <c r="A2632" s="3" t="str">
        <f t="shared" si="41"/>
        <v>LC0</v>
      </c>
      <c r="C2632" s="3" t="s">
        <v>850</v>
      </c>
      <c r="D2632" s="3" t="s">
        <v>1136</v>
      </c>
      <c r="E2632" s="3" t="s">
        <v>1137</v>
      </c>
      <c r="F2632" s="3" t="s">
        <v>0</v>
      </c>
      <c r="G2632" s="3">
        <v>2.81997402553867</v>
      </c>
      <c r="H2632" s="3">
        <v>5.5405540901091204</v>
      </c>
      <c r="I2632" s="3">
        <v>4.6992601984078597</v>
      </c>
      <c r="J2632" s="3">
        <v>5.4408147863455802</v>
      </c>
      <c r="K2632" s="3">
        <v>5.2548110370098202</v>
      </c>
      <c r="L2632" s="3">
        <v>4.7383034726083197</v>
      </c>
      <c r="M2632" s="3">
        <v>4.7880677351809</v>
      </c>
      <c r="N2632" s="3">
        <v>6.8335393160748996</v>
      </c>
      <c r="O2632" s="3">
        <v>7.0003694923010498</v>
      </c>
      <c r="P2632" s="3">
        <v>7.2021871168508298</v>
      </c>
    </row>
    <row r="2633" spans="1:16" x14ac:dyDescent="0.3">
      <c r="A2633" s="3" t="str">
        <f t="shared" si="41"/>
        <v>LC0</v>
      </c>
      <c r="C2633" s="3" t="s">
        <v>850</v>
      </c>
      <c r="D2633" s="3" t="s">
        <v>1136</v>
      </c>
      <c r="E2633" s="3" t="s">
        <v>1137</v>
      </c>
      <c r="F2633" s="3" t="s">
        <v>1</v>
      </c>
      <c r="G2633" s="3">
        <v>2.4882123754752898</v>
      </c>
      <c r="H2633" s="3">
        <v>3.7440109151179199</v>
      </c>
      <c r="I2633" s="3">
        <v>3.0940378959494002</v>
      </c>
      <c r="J2633" s="3">
        <v>3.6018672964379599</v>
      </c>
      <c r="K2633" s="3">
        <v>4.5887297806231402</v>
      </c>
      <c r="L2633" s="3">
        <v>4.4026339281971998</v>
      </c>
      <c r="M2633" s="3">
        <v>3.73713914166742</v>
      </c>
      <c r="N2633" s="3">
        <v>3.3179991877395398</v>
      </c>
      <c r="O2633" s="3">
        <v>3.8589021544358801</v>
      </c>
      <c r="P2633" s="3">
        <v>3.6728063020099402</v>
      </c>
    </row>
    <row r="2634" spans="1:16" x14ac:dyDescent="0.3">
      <c r="A2634" s="3" t="str">
        <f t="shared" si="41"/>
        <v>LC0</v>
      </c>
      <c r="C2634" s="3" t="s">
        <v>850</v>
      </c>
      <c r="D2634" s="3" t="s">
        <v>1136</v>
      </c>
      <c r="E2634" s="3" t="s">
        <v>1137</v>
      </c>
      <c r="F2634" s="3" t="s">
        <v>2</v>
      </c>
      <c r="G2634" s="3">
        <v>9.0644702133162802</v>
      </c>
      <c r="H2634" s="3">
        <v>7.6133932509395503</v>
      </c>
      <c r="I2634" s="3">
        <v>6.7240031642709104</v>
      </c>
      <c r="J2634" s="3">
        <v>8.3480668675643006</v>
      </c>
      <c r="K2634" s="3">
        <v>9.7030934613793107</v>
      </c>
      <c r="L2634" s="3">
        <v>9.3538296546461108</v>
      </c>
      <c r="M2634" s="3">
        <v>17.7641635528256</v>
      </c>
      <c r="N2634" s="3">
        <v>17.842098710756101</v>
      </c>
      <c r="O2634" s="3">
        <v>17.983330333257499</v>
      </c>
      <c r="P2634" s="3">
        <v>20.240605896253101</v>
      </c>
    </row>
    <row r="2635" spans="1:16" x14ac:dyDescent="0.3">
      <c r="A2635" s="3" t="str">
        <f t="shared" si="41"/>
        <v>LC0</v>
      </c>
      <c r="C2635" s="3" t="s">
        <v>850</v>
      </c>
      <c r="D2635" s="3" t="s">
        <v>1136</v>
      </c>
      <c r="E2635" s="3" t="s">
        <v>1137</v>
      </c>
      <c r="F2635" s="3" t="s">
        <v>3</v>
      </c>
      <c r="G2635" s="3">
        <v>0.45569515527766502</v>
      </c>
      <c r="H2635" s="3">
        <v>1.3004929441730599</v>
      </c>
      <c r="I2635" s="3">
        <v>1.26635230214873</v>
      </c>
      <c r="J2635" s="3">
        <v>2.6704170989814502</v>
      </c>
      <c r="K2635" s="3">
        <v>2.6704170989814502</v>
      </c>
      <c r="L2635" s="3">
        <v>2.6704170989814502</v>
      </c>
      <c r="M2635" s="3">
        <v>3.4221283721026499</v>
      </c>
      <c r="N2635" s="3">
        <v>3.41657209354904</v>
      </c>
      <c r="O2635" s="3">
        <v>3.4436164467939601</v>
      </c>
      <c r="P2635" s="3">
        <v>3.8758607035378398</v>
      </c>
    </row>
    <row r="2636" spans="1:16" x14ac:dyDescent="0.3">
      <c r="A2636" s="3" t="str">
        <f t="shared" si="41"/>
        <v>LC0</v>
      </c>
      <c r="C2636" s="3" t="s">
        <v>850</v>
      </c>
      <c r="D2636" s="3" t="s">
        <v>1136</v>
      </c>
      <c r="E2636" s="3" t="s">
        <v>1137</v>
      </c>
      <c r="F2636" s="3" t="s">
        <v>4</v>
      </c>
      <c r="G2636" s="3">
        <v>12.927309583133701</v>
      </c>
      <c r="H2636" s="3">
        <v>10.905132044357</v>
      </c>
      <c r="I2636" s="3">
        <v>19.464169712415401</v>
      </c>
      <c r="J2636" s="3">
        <v>19.864811188637599</v>
      </c>
      <c r="K2636" s="3">
        <v>19.500088064001002</v>
      </c>
      <c r="L2636" s="3">
        <v>19.049496857245501</v>
      </c>
      <c r="M2636" s="3">
        <v>18.59890565049</v>
      </c>
      <c r="N2636" s="3">
        <v>18.148314443734499</v>
      </c>
      <c r="O2636" s="3">
        <v>17.697723236979002</v>
      </c>
      <c r="P2636" s="3">
        <v>17.247132030223401</v>
      </c>
    </row>
    <row r="2637" spans="1:16" x14ac:dyDescent="0.3">
      <c r="A2637" s="3" t="str">
        <f t="shared" si="41"/>
        <v>LC0</v>
      </c>
      <c r="C2637" s="3" t="s">
        <v>850</v>
      </c>
      <c r="D2637" s="3" t="s">
        <v>1136</v>
      </c>
      <c r="E2637" s="3" t="s">
        <v>1137</v>
      </c>
      <c r="F2637" s="3" t="s">
        <v>5</v>
      </c>
      <c r="G2637" s="3">
        <v>7.7776919231105301</v>
      </c>
      <c r="H2637" s="3">
        <v>7.4549998507491697</v>
      </c>
      <c r="I2637" s="3">
        <v>9.3351068638078107</v>
      </c>
      <c r="J2637" s="3">
        <v>10.3635058961544</v>
      </c>
      <c r="K2637" s="3">
        <v>10.378238060662399</v>
      </c>
      <c r="L2637" s="3">
        <v>10.376521485269199</v>
      </c>
      <c r="M2637" s="3">
        <v>10.364566792358699</v>
      </c>
      <c r="N2637" s="3">
        <v>10.335179907900899</v>
      </c>
      <c r="O2637" s="3">
        <v>10.4142636907241</v>
      </c>
      <c r="P2637" s="3">
        <v>10.013914159371399</v>
      </c>
    </row>
    <row r="2638" spans="1:16" x14ac:dyDescent="0.3">
      <c r="A2638" s="3" t="str">
        <f t="shared" si="41"/>
        <v>LC0</v>
      </c>
      <c r="C2638" s="3" t="s">
        <v>850</v>
      </c>
      <c r="D2638" s="3" t="s">
        <v>1136</v>
      </c>
      <c r="E2638" s="3" t="s">
        <v>1137</v>
      </c>
      <c r="F2638" s="3" t="s">
        <v>6</v>
      </c>
      <c r="G2638" s="3">
        <v>5.4750448660729196</v>
      </c>
      <c r="H2638" s="3">
        <v>4.9532452554587501</v>
      </c>
      <c r="I2638" s="3">
        <v>5.4804024809813399</v>
      </c>
      <c r="J2638" s="3">
        <v>7.1337891950834598</v>
      </c>
      <c r="K2638" s="3">
        <v>7.1325531487057798</v>
      </c>
      <c r="L2638" s="3">
        <v>7.1313171023280999</v>
      </c>
      <c r="M2638" s="3">
        <v>7.13008105595042</v>
      </c>
      <c r="N2638" s="3">
        <v>7.12884500957274</v>
      </c>
      <c r="O2638" s="3">
        <v>7.1724022065086697</v>
      </c>
      <c r="P2638" s="3">
        <v>7.3222112828606702</v>
      </c>
    </row>
    <row r="2639" spans="1:16" x14ac:dyDescent="0.3">
      <c r="A2639" s="3" t="str">
        <f t="shared" si="41"/>
        <v>LC0</v>
      </c>
      <c r="C2639" s="3" t="s">
        <v>850</v>
      </c>
      <c r="D2639" s="3" t="s">
        <v>1136</v>
      </c>
      <c r="E2639" s="3" t="s">
        <v>1137</v>
      </c>
      <c r="F2639" s="3" t="s">
        <v>7</v>
      </c>
      <c r="H2639" s="3">
        <v>0.77233453529739504</v>
      </c>
      <c r="I2639" s="3">
        <v>1.2864187691058799</v>
      </c>
      <c r="J2639" s="3">
        <v>1.15268482058521</v>
      </c>
      <c r="K2639" s="3">
        <v>1.1525914926418901</v>
      </c>
      <c r="L2639" s="3">
        <v>1.1524981646985699</v>
      </c>
      <c r="M2639" s="3">
        <v>2.3990523970842501</v>
      </c>
      <c r="N2639" s="3">
        <v>2.3989590691409299</v>
      </c>
      <c r="O2639" s="3">
        <v>2.41844413575277</v>
      </c>
      <c r="P2639" s="3">
        <v>2.72312684576243</v>
      </c>
    </row>
    <row r="2640" spans="1:16" x14ac:dyDescent="0.3">
      <c r="A2640" s="3" t="str">
        <f t="shared" si="41"/>
        <v>LC0</v>
      </c>
      <c r="C2640" s="3" t="s">
        <v>850</v>
      </c>
      <c r="D2640" s="3" t="s">
        <v>1136</v>
      </c>
      <c r="E2640" s="3" t="s">
        <v>1137</v>
      </c>
      <c r="F2640" s="3" t="s">
        <v>8</v>
      </c>
      <c r="G2640" s="3">
        <v>9.8087739934479092</v>
      </c>
      <c r="H2640" s="3">
        <v>5.6010160029724503</v>
      </c>
      <c r="I2640" s="3">
        <v>7.8192146301308698</v>
      </c>
      <c r="J2640" s="3">
        <v>7.1280116347350599</v>
      </c>
      <c r="K2640" s="3">
        <v>6.5151322703316898</v>
      </c>
      <c r="L2640" s="3">
        <v>5.7692439028556501</v>
      </c>
      <c r="M2640" s="3">
        <v>11.6423955706559</v>
      </c>
      <c r="N2640" s="3">
        <v>18.2960696658457</v>
      </c>
      <c r="O2640" s="3">
        <v>18.522833627985801</v>
      </c>
      <c r="P2640" s="3">
        <v>20.884124630560699</v>
      </c>
    </row>
    <row r="2641" spans="1:16" x14ac:dyDescent="0.3">
      <c r="A2641" s="3" t="str">
        <f t="shared" si="41"/>
        <v>C00</v>
      </c>
      <c r="C2641" s="3" t="s">
        <v>850</v>
      </c>
      <c r="D2641" s="3" t="s">
        <v>1136</v>
      </c>
      <c r="E2641" s="3" t="s">
        <v>1138</v>
      </c>
      <c r="F2641" s="3" t="s">
        <v>1</v>
      </c>
      <c r="H2641" s="3">
        <v>9.8957846692376403</v>
      </c>
    </row>
    <row r="2642" spans="1:16" x14ac:dyDescent="0.3">
      <c r="A2642" s="3" t="str">
        <f t="shared" si="41"/>
        <v>C00</v>
      </c>
      <c r="C2642" s="3" t="s">
        <v>850</v>
      </c>
      <c r="D2642" s="3" t="s">
        <v>1136</v>
      </c>
      <c r="E2642" s="3" t="s">
        <v>1138</v>
      </c>
      <c r="F2642" s="3" t="s">
        <v>2</v>
      </c>
      <c r="G2642" s="3">
        <v>15.8840058714493</v>
      </c>
      <c r="H2642" s="3">
        <v>36.586667118220198</v>
      </c>
      <c r="I2642" s="3">
        <v>15.157725775705</v>
      </c>
      <c r="J2642" s="3">
        <v>10.702790352660699</v>
      </c>
      <c r="K2642" s="3">
        <v>9.0363460633072208</v>
      </c>
      <c r="L2642" s="3">
        <v>9.0776575490747593</v>
      </c>
      <c r="M2642" s="3">
        <v>0.37262940441292602</v>
      </c>
    </row>
    <row r="2643" spans="1:16" x14ac:dyDescent="0.3">
      <c r="A2643" s="3" t="str">
        <f t="shared" si="41"/>
        <v>C00</v>
      </c>
      <c r="C2643" s="3" t="s">
        <v>850</v>
      </c>
      <c r="D2643" s="3" t="s">
        <v>1136</v>
      </c>
      <c r="E2643" s="3" t="s">
        <v>1138</v>
      </c>
      <c r="F2643" s="3" t="s">
        <v>3</v>
      </c>
      <c r="G2643" s="3">
        <v>4.3313238536367296</v>
      </c>
      <c r="H2643" s="3">
        <v>4.21274239111903</v>
      </c>
      <c r="I2643" s="3">
        <v>2.9334172535080798</v>
      </c>
      <c r="J2643" s="3">
        <v>0.97761938999780795</v>
      </c>
      <c r="K2643" s="3">
        <v>0.91798621425640403</v>
      </c>
      <c r="L2643" s="3">
        <v>0.85901662088000097</v>
      </c>
      <c r="M2643" s="3">
        <v>5.0874534602590497E-2</v>
      </c>
    </row>
    <row r="2644" spans="1:16" x14ac:dyDescent="0.3">
      <c r="A2644" s="3" t="str">
        <f t="shared" si="41"/>
        <v>C00</v>
      </c>
      <c r="C2644" s="3" t="s">
        <v>850</v>
      </c>
      <c r="D2644" s="3" t="s">
        <v>1136</v>
      </c>
      <c r="E2644" s="3" t="s">
        <v>1138</v>
      </c>
      <c r="F2644" s="3" t="s">
        <v>4</v>
      </c>
      <c r="G2644" s="3">
        <v>8.3054360209221905</v>
      </c>
      <c r="H2644" s="3">
        <v>10.2391982555908</v>
      </c>
    </row>
    <row r="2645" spans="1:16" x14ac:dyDescent="0.3">
      <c r="A2645" s="3" t="str">
        <f t="shared" si="41"/>
        <v>C00</v>
      </c>
      <c r="C2645" s="3" t="s">
        <v>850</v>
      </c>
      <c r="D2645" s="3" t="s">
        <v>1136</v>
      </c>
      <c r="E2645" s="3" t="s">
        <v>1138</v>
      </c>
      <c r="F2645" s="3" t="s">
        <v>5</v>
      </c>
      <c r="G2645" s="3">
        <v>4.55099907279285</v>
      </c>
      <c r="H2645" s="3">
        <v>17.188935916760599</v>
      </c>
      <c r="I2645" s="3">
        <v>2.9191060558094502</v>
      </c>
    </row>
    <row r="2646" spans="1:16" x14ac:dyDescent="0.3">
      <c r="A2646" s="3" t="str">
        <f t="shared" si="41"/>
        <v>C00</v>
      </c>
      <c r="C2646" s="3" t="s">
        <v>850</v>
      </c>
      <c r="D2646" s="3" t="s">
        <v>1136</v>
      </c>
      <c r="E2646" s="3" t="s">
        <v>1138</v>
      </c>
      <c r="F2646" s="3" t="s">
        <v>6</v>
      </c>
      <c r="G2646" s="3">
        <v>3.42900974207951</v>
      </c>
      <c r="H2646" s="3">
        <v>2.8507310331810598</v>
      </c>
      <c r="I2646" s="3">
        <v>2.3303178609157702</v>
      </c>
    </row>
    <row r="2647" spans="1:16" x14ac:dyDescent="0.3">
      <c r="A2647" s="3" t="str">
        <f t="shared" si="41"/>
        <v>C00</v>
      </c>
      <c r="C2647" s="3" t="s">
        <v>850</v>
      </c>
      <c r="D2647" s="3" t="s">
        <v>1136</v>
      </c>
      <c r="E2647" s="3" t="s">
        <v>1138</v>
      </c>
      <c r="F2647" s="3" t="s">
        <v>7</v>
      </c>
      <c r="G2647" s="3">
        <v>3.39723929664894</v>
      </c>
      <c r="H2647" s="3">
        <v>2.2039911508636001</v>
      </c>
      <c r="I2647" s="3">
        <v>1.6877143492023801</v>
      </c>
      <c r="J2647" s="3">
        <v>1.4317459206463099</v>
      </c>
      <c r="K2647" s="3">
        <v>1.38456916481887</v>
      </c>
      <c r="L2647" s="3">
        <v>1.3377311952017199</v>
      </c>
      <c r="M2647" s="3">
        <v>4.5541817436357997E-2</v>
      </c>
    </row>
    <row r="2648" spans="1:16" x14ac:dyDescent="0.3">
      <c r="A2648" s="3" t="str">
        <f t="shared" si="41"/>
        <v>C00</v>
      </c>
      <c r="C2648" s="3" t="s">
        <v>850</v>
      </c>
      <c r="D2648" s="3" t="s">
        <v>1136</v>
      </c>
      <c r="E2648" s="3" t="s">
        <v>1138</v>
      </c>
      <c r="F2648" s="3" t="s">
        <v>8</v>
      </c>
      <c r="G2648" s="3">
        <v>16.253885055086101</v>
      </c>
      <c r="H2648" s="3">
        <v>17.4655080647753</v>
      </c>
      <c r="I2648" s="3">
        <v>14.964371536262901</v>
      </c>
      <c r="J2648" s="3">
        <v>12.9013266098092</v>
      </c>
      <c r="K2648" s="3">
        <v>13.1478628249892</v>
      </c>
      <c r="L2648" s="3">
        <v>13.5300336363716</v>
      </c>
      <c r="M2648" s="3">
        <v>7.2931644124777</v>
      </c>
      <c r="N2648" s="3">
        <v>0.17718838892698599</v>
      </c>
    </row>
    <row r="2649" spans="1:16" x14ac:dyDescent="0.3">
      <c r="A2649" s="3" t="str">
        <f t="shared" si="41"/>
        <v>LC0</v>
      </c>
      <c r="C2649" s="3" t="s">
        <v>850</v>
      </c>
      <c r="D2649" s="3" t="s">
        <v>1139</v>
      </c>
      <c r="E2649" s="3" t="s">
        <v>1140</v>
      </c>
      <c r="F2649" s="3" t="s">
        <v>0</v>
      </c>
      <c r="G2649" s="3">
        <v>1.7099922873092499</v>
      </c>
      <c r="H2649" s="3">
        <v>1.2923516326300799</v>
      </c>
      <c r="I2649" s="3">
        <v>1.4073787725152</v>
      </c>
      <c r="J2649" s="3">
        <v>1.32373418378896</v>
      </c>
      <c r="K2649" s="3">
        <v>1.32373418378896</v>
      </c>
      <c r="L2649" s="3">
        <v>1.32373418378896</v>
      </c>
      <c r="M2649" s="3">
        <v>1.3291853598368599</v>
      </c>
      <c r="N2649" s="3">
        <v>1.36601351442591</v>
      </c>
      <c r="O2649" s="3">
        <v>2.3836870060458901</v>
      </c>
      <c r="P2649" s="3">
        <v>2.6002776240775902</v>
      </c>
    </row>
    <row r="2650" spans="1:16" x14ac:dyDescent="0.3">
      <c r="A2650" s="3" t="str">
        <f t="shared" si="41"/>
        <v>LC0</v>
      </c>
      <c r="C2650" s="3" t="s">
        <v>850</v>
      </c>
      <c r="D2650" s="3" t="s">
        <v>1139</v>
      </c>
      <c r="E2650" s="3" t="s">
        <v>1140</v>
      </c>
      <c r="F2650" s="3" t="s">
        <v>1</v>
      </c>
      <c r="G2650" s="3">
        <v>2.4882123754752898</v>
      </c>
      <c r="H2650" s="3">
        <v>0.58803070740030206</v>
      </c>
      <c r="I2650" s="3">
        <v>0.56492845085924603</v>
      </c>
      <c r="J2650" s="3">
        <v>1.0055780904532701</v>
      </c>
      <c r="K2650" s="3">
        <v>1.0055780904532701</v>
      </c>
      <c r="L2650" s="3">
        <v>1.0055780904532701</v>
      </c>
      <c r="M2650" s="3">
        <v>2.0152041380841501</v>
      </c>
      <c r="N2650" s="3">
        <v>2.02226464867557</v>
      </c>
      <c r="O2650" s="3">
        <v>2.03717816359993</v>
      </c>
      <c r="P2650" s="3">
        <v>2.28863266742967</v>
      </c>
    </row>
    <row r="2651" spans="1:16" x14ac:dyDescent="0.3">
      <c r="A2651" s="3" t="str">
        <f t="shared" si="41"/>
        <v>LC0</v>
      </c>
      <c r="C2651" s="3" t="s">
        <v>850</v>
      </c>
      <c r="D2651" s="3" t="s">
        <v>1139</v>
      </c>
      <c r="E2651" s="3" t="s">
        <v>1140</v>
      </c>
      <c r="F2651" s="3" t="s">
        <v>2</v>
      </c>
      <c r="G2651" s="3">
        <v>0.99748386419798396</v>
      </c>
      <c r="H2651" s="3">
        <v>1.0417798756009899</v>
      </c>
      <c r="I2651" s="3">
        <v>0.86810061923998305</v>
      </c>
      <c r="J2651" s="3">
        <v>1.83492365115724</v>
      </c>
      <c r="K2651" s="3">
        <v>1.83492365115724</v>
      </c>
      <c r="L2651" s="3">
        <v>1.83492365115724</v>
      </c>
      <c r="M2651" s="3">
        <v>6.4124700914359796</v>
      </c>
      <c r="N2651" s="3">
        <v>6.4850120132682303</v>
      </c>
      <c r="O2651" s="3">
        <v>6.5333450331378797</v>
      </c>
      <c r="P2651" s="3">
        <v>7.3408929033146197</v>
      </c>
    </row>
    <row r="2652" spans="1:16" x14ac:dyDescent="0.3">
      <c r="A2652" s="3" t="str">
        <f t="shared" si="41"/>
        <v>LC0</v>
      </c>
      <c r="C2652" s="3" t="s">
        <v>850</v>
      </c>
      <c r="D2652" s="3" t="s">
        <v>1139</v>
      </c>
      <c r="E2652" s="3" t="s">
        <v>1140</v>
      </c>
      <c r="F2652" s="3" t="s">
        <v>3</v>
      </c>
      <c r="G2652" s="3">
        <v>0.15866689542316201</v>
      </c>
      <c r="H2652" s="3">
        <v>0.29577417499519698</v>
      </c>
      <c r="I2652" s="3">
        <v>0.244897372827864</v>
      </c>
      <c r="J2652" s="3">
        <v>0.37725256864697698</v>
      </c>
      <c r="K2652" s="3">
        <v>0.37725256864697698</v>
      </c>
      <c r="L2652" s="3">
        <v>0.38351846537020101</v>
      </c>
      <c r="M2652" s="3">
        <v>1.12049395611831</v>
      </c>
      <c r="N2652" s="3">
        <v>1.19101040937313</v>
      </c>
      <c r="O2652" s="3">
        <v>1.26497765311201</v>
      </c>
      <c r="P2652" s="3">
        <v>1.4065806399082399</v>
      </c>
    </row>
    <row r="2653" spans="1:16" x14ac:dyDescent="0.3">
      <c r="A2653" s="3" t="str">
        <f t="shared" si="41"/>
        <v>LC0</v>
      </c>
      <c r="C2653" s="3" t="s">
        <v>850</v>
      </c>
      <c r="D2653" s="3" t="s">
        <v>1139</v>
      </c>
      <c r="E2653" s="3" t="s">
        <v>1140</v>
      </c>
      <c r="F2653" s="3" t="s">
        <v>4</v>
      </c>
      <c r="G2653" s="3">
        <v>4.7424250738332603</v>
      </c>
      <c r="H2653" s="3">
        <v>4.64321218121336</v>
      </c>
      <c r="I2653" s="3">
        <v>13.9974699223812</v>
      </c>
      <c r="J2653" s="3">
        <v>20.011846320646502</v>
      </c>
      <c r="K2653" s="3">
        <v>21.6143706727728</v>
      </c>
      <c r="L2653" s="3">
        <v>21.775506005042502</v>
      </c>
      <c r="M2653" s="3">
        <v>22.757486696949101</v>
      </c>
      <c r="N2653" s="3">
        <v>23.931121811453</v>
      </c>
      <c r="O2653" s="3">
        <v>24.7801267878225</v>
      </c>
      <c r="P2653" s="3">
        <v>25.134429859242999</v>
      </c>
    </row>
    <row r="2654" spans="1:16" x14ac:dyDescent="0.3">
      <c r="A2654" s="3" t="str">
        <f t="shared" si="41"/>
        <v>LC0</v>
      </c>
      <c r="C2654" s="3" t="s">
        <v>850</v>
      </c>
      <c r="D2654" s="3" t="s">
        <v>1139</v>
      </c>
      <c r="E2654" s="3" t="s">
        <v>1140</v>
      </c>
      <c r="F2654" s="3" t="s">
        <v>5</v>
      </c>
      <c r="G2654" s="3">
        <v>1.8630739763199999</v>
      </c>
      <c r="H2654" s="3">
        <v>1.7400146774821501</v>
      </c>
      <c r="I2654" s="3">
        <v>1.96794383190807</v>
      </c>
      <c r="J2654" s="3">
        <v>12.268696985225899</v>
      </c>
      <c r="K2654" s="3">
        <v>12.510445303080401</v>
      </c>
      <c r="L2654" s="3">
        <v>12.739386306041499</v>
      </c>
      <c r="M2654" s="3">
        <v>12.980289063378001</v>
      </c>
      <c r="N2654" s="3">
        <v>13.403814573008599</v>
      </c>
      <c r="O2654" s="3">
        <v>13.548816406306001</v>
      </c>
      <c r="P2654" s="3">
        <v>13.8669583159732</v>
      </c>
    </row>
    <row r="2655" spans="1:16" x14ac:dyDescent="0.3">
      <c r="A2655" s="3" t="str">
        <f t="shared" ref="A2655:A2718" si="42">RIGHT(E2655,3)</f>
        <v>LC0</v>
      </c>
      <c r="C2655" s="3" t="s">
        <v>850</v>
      </c>
      <c r="D2655" s="3" t="s">
        <v>1139</v>
      </c>
      <c r="E2655" s="3" t="s">
        <v>1140</v>
      </c>
      <c r="F2655" s="3" t="s">
        <v>6</v>
      </c>
      <c r="G2655" s="3">
        <v>4.91137888489832</v>
      </c>
      <c r="H2655" s="3">
        <v>4.9612626175584396</v>
      </c>
      <c r="I2655" s="3">
        <v>5.0804665502216002</v>
      </c>
      <c r="J2655" s="3">
        <v>8.8632850011092899</v>
      </c>
      <c r="K2655" s="3">
        <v>9.0270977249473692</v>
      </c>
      <c r="L2655" s="3">
        <v>9.2675499060544908</v>
      </c>
      <c r="M2655" s="3">
        <v>9.5054984582983</v>
      </c>
      <c r="N2655" s="3">
        <v>9.7701751335919091</v>
      </c>
      <c r="O2655" s="3">
        <v>9.8573444368257892</v>
      </c>
      <c r="P2655" s="3">
        <v>9.8201647371876692</v>
      </c>
    </row>
    <row r="2656" spans="1:16" x14ac:dyDescent="0.3">
      <c r="A2656" s="3" t="str">
        <f t="shared" si="42"/>
        <v>LC0</v>
      </c>
      <c r="C2656" s="3" t="s">
        <v>850</v>
      </c>
      <c r="D2656" s="3" t="s">
        <v>1139</v>
      </c>
      <c r="E2656" s="3" t="s">
        <v>1140</v>
      </c>
      <c r="F2656" s="3" t="s">
        <v>7</v>
      </c>
      <c r="H2656" s="3">
        <v>0.66464251342447001</v>
      </c>
      <c r="I2656" s="3">
        <v>0.41833963276215202</v>
      </c>
      <c r="J2656" s="3">
        <v>0.91319394323269598</v>
      </c>
      <c r="K2656" s="3">
        <v>0.91376279709403996</v>
      </c>
      <c r="L2656" s="3">
        <v>0.91433165095538305</v>
      </c>
      <c r="M2656" s="3">
        <v>1.16830867059657</v>
      </c>
      <c r="N2656" s="3">
        <v>1.1700542538783101</v>
      </c>
      <c r="O2656" s="3">
        <v>1.1788906357600299</v>
      </c>
      <c r="P2656" s="3">
        <v>1.3248615231465399</v>
      </c>
    </row>
    <row r="2657" spans="1:16" x14ac:dyDescent="0.3">
      <c r="A2657" s="3" t="str">
        <f t="shared" si="42"/>
        <v>LC0</v>
      </c>
      <c r="C2657" s="3" t="s">
        <v>850</v>
      </c>
      <c r="D2657" s="3" t="s">
        <v>1139</v>
      </c>
      <c r="E2657" s="3" t="s">
        <v>1140</v>
      </c>
      <c r="F2657" s="3" t="s">
        <v>8</v>
      </c>
      <c r="G2657" s="3">
        <v>3.6153787178929302</v>
      </c>
      <c r="H2657" s="3">
        <v>1.2940739119707001</v>
      </c>
      <c r="I2657" s="3">
        <v>7.0618480402883197</v>
      </c>
      <c r="J2657" s="3">
        <v>5.8374544137865696</v>
      </c>
      <c r="K2657" s="3">
        <v>5.8374544137865696</v>
      </c>
      <c r="L2657" s="3">
        <v>5.8167598428500398</v>
      </c>
      <c r="M2657" s="3">
        <v>8.15135200322249</v>
      </c>
      <c r="N2657" s="3">
        <v>8.6759009059171195</v>
      </c>
      <c r="O2657" s="3">
        <v>9.2161669504406092</v>
      </c>
      <c r="P2657" s="3">
        <v>10.252251395131101</v>
      </c>
    </row>
    <row r="2658" spans="1:16" x14ac:dyDescent="0.3">
      <c r="A2658" s="3" t="str">
        <f t="shared" si="42"/>
        <v>C00</v>
      </c>
      <c r="C2658" s="3" t="s">
        <v>850</v>
      </c>
      <c r="D2658" s="3" t="s">
        <v>1139</v>
      </c>
      <c r="E2658" s="3" t="s">
        <v>1141</v>
      </c>
      <c r="F2658" s="3" t="s">
        <v>0</v>
      </c>
      <c r="G2658" s="3">
        <v>1.01438939838066</v>
      </c>
      <c r="H2658" s="3">
        <v>1.1579986788266801</v>
      </c>
      <c r="I2658" s="3">
        <v>5.6472314128369103E-2</v>
      </c>
    </row>
    <row r="2659" spans="1:16" x14ac:dyDescent="0.3">
      <c r="A2659" s="3" t="str">
        <f t="shared" si="42"/>
        <v>C00</v>
      </c>
      <c r="C2659" s="3" t="s">
        <v>850</v>
      </c>
      <c r="D2659" s="3" t="s">
        <v>1139</v>
      </c>
      <c r="E2659" s="3" t="s">
        <v>1141</v>
      </c>
      <c r="F2659" s="3" t="s">
        <v>1</v>
      </c>
      <c r="H2659" s="3">
        <v>3.96962322705919</v>
      </c>
      <c r="I2659" s="3">
        <v>1.7619754745035501</v>
      </c>
      <c r="J2659" s="3">
        <v>0.99399410967978197</v>
      </c>
      <c r="K2659" s="3">
        <v>0.99787452037126401</v>
      </c>
      <c r="L2659" s="3">
        <v>1.00255395271893</v>
      </c>
    </row>
    <row r="2660" spans="1:16" x14ac:dyDescent="0.3">
      <c r="A2660" s="3" t="str">
        <f t="shared" si="42"/>
        <v>C00</v>
      </c>
      <c r="C2660" s="3" t="s">
        <v>850</v>
      </c>
      <c r="D2660" s="3" t="s">
        <v>1139</v>
      </c>
      <c r="E2660" s="3" t="s">
        <v>1141</v>
      </c>
      <c r="F2660" s="3" t="s">
        <v>2</v>
      </c>
      <c r="G2660" s="3">
        <v>7.0216691630480996</v>
      </c>
      <c r="H2660" s="3">
        <v>12.4934480141696</v>
      </c>
      <c r="I2660" s="3">
        <v>6.6253380188809796</v>
      </c>
      <c r="J2660" s="3">
        <v>4.5990937484057204</v>
      </c>
      <c r="K2660" s="3">
        <v>4.6064406835728002</v>
      </c>
      <c r="L2660" s="3">
        <v>4.6162215904708601</v>
      </c>
      <c r="M2660" s="3">
        <v>5.5627203317256901E-2</v>
      </c>
    </row>
    <row r="2661" spans="1:16" x14ac:dyDescent="0.3">
      <c r="A2661" s="3" t="str">
        <f t="shared" si="42"/>
        <v>C00</v>
      </c>
      <c r="C2661" s="3" t="s">
        <v>850</v>
      </c>
      <c r="D2661" s="3" t="s">
        <v>1139</v>
      </c>
      <c r="E2661" s="3" t="s">
        <v>1141</v>
      </c>
      <c r="F2661" s="3" t="s">
        <v>3</v>
      </c>
      <c r="G2661" s="3">
        <v>1.05118705119259</v>
      </c>
      <c r="H2661" s="3">
        <v>0.90737344863945402</v>
      </c>
      <c r="I2661" s="3">
        <v>0.92981858321397504</v>
      </c>
      <c r="J2661" s="3">
        <v>0.67047616464253901</v>
      </c>
      <c r="K2661" s="3">
        <v>0.67188302456814997</v>
      </c>
      <c r="L2661" s="3">
        <v>0.685467057556292</v>
      </c>
    </row>
    <row r="2662" spans="1:16" x14ac:dyDescent="0.3">
      <c r="A2662" s="3" t="str">
        <f t="shared" si="42"/>
        <v>C00</v>
      </c>
      <c r="C2662" s="3" t="s">
        <v>850</v>
      </c>
      <c r="D2662" s="3" t="s">
        <v>1139</v>
      </c>
      <c r="E2662" s="3" t="s">
        <v>1141</v>
      </c>
      <c r="F2662" s="3" t="s">
        <v>4</v>
      </c>
      <c r="G2662" s="3">
        <v>10.658757703026801</v>
      </c>
      <c r="H2662" s="3">
        <v>15.743169057322</v>
      </c>
    </row>
    <row r="2663" spans="1:16" x14ac:dyDescent="0.3">
      <c r="A2663" s="3" t="str">
        <f t="shared" si="42"/>
        <v>C00</v>
      </c>
      <c r="C2663" s="3" t="s">
        <v>850</v>
      </c>
      <c r="D2663" s="3" t="s">
        <v>1139</v>
      </c>
      <c r="E2663" s="3" t="s">
        <v>1141</v>
      </c>
      <c r="F2663" s="3" t="s">
        <v>5</v>
      </c>
      <c r="G2663" s="3">
        <v>6.9912552318026</v>
      </c>
      <c r="H2663" s="3">
        <v>21.9416959959655</v>
      </c>
      <c r="I2663" s="3">
        <v>31.674291669671799</v>
      </c>
    </row>
    <row r="2664" spans="1:16" x14ac:dyDescent="0.3">
      <c r="A2664" s="3" t="str">
        <f t="shared" si="42"/>
        <v>C00</v>
      </c>
      <c r="C2664" s="3" t="s">
        <v>850</v>
      </c>
      <c r="D2664" s="3" t="s">
        <v>1139</v>
      </c>
      <c r="E2664" s="3" t="s">
        <v>1141</v>
      </c>
      <c r="F2664" s="3" t="s">
        <v>6</v>
      </c>
      <c r="G2664" s="3">
        <v>1.55603194161238</v>
      </c>
      <c r="H2664" s="3">
        <v>6.5934818064551606E-2</v>
      </c>
      <c r="I2664" s="3">
        <v>0.54042849475343502</v>
      </c>
    </row>
    <row r="2665" spans="1:16" x14ac:dyDescent="0.3">
      <c r="A2665" s="3" t="str">
        <f t="shared" si="42"/>
        <v>C00</v>
      </c>
      <c r="C2665" s="3" t="s">
        <v>850</v>
      </c>
      <c r="D2665" s="3" t="s">
        <v>1139</v>
      </c>
      <c r="E2665" s="3" t="s">
        <v>1141</v>
      </c>
      <c r="F2665" s="3" t="s">
        <v>7</v>
      </c>
      <c r="G2665" s="3">
        <v>1.4559596985638299</v>
      </c>
      <c r="H2665" s="3">
        <v>0.64364045111377999</v>
      </c>
      <c r="I2665" s="3">
        <v>0.94084575436294204</v>
      </c>
      <c r="J2665" s="3">
        <v>0.25262637367079299</v>
      </c>
      <c r="K2665" s="3">
        <v>0.25222057773546003</v>
      </c>
      <c r="L2665" s="3">
        <v>0.25222465787702403</v>
      </c>
    </row>
    <row r="2666" spans="1:16" x14ac:dyDescent="0.3">
      <c r="A2666" s="3" t="str">
        <f t="shared" si="42"/>
        <v>C00</v>
      </c>
      <c r="C2666" s="3" t="s">
        <v>850</v>
      </c>
      <c r="D2666" s="3" t="s">
        <v>1139</v>
      </c>
      <c r="E2666" s="3" t="s">
        <v>1141</v>
      </c>
      <c r="F2666" s="3" t="s">
        <v>8</v>
      </c>
      <c r="G2666" s="3">
        <v>4.6713326286627304</v>
      </c>
      <c r="H2666" s="3">
        <v>6.4556269359814404</v>
      </c>
      <c r="I2666" s="3">
        <v>1.56902955914088</v>
      </c>
      <c r="J2666" s="3">
        <v>1.85135753210386</v>
      </c>
      <c r="K2666" s="3">
        <v>1.85262123103044</v>
      </c>
      <c r="L2666" s="3">
        <v>2.0090627142759301</v>
      </c>
    </row>
    <row r="2667" spans="1:16" x14ac:dyDescent="0.3">
      <c r="A2667" s="3" t="str">
        <f t="shared" si="42"/>
        <v>L00</v>
      </c>
      <c r="C2667" s="3" t="s">
        <v>850</v>
      </c>
      <c r="D2667" s="3" t="s">
        <v>1142</v>
      </c>
      <c r="E2667" s="3" t="s">
        <v>1143</v>
      </c>
      <c r="F2667" s="3" t="s">
        <v>0</v>
      </c>
      <c r="G2667" s="3">
        <v>8.8964055367645706E-2</v>
      </c>
      <c r="H2667" s="3">
        <v>1.6327442672345701E-2</v>
      </c>
      <c r="I2667" s="3">
        <v>0.64710176625472005</v>
      </c>
      <c r="J2667" s="3">
        <v>0.66386633283490704</v>
      </c>
      <c r="K2667" s="3">
        <v>0.73783952378114703</v>
      </c>
      <c r="L2667" s="3">
        <v>0.74241852982897205</v>
      </c>
      <c r="M2667" s="3">
        <v>0.74241852982897205</v>
      </c>
      <c r="N2667" s="3">
        <v>0.74516211979917002</v>
      </c>
      <c r="O2667" s="3">
        <v>0.74909646480995196</v>
      </c>
      <c r="P2667" s="3">
        <v>0.78721575192466797</v>
      </c>
    </row>
    <row r="2668" spans="1:16" x14ac:dyDescent="0.3">
      <c r="A2668" s="3" t="str">
        <f t="shared" si="42"/>
        <v>L00</v>
      </c>
      <c r="C2668" s="3" t="s">
        <v>850</v>
      </c>
      <c r="D2668" s="3" t="s">
        <v>1142</v>
      </c>
      <c r="E2668" s="3" t="s">
        <v>1143</v>
      </c>
      <c r="F2668" s="3" t="s">
        <v>1</v>
      </c>
      <c r="G2668" s="3">
        <v>6.8729477395979399E-2</v>
      </c>
      <c r="I2668" s="3">
        <v>4.9032750015324103E-2</v>
      </c>
      <c r="J2668" s="3">
        <v>0.56833379658766703</v>
      </c>
      <c r="K2668" s="3">
        <v>0.61290937519155497</v>
      </c>
      <c r="L2668" s="3">
        <v>0.61290937519155397</v>
      </c>
      <c r="M2668" s="3">
        <v>0.61290937519155397</v>
      </c>
      <c r="N2668" s="3">
        <v>0.61290937519155397</v>
      </c>
      <c r="O2668" s="3">
        <v>0.61783150214208404</v>
      </c>
      <c r="P2668" s="3">
        <v>0.64989206932139199</v>
      </c>
    </row>
    <row r="2669" spans="1:16" x14ac:dyDescent="0.3">
      <c r="A2669" s="3" t="str">
        <f t="shared" si="42"/>
        <v>L00</v>
      </c>
      <c r="C2669" s="3" t="s">
        <v>850</v>
      </c>
      <c r="D2669" s="3" t="s">
        <v>1142</v>
      </c>
      <c r="E2669" s="3" t="s">
        <v>1143</v>
      </c>
      <c r="F2669" s="3" t="s">
        <v>4</v>
      </c>
      <c r="G2669" s="3">
        <v>2.12327456040558</v>
      </c>
      <c r="H2669" s="3">
        <v>2.1444096193220501</v>
      </c>
      <c r="I2669" s="3">
        <v>2.8248057176538501</v>
      </c>
      <c r="J2669" s="3">
        <v>3.4032316700355398</v>
      </c>
      <c r="K2669" s="3">
        <v>4.0071670520385396</v>
      </c>
      <c r="L2669" s="3">
        <v>4.6422928268469699</v>
      </c>
      <c r="M2669" s="3">
        <v>5.2970030282013099</v>
      </c>
      <c r="N2669" s="3">
        <v>5.9499737966175497</v>
      </c>
      <c r="O2669" s="3">
        <v>5.9535379708961802</v>
      </c>
      <c r="P2669" s="3">
        <v>6.3346206696938498</v>
      </c>
    </row>
    <row r="2670" spans="1:16" x14ac:dyDescent="0.3">
      <c r="A2670" s="3" t="str">
        <f t="shared" si="42"/>
        <v>L00</v>
      </c>
      <c r="C2670" s="3" t="s">
        <v>850</v>
      </c>
      <c r="D2670" s="3" t="s">
        <v>1142</v>
      </c>
      <c r="E2670" s="3" t="s">
        <v>1143</v>
      </c>
      <c r="F2670" s="3" t="s">
        <v>5</v>
      </c>
      <c r="G2670" s="3">
        <v>1.1268641306324201</v>
      </c>
      <c r="H2670" s="3">
        <v>0.96378115679999998</v>
      </c>
      <c r="I2670" s="3">
        <v>0.88510514399999995</v>
      </c>
      <c r="J2670" s="3">
        <v>1.49453730861253</v>
      </c>
      <c r="K2670" s="3">
        <v>1.8610435950022499</v>
      </c>
      <c r="L2670" s="3">
        <v>2.2406000418360401</v>
      </c>
      <c r="M2670" s="3">
        <v>2.62075435229985</v>
      </c>
      <c r="N2670" s="3">
        <v>3.03266428045933</v>
      </c>
      <c r="O2670" s="3">
        <v>3.4435552258217701</v>
      </c>
      <c r="P2670" s="3">
        <v>3.6866800866118101</v>
      </c>
    </row>
    <row r="2671" spans="1:16" x14ac:dyDescent="0.3">
      <c r="A2671" s="3" t="str">
        <f t="shared" si="42"/>
        <v>L00</v>
      </c>
      <c r="C2671" s="3" t="s">
        <v>850</v>
      </c>
      <c r="D2671" s="3" t="s">
        <v>1142</v>
      </c>
      <c r="E2671" s="3" t="s">
        <v>1143</v>
      </c>
      <c r="F2671" s="3" t="s">
        <v>6</v>
      </c>
      <c r="G2671" s="3">
        <v>0.103576756567861</v>
      </c>
      <c r="I2671" s="3">
        <v>0.30706100654757901</v>
      </c>
      <c r="J2671" s="3">
        <v>1.10823769775912</v>
      </c>
      <c r="K2671" s="3">
        <v>1.3615009224700501</v>
      </c>
      <c r="L2671" s="3">
        <v>1.6278439893251999</v>
      </c>
      <c r="M2671" s="3">
        <v>1.90239988021572</v>
      </c>
      <c r="N2671" s="3">
        <v>2.1998903838864599</v>
      </c>
      <c r="O2671" s="3">
        <v>2.4966449555371102</v>
      </c>
      <c r="P2671" s="3">
        <v>2.6564538292264501</v>
      </c>
    </row>
    <row r="2672" spans="1:16" x14ac:dyDescent="0.3">
      <c r="A2672" s="3" t="str">
        <f t="shared" si="42"/>
        <v>L00</v>
      </c>
      <c r="C2672" s="3" t="s">
        <v>850</v>
      </c>
      <c r="D2672" s="3" t="s">
        <v>1142</v>
      </c>
      <c r="E2672" s="3" t="s">
        <v>1143</v>
      </c>
      <c r="F2672" s="3" t="s">
        <v>7</v>
      </c>
      <c r="H2672" s="3">
        <v>8.3020593637157594E-3</v>
      </c>
      <c r="I2672" s="3">
        <v>1.2649205339100401E-2</v>
      </c>
      <c r="J2672" s="3">
        <v>7.8453591497080699E-2</v>
      </c>
      <c r="K2672" s="3">
        <v>7.8453591497080699E-2</v>
      </c>
      <c r="L2672" s="3">
        <v>7.8453591497080699E-2</v>
      </c>
      <c r="M2672" s="3">
        <v>9.2685109642370297E-2</v>
      </c>
      <c r="N2672" s="3">
        <v>8.9314832562361404E-2</v>
      </c>
      <c r="O2672" s="3">
        <v>9.0089454554401399E-2</v>
      </c>
      <c r="P2672" s="3">
        <v>0.101550124065061</v>
      </c>
    </row>
    <row r="2673" spans="1:16" x14ac:dyDescent="0.3">
      <c r="A2673" s="3" t="str">
        <f t="shared" si="42"/>
        <v>L00</v>
      </c>
      <c r="C2673" s="3" t="s">
        <v>850</v>
      </c>
      <c r="D2673" s="3" t="s">
        <v>1142</v>
      </c>
      <c r="E2673" s="3" t="s">
        <v>1143</v>
      </c>
      <c r="F2673" s="3" t="s">
        <v>8</v>
      </c>
      <c r="G2673" s="3">
        <v>0.94030730532247198</v>
      </c>
      <c r="H2673" s="3">
        <v>0.78641001086794904</v>
      </c>
      <c r="I2673" s="3">
        <v>0.79769236993150505</v>
      </c>
      <c r="J2673" s="3">
        <v>0.69376150188423102</v>
      </c>
      <c r="K2673" s="3">
        <v>0.66764185451416203</v>
      </c>
      <c r="L2673" s="3">
        <v>0.65157758132852595</v>
      </c>
      <c r="M2673" s="3">
        <v>0.65249193753879897</v>
      </c>
      <c r="N2673" s="3">
        <v>0.66467875592131898</v>
      </c>
      <c r="O2673" s="3">
        <v>0.706077152394469</v>
      </c>
      <c r="P2673" s="3">
        <v>0.78746431053450505</v>
      </c>
    </row>
    <row r="2674" spans="1:16" x14ac:dyDescent="0.3">
      <c r="A2674" s="3" t="str">
        <f t="shared" si="42"/>
        <v>C00</v>
      </c>
      <c r="C2674" s="3" t="s">
        <v>850</v>
      </c>
      <c r="D2674" s="3" t="s">
        <v>1142</v>
      </c>
      <c r="E2674" s="3" t="s">
        <v>1144</v>
      </c>
      <c r="F2674" s="3" t="s">
        <v>0</v>
      </c>
      <c r="G2674" s="3">
        <v>0.47503074974008702</v>
      </c>
      <c r="H2674" s="3">
        <v>0.56428875466478601</v>
      </c>
    </row>
    <row r="2675" spans="1:16" x14ac:dyDescent="0.3">
      <c r="A2675" s="3" t="str">
        <f t="shared" si="42"/>
        <v>C00</v>
      </c>
      <c r="C2675" s="3" t="s">
        <v>850</v>
      </c>
      <c r="D2675" s="3" t="s">
        <v>1142</v>
      </c>
      <c r="E2675" s="3" t="s">
        <v>1144</v>
      </c>
      <c r="F2675" s="3" t="s">
        <v>1</v>
      </c>
      <c r="G2675" s="3">
        <v>0.42891299769907898</v>
      </c>
      <c r="H2675" s="3">
        <v>0.49487779467786203</v>
      </c>
      <c r="I2675" s="3">
        <v>0.50450878194276505</v>
      </c>
    </row>
    <row r="2676" spans="1:16" x14ac:dyDescent="0.3">
      <c r="A2676" s="3" t="str">
        <f t="shared" si="42"/>
        <v>C00</v>
      </c>
      <c r="C2676" s="3" t="s">
        <v>850</v>
      </c>
      <c r="D2676" s="3" t="s">
        <v>1142</v>
      </c>
      <c r="E2676" s="3" t="s">
        <v>1144</v>
      </c>
      <c r="F2676" s="3" t="s">
        <v>2</v>
      </c>
      <c r="G2676" s="3">
        <v>0.89101700302733899</v>
      </c>
      <c r="H2676" s="3">
        <v>0.88606690856607595</v>
      </c>
      <c r="I2676" s="3">
        <v>0.866266530721024</v>
      </c>
      <c r="J2676" s="3">
        <v>0.75490769085510001</v>
      </c>
      <c r="K2676" s="3">
        <v>0.73015721854878501</v>
      </c>
      <c r="L2676" s="3">
        <v>0.70540674624247002</v>
      </c>
      <c r="M2676" s="3">
        <v>0.68065627393615502</v>
      </c>
      <c r="N2676" s="3">
        <v>0.65590580162984002</v>
      </c>
      <c r="O2676" s="3">
        <v>0.661594431883884</v>
      </c>
      <c r="P2676" s="3">
        <v>0.74575872360279205</v>
      </c>
    </row>
    <row r="2677" spans="1:16" x14ac:dyDescent="0.3">
      <c r="A2677" s="3" t="str">
        <f t="shared" si="42"/>
        <v>C00</v>
      </c>
      <c r="C2677" s="3" t="s">
        <v>850</v>
      </c>
      <c r="D2677" s="3" t="s">
        <v>1142</v>
      </c>
      <c r="E2677" s="3" t="s">
        <v>1144</v>
      </c>
      <c r="F2677" s="3" t="s">
        <v>3</v>
      </c>
      <c r="G2677" s="3">
        <v>0.170620277175449</v>
      </c>
      <c r="H2677" s="3">
        <v>0.16967238674669599</v>
      </c>
      <c r="I2677" s="3">
        <v>0.165880825031686</v>
      </c>
      <c r="J2677" s="3">
        <v>0.144556791865871</v>
      </c>
      <c r="K2677" s="3">
        <v>0.139817339722108</v>
      </c>
      <c r="L2677" s="3">
        <v>0.13507788757834599</v>
      </c>
      <c r="M2677" s="3">
        <v>0.13033843543458301</v>
      </c>
      <c r="N2677" s="3">
        <v>0.125598983290821</v>
      </c>
      <c r="O2677" s="3">
        <v>0.12668829546712701</v>
      </c>
      <c r="P2677" s="3">
        <v>0.142804861966492</v>
      </c>
    </row>
    <row r="2678" spans="1:16" x14ac:dyDescent="0.3">
      <c r="A2678" s="3" t="str">
        <f t="shared" si="42"/>
        <v>C00</v>
      </c>
      <c r="C2678" s="3" t="s">
        <v>850</v>
      </c>
      <c r="D2678" s="3" t="s">
        <v>1142</v>
      </c>
      <c r="E2678" s="3" t="s">
        <v>1144</v>
      </c>
      <c r="F2678" s="3" t="s">
        <v>4</v>
      </c>
      <c r="H2678" s="3">
        <v>0.119171172533174</v>
      </c>
    </row>
    <row r="2679" spans="1:16" x14ac:dyDescent="0.3">
      <c r="A2679" s="3" t="str">
        <f t="shared" si="42"/>
        <v>C00</v>
      </c>
      <c r="C2679" s="3" t="s">
        <v>850</v>
      </c>
      <c r="D2679" s="3" t="s">
        <v>1142</v>
      </c>
      <c r="E2679" s="3" t="s">
        <v>1144</v>
      </c>
      <c r="F2679" s="3" t="s">
        <v>5</v>
      </c>
      <c r="G2679" s="3">
        <v>0.106004968957913</v>
      </c>
      <c r="H2679" s="3">
        <v>0.26223867001483597</v>
      </c>
      <c r="I2679" s="3">
        <v>0.313517591712828</v>
      </c>
    </row>
    <row r="2680" spans="1:16" x14ac:dyDescent="0.3">
      <c r="A2680" s="3" t="str">
        <f t="shared" si="42"/>
        <v>C00</v>
      </c>
      <c r="C2680" s="3" t="s">
        <v>850</v>
      </c>
      <c r="D2680" s="3" t="s">
        <v>1142</v>
      </c>
      <c r="E2680" s="3" t="s">
        <v>1144</v>
      </c>
      <c r="F2680" s="3" t="s">
        <v>6</v>
      </c>
      <c r="G2680" s="3">
        <v>0.78682870424738005</v>
      </c>
      <c r="H2680" s="3">
        <v>0.88545876381071498</v>
      </c>
      <c r="I2680" s="3">
        <v>0.55861096924501896</v>
      </c>
    </row>
    <row r="2681" spans="1:16" x14ac:dyDescent="0.3">
      <c r="A2681" s="3" t="str">
        <f t="shared" si="42"/>
        <v>C00</v>
      </c>
      <c r="C2681" s="3" t="s">
        <v>850</v>
      </c>
      <c r="D2681" s="3" t="s">
        <v>1142</v>
      </c>
      <c r="E2681" s="3" t="s">
        <v>1144</v>
      </c>
      <c r="F2681" s="3" t="s">
        <v>7</v>
      </c>
      <c r="G2681" s="3">
        <v>0.12132997488031901</v>
      </c>
      <c r="H2681" s="3">
        <v>0.112353860100601</v>
      </c>
      <c r="I2681" s="3">
        <v>0.10531049246121001</v>
      </c>
      <c r="J2681" s="3">
        <v>2.4342349385316299E-2</v>
      </c>
      <c r="K2681" s="3">
        <v>2.0972072305307499E-2</v>
      </c>
      <c r="L2681" s="3">
        <v>1.7601795225298599E-2</v>
      </c>
    </row>
    <row r="2682" spans="1:16" x14ac:dyDescent="0.3">
      <c r="A2682" s="3" t="str">
        <f t="shared" si="42"/>
        <v>LC0</v>
      </c>
      <c r="C2682" s="3" t="s">
        <v>850</v>
      </c>
      <c r="D2682" s="3" t="s">
        <v>1145</v>
      </c>
      <c r="E2682" s="3" t="s">
        <v>1146</v>
      </c>
      <c r="F2682" s="3" t="s">
        <v>0</v>
      </c>
      <c r="G2682" s="3">
        <v>1.3569466759437701</v>
      </c>
      <c r="H2682" s="3">
        <v>1.5212015680033999</v>
      </c>
      <c r="I2682" s="3">
        <v>2.1805503464465801</v>
      </c>
      <c r="J2682" s="3">
        <v>2.3963264936690498</v>
      </c>
      <c r="K2682" s="3">
        <v>2.7690697255124701</v>
      </c>
      <c r="L2682" s="3">
        <v>2.7690697255124701</v>
      </c>
      <c r="M2682" s="3">
        <v>2.7690697255124701</v>
      </c>
      <c r="N2682" s="3">
        <v>3.8872994210427501</v>
      </c>
      <c r="O2682" s="3">
        <v>3.9185173824895299</v>
      </c>
      <c r="P2682" s="3">
        <v>4.1218574345086001</v>
      </c>
    </row>
    <row r="2683" spans="1:16" x14ac:dyDescent="0.3">
      <c r="A2683" s="3" t="str">
        <f t="shared" si="42"/>
        <v>LC0</v>
      </c>
      <c r="C2683" s="3" t="s">
        <v>850</v>
      </c>
      <c r="D2683" s="3" t="s">
        <v>1145</v>
      </c>
      <c r="E2683" s="3" t="s">
        <v>1146</v>
      </c>
      <c r="F2683" s="3" t="s">
        <v>1</v>
      </c>
      <c r="G2683" s="3">
        <v>0.93959777588161297</v>
      </c>
      <c r="H2683" s="3">
        <v>0.530609361800502</v>
      </c>
      <c r="I2683" s="3">
        <v>1.22554648364012</v>
      </c>
      <c r="J2683" s="3">
        <v>1.6948159801201701</v>
      </c>
      <c r="K2683" s="3">
        <v>1.67382658363266</v>
      </c>
      <c r="L2683" s="3">
        <v>1.6891706408829501</v>
      </c>
      <c r="M2683" s="3">
        <v>1.6863479712643401</v>
      </c>
      <c r="N2683" s="3">
        <v>1.6835253016457301</v>
      </c>
      <c r="O2683" s="3">
        <v>1.6848153352583699</v>
      </c>
      <c r="P2683" s="3">
        <v>1.88858821656899</v>
      </c>
    </row>
    <row r="2684" spans="1:16" x14ac:dyDescent="0.3">
      <c r="A2684" s="3" t="str">
        <f t="shared" si="42"/>
        <v>LC0</v>
      </c>
      <c r="C2684" s="3" t="s">
        <v>850</v>
      </c>
      <c r="D2684" s="3" t="s">
        <v>1145</v>
      </c>
      <c r="E2684" s="3" t="s">
        <v>1146</v>
      </c>
      <c r="F2684" s="3" t="s">
        <v>2</v>
      </c>
      <c r="G2684" s="3">
        <v>4.3964538402373902E-2</v>
      </c>
      <c r="H2684" s="3">
        <v>0.34694783771618998</v>
      </c>
      <c r="I2684" s="3">
        <v>0.24603175196396199</v>
      </c>
      <c r="J2684" s="3">
        <v>0.59297958968015196</v>
      </c>
      <c r="K2684" s="3">
        <v>0.59297958968015196</v>
      </c>
      <c r="L2684" s="3">
        <v>0.59297958968015196</v>
      </c>
      <c r="M2684" s="3">
        <v>3.0690886831269899</v>
      </c>
      <c r="N2684" s="3">
        <v>3.0690886831270099</v>
      </c>
      <c r="O2684" s="3">
        <v>3.0937357920345199</v>
      </c>
      <c r="P2684" s="3">
        <v>3.2542762045121401</v>
      </c>
    </row>
    <row r="2685" spans="1:16" x14ac:dyDescent="0.3">
      <c r="A2685" s="3" t="str">
        <f t="shared" si="42"/>
        <v>LC0</v>
      </c>
      <c r="C2685" s="3" t="s">
        <v>850</v>
      </c>
      <c r="D2685" s="3" t="s">
        <v>1145</v>
      </c>
      <c r="E2685" s="3" t="s">
        <v>1146</v>
      </c>
      <c r="F2685" s="3" t="s">
        <v>3</v>
      </c>
      <c r="G2685" s="3">
        <v>3.29918702158521E-2</v>
      </c>
      <c r="H2685" s="3">
        <v>6.9145785902643003E-2</v>
      </c>
      <c r="I2685" s="3">
        <v>7.2022169197542105E-2</v>
      </c>
      <c r="J2685" s="3">
        <v>0.13433399324897399</v>
      </c>
      <c r="K2685" s="3">
        <v>0.13433399324897399</v>
      </c>
      <c r="L2685" s="3">
        <v>0.13433399324897399</v>
      </c>
      <c r="M2685" s="3">
        <v>0.58153910323910596</v>
      </c>
      <c r="N2685" s="3">
        <v>0.58153910323910596</v>
      </c>
      <c r="O2685" s="3">
        <v>0.58620930312297304</v>
      </c>
      <c r="P2685" s="3">
        <v>0.61662892834238703</v>
      </c>
    </row>
    <row r="2686" spans="1:16" x14ac:dyDescent="0.3">
      <c r="A2686" s="3" t="str">
        <f t="shared" si="42"/>
        <v>LC0</v>
      </c>
      <c r="C2686" s="3" t="s">
        <v>850</v>
      </c>
      <c r="D2686" s="3" t="s">
        <v>1145</v>
      </c>
      <c r="E2686" s="3" t="s">
        <v>1146</v>
      </c>
      <c r="F2686" s="3" t="s">
        <v>4</v>
      </c>
      <c r="G2686" s="3">
        <v>0.17980908673206</v>
      </c>
      <c r="H2686" s="3">
        <v>0.216843450469591</v>
      </c>
      <c r="I2686" s="3">
        <v>1.12465172451091</v>
      </c>
      <c r="J2686" s="3">
        <v>1.30525974928699</v>
      </c>
      <c r="K2686" s="3">
        <v>1.30525974928699</v>
      </c>
      <c r="L2686" s="3">
        <v>1.30525974928699</v>
      </c>
      <c r="M2686" s="3">
        <v>5.1564647910034296</v>
      </c>
      <c r="N2686" s="3">
        <v>5.1564647910034296</v>
      </c>
      <c r="O2686" s="3">
        <v>5.1644430331981797</v>
      </c>
      <c r="P2686" s="3">
        <v>5.2164097891206502</v>
      </c>
    </row>
    <row r="2687" spans="1:16" x14ac:dyDescent="0.3">
      <c r="A2687" s="3" t="str">
        <f t="shared" si="42"/>
        <v>LC0</v>
      </c>
      <c r="C2687" s="3" t="s">
        <v>850</v>
      </c>
      <c r="D2687" s="3" t="s">
        <v>1145</v>
      </c>
      <c r="E2687" s="3" t="s">
        <v>1146</v>
      </c>
      <c r="F2687" s="3" t="s">
        <v>5</v>
      </c>
      <c r="H2687" s="3">
        <v>0.257923921743689</v>
      </c>
      <c r="I2687" s="3">
        <v>0.598328279008977</v>
      </c>
      <c r="J2687" s="3">
        <v>0.90411991391737001</v>
      </c>
      <c r="K2687" s="3">
        <v>0.90411991391737101</v>
      </c>
      <c r="L2687" s="3">
        <v>0.90411991391737101</v>
      </c>
      <c r="M2687" s="3">
        <v>2.8665035990850698</v>
      </c>
      <c r="N2687" s="3">
        <v>2.8665035990850698</v>
      </c>
      <c r="O2687" s="3">
        <v>2.8895237961809901</v>
      </c>
      <c r="P2687" s="3">
        <v>3.0394672216335401</v>
      </c>
    </row>
    <row r="2688" spans="1:16" x14ac:dyDescent="0.3">
      <c r="A2688" s="3" t="str">
        <f t="shared" si="42"/>
        <v>LC0</v>
      </c>
      <c r="C2688" s="3" t="s">
        <v>850</v>
      </c>
      <c r="D2688" s="3" t="s">
        <v>1145</v>
      </c>
      <c r="E2688" s="3" t="s">
        <v>1146</v>
      </c>
      <c r="F2688" s="3" t="s">
        <v>6</v>
      </c>
      <c r="J2688" s="3">
        <v>0.44907341842297499</v>
      </c>
      <c r="K2688" s="3">
        <v>0.44907341842297499</v>
      </c>
      <c r="L2688" s="3">
        <v>0.44907341842297499</v>
      </c>
      <c r="M2688" s="3">
        <v>0.85377970694927996</v>
      </c>
      <c r="N2688" s="3">
        <v>2.1623884607433701</v>
      </c>
      <c r="O2688" s="3">
        <v>2.1806423921587301</v>
      </c>
      <c r="P2688" s="3">
        <v>2.45587271488957</v>
      </c>
    </row>
    <row r="2689" spans="1:16" x14ac:dyDescent="0.3">
      <c r="A2689" s="3" t="str">
        <f t="shared" si="42"/>
        <v>LC0</v>
      </c>
      <c r="C2689" s="3" t="s">
        <v>850</v>
      </c>
      <c r="D2689" s="3" t="s">
        <v>1145</v>
      </c>
      <c r="E2689" s="3" t="s">
        <v>1146</v>
      </c>
      <c r="F2689" s="3" t="s">
        <v>7</v>
      </c>
      <c r="H2689" s="3">
        <v>1.4066018107792301E-2</v>
      </c>
      <c r="I2689" s="3">
        <v>1.8352017314501999E-2</v>
      </c>
      <c r="J2689" s="3">
        <v>1.9548437240029901E-2</v>
      </c>
      <c r="K2689" s="3">
        <v>1.9548437240030001E-2</v>
      </c>
      <c r="L2689" s="3">
        <v>1.9548437240029901E-2</v>
      </c>
      <c r="M2689" s="3">
        <v>0.119935272259832</v>
      </c>
      <c r="N2689" s="3">
        <v>0.119935272259832</v>
      </c>
      <c r="O2689" s="3">
        <v>0.120898443423146</v>
      </c>
      <c r="P2689" s="3">
        <v>0.12717211618635499</v>
      </c>
    </row>
    <row r="2690" spans="1:16" x14ac:dyDescent="0.3">
      <c r="A2690" s="3" t="str">
        <f t="shared" si="42"/>
        <v>LC0</v>
      </c>
      <c r="C2690" s="3" t="s">
        <v>850</v>
      </c>
      <c r="D2690" s="3" t="s">
        <v>1145</v>
      </c>
      <c r="E2690" s="3" t="s">
        <v>1146</v>
      </c>
      <c r="F2690" s="3" t="s">
        <v>8</v>
      </c>
      <c r="G2690" s="3">
        <v>0.51570616822756299</v>
      </c>
      <c r="H2690" s="3">
        <v>0.63859244393669301</v>
      </c>
      <c r="I2690" s="3">
        <v>0.66654697120529804</v>
      </c>
      <c r="J2690" s="3">
        <v>0.23589359429822199</v>
      </c>
      <c r="K2690" s="3">
        <v>0.23589359429822099</v>
      </c>
      <c r="L2690" s="3">
        <v>0.23589359429822099</v>
      </c>
      <c r="M2690" s="3">
        <v>1.53977765458987</v>
      </c>
      <c r="N2690" s="3">
        <v>1.53977765458987</v>
      </c>
      <c r="O2690" s="3">
        <v>1.55262884120781</v>
      </c>
      <c r="P2690" s="3">
        <v>1.7137121954018399</v>
      </c>
    </row>
    <row r="2691" spans="1:16" x14ac:dyDescent="0.3">
      <c r="A2691" s="3" t="str">
        <f t="shared" si="42"/>
        <v>C00</v>
      </c>
      <c r="C2691" s="3" t="s">
        <v>850</v>
      </c>
      <c r="D2691" s="3" t="s">
        <v>1145</v>
      </c>
      <c r="E2691" s="3" t="s">
        <v>1147</v>
      </c>
      <c r="F2691" s="3" t="s">
        <v>0</v>
      </c>
      <c r="G2691" s="3">
        <v>2.02702215470259</v>
      </c>
      <c r="H2691" s="3">
        <v>0.67772017120404104</v>
      </c>
    </row>
    <row r="2692" spans="1:16" x14ac:dyDescent="0.3">
      <c r="A2692" s="3" t="str">
        <f t="shared" si="42"/>
        <v>C00</v>
      </c>
      <c r="C2692" s="3" t="s">
        <v>850</v>
      </c>
      <c r="D2692" s="3" t="s">
        <v>1145</v>
      </c>
      <c r="E2692" s="3" t="s">
        <v>1147</v>
      </c>
      <c r="F2692" s="3" t="s">
        <v>1</v>
      </c>
      <c r="G2692" s="3">
        <v>2.0462570746887301</v>
      </c>
      <c r="H2692" s="3">
        <v>13.7372169200183</v>
      </c>
      <c r="I2692" s="3">
        <v>0.76790701282737805</v>
      </c>
    </row>
    <row r="2693" spans="1:16" x14ac:dyDescent="0.3">
      <c r="A2693" s="3" t="str">
        <f t="shared" si="42"/>
        <v>C00</v>
      </c>
      <c r="C2693" s="3" t="s">
        <v>850</v>
      </c>
      <c r="D2693" s="3" t="s">
        <v>1145</v>
      </c>
      <c r="E2693" s="3" t="s">
        <v>1147</v>
      </c>
      <c r="F2693" s="3" t="s">
        <v>2</v>
      </c>
      <c r="G2693" s="3">
        <v>11.539256500953099</v>
      </c>
      <c r="H2693" s="3">
        <v>17.681123645397701</v>
      </c>
      <c r="I2693" s="3">
        <v>7.51310295987731</v>
      </c>
      <c r="J2693" s="3">
        <v>6.0274130771911301</v>
      </c>
      <c r="K2693" s="3">
        <v>5.9680419205178801</v>
      </c>
      <c r="L2693" s="3">
        <v>5.9100313676432403</v>
      </c>
      <c r="M2693" s="3">
        <v>3.37591172132176</v>
      </c>
      <c r="N2693" s="3">
        <v>3.3231066624349199</v>
      </c>
      <c r="O2693" s="3">
        <v>3.35122841076958</v>
      </c>
      <c r="P2693" s="3">
        <v>3.99895242258025</v>
      </c>
    </row>
    <row r="2694" spans="1:16" x14ac:dyDescent="0.3">
      <c r="A2694" s="3" t="str">
        <f t="shared" si="42"/>
        <v>C00</v>
      </c>
      <c r="C2694" s="3" t="s">
        <v>850</v>
      </c>
      <c r="D2694" s="3" t="s">
        <v>1145</v>
      </c>
      <c r="E2694" s="3" t="s">
        <v>1147</v>
      </c>
      <c r="F2694" s="3" t="s">
        <v>3</v>
      </c>
      <c r="G2694" s="3">
        <v>2.18507173306498</v>
      </c>
      <c r="H2694" s="3">
        <v>3.0127211800429499</v>
      </c>
      <c r="I2694" s="3">
        <v>1.4137695841337601</v>
      </c>
      <c r="J2694" s="3">
        <v>1.1334007727476501</v>
      </c>
      <c r="K2694" s="3">
        <v>1.1220318278527801</v>
      </c>
      <c r="L2694" s="3">
        <v>1.1109234241108199</v>
      </c>
      <c r="M2694" s="3">
        <v>0.65260991037873906</v>
      </c>
      <c r="N2694" s="3">
        <v>0.64249830335785896</v>
      </c>
      <c r="O2694" s="3">
        <v>0.64793277826504403</v>
      </c>
      <c r="P2694" s="3">
        <v>0.77228719173913096</v>
      </c>
    </row>
    <row r="2695" spans="1:16" x14ac:dyDescent="0.3">
      <c r="A2695" s="3" t="str">
        <f t="shared" si="42"/>
        <v>C00</v>
      </c>
      <c r="C2695" s="3" t="s">
        <v>850</v>
      </c>
      <c r="D2695" s="3" t="s">
        <v>1145</v>
      </c>
      <c r="E2695" s="3" t="s">
        <v>1147</v>
      </c>
      <c r="F2695" s="3" t="s">
        <v>4</v>
      </c>
      <c r="G2695" s="3">
        <v>9.3749264350930606</v>
      </c>
      <c r="H2695" s="3">
        <v>11.330393308694299</v>
      </c>
      <c r="I2695" s="3">
        <v>5.25439946418508</v>
      </c>
      <c r="J2695" s="3">
        <v>4.1181513870975603</v>
      </c>
      <c r="K2695" s="3">
        <v>4.0503773889807002</v>
      </c>
      <c r="L2695" s="3">
        <v>3.9832113202206698</v>
      </c>
      <c r="M2695" s="3">
        <v>6.4840209744194702E-2</v>
      </c>
    </row>
    <row r="2696" spans="1:16" x14ac:dyDescent="0.3">
      <c r="A2696" s="3" t="str">
        <f t="shared" si="42"/>
        <v>C00</v>
      </c>
      <c r="C2696" s="3" t="s">
        <v>850</v>
      </c>
      <c r="D2696" s="3" t="s">
        <v>1145</v>
      </c>
      <c r="E2696" s="3" t="s">
        <v>1147</v>
      </c>
      <c r="F2696" s="3" t="s">
        <v>5</v>
      </c>
      <c r="G2696" s="3">
        <v>5.5479109481565203</v>
      </c>
      <c r="H2696" s="3">
        <v>11.074839913941799</v>
      </c>
      <c r="I2696" s="3">
        <v>6.0763995482372799</v>
      </c>
      <c r="J2696" s="3">
        <v>2.2449575201123602</v>
      </c>
      <c r="K2696" s="3">
        <v>2.2056048760445099</v>
      </c>
      <c r="L2696" s="3">
        <v>2.1666052232160999</v>
      </c>
      <c r="M2696" s="3">
        <v>0.166572384003386</v>
      </c>
      <c r="N2696" s="3">
        <v>0.128923229958369</v>
      </c>
      <c r="O2696" s="3">
        <v>0.130505840667208</v>
      </c>
      <c r="P2696" s="3">
        <v>0.36165055438045302</v>
      </c>
    </row>
    <row r="2697" spans="1:16" x14ac:dyDescent="0.3">
      <c r="A2697" s="3" t="str">
        <f t="shared" si="42"/>
        <v>C00</v>
      </c>
      <c r="C2697" s="3" t="s">
        <v>850</v>
      </c>
      <c r="D2697" s="3" t="s">
        <v>1145</v>
      </c>
      <c r="E2697" s="3" t="s">
        <v>1147</v>
      </c>
      <c r="F2697" s="3" t="s">
        <v>6</v>
      </c>
      <c r="G2697" s="3">
        <v>4.0068245736685997</v>
      </c>
      <c r="H2697" s="3">
        <v>2.69683882691572</v>
      </c>
      <c r="I2697" s="3">
        <v>2.67508598235638</v>
      </c>
      <c r="J2697" s="3">
        <v>1.8252602839318299</v>
      </c>
      <c r="K2697" s="3">
        <v>1.79683892988283</v>
      </c>
      <c r="L2697" s="3">
        <v>1.7686725139512001</v>
      </c>
      <c r="M2697" s="3">
        <v>1.3357998094932699</v>
      </c>
    </row>
    <row r="2698" spans="1:16" x14ac:dyDescent="0.3">
      <c r="A2698" s="3" t="str">
        <f t="shared" si="42"/>
        <v>C00</v>
      </c>
      <c r="C2698" s="3" t="s">
        <v>850</v>
      </c>
      <c r="D2698" s="3" t="s">
        <v>1145</v>
      </c>
      <c r="E2698" s="3" t="s">
        <v>1147</v>
      </c>
      <c r="F2698" s="3" t="s">
        <v>7</v>
      </c>
      <c r="G2698" s="3">
        <v>0.36398992464095598</v>
      </c>
      <c r="H2698" s="3">
        <v>0.22253878555890999</v>
      </c>
      <c r="I2698" s="3">
        <v>0.225070102527234</v>
      </c>
      <c r="J2698" s="3">
        <v>0.187783196090854</v>
      </c>
      <c r="K2698" s="3">
        <v>0.18556407689689899</v>
      </c>
      <c r="L2698" s="3">
        <v>0.18337804229379301</v>
      </c>
      <c r="M2698" s="3">
        <v>8.0805172670883704E-2</v>
      </c>
      <c r="N2698" s="3">
        <v>7.8745715429183197E-2</v>
      </c>
      <c r="O2698" s="3">
        <v>7.9440761893991005E-2</v>
      </c>
    </row>
    <row r="2699" spans="1:16" x14ac:dyDescent="0.3">
      <c r="A2699" s="3" t="str">
        <f t="shared" si="42"/>
        <v>C00</v>
      </c>
      <c r="C2699" s="3" t="s">
        <v>850</v>
      </c>
      <c r="D2699" s="3" t="s">
        <v>1145</v>
      </c>
      <c r="E2699" s="3" t="s">
        <v>1147</v>
      </c>
      <c r="F2699" s="3" t="s">
        <v>8</v>
      </c>
      <c r="G2699" s="3">
        <v>2.3052157477398501</v>
      </c>
      <c r="H2699" s="3">
        <v>1.19509478448024</v>
      </c>
      <c r="I2699" s="3">
        <v>1.1543716223131</v>
      </c>
      <c r="J2699" s="3">
        <v>1.3709265640161199</v>
      </c>
      <c r="K2699" s="3">
        <v>1.35372839026298</v>
      </c>
      <c r="L2699" s="3">
        <v>1.3367866220889</v>
      </c>
      <c r="M2699" s="3">
        <v>1.5960793623179099E-2</v>
      </c>
    </row>
    <row r="2700" spans="1:16" x14ac:dyDescent="0.3">
      <c r="A2700" s="3" t="str">
        <f t="shared" si="42"/>
        <v>EXT</v>
      </c>
      <c r="C2700" s="3" t="s">
        <v>850</v>
      </c>
      <c r="D2700" s="3" t="s">
        <v>1567</v>
      </c>
      <c r="E2700" s="3" t="s">
        <v>1568</v>
      </c>
      <c r="F2700" s="3" t="s">
        <v>0</v>
      </c>
      <c r="G2700" s="3">
        <v>15.4675102299774</v>
      </c>
      <c r="H2700" s="3">
        <v>15.4675102299774</v>
      </c>
      <c r="I2700" s="3">
        <v>15.4675102299774</v>
      </c>
      <c r="J2700" s="3">
        <v>15.4675102299774</v>
      </c>
      <c r="K2700" s="3">
        <v>16.023877578429001</v>
      </c>
      <c r="L2700" s="3">
        <v>17.4338603438459</v>
      </c>
      <c r="M2700" s="3">
        <v>19.096228512312102</v>
      </c>
      <c r="N2700" s="3">
        <v>20.865636796581601</v>
      </c>
      <c r="O2700" s="3">
        <v>23.785273459771002</v>
      </c>
      <c r="P2700" s="3">
        <v>25.431074886029201</v>
      </c>
    </row>
    <row r="2701" spans="1:16" x14ac:dyDescent="0.3">
      <c r="A2701" s="3" t="str">
        <f t="shared" si="42"/>
        <v>EXT</v>
      </c>
      <c r="C2701" s="3" t="s">
        <v>850</v>
      </c>
      <c r="D2701" s="3" t="s">
        <v>1567</v>
      </c>
      <c r="E2701" s="3" t="s">
        <v>1568</v>
      </c>
      <c r="F2701" s="3" t="s">
        <v>1</v>
      </c>
      <c r="G2701" s="3">
        <v>42.576851756903999</v>
      </c>
      <c r="H2701" s="3">
        <v>42.576851756903999</v>
      </c>
      <c r="I2701" s="3">
        <v>42.576851756903999</v>
      </c>
      <c r="J2701" s="3">
        <v>42.576851756903999</v>
      </c>
      <c r="K2701" s="3">
        <v>44.108343882345899</v>
      </c>
      <c r="L2701" s="3">
        <v>47.989552059379896</v>
      </c>
      <c r="M2701" s="3">
        <v>52.565492338184683</v>
      </c>
      <c r="N2701" s="3">
        <v>57.436078043101389</v>
      </c>
      <c r="O2701" s="3">
        <v>65.47285549107859</v>
      </c>
      <c r="P2701" s="3">
        <v>70.00319310231778</v>
      </c>
    </row>
    <row r="2702" spans="1:16" x14ac:dyDescent="0.3">
      <c r="A2702" s="3" t="str">
        <f t="shared" si="42"/>
        <v>EXT</v>
      </c>
      <c r="C2702" s="3" t="s">
        <v>850</v>
      </c>
      <c r="D2702" s="3" t="s">
        <v>1567</v>
      </c>
      <c r="E2702" s="3" t="s">
        <v>1568</v>
      </c>
      <c r="F2702" s="3" t="s">
        <v>2</v>
      </c>
      <c r="G2702" s="3">
        <v>61.587243881054498</v>
      </c>
      <c r="H2702" s="3">
        <v>61.587243881054498</v>
      </c>
      <c r="I2702" s="3">
        <v>61.587243881054498</v>
      </c>
      <c r="J2702" s="3">
        <v>61.587243881054498</v>
      </c>
      <c r="K2702" s="3">
        <v>63.802541046989496</v>
      </c>
      <c r="L2702" s="3">
        <v>69.416692979051604</v>
      </c>
      <c r="M2702" s="3">
        <v>76.035772086754605</v>
      </c>
      <c r="N2702" s="3">
        <v>83.0810546117511</v>
      </c>
      <c r="O2702" s="3">
        <v>94.706220688669205</v>
      </c>
      <c r="P2702" s="3">
        <v>101.259335722161</v>
      </c>
    </row>
    <row r="2703" spans="1:16" x14ac:dyDescent="0.3">
      <c r="A2703" s="3" t="str">
        <f t="shared" si="42"/>
        <v>EXT</v>
      </c>
      <c r="C2703" s="3" t="s">
        <v>850</v>
      </c>
      <c r="D2703" s="3" t="s">
        <v>1567</v>
      </c>
      <c r="E2703" s="3" t="s">
        <v>1568</v>
      </c>
      <c r="F2703" s="3" t="s">
        <v>3</v>
      </c>
      <c r="G2703" s="3">
        <v>41.714504685046499</v>
      </c>
      <c r="H2703" s="3">
        <v>41.714504685046499</v>
      </c>
      <c r="I2703" s="3">
        <v>41.714504685046499</v>
      </c>
      <c r="J2703" s="3">
        <v>41.714504685046499</v>
      </c>
      <c r="K2703" s="3">
        <v>43.214978130256</v>
      </c>
      <c r="L2703" s="3">
        <v>47.017576725589599</v>
      </c>
      <c r="M2703" s="3">
        <v>51.500836391864496</v>
      </c>
      <c r="N2703" s="3">
        <v>56.272773766818993</v>
      </c>
      <c r="O2703" s="3">
        <v>64.146775170691299</v>
      </c>
      <c r="P2703" s="3">
        <v>68.585355801027205</v>
      </c>
    </row>
    <row r="2704" spans="1:16" x14ac:dyDescent="0.3">
      <c r="A2704" s="3" t="str">
        <f t="shared" si="42"/>
        <v>EXT</v>
      </c>
      <c r="C2704" s="3" t="s">
        <v>850</v>
      </c>
      <c r="D2704" s="3" t="s">
        <v>1567</v>
      </c>
      <c r="E2704" s="3" t="s">
        <v>1568</v>
      </c>
      <c r="F2704" s="3" t="s">
        <v>4</v>
      </c>
      <c r="G2704" s="3">
        <v>26.1076544087271</v>
      </c>
      <c r="H2704" s="3">
        <v>26.1076544087271</v>
      </c>
      <c r="I2704" s="3">
        <v>26.1076544087271</v>
      </c>
      <c r="J2704" s="3">
        <v>26.1076544087271</v>
      </c>
      <c r="K2704" s="3">
        <v>27.0467484349603</v>
      </c>
      <c r="L2704" s="3">
        <v>29.426662345760398</v>
      </c>
      <c r="M2704" s="3">
        <v>32.232578294551502</v>
      </c>
      <c r="N2704" s="3">
        <v>35.219167558550602</v>
      </c>
      <c r="O2704" s="3">
        <v>40.147230567286805</v>
      </c>
      <c r="P2704" s="3">
        <v>42.925183464894104</v>
      </c>
    </row>
    <row r="2705" spans="1:16" x14ac:dyDescent="0.3">
      <c r="A2705" s="3" t="str">
        <f t="shared" si="42"/>
        <v>EXT</v>
      </c>
      <c r="C2705" s="3" t="s">
        <v>850</v>
      </c>
      <c r="D2705" s="3" t="s">
        <v>1567</v>
      </c>
      <c r="E2705" s="3" t="s">
        <v>1568</v>
      </c>
      <c r="F2705" s="3" t="s">
        <v>5</v>
      </c>
      <c r="G2705" s="3">
        <v>22.756623666595601</v>
      </c>
      <c r="H2705" s="3">
        <v>22.756623666595601</v>
      </c>
      <c r="I2705" s="3">
        <v>22.756623666595601</v>
      </c>
      <c r="J2705" s="3">
        <v>22.756623666595601</v>
      </c>
      <c r="K2705" s="3">
        <v>23.575180899197601</v>
      </c>
      <c r="L2705" s="3">
        <v>25.649622531490301</v>
      </c>
      <c r="M2705" s="3">
        <v>28.095386991486901</v>
      </c>
      <c r="N2705" s="3">
        <v>30.6986345626208</v>
      </c>
      <c r="O2705" s="3">
        <v>34.994159297986997</v>
      </c>
      <c r="P2705" s="3">
        <v>37.415549885769799</v>
      </c>
    </row>
    <row r="2706" spans="1:16" x14ac:dyDescent="0.3">
      <c r="A2706" s="3" t="str">
        <f t="shared" si="42"/>
        <v>EXT</v>
      </c>
      <c r="C2706" s="3" t="s">
        <v>850</v>
      </c>
      <c r="D2706" s="3" t="s">
        <v>1567</v>
      </c>
      <c r="E2706" s="3" t="s">
        <v>1568</v>
      </c>
      <c r="F2706" s="3" t="s">
        <v>6</v>
      </c>
      <c r="G2706" s="3">
        <v>80.113220778498501</v>
      </c>
      <c r="H2706" s="3">
        <v>80.113220778498501</v>
      </c>
      <c r="I2706" s="3">
        <v>80.113220778498501</v>
      </c>
      <c r="J2706" s="3">
        <v>80.113220778498501</v>
      </c>
      <c r="K2706" s="3">
        <v>82.994898537732098</v>
      </c>
      <c r="L2706" s="3">
        <v>90.2978360435242</v>
      </c>
      <c r="M2706" s="3">
        <v>98.907991531727205</v>
      </c>
      <c r="N2706" s="3">
        <v>108.07255612016699</v>
      </c>
      <c r="O2706" s="3">
        <v>123.19467293879899</v>
      </c>
      <c r="P2706" s="3">
        <v>131.71902178738401</v>
      </c>
    </row>
    <row r="2707" spans="1:16" x14ac:dyDescent="0.3">
      <c r="A2707" s="3" t="str">
        <f t="shared" si="42"/>
        <v>EXT</v>
      </c>
      <c r="C2707" s="3" t="s">
        <v>850</v>
      </c>
      <c r="D2707" s="3" t="s">
        <v>1567</v>
      </c>
      <c r="E2707" s="3" t="s">
        <v>1568</v>
      </c>
      <c r="F2707" s="3" t="s">
        <v>7</v>
      </c>
      <c r="G2707" s="3">
        <v>29.0390070550582</v>
      </c>
      <c r="H2707" s="3">
        <v>29.0390070550582</v>
      </c>
      <c r="I2707" s="3">
        <v>29.0390070550582</v>
      </c>
      <c r="J2707" s="3">
        <v>29.0390070550582</v>
      </c>
      <c r="K2707" s="3">
        <v>30.083542026535099</v>
      </c>
      <c r="L2707" s="3">
        <v>32.730671322955402</v>
      </c>
      <c r="M2707" s="3">
        <v>35.851633924850702</v>
      </c>
      <c r="N2707" s="3">
        <v>39.17355573942929</v>
      </c>
      <c r="O2707" s="3">
        <v>44.654938870907593</v>
      </c>
      <c r="P2707" s="3">
        <v>47.744798746074096</v>
      </c>
    </row>
    <row r="2708" spans="1:16" x14ac:dyDescent="0.3">
      <c r="A2708" s="3" t="str">
        <f t="shared" si="42"/>
        <v>EXT</v>
      </c>
      <c r="C2708" s="3" t="s">
        <v>850</v>
      </c>
      <c r="D2708" s="3" t="s">
        <v>1567</v>
      </c>
      <c r="E2708" s="3" t="s">
        <v>1568</v>
      </c>
      <c r="F2708" s="3" t="s">
        <v>8</v>
      </c>
      <c r="G2708" s="3">
        <v>18.208780065444099</v>
      </c>
      <c r="H2708" s="3">
        <v>18.208780065444099</v>
      </c>
      <c r="I2708" s="3">
        <v>18.208780065444099</v>
      </c>
      <c r="J2708" s="3">
        <v>18.208780065444099</v>
      </c>
      <c r="K2708" s="3">
        <v>18.863751068075999</v>
      </c>
      <c r="L2708" s="3">
        <v>20.523621705936399</v>
      </c>
      <c r="M2708" s="3">
        <v>22.480607408052098</v>
      </c>
      <c r="N2708" s="3">
        <v>24.563603689625296</v>
      </c>
      <c r="O2708" s="3">
        <v>28.000680574047795</v>
      </c>
      <c r="P2708" s="3">
        <v>29.938163449866295</v>
      </c>
    </row>
    <row r="2709" spans="1:16" x14ac:dyDescent="0.3">
      <c r="A2709" s="3" t="str">
        <f t="shared" si="42"/>
        <v>ELC</v>
      </c>
      <c r="C2709" s="3" t="s">
        <v>850</v>
      </c>
      <c r="D2709" s="3" t="s">
        <v>732</v>
      </c>
      <c r="E2709" s="3" t="s">
        <v>1321</v>
      </c>
      <c r="F2709" s="3" t="s">
        <v>0</v>
      </c>
      <c r="G2709" s="3">
        <v>0.37294259199249502</v>
      </c>
    </row>
    <row r="2710" spans="1:16" x14ac:dyDescent="0.3">
      <c r="A2710" s="3" t="str">
        <f t="shared" si="42"/>
        <v>ELC</v>
      </c>
      <c r="C2710" s="3" t="s">
        <v>850</v>
      </c>
      <c r="D2710" s="3" t="s">
        <v>732</v>
      </c>
      <c r="E2710" s="3" t="s">
        <v>1321</v>
      </c>
      <c r="F2710" s="3" t="s">
        <v>1</v>
      </c>
      <c r="G2710" s="3">
        <v>1.02658548253782</v>
      </c>
      <c r="H2710" s="3">
        <v>2.3972825974015</v>
      </c>
    </row>
    <row r="2711" spans="1:16" x14ac:dyDescent="0.3">
      <c r="A2711" s="3" t="str">
        <f t="shared" si="42"/>
        <v>ELC</v>
      </c>
      <c r="C2711" s="3" t="s">
        <v>850</v>
      </c>
      <c r="D2711" s="3" t="s">
        <v>732</v>
      </c>
      <c r="E2711" s="3" t="s">
        <v>1321</v>
      </c>
      <c r="F2711" s="3" t="s">
        <v>2</v>
      </c>
      <c r="G2711" s="3">
        <v>1.7879605422443099</v>
      </c>
      <c r="H2711" s="3">
        <v>3.67330374717957</v>
      </c>
    </row>
    <row r="2712" spans="1:16" x14ac:dyDescent="0.3">
      <c r="A2712" s="3" t="str">
        <f t="shared" si="42"/>
        <v>ELC</v>
      </c>
      <c r="C2712" s="3" t="s">
        <v>850</v>
      </c>
      <c r="D2712" s="3" t="s">
        <v>732</v>
      </c>
      <c r="E2712" s="3" t="s">
        <v>1321</v>
      </c>
      <c r="F2712" s="3" t="s">
        <v>3</v>
      </c>
      <c r="G2712" s="3">
        <v>1.21102818889208</v>
      </c>
      <c r="H2712" s="3">
        <v>2.4880159707626999</v>
      </c>
    </row>
    <row r="2713" spans="1:16" x14ac:dyDescent="0.3">
      <c r="A2713" s="3" t="str">
        <f t="shared" si="42"/>
        <v>ELC</v>
      </c>
      <c r="C2713" s="3" t="s">
        <v>850</v>
      </c>
      <c r="D2713" s="3" t="s">
        <v>732</v>
      </c>
      <c r="E2713" s="3" t="s">
        <v>1321</v>
      </c>
      <c r="F2713" s="3" t="s">
        <v>4</v>
      </c>
      <c r="G2713" s="3">
        <v>0.73448448181904302</v>
      </c>
      <c r="H2713" s="3">
        <v>1.5412435972854801</v>
      </c>
    </row>
    <row r="2714" spans="1:16" x14ac:dyDescent="0.3">
      <c r="A2714" s="3" t="str">
        <f t="shared" si="42"/>
        <v>ELC</v>
      </c>
      <c r="C2714" s="3" t="s">
        <v>850</v>
      </c>
      <c r="D2714" s="3" t="s">
        <v>732</v>
      </c>
      <c r="E2714" s="3" t="s">
        <v>1321</v>
      </c>
      <c r="F2714" s="3" t="s">
        <v>5</v>
      </c>
      <c r="G2714" s="3">
        <v>0.64021021115260501</v>
      </c>
      <c r="H2714" s="3">
        <v>1.3434182930754499</v>
      </c>
      <c r="I2714" s="3">
        <v>1.3434182930754499</v>
      </c>
    </row>
    <row r="2715" spans="1:16" x14ac:dyDescent="0.3">
      <c r="A2715" s="3" t="str">
        <f t="shared" si="42"/>
        <v>ELC</v>
      </c>
      <c r="C2715" s="3" t="s">
        <v>850</v>
      </c>
      <c r="D2715" s="3" t="s">
        <v>732</v>
      </c>
      <c r="E2715" s="3" t="s">
        <v>1321</v>
      </c>
      <c r="F2715" s="3" t="s">
        <v>6</v>
      </c>
      <c r="G2715" s="3">
        <v>2.22409178439203</v>
      </c>
    </row>
    <row r="2716" spans="1:16" x14ac:dyDescent="0.3">
      <c r="A2716" s="3" t="str">
        <f t="shared" si="42"/>
        <v>ELC</v>
      </c>
      <c r="C2716" s="3" t="s">
        <v>850</v>
      </c>
      <c r="D2716" s="3" t="s">
        <v>732</v>
      </c>
      <c r="E2716" s="3" t="s">
        <v>1321</v>
      </c>
      <c r="F2716" s="3" t="s">
        <v>7</v>
      </c>
      <c r="G2716" s="3">
        <v>0.86016527136786403</v>
      </c>
    </row>
    <row r="2717" spans="1:16" x14ac:dyDescent="0.3">
      <c r="A2717" s="3" t="str">
        <f t="shared" si="42"/>
        <v>ELC</v>
      </c>
      <c r="C2717" s="3" t="s">
        <v>850</v>
      </c>
      <c r="D2717" s="3" t="s">
        <v>732</v>
      </c>
      <c r="E2717" s="3" t="s">
        <v>1321</v>
      </c>
      <c r="F2717" s="3" t="s">
        <v>8</v>
      </c>
      <c r="G2717" s="3">
        <v>0.539362803162453</v>
      </c>
    </row>
    <row r="2718" spans="1:16" x14ac:dyDescent="0.3">
      <c r="A2718" s="3" t="str">
        <f t="shared" si="42"/>
        <v>NGA</v>
      </c>
      <c r="C2718" s="3" t="s">
        <v>850</v>
      </c>
      <c r="D2718" s="3" t="s">
        <v>732</v>
      </c>
      <c r="E2718" s="3" t="s">
        <v>1322</v>
      </c>
      <c r="F2718" s="3" t="s">
        <v>0</v>
      </c>
      <c r="G2718" s="3">
        <v>0.49795301370342898</v>
      </c>
      <c r="H2718" s="3">
        <v>0.87089560569592395</v>
      </c>
      <c r="I2718" s="3">
        <v>0.87089560569592195</v>
      </c>
      <c r="J2718" s="3">
        <v>0.87089560569592395</v>
      </c>
      <c r="K2718" s="3">
        <v>0.90222177724615105</v>
      </c>
      <c r="L2718" s="3">
        <v>0.98161062368949803</v>
      </c>
      <c r="M2718" s="3">
        <v>1.07520998851553</v>
      </c>
      <c r="N2718" s="3">
        <v>1.1748362293610499</v>
      </c>
      <c r="O2718" s="3">
        <v>1.3392258888727899</v>
      </c>
      <c r="P2718" s="3">
        <v>1.4318924660183801</v>
      </c>
    </row>
    <row r="2719" spans="1:16" x14ac:dyDescent="0.3">
      <c r="A2719" s="3" t="str">
        <f t="shared" ref="A2719:A2782" si="43">RIGHT(E2719,3)</f>
        <v>NGA</v>
      </c>
      <c r="C2719" s="3" t="s">
        <v>850</v>
      </c>
      <c r="D2719" s="3" t="s">
        <v>732</v>
      </c>
      <c r="E2719" s="3" t="s">
        <v>1322</v>
      </c>
      <c r="F2719" s="3" t="s">
        <v>1</v>
      </c>
      <c r="G2719" s="3">
        <v>1.37069711486368</v>
      </c>
      <c r="I2719" s="3">
        <v>2.3972825974015</v>
      </c>
      <c r="J2719" s="3">
        <v>2.3972825974015</v>
      </c>
      <c r="K2719" s="3">
        <v>2.4835130082675199</v>
      </c>
      <c r="L2719" s="3">
        <v>2.7020437928548802</v>
      </c>
      <c r="M2719" s="3">
        <v>2.9596913535472602</v>
      </c>
      <c r="N2719" s="3">
        <v>3.23392887623248</v>
      </c>
      <c r="O2719" s="3">
        <v>3.6864383014297202</v>
      </c>
      <c r="P2719" s="3">
        <v>3.9415182114659499</v>
      </c>
    </row>
    <row r="2720" spans="1:16" x14ac:dyDescent="0.3">
      <c r="A2720" s="3" t="str">
        <f t="shared" si="43"/>
        <v>NGA</v>
      </c>
      <c r="C2720" s="3" t="s">
        <v>850</v>
      </c>
      <c r="D2720" s="3" t="s">
        <v>732</v>
      </c>
      <c r="E2720" s="3" t="s">
        <v>1322</v>
      </c>
      <c r="F2720" s="3" t="s">
        <v>2</v>
      </c>
      <c r="G2720" s="3">
        <v>1.8853432049352601</v>
      </c>
      <c r="I2720" s="3">
        <v>3.67330374717957</v>
      </c>
      <c r="J2720" s="3">
        <v>3.67330374717957</v>
      </c>
      <c r="K2720" s="3">
        <v>3.8054327217519899</v>
      </c>
      <c r="L2720" s="3">
        <v>4.1402826684245202</v>
      </c>
      <c r="M2720" s="3">
        <v>4.5350703964832997</v>
      </c>
      <c r="N2720" s="3">
        <v>4.9552785608393801</v>
      </c>
      <c r="O2720" s="3">
        <v>5.6486488664565799</v>
      </c>
      <c r="P2720" s="3">
        <v>6.0395022395140696</v>
      </c>
    </row>
    <row r="2721" spans="1:16" x14ac:dyDescent="0.3">
      <c r="A2721" s="3" t="str">
        <f t="shared" si="43"/>
        <v>NGA</v>
      </c>
      <c r="C2721" s="3" t="s">
        <v>850</v>
      </c>
      <c r="D2721" s="3" t="s">
        <v>732</v>
      </c>
      <c r="E2721" s="3" t="s">
        <v>1322</v>
      </c>
      <c r="F2721" s="3" t="s">
        <v>3</v>
      </c>
      <c r="G2721" s="3">
        <v>1.2769877818706199</v>
      </c>
      <c r="I2721" s="3">
        <v>2.4880159707626999</v>
      </c>
      <c r="J2721" s="3">
        <v>2.4880159707626999</v>
      </c>
      <c r="K2721" s="3">
        <v>2.5775100669667101</v>
      </c>
      <c r="L2721" s="3">
        <v>2.8043118978172101</v>
      </c>
      <c r="M2721" s="3">
        <v>3.0717110131845402</v>
      </c>
      <c r="N2721" s="3">
        <v>3.3563279944961302</v>
      </c>
      <c r="O2721" s="3">
        <v>3.8259641892575398</v>
      </c>
      <c r="P2721" s="3">
        <v>4.0906984724324902</v>
      </c>
    </row>
    <row r="2722" spans="1:16" x14ac:dyDescent="0.3">
      <c r="A2722" s="3" t="str">
        <f t="shared" si="43"/>
        <v>NGA</v>
      </c>
      <c r="C2722" s="3" t="s">
        <v>850</v>
      </c>
      <c r="D2722" s="3" t="s">
        <v>732</v>
      </c>
      <c r="E2722" s="3" t="s">
        <v>1322</v>
      </c>
      <c r="F2722" s="3" t="s">
        <v>4</v>
      </c>
      <c r="G2722" s="3">
        <v>0.80675911546643997</v>
      </c>
      <c r="I2722" s="3">
        <v>1.5412435972854801</v>
      </c>
      <c r="J2722" s="3">
        <v>1.5412435972854801</v>
      </c>
      <c r="K2722" s="3">
        <v>1.59668222966975</v>
      </c>
      <c r="L2722" s="3">
        <v>1.73717846191209</v>
      </c>
      <c r="M2722" s="3">
        <v>1.90282336906813</v>
      </c>
      <c r="N2722" s="3">
        <v>2.0791341746578298</v>
      </c>
      <c r="O2722" s="3">
        <v>2.3700582630621598</v>
      </c>
      <c r="P2722" s="3">
        <v>2.5340523948201898</v>
      </c>
    </row>
    <row r="2723" spans="1:16" x14ac:dyDescent="0.3">
      <c r="A2723" s="3" t="str">
        <f t="shared" si="43"/>
        <v>NGA</v>
      </c>
      <c r="C2723" s="3" t="s">
        <v>850</v>
      </c>
      <c r="D2723" s="3" t="s">
        <v>732</v>
      </c>
      <c r="E2723" s="3" t="s">
        <v>1322</v>
      </c>
      <c r="F2723" s="3" t="s">
        <v>5</v>
      </c>
      <c r="G2723" s="3">
        <v>0.70320808192284001</v>
      </c>
      <c r="J2723" s="3">
        <v>1.3434182930754499</v>
      </c>
      <c r="K2723" s="3">
        <v>1.3917411364074701</v>
      </c>
      <c r="L2723" s="3">
        <v>1.5142040675333199</v>
      </c>
      <c r="M2723" s="3">
        <v>1.65858773201059</v>
      </c>
      <c r="N2723" s="3">
        <v>1.81226828057102</v>
      </c>
      <c r="O2723" s="3">
        <v>2.0658509997122501</v>
      </c>
      <c r="P2723" s="3">
        <v>2.2087957729776702</v>
      </c>
    </row>
    <row r="2724" spans="1:16" x14ac:dyDescent="0.3">
      <c r="A2724" s="3" t="str">
        <f t="shared" si="43"/>
        <v>NGA</v>
      </c>
      <c r="C2724" s="3" t="s">
        <v>850</v>
      </c>
      <c r="D2724" s="3" t="s">
        <v>732</v>
      </c>
      <c r="E2724" s="3" t="s">
        <v>1322</v>
      </c>
      <c r="F2724" s="3" t="s">
        <v>6</v>
      </c>
      <c r="G2724" s="3">
        <v>2.44294653611805</v>
      </c>
      <c r="H2724" s="3">
        <v>4.6670383205100796</v>
      </c>
      <c r="I2724" s="3">
        <v>4.6670383205100796</v>
      </c>
      <c r="J2724" s="3">
        <v>4.6670383205100698</v>
      </c>
      <c r="K2724" s="3">
        <v>4.8349119922837902</v>
      </c>
      <c r="L2724" s="3">
        <v>5.2603485040183102</v>
      </c>
      <c r="M2724" s="3">
        <v>5.7619376951468997</v>
      </c>
      <c r="N2724" s="3">
        <v>6.29582428352031</v>
      </c>
      <c r="O2724" s="3">
        <v>7.1767712482531003</v>
      </c>
      <c r="P2724" s="3">
        <v>7.6733617279160899</v>
      </c>
    </row>
    <row r="2725" spans="1:16" x14ac:dyDescent="0.3">
      <c r="A2725" s="3" t="str">
        <f t="shared" si="43"/>
        <v>NGA</v>
      </c>
      <c r="C2725" s="3" t="s">
        <v>850</v>
      </c>
      <c r="D2725" s="3" t="s">
        <v>732</v>
      </c>
      <c r="E2725" s="3" t="s">
        <v>1322</v>
      </c>
      <c r="F2725" s="3" t="s">
        <v>7</v>
      </c>
      <c r="G2725" s="3">
        <v>0.88345601535384399</v>
      </c>
      <c r="H2725" s="3">
        <v>1.74362128672171</v>
      </c>
      <c r="I2725" s="3">
        <v>1.74362128672171</v>
      </c>
      <c r="J2725" s="3">
        <v>1.74362128672171</v>
      </c>
      <c r="K2725" s="3">
        <v>1.8063394577507399</v>
      </c>
      <c r="L2725" s="3">
        <v>1.96528397610813</v>
      </c>
      <c r="M2725" s="3">
        <v>2.1526793928112302</v>
      </c>
      <c r="N2725" s="3">
        <v>2.3521412262596901</v>
      </c>
      <c r="O2725" s="3">
        <v>2.6812659890520898</v>
      </c>
      <c r="P2725" s="3">
        <v>2.8667938702607199</v>
      </c>
    </row>
    <row r="2726" spans="1:16" x14ac:dyDescent="0.3">
      <c r="A2726" s="3" t="str">
        <f t="shared" si="43"/>
        <v>NGA</v>
      </c>
      <c r="C2726" s="3" t="s">
        <v>850</v>
      </c>
      <c r="D2726" s="3" t="s">
        <v>732</v>
      </c>
      <c r="E2726" s="3" t="s">
        <v>1322</v>
      </c>
      <c r="F2726" s="3" t="s">
        <v>8</v>
      </c>
      <c r="G2726" s="3">
        <v>0.55396716046700101</v>
      </c>
      <c r="H2726" s="3">
        <v>1.09332996362945</v>
      </c>
      <c r="I2726" s="3">
        <v>1.09332996362945</v>
      </c>
      <c r="J2726" s="3">
        <v>1.09332996362945</v>
      </c>
      <c r="K2726" s="3">
        <v>1.1326571134940899</v>
      </c>
      <c r="L2726" s="3">
        <v>1.2323225659625701</v>
      </c>
      <c r="M2726" s="3">
        <v>1.3498280275490899</v>
      </c>
      <c r="N2726" s="3">
        <v>1.47489968202498</v>
      </c>
      <c r="O2726" s="3">
        <v>1.68127589896709</v>
      </c>
      <c r="P2726" s="3">
        <v>1.79761033073781</v>
      </c>
    </row>
    <row r="2727" spans="1:16" x14ac:dyDescent="0.3">
      <c r="A2727" s="3" t="str">
        <f t="shared" si="43"/>
        <v>NGA</v>
      </c>
      <c r="C2727" s="3" t="s">
        <v>850</v>
      </c>
      <c r="D2727" s="3" t="s">
        <v>1260</v>
      </c>
      <c r="E2727" s="3" t="s">
        <v>1314</v>
      </c>
      <c r="F2727" s="3" t="s">
        <v>6</v>
      </c>
      <c r="G2727" s="3">
        <v>1.0462871255071799</v>
      </c>
      <c r="H2727" s="3">
        <v>1.0462871255071799</v>
      </c>
      <c r="I2727" s="3">
        <v>1.0462871255071799</v>
      </c>
      <c r="J2727" s="3">
        <v>1.0462871255071799</v>
      </c>
      <c r="K2727" s="3">
        <v>1.0462871255071799</v>
      </c>
      <c r="L2727" s="3">
        <v>1.0462871255071799</v>
      </c>
    </row>
    <row r="2728" spans="1:16" x14ac:dyDescent="0.3">
      <c r="A2728" s="3" t="str">
        <f t="shared" si="43"/>
        <v>NGA</v>
      </c>
      <c r="C2728" s="3" t="s">
        <v>850</v>
      </c>
      <c r="D2728" s="3" t="s">
        <v>1260</v>
      </c>
      <c r="E2728" s="3" t="s">
        <v>1316</v>
      </c>
      <c r="F2728" s="3" t="s">
        <v>6</v>
      </c>
      <c r="G2728" s="3">
        <v>1.0369331320462E-2</v>
      </c>
      <c r="H2728" s="3">
        <v>1.0369331320462E-2</v>
      </c>
      <c r="I2728" s="3">
        <v>1.0369331320462E-2</v>
      </c>
      <c r="J2728" s="3">
        <v>1.0369331320462E-2</v>
      </c>
      <c r="K2728" s="3">
        <v>4.8377332761441502E-2</v>
      </c>
      <c r="L2728" s="3">
        <v>0.14469971244256261</v>
      </c>
    </row>
    <row r="2729" spans="1:16" x14ac:dyDescent="0.3">
      <c r="A2729" s="3" t="str">
        <f t="shared" si="43"/>
        <v>NGA</v>
      </c>
      <c r="C2729" s="3" t="s">
        <v>850</v>
      </c>
      <c r="D2729" s="3" t="s">
        <v>1260</v>
      </c>
      <c r="E2729" s="3" t="s">
        <v>1317</v>
      </c>
      <c r="F2729" s="3" t="s">
        <v>4</v>
      </c>
      <c r="M2729" s="3">
        <v>1.6363894325102699</v>
      </c>
      <c r="N2729" s="3">
        <v>1.6363894325102699</v>
      </c>
      <c r="O2729" s="3">
        <v>1.6363894325102699</v>
      </c>
      <c r="P2729" s="3">
        <v>1.6363894325102699</v>
      </c>
    </row>
    <row r="2730" spans="1:16" x14ac:dyDescent="0.3">
      <c r="A2730" s="3" t="str">
        <f t="shared" si="43"/>
        <v>NGA</v>
      </c>
      <c r="C2730" s="3" t="s">
        <v>850</v>
      </c>
      <c r="D2730" s="3" t="s">
        <v>1260</v>
      </c>
      <c r="E2730" s="3" t="s">
        <v>1317</v>
      </c>
      <c r="F2730" s="3" t="s">
        <v>6</v>
      </c>
      <c r="M2730" s="3">
        <v>1.3045508203048499</v>
      </c>
      <c r="N2730" s="3">
        <v>4.9551493367135597</v>
      </c>
      <c r="O2730" s="3">
        <v>4.9551493367135597</v>
      </c>
      <c r="P2730" s="3">
        <v>4.9551493367135597</v>
      </c>
    </row>
    <row r="2731" spans="1:16" x14ac:dyDescent="0.3">
      <c r="A2731" s="3" t="str">
        <f t="shared" si="43"/>
        <v>NGA</v>
      </c>
      <c r="C2731" s="3" t="s">
        <v>850</v>
      </c>
      <c r="D2731" s="3" t="s">
        <v>1260</v>
      </c>
      <c r="E2731" s="3" t="s">
        <v>1317</v>
      </c>
      <c r="F2731" s="3" t="s">
        <v>8</v>
      </c>
      <c r="O2731" s="3">
        <v>1.20166948823516</v>
      </c>
      <c r="P2731" s="3">
        <v>1.20166948823516</v>
      </c>
    </row>
    <row r="2732" spans="1:16" x14ac:dyDescent="0.3">
      <c r="A2732" s="3" t="str">
        <f t="shared" si="43"/>
        <v>ELC</v>
      </c>
      <c r="C2732" s="3" t="s">
        <v>850</v>
      </c>
      <c r="D2732" s="3" t="s">
        <v>1320</v>
      </c>
      <c r="E2732" s="3" t="s">
        <v>1319</v>
      </c>
      <c r="F2732" s="3" t="s">
        <v>0</v>
      </c>
      <c r="G2732" s="3">
        <v>0.95899523655213303</v>
      </c>
      <c r="H2732" s="3">
        <v>0.95899523655213292</v>
      </c>
      <c r="I2732" s="3">
        <v>0.95899523655213292</v>
      </c>
      <c r="J2732" s="3">
        <v>0.95899523655213292</v>
      </c>
      <c r="K2732" s="3">
        <v>0.99349035755125592</v>
      </c>
      <c r="L2732" s="3">
        <v>1.080910164330164</v>
      </c>
      <c r="M2732" s="3">
        <v>1.1839780227800181</v>
      </c>
      <c r="N2732" s="3">
        <v>1.2936824348606177</v>
      </c>
      <c r="O2732" s="3">
        <v>1.4747017205007271</v>
      </c>
      <c r="P2732" s="3">
        <v>1.5767424306489839</v>
      </c>
    </row>
    <row r="2733" spans="1:16" x14ac:dyDescent="0.3">
      <c r="A2733" s="3" t="str">
        <f t="shared" si="43"/>
        <v>ELC</v>
      </c>
      <c r="C2733" s="3" t="s">
        <v>850</v>
      </c>
      <c r="D2733" s="3" t="s">
        <v>1320</v>
      </c>
      <c r="E2733" s="3" t="s">
        <v>1319</v>
      </c>
      <c r="F2733" s="3" t="s">
        <v>1</v>
      </c>
      <c r="G2733" s="3">
        <v>2.6397912408115398</v>
      </c>
      <c r="H2733" s="3">
        <v>2.6397912408115358</v>
      </c>
      <c r="I2733" s="3">
        <v>2.6397912408115438</v>
      </c>
      <c r="J2733" s="3">
        <v>2.639791240811538</v>
      </c>
      <c r="K2733" s="3">
        <v>2.7347447033455063</v>
      </c>
      <c r="L2733" s="3">
        <v>2.9753820197915051</v>
      </c>
      <c r="M2733" s="3">
        <v>3.259093157839819</v>
      </c>
      <c r="N2733" s="3">
        <v>3.561072495224157</v>
      </c>
      <c r="O2733" s="3">
        <v>4.059357686263013</v>
      </c>
      <c r="P2733" s="3">
        <v>4.340241430611937</v>
      </c>
    </row>
    <row r="2734" spans="1:16" x14ac:dyDescent="0.3">
      <c r="A2734" s="3" t="str">
        <f t="shared" si="43"/>
        <v>ELC</v>
      </c>
      <c r="C2734" s="3" t="s">
        <v>850</v>
      </c>
      <c r="D2734" s="3" t="s">
        <v>1320</v>
      </c>
      <c r="E2734" s="3" t="s">
        <v>1319</v>
      </c>
      <c r="F2734" s="3" t="s">
        <v>2</v>
      </c>
      <c r="G2734" s="3">
        <v>4.5976128229139404</v>
      </c>
      <c r="H2734" s="3">
        <v>4.5976128229139368</v>
      </c>
      <c r="I2734" s="3">
        <v>4.5976128229139404</v>
      </c>
      <c r="J2734" s="3">
        <v>4.5976128229139404</v>
      </c>
      <c r="K2734" s="3">
        <v>4.7629892550260582</v>
      </c>
      <c r="L2734" s="3">
        <v>5.182097097593048</v>
      </c>
      <c r="M2734" s="3">
        <v>5.6762247945595075</v>
      </c>
      <c r="N2734" s="3">
        <v>6.2021694421318871</v>
      </c>
      <c r="O2734" s="3">
        <v>7.0700116973717684</v>
      </c>
      <c r="P2734" s="3">
        <v>7.5592150422429985</v>
      </c>
    </row>
    <row r="2735" spans="1:16" x14ac:dyDescent="0.3">
      <c r="A2735" s="3" t="str">
        <f t="shared" si="43"/>
        <v>ELC</v>
      </c>
      <c r="C2735" s="3" t="s">
        <v>850</v>
      </c>
      <c r="D2735" s="3" t="s">
        <v>1320</v>
      </c>
      <c r="E2735" s="3" t="s">
        <v>1319</v>
      </c>
      <c r="F2735" s="3" t="s">
        <v>3</v>
      </c>
      <c r="G2735" s="3">
        <v>3.1140724857225099</v>
      </c>
      <c r="H2735" s="3">
        <v>3.1140724857225037</v>
      </c>
      <c r="I2735" s="3">
        <v>3.1140724857225042</v>
      </c>
      <c r="J2735" s="3">
        <v>3.1140724857225037</v>
      </c>
      <c r="K2735" s="3">
        <v>3.2260858754669872</v>
      </c>
      <c r="L2735" s="3">
        <v>3.5099575826676785</v>
      </c>
      <c r="M2735" s="3">
        <v>3.8446420210544261</v>
      </c>
      <c r="N2735" s="3">
        <v>4.2008768366211955</v>
      </c>
      <c r="O2735" s="3">
        <v>4.788687031407683</v>
      </c>
      <c r="P2735" s="3">
        <v>5.1200360890304308</v>
      </c>
    </row>
    <row r="2736" spans="1:16" x14ac:dyDescent="0.3">
      <c r="A2736" s="3" t="str">
        <f t="shared" si="43"/>
        <v>ELC</v>
      </c>
      <c r="C2736" s="3" t="s">
        <v>850</v>
      </c>
      <c r="D2736" s="3" t="s">
        <v>1320</v>
      </c>
      <c r="E2736" s="3" t="s">
        <v>1319</v>
      </c>
      <c r="F2736" s="3" t="s">
        <v>4</v>
      </c>
      <c r="G2736" s="3">
        <v>1.8886743818203899</v>
      </c>
      <c r="H2736" s="3">
        <v>1.8886743818203904</v>
      </c>
      <c r="I2736" s="3">
        <v>1.8886743818203973</v>
      </c>
      <c r="J2736" s="3">
        <v>1.8886743818203904</v>
      </c>
      <c r="K2736" s="3">
        <v>1.9566101221094301</v>
      </c>
      <c r="L2736" s="3">
        <v>2.1287773480078864</v>
      </c>
      <c r="M2736" s="3">
        <v>2.3317623227228705</v>
      </c>
      <c r="N2736" s="3">
        <v>2.5478175279752198</v>
      </c>
      <c r="O2736" s="3">
        <v>2.9043224138942518</v>
      </c>
      <c r="P2736" s="3">
        <v>3.1052844915085798</v>
      </c>
    </row>
    <row r="2737" spans="1:16" x14ac:dyDescent="0.3">
      <c r="A2737" s="3" t="str">
        <f t="shared" si="43"/>
        <v>ELC</v>
      </c>
      <c r="C2737" s="3" t="s">
        <v>850</v>
      </c>
      <c r="D2737" s="3" t="s">
        <v>1320</v>
      </c>
      <c r="E2737" s="3" t="s">
        <v>1319</v>
      </c>
      <c r="F2737" s="3" t="s">
        <v>5</v>
      </c>
      <c r="G2737" s="3">
        <v>1.64625482867813</v>
      </c>
      <c r="H2737" s="3">
        <v>1.6462548286781256</v>
      </c>
      <c r="I2737" s="3">
        <v>1.6462548286781256</v>
      </c>
      <c r="J2737" s="3">
        <v>1.6462548286781236</v>
      </c>
      <c r="K2737" s="3">
        <v>1.7054707218819385</v>
      </c>
      <c r="L2737" s="3">
        <v>1.8555395371862824</v>
      </c>
      <c r="M2737" s="3">
        <v>2.0324705095074975</v>
      </c>
      <c r="N2737" s="3">
        <v>2.2207940915560345</v>
      </c>
      <c r="O2737" s="3">
        <v>2.5315400282515221</v>
      </c>
      <c r="P2737" s="3">
        <v>2.706707751093667</v>
      </c>
    </row>
    <row r="2738" spans="1:16" x14ac:dyDescent="0.3">
      <c r="A2738" s="3" t="str">
        <f t="shared" si="43"/>
        <v>ELC</v>
      </c>
      <c r="C2738" s="3" t="s">
        <v>850</v>
      </c>
      <c r="D2738" s="3" t="s">
        <v>1320</v>
      </c>
      <c r="E2738" s="3" t="s">
        <v>1319</v>
      </c>
      <c r="F2738" s="3" t="s">
        <v>6</v>
      </c>
      <c r="G2738" s="3">
        <v>5.7190931598652197</v>
      </c>
      <c r="H2738" s="3">
        <v>5.7190931598652144</v>
      </c>
      <c r="I2738" s="3">
        <v>5.7190931598652099</v>
      </c>
      <c r="J2738" s="3">
        <v>5.7190931598652073</v>
      </c>
      <c r="K2738" s="3">
        <v>5.9248093126002876</v>
      </c>
      <c r="L2738" s="3">
        <v>6.446148731118698</v>
      </c>
      <c r="M2738" s="3">
        <v>7.0608073465063557</v>
      </c>
      <c r="N2738" s="3">
        <v>7.7150439149724175</v>
      </c>
      <c r="O2738" s="3">
        <v>8.7945760323895783</v>
      </c>
      <c r="P2738" s="3">
        <v>9.4031091149258401</v>
      </c>
    </row>
    <row r="2739" spans="1:16" x14ac:dyDescent="0.3">
      <c r="A2739" s="3" t="str">
        <f t="shared" si="43"/>
        <v>ELC</v>
      </c>
      <c r="C2739" s="3" t="s">
        <v>850</v>
      </c>
      <c r="D2739" s="3" t="s">
        <v>1320</v>
      </c>
      <c r="E2739" s="3" t="s">
        <v>1319</v>
      </c>
      <c r="F2739" s="3" t="s">
        <v>7</v>
      </c>
      <c r="G2739" s="3">
        <v>2.2118535549459399</v>
      </c>
      <c r="H2739" s="3">
        <v>2.2118535549459359</v>
      </c>
      <c r="I2739" s="3">
        <v>2.2118535549459311</v>
      </c>
      <c r="J2739" s="3">
        <v>2.2118535549459382</v>
      </c>
      <c r="K2739" s="3">
        <v>2.2914140711008448</v>
      </c>
      <c r="L2739" s="3">
        <v>2.4930415693685211</v>
      </c>
      <c r="M2739" s="3">
        <v>2.7307601736158054</v>
      </c>
      <c r="N2739" s="3">
        <v>2.9837855115998826</v>
      </c>
      <c r="O2739" s="3">
        <v>3.401293477433347</v>
      </c>
      <c r="P2739" s="3">
        <v>3.6366430379818144</v>
      </c>
    </row>
    <row r="2740" spans="1:16" x14ac:dyDescent="0.3">
      <c r="A2740" s="3" t="str">
        <f t="shared" si="43"/>
        <v>ELC</v>
      </c>
      <c r="C2740" s="3" t="s">
        <v>850</v>
      </c>
      <c r="D2740" s="3" t="s">
        <v>1320</v>
      </c>
      <c r="E2740" s="3" t="s">
        <v>1319</v>
      </c>
      <c r="F2740" s="3" t="s">
        <v>8</v>
      </c>
      <c r="G2740" s="3">
        <v>1.38693292241774</v>
      </c>
      <c r="H2740" s="3">
        <v>1.3869329224177416</v>
      </c>
      <c r="I2740" s="3">
        <v>1.3869329224177405</v>
      </c>
      <c r="J2740" s="3">
        <v>1.3869329224177365</v>
      </c>
      <c r="K2740" s="3">
        <v>1.4368209897959054</v>
      </c>
      <c r="L2740" s="3">
        <v>1.5632506147531544</v>
      </c>
      <c r="M2740" s="3">
        <v>1.7123110070040315</v>
      </c>
      <c r="N2740" s="3">
        <v>1.8709694184848855</v>
      </c>
      <c r="O2740" s="3">
        <v>2.1327659293303958</v>
      </c>
      <c r="P2740" s="3">
        <v>2.2803408232791038</v>
      </c>
    </row>
    <row r="2741" spans="1:16" x14ac:dyDescent="0.3">
      <c r="A2741" s="3" t="str">
        <f t="shared" si="43"/>
        <v>COA</v>
      </c>
      <c r="C2741" s="3" t="s">
        <v>850</v>
      </c>
      <c r="D2741" s="3" t="s">
        <v>762</v>
      </c>
      <c r="E2741" s="3" t="s">
        <v>1328</v>
      </c>
      <c r="F2741" s="3" t="s">
        <v>0</v>
      </c>
      <c r="G2741" s="3">
        <v>1.1978111130725101E-2</v>
      </c>
      <c r="H2741" s="3">
        <v>3.1642393776703002</v>
      </c>
      <c r="I2741" s="3">
        <v>3.1642393776703002</v>
      </c>
      <c r="J2741" s="3">
        <v>3.1642393776703002</v>
      </c>
      <c r="K2741" s="3">
        <v>3.2780572737793099</v>
      </c>
      <c r="L2741" s="3">
        <v>3.5665020798167899</v>
      </c>
      <c r="M2741" s="3">
        <v>3.9065781968282902</v>
      </c>
      <c r="N2741" s="3">
        <v>4.2685518619506002</v>
      </c>
      <c r="O2741" s="3">
        <v>4.8658315249857598</v>
      </c>
      <c r="P2741" s="3">
        <v>5.2025185291229299</v>
      </c>
    </row>
    <row r="2742" spans="1:16" x14ac:dyDescent="0.3">
      <c r="A2742" s="3" t="str">
        <f t="shared" si="43"/>
        <v>COA</v>
      </c>
      <c r="C2742" s="3" t="s">
        <v>850</v>
      </c>
      <c r="D2742" s="3" t="s">
        <v>762</v>
      </c>
      <c r="E2742" s="3" t="s">
        <v>1328</v>
      </c>
      <c r="F2742" s="3" t="s">
        <v>1</v>
      </c>
      <c r="G2742" s="3">
        <v>3.2971710013948899E-2</v>
      </c>
      <c r="H2742" s="3">
        <v>8.7100864265355895</v>
      </c>
      <c r="I2742" s="3">
        <v>8.7100864265355895</v>
      </c>
      <c r="J2742" s="3">
        <v>8.7100864265355895</v>
      </c>
      <c r="K2742" s="3">
        <v>9.0233888015049803</v>
      </c>
      <c r="L2742" s="3">
        <v>9.8173803078370891</v>
      </c>
      <c r="M2742" s="3">
        <v>10.753495442385301</v>
      </c>
      <c r="N2742" s="3">
        <v>11.7498871596474</v>
      </c>
      <c r="O2742" s="3">
        <v>13.393997122553801</v>
      </c>
      <c r="P2742" s="3">
        <v>14.3207831695959</v>
      </c>
    </row>
    <row r="2743" spans="1:16" x14ac:dyDescent="0.3">
      <c r="A2743" s="3" t="str">
        <f t="shared" si="43"/>
        <v>COA</v>
      </c>
      <c r="C2743" s="3" t="s">
        <v>850</v>
      </c>
      <c r="D2743" s="3" t="s">
        <v>762</v>
      </c>
      <c r="E2743" s="3" t="s">
        <v>1328</v>
      </c>
      <c r="F2743" s="3" t="s">
        <v>2</v>
      </c>
      <c r="G2743" s="3">
        <v>4.7912533531610901E-2</v>
      </c>
      <c r="H2743" s="3">
        <v>12.6417706596709</v>
      </c>
      <c r="I2743" s="3">
        <v>12.6417706596709</v>
      </c>
      <c r="J2743" s="3">
        <v>12.6417706596709</v>
      </c>
      <c r="K2743" s="3">
        <v>13.0964959720888</v>
      </c>
      <c r="L2743" s="3">
        <v>14.2488907977243</v>
      </c>
      <c r="M2743" s="3">
        <v>15.607563061406101</v>
      </c>
      <c r="N2743" s="3">
        <v>17.053720419666998</v>
      </c>
      <c r="O2743" s="3">
        <v>19.439972412187</v>
      </c>
      <c r="P2743" s="3">
        <v>20.785104490508999</v>
      </c>
    </row>
    <row r="2744" spans="1:16" x14ac:dyDescent="0.3">
      <c r="A2744" s="3" t="str">
        <f t="shared" si="43"/>
        <v>COA</v>
      </c>
      <c r="C2744" s="3" t="s">
        <v>850</v>
      </c>
      <c r="D2744" s="3" t="s">
        <v>762</v>
      </c>
      <c r="E2744" s="3" t="s">
        <v>1328</v>
      </c>
      <c r="F2744" s="3" t="s">
        <v>3</v>
      </c>
      <c r="G2744" s="3">
        <v>3.2452298211897303E-2</v>
      </c>
      <c r="H2744" s="3">
        <v>8.5625718603125698</v>
      </c>
      <c r="I2744" s="3">
        <v>8.5625718603125698</v>
      </c>
      <c r="J2744" s="3">
        <v>8.5625718603125698</v>
      </c>
      <c r="K2744" s="3">
        <v>8.8705681267455994</v>
      </c>
      <c r="L2744" s="3">
        <v>9.6511125434731202</v>
      </c>
      <c r="M2744" s="3">
        <v>10.571373573797199</v>
      </c>
      <c r="N2744" s="3">
        <v>11.550890338876</v>
      </c>
      <c r="O2744" s="3">
        <v>13.167155553048</v>
      </c>
      <c r="P2744" s="3">
        <v>14.078245493873</v>
      </c>
    </row>
    <row r="2745" spans="1:16" x14ac:dyDescent="0.3">
      <c r="A2745" s="3" t="str">
        <f t="shared" si="43"/>
        <v>COA</v>
      </c>
      <c r="C2745" s="3" t="s">
        <v>850</v>
      </c>
      <c r="D2745" s="3" t="s">
        <v>762</v>
      </c>
      <c r="E2745" s="3" t="s">
        <v>1328</v>
      </c>
      <c r="F2745" s="3" t="s">
        <v>4</v>
      </c>
      <c r="G2745" s="3">
        <v>2.0293802654030801E-2</v>
      </c>
      <c r="H2745" s="3">
        <v>5.3557124993928404</v>
      </c>
      <c r="J2745" s="3">
        <v>5.3557124993928404</v>
      </c>
      <c r="K2745" s="3">
        <v>5.5483578261488598</v>
      </c>
      <c r="L2745" s="3">
        <v>6.0365722968938904</v>
      </c>
      <c r="M2745" s="3">
        <v>6.6121766343774899</v>
      </c>
      <c r="N2745" s="3">
        <v>7.2248442145951097</v>
      </c>
      <c r="O2745" s="3">
        <v>8.2357848468129706</v>
      </c>
      <c r="P2745" s="3">
        <v>8.8056528565360708</v>
      </c>
    </row>
    <row r="2746" spans="1:16" x14ac:dyDescent="0.3">
      <c r="A2746" s="3" t="str">
        <f t="shared" si="43"/>
        <v>COA</v>
      </c>
      <c r="C2746" s="3" t="s">
        <v>850</v>
      </c>
      <c r="D2746" s="3" t="s">
        <v>762</v>
      </c>
      <c r="E2746" s="3" t="s">
        <v>1328</v>
      </c>
      <c r="F2746" s="3" t="s">
        <v>5</v>
      </c>
      <c r="G2746" s="3">
        <v>1.7689005014849799E-2</v>
      </c>
      <c r="H2746" s="3">
        <v>4.6682835580367001</v>
      </c>
      <c r="J2746" s="3">
        <v>4.6682835580367001</v>
      </c>
      <c r="K2746" s="3">
        <v>4.8362020210852004</v>
      </c>
      <c r="L2746" s="3">
        <v>5.2617520458172997</v>
      </c>
      <c r="M2746" s="3">
        <v>5.76347506864834</v>
      </c>
      <c r="N2746" s="3">
        <v>6.29750410616598</v>
      </c>
      <c r="O2746" s="3">
        <v>7.17868612108348</v>
      </c>
      <c r="P2746" s="3">
        <v>7.6754090987158801</v>
      </c>
    </row>
    <row r="2747" spans="1:16" x14ac:dyDescent="0.3">
      <c r="A2747" s="3" t="str">
        <f t="shared" si="43"/>
        <v>COA</v>
      </c>
      <c r="C2747" s="3" t="s">
        <v>850</v>
      </c>
      <c r="D2747" s="3" t="s">
        <v>762</v>
      </c>
      <c r="E2747" s="3" t="s">
        <v>1328</v>
      </c>
      <c r="F2747" s="3" t="s">
        <v>6</v>
      </c>
      <c r="G2747" s="3">
        <v>6.1451645166307502E-2</v>
      </c>
      <c r="H2747" s="3">
        <v>16.217628097417101</v>
      </c>
      <c r="J2747" s="3">
        <v>16.217628097417101</v>
      </c>
      <c r="K2747" s="3">
        <v>16.800977234322499</v>
      </c>
      <c r="L2747" s="3">
        <v>18.279339024507799</v>
      </c>
      <c r="M2747" s="3">
        <v>20.022325989851399</v>
      </c>
      <c r="N2747" s="3">
        <v>21.877544126455899</v>
      </c>
      <c r="O2747" s="3">
        <v>24.938772525802602</v>
      </c>
      <c r="P2747" s="3">
        <v>26.6643893223264</v>
      </c>
    </row>
    <row r="2748" spans="1:16" x14ac:dyDescent="0.3">
      <c r="A2748" s="3" t="str">
        <f t="shared" si="43"/>
        <v>COA</v>
      </c>
      <c r="C2748" s="3" t="s">
        <v>850</v>
      </c>
      <c r="D2748" s="3" t="s">
        <v>762</v>
      </c>
      <c r="E2748" s="3" t="s">
        <v>1328</v>
      </c>
      <c r="F2748" s="3" t="s">
        <v>7</v>
      </c>
      <c r="G2748" s="3">
        <v>2.26036243774136E-2</v>
      </c>
      <c r="H2748" s="3">
        <v>5.9631336136690001</v>
      </c>
      <c r="I2748" s="3">
        <v>5.9631336136690001</v>
      </c>
      <c r="J2748" s="3">
        <v>5.9631336136690001</v>
      </c>
      <c r="K2748" s="3">
        <v>6.1776279173914697</v>
      </c>
      <c r="L2748" s="3">
        <v>6.7212135040915602</v>
      </c>
      <c r="M2748" s="3">
        <v>7.3621003279102801</v>
      </c>
      <c r="N2748" s="3">
        <v>8.0442539427682505</v>
      </c>
      <c r="O2748" s="3">
        <v>9.1698509695103496</v>
      </c>
      <c r="P2748" s="3">
        <v>9.8043508767626193</v>
      </c>
    </row>
    <row r="2749" spans="1:16" x14ac:dyDescent="0.3">
      <c r="A2749" s="3" t="str">
        <f t="shared" si="43"/>
        <v>COA</v>
      </c>
      <c r="C2749" s="3" t="s">
        <v>850</v>
      </c>
      <c r="D2749" s="3" t="s">
        <v>762</v>
      </c>
      <c r="E2749" s="3" t="s">
        <v>1328</v>
      </c>
      <c r="F2749" s="3" t="s">
        <v>8</v>
      </c>
      <c r="G2749" s="3">
        <v>1.4173502013683399E-2</v>
      </c>
      <c r="H2749" s="3">
        <v>3.7391563790829498</v>
      </c>
      <c r="J2749" s="3">
        <v>3.7391563790829498</v>
      </c>
      <c r="K2749" s="3">
        <v>3.8736540771057402</v>
      </c>
      <c r="L2749" s="3">
        <v>4.2145069987018804</v>
      </c>
      <c r="M2749" s="3">
        <v>4.61637222775843</v>
      </c>
      <c r="N2749" s="3">
        <v>5.0441136143783698</v>
      </c>
      <c r="O2749" s="3">
        <v>5.7499142178013596</v>
      </c>
      <c r="P2749" s="3">
        <v>6.1477745592653701</v>
      </c>
    </row>
    <row r="2750" spans="1:16" x14ac:dyDescent="0.3">
      <c r="A2750" s="3" t="str">
        <f t="shared" si="43"/>
        <v>DST</v>
      </c>
      <c r="C2750" s="3" t="s">
        <v>850</v>
      </c>
      <c r="D2750" s="3" t="s">
        <v>762</v>
      </c>
      <c r="E2750" s="3" t="s">
        <v>1324</v>
      </c>
      <c r="F2750" s="3" t="s">
        <v>0</v>
      </c>
      <c r="G2750" s="3">
        <v>1.38685834555787</v>
      </c>
    </row>
    <row r="2751" spans="1:16" x14ac:dyDescent="0.3">
      <c r="A2751" s="3" t="str">
        <f t="shared" si="43"/>
        <v>DST</v>
      </c>
      <c r="C2751" s="3" t="s">
        <v>850</v>
      </c>
      <c r="D2751" s="3" t="s">
        <v>762</v>
      </c>
      <c r="E2751" s="3" t="s">
        <v>1324</v>
      </c>
      <c r="F2751" s="3" t="s">
        <v>1</v>
      </c>
      <c r="G2751" s="3">
        <v>3.8175544291674099</v>
      </c>
    </row>
    <row r="2752" spans="1:16" x14ac:dyDescent="0.3">
      <c r="A2752" s="3" t="str">
        <f t="shared" si="43"/>
        <v>DST</v>
      </c>
      <c r="C2752" s="3" t="s">
        <v>850</v>
      </c>
      <c r="D2752" s="3" t="s">
        <v>762</v>
      </c>
      <c r="E2752" s="3" t="s">
        <v>1324</v>
      </c>
      <c r="F2752" s="3" t="s">
        <v>2</v>
      </c>
      <c r="G2752" s="3">
        <v>5.5474436879025104</v>
      </c>
    </row>
    <row r="2753" spans="1:7" x14ac:dyDescent="0.3">
      <c r="A2753" s="3" t="str">
        <f t="shared" si="43"/>
        <v>DST</v>
      </c>
      <c r="C2753" s="3" t="s">
        <v>850</v>
      </c>
      <c r="D2753" s="3" t="s">
        <v>762</v>
      </c>
      <c r="E2753" s="3" t="s">
        <v>1324</v>
      </c>
      <c r="F2753" s="3" t="s">
        <v>3</v>
      </c>
      <c r="G2753" s="3">
        <v>3.7574155153942002</v>
      </c>
    </row>
    <row r="2754" spans="1:7" x14ac:dyDescent="0.3">
      <c r="A2754" s="3" t="str">
        <f t="shared" si="43"/>
        <v>DST</v>
      </c>
      <c r="C2754" s="3" t="s">
        <v>850</v>
      </c>
      <c r="D2754" s="3" t="s">
        <v>762</v>
      </c>
      <c r="E2754" s="3" t="s">
        <v>1324</v>
      </c>
      <c r="F2754" s="3" t="s">
        <v>4</v>
      </c>
      <c r="G2754" s="3">
        <v>2.3496717693370801</v>
      </c>
    </row>
    <row r="2755" spans="1:7" x14ac:dyDescent="0.3">
      <c r="A2755" s="3" t="str">
        <f t="shared" si="43"/>
        <v>DST</v>
      </c>
      <c r="C2755" s="3" t="s">
        <v>850</v>
      </c>
      <c r="D2755" s="3" t="s">
        <v>762</v>
      </c>
      <c r="E2755" s="3" t="s">
        <v>1324</v>
      </c>
      <c r="F2755" s="3" t="s">
        <v>5</v>
      </c>
      <c r="G2755" s="3">
        <v>2.04808120092757</v>
      </c>
    </row>
    <row r="2756" spans="1:7" x14ac:dyDescent="0.3">
      <c r="A2756" s="3" t="str">
        <f t="shared" si="43"/>
        <v>DST</v>
      </c>
      <c r="C2756" s="3" t="s">
        <v>850</v>
      </c>
      <c r="D2756" s="3" t="s">
        <v>762</v>
      </c>
      <c r="E2756" s="3" t="s">
        <v>1324</v>
      </c>
      <c r="F2756" s="3" t="s">
        <v>6</v>
      </c>
      <c r="G2756" s="3">
        <v>7.1150389253397499</v>
      </c>
    </row>
    <row r="2757" spans="1:7" x14ac:dyDescent="0.3">
      <c r="A2757" s="3" t="str">
        <f t="shared" si="43"/>
        <v>DST</v>
      </c>
      <c r="C2757" s="3" t="s">
        <v>850</v>
      </c>
      <c r="D2757" s="3" t="s">
        <v>762</v>
      </c>
      <c r="E2757" s="3" t="s">
        <v>1324</v>
      </c>
      <c r="F2757" s="3" t="s">
        <v>7</v>
      </c>
      <c r="G2757" s="3">
        <v>2.6171092224432901</v>
      </c>
    </row>
    <row r="2758" spans="1:7" x14ac:dyDescent="0.3">
      <c r="A2758" s="3" t="str">
        <f t="shared" si="43"/>
        <v>DST</v>
      </c>
      <c r="C2758" s="3" t="s">
        <v>850</v>
      </c>
      <c r="D2758" s="3" t="s">
        <v>762</v>
      </c>
      <c r="E2758" s="3" t="s">
        <v>1324</v>
      </c>
      <c r="F2758" s="3" t="s">
        <v>8</v>
      </c>
      <c r="G2758" s="3">
        <v>1.6410466841501301</v>
      </c>
    </row>
    <row r="2759" spans="1:7" x14ac:dyDescent="0.3">
      <c r="A2759" s="3" t="str">
        <f t="shared" si="43"/>
        <v>LPG</v>
      </c>
      <c r="C2759" s="3" t="s">
        <v>850</v>
      </c>
      <c r="D2759" s="3" t="s">
        <v>762</v>
      </c>
      <c r="E2759" s="3" t="s">
        <v>1326</v>
      </c>
      <c r="F2759" s="3" t="s">
        <v>0</v>
      </c>
      <c r="G2759" s="3">
        <v>1.6596021839217701</v>
      </c>
    </row>
    <row r="2760" spans="1:7" x14ac:dyDescent="0.3">
      <c r="A2760" s="3" t="str">
        <f t="shared" si="43"/>
        <v>LPG</v>
      </c>
      <c r="C2760" s="3" t="s">
        <v>850</v>
      </c>
      <c r="D2760" s="3" t="s">
        <v>762</v>
      </c>
      <c r="E2760" s="3" t="s">
        <v>1326</v>
      </c>
      <c r="F2760" s="3" t="s">
        <v>1</v>
      </c>
      <c r="G2760" s="3">
        <v>4.5683264539450601</v>
      </c>
    </row>
    <row r="2761" spans="1:7" x14ac:dyDescent="0.3">
      <c r="A2761" s="3" t="str">
        <f t="shared" si="43"/>
        <v>LPG</v>
      </c>
      <c r="C2761" s="3" t="s">
        <v>850</v>
      </c>
      <c r="D2761" s="3" t="s">
        <v>762</v>
      </c>
      <c r="E2761" s="3" t="s">
        <v>1326</v>
      </c>
      <c r="F2761" s="3" t="s">
        <v>2</v>
      </c>
      <c r="G2761" s="3">
        <v>6.6384210681031997</v>
      </c>
    </row>
    <row r="2762" spans="1:7" x14ac:dyDescent="0.3">
      <c r="A2762" s="3" t="str">
        <f t="shared" si="43"/>
        <v>LPG</v>
      </c>
      <c r="C2762" s="3" t="s">
        <v>850</v>
      </c>
      <c r="D2762" s="3" t="s">
        <v>762</v>
      </c>
      <c r="E2762" s="3" t="s">
        <v>1326</v>
      </c>
      <c r="F2762" s="3" t="s">
        <v>3</v>
      </c>
      <c r="G2762" s="3">
        <v>4.4963604359617797</v>
      </c>
    </row>
    <row r="2763" spans="1:7" x14ac:dyDescent="0.3">
      <c r="A2763" s="3" t="str">
        <f t="shared" si="43"/>
        <v>LPG</v>
      </c>
      <c r="C2763" s="3" t="s">
        <v>850</v>
      </c>
      <c r="D2763" s="3" t="s">
        <v>762</v>
      </c>
      <c r="E2763" s="3" t="s">
        <v>1326</v>
      </c>
      <c r="F2763" s="3" t="s">
        <v>4</v>
      </c>
      <c r="G2763" s="3">
        <v>2.8117654642822099</v>
      </c>
    </row>
    <row r="2764" spans="1:7" x14ac:dyDescent="0.3">
      <c r="A2764" s="3" t="str">
        <f t="shared" si="43"/>
        <v>LPG</v>
      </c>
      <c r="C2764" s="3" t="s">
        <v>850</v>
      </c>
      <c r="D2764" s="3" t="s">
        <v>762</v>
      </c>
      <c r="E2764" s="3" t="s">
        <v>1326</v>
      </c>
      <c r="F2764" s="3" t="s">
        <v>5</v>
      </c>
      <c r="G2764" s="3">
        <v>2.4508631647893999</v>
      </c>
    </row>
    <row r="2765" spans="1:7" x14ac:dyDescent="0.3">
      <c r="A2765" s="3" t="str">
        <f t="shared" si="43"/>
        <v>LPG</v>
      </c>
      <c r="C2765" s="3" t="s">
        <v>850</v>
      </c>
      <c r="D2765" s="3" t="s">
        <v>762</v>
      </c>
      <c r="E2765" s="3" t="s">
        <v>1326</v>
      </c>
      <c r="F2765" s="3" t="s">
        <v>6</v>
      </c>
      <c r="G2765" s="3">
        <v>8.5143044183308607</v>
      </c>
    </row>
    <row r="2766" spans="1:7" x14ac:dyDescent="0.3">
      <c r="A2766" s="3" t="str">
        <f t="shared" si="43"/>
        <v>LPG</v>
      </c>
      <c r="C2766" s="3" t="s">
        <v>850</v>
      </c>
      <c r="D2766" s="3" t="s">
        <v>762</v>
      </c>
      <c r="E2766" s="3" t="s">
        <v>1326</v>
      </c>
      <c r="F2766" s="3" t="s">
        <v>7</v>
      </c>
      <c r="G2766" s="3">
        <v>3.1317979915112399</v>
      </c>
    </row>
    <row r="2767" spans="1:7" x14ac:dyDescent="0.3">
      <c r="A2767" s="3" t="str">
        <f t="shared" si="43"/>
        <v>LPG</v>
      </c>
      <c r="C2767" s="3" t="s">
        <v>850</v>
      </c>
      <c r="D2767" s="3" t="s">
        <v>762</v>
      </c>
      <c r="E2767" s="3" t="s">
        <v>1326</v>
      </c>
      <c r="F2767" s="3" t="s">
        <v>8</v>
      </c>
      <c r="G2767" s="3">
        <v>1.9637799849252899</v>
      </c>
    </row>
    <row r="2768" spans="1:7" x14ac:dyDescent="0.3">
      <c r="A2768" s="3" t="str">
        <f t="shared" si="43"/>
        <v>NGA</v>
      </c>
      <c r="C2768" s="3" t="s">
        <v>850</v>
      </c>
      <c r="D2768" s="3" t="s">
        <v>762</v>
      </c>
      <c r="E2768" s="3" t="s">
        <v>1325</v>
      </c>
      <c r="F2768" s="3" t="s">
        <v>0</v>
      </c>
      <c r="G2768" s="3">
        <v>7.1136144814775495E-2</v>
      </c>
    </row>
    <row r="2769" spans="1:9" x14ac:dyDescent="0.3">
      <c r="A2769" s="3" t="str">
        <f t="shared" si="43"/>
        <v>NGA</v>
      </c>
      <c r="C2769" s="3" t="s">
        <v>850</v>
      </c>
      <c r="D2769" s="3" t="s">
        <v>762</v>
      </c>
      <c r="E2769" s="3" t="s">
        <v>1325</v>
      </c>
      <c r="F2769" s="3" t="s">
        <v>1</v>
      </c>
      <c r="G2769" s="3">
        <v>0.19581387355195301</v>
      </c>
    </row>
    <row r="2770" spans="1:9" x14ac:dyDescent="0.3">
      <c r="A2770" s="3" t="str">
        <f t="shared" si="43"/>
        <v>NGA</v>
      </c>
      <c r="C2770" s="3" t="s">
        <v>850</v>
      </c>
      <c r="D2770" s="3" t="s">
        <v>762</v>
      </c>
      <c r="E2770" s="3" t="s">
        <v>1325</v>
      </c>
      <c r="F2770" s="3" t="s">
        <v>2</v>
      </c>
      <c r="G2770" s="3">
        <v>0.26933474356217901</v>
      </c>
    </row>
    <row r="2771" spans="1:9" x14ac:dyDescent="0.3">
      <c r="A2771" s="3" t="str">
        <f t="shared" si="43"/>
        <v>NGA</v>
      </c>
      <c r="C2771" s="3" t="s">
        <v>850</v>
      </c>
      <c r="D2771" s="3" t="s">
        <v>762</v>
      </c>
      <c r="E2771" s="3" t="s">
        <v>1325</v>
      </c>
      <c r="F2771" s="3" t="s">
        <v>3</v>
      </c>
      <c r="G2771" s="3">
        <v>0.18242682598151599</v>
      </c>
    </row>
    <row r="2772" spans="1:9" x14ac:dyDescent="0.3">
      <c r="A2772" s="3" t="str">
        <f t="shared" si="43"/>
        <v>NGA</v>
      </c>
      <c r="C2772" s="3" t="s">
        <v>850</v>
      </c>
      <c r="D2772" s="3" t="s">
        <v>762</v>
      </c>
      <c r="E2772" s="3" t="s">
        <v>1325</v>
      </c>
      <c r="F2772" s="3" t="s">
        <v>4</v>
      </c>
      <c r="G2772" s="3">
        <v>0.11525130220949199</v>
      </c>
      <c r="I2772" s="3">
        <v>5.3557124993928404</v>
      </c>
    </row>
    <row r="2773" spans="1:9" x14ac:dyDescent="0.3">
      <c r="A2773" s="3" t="str">
        <f t="shared" si="43"/>
        <v>NGA</v>
      </c>
      <c r="C2773" s="3" t="s">
        <v>850</v>
      </c>
      <c r="D2773" s="3" t="s">
        <v>762</v>
      </c>
      <c r="E2773" s="3" t="s">
        <v>1325</v>
      </c>
      <c r="F2773" s="3" t="s">
        <v>5</v>
      </c>
      <c r="G2773" s="3">
        <v>0.100458297417549</v>
      </c>
      <c r="I2773" s="3">
        <v>4.6682835580367001</v>
      </c>
    </row>
    <row r="2774" spans="1:9" x14ac:dyDescent="0.3">
      <c r="A2774" s="3" t="str">
        <f t="shared" si="43"/>
        <v>NGA</v>
      </c>
      <c r="C2774" s="3" t="s">
        <v>850</v>
      </c>
      <c r="D2774" s="3" t="s">
        <v>762</v>
      </c>
      <c r="E2774" s="3" t="s">
        <v>1325</v>
      </c>
      <c r="F2774" s="3" t="s">
        <v>6</v>
      </c>
      <c r="G2774" s="3">
        <v>0.34899236230257902</v>
      </c>
      <c r="I2774" s="3">
        <v>16.217628097417101</v>
      </c>
    </row>
    <row r="2775" spans="1:9" x14ac:dyDescent="0.3">
      <c r="A2775" s="3" t="str">
        <f t="shared" si="43"/>
        <v>NGA</v>
      </c>
      <c r="C2775" s="3" t="s">
        <v>850</v>
      </c>
      <c r="D2775" s="3" t="s">
        <v>762</v>
      </c>
      <c r="E2775" s="3" t="s">
        <v>1325</v>
      </c>
      <c r="F2775" s="3" t="s">
        <v>7</v>
      </c>
      <c r="G2775" s="3">
        <v>0.126208002193407</v>
      </c>
    </row>
    <row r="2776" spans="1:9" x14ac:dyDescent="0.3">
      <c r="A2776" s="3" t="str">
        <f t="shared" si="43"/>
        <v>NGA</v>
      </c>
      <c r="C2776" s="3" t="s">
        <v>850</v>
      </c>
      <c r="D2776" s="3" t="s">
        <v>762</v>
      </c>
      <c r="E2776" s="3" t="s">
        <v>1325</v>
      </c>
      <c r="F2776" s="3" t="s">
        <v>8</v>
      </c>
      <c r="G2776" s="3">
        <v>7.9138165781000094E-2</v>
      </c>
      <c r="I2776" s="3">
        <v>3.7391563790829498</v>
      </c>
    </row>
    <row r="2777" spans="1:9" x14ac:dyDescent="0.3">
      <c r="A2777" s="3" t="str">
        <f t="shared" si="43"/>
        <v>RFL</v>
      </c>
      <c r="C2777" s="3" t="s">
        <v>850</v>
      </c>
      <c r="D2777" s="3" t="s">
        <v>762</v>
      </c>
      <c r="E2777" s="3" t="s">
        <v>1323</v>
      </c>
      <c r="F2777" s="3" t="s">
        <v>0</v>
      </c>
      <c r="G2777" s="3">
        <v>3.4664592245157097E-2</v>
      </c>
    </row>
    <row r="2778" spans="1:9" x14ac:dyDescent="0.3">
      <c r="A2778" s="3" t="str">
        <f t="shared" si="43"/>
        <v>RFL</v>
      </c>
      <c r="C2778" s="3" t="s">
        <v>850</v>
      </c>
      <c r="D2778" s="3" t="s">
        <v>762</v>
      </c>
      <c r="E2778" s="3" t="s">
        <v>1323</v>
      </c>
      <c r="F2778" s="3" t="s">
        <v>1</v>
      </c>
      <c r="G2778" s="3">
        <v>9.5419959857219405E-2</v>
      </c>
    </row>
    <row r="2779" spans="1:9" x14ac:dyDescent="0.3">
      <c r="A2779" s="3" t="str">
        <f t="shared" si="43"/>
        <v>RFL</v>
      </c>
      <c r="C2779" s="3" t="s">
        <v>850</v>
      </c>
      <c r="D2779" s="3" t="s">
        <v>762</v>
      </c>
      <c r="E2779" s="3" t="s">
        <v>1323</v>
      </c>
      <c r="F2779" s="3" t="s">
        <v>2</v>
      </c>
      <c r="G2779" s="3">
        <v>0.13865862657138001</v>
      </c>
    </row>
    <row r="2780" spans="1:9" x14ac:dyDescent="0.3">
      <c r="A2780" s="3" t="str">
        <f t="shared" si="43"/>
        <v>RFL</v>
      </c>
      <c r="C2780" s="3" t="s">
        <v>850</v>
      </c>
      <c r="D2780" s="3" t="s">
        <v>762</v>
      </c>
      <c r="E2780" s="3" t="s">
        <v>1323</v>
      </c>
      <c r="F2780" s="3" t="s">
        <v>3</v>
      </c>
      <c r="G2780" s="3">
        <v>9.3916784763171599E-2</v>
      </c>
    </row>
    <row r="2781" spans="1:9" x14ac:dyDescent="0.3">
      <c r="A2781" s="3" t="str">
        <f t="shared" si="43"/>
        <v>RFL</v>
      </c>
      <c r="C2781" s="3" t="s">
        <v>850</v>
      </c>
      <c r="D2781" s="3" t="s">
        <v>762</v>
      </c>
      <c r="E2781" s="3" t="s">
        <v>1323</v>
      </c>
      <c r="F2781" s="3" t="s">
        <v>4</v>
      </c>
      <c r="G2781" s="3">
        <v>5.8730160910026502E-2</v>
      </c>
    </row>
    <row r="2782" spans="1:9" x14ac:dyDescent="0.3">
      <c r="A2782" s="3" t="str">
        <f t="shared" si="43"/>
        <v>RFL</v>
      </c>
      <c r="C2782" s="3" t="s">
        <v>850</v>
      </c>
      <c r="D2782" s="3" t="s">
        <v>762</v>
      </c>
      <c r="E2782" s="3" t="s">
        <v>1323</v>
      </c>
      <c r="F2782" s="3" t="s">
        <v>5</v>
      </c>
      <c r="G2782" s="3">
        <v>5.1191889887331997E-2</v>
      </c>
    </row>
    <row r="2783" spans="1:9" x14ac:dyDescent="0.3">
      <c r="A2783" s="3" t="str">
        <f t="shared" ref="A2783:A2846" si="44">RIGHT(E2783,3)</f>
        <v>RFL</v>
      </c>
      <c r="C2783" s="3" t="s">
        <v>850</v>
      </c>
      <c r="D2783" s="3" t="s">
        <v>762</v>
      </c>
      <c r="E2783" s="3" t="s">
        <v>1323</v>
      </c>
      <c r="F2783" s="3" t="s">
        <v>6</v>
      </c>
      <c r="G2783" s="3">
        <v>0.177840746277596</v>
      </c>
    </row>
    <row r="2784" spans="1:9" x14ac:dyDescent="0.3">
      <c r="A2784" s="3" t="str">
        <f t="shared" si="44"/>
        <v>RFL</v>
      </c>
      <c r="C2784" s="3" t="s">
        <v>850</v>
      </c>
      <c r="D2784" s="3" t="s">
        <v>762</v>
      </c>
      <c r="E2784" s="3" t="s">
        <v>1323</v>
      </c>
      <c r="F2784" s="3" t="s">
        <v>7</v>
      </c>
      <c r="G2784" s="3">
        <v>6.5414773143643495E-2</v>
      </c>
    </row>
    <row r="2785" spans="1:16" x14ac:dyDescent="0.3">
      <c r="A2785" s="3" t="str">
        <f t="shared" si="44"/>
        <v>RFL</v>
      </c>
      <c r="C2785" s="3" t="s">
        <v>850</v>
      </c>
      <c r="D2785" s="3" t="s">
        <v>762</v>
      </c>
      <c r="E2785" s="3" t="s">
        <v>1323</v>
      </c>
      <c r="F2785" s="3" t="s">
        <v>8</v>
      </c>
      <c r="G2785" s="3">
        <v>4.1018042212846398E-2</v>
      </c>
    </row>
    <row r="2786" spans="1:16" x14ac:dyDescent="0.3">
      <c r="A2786" s="3" t="str">
        <f t="shared" si="44"/>
        <v>ELC</v>
      </c>
      <c r="C2786" s="3" t="s">
        <v>850</v>
      </c>
      <c r="D2786" s="3" t="s">
        <v>795</v>
      </c>
      <c r="E2786" s="3" t="s">
        <v>1315</v>
      </c>
      <c r="F2786" s="3" t="s">
        <v>0</v>
      </c>
      <c r="G2786" s="3">
        <v>1.0122727496938899</v>
      </c>
      <c r="H2786" s="3">
        <v>0.97853032470412205</v>
      </c>
      <c r="J2786" s="3">
        <v>0.67484849979594697</v>
      </c>
      <c r="K2786" s="3">
        <v>0.50613637484695995</v>
      </c>
    </row>
    <row r="2787" spans="1:16" x14ac:dyDescent="0.3">
      <c r="A2787" s="3" t="str">
        <f t="shared" si="44"/>
        <v>ELC</v>
      </c>
      <c r="C2787" s="3" t="s">
        <v>850</v>
      </c>
      <c r="D2787" s="3" t="s">
        <v>795</v>
      </c>
      <c r="E2787" s="3" t="s">
        <v>1315</v>
      </c>
      <c r="F2787" s="3" t="s">
        <v>1</v>
      </c>
      <c r="G2787" s="3">
        <v>2.7864463097455099</v>
      </c>
      <c r="H2787" s="3">
        <v>2.6935647660873299</v>
      </c>
      <c r="I2787" s="3">
        <v>2.3220385914545898</v>
      </c>
      <c r="J2787" s="3">
        <v>1.8576308731636699</v>
      </c>
      <c r="K2787" s="3">
        <v>1.3932231548727501</v>
      </c>
      <c r="L2787" s="3">
        <v>0.92881543658183696</v>
      </c>
      <c r="M2787" s="3">
        <v>0.46440771829091798</v>
      </c>
    </row>
    <row r="2788" spans="1:16" x14ac:dyDescent="0.3">
      <c r="A2788" s="3" t="str">
        <f t="shared" si="44"/>
        <v>ELC</v>
      </c>
      <c r="C2788" s="3" t="s">
        <v>850</v>
      </c>
      <c r="D2788" s="3" t="s">
        <v>795</v>
      </c>
      <c r="E2788" s="3" t="s">
        <v>1315</v>
      </c>
      <c r="F2788" s="3" t="s">
        <v>2</v>
      </c>
      <c r="G2788" s="3">
        <v>4.8530357575202698</v>
      </c>
      <c r="H2788" s="3">
        <v>4.6912678989362604</v>
      </c>
      <c r="I2788" s="3">
        <v>4.04419646460022</v>
      </c>
      <c r="J2788" s="3">
        <v>3.2353571716801799</v>
      </c>
      <c r="K2788" s="3">
        <v>2.42651787876013</v>
      </c>
      <c r="L2788" s="3">
        <v>1.6176785858400899</v>
      </c>
      <c r="M2788" s="3">
        <v>0.80883929292004497</v>
      </c>
    </row>
    <row r="2789" spans="1:16" x14ac:dyDescent="0.3">
      <c r="A2789" s="3" t="str">
        <f t="shared" si="44"/>
        <v>ELC</v>
      </c>
      <c r="C2789" s="3" t="s">
        <v>850</v>
      </c>
      <c r="D2789" s="3" t="s">
        <v>795</v>
      </c>
      <c r="E2789" s="3" t="s">
        <v>1315</v>
      </c>
      <c r="F2789" s="3" t="s">
        <v>3</v>
      </c>
      <c r="G2789" s="3">
        <v>3.2870765127070798</v>
      </c>
      <c r="H2789" s="3">
        <v>3.1775072956168402</v>
      </c>
      <c r="I2789" s="3">
        <v>2.7392304272559</v>
      </c>
      <c r="J2789" s="3">
        <v>2.1913843418047199</v>
      </c>
      <c r="K2789" s="3">
        <v>1.6435382563535399</v>
      </c>
      <c r="L2789" s="3">
        <v>1.0956921709023599</v>
      </c>
      <c r="M2789" s="3">
        <v>0.54784608545117996</v>
      </c>
    </row>
    <row r="2790" spans="1:16" x14ac:dyDescent="0.3">
      <c r="A2790" s="3" t="str">
        <f t="shared" si="44"/>
        <v>ELC</v>
      </c>
      <c r="C2790" s="3" t="s">
        <v>850</v>
      </c>
      <c r="D2790" s="3" t="s">
        <v>795</v>
      </c>
      <c r="E2790" s="3" t="s">
        <v>1315</v>
      </c>
      <c r="F2790" s="3" t="s">
        <v>4</v>
      </c>
      <c r="G2790" s="3">
        <v>1.99360073636597</v>
      </c>
      <c r="H2790" s="3">
        <v>1.9271473784871</v>
      </c>
      <c r="I2790" s="3">
        <v>1.6613339469716399</v>
      </c>
      <c r="J2790" s="3">
        <v>1.3290671575773101</v>
      </c>
      <c r="K2790" s="3">
        <v>0.99680036818298501</v>
      </c>
      <c r="L2790" s="3">
        <v>0.66453357878865704</v>
      </c>
    </row>
    <row r="2791" spans="1:16" x14ac:dyDescent="0.3">
      <c r="A2791" s="3" t="str">
        <f t="shared" si="44"/>
        <v>ELC</v>
      </c>
      <c r="C2791" s="3" t="s">
        <v>850</v>
      </c>
      <c r="D2791" s="3" t="s">
        <v>795</v>
      </c>
      <c r="E2791" s="3" t="s">
        <v>1315</v>
      </c>
      <c r="F2791" s="3" t="s">
        <v>5</v>
      </c>
      <c r="G2791" s="3">
        <v>1.7377134302713599</v>
      </c>
      <c r="H2791" s="3">
        <v>1.6797896492623099</v>
      </c>
      <c r="I2791" s="3">
        <v>1.4480945252261299</v>
      </c>
      <c r="J2791" s="3">
        <v>1.1584756201809101</v>
      </c>
      <c r="K2791" s="3">
        <v>0.86885671513567997</v>
      </c>
      <c r="L2791" s="3">
        <v>0.57923781009045305</v>
      </c>
      <c r="M2791" s="3">
        <v>0.28961890504522703</v>
      </c>
    </row>
    <row r="2792" spans="1:16" x14ac:dyDescent="0.3">
      <c r="A2792" s="3" t="str">
        <f t="shared" si="44"/>
        <v>ELC</v>
      </c>
      <c r="C2792" s="3" t="s">
        <v>850</v>
      </c>
      <c r="D2792" s="3" t="s">
        <v>795</v>
      </c>
      <c r="E2792" s="3" t="s">
        <v>1315</v>
      </c>
      <c r="F2792" s="3" t="s">
        <v>6</v>
      </c>
      <c r="G2792" s="3">
        <v>6.0368205576355001</v>
      </c>
      <c r="H2792" s="3">
        <v>5.8355932057143196</v>
      </c>
      <c r="I2792" s="3">
        <v>5.03068379802958</v>
      </c>
      <c r="J2792" s="3">
        <v>4.0245470384236697</v>
      </c>
      <c r="K2792" s="3">
        <v>3.01841027881775</v>
      </c>
      <c r="L2792" s="3">
        <v>2.01227351921183</v>
      </c>
      <c r="M2792" s="3">
        <v>1.0061367596059201</v>
      </c>
    </row>
    <row r="2793" spans="1:16" x14ac:dyDescent="0.3">
      <c r="A2793" s="3" t="str">
        <f t="shared" si="44"/>
        <v>ELC</v>
      </c>
      <c r="C2793" s="3" t="s">
        <v>850</v>
      </c>
      <c r="D2793" s="3" t="s">
        <v>795</v>
      </c>
      <c r="E2793" s="3" t="s">
        <v>1315</v>
      </c>
      <c r="F2793" s="3" t="s">
        <v>7</v>
      </c>
      <c r="G2793" s="3">
        <v>2.3347343079984899</v>
      </c>
      <c r="H2793" s="3">
        <v>2.2569098310652098</v>
      </c>
      <c r="I2793" s="3">
        <v>1.9456119233320699</v>
      </c>
      <c r="J2793" s="3">
        <v>1.5564895386656601</v>
      </c>
      <c r="K2793" s="3">
        <v>1.1673671539992401</v>
      </c>
      <c r="L2793" s="3">
        <v>0.77824476933283004</v>
      </c>
      <c r="M2793" s="3">
        <v>0.38912238466641502</v>
      </c>
    </row>
    <row r="2794" spans="1:16" x14ac:dyDescent="0.3">
      <c r="A2794" s="3" t="str">
        <f t="shared" si="44"/>
        <v>ELC</v>
      </c>
      <c r="C2794" s="3" t="s">
        <v>850</v>
      </c>
      <c r="D2794" s="3" t="s">
        <v>795</v>
      </c>
      <c r="E2794" s="3" t="s">
        <v>1315</v>
      </c>
      <c r="F2794" s="3" t="s">
        <v>8</v>
      </c>
      <c r="G2794" s="3">
        <v>1.4639847514409601</v>
      </c>
      <c r="H2794" s="3">
        <v>1.41518525972624</v>
      </c>
      <c r="I2794" s="3">
        <v>1.21998729286745</v>
      </c>
      <c r="J2794" s="3">
        <v>0.97598983429396002</v>
      </c>
      <c r="L2794" s="3">
        <v>0.48799491714698001</v>
      </c>
      <c r="M2794" s="3">
        <v>0.24399745857349001</v>
      </c>
    </row>
    <row r="2795" spans="1:16" x14ac:dyDescent="0.3">
      <c r="A2795" s="3" t="str">
        <f t="shared" si="44"/>
        <v>NGA</v>
      </c>
      <c r="C2795" s="3" t="s">
        <v>850</v>
      </c>
      <c r="D2795" s="3" t="s">
        <v>795</v>
      </c>
      <c r="E2795" s="3" t="s">
        <v>1318</v>
      </c>
      <c r="F2795" s="3" t="s">
        <v>0</v>
      </c>
      <c r="G2795" s="3">
        <v>9.46110726036515</v>
      </c>
      <c r="H2795" s="3">
        <v>9.4948496853549216</v>
      </c>
      <c r="I2795" s="3">
        <v>10.47338001005904</v>
      </c>
      <c r="J2795" s="3">
        <v>9.798531510263091</v>
      </c>
      <c r="K2795" s="3">
        <v>10.343971795005331</v>
      </c>
      <c r="L2795" s="3">
        <v>11.80483747600945</v>
      </c>
      <c r="M2795" s="3">
        <v>12.930462304188261</v>
      </c>
      <c r="N2795" s="3">
        <v>14.128566270409342</v>
      </c>
      <c r="O2795" s="3">
        <v>16.105514325411733</v>
      </c>
      <c r="P2795" s="3">
        <v>17.219921460238911</v>
      </c>
    </row>
    <row r="2796" spans="1:16" x14ac:dyDescent="0.3">
      <c r="A2796" s="3" t="str">
        <f t="shared" si="44"/>
        <v>NGA</v>
      </c>
      <c r="C2796" s="3" t="s">
        <v>850</v>
      </c>
      <c r="D2796" s="3" t="s">
        <v>795</v>
      </c>
      <c r="E2796" s="3" t="s">
        <v>1318</v>
      </c>
      <c r="F2796" s="3" t="s">
        <v>1</v>
      </c>
      <c r="G2796" s="3">
        <v>26.043245182409901</v>
      </c>
      <c r="H2796" s="3">
        <v>26.136126726068031</v>
      </c>
      <c r="I2796" s="3">
        <v>26.507652900700741</v>
      </c>
      <c r="J2796" s="3">
        <v>26.97206061899173</v>
      </c>
      <c r="K2796" s="3">
        <v>28.473474214355139</v>
      </c>
      <c r="L2796" s="3">
        <v>31.5659305023146</v>
      </c>
      <c r="M2796" s="3">
        <v>35.128804666121383</v>
      </c>
      <c r="N2796" s="3">
        <v>38.891189511997382</v>
      </c>
      <c r="O2796" s="3">
        <v>44.333062380832118</v>
      </c>
      <c r="P2796" s="3">
        <v>47.400650290644059</v>
      </c>
    </row>
    <row r="2797" spans="1:16" x14ac:dyDescent="0.3">
      <c r="A2797" s="3" t="str">
        <f t="shared" si="44"/>
        <v>NGA</v>
      </c>
      <c r="C2797" s="3" t="s">
        <v>850</v>
      </c>
      <c r="D2797" s="3" t="s">
        <v>795</v>
      </c>
      <c r="E2797" s="3" t="s">
        <v>1318</v>
      </c>
      <c r="F2797" s="3" t="s">
        <v>2</v>
      </c>
      <c r="G2797" s="3">
        <v>35.821520893769801</v>
      </c>
      <c r="H2797" s="3">
        <v>35.983288752353829</v>
      </c>
      <c r="I2797" s="3">
        <v>36.630360186689863</v>
      </c>
      <c r="J2797" s="3">
        <v>37.439199479609883</v>
      </c>
      <c r="K2797" s="3">
        <v>39.71110521936258</v>
      </c>
      <c r="L2797" s="3">
        <v>44.227743829469681</v>
      </c>
      <c r="M2797" s="3">
        <v>49.40807454138556</v>
      </c>
      <c r="N2797" s="3">
        <v>54.869886189112833</v>
      </c>
      <c r="O2797" s="3">
        <v>62.547587712653815</v>
      </c>
      <c r="P2797" s="3">
        <v>66.875513949894895</v>
      </c>
    </row>
    <row r="2798" spans="1:16" x14ac:dyDescent="0.3">
      <c r="A2798" s="3" t="str">
        <f t="shared" si="44"/>
        <v>NGA</v>
      </c>
      <c r="C2798" s="3" t="s">
        <v>850</v>
      </c>
      <c r="D2798" s="3" t="s">
        <v>795</v>
      </c>
      <c r="E2798" s="3" t="s">
        <v>1318</v>
      </c>
      <c r="F2798" s="3" t="s">
        <v>3</v>
      </c>
      <c r="G2798" s="3">
        <v>24.2627678555416</v>
      </c>
      <c r="H2798" s="3">
        <v>24.372337072631836</v>
      </c>
      <c r="I2798" s="3">
        <v>24.810613940992795</v>
      </c>
      <c r="J2798" s="3">
        <v>25.358460026444046</v>
      </c>
      <c r="K2798" s="3">
        <v>26.897275804723165</v>
      </c>
      <c r="L2798" s="3">
        <v>29.956502530729225</v>
      </c>
      <c r="M2798" s="3">
        <v>33.46526369837715</v>
      </c>
      <c r="N2798" s="3">
        <v>37.164678596825709</v>
      </c>
      <c r="O2798" s="3">
        <v>42.364968396978043</v>
      </c>
      <c r="P2798" s="3">
        <v>45.29637574569125</v>
      </c>
    </row>
    <row r="2799" spans="1:16" x14ac:dyDescent="0.3">
      <c r="A2799" s="3" t="str">
        <f t="shared" si="44"/>
        <v>NGA</v>
      </c>
      <c r="C2799" s="3" t="s">
        <v>850</v>
      </c>
      <c r="D2799" s="3" t="s">
        <v>795</v>
      </c>
      <c r="E2799" s="3" t="s">
        <v>1318</v>
      </c>
      <c r="F2799" s="3" t="s">
        <v>4</v>
      </c>
      <c r="G2799" s="3">
        <v>15.328423193862401</v>
      </c>
      <c r="H2799" s="3">
        <v>15.394876551741291</v>
      </c>
      <c r="I2799" s="3">
        <v>15.660689983256711</v>
      </c>
      <c r="J2799" s="3">
        <v>15.9929567726511</v>
      </c>
      <c r="K2799" s="3">
        <v>16.948297888849272</v>
      </c>
      <c r="L2799" s="3">
        <v>18.859600660157859</v>
      </c>
      <c r="M2799" s="3">
        <v>21.385815968383</v>
      </c>
      <c r="N2799" s="3">
        <v>23.367371641322443</v>
      </c>
      <c r="O2799" s="3">
        <v>26.637065043517421</v>
      </c>
      <c r="P2799" s="3">
        <v>28.480193722029249</v>
      </c>
    </row>
    <row r="2800" spans="1:16" x14ac:dyDescent="0.3">
      <c r="A2800" s="3" t="str">
        <f t="shared" si="44"/>
        <v>NGA</v>
      </c>
      <c r="C2800" s="3" t="s">
        <v>850</v>
      </c>
      <c r="D2800" s="3" t="s">
        <v>795</v>
      </c>
      <c r="E2800" s="3" t="s">
        <v>1318</v>
      </c>
      <c r="F2800" s="3" t="s">
        <v>5</v>
      </c>
      <c r="G2800" s="3">
        <v>13.360953556534</v>
      </c>
      <c r="H2800" s="3">
        <v>13.41887733754305</v>
      </c>
      <c r="I2800" s="3">
        <v>13.650572461579159</v>
      </c>
      <c r="J2800" s="3">
        <v>13.94019136662442</v>
      </c>
      <c r="K2800" s="3">
        <v>14.772910304687301</v>
      </c>
      <c r="L2800" s="3">
        <v>16.438889070862931</v>
      </c>
      <c r="M2800" s="3">
        <v>18.351234776275241</v>
      </c>
      <c r="N2800" s="3">
        <v>20.368068084327764</v>
      </c>
      <c r="O2800" s="3">
        <v>23.21808214893974</v>
      </c>
      <c r="P2800" s="3">
        <v>24.824637262982581</v>
      </c>
    </row>
    <row r="2801" spans="1:16" x14ac:dyDescent="0.3">
      <c r="A2801" s="3" t="str">
        <f t="shared" si="44"/>
        <v>NGA</v>
      </c>
      <c r="C2801" s="3" t="s">
        <v>850</v>
      </c>
      <c r="D2801" s="3" t="s">
        <v>795</v>
      </c>
      <c r="E2801" s="3" t="s">
        <v>1318</v>
      </c>
      <c r="F2801" s="3" t="s">
        <v>6</v>
      </c>
      <c r="G2801" s="3">
        <v>46.415984186243001</v>
      </c>
      <c r="H2801" s="3">
        <v>46.617211538164128</v>
      </c>
      <c r="I2801" s="3">
        <v>47.422120945848931</v>
      </c>
      <c r="J2801" s="3">
        <v>48.428257705454783</v>
      </c>
      <c r="K2801" s="3">
        <v>51.321125261439178</v>
      </c>
      <c r="L2801" s="3">
        <v>57.108739426717875</v>
      </c>
      <c r="M2801" s="3">
        <v>63.752232920311911</v>
      </c>
      <c r="N2801" s="3">
        <v>70.758716592060864</v>
      </c>
      <c r="O2801" s="3">
        <v>80.659672178341751</v>
      </c>
      <c r="P2801" s="3">
        <v>86.240848435875705</v>
      </c>
    </row>
    <row r="2802" spans="1:16" x14ac:dyDescent="0.3">
      <c r="A2802" s="3" t="str">
        <f t="shared" si="44"/>
        <v>NGA</v>
      </c>
      <c r="C2802" s="3" t="s">
        <v>850</v>
      </c>
      <c r="D2802" s="3" t="s">
        <v>795</v>
      </c>
      <c r="E2802" s="3" t="s">
        <v>1318</v>
      </c>
      <c r="F2802" s="3" t="s">
        <v>7</v>
      </c>
      <c r="G2802" s="3">
        <v>16.785664291723101</v>
      </c>
      <c r="H2802" s="3">
        <v>16.863488768656389</v>
      </c>
      <c r="I2802" s="3">
        <v>17.174786676389466</v>
      </c>
      <c r="J2802" s="3">
        <v>17.563909061055867</v>
      </c>
      <c r="K2802" s="3">
        <v>18.640793426292806</v>
      </c>
      <c r="L2802" s="3">
        <v>20.772887504054367</v>
      </c>
      <c r="M2802" s="3">
        <v>23.216971645846964</v>
      </c>
      <c r="N2802" s="3">
        <v>25.79337505880148</v>
      </c>
      <c r="O2802" s="3">
        <v>29.402528434911819</v>
      </c>
      <c r="P2802" s="3">
        <v>31.437010961068939</v>
      </c>
    </row>
    <row r="2803" spans="1:16" x14ac:dyDescent="0.3">
      <c r="A2803" s="3" t="str">
        <f t="shared" si="44"/>
        <v>NGA</v>
      </c>
      <c r="C2803" s="3" t="s">
        <v>850</v>
      </c>
      <c r="D2803" s="3" t="s">
        <v>795</v>
      </c>
      <c r="E2803" s="3" t="s">
        <v>1318</v>
      </c>
      <c r="F2803" s="3" t="s">
        <v>8</v>
      </c>
      <c r="G2803" s="3">
        <v>10.525376048872999</v>
      </c>
      <c r="H2803" s="3">
        <v>10.574175540587683</v>
      </c>
      <c r="I2803" s="3">
        <v>10.769373507446513</v>
      </c>
      <c r="J2803" s="3">
        <v>11.013370966019993</v>
      </c>
      <c r="K2803" s="3">
        <v>12.420618887680263</v>
      </c>
      <c r="L2803" s="3">
        <v>13.025546609371823</v>
      </c>
      <c r="M2803" s="3">
        <v>14.558098687167053</v>
      </c>
      <c r="N2803" s="3">
        <v>16.173620974737062</v>
      </c>
      <c r="O2803" s="3">
        <v>18.43672452794895</v>
      </c>
      <c r="P2803" s="3">
        <v>19.712437736584018</v>
      </c>
    </row>
    <row r="2804" spans="1:16" x14ac:dyDescent="0.3">
      <c r="A2804" s="3" t="str">
        <f t="shared" si="44"/>
        <v>STM</v>
      </c>
      <c r="C2804" s="3" t="s">
        <v>850</v>
      </c>
      <c r="D2804" s="3" t="s">
        <v>778</v>
      </c>
      <c r="E2804" s="3" t="s">
        <v>1569</v>
      </c>
      <c r="F2804" s="3" t="s">
        <v>4</v>
      </c>
      <c r="M2804" s="3">
        <v>1.6363894325102699</v>
      </c>
      <c r="N2804" s="3">
        <v>1.6363894325102699</v>
      </c>
      <c r="O2804" s="3">
        <v>1.6363894325102699</v>
      </c>
      <c r="P2804" s="3">
        <v>1.6363894325102699</v>
      </c>
    </row>
    <row r="2805" spans="1:16" x14ac:dyDescent="0.3">
      <c r="A2805" s="3" t="str">
        <f t="shared" si="44"/>
        <v>STM</v>
      </c>
      <c r="C2805" s="3" t="s">
        <v>850</v>
      </c>
      <c r="D2805" s="3" t="s">
        <v>778</v>
      </c>
      <c r="E2805" s="3" t="s">
        <v>1569</v>
      </c>
      <c r="F2805" s="3" t="s">
        <v>6</v>
      </c>
      <c r="G2805" s="3">
        <v>1.05665645682764</v>
      </c>
      <c r="H2805" s="3">
        <v>1.05665645682764</v>
      </c>
      <c r="I2805" s="3">
        <v>1.05665645682765</v>
      </c>
      <c r="J2805" s="3">
        <v>1.05665645682764</v>
      </c>
      <c r="K2805" s="3">
        <v>1.09466445826862</v>
      </c>
      <c r="L2805" s="3">
        <v>1.1909868379497499</v>
      </c>
      <c r="M2805" s="3">
        <v>1.3045508203048499</v>
      </c>
      <c r="N2805" s="3">
        <v>4.9551493367135597</v>
      </c>
      <c r="O2805" s="3">
        <v>4.9551493367135597</v>
      </c>
      <c r="P2805" s="3">
        <v>4.9551493367135597</v>
      </c>
    </row>
    <row r="2806" spans="1:16" x14ac:dyDescent="0.3">
      <c r="A2806" s="3" t="str">
        <f t="shared" si="44"/>
        <v>STM</v>
      </c>
      <c r="C2806" s="3" t="s">
        <v>850</v>
      </c>
      <c r="D2806" s="3" t="s">
        <v>778</v>
      </c>
      <c r="E2806" s="3" t="s">
        <v>1569</v>
      </c>
      <c r="F2806" s="3" t="s">
        <v>8</v>
      </c>
      <c r="O2806" s="3">
        <v>1.20166948823516</v>
      </c>
      <c r="P2806" s="3">
        <v>1.20166948823516</v>
      </c>
    </row>
    <row r="2807" spans="1:16" x14ac:dyDescent="0.3">
      <c r="A2807" s="3" t="str">
        <f t="shared" si="44"/>
        <v>EXT</v>
      </c>
      <c r="C2807" s="3" t="s">
        <v>850</v>
      </c>
      <c r="D2807" s="3" t="s">
        <v>1570</v>
      </c>
      <c r="E2807" s="3" t="s">
        <v>1571</v>
      </c>
      <c r="F2807" s="3" t="s">
        <v>0</v>
      </c>
      <c r="G2807" s="3">
        <v>7.6001544813004704</v>
      </c>
      <c r="H2807" s="3">
        <v>7.6923790364512898</v>
      </c>
      <c r="I2807" s="3">
        <v>8.0612772570545594</v>
      </c>
      <c r="J2807" s="3">
        <v>8.2107664183970694</v>
      </c>
      <c r="K2807" s="3">
        <v>8.8437659566195492</v>
      </c>
      <c r="L2807" s="3">
        <v>9.45584370428117</v>
      </c>
      <c r="M2807" s="3">
        <v>10.2397555928918</v>
      </c>
      <c r="N2807" s="3">
        <v>11.1383468360499</v>
      </c>
      <c r="O2807" s="3">
        <v>14.935391367930901</v>
      </c>
      <c r="P2807" s="3">
        <v>16.0331493082024</v>
      </c>
    </row>
    <row r="2808" spans="1:16" x14ac:dyDescent="0.3">
      <c r="A2808" s="3" t="str">
        <f t="shared" si="44"/>
        <v>EXT</v>
      </c>
      <c r="C2808" s="3" t="s">
        <v>850</v>
      </c>
      <c r="D2808" s="3" t="s">
        <v>1570</v>
      </c>
      <c r="E2808" s="3" t="s">
        <v>1571</v>
      </c>
      <c r="F2808" s="3" t="s">
        <v>1</v>
      </c>
      <c r="G2808" s="3">
        <v>22.255901437411701</v>
      </c>
      <c r="H2808" s="3">
        <v>22.5259670807609</v>
      </c>
      <c r="I2808" s="3">
        <v>23.606229654157701</v>
      </c>
      <c r="J2808" s="3">
        <v>24.043986024634901</v>
      </c>
      <c r="K2808" s="3">
        <v>25.897629311395502</v>
      </c>
      <c r="L2808" s="3">
        <v>27.6900063028773</v>
      </c>
      <c r="M2808" s="3">
        <v>29.9855735537089</v>
      </c>
      <c r="N2808" s="3">
        <v>32.616961927386498</v>
      </c>
      <c r="O2808" s="3">
        <v>43.736031817732496</v>
      </c>
      <c r="P2808" s="3">
        <v>46.950649702267683</v>
      </c>
    </row>
    <row r="2809" spans="1:16" x14ac:dyDescent="0.3">
      <c r="A2809" s="3" t="str">
        <f t="shared" si="44"/>
        <v>EXT</v>
      </c>
      <c r="C2809" s="3" t="s">
        <v>850</v>
      </c>
      <c r="D2809" s="3" t="s">
        <v>1570</v>
      </c>
      <c r="E2809" s="3" t="s">
        <v>1571</v>
      </c>
      <c r="F2809" s="3" t="s">
        <v>2</v>
      </c>
      <c r="G2809" s="3">
        <v>47.606547646820303</v>
      </c>
      <c r="H2809" s="3">
        <v>48.184232309651399</v>
      </c>
      <c r="I2809" s="3">
        <v>50.494970960975699</v>
      </c>
      <c r="J2809" s="3">
        <v>51.431354938386299</v>
      </c>
      <c r="K2809" s="3">
        <v>55.396395747878799</v>
      </c>
      <c r="L2809" s="3">
        <v>59.230384718669498</v>
      </c>
      <c r="M2809" s="3">
        <v>64.140724208198804</v>
      </c>
      <c r="N2809" s="3">
        <v>69.769402801203</v>
      </c>
      <c r="O2809" s="3">
        <v>93.553680064098998</v>
      </c>
      <c r="P2809" s="3">
        <v>100.42991735859</v>
      </c>
    </row>
    <row r="2810" spans="1:16" x14ac:dyDescent="0.3">
      <c r="A2810" s="3" t="str">
        <f t="shared" si="44"/>
        <v>EXT</v>
      </c>
      <c r="C2810" s="3" t="s">
        <v>850</v>
      </c>
      <c r="D2810" s="3" t="s">
        <v>1570</v>
      </c>
      <c r="E2810" s="3" t="s">
        <v>1571</v>
      </c>
      <c r="F2810" s="3" t="s">
        <v>3</v>
      </c>
      <c r="G2810" s="3">
        <v>32.996436973779801</v>
      </c>
      <c r="H2810" s="3">
        <v>33.396834324775199</v>
      </c>
      <c r="I2810" s="3">
        <v>34.998423728756997</v>
      </c>
      <c r="J2810" s="3">
        <v>35.647438127429801</v>
      </c>
      <c r="K2810" s="3">
        <v>38.395636130349303</v>
      </c>
      <c r="L2810" s="3">
        <v>41.053001171212699</v>
      </c>
      <c r="M2810" s="3">
        <v>44.456392416638202</v>
      </c>
      <c r="N2810" s="3">
        <v>48.357669606859503</v>
      </c>
      <c r="O2810" s="3">
        <v>64.842721442464907</v>
      </c>
      <c r="P2810" s="3">
        <v>69.608690447141896</v>
      </c>
    </row>
    <row r="2811" spans="1:16" x14ac:dyDescent="0.3">
      <c r="A2811" s="3" t="str">
        <f t="shared" si="44"/>
        <v>EXT</v>
      </c>
      <c r="C2811" s="3" t="s">
        <v>850</v>
      </c>
      <c r="D2811" s="3" t="s">
        <v>1570</v>
      </c>
      <c r="E2811" s="3" t="s">
        <v>1571</v>
      </c>
      <c r="F2811" s="3" t="s">
        <v>4</v>
      </c>
      <c r="G2811" s="3">
        <v>28.178747619163499</v>
      </c>
      <c r="H2811" s="3">
        <v>28.520684414037699</v>
      </c>
      <c r="I2811" s="3">
        <v>29.888431593534399</v>
      </c>
      <c r="J2811" s="3">
        <v>30.442685768187701</v>
      </c>
      <c r="K2811" s="3">
        <v>32.789629409202504</v>
      </c>
      <c r="L2811" s="3">
        <v>35.059002277490805</v>
      </c>
      <c r="M2811" s="3">
        <v>37.965476786551307</v>
      </c>
      <c r="N2811" s="3">
        <v>41.297142730453203</v>
      </c>
      <c r="O2811" s="3">
        <v>55.375272303457805</v>
      </c>
      <c r="P2811" s="3">
        <v>59.445379565350002</v>
      </c>
    </row>
    <row r="2812" spans="1:16" x14ac:dyDescent="0.3">
      <c r="A2812" s="3" t="str">
        <f t="shared" si="44"/>
        <v>EXT</v>
      </c>
      <c r="C2812" s="3" t="s">
        <v>850</v>
      </c>
      <c r="D2812" s="3" t="s">
        <v>1570</v>
      </c>
      <c r="E2812" s="3" t="s">
        <v>1571</v>
      </c>
      <c r="F2812" s="3" t="s">
        <v>5</v>
      </c>
      <c r="G2812" s="3">
        <v>23.759101302549499</v>
      </c>
      <c r="H2812" s="3">
        <v>24.047407619717401</v>
      </c>
      <c r="I2812" s="3">
        <v>25.200632888389002</v>
      </c>
      <c r="J2812" s="3">
        <v>25.667956037768203</v>
      </c>
      <c r="K2812" s="3">
        <v>27.646797413966304</v>
      </c>
      <c r="L2812" s="3">
        <v>29.560234469424703</v>
      </c>
      <c r="M2812" s="3">
        <v>32.010848074661205</v>
      </c>
      <c r="N2812" s="3">
        <v>34.819964708843607</v>
      </c>
      <c r="O2812" s="3">
        <v>46.690034706133403</v>
      </c>
      <c r="P2812" s="3">
        <v>50.12177312313009</v>
      </c>
    </row>
    <row r="2813" spans="1:16" x14ac:dyDescent="0.3">
      <c r="A2813" s="3" t="str">
        <f t="shared" si="44"/>
        <v>EXT</v>
      </c>
      <c r="C2813" s="3" t="s">
        <v>850</v>
      </c>
      <c r="D2813" s="3" t="s">
        <v>1570</v>
      </c>
      <c r="E2813" s="3" t="s">
        <v>1571</v>
      </c>
      <c r="F2813" s="3" t="s">
        <v>6</v>
      </c>
      <c r="G2813" s="3">
        <v>82.211642829874194</v>
      </c>
      <c r="H2813" s="3">
        <v>83.209245208465006</v>
      </c>
      <c r="I2813" s="3">
        <v>87.199654722828299</v>
      </c>
      <c r="J2813" s="3">
        <v>88.816694161890496</v>
      </c>
      <c r="K2813" s="3">
        <v>95.6639144487756</v>
      </c>
      <c r="L2813" s="3">
        <v>102.28482160252899</v>
      </c>
      <c r="M2813" s="3">
        <v>110.76447610891</v>
      </c>
      <c r="N2813" s="3">
        <v>120.48462883926901</v>
      </c>
      <c r="O2813" s="3">
        <v>161.55764513547399</v>
      </c>
      <c r="P2813" s="3">
        <v>173.43220425414799</v>
      </c>
    </row>
    <row r="2814" spans="1:16" x14ac:dyDescent="0.3">
      <c r="A2814" s="3" t="str">
        <f t="shared" si="44"/>
        <v>EXT</v>
      </c>
      <c r="C2814" s="3" t="s">
        <v>850</v>
      </c>
      <c r="D2814" s="3" t="s">
        <v>1570</v>
      </c>
      <c r="E2814" s="3" t="s">
        <v>1571</v>
      </c>
      <c r="F2814" s="3" t="s">
        <v>7</v>
      </c>
      <c r="G2814" s="3">
        <v>28.847202153789901</v>
      </c>
      <c r="H2814" s="3">
        <v>29.197250352484399</v>
      </c>
      <c r="I2814" s="3">
        <v>30.5974431472623</v>
      </c>
      <c r="J2814" s="3">
        <v>31.164845305686601</v>
      </c>
      <c r="K2814" s="3">
        <v>33.567463000798902</v>
      </c>
      <c r="L2814" s="3">
        <v>35.890669794038999</v>
      </c>
      <c r="M2814" s="3">
        <v>38.866091514367199</v>
      </c>
      <c r="N2814" s="3">
        <v>42.2767910348553</v>
      </c>
      <c r="O2814" s="3">
        <v>56.688881140077896</v>
      </c>
      <c r="P2814" s="3">
        <v>60.855539238522383</v>
      </c>
    </row>
    <row r="2815" spans="1:16" x14ac:dyDescent="0.3">
      <c r="A2815" s="3" t="str">
        <f t="shared" si="44"/>
        <v>EXT</v>
      </c>
      <c r="C2815" s="3" t="s">
        <v>850</v>
      </c>
      <c r="D2815" s="3" t="s">
        <v>1570</v>
      </c>
      <c r="E2815" s="3" t="s">
        <v>1571</v>
      </c>
      <c r="F2815" s="3" t="s">
        <v>8</v>
      </c>
      <c r="G2815" s="3">
        <v>17.085665523344201</v>
      </c>
      <c r="H2815" s="3">
        <v>17.292992612053201</v>
      </c>
      <c r="I2815" s="3">
        <v>18.122300966888901</v>
      </c>
      <c r="J2815" s="3">
        <v>18.458362795151402</v>
      </c>
      <c r="K2815" s="3">
        <v>19.881388920884802</v>
      </c>
      <c r="L2815" s="3">
        <v>21.257381434794702</v>
      </c>
      <c r="M2815" s="3">
        <v>23.019668814811702</v>
      </c>
      <c r="N2815" s="3">
        <v>25.039763203758604</v>
      </c>
      <c r="O2815" s="3">
        <v>33.575778229319205</v>
      </c>
      <c r="P2815" s="3">
        <v>36.043612934419102</v>
      </c>
    </row>
    <row r="2816" spans="1:16" x14ac:dyDescent="0.3">
      <c r="A2816" s="3" t="str">
        <f t="shared" si="44"/>
        <v>ELC</v>
      </c>
      <c r="C2816" s="3" t="s">
        <v>850</v>
      </c>
      <c r="D2816" s="3" t="s">
        <v>1338</v>
      </c>
      <c r="E2816" s="3" t="s">
        <v>1337</v>
      </c>
      <c r="F2816" s="3" t="s">
        <v>0</v>
      </c>
      <c r="G2816" s="3">
        <v>3.7791296839802202E-2</v>
      </c>
      <c r="H2816" s="3">
        <v>3.8249877721046002E-2</v>
      </c>
      <c r="I2816" s="3">
        <v>4.0084201246021099E-2</v>
      </c>
      <c r="J2816" s="3">
        <v>4.0827526830327497E-2</v>
      </c>
      <c r="K2816" s="3">
        <v>4.3975077779098502E-2</v>
      </c>
      <c r="L2816" s="3">
        <v>4.7018596421755501E-2</v>
      </c>
      <c r="M2816" s="3">
        <v>5.09165496741045E-2</v>
      </c>
      <c r="N2816" s="3">
        <v>5.53847389051772E-2</v>
      </c>
      <c r="O2816" s="3">
        <v>7.4265307368793901E-2</v>
      </c>
      <c r="P2816" s="3">
        <v>7.9723840650072098E-2</v>
      </c>
    </row>
    <row r="2817" spans="1:16" x14ac:dyDescent="0.3">
      <c r="A2817" s="3" t="str">
        <f t="shared" si="44"/>
        <v>ELC</v>
      </c>
      <c r="C2817" s="3" t="s">
        <v>850</v>
      </c>
      <c r="D2817" s="3" t="s">
        <v>1338</v>
      </c>
      <c r="E2817" s="3" t="s">
        <v>1337</v>
      </c>
      <c r="F2817" s="3" t="s">
        <v>1</v>
      </c>
      <c r="G2817" s="3">
        <v>0.10402672565432999</v>
      </c>
      <c r="H2817" s="3">
        <v>0.105289044534937</v>
      </c>
      <c r="I2817" s="3">
        <v>0.11033832005736</v>
      </c>
      <c r="J2817" s="3">
        <v>0.112384445305673</v>
      </c>
      <c r="K2817" s="3">
        <v>0.121048594102122</v>
      </c>
      <c r="L2817" s="3">
        <v>0.12942637696058601</v>
      </c>
      <c r="M2817" s="3">
        <v>0.140156130832604</v>
      </c>
      <c r="N2817" s="3">
        <v>0.15245555250323101</v>
      </c>
      <c r="O2817" s="3">
        <v>0.20442740528426601</v>
      </c>
      <c r="P2817" s="3">
        <v>0.219452910932662</v>
      </c>
    </row>
    <row r="2818" spans="1:16" x14ac:dyDescent="0.3">
      <c r="A2818" s="3" t="str">
        <f t="shared" si="44"/>
        <v>ELC</v>
      </c>
      <c r="C2818" s="3" t="s">
        <v>850</v>
      </c>
      <c r="D2818" s="3" t="s">
        <v>1338</v>
      </c>
      <c r="E2818" s="3" t="s">
        <v>1337</v>
      </c>
      <c r="F2818" s="3" t="s">
        <v>2</v>
      </c>
      <c r="G2818" s="3">
        <v>0.12682526568008101</v>
      </c>
      <c r="H2818" s="3">
        <v>0.128364234886299</v>
      </c>
      <c r="I2818" s="3">
        <v>0.134520111711179</v>
      </c>
      <c r="J2818" s="3">
        <v>0.13701466661136799</v>
      </c>
      <c r="K2818" s="3">
        <v>0.14757765382537599</v>
      </c>
      <c r="L2818" s="3">
        <v>0.15779151502451899</v>
      </c>
      <c r="M2818" s="3">
        <v>0.17087280617293199</v>
      </c>
      <c r="N2818" s="3">
        <v>0.18586777416098199</v>
      </c>
      <c r="O2818" s="3">
        <v>0.24922979959609201</v>
      </c>
      <c r="P2818" s="3">
        <v>0.267548301248904</v>
      </c>
    </row>
    <row r="2819" spans="1:16" x14ac:dyDescent="0.3">
      <c r="A2819" s="3" t="str">
        <f t="shared" si="44"/>
        <v>ELC</v>
      </c>
      <c r="C2819" s="3" t="s">
        <v>850</v>
      </c>
      <c r="D2819" s="3" t="s">
        <v>1338</v>
      </c>
      <c r="E2819" s="3" t="s">
        <v>1337</v>
      </c>
      <c r="F2819" s="3" t="s">
        <v>3</v>
      </c>
      <c r="G2819" s="3">
        <v>8.5901768061120501E-2</v>
      </c>
      <c r="H2819" s="3">
        <v>8.6944148497673596E-2</v>
      </c>
      <c r="I2819" s="3">
        <v>9.1113670243896897E-2</v>
      </c>
      <c r="J2819" s="3">
        <v>9.2803291592631607E-2</v>
      </c>
      <c r="K2819" s="3">
        <v>9.9957853996460497E-2</v>
      </c>
      <c r="L2819" s="3">
        <v>0.106875945049</v>
      </c>
      <c r="M2819" s="3">
        <v>0.115736214587135</v>
      </c>
      <c r="N2819" s="3">
        <v>0.12589266295163101</v>
      </c>
      <c r="O2819" s="3">
        <v>0.16880926938349999</v>
      </c>
      <c r="P2819" s="3">
        <v>0.18121682612520201</v>
      </c>
    </row>
    <row r="2820" spans="1:16" x14ac:dyDescent="0.3">
      <c r="A2820" s="3" t="str">
        <f t="shared" si="44"/>
        <v>ELC</v>
      </c>
      <c r="C2820" s="3" t="s">
        <v>850</v>
      </c>
      <c r="D2820" s="3" t="s">
        <v>1338</v>
      </c>
      <c r="E2820" s="3" t="s">
        <v>1337</v>
      </c>
      <c r="F2820" s="3" t="s">
        <v>4</v>
      </c>
      <c r="G2820" s="3">
        <v>0.123011835804211</v>
      </c>
      <c r="H2820" s="3">
        <v>0.12450453070445699</v>
      </c>
      <c r="I2820" s="3">
        <v>0.13047531030545001</v>
      </c>
      <c r="J2820" s="3">
        <v>0.132894857988959</v>
      </c>
      <c r="K2820" s="3">
        <v>0.14314023332331099</v>
      </c>
      <c r="L2820" s="3">
        <v>0.15304698029536501</v>
      </c>
      <c r="M2820" s="3">
        <v>0.16573493825253299</v>
      </c>
      <c r="N2820" s="3">
        <v>0.180279031893057</v>
      </c>
      <c r="O2820" s="3">
        <v>0.241735864072748</v>
      </c>
      <c r="P2820" s="3">
        <v>0.25950355811550102</v>
      </c>
    </row>
    <row r="2821" spans="1:16" x14ac:dyDescent="0.3">
      <c r="A2821" s="3" t="str">
        <f t="shared" si="44"/>
        <v>ELC</v>
      </c>
      <c r="C2821" s="3" t="s">
        <v>850</v>
      </c>
      <c r="D2821" s="3" t="s">
        <v>1338</v>
      </c>
      <c r="E2821" s="3" t="s">
        <v>1337</v>
      </c>
      <c r="F2821" s="3" t="s">
        <v>5</v>
      </c>
      <c r="G2821" s="3">
        <v>0.10722273284718201</v>
      </c>
      <c r="H2821" s="3">
        <v>0.108523833879169</v>
      </c>
      <c r="I2821" s="3">
        <v>0.11372823800712201</v>
      </c>
      <c r="J2821" s="3">
        <v>0.11583722624539899</v>
      </c>
      <c r="K2821" s="3">
        <v>0.124767563193975</v>
      </c>
      <c r="L2821" s="3">
        <v>0.133402736200086</v>
      </c>
      <c r="M2821" s="3">
        <v>0.144462139691825</v>
      </c>
      <c r="N2821" s="3">
        <v>0.15713943579692599</v>
      </c>
      <c r="O2821" s="3">
        <v>0.210708016863591</v>
      </c>
      <c r="P2821" s="3">
        <v>0.22619515026991899</v>
      </c>
    </row>
    <row r="2822" spans="1:16" x14ac:dyDescent="0.3">
      <c r="A2822" s="3" t="str">
        <f t="shared" si="44"/>
        <v>ELC</v>
      </c>
      <c r="C2822" s="3" t="s">
        <v>850</v>
      </c>
      <c r="D2822" s="3" t="s">
        <v>1338</v>
      </c>
      <c r="E2822" s="3" t="s">
        <v>1337</v>
      </c>
      <c r="F2822" s="3" t="s">
        <v>6</v>
      </c>
      <c r="G2822" s="3">
        <v>0.372492026948674</v>
      </c>
      <c r="H2822" s="3">
        <v>0.37701205500430002</v>
      </c>
      <c r="I2822" s="3">
        <v>0.39509216722680102</v>
      </c>
      <c r="J2822" s="3">
        <v>0.40241879734364999</v>
      </c>
      <c r="K2822" s="3">
        <v>0.43344280897791299</v>
      </c>
      <c r="L2822" s="3">
        <v>0.46344142037951402</v>
      </c>
      <c r="M2822" s="3">
        <v>0.50186181420916398</v>
      </c>
      <c r="N2822" s="3">
        <v>0.545902770795748</v>
      </c>
      <c r="O2822" s="3">
        <v>0.73200014783915401</v>
      </c>
      <c r="P2822" s="3">
        <v>0.78580248584120604</v>
      </c>
    </row>
    <row r="2823" spans="1:16" x14ac:dyDescent="0.3">
      <c r="A2823" s="3" t="str">
        <f t="shared" si="44"/>
        <v>ELC</v>
      </c>
      <c r="C2823" s="3" t="s">
        <v>850</v>
      </c>
      <c r="D2823" s="3" t="s">
        <v>1338</v>
      </c>
      <c r="E2823" s="3" t="s">
        <v>1337</v>
      </c>
      <c r="F2823" s="3" t="s">
        <v>7</v>
      </c>
      <c r="G2823" s="3">
        <v>0.10895363589299401</v>
      </c>
      <c r="H2823" s="3">
        <v>0.110275740677445</v>
      </c>
      <c r="I2823" s="3">
        <v>0.115564159815245</v>
      </c>
      <c r="J2823" s="3">
        <v>0.117707193577907</v>
      </c>
      <c r="K2823" s="3">
        <v>0.126781693494667</v>
      </c>
      <c r="L2823" s="3">
        <v>0.13555626461963799</v>
      </c>
      <c r="M2823" s="3">
        <v>0.146794200729228</v>
      </c>
      <c r="N2823" s="3">
        <v>0.15967614719025999</v>
      </c>
      <c r="O2823" s="3">
        <v>0.21410948909323599</v>
      </c>
      <c r="P2823" s="3">
        <v>0.22984663222858001</v>
      </c>
    </row>
    <row r="2824" spans="1:16" x14ac:dyDescent="0.3">
      <c r="A2824" s="3" t="str">
        <f t="shared" si="44"/>
        <v>ELC</v>
      </c>
      <c r="C2824" s="3" t="s">
        <v>850</v>
      </c>
      <c r="D2824" s="3" t="s">
        <v>1338</v>
      </c>
      <c r="E2824" s="3" t="s">
        <v>1337</v>
      </c>
      <c r="F2824" s="3" t="s">
        <v>8</v>
      </c>
      <c r="G2824" s="3">
        <v>6.8318892224672495E-2</v>
      </c>
      <c r="H2824" s="3">
        <v>6.91479121425327E-2</v>
      </c>
      <c r="I2824" s="3">
        <v>7.2463991813974699E-2</v>
      </c>
      <c r="J2824" s="3">
        <v>7.38077715920889E-2</v>
      </c>
      <c r="K2824" s="3">
        <v>7.9497896356854003E-2</v>
      </c>
      <c r="L2824" s="3">
        <v>8.49999521082863E-2</v>
      </c>
      <c r="M2824" s="3">
        <v>9.2046649904153996E-2</v>
      </c>
      <c r="N2824" s="3">
        <v>0.10012421707024199</v>
      </c>
      <c r="O2824" s="3">
        <v>0.13425640172308201</v>
      </c>
      <c r="P2824" s="3">
        <v>0.14412430724983299</v>
      </c>
    </row>
    <row r="2825" spans="1:16" x14ac:dyDescent="0.3">
      <c r="A2825" s="3" t="str">
        <f t="shared" si="44"/>
        <v>DST</v>
      </c>
      <c r="C2825" s="3" t="s">
        <v>850</v>
      </c>
      <c r="D2825" s="3" t="s">
        <v>733</v>
      </c>
      <c r="E2825" s="3" t="s">
        <v>1357</v>
      </c>
      <c r="F2825" s="3" t="s">
        <v>0</v>
      </c>
      <c r="G2825" s="3">
        <v>0.12712560617959801</v>
      </c>
    </row>
    <row r="2826" spans="1:16" x14ac:dyDescent="0.3">
      <c r="A2826" s="3" t="str">
        <f t="shared" si="44"/>
        <v>DST</v>
      </c>
      <c r="C2826" s="3" t="s">
        <v>850</v>
      </c>
      <c r="D2826" s="3" t="s">
        <v>733</v>
      </c>
      <c r="E2826" s="3" t="s">
        <v>1357</v>
      </c>
      <c r="F2826" s="3" t="s">
        <v>1</v>
      </c>
      <c r="G2826" s="3">
        <v>0.349934023533093</v>
      </c>
    </row>
    <row r="2827" spans="1:16" x14ac:dyDescent="0.3">
      <c r="A2827" s="3" t="str">
        <f t="shared" si="44"/>
        <v>DST</v>
      </c>
      <c r="C2827" s="3" t="s">
        <v>850</v>
      </c>
      <c r="D2827" s="3" t="s">
        <v>733</v>
      </c>
      <c r="E2827" s="3" t="s">
        <v>1357</v>
      </c>
      <c r="F2827" s="3" t="s">
        <v>2</v>
      </c>
      <c r="G2827" s="3">
        <v>0.426625708210362</v>
      </c>
    </row>
    <row r="2828" spans="1:16" x14ac:dyDescent="0.3">
      <c r="A2828" s="3" t="str">
        <f t="shared" si="44"/>
        <v>DST</v>
      </c>
      <c r="C2828" s="3" t="s">
        <v>850</v>
      </c>
      <c r="D2828" s="3" t="s">
        <v>733</v>
      </c>
      <c r="E2828" s="3" t="s">
        <v>1357</v>
      </c>
      <c r="F2828" s="3" t="s">
        <v>3</v>
      </c>
      <c r="G2828" s="3">
        <v>0.28896373635867501</v>
      </c>
    </row>
    <row r="2829" spans="1:16" x14ac:dyDescent="0.3">
      <c r="A2829" s="3" t="str">
        <f t="shared" si="44"/>
        <v>DST</v>
      </c>
      <c r="C2829" s="3" t="s">
        <v>850</v>
      </c>
      <c r="D2829" s="3" t="s">
        <v>733</v>
      </c>
      <c r="E2829" s="3" t="s">
        <v>1357</v>
      </c>
      <c r="F2829" s="3" t="s">
        <v>4</v>
      </c>
      <c r="G2829" s="3">
        <v>0.48682090078180201</v>
      </c>
    </row>
    <row r="2830" spans="1:16" x14ac:dyDescent="0.3">
      <c r="A2830" s="3" t="str">
        <f t="shared" si="44"/>
        <v>DST</v>
      </c>
      <c r="C2830" s="3" t="s">
        <v>850</v>
      </c>
      <c r="D2830" s="3" t="s">
        <v>733</v>
      </c>
      <c r="E2830" s="3" t="s">
        <v>1357</v>
      </c>
      <c r="F2830" s="3" t="s">
        <v>5</v>
      </c>
      <c r="G2830" s="3">
        <v>0.424335325521289</v>
      </c>
    </row>
    <row r="2831" spans="1:16" x14ac:dyDescent="0.3">
      <c r="A2831" s="3" t="str">
        <f t="shared" si="44"/>
        <v>DST</v>
      </c>
      <c r="C2831" s="3" t="s">
        <v>850</v>
      </c>
      <c r="D2831" s="3" t="s">
        <v>733</v>
      </c>
      <c r="E2831" s="3" t="s">
        <v>1357</v>
      </c>
      <c r="F2831" s="3" t="s">
        <v>6</v>
      </c>
      <c r="G2831" s="3">
        <v>1.47414192226036</v>
      </c>
    </row>
    <row r="2832" spans="1:16" x14ac:dyDescent="0.3">
      <c r="A2832" s="3" t="str">
        <f t="shared" si="44"/>
        <v>DST</v>
      </c>
      <c r="C2832" s="3" t="s">
        <v>850</v>
      </c>
      <c r="D2832" s="3" t="s">
        <v>733</v>
      </c>
      <c r="E2832" s="3" t="s">
        <v>1357</v>
      </c>
      <c r="F2832" s="3" t="s">
        <v>7</v>
      </c>
      <c r="G2832" s="3">
        <v>0.87961820841968497</v>
      </c>
    </row>
    <row r="2833" spans="1:16" x14ac:dyDescent="0.3">
      <c r="A2833" s="3" t="str">
        <f t="shared" si="44"/>
        <v>DST</v>
      </c>
      <c r="C2833" s="3" t="s">
        <v>850</v>
      </c>
      <c r="D2833" s="3" t="s">
        <v>733</v>
      </c>
      <c r="E2833" s="3" t="s">
        <v>1357</v>
      </c>
      <c r="F2833" s="3" t="s">
        <v>8</v>
      </c>
      <c r="G2833" s="3">
        <v>0.55156068071837205</v>
      </c>
    </row>
    <row r="2834" spans="1:16" x14ac:dyDescent="0.3">
      <c r="A2834" s="3" t="str">
        <f t="shared" si="44"/>
        <v>ELC</v>
      </c>
      <c r="C2834" s="3" t="s">
        <v>850</v>
      </c>
      <c r="D2834" s="3" t="s">
        <v>733</v>
      </c>
      <c r="E2834" s="3" t="s">
        <v>1355</v>
      </c>
      <c r="F2834" s="3" t="s">
        <v>0</v>
      </c>
      <c r="G2834" s="3">
        <v>0.18895648419901101</v>
      </c>
    </row>
    <row r="2835" spans="1:16" x14ac:dyDescent="0.3">
      <c r="A2835" s="3" t="str">
        <f t="shared" si="44"/>
        <v>ELC</v>
      </c>
      <c r="C2835" s="3" t="s">
        <v>850</v>
      </c>
      <c r="D2835" s="3" t="s">
        <v>733</v>
      </c>
      <c r="E2835" s="3" t="s">
        <v>1355</v>
      </c>
      <c r="F2835" s="3" t="s">
        <v>1</v>
      </c>
      <c r="G2835" s="3">
        <v>0.52013362827165199</v>
      </c>
      <c r="H2835" s="3">
        <v>1.89295374726299</v>
      </c>
      <c r="N2835" s="3">
        <v>0.59136091488311704</v>
      </c>
      <c r="O2835" s="3">
        <v>0.75317754036447204</v>
      </c>
      <c r="P2835" s="3">
        <v>0.77299467044037196</v>
      </c>
    </row>
    <row r="2836" spans="1:16" x14ac:dyDescent="0.3">
      <c r="A2836" s="3" t="str">
        <f t="shared" si="44"/>
        <v>ELC</v>
      </c>
      <c r="C2836" s="3" t="s">
        <v>850</v>
      </c>
      <c r="D2836" s="3" t="s">
        <v>733</v>
      </c>
      <c r="E2836" s="3" t="s">
        <v>1355</v>
      </c>
      <c r="F2836" s="3" t="s">
        <v>2</v>
      </c>
      <c r="G2836" s="3">
        <v>0.63412632840039795</v>
      </c>
      <c r="H2836" s="3">
        <v>2.7877772307075301</v>
      </c>
      <c r="N2836" s="3">
        <v>0.72131271949076103</v>
      </c>
      <c r="O2836" s="3">
        <v>0.91869342529501197</v>
      </c>
      <c r="P2836" s="3">
        <v>0.94287002944102905</v>
      </c>
    </row>
    <row r="2837" spans="1:16" x14ac:dyDescent="0.3">
      <c r="A2837" s="3" t="str">
        <f t="shared" si="44"/>
        <v>ELC</v>
      </c>
      <c r="C2837" s="3" t="s">
        <v>850</v>
      </c>
      <c r="D2837" s="3" t="s">
        <v>733</v>
      </c>
      <c r="E2837" s="3" t="s">
        <v>1355</v>
      </c>
      <c r="F2837" s="3" t="s">
        <v>3</v>
      </c>
      <c r="G2837" s="3">
        <v>0.429508840305597</v>
      </c>
      <c r="H2837" s="3">
        <v>1.8882278053522099</v>
      </c>
      <c r="N2837" s="3">
        <v>9.9251494641457699E-3</v>
      </c>
      <c r="O2837" s="3">
        <v>6.0454354787755904E-3</v>
      </c>
    </row>
    <row r="2838" spans="1:16" x14ac:dyDescent="0.3">
      <c r="A2838" s="3" t="str">
        <f t="shared" si="44"/>
        <v>ELC</v>
      </c>
      <c r="C2838" s="3" t="s">
        <v>850</v>
      </c>
      <c r="D2838" s="3" t="s">
        <v>733</v>
      </c>
      <c r="E2838" s="3" t="s">
        <v>1355</v>
      </c>
      <c r="F2838" s="3" t="s">
        <v>4</v>
      </c>
      <c r="G2838" s="3">
        <v>0.61505917902104601</v>
      </c>
      <c r="H2838" s="3">
        <v>2.5542778888792501</v>
      </c>
      <c r="N2838" s="3">
        <v>0.46471518615886798</v>
      </c>
      <c r="O2838" s="3">
        <v>0.58864324179954497</v>
      </c>
      <c r="P2838" s="3">
        <v>0.60108904741595803</v>
      </c>
    </row>
    <row r="2839" spans="1:16" x14ac:dyDescent="0.3">
      <c r="A2839" s="3" t="str">
        <f t="shared" si="44"/>
        <v>ELC</v>
      </c>
      <c r="C2839" s="3" t="s">
        <v>850</v>
      </c>
      <c r="D2839" s="3" t="s">
        <v>733</v>
      </c>
      <c r="E2839" s="3" t="s">
        <v>1355</v>
      </c>
      <c r="F2839" s="3" t="s">
        <v>5</v>
      </c>
      <c r="G2839" s="3">
        <v>0.53611366423589801</v>
      </c>
      <c r="H2839" s="3">
        <v>2.2264252371021498</v>
      </c>
      <c r="I2839" s="3">
        <v>2.33319640690297</v>
      </c>
      <c r="N2839" s="3">
        <v>6.3451811266508904E-3</v>
      </c>
    </row>
    <row r="2840" spans="1:16" x14ac:dyDescent="0.3">
      <c r="A2840" s="3" t="str">
        <f t="shared" si="44"/>
        <v>ELC</v>
      </c>
      <c r="C2840" s="3" t="s">
        <v>850</v>
      </c>
      <c r="D2840" s="3" t="s">
        <v>733</v>
      </c>
      <c r="E2840" s="3" t="s">
        <v>1355</v>
      </c>
      <c r="F2840" s="3" t="s">
        <v>6</v>
      </c>
      <c r="G2840" s="3">
        <v>1.86246013474337</v>
      </c>
    </row>
    <row r="2841" spans="1:16" x14ac:dyDescent="0.3">
      <c r="A2841" s="3" t="str">
        <f t="shared" si="44"/>
        <v>ELC</v>
      </c>
      <c r="C2841" s="3" t="s">
        <v>850</v>
      </c>
      <c r="D2841" s="3" t="s">
        <v>733</v>
      </c>
      <c r="E2841" s="3" t="s">
        <v>1355</v>
      </c>
      <c r="F2841" s="3" t="s">
        <v>7</v>
      </c>
      <c r="G2841" s="3">
        <v>0.54476817946497103</v>
      </c>
      <c r="N2841" s="3">
        <v>0.10974867666431901</v>
      </c>
    </row>
    <row r="2842" spans="1:16" x14ac:dyDescent="0.3">
      <c r="A2842" s="3" t="str">
        <f t="shared" si="44"/>
        <v>ELC</v>
      </c>
      <c r="C2842" s="3" t="s">
        <v>850</v>
      </c>
      <c r="D2842" s="3" t="s">
        <v>733</v>
      </c>
      <c r="E2842" s="3" t="s">
        <v>1355</v>
      </c>
      <c r="F2842" s="3" t="s">
        <v>8</v>
      </c>
      <c r="G2842" s="3">
        <v>0.34159446112335801</v>
      </c>
      <c r="O2842" s="3">
        <v>2.9532261256701199E-2</v>
      </c>
      <c r="P2842" s="3">
        <v>3.9233636046169203E-2</v>
      </c>
    </row>
    <row r="2843" spans="1:16" x14ac:dyDescent="0.3">
      <c r="A2843" s="3" t="str">
        <f t="shared" si="44"/>
        <v>LPG</v>
      </c>
      <c r="C2843" s="3" t="s">
        <v>850</v>
      </c>
      <c r="D2843" s="3" t="s">
        <v>733</v>
      </c>
      <c r="E2843" s="3" t="s">
        <v>1361</v>
      </c>
      <c r="F2843" s="3" t="s">
        <v>4</v>
      </c>
      <c r="G2843" s="3">
        <v>7.1383478227929802E-3</v>
      </c>
    </row>
    <row r="2844" spans="1:16" x14ac:dyDescent="0.3">
      <c r="A2844" s="3" t="str">
        <f t="shared" si="44"/>
        <v>LPG</v>
      </c>
      <c r="C2844" s="3" t="s">
        <v>850</v>
      </c>
      <c r="D2844" s="3" t="s">
        <v>733</v>
      </c>
      <c r="E2844" s="3" t="s">
        <v>1361</v>
      </c>
      <c r="F2844" s="3" t="s">
        <v>5</v>
      </c>
      <c r="G2844" s="3">
        <v>6.22210990162531E-3</v>
      </c>
    </row>
    <row r="2845" spans="1:16" x14ac:dyDescent="0.3">
      <c r="A2845" s="3" t="str">
        <f t="shared" si="44"/>
        <v>LPG</v>
      </c>
      <c r="C2845" s="3" t="s">
        <v>850</v>
      </c>
      <c r="D2845" s="3" t="s">
        <v>733</v>
      </c>
      <c r="E2845" s="3" t="s">
        <v>1361</v>
      </c>
      <c r="F2845" s="3" t="s">
        <v>6</v>
      </c>
      <c r="G2845" s="3">
        <v>2.1615624481944099E-2</v>
      </c>
    </row>
    <row r="2846" spans="1:16" x14ac:dyDescent="0.3">
      <c r="A2846" s="3" t="str">
        <f t="shared" si="44"/>
        <v>LPG</v>
      </c>
      <c r="C2846" s="3" t="s">
        <v>850</v>
      </c>
      <c r="D2846" s="3" t="s">
        <v>733</v>
      </c>
      <c r="E2846" s="3" t="s">
        <v>1361</v>
      </c>
      <c r="F2846" s="3" t="s">
        <v>7</v>
      </c>
      <c r="G2846" s="3">
        <v>4.2993365820832199E-2</v>
      </c>
    </row>
    <row r="2847" spans="1:16" x14ac:dyDescent="0.3">
      <c r="A2847" s="3" t="str">
        <f t="shared" ref="A2847:A2910" si="45">RIGHT(E2847,3)</f>
        <v>LPG</v>
      </c>
      <c r="C2847" s="3" t="s">
        <v>850</v>
      </c>
      <c r="D2847" s="3" t="s">
        <v>733</v>
      </c>
      <c r="E2847" s="3" t="s">
        <v>1361</v>
      </c>
      <c r="F2847" s="3" t="s">
        <v>8</v>
      </c>
      <c r="G2847" s="3">
        <v>2.6958798591853E-2</v>
      </c>
    </row>
    <row r="2848" spans="1:16" x14ac:dyDescent="0.3">
      <c r="A2848" s="3" t="str">
        <f t="shared" si="45"/>
        <v>NGA</v>
      </c>
      <c r="C2848" s="3" t="s">
        <v>850</v>
      </c>
      <c r="D2848" s="3" t="s">
        <v>733</v>
      </c>
      <c r="E2848" s="3" t="s">
        <v>1359</v>
      </c>
      <c r="F2848" s="3" t="s">
        <v>0</v>
      </c>
      <c r="G2848" s="3">
        <v>0.36335400178855498</v>
      </c>
      <c r="H2848" s="3">
        <v>0.68768075239186099</v>
      </c>
      <c r="I2848" s="3">
        <v>0.72065939329064699</v>
      </c>
      <c r="J2848" s="3">
        <v>0.734023375806239</v>
      </c>
      <c r="K2848" s="3">
        <v>0.79061205879310303</v>
      </c>
      <c r="L2848" s="3">
        <v>0.84533038247940195</v>
      </c>
      <c r="M2848" s="3">
        <v>0.91541027776461803</v>
      </c>
      <c r="N2848" s="3">
        <v>0.99574223999106204</v>
      </c>
      <c r="O2848" s="3">
        <v>1.3351891689809201</v>
      </c>
      <c r="P2848" s="3">
        <v>1.4333261696061901</v>
      </c>
    </row>
    <row r="2849" spans="1:16" x14ac:dyDescent="0.3">
      <c r="A2849" s="3" t="str">
        <f t="shared" si="45"/>
        <v>NGA</v>
      </c>
      <c r="C2849" s="3" t="s">
        <v>850</v>
      </c>
      <c r="D2849" s="3" t="s">
        <v>733</v>
      </c>
      <c r="E2849" s="3" t="s">
        <v>1359</v>
      </c>
      <c r="F2849" s="3" t="s">
        <v>1</v>
      </c>
      <c r="G2849" s="3">
        <v>1.0001913197022501</v>
      </c>
      <c r="I2849" s="3">
        <v>1.98373285028698</v>
      </c>
      <c r="J2849" s="3">
        <v>2.0205193979593701</v>
      </c>
      <c r="K2849" s="3">
        <v>2.1762890034632001</v>
      </c>
      <c r="L2849" s="3">
        <v>2.3269101390783402</v>
      </c>
      <c r="M2849" s="3">
        <v>2.5198165130411798</v>
      </c>
      <c r="N2849" s="3">
        <v>2.14958246319337</v>
      </c>
      <c r="O2849" s="3">
        <v>2.9221490293214201</v>
      </c>
      <c r="P2849" s="3">
        <v>3.1724700446460199</v>
      </c>
    </row>
    <row r="2850" spans="1:16" x14ac:dyDescent="0.3">
      <c r="A2850" s="3" t="str">
        <f t="shared" si="45"/>
        <v>NGA</v>
      </c>
      <c r="C2850" s="3" t="s">
        <v>850</v>
      </c>
      <c r="D2850" s="3" t="s">
        <v>733</v>
      </c>
      <c r="E2850" s="3" t="s">
        <v>1359</v>
      </c>
      <c r="F2850" s="3" t="s">
        <v>2</v>
      </c>
      <c r="G2850" s="3">
        <v>1.6936023071403099</v>
      </c>
      <c r="I2850" s="3">
        <v>2.9214687785333799</v>
      </c>
      <c r="J2850" s="3">
        <v>2.9756447984946202</v>
      </c>
      <c r="K2850" s="3">
        <v>3.2050486917951102</v>
      </c>
      <c r="L2850" s="3">
        <v>3.4268703675430401</v>
      </c>
      <c r="M2850" s="3">
        <v>3.71096605544325</v>
      </c>
      <c r="N2850" s="3">
        <v>3.3153097025354001</v>
      </c>
      <c r="O2850" s="3">
        <v>4.4940070916612802</v>
      </c>
      <c r="P2850" s="3">
        <v>4.8676663944844503</v>
      </c>
    </row>
    <row r="2851" spans="1:16" x14ac:dyDescent="0.3">
      <c r="A2851" s="3" t="str">
        <f t="shared" si="45"/>
        <v>NGA</v>
      </c>
      <c r="C2851" s="3" t="s">
        <v>850</v>
      </c>
      <c r="D2851" s="3" t="s">
        <v>733</v>
      </c>
      <c r="E2851" s="3" t="s">
        <v>1359</v>
      </c>
      <c r="F2851" s="3" t="s">
        <v>3</v>
      </c>
      <c r="G2851" s="3">
        <v>1.14711711263219</v>
      </c>
      <c r="I2851" s="3">
        <v>1.9787802695752199</v>
      </c>
      <c r="J2851" s="3">
        <v>2.0154749760773498</v>
      </c>
      <c r="K2851" s="3">
        <v>2.1708556877119398</v>
      </c>
      <c r="L2851" s="3">
        <v>2.3211007831103001</v>
      </c>
      <c r="M2851" s="3">
        <v>2.51352554767361</v>
      </c>
      <c r="N2851" s="3">
        <v>2.7241751986628602</v>
      </c>
      <c r="O2851" s="3">
        <v>3.6601053263478001</v>
      </c>
      <c r="P2851" s="3">
        <v>3.9356144812486802</v>
      </c>
    </row>
    <row r="2852" spans="1:16" x14ac:dyDescent="0.3">
      <c r="A2852" s="3" t="str">
        <f t="shared" si="45"/>
        <v>NGA</v>
      </c>
      <c r="C2852" s="3" t="s">
        <v>850</v>
      </c>
      <c r="D2852" s="3" t="s">
        <v>733</v>
      </c>
      <c r="E2852" s="3" t="s">
        <v>1359</v>
      </c>
      <c r="F2852" s="3" t="s">
        <v>4</v>
      </c>
      <c r="G2852" s="3">
        <v>1.4146360168137</v>
      </c>
      <c r="I2852" s="3">
        <v>2.6767716666388699</v>
      </c>
      <c r="J2852" s="3">
        <v>2.7264099979840699</v>
      </c>
      <c r="K2852" s="3">
        <v>2.9365994226719101</v>
      </c>
      <c r="L2852" s="3">
        <v>3.1398417030793899</v>
      </c>
      <c r="M2852" s="3">
        <v>3.4001420333698702</v>
      </c>
      <c r="N2852" s="3">
        <v>3.2338068064749499</v>
      </c>
      <c r="O2852" s="3">
        <v>4.37069895286995</v>
      </c>
      <c r="P2852" s="3">
        <v>4.7227670149256999</v>
      </c>
    </row>
    <row r="2853" spans="1:16" x14ac:dyDescent="0.3">
      <c r="A2853" s="3" t="str">
        <f t="shared" si="45"/>
        <v>NGA</v>
      </c>
      <c r="C2853" s="3" t="s">
        <v>850</v>
      </c>
      <c r="D2853" s="3" t="s">
        <v>733</v>
      </c>
      <c r="E2853" s="3" t="s">
        <v>1359</v>
      </c>
      <c r="F2853" s="3" t="s">
        <v>5</v>
      </c>
      <c r="G2853" s="3">
        <v>1.23306134499314</v>
      </c>
      <c r="J2853" s="3">
        <v>2.3764634430057199</v>
      </c>
      <c r="K2853" s="3">
        <v>2.5596741428807901</v>
      </c>
      <c r="L2853" s="3">
        <v>2.7368293945922502</v>
      </c>
      <c r="M2853" s="3">
        <v>2.9637190478707498</v>
      </c>
      <c r="N2853" s="3">
        <v>3.2174554633640602</v>
      </c>
      <c r="O2853" s="3">
        <v>4.3227891020434397</v>
      </c>
      <c r="P2853" s="3">
        <v>4.6405160329276596</v>
      </c>
    </row>
    <row r="2854" spans="1:16" x14ac:dyDescent="0.3">
      <c r="A2854" s="3" t="str">
        <f t="shared" si="45"/>
        <v>NGA</v>
      </c>
      <c r="C2854" s="3" t="s">
        <v>850</v>
      </c>
      <c r="D2854" s="3" t="s">
        <v>733</v>
      </c>
      <c r="E2854" s="3" t="s">
        <v>1359</v>
      </c>
      <c r="F2854" s="3" t="s">
        <v>6</v>
      </c>
      <c r="G2854" s="3">
        <v>4.2836580224380603</v>
      </c>
      <c r="H2854" s="3">
        <v>7.7346065278887197</v>
      </c>
      <c r="I2854" s="3">
        <v>8.1055298237486895</v>
      </c>
      <c r="J2854" s="3">
        <v>8.2558396092766007</v>
      </c>
      <c r="K2854" s="3">
        <v>8.8923140130060307</v>
      </c>
      <c r="L2854" s="3">
        <v>9.5077517755247101</v>
      </c>
      <c r="M2854" s="3">
        <v>10.2959669664567</v>
      </c>
      <c r="N2854" s="3">
        <v>11.199491046887401</v>
      </c>
      <c r="O2854" s="3">
        <v>15.0173795419556</v>
      </c>
      <c r="P2854" s="3">
        <v>16.1211636496589</v>
      </c>
    </row>
    <row r="2855" spans="1:16" x14ac:dyDescent="0.3">
      <c r="A2855" s="3" t="str">
        <f t="shared" si="45"/>
        <v>NGA</v>
      </c>
      <c r="C2855" s="3" t="s">
        <v>850</v>
      </c>
      <c r="D2855" s="3" t="s">
        <v>733</v>
      </c>
      <c r="E2855" s="3" t="s">
        <v>1359</v>
      </c>
      <c r="F2855" s="3" t="s">
        <v>7</v>
      </c>
      <c r="G2855" s="3">
        <v>1.25707481631921</v>
      </c>
      <c r="H2855" s="3">
        <v>2.7575146362861598</v>
      </c>
      <c r="I2855" s="3">
        <v>2.8897549013320001</v>
      </c>
      <c r="J2855" s="3">
        <v>2.94334281586596</v>
      </c>
      <c r="K2855" s="3">
        <v>3.1702564251849399</v>
      </c>
      <c r="L2855" s="3">
        <v>3.3896701253840802</v>
      </c>
      <c r="M2855" s="3">
        <v>3.6706818249063402</v>
      </c>
      <c r="N2855" s="3">
        <v>3.8830543663080199</v>
      </c>
      <c r="O2855" s="3">
        <v>5.3539431820212497</v>
      </c>
      <c r="P2855" s="3">
        <v>5.7474603986136401</v>
      </c>
    </row>
    <row r="2856" spans="1:16" x14ac:dyDescent="0.3">
      <c r="A2856" s="3" t="str">
        <f t="shared" si="45"/>
        <v>NGA</v>
      </c>
      <c r="C2856" s="3" t="s">
        <v>850</v>
      </c>
      <c r="D2856" s="3" t="s">
        <v>733</v>
      </c>
      <c r="E2856" s="3" t="s">
        <v>1359</v>
      </c>
      <c r="F2856" s="3" t="s">
        <v>8</v>
      </c>
      <c r="G2856" s="3">
        <v>0.78824316591699295</v>
      </c>
      <c r="H2856" s="3">
        <v>1.7290872736859499</v>
      </c>
      <c r="I2856" s="3">
        <v>1.8120079430273801</v>
      </c>
      <c r="J2856" s="3">
        <v>1.8456100062131</v>
      </c>
      <c r="K2856" s="3">
        <v>1.98789517450799</v>
      </c>
      <c r="L2856" s="3">
        <v>2.1254775581857799</v>
      </c>
      <c r="M2856" s="3">
        <v>2.3016846930480801</v>
      </c>
      <c r="N2856" s="3">
        <v>2.5036693684557298</v>
      </c>
      <c r="O2856" s="3">
        <v>3.3276339703389302</v>
      </c>
      <c r="P2856" s="3">
        <v>3.5646858139122899</v>
      </c>
    </row>
    <row r="2857" spans="1:16" x14ac:dyDescent="0.3">
      <c r="A2857" s="3" t="str">
        <f t="shared" si="45"/>
        <v>NGA</v>
      </c>
      <c r="C2857" s="3" t="s">
        <v>850</v>
      </c>
      <c r="D2857" s="3" t="s">
        <v>1261</v>
      </c>
      <c r="E2857" s="3" t="s">
        <v>1327</v>
      </c>
      <c r="F2857" s="3" t="s">
        <v>7</v>
      </c>
      <c r="G2857" s="3">
        <v>0.224298589303984</v>
      </c>
      <c r="H2857" s="3">
        <v>0.224298589303984</v>
      </c>
      <c r="I2857" s="3">
        <v>0.224298589303984</v>
      </c>
      <c r="J2857" s="3">
        <v>0.224298589303984</v>
      </c>
      <c r="K2857" s="3">
        <v>0.224298589303984</v>
      </c>
      <c r="L2857" s="3">
        <v>0.224298589303984</v>
      </c>
      <c r="M2857" s="3">
        <v>0.224298589303984</v>
      </c>
      <c r="N2857" s="3">
        <v>0.224298589303984</v>
      </c>
      <c r="O2857" s="3">
        <v>0.224298589303984</v>
      </c>
      <c r="P2857" s="3">
        <v>0.224298589303984</v>
      </c>
    </row>
    <row r="2858" spans="1:16" x14ac:dyDescent="0.3">
      <c r="A2858" s="3" t="str">
        <f t="shared" si="45"/>
        <v>NGA</v>
      </c>
      <c r="C2858" s="3" t="s">
        <v>850</v>
      </c>
      <c r="D2858" s="3" t="s">
        <v>1261</v>
      </c>
      <c r="E2858" s="3" t="s">
        <v>1329</v>
      </c>
      <c r="F2858" s="3" t="s">
        <v>1</v>
      </c>
      <c r="G2858" s="3">
        <v>0.49682920747749099</v>
      </c>
      <c r="K2858" s="3">
        <v>0.49991639379526198</v>
      </c>
      <c r="L2858" s="3">
        <v>0.49991639379526198</v>
      </c>
    </row>
    <row r="2859" spans="1:16" x14ac:dyDescent="0.3">
      <c r="A2859" s="3" t="str">
        <f t="shared" si="45"/>
        <v>NGA</v>
      </c>
      <c r="C2859" s="3" t="s">
        <v>850</v>
      </c>
      <c r="D2859" s="3" t="s">
        <v>1261</v>
      </c>
      <c r="E2859" s="3" t="s">
        <v>1329</v>
      </c>
      <c r="F2859" s="3" t="s">
        <v>4</v>
      </c>
      <c r="J2859" s="3">
        <v>0.21633245978131499</v>
      </c>
      <c r="K2859" s="3">
        <v>0.21633245978131499</v>
      </c>
      <c r="L2859" s="3">
        <v>0.21633245978131499</v>
      </c>
      <c r="M2859" s="3">
        <v>0.21633245978131499</v>
      </c>
    </row>
    <row r="2860" spans="1:16" x14ac:dyDescent="0.3">
      <c r="A2860" s="3" t="str">
        <f t="shared" si="45"/>
        <v>NGA</v>
      </c>
      <c r="C2860" s="3" t="s">
        <v>850</v>
      </c>
      <c r="D2860" s="3" t="s">
        <v>1261</v>
      </c>
      <c r="E2860" s="3" t="s">
        <v>1329</v>
      </c>
      <c r="F2860" s="3" t="s">
        <v>5</v>
      </c>
      <c r="G2860" s="3">
        <v>9.4280639717008993E-2</v>
      </c>
      <c r="I2860" s="3">
        <v>4.5762175380139698E-3</v>
      </c>
      <c r="J2860" s="3">
        <v>9.4280639717008896E-2</v>
      </c>
      <c r="K2860" s="3">
        <v>9.4280639717008896E-2</v>
      </c>
      <c r="L2860" s="3">
        <v>9.4280639717008896E-2</v>
      </c>
    </row>
    <row r="2861" spans="1:16" x14ac:dyDescent="0.3">
      <c r="A2861" s="3" t="str">
        <f t="shared" si="45"/>
        <v>NGA</v>
      </c>
      <c r="C2861" s="3" t="s">
        <v>850</v>
      </c>
      <c r="D2861" s="3" t="s">
        <v>1261</v>
      </c>
      <c r="E2861" s="3" t="s">
        <v>1329</v>
      </c>
      <c r="F2861" s="3" t="s">
        <v>7</v>
      </c>
      <c r="G2861" s="3">
        <v>1.4631882643415199</v>
      </c>
      <c r="I2861" s="3">
        <v>8.1907663736687994E-2</v>
      </c>
      <c r="J2861" s="3">
        <v>1.4631882643415199</v>
      </c>
      <c r="K2861" s="3">
        <v>1.4631882643415199</v>
      </c>
      <c r="L2861" s="3">
        <v>1.2055416860864501</v>
      </c>
      <c r="M2861" s="3">
        <v>0.413766165498337</v>
      </c>
    </row>
    <row r="2862" spans="1:16" x14ac:dyDescent="0.3">
      <c r="A2862" s="3" t="str">
        <f t="shared" si="45"/>
        <v>NGA</v>
      </c>
      <c r="C2862" s="3" t="s">
        <v>850</v>
      </c>
      <c r="D2862" s="3" t="s">
        <v>1261</v>
      </c>
      <c r="E2862" s="3" t="s">
        <v>1330</v>
      </c>
      <c r="F2862" s="3" t="s">
        <v>1</v>
      </c>
      <c r="G2862" s="3">
        <v>1.9767101808922601E-2</v>
      </c>
      <c r="L2862" s="3">
        <v>1.9767101808922601E-2</v>
      </c>
    </row>
    <row r="2863" spans="1:16" x14ac:dyDescent="0.3">
      <c r="A2863" s="3" t="str">
        <f t="shared" si="45"/>
        <v>NGA</v>
      </c>
      <c r="C2863" s="3" t="s">
        <v>850</v>
      </c>
      <c r="D2863" s="3" t="s">
        <v>1261</v>
      </c>
      <c r="E2863" s="3" t="s">
        <v>1330</v>
      </c>
      <c r="F2863" s="3" t="s">
        <v>8</v>
      </c>
      <c r="G2863" s="3">
        <v>5.5286984479474603E-2</v>
      </c>
      <c r="H2863" s="3">
        <v>5.2756102909647402E-3</v>
      </c>
      <c r="I2863" s="3">
        <v>5.52869844794747E-2</v>
      </c>
      <c r="K2863" s="3">
        <v>5.52869844794747E-2</v>
      </c>
      <c r="L2863" s="3">
        <v>5.52869844794747E-2</v>
      </c>
    </row>
    <row r="2864" spans="1:16" x14ac:dyDescent="0.3">
      <c r="A2864" s="3" t="str">
        <f t="shared" si="45"/>
        <v>NGA</v>
      </c>
      <c r="C2864" s="3" t="s">
        <v>850</v>
      </c>
      <c r="D2864" s="3" t="s">
        <v>1261</v>
      </c>
      <c r="E2864" s="3" t="s">
        <v>1331</v>
      </c>
      <c r="F2864" s="3" t="s">
        <v>1</v>
      </c>
      <c r="H2864" s="3">
        <v>0.41809943887483297</v>
      </c>
      <c r="I2864" s="3">
        <v>0.44376233677279536</v>
      </c>
      <c r="J2864" s="3">
        <v>0.44376233677279536</v>
      </c>
      <c r="L2864" s="3">
        <v>2.2812904996662199E-2</v>
      </c>
      <c r="M2864" s="3">
        <v>2.59003460880436E-3</v>
      </c>
    </row>
    <row r="2865" spans="1:16" x14ac:dyDescent="0.3">
      <c r="A2865" s="3" t="str">
        <f t="shared" si="45"/>
        <v>NGA</v>
      </c>
      <c r="C2865" s="3" t="s">
        <v>850</v>
      </c>
      <c r="D2865" s="3" t="s">
        <v>1261</v>
      </c>
      <c r="E2865" s="3" t="s">
        <v>1331</v>
      </c>
      <c r="F2865" s="3" t="s">
        <v>4</v>
      </c>
      <c r="I2865" s="3">
        <v>9.2769639756618005E-4</v>
      </c>
      <c r="J2865" s="3">
        <v>9.2769639756618005E-4</v>
      </c>
      <c r="K2865" s="3">
        <v>9.2769639756618005E-4</v>
      </c>
      <c r="L2865" s="3">
        <v>9.2769639756618005E-4</v>
      </c>
      <c r="M2865" s="3">
        <v>9.2769639756618005E-4</v>
      </c>
    </row>
    <row r="2866" spans="1:16" x14ac:dyDescent="0.3">
      <c r="A2866" s="3" t="str">
        <f t="shared" si="45"/>
        <v>NGA</v>
      </c>
      <c r="C2866" s="3" t="s">
        <v>850</v>
      </c>
      <c r="D2866" s="3" t="s">
        <v>1261</v>
      </c>
      <c r="E2866" s="3" t="s">
        <v>1331</v>
      </c>
      <c r="F2866" s="3" t="s">
        <v>5</v>
      </c>
      <c r="H2866" s="3">
        <v>9.5424694101512497E-2</v>
      </c>
      <c r="I2866" s="3">
        <v>9.5424694101512497E-2</v>
      </c>
      <c r="J2866" s="3">
        <v>7.5746991972273003E-3</v>
      </c>
      <c r="K2866" s="3">
        <v>1.5427118717254501E-2</v>
      </c>
      <c r="L2866" s="3">
        <v>2.30200014340553E-2</v>
      </c>
      <c r="N2866" s="3">
        <v>1.11471098985545E-2</v>
      </c>
    </row>
    <row r="2867" spans="1:16" x14ac:dyDescent="0.3">
      <c r="A2867" s="3" t="str">
        <f t="shared" si="45"/>
        <v>NGA</v>
      </c>
      <c r="C2867" s="3" t="s">
        <v>850</v>
      </c>
      <c r="D2867" s="3" t="s">
        <v>1261</v>
      </c>
      <c r="E2867" s="3" t="s">
        <v>1331</v>
      </c>
      <c r="F2867" s="3" t="s">
        <v>7</v>
      </c>
      <c r="H2867" s="3">
        <v>1.4836651802756999</v>
      </c>
      <c r="I2867" s="3">
        <v>1.4836651802756999</v>
      </c>
      <c r="J2867" s="3">
        <v>0.135576141125127</v>
      </c>
      <c r="K2867" s="3">
        <v>0.276123073656864</v>
      </c>
      <c r="L2867" s="3">
        <v>0.66967125169247099</v>
      </c>
      <c r="M2867" s="3">
        <v>1.4836651802756999</v>
      </c>
      <c r="N2867" s="3">
        <v>0.933227868618553</v>
      </c>
    </row>
    <row r="2868" spans="1:16" x14ac:dyDescent="0.3">
      <c r="A2868" s="3" t="str">
        <f t="shared" si="45"/>
        <v>NGA</v>
      </c>
      <c r="C2868" s="3" t="s">
        <v>850</v>
      </c>
      <c r="D2868" s="3" t="s">
        <v>1261</v>
      </c>
      <c r="E2868" s="3" t="s">
        <v>1331</v>
      </c>
      <c r="F2868" s="3" t="s">
        <v>8</v>
      </c>
      <c r="H2868" s="3">
        <v>5.0682257597761203E-2</v>
      </c>
      <c r="I2868" s="3">
        <v>3.3544170462555798E-3</v>
      </c>
      <c r="J2868" s="3">
        <v>5.0682257597761203E-2</v>
      </c>
      <c r="L2868" s="3">
        <v>4.4525322502930297E-3</v>
      </c>
    </row>
    <row r="2869" spans="1:16" x14ac:dyDescent="0.3">
      <c r="A2869" s="3" t="str">
        <f t="shared" si="45"/>
        <v>NGA</v>
      </c>
      <c r="C2869" s="3" t="s">
        <v>850</v>
      </c>
      <c r="D2869" s="3" t="s">
        <v>1261</v>
      </c>
      <c r="E2869" s="3" t="s">
        <v>1332</v>
      </c>
      <c r="F2869" s="3" t="s">
        <v>1</v>
      </c>
      <c r="M2869" s="3">
        <v>0.58232164665250596</v>
      </c>
      <c r="N2869" s="3">
        <v>0.58232164665250596</v>
      </c>
      <c r="O2869" s="3">
        <v>0.58232164665250596</v>
      </c>
      <c r="P2869" s="3">
        <v>0.58232164665250596</v>
      </c>
    </row>
    <row r="2870" spans="1:16" x14ac:dyDescent="0.3">
      <c r="A2870" s="3" t="str">
        <f t="shared" si="45"/>
        <v>NGA</v>
      </c>
      <c r="C2870" s="3" t="s">
        <v>850</v>
      </c>
      <c r="D2870" s="3" t="s">
        <v>1261</v>
      </c>
      <c r="E2870" s="3" t="s">
        <v>1332</v>
      </c>
      <c r="F2870" s="3" t="s">
        <v>2</v>
      </c>
      <c r="M2870" s="3">
        <v>0.71021664891418002</v>
      </c>
      <c r="N2870" s="3">
        <v>0.71021664891418002</v>
      </c>
      <c r="O2870" s="3">
        <v>0.71021664891418002</v>
      </c>
      <c r="P2870" s="3">
        <v>0.71021664891418002</v>
      </c>
    </row>
    <row r="2871" spans="1:16" x14ac:dyDescent="0.3">
      <c r="A2871" s="3" t="str">
        <f t="shared" si="45"/>
        <v>NGA</v>
      </c>
      <c r="C2871" s="3" t="s">
        <v>850</v>
      </c>
      <c r="D2871" s="3" t="s">
        <v>1261</v>
      </c>
      <c r="E2871" s="3" t="s">
        <v>1332</v>
      </c>
      <c r="F2871" s="3" t="s">
        <v>3</v>
      </c>
      <c r="M2871" s="3">
        <v>0.10632952568071601</v>
      </c>
      <c r="N2871" s="3">
        <v>0.10632952568071601</v>
      </c>
      <c r="O2871" s="3">
        <v>0.10632952568071601</v>
      </c>
      <c r="P2871" s="3">
        <v>0.10632952568071601</v>
      </c>
    </row>
    <row r="2872" spans="1:16" x14ac:dyDescent="0.3">
      <c r="A2872" s="3" t="str">
        <f t="shared" si="45"/>
        <v>NGA</v>
      </c>
      <c r="C2872" s="3" t="s">
        <v>850</v>
      </c>
      <c r="D2872" s="3" t="s">
        <v>1261</v>
      </c>
      <c r="E2872" s="3" t="s">
        <v>1332</v>
      </c>
      <c r="F2872" s="3" t="s">
        <v>4</v>
      </c>
      <c r="M2872" s="3">
        <v>0.50495533724484298</v>
      </c>
      <c r="N2872" s="3">
        <v>0.50495533724484298</v>
      </c>
      <c r="O2872" s="3">
        <v>0.50495533724484298</v>
      </c>
      <c r="P2872" s="3">
        <v>0.50495533724484298</v>
      </c>
    </row>
    <row r="2873" spans="1:16" x14ac:dyDescent="0.3">
      <c r="A2873" s="3" t="str">
        <f t="shared" si="45"/>
        <v>NGA</v>
      </c>
      <c r="C2873" s="3" t="s">
        <v>850</v>
      </c>
      <c r="D2873" s="3" t="s">
        <v>1261</v>
      </c>
      <c r="E2873" s="3" t="s">
        <v>1332</v>
      </c>
      <c r="F2873" s="3" t="s">
        <v>5</v>
      </c>
      <c r="M2873" s="3">
        <v>0.127025142741371</v>
      </c>
      <c r="N2873" s="3">
        <v>0.127025142741371</v>
      </c>
      <c r="O2873" s="3">
        <v>0.12813200255536078</v>
      </c>
      <c r="P2873" s="3">
        <v>0.13272069461619337</v>
      </c>
    </row>
    <row r="2874" spans="1:16" x14ac:dyDescent="0.3">
      <c r="A2874" s="3" t="str">
        <f t="shared" si="45"/>
        <v>NGA</v>
      </c>
      <c r="C2874" s="3" t="s">
        <v>850</v>
      </c>
      <c r="D2874" s="3" t="s">
        <v>1261</v>
      </c>
      <c r="E2874" s="3" t="s">
        <v>1332</v>
      </c>
      <c r="F2874" s="3" t="s">
        <v>7</v>
      </c>
      <c r="M2874" s="3">
        <v>0.110797752966294</v>
      </c>
      <c r="N2874" s="3">
        <v>0.110797752966294</v>
      </c>
      <c r="O2874" s="3">
        <v>0.110797752966294</v>
      </c>
      <c r="P2874" s="3">
        <v>0.115460520559928</v>
      </c>
    </row>
    <row r="2875" spans="1:16" x14ac:dyDescent="0.3">
      <c r="A2875" s="3" t="str">
        <f t="shared" si="45"/>
        <v>NGA</v>
      </c>
      <c r="C2875" s="3" t="s">
        <v>850</v>
      </c>
      <c r="D2875" s="3" t="s">
        <v>1261</v>
      </c>
      <c r="E2875" s="3" t="s">
        <v>1332</v>
      </c>
      <c r="F2875" s="3" t="s">
        <v>8</v>
      </c>
      <c r="M2875" s="3">
        <v>7.4488644925669506E-2</v>
      </c>
      <c r="N2875" s="3">
        <v>7.838559847835691E-2</v>
      </c>
      <c r="O2875" s="3">
        <v>9.9600241584785504E-2</v>
      </c>
      <c r="P2875" s="3">
        <v>0.10758583271393114</v>
      </c>
    </row>
    <row r="2876" spans="1:16" x14ac:dyDescent="0.3">
      <c r="A2876" s="3" t="str">
        <f t="shared" si="45"/>
        <v>DST</v>
      </c>
      <c r="C2876" s="3" t="s">
        <v>850</v>
      </c>
      <c r="D2876" s="3" t="s">
        <v>747</v>
      </c>
      <c r="E2876" s="3" t="s">
        <v>1351</v>
      </c>
      <c r="F2876" s="3" t="s">
        <v>0</v>
      </c>
      <c r="G2876" s="3">
        <v>0.15890700772449701</v>
      </c>
      <c r="I2876" s="3">
        <v>0.13242250643708101</v>
      </c>
      <c r="L2876" s="3">
        <v>5.2969002574832301E-2</v>
      </c>
    </row>
    <row r="2877" spans="1:16" x14ac:dyDescent="0.3">
      <c r="A2877" s="3" t="str">
        <f t="shared" si="45"/>
        <v>DST</v>
      </c>
      <c r="C2877" s="3" t="s">
        <v>850</v>
      </c>
      <c r="D2877" s="3" t="s">
        <v>747</v>
      </c>
      <c r="E2877" s="3" t="s">
        <v>1351</v>
      </c>
      <c r="F2877" s="3" t="s">
        <v>1</v>
      </c>
      <c r="G2877" s="3">
        <v>0.43741752941636702</v>
      </c>
      <c r="I2877" s="3">
        <v>0.36451460784697298</v>
      </c>
      <c r="K2877" s="3">
        <v>0.21870876470818401</v>
      </c>
    </row>
    <row r="2878" spans="1:16" x14ac:dyDescent="0.3">
      <c r="A2878" s="3" t="str">
        <f t="shared" si="45"/>
        <v>DST</v>
      </c>
      <c r="C2878" s="3" t="s">
        <v>850</v>
      </c>
      <c r="D2878" s="3" t="s">
        <v>747</v>
      </c>
      <c r="E2878" s="3" t="s">
        <v>1351</v>
      </c>
      <c r="F2878" s="3" t="s">
        <v>2</v>
      </c>
      <c r="G2878" s="3">
        <v>0.53328213526295298</v>
      </c>
    </row>
    <row r="2879" spans="1:16" x14ac:dyDescent="0.3">
      <c r="A2879" s="3" t="str">
        <f t="shared" si="45"/>
        <v>DST</v>
      </c>
      <c r="C2879" s="3" t="s">
        <v>850</v>
      </c>
      <c r="D2879" s="3" t="s">
        <v>747</v>
      </c>
      <c r="E2879" s="3" t="s">
        <v>1351</v>
      </c>
      <c r="F2879" s="3" t="s">
        <v>3</v>
      </c>
      <c r="G2879" s="3">
        <v>0.36120467044834298</v>
      </c>
    </row>
    <row r="2880" spans="1:16" x14ac:dyDescent="0.3">
      <c r="A2880" s="3" t="str">
        <f t="shared" si="45"/>
        <v>DST</v>
      </c>
      <c r="C2880" s="3" t="s">
        <v>850</v>
      </c>
      <c r="D2880" s="3" t="s">
        <v>747</v>
      </c>
      <c r="E2880" s="3" t="s">
        <v>1351</v>
      </c>
      <c r="F2880" s="3" t="s">
        <v>4</v>
      </c>
      <c r="G2880" s="3">
        <v>0.60852612597725297</v>
      </c>
    </row>
    <row r="2881" spans="1:16" x14ac:dyDescent="0.3">
      <c r="A2881" s="3" t="str">
        <f t="shared" si="45"/>
        <v>DST</v>
      </c>
      <c r="C2881" s="3" t="s">
        <v>850</v>
      </c>
      <c r="D2881" s="3" t="s">
        <v>747</v>
      </c>
      <c r="E2881" s="3" t="s">
        <v>1351</v>
      </c>
      <c r="F2881" s="3" t="s">
        <v>5</v>
      </c>
      <c r="G2881" s="3">
        <v>0.53041915690161201</v>
      </c>
    </row>
    <row r="2882" spans="1:16" x14ac:dyDescent="0.3">
      <c r="A2882" s="3" t="str">
        <f t="shared" si="45"/>
        <v>DST</v>
      </c>
      <c r="C2882" s="3" t="s">
        <v>850</v>
      </c>
      <c r="D2882" s="3" t="s">
        <v>747</v>
      </c>
      <c r="E2882" s="3" t="s">
        <v>1351</v>
      </c>
      <c r="F2882" s="3" t="s">
        <v>6</v>
      </c>
      <c r="G2882" s="3">
        <v>1.84267740282549</v>
      </c>
    </row>
    <row r="2883" spans="1:16" x14ac:dyDescent="0.3">
      <c r="A2883" s="3" t="str">
        <f t="shared" si="45"/>
        <v>DST</v>
      </c>
      <c r="C2883" s="3" t="s">
        <v>850</v>
      </c>
      <c r="D2883" s="3" t="s">
        <v>747</v>
      </c>
      <c r="E2883" s="3" t="s">
        <v>1351</v>
      </c>
      <c r="F2883" s="3" t="s">
        <v>7</v>
      </c>
      <c r="G2883" s="3">
        <v>1.0995227605246101</v>
      </c>
    </row>
    <row r="2884" spans="1:16" x14ac:dyDescent="0.3">
      <c r="A2884" s="3" t="str">
        <f t="shared" si="45"/>
        <v>DST</v>
      </c>
      <c r="C2884" s="3" t="s">
        <v>850</v>
      </c>
      <c r="D2884" s="3" t="s">
        <v>747</v>
      </c>
      <c r="E2884" s="3" t="s">
        <v>1351</v>
      </c>
      <c r="F2884" s="3" t="s">
        <v>8</v>
      </c>
      <c r="G2884" s="3">
        <v>0.68945085089798497</v>
      </c>
      <c r="I2884" s="3">
        <v>0.1092135154156</v>
      </c>
      <c r="J2884" s="3">
        <v>0.459633900598657</v>
      </c>
      <c r="K2884" s="3">
        <v>0.34472542544899198</v>
      </c>
      <c r="L2884" s="3">
        <v>6.1475881104907898E-2</v>
      </c>
    </row>
    <row r="2885" spans="1:16" x14ac:dyDescent="0.3">
      <c r="A2885" s="3" t="str">
        <f t="shared" si="45"/>
        <v>ELC</v>
      </c>
      <c r="C2885" s="3" t="s">
        <v>850</v>
      </c>
      <c r="D2885" s="3" t="s">
        <v>747</v>
      </c>
      <c r="E2885" s="3" t="s">
        <v>1349</v>
      </c>
      <c r="F2885" s="3" t="s">
        <v>0</v>
      </c>
      <c r="G2885" s="3">
        <v>0.86919982731544998</v>
      </c>
      <c r="H2885" s="3">
        <v>0.84022649973826902</v>
      </c>
      <c r="J2885" s="3">
        <v>0.172956340591046</v>
      </c>
      <c r="K2885" s="3">
        <v>0.28583159277006398</v>
      </c>
      <c r="L2885" s="3">
        <v>0.28973327577181701</v>
      </c>
      <c r="M2885" s="3">
        <v>0.14486663788590801</v>
      </c>
    </row>
    <row r="2886" spans="1:16" x14ac:dyDescent="0.3">
      <c r="A2886" s="3" t="str">
        <f t="shared" si="45"/>
        <v>ELC</v>
      </c>
      <c r="C2886" s="3" t="s">
        <v>850</v>
      </c>
      <c r="D2886" s="3" t="s">
        <v>747</v>
      </c>
      <c r="E2886" s="3" t="s">
        <v>1349</v>
      </c>
      <c r="F2886" s="3" t="s">
        <v>1</v>
      </c>
      <c r="G2886" s="3">
        <v>2.3926146900496001</v>
      </c>
      <c r="H2886" s="3">
        <v>2.31286086704795</v>
      </c>
      <c r="I2886" s="3">
        <v>1.99384557504133</v>
      </c>
      <c r="J2886" s="3">
        <v>1.59507646003307</v>
      </c>
      <c r="K2886" s="3">
        <v>1.1963073450248001</v>
      </c>
      <c r="L2886" s="3">
        <v>0.79753823001653301</v>
      </c>
      <c r="M2886" s="3">
        <v>0.39876911500826701</v>
      </c>
    </row>
    <row r="2887" spans="1:16" x14ac:dyDescent="0.3">
      <c r="A2887" s="3" t="str">
        <f t="shared" si="45"/>
        <v>ELC</v>
      </c>
      <c r="C2887" s="3" t="s">
        <v>850</v>
      </c>
      <c r="D2887" s="3" t="s">
        <v>747</v>
      </c>
      <c r="E2887" s="3" t="s">
        <v>1349</v>
      </c>
      <c r="F2887" s="3" t="s">
        <v>2</v>
      </c>
      <c r="G2887" s="3">
        <v>2.9169811106418302</v>
      </c>
      <c r="H2887" s="3">
        <v>2.8197484069537699</v>
      </c>
      <c r="I2887" s="3">
        <v>2.43081759220152</v>
      </c>
      <c r="J2887" s="3">
        <v>1.9446540737612199</v>
      </c>
      <c r="K2887" s="3">
        <v>1.45849055532092</v>
      </c>
      <c r="L2887" s="3">
        <v>0.97232703688060995</v>
      </c>
      <c r="M2887" s="3">
        <v>0.48616351844030498</v>
      </c>
    </row>
    <row r="2888" spans="1:16" x14ac:dyDescent="0.3">
      <c r="A2888" s="3" t="str">
        <f t="shared" si="45"/>
        <v>ELC</v>
      </c>
      <c r="C2888" s="3" t="s">
        <v>850</v>
      </c>
      <c r="D2888" s="3" t="s">
        <v>747</v>
      </c>
      <c r="E2888" s="3" t="s">
        <v>1349</v>
      </c>
      <c r="F2888" s="3" t="s">
        <v>3</v>
      </c>
      <c r="G2888" s="3">
        <v>1.9757406654057501</v>
      </c>
      <c r="H2888" s="3">
        <v>1.90988264322556</v>
      </c>
      <c r="I2888" s="3">
        <v>1.6464505545047901</v>
      </c>
      <c r="J2888" s="3">
        <v>1.31716044360383</v>
      </c>
      <c r="K2888" s="3">
        <v>0.98787033270287505</v>
      </c>
      <c r="L2888" s="3">
        <v>0.658580221801917</v>
      </c>
      <c r="M2888" s="3">
        <v>0.329290110900958</v>
      </c>
    </row>
    <row r="2889" spans="1:16" x14ac:dyDescent="0.3">
      <c r="A2889" s="3" t="str">
        <f t="shared" si="45"/>
        <v>ELC</v>
      </c>
      <c r="C2889" s="3" t="s">
        <v>850</v>
      </c>
      <c r="D2889" s="3" t="s">
        <v>747</v>
      </c>
      <c r="E2889" s="3" t="s">
        <v>1349</v>
      </c>
      <c r="F2889" s="3" t="s">
        <v>4</v>
      </c>
      <c r="G2889" s="3">
        <v>2.82927222349681</v>
      </c>
      <c r="H2889" s="3">
        <v>2.73496314938025</v>
      </c>
      <c r="I2889" s="3">
        <v>2.3577268529140101</v>
      </c>
      <c r="J2889" s="3">
        <v>1.88618148233121</v>
      </c>
      <c r="K2889" s="3">
        <v>1.4146361117484001</v>
      </c>
      <c r="L2889" s="3">
        <v>0.94309074116560299</v>
      </c>
      <c r="M2889" s="3">
        <v>0.47154537058280199</v>
      </c>
    </row>
    <row r="2890" spans="1:16" x14ac:dyDescent="0.3">
      <c r="A2890" s="3" t="str">
        <f t="shared" si="45"/>
        <v>ELC</v>
      </c>
      <c r="C2890" s="3" t="s">
        <v>850</v>
      </c>
      <c r="D2890" s="3" t="s">
        <v>747</v>
      </c>
      <c r="E2890" s="3" t="s">
        <v>1349</v>
      </c>
      <c r="F2890" s="3" t="s">
        <v>5</v>
      </c>
      <c r="G2890" s="3">
        <v>2.4661228554851302</v>
      </c>
      <c r="H2890" s="3">
        <v>2.38391876030229</v>
      </c>
      <c r="I2890" s="3">
        <v>2.0551023795709402</v>
      </c>
      <c r="J2890" s="3">
        <v>1.64408190365675</v>
      </c>
      <c r="K2890" s="3">
        <v>1.23306142774257</v>
      </c>
      <c r="L2890" s="3">
        <v>0.822040951828377</v>
      </c>
      <c r="M2890" s="3">
        <v>0.411020475914188</v>
      </c>
    </row>
    <row r="2891" spans="1:16" x14ac:dyDescent="0.3">
      <c r="A2891" s="3" t="str">
        <f t="shared" si="45"/>
        <v>ELC</v>
      </c>
      <c r="C2891" s="3" t="s">
        <v>850</v>
      </c>
      <c r="D2891" s="3" t="s">
        <v>747</v>
      </c>
      <c r="E2891" s="3" t="s">
        <v>1349</v>
      </c>
      <c r="F2891" s="3" t="s">
        <v>6</v>
      </c>
      <c r="G2891" s="3">
        <v>8.5673166198195201</v>
      </c>
      <c r="H2891" s="3">
        <v>8.2817393991588695</v>
      </c>
      <c r="I2891" s="3">
        <v>7.1394305165162697</v>
      </c>
      <c r="J2891" s="3">
        <v>5.7115444132130104</v>
      </c>
      <c r="K2891" s="3">
        <v>4.28365830990976</v>
      </c>
      <c r="L2891" s="3">
        <v>2.8557722066065101</v>
      </c>
      <c r="M2891" s="3">
        <v>1.4278861033032499</v>
      </c>
    </row>
    <row r="2892" spans="1:16" x14ac:dyDescent="0.3">
      <c r="A2892" s="3" t="str">
        <f t="shared" si="45"/>
        <v>ELC</v>
      </c>
      <c r="C2892" s="3" t="s">
        <v>850</v>
      </c>
      <c r="D2892" s="3" t="s">
        <v>747</v>
      </c>
      <c r="E2892" s="3" t="s">
        <v>1349</v>
      </c>
      <c r="F2892" s="3" t="s">
        <v>7</v>
      </c>
      <c r="G2892" s="3">
        <v>2.50593362553886</v>
      </c>
      <c r="H2892" s="3">
        <v>2.4224025046875699</v>
      </c>
      <c r="I2892" s="3">
        <v>2.0882780212823802</v>
      </c>
      <c r="J2892" s="3">
        <v>1.6706224170259101</v>
      </c>
      <c r="K2892" s="3">
        <v>1.25296681276943</v>
      </c>
      <c r="L2892" s="3">
        <v>0.83531120851295304</v>
      </c>
      <c r="M2892" s="3">
        <v>0.41765560425647702</v>
      </c>
    </row>
    <row r="2893" spans="1:16" x14ac:dyDescent="0.3">
      <c r="A2893" s="3" t="str">
        <f t="shared" si="45"/>
        <v>ELC</v>
      </c>
      <c r="C2893" s="3" t="s">
        <v>850</v>
      </c>
      <c r="D2893" s="3" t="s">
        <v>747</v>
      </c>
      <c r="E2893" s="3" t="s">
        <v>1349</v>
      </c>
      <c r="F2893" s="3" t="s">
        <v>8</v>
      </c>
      <c r="G2893" s="3">
        <v>1.5713345211674501</v>
      </c>
      <c r="H2893" s="3">
        <v>1.5189567037952001</v>
      </c>
      <c r="I2893" s="3">
        <v>1.3094454343062101</v>
      </c>
      <c r="J2893" s="3">
        <v>1.0475563474449701</v>
      </c>
      <c r="L2893" s="3">
        <v>0.52377817372248303</v>
      </c>
      <c r="M2893" s="3">
        <v>0.26188908686124202</v>
      </c>
    </row>
    <row r="2894" spans="1:16" x14ac:dyDescent="0.3">
      <c r="A2894" s="3" t="str">
        <f t="shared" si="45"/>
        <v>NGA</v>
      </c>
      <c r="C2894" s="3" t="s">
        <v>850</v>
      </c>
      <c r="D2894" s="3" t="s">
        <v>747</v>
      </c>
      <c r="E2894" s="3" t="s">
        <v>1353</v>
      </c>
      <c r="F2894" s="3" t="s">
        <v>0</v>
      </c>
      <c r="G2894" s="3">
        <v>0.109006200536567</v>
      </c>
      <c r="H2894" s="3">
        <v>0.31068490587404596</v>
      </c>
      <c r="I2894" s="3">
        <v>1.0736823793184413</v>
      </c>
      <c r="J2894" s="3">
        <v>1.0555146792290133</v>
      </c>
      <c r="K2894" s="3">
        <v>1.0373469791395855</v>
      </c>
      <c r="L2894" s="3">
        <v>1.0720535881252105</v>
      </c>
      <c r="M2894" s="3">
        <v>1.3871758481508216</v>
      </c>
      <c r="N2894" s="3">
        <v>1.6664870974935138</v>
      </c>
      <c r="O2894" s="3">
        <v>2.2345898702055229</v>
      </c>
      <c r="P2894" s="3">
        <v>2.398833224319127</v>
      </c>
    </row>
    <row r="2895" spans="1:16" x14ac:dyDescent="0.3">
      <c r="A2895" s="3" t="str">
        <f t="shared" si="45"/>
        <v>NGA</v>
      </c>
      <c r="C2895" s="3" t="s">
        <v>850</v>
      </c>
      <c r="D2895" s="3" t="s">
        <v>747</v>
      </c>
      <c r="E2895" s="3" t="s">
        <v>1353</v>
      </c>
      <c r="F2895" s="3" t="s">
        <v>1</v>
      </c>
      <c r="G2895" s="3">
        <v>0.30005739591067399</v>
      </c>
      <c r="H2895" s="3">
        <v>0.85521101869840499</v>
      </c>
      <c r="I2895" s="3">
        <v>0.96164078433688305</v>
      </c>
      <c r="J2895" s="3">
        <v>1.786490949384945</v>
      </c>
      <c r="K2895" s="3">
        <v>2.2272493270742393</v>
      </c>
      <c r="L2895" s="3">
        <v>3.0968086883543369</v>
      </c>
      <c r="M2895" s="3">
        <v>3.8184284069849044</v>
      </c>
      <c r="N2895" s="3">
        <v>4.5872783046401278</v>
      </c>
      <c r="O2895" s="3">
        <v>6.1510741047920305</v>
      </c>
      <c r="P2895" s="3">
        <v>6.6031808004513461</v>
      </c>
    </row>
    <row r="2896" spans="1:16" x14ac:dyDescent="0.3">
      <c r="A2896" s="3" t="str">
        <f t="shared" si="45"/>
        <v>NGA</v>
      </c>
      <c r="C2896" s="3" t="s">
        <v>850</v>
      </c>
      <c r="D2896" s="3" t="s">
        <v>747</v>
      </c>
      <c r="E2896" s="3" t="s">
        <v>1353</v>
      </c>
      <c r="F2896" s="3" t="s">
        <v>2</v>
      </c>
      <c r="G2896" s="3">
        <v>0.50808069214209295</v>
      </c>
      <c r="H2896" s="3">
        <v>1.186628305916106</v>
      </c>
      <c r="I2896" s="3">
        <v>1.767690219960341</v>
      </c>
      <c r="J2896" s="3">
        <v>2.3317113026198619</v>
      </c>
      <c r="K2896" s="3">
        <v>3.147556262545903</v>
      </c>
      <c r="L2896" s="3">
        <v>3.952504648850526</v>
      </c>
      <c r="M2896" s="3">
        <v>4.8469484042096438</v>
      </c>
      <c r="N2896" s="3">
        <v>5.801119936024989</v>
      </c>
      <c r="O2896" s="3">
        <v>7.7787123971052541</v>
      </c>
      <c r="P2896" s="3">
        <v>8.3504512346522883</v>
      </c>
    </row>
    <row r="2897" spans="1:16" x14ac:dyDescent="0.3">
      <c r="A2897" s="3" t="str">
        <f t="shared" si="45"/>
        <v>NGA</v>
      </c>
      <c r="C2897" s="3" t="s">
        <v>850</v>
      </c>
      <c r="D2897" s="3" t="s">
        <v>747</v>
      </c>
      <c r="E2897" s="3" t="s">
        <v>1353</v>
      </c>
      <c r="F2897" s="3" t="s">
        <v>3</v>
      </c>
      <c r="G2897" s="3">
        <v>0.34413513378965799</v>
      </c>
      <c r="H2897" s="3">
        <v>0.80373156691580205</v>
      </c>
      <c r="I2897" s="3">
        <v>1.1972986176270441</v>
      </c>
      <c r="J2897" s="3">
        <v>1.5793235080492571</v>
      </c>
      <c r="K2897" s="3">
        <v>2.1319146983424058</v>
      </c>
      <c r="L2897" s="3">
        <v>2.6771253802260548</v>
      </c>
      <c r="M2897" s="3">
        <v>3.2829534035663994</v>
      </c>
      <c r="N2897" s="3">
        <v>3.9292364700910389</v>
      </c>
      <c r="O2897" s="3">
        <v>5.2687068666259069</v>
      </c>
      <c r="P2897" s="3">
        <v>5.6559591759440533</v>
      </c>
    </row>
    <row r="2898" spans="1:16" x14ac:dyDescent="0.3">
      <c r="A2898" s="3" t="str">
        <f t="shared" si="45"/>
        <v>NGA</v>
      </c>
      <c r="C2898" s="3" t="s">
        <v>850</v>
      </c>
      <c r="D2898" s="3" t="s">
        <v>747</v>
      </c>
      <c r="E2898" s="3" t="s">
        <v>1353</v>
      </c>
      <c r="F2898" s="3" t="s">
        <v>4</v>
      </c>
      <c r="G2898" s="3">
        <v>0.42439080504410998</v>
      </c>
      <c r="H2898" s="3">
        <v>1.174091983659838</v>
      </c>
      <c r="I2898" s="3">
        <v>1.7387921942136779</v>
      </c>
      <c r="J2898" s="3">
        <v>2.2863038387815111</v>
      </c>
      <c r="K2898" s="3">
        <v>3.0795221381650371</v>
      </c>
      <c r="L2898" s="3">
        <v>3.8621085598944935</v>
      </c>
      <c r="M2898" s="3">
        <v>4.7320163587330848</v>
      </c>
      <c r="N2898" s="3">
        <v>5.6602010466099175</v>
      </c>
      <c r="O2898" s="3">
        <v>7.5897544848110865</v>
      </c>
      <c r="P2898" s="3">
        <v>8.1476048313579081</v>
      </c>
    </row>
    <row r="2899" spans="1:16" x14ac:dyDescent="0.3">
      <c r="A2899" s="3" t="str">
        <f t="shared" si="45"/>
        <v>NGA</v>
      </c>
      <c r="C2899" s="3" t="s">
        <v>850</v>
      </c>
      <c r="D2899" s="3" t="s">
        <v>747</v>
      </c>
      <c r="E2899" s="3" t="s">
        <v>1353</v>
      </c>
      <c r="F2899" s="3" t="s">
        <v>5</v>
      </c>
      <c r="G2899" s="3">
        <v>0.36991840349794203</v>
      </c>
      <c r="H2899" s="3">
        <v>1.023392182377828</v>
      </c>
      <c r="I2899" s="3">
        <v>1.5156106702909109</v>
      </c>
      <c r="J2899" s="3">
        <v>1.9928468192551119</v>
      </c>
      <c r="K2899" s="3">
        <v>2.6842521076020311</v>
      </c>
      <c r="L2899" s="3">
        <v>3.366390165930687</v>
      </c>
      <c r="M2899" s="3">
        <v>4.124641523670018</v>
      </c>
      <c r="N2899" s="3">
        <v>4.933689678836684</v>
      </c>
      <c r="O2899" s="3">
        <v>6.615576559607236</v>
      </c>
      <c r="P2899" s="3">
        <v>7.1018243932847875</v>
      </c>
    </row>
    <row r="2900" spans="1:16" x14ac:dyDescent="0.3">
      <c r="A2900" s="3" t="str">
        <f t="shared" si="45"/>
        <v>NGA</v>
      </c>
      <c r="C2900" s="3" t="s">
        <v>850</v>
      </c>
      <c r="D2900" s="3" t="s">
        <v>747</v>
      </c>
      <c r="E2900" s="3" t="s">
        <v>1353</v>
      </c>
      <c r="F2900" s="3" t="s">
        <v>6</v>
      </c>
      <c r="G2900" s="3">
        <v>1.28509740673142</v>
      </c>
      <c r="H2900" s="3">
        <v>3.5552668567090602</v>
      </c>
      <c r="I2900" s="3">
        <v>5.2652350453176799</v>
      </c>
      <c r="J2900" s="3">
        <v>6.9231545530606633</v>
      </c>
      <c r="K2900" s="3">
        <v>9.3250981564422801</v>
      </c>
      <c r="L2900" s="3">
        <v>11.694847380870517</v>
      </c>
      <c r="M2900" s="3">
        <v>14.329014387073004</v>
      </c>
      <c r="N2900" s="3">
        <v>17.139649587414649</v>
      </c>
      <c r="O2900" s="3">
        <v>22.982528580337949</v>
      </c>
      <c r="P2900" s="3">
        <v>24.671754702042019</v>
      </c>
    </row>
    <row r="2901" spans="1:16" x14ac:dyDescent="0.3">
      <c r="A2901" s="3" t="str">
        <f t="shared" si="45"/>
        <v>NGA</v>
      </c>
      <c r="C2901" s="3" t="s">
        <v>850</v>
      </c>
      <c r="D2901" s="3" t="s">
        <v>747</v>
      </c>
      <c r="E2901" s="3" t="s">
        <v>1353</v>
      </c>
      <c r="F2901" s="3" t="s">
        <v>7</v>
      </c>
      <c r="G2901" s="3">
        <v>0.37712244489576302</v>
      </c>
      <c r="H2901" s="3">
        <v>1.608503180935221</v>
      </c>
      <c r="I2901" s="3">
        <v>2.135935082994572</v>
      </c>
      <c r="J2901" s="3">
        <v>2.6319249330726779</v>
      </c>
      <c r="K2901" s="3">
        <v>3.3812804477894574</v>
      </c>
      <c r="L2901" s="3">
        <v>4.1196726747995935</v>
      </c>
      <c r="M2901" s="3">
        <v>4.9481082047272524</v>
      </c>
      <c r="N2901" s="3">
        <v>5.8366371933987242</v>
      </c>
      <c r="O2901" s="3">
        <v>7.8263374304248625</v>
      </c>
      <c r="P2901" s="3">
        <v>8.4015767292048267</v>
      </c>
    </row>
    <row r="2902" spans="1:16" x14ac:dyDescent="0.3">
      <c r="A2902" s="3" t="str">
        <f t="shared" si="45"/>
        <v>NGA</v>
      </c>
      <c r="C2902" s="3" t="s">
        <v>850</v>
      </c>
      <c r="D2902" s="3" t="s">
        <v>747</v>
      </c>
      <c r="E2902" s="3" t="s">
        <v>1353</v>
      </c>
      <c r="F2902" s="3" t="s">
        <v>8</v>
      </c>
      <c r="G2902" s="3">
        <v>0.236472949775098</v>
      </c>
      <c r="H2902" s="3">
        <v>1.0086047570663981</v>
      </c>
      <c r="I2902" s="3">
        <v>1.230115067224262</v>
      </c>
      <c r="J2902" s="3">
        <v>1.1907029089284129</v>
      </c>
      <c r="K2902" s="3">
        <v>2.5611586833433728</v>
      </c>
      <c r="L2902" s="3">
        <v>2.5217465250475231</v>
      </c>
      <c r="M2902" s="3">
        <v>3.1026892162348743</v>
      </c>
      <c r="N2902" s="3">
        <v>3.6598373620311291</v>
      </c>
      <c r="O2902" s="3">
        <v>4.907470035678636</v>
      </c>
      <c r="P2902" s="3">
        <v>5.2681712764829385</v>
      </c>
    </row>
    <row r="2903" spans="1:16" x14ac:dyDescent="0.3">
      <c r="A2903" s="3" t="str">
        <f t="shared" si="45"/>
        <v>BIO</v>
      </c>
      <c r="C2903" s="3" t="s">
        <v>850</v>
      </c>
      <c r="D2903" s="3" t="s">
        <v>763</v>
      </c>
      <c r="E2903" s="3" t="s">
        <v>1369</v>
      </c>
      <c r="F2903" s="3" t="s">
        <v>0</v>
      </c>
      <c r="H2903" s="3">
        <v>0.25259793718421503</v>
      </c>
      <c r="J2903" s="3">
        <v>0.26962044513934003</v>
      </c>
      <c r="K2903" s="3">
        <v>0.29040652144107698</v>
      </c>
      <c r="L2903" s="3">
        <v>0.310505579966801</v>
      </c>
      <c r="M2903" s="3">
        <v>0.33624722959936698</v>
      </c>
      <c r="N2903" s="3">
        <v>0.36575465419687497</v>
      </c>
      <c r="O2903" s="3">
        <v>0.49043982787393903</v>
      </c>
      <c r="P2903" s="3">
        <v>0.52648737440358795</v>
      </c>
    </row>
    <row r="2904" spans="1:16" x14ac:dyDescent="0.3">
      <c r="A2904" s="3" t="str">
        <f t="shared" si="45"/>
        <v>BIO</v>
      </c>
      <c r="C2904" s="3" t="s">
        <v>850</v>
      </c>
      <c r="D2904" s="3" t="s">
        <v>763</v>
      </c>
      <c r="E2904" s="3" t="s">
        <v>1369</v>
      </c>
      <c r="F2904" s="3" t="s">
        <v>1</v>
      </c>
      <c r="H2904" s="3">
        <v>1.51162213100109</v>
      </c>
      <c r="J2904" s="3">
        <v>1.6134899452712499</v>
      </c>
      <c r="K2904" s="3">
        <v>1.73788008600097</v>
      </c>
      <c r="L2904" s="3">
        <v>1.8581589054499801</v>
      </c>
      <c r="M2904" s="3">
        <v>2.0122046894608299</v>
      </c>
      <c r="P2904" s="3">
        <v>3.1506590105711001</v>
      </c>
    </row>
    <row r="2905" spans="1:16" x14ac:dyDescent="0.3">
      <c r="A2905" s="3" t="str">
        <f t="shared" si="45"/>
        <v>BIO</v>
      </c>
      <c r="C2905" s="3" t="s">
        <v>850</v>
      </c>
      <c r="D2905" s="3" t="s">
        <v>763</v>
      </c>
      <c r="E2905" s="3" t="s">
        <v>1369</v>
      </c>
      <c r="F2905" s="3" t="s">
        <v>2</v>
      </c>
      <c r="G2905" s="3">
        <v>0.110022599251865</v>
      </c>
      <c r="J2905" s="3">
        <v>6.1889736561586304</v>
      </c>
      <c r="K2905" s="3">
        <v>6.6661054203313004</v>
      </c>
      <c r="L2905" s="3">
        <v>7.1274671084814996</v>
      </c>
      <c r="M2905" s="3">
        <v>7.7183510503861799</v>
      </c>
      <c r="P2905" s="3">
        <v>12.0851980969025</v>
      </c>
    </row>
    <row r="2906" spans="1:16" x14ac:dyDescent="0.3">
      <c r="A2906" s="3" t="str">
        <f t="shared" si="45"/>
        <v>BIO</v>
      </c>
      <c r="C2906" s="3" t="s">
        <v>850</v>
      </c>
      <c r="D2906" s="3" t="s">
        <v>763</v>
      </c>
      <c r="E2906" s="3" t="s">
        <v>1369</v>
      </c>
      <c r="F2906" s="3" t="s">
        <v>3</v>
      </c>
      <c r="G2906" s="3">
        <v>7.4520922560146502E-2</v>
      </c>
      <c r="J2906" s="3">
        <v>4.1919390170157698</v>
      </c>
      <c r="K2906" s="3">
        <v>4.5151117059967101</v>
      </c>
      <c r="L2906" s="3">
        <v>4.8276029475111297</v>
      </c>
      <c r="M2906" s="3">
        <v>5.2278226912377104</v>
      </c>
      <c r="P2906" s="3">
        <v>8.1855920295214109</v>
      </c>
    </row>
    <row r="2907" spans="1:16" x14ac:dyDescent="0.3">
      <c r="A2907" s="3" t="str">
        <f t="shared" si="45"/>
        <v>BIO</v>
      </c>
      <c r="C2907" s="3" t="s">
        <v>850</v>
      </c>
      <c r="D2907" s="3" t="s">
        <v>763</v>
      </c>
      <c r="E2907" s="3" t="s">
        <v>1369</v>
      </c>
      <c r="F2907" s="3" t="s">
        <v>4</v>
      </c>
      <c r="G2907" s="3">
        <v>0.18831952637886301</v>
      </c>
      <c r="H2907" s="3">
        <v>1.55763502514025</v>
      </c>
      <c r="J2907" s="3">
        <v>1.6626036361360499</v>
      </c>
      <c r="K2907" s="3">
        <v>1.79078014004476</v>
      </c>
      <c r="L2907" s="3">
        <v>1.91472017645598</v>
      </c>
      <c r="M2907" s="3">
        <v>2.0734550240938501</v>
      </c>
      <c r="O2907" s="3">
        <v>3.0242774827693499</v>
      </c>
      <c r="P2907" s="3">
        <v>3.2465632293231899</v>
      </c>
    </row>
    <row r="2908" spans="1:16" x14ac:dyDescent="0.3">
      <c r="A2908" s="3" t="str">
        <f t="shared" si="45"/>
        <v>BIO</v>
      </c>
      <c r="C2908" s="3" t="s">
        <v>850</v>
      </c>
      <c r="D2908" s="3" t="s">
        <v>763</v>
      </c>
      <c r="E2908" s="3" t="s">
        <v>1369</v>
      </c>
      <c r="F2908" s="3" t="s">
        <v>5</v>
      </c>
      <c r="G2908" s="3">
        <v>0.164147897922334</v>
      </c>
      <c r="J2908" s="3">
        <v>1.4492012442762501</v>
      </c>
      <c r="K2908" s="3">
        <v>1.56092573766372</v>
      </c>
      <c r="L2908" s="3">
        <v>1.6689575325419099</v>
      </c>
      <c r="M2908" s="3">
        <v>1.80731807362759</v>
      </c>
      <c r="N2908" s="3">
        <v>1.9659195343587901</v>
      </c>
      <c r="O2908" s="3">
        <v>2.6360983434703198</v>
      </c>
      <c r="P2908" s="3">
        <v>2.8298527498057702</v>
      </c>
    </row>
    <row r="2909" spans="1:16" x14ac:dyDescent="0.3">
      <c r="A2909" s="3" t="str">
        <f t="shared" si="45"/>
        <v>BIO</v>
      </c>
      <c r="C2909" s="3" t="s">
        <v>850</v>
      </c>
      <c r="D2909" s="3" t="s">
        <v>763</v>
      </c>
      <c r="E2909" s="3" t="s">
        <v>1369</v>
      </c>
      <c r="F2909" s="3" t="s">
        <v>6</v>
      </c>
      <c r="G2909" s="3">
        <v>0.57025018475886202</v>
      </c>
      <c r="J2909" s="3">
        <v>5.0345285426214597</v>
      </c>
      <c r="K2909" s="3">
        <v>5.4226596963109301</v>
      </c>
      <c r="L2909" s="3">
        <v>5.7979624066646904</v>
      </c>
      <c r="M2909" s="3">
        <v>6.2595659775829304</v>
      </c>
    </row>
    <row r="2910" spans="1:16" x14ac:dyDescent="0.3">
      <c r="A2910" s="3" t="str">
        <f t="shared" si="45"/>
        <v>BIO</v>
      </c>
      <c r="C2910" s="3" t="s">
        <v>850</v>
      </c>
      <c r="D2910" s="3" t="s">
        <v>763</v>
      </c>
      <c r="E2910" s="3" t="s">
        <v>1369</v>
      </c>
      <c r="F2910" s="3" t="s">
        <v>7</v>
      </c>
      <c r="H2910" s="3">
        <v>0.75881527763457102</v>
      </c>
      <c r="J2910" s="3">
        <v>0.80995163782814195</v>
      </c>
      <c r="K2910" s="3">
        <v>0.87239392233632196</v>
      </c>
      <c r="L2910" s="3">
        <v>0.74009698826580494</v>
      </c>
      <c r="M2910" s="3">
        <v>1.01010141938026</v>
      </c>
    </row>
    <row r="2911" spans="1:16" x14ac:dyDescent="0.3">
      <c r="A2911" s="3" t="str">
        <f t="shared" ref="A2911:A2974" si="46">RIGHT(E2911,3)</f>
        <v>BIO</v>
      </c>
      <c r="C2911" s="3" t="s">
        <v>850</v>
      </c>
      <c r="D2911" s="3" t="s">
        <v>763</v>
      </c>
      <c r="E2911" s="3" t="s">
        <v>1369</v>
      </c>
      <c r="F2911" s="3" t="s">
        <v>8</v>
      </c>
      <c r="H2911" s="3">
        <v>0.47581174089559802</v>
      </c>
      <c r="J2911" s="3">
        <v>0.50787656784875901</v>
      </c>
      <c r="K2911" s="3">
        <v>0.54703072429899602</v>
      </c>
      <c r="L2911" s="3">
        <v>0.58489076438520105</v>
      </c>
      <c r="M2911" s="3">
        <v>0.63337959711966896</v>
      </c>
      <c r="P2911" s="3">
        <v>0.99172969093501695</v>
      </c>
    </row>
    <row r="2912" spans="1:16" x14ac:dyDescent="0.3">
      <c r="A2912" s="3" t="str">
        <f t="shared" si="46"/>
        <v>ELC</v>
      </c>
      <c r="C2912" s="3" t="s">
        <v>850</v>
      </c>
      <c r="D2912" s="3" t="s">
        <v>763</v>
      </c>
      <c r="E2912" s="3" t="s">
        <v>1363</v>
      </c>
      <c r="F2912" s="3" t="s">
        <v>0</v>
      </c>
      <c r="G2912" s="3">
        <v>3.77912968398018E-2</v>
      </c>
    </row>
    <row r="2913" spans="1:16" x14ac:dyDescent="0.3">
      <c r="A2913" s="3" t="str">
        <f t="shared" si="46"/>
        <v>ELC</v>
      </c>
      <c r="C2913" s="3" t="s">
        <v>850</v>
      </c>
      <c r="D2913" s="3" t="s">
        <v>763</v>
      </c>
      <c r="E2913" s="3" t="s">
        <v>1363</v>
      </c>
      <c r="F2913" s="3" t="s">
        <v>1</v>
      </c>
      <c r="G2913" s="3">
        <v>0.10402672565432999</v>
      </c>
    </row>
    <row r="2914" spans="1:16" x14ac:dyDescent="0.3">
      <c r="A2914" s="3" t="str">
        <f t="shared" si="46"/>
        <v>ELC</v>
      </c>
      <c r="C2914" s="3" t="s">
        <v>850</v>
      </c>
      <c r="D2914" s="3" t="s">
        <v>763</v>
      </c>
      <c r="E2914" s="3" t="s">
        <v>1363</v>
      </c>
      <c r="F2914" s="3" t="s">
        <v>2</v>
      </c>
      <c r="G2914" s="3">
        <v>0.12682526568008001</v>
      </c>
      <c r="H2914" s="3">
        <v>5.7982323188628904</v>
      </c>
    </row>
    <row r="2915" spans="1:16" x14ac:dyDescent="0.3">
      <c r="A2915" s="3" t="str">
        <f t="shared" si="46"/>
        <v>ELC</v>
      </c>
      <c r="C2915" s="3" t="s">
        <v>850</v>
      </c>
      <c r="D2915" s="3" t="s">
        <v>763</v>
      </c>
      <c r="E2915" s="3" t="s">
        <v>1363</v>
      </c>
      <c r="F2915" s="3" t="s">
        <v>3</v>
      </c>
      <c r="G2915" s="3">
        <v>8.5901768061119405E-2</v>
      </c>
      <c r="H2915" s="3">
        <v>3.9272806183261801</v>
      </c>
    </row>
    <row r="2916" spans="1:16" x14ac:dyDescent="0.3">
      <c r="A2916" s="3" t="str">
        <f t="shared" si="46"/>
        <v>ELC</v>
      </c>
      <c r="C2916" s="3" t="s">
        <v>850</v>
      </c>
      <c r="D2916" s="3" t="s">
        <v>763</v>
      </c>
      <c r="E2916" s="3" t="s">
        <v>1363</v>
      </c>
      <c r="F2916" s="3" t="s">
        <v>4</v>
      </c>
      <c r="G2916" s="3">
        <v>0.123011835804209</v>
      </c>
    </row>
    <row r="2917" spans="1:16" x14ac:dyDescent="0.3">
      <c r="A2917" s="3" t="str">
        <f t="shared" si="46"/>
        <v>ELC</v>
      </c>
      <c r="C2917" s="3" t="s">
        <v>850</v>
      </c>
      <c r="D2917" s="3" t="s">
        <v>763</v>
      </c>
      <c r="E2917" s="3" t="s">
        <v>1363</v>
      </c>
      <c r="F2917" s="3" t="s">
        <v>5</v>
      </c>
      <c r="G2917" s="3">
        <v>0.10722273284717999</v>
      </c>
      <c r="H2917" s="3">
        <v>1.35770581003156</v>
      </c>
    </row>
    <row r="2918" spans="1:16" x14ac:dyDescent="0.3">
      <c r="A2918" s="3" t="str">
        <f t="shared" si="46"/>
        <v>ELC</v>
      </c>
      <c r="C2918" s="3" t="s">
        <v>850</v>
      </c>
      <c r="D2918" s="3" t="s">
        <v>763</v>
      </c>
      <c r="E2918" s="3" t="s">
        <v>1363</v>
      </c>
      <c r="F2918" s="3" t="s">
        <v>6</v>
      </c>
      <c r="G2918" s="3">
        <v>0.372492026948675</v>
      </c>
    </row>
    <row r="2919" spans="1:16" x14ac:dyDescent="0.3">
      <c r="A2919" s="3" t="str">
        <f t="shared" si="46"/>
        <v>ELC</v>
      </c>
      <c r="C2919" s="3" t="s">
        <v>850</v>
      </c>
      <c r="D2919" s="3" t="s">
        <v>763</v>
      </c>
      <c r="E2919" s="3" t="s">
        <v>1363</v>
      </c>
      <c r="F2919" s="3" t="s">
        <v>7</v>
      </c>
      <c r="G2919" s="3">
        <v>0.10895363589299401</v>
      </c>
    </row>
    <row r="2920" spans="1:16" x14ac:dyDescent="0.3">
      <c r="A2920" s="3" t="str">
        <f t="shared" si="46"/>
        <v>ELC</v>
      </c>
      <c r="C2920" s="3" t="s">
        <v>850</v>
      </c>
      <c r="D2920" s="3" t="s">
        <v>763</v>
      </c>
      <c r="E2920" s="3" t="s">
        <v>1363</v>
      </c>
      <c r="F2920" s="3" t="s">
        <v>8</v>
      </c>
      <c r="G2920" s="3">
        <v>6.8318892224671704E-2</v>
      </c>
    </row>
    <row r="2921" spans="1:16" x14ac:dyDescent="0.3">
      <c r="A2921" s="3" t="str">
        <f t="shared" si="46"/>
        <v>NGA</v>
      </c>
      <c r="C2921" s="3" t="s">
        <v>850</v>
      </c>
      <c r="D2921" s="3" t="s">
        <v>763</v>
      </c>
      <c r="E2921" s="3" t="s">
        <v>1367</v>
      </c>
      <c r="F2921" s="3" t="s">
        <v>0</v>
      </c>
      <c r="G2921" s="3">
        <v>0.18167700089427799</v>
      </c>
    </row>
    <row r="2922" spans="1:16" x14ac:dyDescent="0.3">
      <c r="A2922" s="3" t="str">
        <f t="shared" si="46"/>
        <v>NGA</v>
      </c>
      <c r="C2922" s="3" t="s">
        <v>850</v>
      </c>
      <c r="D2922" s="3" t="s">
        <v>763</v>
      </c>
      <c r="E2922" s="3" t="s">
        <v>1367</v>
      </c>
      <c r="F2922" s="3" t="s">
        <v>1</v>
      </c>
      <c r="G2922" s="3">
        <v>0.50009565985112303</v>
      </c>
      <c r="I2922" s="3">
        <v>1.5841139715238199</v>
      </c>
      <c r="O2922" s="3">
        <v>2.93493963570238</v>
      </c>
    </row>
    <row r="2923" spans="1:16" x14ac:dyDescent="0.3">
      <c r="A2923" s="3" t="str">
        <f t="shared" si="46"/>
        <v>NGA</v>
      </c>
      <c r="C2923" s="3" t="s">
        <v>850</v>
      </c>
      <c r="D2923" s="3" t="s">
        <v>763</v>
      </c>
      <c r="E2923" s="3" t="s">
        <v>1367</v>
      </c>
      <c r="F2923" s="3" t="s">
        <v>2</v>
      </c>
      <c r="G2923" s="3">
        <v>0.84680115357015395</v>
      </c>
      <c r="I2923" s="3">
        <v>6.0762942259708401</v>
      </c>
      <c r="N2923" s="3">
        <v>8.3956760707520495</v>
      </c>
      <c r="O2923" s="3">
        <v>11.2577485474966</v>
      </c>
    </row>
    <row r="2924" spans="1:16" x14ac:dyDescent="0.3">
      <c r="A2924" s="3" t="str">
        <f t="shared" si="46"/>
        <v>NGA</v>
      </c>
      <c r="C2924" s="3" t="s">
        <v>850</v>
      </c>
      <c r="D2924" s="3" t="s">
        <v>763</v>
      </c>
      <c r="E2924" s="3" t="s">
        <v>1367</v>
      </c>
      <c r="F2924" s="3" t="s">
        <v>3</v>
      </c>
      <c r="G2924" s="3">
        <v>0.57355855631609598</v>
      </c>
      <c r="I2924" s="3">
        <v>4.11561855968933</v>
      </c>
      <c r="N2924" s="3">
        <v>5.68659103277803</v>
      </c>
      <c r="O2924" s="3">
        <v>7.6251407748428797</v>
      </c>
    </row>
    <row r="2925" spans="1:16" x14ac:dyDescent="0.3">
      <c r="A2925" s="3" t="str">
        <f t="shared" si="46"/>
        <v>NGA</v>
      </c>
      <c r="C2925" s="3" t="s">
        <v>850</v>
      </c>
      <c r="D2925" s="3" t="s">
        <v>763</v>
      </c>
      <c r="E2925" s="3" t="s">
        <v>1367</v>
      </c>
      <c r="F2925" s="3" t="s">
        <v>4</v>
      </c>
      <c r="G2925" s="3">
        <v>0.70731800840685</v>
      </c>
      <c r="I2925" s="3">
        <v>1.6323334749177201</v>
      </c>
      <c r="N2925" s="3">
        <v>2.2554113716678299</v>
      </c>
    </row>
    <row r="2926" spans="1:16" x14ac:dyDescent="0.3">
      <c r="A2926" s="3" t="str">
        <f t="shared" si="46"/>
        <v>NGA</v>
      </c>
      <c r="C2926" s="3" t="s">
        <v>850</v>
      </c>
      <c r="D2926" s="3" t="s">
        <v>763</v>
      </c>
      <c r="E2926" s="3" t="s">
        <v>1367</v>
      </c>
      <c r="F2926" s="3" t="s">
        <v>5</v>
      </c>
      <c r="G2926" s="3">
        <v>0.61653067249657001</v>
      </c>
      <c r="I2926" s="3">
        <v>1.42281638961299</v>
      </c>
    </row>
    <row r="2927" spans="1:16" x14ac:dyDescent="0.3">
      <c r="A2927" s="3" t="str">
        <f t="shared" si="46"/>
        <v>NGA</v>
      </c>
      <c r="C2927" s="3" t="s">
        <v>850</v>
      </c>
      <c r="D2927" s="3" t="s">
        <v>763</v>
      </c>
      <c r="E2927" s="3" t="s">
        <v>1367</v>
      </c>
      <c r="F2927" s="3" t="s">
        <v>6</v>
      </c>
      <c r="G2927" s="3">
        <v>2.1418290112190301</v>
      </c>
      <c r="H2927" s="3">
        <v>4.7166731881330799</v>
      </c>
      <c r="I2927" s="3">
        <v>4.9428674952550198</v>
      </c>
      <c r="N2927" s="3">
        <v>6.1277664758182597</v>
      </c>
      <c r="O2927" s="3">
        <v>8.4268158333094298</v>
      </c>
      <c r="P2927" s="3">
        <v>9.0737405040134504</v>
      </c>
    </row>
    <row r="2928" spans="1:16" x14ac:dyDescent="0.3">
      <c r="A2928" s="3" t="str">
        <f t="shared" si="46"/>
        <v>NGA</v>
      </c>
      <c r="C2928" s="3" t="s">
        <v>850</v>
      </c>
      <c r="D2928" s="3" t="s">
        <v>763</v>
      </c>
      <c r="E2928" s="3" t="s">
        <v>1367</v>
      </c>
      <c r="F2928" s="3" t="s">
        <v>7</v>
      </c>
      <c r="G2928" s="3">
        <v>0.62853740815960402</v>
      </c>
      <c r="I2928" s="3">
        <v>0.795205268866088</v>
      </c>
      <c r="L2928" s="3">
        <v>0.19267538705949899</v>
      </c>
      <c r="N2928" s="3">
        <v>1.0987430165280201</v>
      </c>
      <c r="O2928" s="3">
        <v>1.47330274466894</v>
      </c>
      <c r="P2928" s="3">
        <v>1.5815911548311801</v>
      </c>
    </row>
    <row r="2929" spans="1:15" x14ac:dyDescent="0.3">
      <c r="A2929" s="3" t="str">
        <f t="shared" si="46"/>
        <v>NGA</v>
      </c>
      <c r="C2929" s="3" t="s">
        <v>850</v>
      </c>
      <c r="D2929" s="3" t="s">
        <v>763</v>
      </c>
      <c r="E2929" s="3" t="s">
        <v>1367</v>
      </c>
      <c r="F2929" s="3" t="s">
        <v>8</v>
      </c>
      <c r="G2929" s="3">
        <v>0.39412158295849598</v>
      </c>
      <c r="I2929" s="3">
        <v>0.49862992285553298</v>
      </c>
      <c r="N2929" s="3">
        <v>0.67677028832867103</v>
      </c>
      <c r="O2929" s="3">
        <v>0.92382792554261595</v>
      </c>
    </row>
    <row r="2930" spans="1:15" x14ac:dyDescent="0.3">
      <c r="A2930" s="3" t="str">
        <f t="shared" si="46"/>
        <v>OTP</v>
      </c>
      <c r="C2930" s="3" t="s">
        <v>850</v>
      </c>
      <c r="D2930" s="3" t="s">
        <v>763</v>
      </c>
      <c r="E2930" s="3" t="s">
        <v>1373</v>
      </c>
      <c r="F2930" s="3" t="s">
        <v>0</v>
      </c>
      <c r="G2930" s="3">
        <v>2.6848240063889299E-2</v>
      </c>
    </row>
    <row r="2931" spans="1:15" x14ac:dyDescent="0.3">
      <c r="A2931" s="3" t="str">
        <f t="shared" si="46"/>
        <v>OTP</v>
      </c>
      <c r="C2931" s="3" t="s">
        <v>850</v>
      </c>
      <c r="D2931" s="3" t="s">
        <v>763</v>
      </c>
      <c r="E2931" s="3" t="s">
        <v>1373</v>
      </c>
      <c r="F2931" s="3" t="s">
        <v>1</v>
      </c>
      <c r="G2931" s="3">
        <v>7.3904172044349306E-2</v>
      </c>
    </row>
    <row r="2932" spans="1:15" x14ac:dyDescent="0.3">
      <c r="A2932" s="3" t="str">
        <f t="shared" si="46"/>
        <v>OTP</v>
      </c>
      <c r="C2932" s="3" t="s">
        <v>850</v>
      </c>
      <c r="D2932" s="3" t="s">
        <v>763</v>
      </c>
      <c r="E2932" s="3" t="s">
        <v>1373</v>
      </c>
      <c r="F2932" s="3" t="s">
        <v>2</v>
      </c>
      <c r="G2932" s="3">
        <v>0.50242263746936999</v>
      </c>
    </row>
    <row r="2933" spans="1:15" x14ac:dyDescent="0.3">
      <c r="A2933" s="3" t="str">
        <f t="shared" si="46"/>
        <v>OTP</v>
      </c>
      <c r="C2933" s="3" t="s">
        <v>850</v>
      </c>
      <c r="D2933" s="3" t="s">
        <v>763</v>
      </c>
      <c r="E2933" s="3" t="s">
        <v>1373</v>
      </c>
      <c r="F2933" s="3" t="s">
        <v>3</v>
      </c>
      <c r="G2933" s="3">
        <v>0.34030279882416697</v>
      </c>
    </row>
    <row r="2934" spans="1:15" x14ac:dyDescent="0.3">
      <c r="A2934" s="3" t="str">
        <f t="shared" si="46"/>
        <v>OTP</v>
      </c>
      <c r="C2934" s="3" t="s">
        <v>850</v>
      </c>
      <c r="D2934" s="3" t="s">
        <v>763</v>
      </c>
      <c r="E2934" s="3" t="s">
        <v>1373</v>
      </c>
      <c r="F2934" s="3" t="s">
        <v>4</v>
      </c>
      <c r="G2934" s="3">
        <v>3.7457195594483697E-2</v>
      </c>
    </row>
    <row r="2935" spans="1:15" x14ac:dyDescent="0.3">
      <c r="A2935" s="3" t="str">
        <f t="shared" si="46"/>
        <v>OTP</v>
      </c>
      <c r="C2935" s="3" t="s">
        <v>850</v>
      </c>
      <c r="D2935" s="3" t="s">
        <v>763</v>
      </c>
      <c r="E2935" s="3" t="s">
        <v>1373</v>
      </c>
      <c r="F2935" s="3" t="s">
        <v>5</v>
      </c>
      <c r="G2935" s="3">
        <v>3.26494019878244E-2</v>
      </c>
    </row>
    <row r="2936" spans="1:15" x14ac:dyDescent="0.3">
      <c r="A2936" s="3" t="str">
        <f t="shared" si="46"/>
        <v>OTP</v>
      </c>
      <c r="C2936" s="3" t="s">
        <v>850</v>
      </c>
      <c r="D2936" s="3" t="s">
        <v>763</v>
      </c>
      <c r="E2936" s="3" t="s">
        <v>1373</v>
      </c>
      <c r="F2936" s="3" t="s">
        <v>6</v>
      </c>
      <c r="G2936" s="3">
        <v>0.11342409955583101</v>
      </c>
    </row>
    <row r="2937" spans="1:15" x14ac:dyDescent="0.3">
      <c r="A2937" s="3" t="str">
        <f t="shared" si="46"/>
        <v>PTC</v>
      </c>
      <c r="C2937" s="3" t="s">
        <v>850</v>
      </c>
      <c r="D2937" s="3" t="s">
        <v>763</v>
      </c>
      <c r="E2937" s="3" t="s">
        <v>1371</v>
      </c>
      <c r="F2937" s="3" t="s">
        <v>1</v>
      </c>
      <c r="G2937" s="3">
        <v>0.80651824758620205</v>
      </c>
    </row>
    <row r="2938" spans="1:15" x14ac:dyDescent="0.3">
      <c r="A2938" s="3" t="str">
        <f t="shared" si="46"/>
        <v>PTC</v>
      </c>
      <c r="C2938" s="3" t="s">
        <v>850</v>
      </c>
      <c r="D2938" s="3" t="s">
        <v>763</v>
      </c>
      <c r="E2938" s="3" t="s">
        <v>1371</v>
      </c>
      <c r="F2938" s="3" t="s">
        <v>2</v>
      </c>
      <c r="G2938" s="3">
        <v>4.1221593237839897</v>
      </c>
    </row>
    <row r="2939" spans="1:15" x14ac:dyDescent="0.3">
      <c r="A2939" s="3" t="str">
        <f t="shared" si="46"/>
        <v>PTC</v>
      </c>
      <c r="C2939" s="3" t="s">
        <v>850</v>
      </c>
      <c r="D2939" s="3" t="s">
        <v>763</v>
      </c>
      <c r="E2939" s="3" t="s">
        <v>1371</v>
      </c>
      <c r="F2939" s="3" t="s">
        <v>3</v>
      </c>
      <c r="G2939" s="3">
        <v>2.7920365255603099</v>
      </c>
    </row>
    <row r="2940" spans="1:15" x14ac:dyDescent="0.3">
      <c r="A2940" s="3" t="str">
        <f t="shared" si="46"/>
        <v>PTC</v>
      </c>
      <c r="C2940" s="3" t="s">
        <v>850</v>
      </c>
      <c r="D2940" s="3" t="s">
        <v>763</v>
      </c>
      <c r="E2940" s="3" t="s">
        <v>1371</v>
      </c>
      <c r="F2940" s="3" t="s">
        <v>4</v>
      </c>
      <c r="G2940" s="3">
        <v>0.47150402015797399</v>
      </c>
    </row>
    <row r="2941" spans="1:15" x14ac:dyDescent="0.3">
      <c r="A2941" s="3" t="str">
        <f t="shared" si="46"/>
        <v>PTC</v>
      </c>
      <c r="C2941" s="3" t="s">
        <v>850</v>
      </c>
      <c r="D2941" s="3" t="s">
        <v>763</v>
      </c>
      <c r="E2941" s="3" t="s">
        <v>1371</v>
      </c>
      <c r="F2941" s="3" t="s">
        <v>5</v>
      </c>
      <c r="G2941" s="3">
        <v>0.41098443299583498</v>
      </c>
    </row>
    <row r="2942" spans="1:15" x14ac:dyDescent="0.3">
      <c r="A2942" s="3" t="str">
        <f t="shared" si="46"/>
        <v>PTC</v>
      </c>
      <c r="C2942" s="3" t="s">
        <v>850</v>
      </c>
      <c r="D2942" s="3" t="s">
        <v>763</v>
      </c>
      <c r="E2942" s="3" t="s">
        <v>1371</v>
      </c>
      <c r="F2942" s="3" t="s">
        <v>6</v>
      </c>
      <c r="G2942" s="3">
        <v>1.42776089011983</v>
      </c>
    </row>
    <row r="2943" spans="1:15" x14ac:dyDescent="0.3">
      <c r="A2943" s="3" t="str">
        <f t="shared" si="46"/>
        <v>RFL</v>
      </c>
      <c r="C2943" s="3" t="s">
        <v>850</v>
      </c>
      <c r="D2943" s="3" t="s">
        <v>763</v>
      </c>
      <c r="E2943" s="3" t="s">
        <v>1365</v>
      </c>
      <c r="F2943" s="3" t="s">
        <v>0</v>
      </c>
      <c r="G2943" s="3">
        <v>3.2529822634751598E-3</v>
      </c>
      <c r="I2943" s="3">
        <v>0.264711605675296</v>
      </c>
    </row>
    <row r="2944" spans="1:15" x14ac:dyDescent="0.3">
      <c r="A2944" s="3" t="str">
        <f t="shared" si="46"/>
        <v>RFL</v>
      </c>
      <c r="C2944" s="3" t="s">
        <v>850</v>
      </c>
      <c r="D2944" s="3" t="s">
        <v>763</v>
      </c>
      <c r="E2944" s="3" t="s">
        <v>1365</v>
      </c>
      <c r="F2944" s="3" t="s">
        <v>1</v>
      </c>
      <c r="G2944" s="3">
        <v>8.9543657344018195E-3</v>
      </c>
      <c r="N2944" s="3">
        <v>2.1887860049998702</v>
      </c>
    </row>
    <row r="2945" spans="1:16" x14ac:dyDescent="0.3">
      <c r="A2945" s="3" t="str">
        <f t="shared" si="46"/>
        <v>RFL</v>
      </c>
      <c r="C2945" s="3" t="s">
        <v>850</v>
      </c>
      <c r="D2945" s="3" t="s">
        <v>763</v>
      </c>
      <c r="E2945" s="3" t="s">
        <v>1365</v>
      </c>
      <c r="F2945" s="3" t="s">
        <v>2</v>
      </c>
      <c r="G2945" s="3">
        <v>2.0485862330453599E-2</v>
      </c>
    </row>
    <row r="2946" spans="1:16" x14ac:dyDescent="0.3">
      <c r="A2946" s="3" t="str">
        <f t="shared" si="46"/>
        <v>RFL</v>
      </c>
      <c r="C2946" s="3" t="s">
        <v>850</v>
      </c>
      <c r="D2946" s="3" t="s">
        <v>763</v>
      </c>
      <c r="E2946" s="3" t="s">
        <v>1365</v>
      </c>
      <c r="F2946" s="3" t="s">
        <v>3</v>
      </c>
      <c r="G2946" s="3">
        <v>1.38755616635705E-2</v>
      </c>
    </row>
    <row r="2947" spans="1:16" x14ac:dyDescent="0.3">
      <c r="A2947" s="3" t="str">
        <f t="shared" si="46"/>
        <v>RFL</v>
      </c>
      <c r="C2947" s="3" t="s">
        <v>850</v>
      </c>
      <c r="D2947" s="3" t="s">
        <v>763</v>
      </c>
      <c r="E2947" s="3" t="s">
        <v>1365</v>
      </c>
      <c r="F2947" s="3" t="s">
        <v>4</v>
      </c>
      <c r="G2947" s="3">
        <v>1.13498263535064E-2</v>
      </c>
    </row>
    <row r="2948" spans="1:16" x14ac:dyDescent="0.3">
      <c r="A2948" s="3" t="str">
        <f t="shared" si="46"/>
        <v>RFL</v>
      </c>
      <c r="C2948" s="3" t="s">
        <v>850</v>
      </c>
      <c r="D2948" s="3" t="s">
        <v>763</v>
      </c>
      <c r="E2948" s="3" t="s">
        <v>1365</v>
      </c>
      <c r="F2948" s="3" t="s">
        <v>5</v>
      </c>
      <c r="G2948" s="3">
        <v>9.8930268864603904E-3</v>
      </c>
    </row>
    <row r="2949" spans="1:16" x14ac:dyDescent="0.3">
      <c r="A2949" s="3" t="str">
        <f t="shared" si="46"/>
        <v>RFL</v>
      </c>
      <c r="C2949" s="3" t="s">
        <v>850</v>
      </c>
      <c r="D2949" s="3" t="s">
        <v>763</v>
      </c>
      <c r="E2949" s="3" t="s">
        <v>1365</v>
      </c>
      <c r="F2949" s="3" t="s">
        <v>6</v>
      </c>
      <c r="G2949" s="3">
        <v>3.4368398750361698E-2</v>
      </c>
    </row>
    <row r="2950" spans="1:16" x14ac:dyDescent="0.3">
      <c r="A2950" s="3" t="str">
        <f t="shared" si="46"/>
        <v>RFL</v>
      </c>
      <c r="C2950" s="3" t="s">
        <v>850</v>
      </c>
      <c r="D2950" s="3" t="s">
        <v>763</v>
      </c>
      <c r="E2950" s="3" t="s">
        <v>1365</v>
      </c>
      <c r="F2950" s="3" t="s">
        <v>7</v>
      </c>
      <c r="G2950" s="3">
        <v>1.2226735774094E-2</v>
      </c>
    </row>
    <row r="2951" spans="1:16" x14ac:dyDescent="0.3">
      <c r="A2951" s="3" t="str">
        <f t="shared" si="46"/>
        <v>RFL</v>
      </c>
      <c r="C2951" s="3" t="s">
        <v>850</v>
      </c>
      <c r="D2951" s="3" t="s">
        <v>763</v>
      </c>
      <c r="E2951" s="3" t="s">
        <v>1365</v>
      </c>
      <c r="F2951" s="3" t="s">
        <v>8</v>
      </c>
      <c r="G2951" s="3">
        <v>7.6667202224462603E-3</v>
      </c>
      <c r="N2951" s="3">
        <v>1.2191627568392E-2</v>
      </c>
    </row>
    <row r="2952" spans="1:16" x14ac:dyDescent="0.3">
      <c r="A2952" s="3" t="str">
        <f t="shared" si="46"/>
        <v>STM</v>
      </c>
      <c r="C2952" s="3" t="s">
        <v>850</v>
      </c>
      <c r="D2952" s="3" t="s">
        <v>763</v>
      </c>
      <c r="E2952" s="3" t="s">
        <v>1572</v>
      </c>
      <c r="F2952" s="3" t="s">
        <v>6</v>
      </c>
      <c r="M2952" s="3">
        <v>1.9061275333845398E-2</v>
      </c>
      <c r="N2952" s="3">
        <v>0.70184262596617597</v>
      </c>
      <c r="O2952" s="3">
        <v>0.73099603289997594</v>
      </c>
      <c r="P2952" s="3">
        <v>0.75717462705110605</v>
      </c>
    </row>
    <row r="2953" spans="1:16" x14ac:dyDescent="0.3">
      <c r="A2953" s="3" t="str">
        <f t="shared" si="46"/>
        <v>NGA</v>
      </c>
      <c r="C2953" s="3" t="s">
        <v>850</v>
      </c>
      <c r="D2953" s="3" t="s">
        <v>1262</v>
      </c>
      <c r="E2953" s="3" t="s">
        <v>1333</v>
      </c>
      <c r="F2953" s="3" t="s">
        <v>6</v>
      </c>
      <c r="M2953" s="3">
        <v>1.9061275333845398E-2</v>
      </c>
      <c r="N2953" s="3">
        <v>0.70184262596617641</v>
      </c>
      <c r="O2953" s="3">
        <v>0.7309960328999765</v>
      </c>
      <c r="P2953" s="3">
        <v>0.75717462705110672</v>
      </c>
    </row>
    <row r="2954" spans="1:16" x14ac:dyDescent="0.3">
      <c r="A2954" s="3" t="str">
        <f t="shared" si="46"/>
        <v>COA</v>
      </c>
      <c r="C2954" s="3" t="s">
        <v>850</v>
      </c>
      <c r="D2954" s="3" t="s">
        <v>796</v>
      </c>
      <c r="E2954" s="3" t="s">
        <v>1347</v>
      </c>
      <c r="F2954" s="3" t="s">
        <v>0</v>
      </c>
      <c r="G2954" s="3">
        <v>1.9311939377959799</v>
      </c>
      <c r="H2954" s="3">
        <v>1.86682080653611</v>
      </c>
      <c r="I2954" s="3">
        <v>2.7671734566348798</v>
      </c>
      <c r="J2954" s="3">
        <v>3.3016865529897581</v>
      </c>
      <c r="K2954" s="3">
        <v>4.3324437276652681</v>
      </c>
      <c r="L2954" s="3">
        <v>5.379852180234888</v>
      </c>
      <c r="M2954" s="3">
        <v>6.5356361506629588</v>
      </c>
      <c r="N2954" s="3">
        <v>7.8784647021883885</v>
      </c>
      <c r="O2954" s="3">
        <v>6.7206195270501583</v>
      </c>
      <c r="P2954" s="3">
        <v>5.8642407743959497</v>
      </c>
    </row>
    <row r="2955" spans="1:16" x14ac:dyDescent="0.3">
      <c r="A2955" s="3" t="str">
        <f t="shared" si="46"/>
        <v>COA</v>
      </c>
      <c r="C2955" s="3" t="s">
        <v>850</v>
      </c>
      <c r="D2955" s="3" t="s">
        <v>796</v>
      </c>
      <c r="E2955" s="3" t="s">
        <v>1347</v>
      </c>
      <c r="F2955" s="3" t="s">
        <v>1</v>
      </c>
      <c r="G2955" s="3">
        <v>5.3159271777311101</v>
      </c>
      <c r="H2955" s="3">
        <v>5.1387296051400702</v>
      </c>
      <c r="I2955" s="3">
        <v>4.4299393147759201</v>
      </c>
      <c r="J2955" s="3">
        <v>6.4214076651360994</v>
      </c>
      <c r="K2955" s="3">
        <v>9.2587353779355404</v>
      </c>
      <c r="L2955" s="3">
        <v>12.14189845660321</v>
      </c>
      <c r="M2955" s="3">
        <v>15.323382873956335</v>
      </c>
      <c r="N2955" s="3">
        <v>14.437395011001151</v>
      </c>
      <c r="O2955" s="3">
        <v>14.437395011001151</v>
      </c>
      <c r="P2955" s="3">
        <v>11.55993879768579</v>
      </c>
    </row>
    <row r="2956" spans="1:16" x14ac:dyDescent="0.3">
      <c r="A2956" s="3" t="str">
        <f t="shared" si="46"/>
        <v>COA</v>
      </c>
      <c r="C2956" s="3" t="s">
        <v>850</v>
      </c>
      <c r="D2956" s="3" t="s">
        <v>796</v>
      </c>
      <c r="E2956" s="3" t="s">
        <v>1347</v>
      </c>
      <c r="F2956" s="3" t="s">
        <v>2</v>
      </c>
      <c r="G2956" s="3">
        <v>17.822661908565099</v>
      </c>
      <c r="H2956" s="3">
        <v>17.2285731782796</v>
      </c>
      <c r="I2956" s="3">
        <v>14.852218257137601</v>
      </c>
      <c r="J2956" s="3">
        <v>18.307315014624592</v>
      </c>
      <c r="K2956" s="3">
        <v>23.843052514198718</v>
      </c>
      <c r="L2956" s="3">
        <v>29.284913505223351</v>
      </c>
      <c r="M2956" s="3">
        <v>35.497797853688944</v>
      </c>
      <c r="N2956" s="3">
        <v>42.838752145769121</v>
      </c>
      <c r="O2956" s="3">
        <v>42.838752145769121</v>
      </c>
      <c r="P2956" s="3">
        <v>36.413211736854635</v>
      </c>
    </row>
    <row r="2957" spans="1:16" x14ac:dyDescent="0.3">
      <c r="A2957" s="3" t="str">
        <f t="shared" si="46"/>
        <v>COA</v>
      </c>
      <c r="C2957" s="3" t="s">
        <v>850</v>
      </c>
      <c r="D2957" s="3" t="s">
        <v>796</v>
      </c>
      <c r="E2957" s="3" t="s">
        <v>1347</v>
      </c>
      <c r="F2957" s="3" t="s">
        <v>3</v>
      </c>
      <c r="G2957" s="3">
        <v>12.0717126929842</v>
      </c>
      <c r="H2957" s="3">
        <v>11.669322269884701</v>
      </c>
      <c r="I2957" s="3">
        <v>10.0597605774868</v>
      </c>
      <c r="J2957" s="3">
        <v>8.0478084619894705</v>
      </c>
      <c r="K2957" s="3">
        <v>6.0358563464920998</v>
      </c>
      <c r="L2957" s="3">
        <v>4.0239042309947299</v>
      </c>
      <c r="M2957" s="3">
        <v>2.0119521154973699</v>
      </c>
    </row>
    <row r="2958" spans="1:16" x14ac:dyDescent="0.3">
      <c r="A2958" s="3" t="str">
        <f t="shared" si="46"/>
        <v>COA</v>
      </c>
      <c r="C2958" s="3" t="s">
        <v>850</v>
      </c>
      <c r="D2958" s="3" t="s">
        <v>796</v>
      </c>
      <c r="E2958" s="3" t="s">
        <v>1347</v>
      </c>
      <c r="F2958" s="3" t="s">
        <v>4</v>
      </c>
      <c r="G2958" s="3">
        <v>5.3616699299285804</v>
      </c>
      <c r="H2958" s="3">
        <v>5.1829475989309604</v>
      </c>
      <c r="I2958" s="3">
        <v>4.4680582749404802</v>
      </c>
      <c r="J2958" s="3">
        <v>3.5744466199523899</v>
      </c>
      <c r="K2958" s="3">
        <v>2.6808349649642902</v>
      </c>
      <c r="L2958" s="3">
        <v>1.7872233099761901</v>
      </c>
      <c r="M2958" s="3">
        <v>0.89361165498809703</v>
      </c>
    </row>
    <row r="2959" spans="1:16" x14ac:dyDescent="0.3">
      <c r="A2959" s="3" t="str">
        <f t="shared" si="46"/>
        <v>COA</v>
      </c>
      <c r="C2959" s="3" t="s">
        <v>850</v>
      </c>
      <c r="D2959" s="3" t="s">
        <v>796</v>
      </c>
      <c r="E2959" s="3" t="s">
        <v>1347</v>
      </c>
      <c r="F2959" s="3" t="s">
        <v>5</v>
      </c>
      <c r="G2959" s="3">
        <v>4.6734763265098396</v>
      </c>
      <c r="H2959" s="3">
        <v>4.5176937822928398</v>
      </c>
      <c r="I2959" s="3">
        <v>3.89456360542487</v>
      </c>
      <c r="J2959" s="3">
        <v>3.1156508843398898</v>
      </c>
      <c r="K2959" s="3">
        <v>2.3367381632549198</v>
      </c>
      <c r="L2959" s="3">
        <v>1.55782544216995</v>
      </c>
      <c r="M2959" s="3">
        <v>0.778912721084973</v>
      </c>
    </row>
    <row r="2960" spans="1:16" x14ac:dyDescent="0.3">
      <c r="A2960" s="3" t="str">
        <f t="shared" si="46"/>
        <v>COA</v>
      </c>
      <c r="C2960" s="3" t="s">
        <v>850</v>
      </c>
      <c r="D2960" s="3" t="s">
        <v>796</v>
      </c>
      <c r="E2960" s="3" t="s">
        <v>1347</v>
      </c>
      <c r="F2960" s="3" t="s">
        <v>6</v>
      </c>
      <c r="G2960" s="3">
        <v>16.2356677873473</v>
      </c>
      <c r="H2960" s="3">
        <v>15.6944788611024</v>
      </c>
      <c r="I2960" s="3">
        <v>13.529723156122699</v>
      </c>
      <c r="J2960" s="3">
        <v>10.8237785248982</v>
      </c>
      <c r="K2960" s="3">
        <v>8.1178338936736498</v>
      </c>
      <c r="L2960" s="3">
        <v>5.4118892624491002</v>
      </c>
      <c r="M2960" s="3">
        <v>2.7059446312245501</v>
      </c>
    </row>
    <row r="2961" spans="1:16" x14ac:dyDescent="0.3">
      <c r="A2961" s="3" t="str">
        <f t="shared" si="46"/>
        <v>COA</v>
      </c>
      <c r="C2961" s="3" t="s">
        <v>850</v>
      </c>
      <c r="D2961" s="3" t="s">
        <v>796</v>
      </c>
      <c r="E2961" s="3" t="s">
        <v>1347</v>
      </c>
      <c r="F2961" s="3" t="s">
        <v>7</v>
      </c>
      <c r="G2961" s="3">
        <v>7.2380099216522904</v>
      </c>
      <c r="H2961" s="3">
        <v>6.9967429242638799</v>
      </c>
      <c r="I2961" s="3">
        <v>6.0316749347102396</v>
      </c>
      <c r="J2961" s="3">
        <v>8.6516726741818992</v>
      </c>
      <c r="K2961" s="3">
        <v>12.299130239868699</v>
      </c>
      <c r="L2961" s="3">
        <v>11.092795252926649</v>
      </c>
      <c r="M2961" s="3">
        <v>9.8864602659845993</v>
      </c>
      <c r="N2961" s="3">
        <v>8.6801252790425494</v>
      </c>
      <c r="O2961" s="3">
        <v>8.6801252790425494</v>
      </c>
      <c r="P2961" s="3">
        <v>4.8537925526288399</v>
      </c>
    </row>
    <row r="2962" spans="1:16" x14ac:dyDescent="0.3">
      <c r="A2962" s="3" t="str">
        <f t="shared" si="46"/>
        <v>COA</v>
      </c>
      <c r="C2962" s="3" t="s">
        <v>850</v>
      </c>
      <c r="D2962" s="3" t="s">
        <v>796</v>
      </c>
      <c r="E2962" s="3" t="s">
        <v>1347</v>
      </c>
      <c r="F2962" s="3" t="s">
        <v>8</v>
      </c>
      <c r="G2962" s="3">
        <v>4.5385618910792402</v>
      </c>
      <c r="H2962" s="3">
        <v>5.1052643988258843</v>
      </c>
      <c r="I2962" s="3">
        <v>6.5753044140836536</v>
      </c>
      <c r="J2962" s="3">
        <v>8.200189797579494</v>
      </c>
      <c r="K2962" s="3">
        <v>10.627816546982594</v>
      </c>
      <c r="L2962" s="3">
        <v>12.749598146757426</v>
      </c>
      <c r="M2962" s="3">
        <v>15.285176766420594</v>
      </c>
      <c r="N2962" s="3">
        <v>18.006144933496355</v>
      </c>
      <c r="O2962" s="3">
        <v>15.479347745660013</v>
      </c>
      <c r="P2962" s="3">
        <v>13.098035380317631</v>
      </c>
    </row>
    <row r="2963" spans="1:16" x14ac:dyDescent="0.3">
      <c r="A2963" s="3" t="str">
        <f t="shared" si="46"/>
        <v>DST</v>
      </c>
      <c r="C2963" s="3" t="s">
        <v>850</v>
      </c>
      <c r="D2963" s="3" t="s">
        <v>796</v>
      </c>
      <c r="E2963" s="3" t="s">
        <v>1341</v>
      </c>
      <c r="F2963" s="3" t="s">
        <v>0</v>
      </c>
      <c r="G2963" s="3">
        <v>3.1781401544899397E-2</v>
      </c>
      <c r="I2963" s="3">
        <v>2.6484501287416199E-2</v>
      </c>
      <c r="K2963" s="3">
        <v>1.5890700772449699E-2</v>
      </c>
    </row>
    <row r="2964" spans="1:16" x14ac:dyDescent="0.3">
      <c r="A2964" s="3" t="str">
        <f t="shared" si="46"/>
        <v>DST</v>
      </c>
      <c r="C2964" s="3" t="s">
        <v>850</v>
      </c>
      <c r="D2964" s="3" t="s">
        <v>796</v>
      </c>
      <c r="E2964" s="3" t="s">
        <v>1341</v>
      </c>
      <c r="F2964" s="3" t="s">
        <v>1</v>
      </c>
      <c r="G2964" s="3">
        <v>8.7483505883302101E-2</v>
      </c>
      <c r="I2964" s="3">
        <v>7.2902921569394402E-2</v>
      </c>
      <c r="K2964" s="3">
        <v>4.3741752941636701E-2</v>
      </c>
    </row>
    <row r="2965" spans="1:16" x14ac:dyDescent="0.3">
      <c r="A2965" s="3" t="str">
        <f t="shared" si="46"/>
        <v>DST</v>
      </c>
      <c r="C2965" s="3" t="s">
        <v>850</v>
      </c>
      <c r="D2965" s="3" t="s">
        <v>796</v>
      </c>
      <c r="E2965" s="3" t="s">
        <v>1341</v>
      </c>
      <c r="F2965" s="3" t="s">
        <v>2</v>
      </c>
      <c r="G2965" s="3">
        <v>0.106656427052606</v>
      </c>
      <c r="I2965" s="3">
        <v>8.8880355877159201E-2</v>
      </c>
    </row>
    <row r="2966" spans="1:16" x14ac:dyDescent="0.3">
      <c r="A2966" s="3" t="str">
        <f t="shared" si="46"/>
        <v>DST</v>
      </c>
      <c r="C2966" s="3" t="s">
        <v>850</v>
      </c>
      <c r="D2966" s="3" t="s">
        <v>796</v>
      </c>
      <c r="E2966" s="3" t="s">
        <v>1341</v>
      </c>
      <c r="F2966" s="3" t="s">
        <v>3</v>
      </c>
      <c r="G2966" s="3">
        <v>7.2240934089606398E-2</v>
      </c>
    </row>
    <row r="2967" spans="1:16" x14ac:dyDescent="0.3">
      <c r="A2967" s="3" t="str">
        <f t="shared" si="46"/>
        <v>DST</v>
      </c>
      <c r="C2967" s="3" t="s">
        <v>850</v>
      </c>
      <c r="D2967" s="3" t="s">
        <v>796</v>
      </c>
      <c r="E2967" s="3" t="s">
        <v>1341</v>
      </c>
      <c r="F2967" s="3" t="s">
        <v>4</v>
      </c>
      <c r="G2967" s="3">
        <v>0.121705225195451</v>
      </c>
      <c r="K2967" s="3">
        <v>6.0852612597725501E-2</v>
      </c>
    </row>
    <row r="2968" spans="1:16" x14ac:dyDescent="0.3">
      <c r="A2968" s="3" t="str">
        <f t="shared" si="46"/>
        <v>DST</v>
      </c>
      <c r="C2968" s="3" t="s">
        <v>850</v>
      </c>
      <c r="D2968" s="3" t="s">
        <v>796</v>
      </c>
      <c r="E2968" s="3" t="s">
        <v>1341</v>
      </c>
      <c r="F2968" s="3" t="s">
        <v>5</v>
      </c>
      <c r="G2968" s="3">
        <v>0.106083831380322</v>
      </c>
      <c r="K2968" s="3">
        <v>5.3041915690161E-2</v>
      </c>
    </row>
    <row r="2969" spans="1:16" x14ac:dyDescent="0.3">
      <c r="A2969" s="3" t="str">
        <f t="shared" si="46"/>
        <v>DST</v>
      </c>
      <c r="C2969" s="3" t="s">
        <v>850</v>
      </c>
      <c r="D2969" s="3" t="s">
        <v>796</v>
      </c>
      <c r="E2969" s="3" t="s">
        <v>1341</v>
      </c>
      <c r="F2969" s="3" t="s">
        <v>6</v>
      </c>
      <c r="G2969" s="3">
        <v>0.368535480565091</v>
      </c>
    </row>
    <row r="2970" spans="1:16" x14ac:dyDescent="0.3">
      <c r="A2970" s="3" t="str">
        <f t="shared" si="46"/>
        <v>DST</v>
      </c>
      <c r="C2970" s="3" t="s">
        <v>850</v>
      </c>
      <c r="D2970" s="3" t="s">
        <v>796</v>
      </c>
      <c r="E2970" s="3" t="s">
        <v>1341</v>
      </c>
      <c r="F2970" s="3" t="s">
        <v>7</v>
      </c>
      <c r="G2970" s="3">
        <v>0.21990455210488599</v>
      </c>
      <c r="I2970" s="3">
        <v>0.183253793420768</v>
      </c>
    </row>
    <row r="2971" spans="1:16" x14ac:dyDescent="0.3">
      <c r="A2971" s="3" t="str">
        <f t="shared" si="46"/>
        <v>DST</v>
      </c>
      <c r="C2971" s="3" t="s">
        <v>850</v>
      </c>
      <c r="D2971" s="3" t="s">
        <v>796</v>
      </c>
      <c r="E2971" s="3" t="s">
        <v>1341</v>
      </c>
      <c r="F2971" s="3" t="s">
        <v>8</v>
      </c>
      <c r="G2971" s="3">
        <v>0.137890170179578</v>
      </c>
      <c r="I2971" s="3">
        <v>0.114908475149664</v>
      </c>
      <c r="K2971" s="3">
        <v>6.8945085089798505E-2</v>
      </c>
    </row>
    <row r="2972" spans="1:16" x14ac:dyDescent="0.3">
      <c r="A2972" s="3" t="str">
        <f t="shared" si="46"/>
        <v>ELC</v>
      </c>
      <c r="C2972" s="3" t="s">
        <v>850</v>
      </c>
      <c r="D2972" s="3" t="s">
        <v>796</v>
      </c>
      <c r="E2972" s="3" t="s">
        <v>1340</v>
      </c>
      <c r="F2972" s="3" t="s">
        <v>0</v>
      </c>
      <c r="G2972" s="3">
        <v>0.22674778103881699</v>
      </c>
      <c r="H2972" s="3">
        <v>0.21918952167085301</v>
      </c>
      <c r="J2972" s="3">
        <v>0.151165187359209</v>
      </c>
      <c r="K2972" s="3">
        <v>0.113373890519406</v>
      </c>
      <c r="L2972" s="3">
        <v>7.5582593679604307E-2</v>
      </c>
      <c r="M2972" s="3">
        <v>3.7791296839802202E-2</v>
      </c>
    </row>
    <row r="2973" spans="1:16" x14ac:dyDescent="0.3">
      <c r="A2973" s="3" t="str">
        <f t="shared" si="46"/>
        <v>ELC</v>
      </c>
      <c r="C2973" s="3" t="s">
        <v>850</v>
      </c>
      <c r="D2973" s="3" t="s">
        <v>796</v>
      </c>
      <c r="E2973" s="3" t="s">
        <v>1340</v>
      </c>
      <c r="F2973" s="3" t="s">
        <v>1</v>
      </c>
      <c r="G2973" s="3">
        <v>0.62416035392598201</v>
      </c>
      <c r="H2973" s="3">
        <v>0.60335500879511605</v>
      </c>
      <c r="I2973" s="3">
        <v>0.52013362827165199</v>
      </c>
      <c r="J2973" s="3">
        <v>0.41610690261732097</v>
      </c>
      <c r="K2973" s="3">
        <v>0.31208017696299101</v>
      </c>
      <c r="L2973" s="3">
        <v>0.20805345130866101</v>
      </c>
      <c r="M2973" s="3">
        <v>0.10402672565432999</v>
      </c>
    </row>
    <row r="2974" spans="1:16" x14ac:dyDescent="0.3">
      <c r="A2974" s="3" t="str">
        <f t="shared" si="46"/>
        <v>ELC</v>
      </c>
      <c r="C2974" s="3" t="s">
        <v>850</v>
      </c>
      <c r="D2974" s="3" t="s">
        <v>796</v>
      </c>
      <c r="E2974" s="3" t="s">
        <v>1340</v>
      </c>
      <c r="F2974" s="3" t="s">
        <v>2</v>
      </c>
      <c r="G2974" s="3">
        <v>0.76095159408047697</v>
      </c>
      <c r="H2974" s="3">
        <v>0.73558654094446096</v>
      </c>
      <c r="I2974" s="3">
        <v>0.63412632840039795</v>
      </c>
      <c r="J2974" s="3">
        <v>0.50730106272031805</v>
      </c>
      <c r="K2974" s="3">
        <v>0.38047579704023798</v>
      </c>
      <c r="L2974" s="3">
        <v>0.25365053136015903</v>
      </c>
      <c r="M2974" s="3">
        <v>0.12682526568007901</v>
      </c>
    </row>
    <row r="2975" spans="1:16" x14ac:dyDescent="0.3">
      <c r="A2975" s="3" t="str">
        <f t="shared" ref="A2975:A3038" si="47">RIGHT(E2975,3)</f>
        <v>ELC</v>
      </c>
      <c r="C2975" s="3" t="s">
        <v>850</v>
      </c>
      <c r="D2975" s="3" t="s">
        <v>796</v>
      </c>
      <c r="E2975" s="3" t="s">
        <v>1340</v>
      </c>
      <c r="F2975" s="3" t="s">
        <v>3</v>
      </c>
      <c r="G2975" s="3">
        <v>0.51541060836671604</v>
      </c>
      <c r="H2975" s="3">
        <v>0.49823025475449201</v>
      </c>
      <c r="I2975" s="3">
        <v>0.429508840305597</v>
      </c>
      <c r="J2975" s="3">
        <v>0.34360707224447701</v>
      </c>
      <c r="K2975" s="3">
        <v>0.25770530418335802</v>
      </c>
      <c r="L2975" s="3">
        <v>0.171803536122239</v>
      </c>
      <c r="M2975" s="3">
        <v>8.5901768061119294E-2</v>
      </c>
    </row>
    <row r="2976" spans="1:16" x14ac:dyDescent="0.3">
      <c r="A2976" s="3" t="str">
        <f t="shared" si="47"/>
        <v>ELC</v>
      </c>
      <c r="C2976" s="3" t="s">
        <v>850</v>
      </c>
      <c r="D2976" s="3" t="s">
        <v>796</v>
      </c>
      <c r="E2976" s="3" t="s">
        <v>1340</v>
      </c>
      <c r="F2976" s="3" t="s">
        <v>4</v>
      </c>
      <c r="G2976" s="3">
        <v>0.73807101482525495</v>
      </c>
      <c r="H2976" s="3">
        <v>0.71346864766441298</v>
      </c>
      <c r="I2976" s="3">
        <v>0.61505917902104601</v>
      </c>
      <c r="J2976" s="3">
        <v>0.49204734321683702</v>
      </c>
      <c r="K2976" s="3">
        <v>0.36903550741262697</v>
      </c>
      <c r="L2976" s="3">
        <v>0.24602367160841801</v>
      </c>
      <c r="M2976" s="3">
        <v>0.123011835804209</v>
      </c>
    </row>
    <row r="2977" spans="1:16" x14ac:dyDescent="0.3">
      <c r="A2977" s="3" t="str">
        <f t="shared" si="47"/>
        <v>ELC</v>
      </c>
      <c r="C2977" s="3" t="s">
        <v>850</v>
      </c>
      <c r="D2977" s="3" t="s">
        <v>796</v>
      </c>
      <c r="E2977" s="3" t="s">
        <v>1340</v>
      </c>
      <c r="F2977" s="3" t="s">
        <v>5</v>
      </c>
      <c r="G2977" s="3">
        <v>0.64333639708307699</v>
      </c>
      <c r="H2977" s="3">
        <v>0.62189185051364104</v>
      </c>
      <c r="I2977" s="3">
        <v>0.53611366423589701</v>
      </c>
      <c r="J2977" s="3">
        <v>0.42889093138871798</v>
      </c>
      <c r="K2977" s="3">
        <v>0.321668198541538</v>
      </c>
      <c r="L2977" s="3">
        <v>0.21444546569435899</v>
      </c>
      <c r="M2977" s="3">
        <v>0.10722273284717899</v>
      </c>
    </row>
    <row r="2978" spans="1:16" x14ac:dyDescent="0.3">
      <c r="A2978" s="3" t="str">
        <f t="shared" si="47"/>
        <v>ELC</v>
      </c>
      <c r="C2978" s="3" t="s">
        <v>850</v>
      </c>
      <c r="D2978" s="3" t="s">
        <v>796</v>
      </c>
      <c r="E2978" s="3" t="s">
        <v>1340</v>
      </c>
      <c r="F2978" s="3" t="s">
        <v>6</v>
      </c>
      <c r="G2978" s="3">
        <v>2.2349521616920498</v>
      </c>
      <c r="H2978" s="3">
        <v>2.1604537563023101</v>
      </c>
      <c r="I2978" s="3">
        <v>1.86246013474337</v>
      </c>
      <c r="J2978" s="3">
        <v>1.4899681077947</v>
      </c>
      <c r="K2978" s="3">
        <v>1.11747608084602</v>
      </c>
      <c r="L2978" s="3">
        <v>0.74498405389735001</v>
      </c>
      <c r="M2978" s="3">
        <v>0.372492026948675</v>
      </c>
    </row>
    <row r="2979" spans="1:16" x14ac:dyDescent="0.3">
      <c r="A2979" s="3" t="str">
        <f t="shared" si="47"/>
        <v>ELC</v>
      </c>
      <c r="C2979" s="3" t="s">
        <v>850</v>
      </c>
      <c r="D2979" s="3" t="s">
        <v>796</v>
      </c>
      <c r="E2979" s="3" t="s">
        <v>1340</v>
      </c>
      <c r="F2979" s="3" t="s">
        <v>7</v>
      </c>
      <c r="G2979" s="3">
        <v>0.65372181535796503</v>
      </c>
      <c r="H2979" s="3">
        <v>0.63193108817936605</v>
      </c>
      <c r="I2979" s="3">
        <v>0.54476817946497103</v>
      </c>
      <c r="J2979" s="3">
        <v>0.43581454357197702</v>
      </c>
      <c r="K2979" s="3">
        <v>0.32686090767898301</v>
      </c>
      <c r="L2979" s="3">
        <v>0.21790727178598801</v>
      </c>
      <c r="M2979" s="3">
        <v>0.10895363589299401</v>
      </c>
    </row>
    <row r="2980" spans="1:16" x14ac:dyDescent="0.3">
      <c r="A2980" s="3" t="str">
        <f t="shared" si="47"/>
        <v>ELC</v>
      </c>
      <c r="C2980" s="3" t="s">
        <v>850</v>
      </c>
      <c r="D2980" s="3" t="s">
        <v>796</v>
      </c>
      <c r="E2980" s="3" t="s">
        <v>1340</v>
      </c>
      <c r="F2980" s="3" t="s">
        <v>8</v>
      </c>
      <c r="G2980" s="3">
        <v>0.40991335334802997</v>
      </c>
      <c r="H2980" s="3">
        <v>0.39624957490309598</v>
      </c>
      <c r="I2980" s="3">
        <v>0.34159446112335801</v>
      </c>
      <c r="J2980" s="3">
        <v>0.27327556889868698</v>
      </c>
      <c r="L2980" s="3">
        <v>0.13663778444934299</v>
      </c>
      <c r="M2980" s="3">
        <v>6.8318892224671704E-2</v>
      </c>
    </row>
    <row r="2981" spans="1:16" x14ac:dyDescent="0.3">
      <c r="A2981" s="3" t="str">
        <f t="shared" si="47"/>
        <v>LPG</v>
      </c>
      <c r="C2981" s="3" t="s">
        <v>850</v>
      </c>
      <c r="D2981" s="3" t="s">
        <v>796</v>
      </c>
      <c r="E2981" s="3" t="s">
        <v>1345</v>
      </c>
      <c r="F2981" s="3" t="s">
        <v>4</v>
      </c>
      <c r="G2981" s="3">
        <v>7.13834782276379E-3</v>
      </c>
      <c r="M2981" s="3">
        <v>1.18972463713216E-3</v>
      </c>
    </row>
    <row r="2982" spans="1:16" x14ac:dyDescent="0.3">
      <c r="A2982" s="3" t="str">
        <f t="shared" si="47"/>
        <v>LPG</v>
      </c>
      <c r="C2982" s="3" t="s">
        <v>850</v>
      </c>
      <c r="D2982" s="3" t="s">
        <v>796</v>
      </c>
      <c r="E2982" s="3" t="s">
        <v>1345</v>
      </c>
      <c r="F2982" s="3" t="s">
        <v>5</v>
      </c>
      <c r="G2982" s="3">
        <v>6.2221099016319696E-3</v>
      </c>
      <c r="M2982" s="3">
        <v>1.0370183169363301E-3</v>
      </c>
    </row>
    <row r="2983" spans="1:16" x14ac:dyDescent="0.3">
      <c r="A2983" s="3" t="str">
        <f t="shared" si="47"/>
        <v>LPG</v>
      </c>
      <c r="C2983" s="3" t="s">
        <v>850</v>
      </c>
      <c r="D2983" s="3" t="s">
        <v>796</v>
      </c>
      <c r="E2983" s="3" t="s">
        <v>1345</v>
      </c>
      <c r="F2983" s="3" t="s">
        <v>6</v>
      </c>
      <c r="G2983" s="3">
        <v>2.1615624481924601E-2</v>
      </c>
      <c r="M2983" s="3">
        <v>3.6026040803219298E-3</v>
      </c>
    </row>
    <row r="2984" spans="1:16" x14ac:dyDescent="0.3">
      <c r="A2984" s="3" t="str">
        <f t="shared" si="47"/>
        <v>LPG</v>
      </c>
      <c r="C2984" s="3" t="s">
        <v>850</v>
      </c>
      <c r="D2984" s="3" t="s">
        <v>796</v>
      </c>
      <c r="E2984" s="3" t="s">
        <v>1345</v>
      </c>
      <c r="F2984" s="3" t="s">
        <v>7</v>
      </c>
      <c r="G2984" s="3">
        <v>4.2993365820832199E-2</v>
      </c>
      <c r="I2984" s="3">
        <v>3.58278048506935E-2</v>
      </c>
      <c r="M2984" s="3">
        <v>7.1655609701386999E-3</v>
      </c>
    </row>
    <row r="2985" spans="1:16" x14ac:dyDescent="0.3">
      <c r="A2985" s="3" t="str">
        <f t="shared" si="47"/>
        <v>LPG</v>
      </c>
      <c r="C2985" s="3" t="s">
        <v>850</v>
      </c>
      <c r="D2985" s="3" t="s">
        <v>796</v>
      </c>
      <c r="E2985" s="3" t="s">
        <v>1345</v>
      </c>
      <c r="F2985" s="3" t="s">
        <v>8</v>
      </c>
      <c r="G2985" s="3">
        <v>2.6958798591853E-2</v>
      </c>
      <c r="I2985" s="3">
        <v>2.2465665493210801E-2</v>
      </c>
      <c r="J2985" s="3">
        <v>1.79725323945687E-2</v>
      </c>
      <c r="K2985" s="3">
        <v>1.34793992959265E-2</v>
      </c>
      <c r="L2985" s="3">
        <v>8.9862661972843292E-3</v>
      </c>
      <c r="M2985" s="3">
        <v>4.4931330986421698E-3</v>
      </c>
    </row>
    <row r="2986" spans="1:16" x14ac:dyDescent="0.3">
      <c r="A2986" s="3" t="str">
        <f t="shared" si="47"/>
        <v>NGA</v>
      </c>
      <c r="C2986" s="3" t="s">
        <v>850</v>
      </c>
      <c r="D2986" s="3" t="s">
        <v>796</v>
      </c>
      <c r="E2986" s="3" t="s">
        <v>1343</v>
      </c>
      <c r="F2986" s="3" t="s">
        <v>0</v>
      </c>
      <c r="G2986" s="3">
        <v>3.3065214162758498</v>
      </c>
      <c r="H2986" s="3">
        <v>3.476928735334885</v>
      </c>
      <c r="I2986" s="3">
        <v>3.036059213164775</v>
      </c>
      <c r="J2986" s="3">
        <v>2.4849723104521351</v>
      </c>
      <c r="K2986" s="3">
        <v>1.9338854077394849</v>
      </c>
      <c r="L2986" s="3">
        <v>1.382798505026845</v>
      </c>
      <c r="M2986" s="3">
        <v>0.83171160231420704</v>
      </c>
      <c r="N2986" s="3">
        <v>0.176513403274872</v>
      </c>
      <c r="O2986" s="3">
        <v>4.0802876664515599</v>
      </c>
      <c r="P2986" s="3">
        <v>5.7305379248274599</v>
      </c>
    </row>
    <row r="2987" spans="1:16" x14ac:dyDescent="0.3">
      <c r="A2987" s="3" t="str">
        <f t="shared" si="47"/>
        <v>NGA</v>
      </c>
      <c r="C2987" s="3" t="s">
        <v>850</v>
      </c>
      <c r="D2987" s="3" t="s">
        <v>796</v>
      </c>
      <c r="E2987" s="3" t="s">
        <v>1343</v>
      </c>
      <c r="F2987" s="3" t="s">
        <v>1</v>
      </c>
      <c r="G2987" s="3">
        <v>9.1017410092904392</v>
      </c>
      <c r="H2987" s="3">
        <v>9.5708150266333565</v>
      </c>
      <c r="I2987" s="3">
        <v>11.024274150902436</v>
      </c>
      <c r="J2987" s="3">
        <v>9.5073173160206963</v>
      </c>
      <c r="K2987" s="3">
        <v>7.9903604811389553</v>
      </c>
      <c r="L2987" s="3">
        <v>6.473403646257216</v>
      </c>
      <c r="M2987" s="3">
        <v>4.9564468113754758</v>
      </c>
      <c r="N2987" s="3">
        <v>7.7352496876096621</v>
      </c>
      <c r="O2987" s="3">
        <v>15.293868623564599</v>
      </c>
      <c r="P2987" s="3">
        <v>20.356586001125677</v>
      </c>
    </row>
    <row r="2988" spans="1:16" x14ac:dyDescent="0.3">
      <c r="A2988" s="3" t="str">
        <f t="shared" si="47"/>
        <v>NGA</v>
      </c>
      <c r="C2988" s="3" t="s">
        <v>850</v>
      </c>
      <c r="D2988" s="3" t="s">
        <v>796</v>
      </c>
      <c r="E2988" s="3" t="s">
        <v>1343</v>
      </c>
      <c r="F2988" s="3" t="s">
        <v>2</v>
      </c>
      <c r="G2988" s="3">
        <v>15.4117809949768</v>
      </c>
      <c r="H2988" s="3">
        <v>16.551704698847271</v>
      </c>
      <c r="I2988" s="3">
        <v>20.59589345024143</v>
      </c>
      <c r="J2988" s="3">
        <v>18.02726328441203</v>
      </c>
      <c r="K2988" s="3">
        <v>15.458633118582529</v>
      </c>
      <c r="L2988" s="3">
        <v>12.890002952753061</v>
      </c>
      <c r="M2988" s="3">
        <v>10.3213727869236</v>
      </c>
      <c r="N2988" s="3">
        <v>7.1392413218942004</v>
      </c>
      <c r="O2988" s="3">
        <v>24.17665895703</v>
      </c>
      <c r="P2988" s="3">
        <v>35.527862031646002</v>
      </c>
    </row>
    <row r="2989" spans="1:16" x14ac:dyDescent="0.3">
      <c r="A2989" s="3" t="str">
        <f t="shared" si="47"/>
        <v>NGA</v>
      </c>
      <c r="C2989" s="3" t="s">
        <v>850</v>
      </c>
      <c r="D2989" s="3" t="s">
        <v>796</v>
      </c>
      <c r="E2989" s="3" t="s">
        <v>1343</v>
      </c>
      <c r="F2989" s="3" t="s">
        <v>3</v>
      </c>
      <c r="G2989" s="3">
        <v>10.438765724953001</v>
      </c>
      <c r="H2989" s="3">
        <v>11.210863154374159</v>
      </c>
      <c r="I2989" s="3">
        <v>14.01028913570028</v>
      </c>
      <c r="J2989" s="3">
        <v>16.56246537347609</v>
      </c>
      <c r="K2989" s="3">
        <v>20.584109837174211</v>
      </c>
      <c r="L2989" s="3">
        <v>24.54216950946207</v>
      </c>
      <c r="M2989" s="3">
        <v>29.02246163492444</v>
      </c>
      <c r="N2989" s="3">
        <v>33.851283338519281</v>
      </c>
      <c r="O2989" s="3">
        <v>45.391131413789189</v>
      </c>
      <c r="P2989" s="3">
        <v>48.727399858309852</v>
      </c>
    </row>
    <row r="2990" spans="1:16" x14ac:dyDescent="0.3">
      <c r="A2990" s="3" t="str">
        <f t="shared" si="47"/>
        <v>NGA</v>
      </c>
      <c r="C2990" s="3" t="s">
        <v>850</v>
      </c>
      <c r="D2990" s="3" t="s">
        <v>796</v>
      </c>
      <c r="E2990" s="3" t="s">
        <v>1343</v>
      </c>
      <c r="F2990" s="3" t="s">
        <v>4</v>
      </c>
      <c r="G2990" s="3">
        <v>12.8731877530047</v>
      </c>
      <c r="H2990" s="3">
        <v>13.437147687705975</v>
      </c>
      <c r="I2990" s="3">
        <v>15.177613134438184</v>
      </c>
      <c r="J2990" s="3">
        <v>16.569953714131774</v>
      </c>
      <c r="K2990" s="3">
        <v>19.116667652284214</v>
      </c>
      <c r="L2990" s="3">
        <v>21.732503242525333</v>
      </c>
      <c r="M2990" s="3">
        <v>24.718174115496943</v>
      </c>
      <c r="N2990" s="3">
        <v>27.994452646802813</v>
      </c>
      <c r="O2990" s="3">
        <v>37.537716553930416</v>
      </c>
      <c r="P2990" s="3">
        <v>40.29675549650667</v>
      </c>
    </row>
    <row r="2991" spans="1:16" x14ac:dyDescent="0.3">
      <c r="A2991" s="3" t="str">
        <f t="shared" si="47"/>
        <v>NGA</v>
      </c>
      <c r="C2991" s="3" t="s">
        <v>850</v>
      </c>
      <c r="D2991" s="3" t="s">
        <v>796</v>
      </c>
      <c r="E2991" s="3" t="s">
        <v>1343</v>
      </c>
      <c r="F2991" s="3" t="s">
        <v>5</v>
      </c>
      <c r="G2991" s="3">
        <v>11.2208582394376</v>
      </c>
      <c r="H2991" s="3">
        <v>11.71243146911635</v>
      </c>
      <c r="I2991" s="3">
        <v>13.229500622703769</v>
      </c>
      <c r="J2991" s="3">
        <v>14.443128246686122</v>
      </c>
      <c r="K2991" s="3">
        <v>16.66296039896233</v>
      </c>
      <c r="L2991" s="3">
        <v>18.94304213931601</v>
      </c>
      <c r="M2991" s="3">
        <v>21.545489198896359</v>
      </c>
      <c r="N2991" s="3">
        <v>24.401243162720554</v>
      </c>
      <c r="O2991" s="3">
        <v>32.719587732691281</v>
      </c>
      <c r="P2991" s="3">
        <v>35.124492053651672</v>
      </c>
    </row>
    <row r="2992" spans="1:16" x14ac:dyDescent="0.3">
      <c r="A2992" s="3" t="str">
        <f t="shared" si="47"/>
        <v>NGA</v>
      </c>
      <c r="C2992" s="3" t="s">
        <v>850</v>
      </c>
      <c r="D2992" s="3" t="s">
        <v>796</v>
      </c>
      <c r="E2992" s="3" t="s">
        <v>1343</v>
      </c>
      <c r="F2992" s="3" t="s">
        <v>6</v>
      </c>
      <c r="G2992" s="3">
        <v>38.981288004186403</v>
      </c>
      <c r="H2992" s="3">
        <v>40.689014564166285</v>
      </c>
      <c r="I2992" s="3">
        <v>45.959316383897686</v>
      </c>
      <c r="J2992" s="3">
        <v>50.175461613682288</v>
      </c>
      <c r="K2992" s="3">
        <v>58.071431489609097</v>
      </c>
      <c r="L2992" s="3">
        <v>65.808173096136699</v>
      </c>
      <c r="M2992" s="3">
        <v>74.84908032269766</v>
      </c>
      <c r="N2992" s="3">
        <v>84.769976332386918</v>
      </c>
      <c r="O2992" s="3">
        <v>113.667924999132</v>
      </c>
      <c r="P2992" s="3">
        <v>122.02256828554131</v>
      </c>
    </row>
    <row r="2993" spans="1:16" x14ac:dyDescent="0.3">
      <c r="A2993" s="3" t="str">
        <f t="shared" si="47"/>
        <v>NGA</v>
      </c>
      <c r="C2993" s="3" t="s">
        <v>850</v>
      </c>
      <c r="D2993" s="3" t="s">
        <v>796</v>
      </c>
      <c r="E2993" s="3" t="s">
        <v>1343</v>
      </c>
      <c r="F2993" s="3" t="s">
        <v>7</v>
      </c>
      <c r="G2993" s="3">
        <v>11.439380828504801</v>
      </c>
      <c r="H2993" s="3">
        <v>12.20310123024051</v>
      </c>
      <c r="I2993" s="3">
        <v>13.98730956720896</v>
      </c>
      <c r="J2993" s="3">
        <v>12.0807460957915</v>
      </c>
      <c r="K2993" s="3">
        <v>10.17418262437403</v>
      </c>
      <c r="L2993" s="3">
        <v>13.06747309360189</v>
      </c>
      <c r="M2993" s="3">
        <v>16.396604781189232</v>
      </c>
      <c r="N2993" s="3">
        <v>20.035723222555013</v>
      </c>
      <c r="O2993" s="3">
        <v>29.824909816961828</v>
      </c>
      <c r="P2993" s="3">
        <v>36.48137983109546</v>
      </c>
    </row>
    <row r="2994" spans="1:16" x14ac:dyDescent="0.3">
      <c r="A2994" s="3" t="str">
        <f t="shared" si="47"/>
        <v>NGA</v>
      </c>
      <c r="C2994" s="3" t="s">
        <v>850</v>
      </c>
      <c r="D2994" s="3" t="s">
        <v>796</v>
      </c>
      <c r="E2994" s="3" t="s">
        <v>1343</v>
      </c>
      <c r="F2994" s="3" t="s">
        <v>8</v>
      </c>
      <c r="G2994" s="3">
        <v>7.1730128098446304</v>
      </c>
      <c r="H2994" s="3">
        <v>6.9339123828498099</v>
      </c>
      <c r="I2994" s="3">
        <v>5.9775106748705298</v>
      </c>
      <c r="J2994" s="3">
        <v>4.7820085398964203</v>
      </c>
      <c r="K2994" s="3">
        <v>3.5865064049223201</v>
      </c>
      <c r="L2994" s="3">
        <v>2.3910042699482101</v>
      </c>
      <c r="M2994" s="3">
        <v>1.19550213497411</v>
      </c>
      <c r="O2994" s="3">
        <v>8.6650630513759594</v>
      </c>
      <c r="P2994" s="3">
        <v>12.821000400602799</v>
      </c>
    </row>
    <row r="2995" spans="1:16" x14ac:dyDescent="0.3">
      <c r="A2995" s="3" t="str">
        <f t="shared" si="47"/>
        <v>STM</v>
      </c>
      <c r="C2995" s="3" t="s">
        <v>850</v>
      </c>
      <c r="D2995" s="3" t="s">
        <v>779</v>
      </c>
      <c r="E2995" s="3" t="s">
        <v>1573</v>
      </c>
      <c r="F2995" s="3" t="s">
        <v>1</v>
      </c>
      <c r="G2995" s="3">
        <v>0.51659630928641298</v>
      </c>
      <c r="H2995" s="3">
        <v>0.41809943887483297</v>
      </c>
      <c r="I2995" s="3">
        <v>0.44376233677279597</v>
      </c>
      <c r="J2995" s="3">
        <v>0.44376233677279597</v>
      </c>
      <c r="K2995" s="3">
        <v>0.49991639379526198</v>
      </c>
      <c r="L2995" s="3">
        <v>0.54249640060084703</v>
      </c>
      <c r="M2995" s="3">
        <v>0.58491168126130999</v>
      </c>
      <c r="N2995" s="3">
        <v>0.58232164665250596</v>
      </c>
      <c r="O2995" s="3">
        <v>0.58232164665250596</v>
      </c>
      <c r="P2995" s="3">
        <v>0.58232164665250596</v>
      </c>
    </row>
    <row r="2996" spans="1:16" x14ac:dyDescent="0.3">
      <c r="A2996" s="3" t="str">
        <f t="shared" si="47"/>
        <v>STM</v>
      </c>
      <c r="C2996" s="3" t="s">
        <v>850</v>
      </c>
      <c r="D2996" s="3" t="s">
        <v>779</v>
      </c>
      <c r="E2996" s="3" t="s">
        <v>1573</v>
      </c>
      <c r="F2996" s="3" t="s">
        <v>2</v>
      </c>
      <c r="M2996" s="3">
        <v>0.71021664891418002</v>
      </c>
      <c r="N2996" s="3">
        <v>0.71021664891418002</v>
      </c>
      <c r="O2996" s="3">
        <v>0.71021664891418002</v>
      </c>
      <c r="P2996" s="3">
        <v>0.71021664891418002</v>
      </c>
    </row>
    <row r="2997" spans="1:16" x14ac:dyDescent="0.3">
      <c r="A2997" s="3" t="str">
        <f t="shared" si="47"/>
        <v>STM</v>
      </c>
      <c r="C2997" s="3" t="s">
        <v>850</v>
      </c>
      <c r="D2997" s="3" t="s">
        <v>779</v>
      </c>
      <c r="E2997" s="3" t="s">
        <v>1573</v>
      </c>
      <c r="F2997" s="3" t="s">
        <v>3</v>
      </c>
      <c r="M2997" s="3">
        <v>0.10632952568071601</v>
      </c>
      <c r="N2997" s="3">
        <v>0.10632952568071601</v>
      </c>
      <c r="O2997" s="3">
        <v>0.10632952568071601</v>
      </c>
      <c r="P2997" s="3">
        <v>0.10632952568071601</v>
      </c>
    </row>
    <row r="2998" spans="1:16" x14ac:dyDescent="0.3">
      <c r="A2998" s="3" t="str">
        <f t="shared" si="47"/>
        <v>STM</v>
      </c>
      <c r="C2998" s="3" t="s">
        <v>850</v>
      </c>
      <c r="D2998" s="3" t="s">
        <v>779</v>
      </c>
      <c r="E2998" s="3" t="s">
        <v>1573</v>
      </c>
      <c r="F2998" s="3" t="s">
        <v>4</v>
      </c>
      <c r="I2998" s="3">
        <v>9.2769639756618005E-4</v>
      </c>
      <c r="J2998" s="3">
        <v>0.217260156178881</v>
      </c>
      <c r="K2998" s="3">
        <v>0.217260156178881</v>
      </c>
      <c r="L2998" s="3">
        <v>0.217260156178881</v>
      </c>
      <c r="M2998" s="3">
        <v>0.72221549342372404</v>
      </c>
      <c r="N2998" s="3">
        <v>0.50495533724484298</v>
      </c>
      <c r="O2998" s="3">
        <v>0.50495533724484298</v>
      </c>
      <c r="P2998" s="3">
        <v>0.50495533724484298</v>
      </c>
    </row>
    <row r="2999" spans="1:16" x14ac:dyDescent="0.3">
      <c r="A2999" s="3" t="str">
        <f t="shared" si="47"/>
        <v>STM</v>
      </c>
      <c r="C2999" s="3" t="s">
        <v>850</v>
      </c>
      <c r="D2999" s="3" t="s">
        <v>779</v>
      </c>
      <c r="E2999" s="3" t="s">
        <v>1573</v>
      </c>
      <c r="F2999" s="3" t="s">
        <v>5</v>
      </c>
      <c r="G2999" s="3">
        <v>9.4280639717008993E-2</v>
      </c>
      <c r="H2999" s="3">
        <v>9.5424694101512497E-2</v>
      </c>
      <c r="I2999" s="3">
        <v>0.100000911639526</v>
      </c>
      <c r="J2999" s="3">
        <v>0.101855338914236</v>
      </c>
      <c r="K2999" s="3">
        <v>0.109707758434263</v>
      </c>
      <c r="L2999" s="3">
        <v>0.11730064115106401</v>
      </c>
      <c r="M2999" s="3">
        <v>0.127025142741371</v>
      </c>
      <c r="N2999" s="3">
        <v>0.138172252639925</v>
      </c>
      <c r="O2999" s="3">
        <v>0.128132002555361</v>
      </c>
      <c r="P2999" s="3">
        <v>0.13272069461619301</v>
      </c>
    </row>
    <row r="3000" spans="1:16" x14ac:dyDescent="0.3">
      <c r="A3000" s="3" t="str">
        <f t="shared" si="47"/>
        <v>STM</v>
      </c>
      <c r="C3000" s="3" t="s">
        <v>850</v>
      </c>
      <c r="D3000" s="3" t="s">
        <v>779</v>
      </c>
      <c r="E3000" s="3" t="s">
        <v>1573</v>
      </c>
      <c r="F3000" s="3" t="s">
        <v>7</v>
      </c>
      <c r="G3000" s="3">
        <v>1.6874868536455101</v>
      </c>
      <c r="H3000" s="3">
        <v>1.7079637695796801</v>
      </c>
      <c r="I3000" s="3">
        <v>1.7898714333163701</v>
      </c>
      <c r="J3000" s="3">
        <v>1.8230629947706301</v>
      </c>
      <c r="K3000" s="3">
        <v>1.9636099273023699</v>
      </c>
      <c r="L3000" s="3">
        <v>2.0995115270829099</v>
      </c>
      <c r="M3000" s="3">
        <v>2.2325276880443101</v>
      </c>
      <c r="N3000" s="3">
        <v>1.26832421088883</v>
      </c>
      <c r="O3000" s="3">
        <v>0.33509634227027801</v>
      </c>
      <c r="P3000" s="3">
        <v>0.339759109863912</v>
      </c>
    </row>
    <row r="3001" spans="1:16" x14ac:dyDescent="0.3">
      <c r="A3001" s="3" t="str">
        <f t="shared" si="47"/>
        <v>STM</v>
      </c>
      <c r="C3001" s="3" t="s">
        <v>850</v>
      </c>
      <c r="D3001" s="3" t="s">
        <v>779</v>
      </c>
      <c r="E3001" s="3" t="s">
        <v>1573</v>
      </c>
      <c r="F3001" s="3" t="s">
        <v>8</v>
      </c>
      <c r="G3001" s="3">
        <v>5.5286984479474603E-2</v>
      </c>
      <c r="H3001" s="3">
        <v>5.59578678887259E-2</v>
      </c>
      <c r="I3001" s="3">
        <v>5.8641401525730302E-2</v>
      </c>
      <c r="J3001" s="3">
        <v>5.0682257597761203E-2</v>
      </c>
      <c r="K3001" s="3">
        <v>5.52869844794747E-2</v>
      </c>
      <c r="L3001" s="3">
        <v>5.9739516729767801E-2</v>
      </c>
      <c r="M3001" s="3">
        <v>7.4488644925669506E-2</v>
      </c>
      <c r="N3001" s="3">
        <v>7.8385598478356897E-2</v>
      </c>
      <c r="O3001" s="3">
        <v>9.9600241584785504E-2</v>
      </c>
      <c r="P3001" s="3">
        <v>0.107585832713931</v>
      </c>
    </row>
    <row r="3002" spans="1:16" x14ac:dyDescent="0.3">
      <c r="A3002" s="3" t="str">
        <f t="shared" si="47"/>
        <v>NGA</v>
      </c>
      <c r="C3002" s="3" t="s">
        <v>850</v>
      </c>
      <c r="D3002" s="3" t="s">
        <v>779</v>
      </c>
      <c r="E3002" s="3" t="s">
        <v>1335</v>
      </c>
      <c r="F3002" s="3" t="s">
        <v>1</v>
      </c>
      <c r="G3002" s="3">
        <v>6.5735178860817003E-3</v>
      </c>
      <c r="H3002" s="3">
        <v>6.5735178860817003E-3</v>
      </c>
      <c r="I3002" s="3">
        <v>6.5735178860817003E-3</v>
      </c>
      <c r="J3002" s="3">
        <v>6.5735178860817003E-3</v>
      </c>
      <c r="M3002" s="3">
        <v>6.5735178860817003E-3</v>
      </c>
      <c r="N3002" s="3">
        <v>6.5735178860817003E-3</v>
      </c>
      <c r="O3002" s="3">
        <v>6.5735178860817003E-3</v>
      </c>
      <c r="P3002" s="3">
        <v>6.5735178860817003E-3</v>
      </c>
    </row>
    <row r="3003" spans="1:16" x14ac:dyDescent="0.3">
      <c r="A3003" s="3" t="str">
        <f t="shared" si="47"/>
        <v>NGA</v>
      </c>
      <c r="C3003" s="3" t="s">
        <v>850</v>
      </c>
      <c r="D3003" s="3" t="s">
        <v>779</v>
      </c>
      <c r="E3003" s="3" t="s">
        <v>1335</v>
      </c>
      <c r="F3003" s="3" t="s">
        <v>2</v>
      </c>
      <c r="G3003" s="3">
        <v>0.36141637258138098</v>
      </c>
      <c r="H3003" s="3">
        <v>0.681454687523803</v>
      </c>
      <c r="I3003" s="3">
        <v>0.681454687523803</v>
      </c>
      <c r="J3003" s="3">
        <v>0.681454687523803</v>
      </c>
      <c r="K3003" s="3">
        <v>0.51461577423869098</v>
      </c>
      <c r="L3003" s="3">
        <v>0.681454687523803</v>
      </c>
      <c r="M3003" s="3">
        <v>0.55120981833969995</v>
      </c>
      <c r="N3003" s="3">
        <v>8.7066521661334703E-2</v>
      </c>
      <c r="O3003" s="3">
        <v>0.681454687523803</v>
      </c>
      <c r="P3003" s="3">
        <v>0.681454687523803</v>
      </c>
    </row>
    <row r="3004" spans="1:16" x14ac:dyDescent="0.3">
      <c r="A3004" s="3" t="str">
        <f t="shared" si="47"/>
        <v>NGA</v>
      </c>
      <c r="C3004" s="3" t="s">
        <v>850</v>
      </c>
      <c r="D3004" s="3" t="s">
        <v>779</v>
      </c>
      <c r="E3004" s="3" t="s">
        <v>1335</v>
      </c>
      <c r="F3004" s="3" t="s">
        <v>3</v>
      </c>
      <c r="G3004" s="3">
        <v>1.0084652906300799</v>
      </c>
      <c r="H3004" s="3">
        <v>1.0084652906300799</v>
      </c>
      <c r="I3004" s="3">
        <v>1.0084652906300799</v>
      </c>
      <c r="J3004" s="3">
        <v>0.64616677698091796</v>
      </c>
      <c r="K3004" s="3">
        <v>1.0084652906300799</v>
      </c>
      <c r="L3004" s="3">
        <v>1.0084652906300799</v>
      </c>
      <c r="M3004" s="3">
        <v>0.90973019810875599</v>
      </c>
      <c r="N3004" s="3">
        <v>1.0084652906300799</v>
      </c>
      <c r="O3004" s="3">
        <v>1.0084652906300799</v>
      </c>
      <c r="P3004" s="3">
        <v>1.0084652906300799</v>
      </c>
    </row>
    <row r="3005" spans="1:16" x14ac:dyDescent="0.3">
      <c r="A3005" s="3" t="str">
        <f t="shared" si="47"/>
        <v>NGA</v>
      </c>
      <c r="C3005" s="3" t="s">
        <v>850</v>
      </c>
      <c r="D3005" s="3" t="s">
        <v>779</v>
      </c>
      <c r="E3005" s="3" t="s">
        <v>1335</v>
      </c>
      <c r="F3005" s="3" t="s">
        <v>4</v>
      </c>
      <c r="G3005" s="3">
        <v>0.59161660974735397</v>
      </c>
      <c r="H3005" s="3">
        <v>0.59161660974735397</v>
      </c>
      <c r="I3005" s="3">
        <v>0.59161660974735397</v>
      </c>
      <c r="J3005" s="3">
        <v>0.59161660974735397</v>
      </c>
      <c r="K3005" s="3">
        <v>0.59161660974735397</v>
      </c>
      <c r="L3005" s="3">
        <v>0.59161660974735397</v>
      </c>
      <c r="M3005" s="3">
        <v>0.59161660974735397</v>
      </c>
      <c r="N3005" s="3">
        <v>0.59161660974735397</v>
      </c>
      <c r="O3005" s="3">
        <v>0.59161660974735397</v>
      </c>
      <c r="P3005" s="3">
        <v>0.59161660974735397</v>
      </c>
    </row>
    <row r="3006" spans="1:16" x14ac:dyDescent="0.3">
      <c r="A3006" s="3" t="str">
        <f t="shared" si="47"/>
        <v>NGA</v>
      </c>
      <c r="C3006" s="3" t="s">
        <v>850</v>
      </c>
      <c r="D3006" s="3" t="s">
        <v>779</v>
      </c>
      <c r="E3006" s="3" t="s">
        <v>1334</v>
      </c>
      <c r="F3006" s="3" t="s">
        <v>1</v>
      </c>
      <c r="G3006" s="3">
        <v>5.54508E-3</v>
      </c>
      <c r="H3006" s="3">
        <v>5.54508E-3</v>
      </c>
      <c r="I3006" s="3">
        <v>5.54508E-3</v>
      </c>
      <c r="J3006" s="3">
        <v>5.54508E-3</v>
      </c>
      <c r="M3006" s="3">
        <v>5.54508E-3</v>
      </c>
      <c r="N3006" s="3">
        <v>5.54508E-3</v>
      </c>
      <c r="O3006" s="3">
        <v>5.54508E-3</v>
      </c>
      <c r="P3006" s="3">
        <v>5.54508E-3</v>
      </c>
    </row>
    <row r="3007" spans="1:16" x14ac:dyDescent="0.3">
      <c r="A3007" s="3" t="str">
        <f t="shared" si="47"/>
        <v>NGA</v>
      </c>
      <c r="C3007" s="3" t="s">
        <v>850</v>
      </c>
      <c r="D3007" s="3" t="s">
        <v>779</v>
      </c>
      <c r="E3007" s="3" t="s">
        <v>1334</v>
      </c>
      <c r="F3007" s="3" t="s">
        <v>2</v>
      </c>
      <c r="G3007" s="3">
        <v>0.57483996000000004</v>
      </c>
      <c r="H3007" s="3">
        <v>0.26616270672966702</v>
      </c>
      <c r="I3007" s="3">
        <v>0.31160695341802003</v>
      </c>
      <c r="J3007" s="3">
        <v>0.33002239145991202</v>
      </c>
      <c r="K3007" s="3">
        <v>0.57483996000000004</v>
      </c>
      <c r="L3007" s="3">
        <v>0.48340236502891798</v>
      </c>
      <c r="N3007" s="3">
        <v>0.57483996000000004</v>
      </c>
      <c r="O3007" s="3">
        <v>0.44820636370764999</v>
      </c>
      <c r="P3007" s="3">
        <v>0.57483996000000004</v>
      </c>
    </row>
    <row r="3008" spans="1:16" x14ac:dyDescent="0.3">
      <c r="A3008" s="3" t="str">
        <f t="shared" si="47"/>
        <v>NGA</v>
      </c>
      <c r="C3008" s="3" t="s">
        <v>850</v>
      </c>
      <c r="D3008" s="3" t="s">
        <v>779</v>
      </c>
      <c r="E3008" s="3" t="s">
        <v>1334</v>
      </c>
      <c r="F3008" s="3" t="s">
        <v>3</v>
      </c>
      <c r="G3008" s="3">
        <v>0.37707366276945198</v>
      </c>
      <c r="H3008" s="3">
        <v>0.39388657281434403</v>
      </c>
      <c r="I3008" s="3">
        <v>0.46113821299392099</v>
      </c>
      <c r="J3008" s="3">
        <v>0.85068920640000001</v>
      </c>
      <c r="K3008" s="3">
        <v>0.60378907311916497</v>
      </c>
      <c r="L3008" s="3">
        <v>0.71537332630517203</v>
      </c>
      <c r="M3008" s="3">
        <v>0.85068920640000001</v>
      </c>
      <c r="N3008" s="3">
        <v>0.85068920640000001</v>
      </c>
      <c r="O3008" s="3">
        <v>0.85068920640000001</v>
      </c>
      <c r="P3008" s="3">
        <v>0.85068920640000001</v>
      </c>
    </row>
    <row r="3009" spans="1:16" x14ac:dyDescent="0.3">
      <c r="A3009" s="3" t="str">
        <f t="shared" si="47"/>
        <v>NGA</v>
      </c>
      <c r="C3009" s="3" t="s">
        <v>850</v>
      </c>
      <c r="D3009" s="3" t="s">
        <v>779</v>
      </c>
      <c r="E3009" s="3" t="s">
        <v>1334</v>
      </c>
      <c r="F3009" s="3" t="s">
        <v>4</v>
      </c>
      <c r="G3009" s="3">
        <v>0.43754289118178102</v>
      </c>
      <c r="H3009" s="3">
        <v>0.45003129222493898</v>
      </c>
      <c r="I3009" s="3">
        <v>0.49905719999999998</v>
      </c>
      <c r="J3009" s="3">
        <v>0.30296751173867098</v>
      </c>
      <c r="K3009" s="3">
        <v>0.38868386006399502</v>
      </c>
      <c r="L3009" s="3">
        <v>0.47156712656379401</v>
      </c>
      <c r="M3009" s="3">
        <v>7.2763627421709498E-2</v>
      </c>
      <c r="N3009" s="3">
        <v>0.41170469385356601</v>
      </c>
      <c r="O3009" s="3">
        <v>0.49905719999999998</v>
      </c>
      <c r="P3009" s="3">
        <v>0.49905719999999998</v>
      </c>
    </row>
    <row r="3010" spans="1:16" x14ac:dyDescent="0.3">
      <c r="A3010" s="3" t="str">
        <f t="shared" si="47"/>
        <v>NGA</v>
      </c>
      <c r="C3010" s="3" t="s">
        <v>850</v>
      </c>
      <c r="D3010" s="3" t="s">
        <v>779</v>
      </c>
      <c r="E3010" s="3" t="s">
        <v>1336</v>
      </c>
      <c r="F3010" s="3" t="s">
        <v>1</v>
      </c>
      <c r="H3010" s="3">
        <v>0.10491259488607001</v>
      </c>
      <c r="I3010" s="3">
        <v>0.10491259488607001</v>
      </c>
      <c r="J3010" s="3">
        <v>0.11531200824759591</v>
      </c>
      <c r="K3010" s="3">
        <v>0.11531200824759591</v>
      </c>
      <c r="L3010" s="3">
        <v>0.11531200824759591</v>
      </c>
      <c r="M3010" s="3">
        <v>0.11531200824759591</v>
      </c>
      <c r="N3010" s="3">
        <v>0.18041374401738031</v>
      </c>
      <c r="O3010" s="3">
        <v>0.44456022316365329</v>
      </c>
      <c r="P3010" s="3">
        <v>0.52092722187618568</v>
      </c>
    </row>
    <row r="3011" spans="1:16" x14ac:dyDescent="0.3">
      <c r="A3011" s="3" t="str">
        <f t="shared" si="47"/>
        <v>NGA</v>
      </c>
      <c r="C3011" s="3" t="s">
        <v>850</v>
      </c>
      <c r="D3011" s="3" t="s">
        <v>779</v>
      </c>
      <c r="E3011" s="3" t="s">
        <v>1336</v>
      </c>
      <c r="F3011" s="3" t="s">
        <v>2</v>
      </c>
      <c r="P3011" s="3">
        <v>8.59823692228656E-3</v>
      </c>
    </row>
    <row r="3012" spans="1:16" x14ac:dyDescent="0.3">
      <c r="A3012" s="3" t="str">
        <f t="shared" si="47"/>
        <v>NGA</v>
      </c>
      <c r="C3012" s="3" t="s">
        <v>850</v>
      </c>
      <c r="D3012" s="3" t="s">
        <v>779</v>
      </c>
      <c r="E3012" s="3" t="s">
        <v>1336</v>
      </c>
      <c r="F3012" s="3" t="s">
        <v>3</v>
      </c>
      <c r="N3012" s="3">
        <v>6.5081731681725694E-2</v>
      </c>
      <c r="O3012" s="3">
        <v>0.75729833328606866</v>
      </c>
      <c r="P3012" s="3">
        <v>0.95742405328190072</v>
      </c>
    </row>
    <row r="3013" spans="1:16" x14ac:dyDescent="0.3">
      <c r="A3013" s="3" t="str">
        <f t="shared" si="47"/>
        <v>NGA</v>
      </c>
      <c r="C3013" s="3" t="s">
        <v>850</v>
      </c>
      <c r="D3013" s="3" t="s">
        <v>779</v>
      </c>
      <c r="E3013" s="3" t="s">
        <v>1336</v>
      </c>
      <c r="F3013" s="3" t="s">
        <v>4</v>
      </c>
      <c r="O3013" s="3">
        <v>0.42681657621249303</v>
      </c>
      <c r="P3013" s="3">
        <v>0.57546724071286903</v>
      </c>
    </row>
    <row r="3014" spans="1:16" x14ac:dyDescent="0.3">
      <c r="A3014" s="3" t="str">
        <f t="shared" si="47"/>
        <v>NGA</v>
      </c>
      <c r="C3014" s="3" t="s">
        <v>850</v>
      </c>
      <c r="D3014" s="3" t="s">
        <v>779</v>
      </c>
      <c r="E3014" s="3" t="s">
        <v>1336</v>
      </c>
      <c r="F3014" s="3" t="s">
        <v>5</v>
      </c>
      <c r="O3014" s="3">
        <v>5.7142948902136101E-2</v>
      </c>
      <c r="P3014" s="3">
        <v>6.6172048574072675E-2</v>
      </c>
    </row>
    <row r="3015" spans="1:16" x14ac:dyDescent="0.3">
      <c r="A3015" s="3" t="str">
        <f t="shared" si="47"/>
        <v>NGA</v>
      </c>
      <c r="C3015" s="3" t="s">
        <v>850</v>
      </c>
      <c r="D3015" s="3" t="s">
        <v>779</v>
      </c>
      <c r="E3015" s="3" t="s">
        <v>1336</v>
      </c>
      <c r="F3015" s="3" t="s">
        <v>7</v>
      </c>
      <c r="M3015" s="3">
        <v>4.1038328286367297E-2</v>
      </c>
      <c r="N3015" s="3">
        <v>1.2047589222795574</v>
      </c>
      <c r="O3015" s="3">
        <v>2.9810568555949271</v>
      </c>
      <c r="P3015" s="3">
        <v>3.2201328300559342</v>
      </c>
    </row>
    <row r="3016" spans="1:16" x14ac:dyDescent="0.3">
      <c r="A3016" s="3" t="str">
        <f t="shared" si="47"/>
        <v>NGA</v>
      </c>
      <c r="C3016" s="3" t="s">
        <v>850</v>
      </c>
      <c r="D3016" s="3" t="s">
        <v>779</v>
      </c>
      <c r="E3016" s="3" t="s">
        <v>1336</v>
      </c>
      <c r="F3016" s="3" t="s">
        <v>8</v>
      </c>
      <c r="J3016" s="3">
        <v>9.0465961584899005E-3</v>
      </c>
      <c r="K3016" s="3">
        <v>9.0465961584899005E-3</v>
      </c>
      <c r="L3016" s="3">
        <v>9.0465961584899005E-3</v>
      </c>
      <c r="N3016" s="3">
        <v>2.6398083297330798E-3</v>
      </c>
      <c r="O3016" s="3">
        <v>9.0465961584899005E-3</v>
      </c>
      <c r="P3016" s="3">
        <v>9.0465961584899005E-3</v>
      </c>
    </row>
    <row r="3017" spans="1:16" x14ac:dyDescent="0.3">
      <c r="A3017" s="3" t="str">
        <f t="shared" si="47"/>
        <v>EXT</v>
      </c>
      <c r="C3017" s="3" t="s">
        <v>850</v>
      </c>
      <c r="D3017" s="3" t="s">
        <v>1574</v>
      </c>
      <c r="E3017" s="3" t="s">
        <v>1575</v>
      </c>
      <c r="F3017" s="3" t="s">
        <v>0</v>
      </c>
      <c r="G3017" s="3">
        <v>72.779221559114902</v>
      </c>
      <c r="H3017" s="3">
        <v>72.779221559114902</v>
      </c>
      <c r="I3017" s="3">
        <v>72.779221559114902</v>
      </c>
      <c r="J3017" s="3">
        <v>72.779221559114902</v>
      </c>
      <c r="K3017" s="3">
        <v>75.964371008664301</v>
      </c>
      <c r="L3017" s="3">
        <v>85.943876465726703</v>
      </c>
      <c r="M3017" s="3">
        <v>96.317223514519</v>
      </c>
      <c r="N3017" s="3">
        <v>107.234041887195</v>
      </c>
      <c r="O3017" s="3">
        <v>121.032476495815</v>
      </c>
      <c r="P3017" s="3">
        <v>131.742133447496</v>
      </c>
    </row>
    <row r="3018" spans="1:16" x14ac:dyDescent="0.3">
      <c r="A3018" s="3" t="str">
        <f t="shared" si="47"/>
        <v>EXT</v>
      </c>
      <c r="C3018" s="3" t="s">
        <v>850</v>
      </c>
      <c r="D3018" s="3" t="s">
        <v>1574</v>
      </c>
      <c r="E3018" s="3" t="s">
        <v>1575</v>
      </c>
      <c r="F3018" s="3" t="s">
        <v>1</v>
      </c>
      <c r="G3018" s="3">
        <v>215.331573698835</v>
      </c>
      <c r="H3018" s="3">
        <v>215.331573698835</v>
      </c>
      <c r="I3018" s="3">
        <v>215.331573698835</v>
      </c>
      <c r="J3018" s="3">
        <v>215.331573698835</v>
      </c>
      <c r="K3018" s="3">
        <v>215.331573698835</v>
      </c>
      <c r="L3018" s="3">
        <v>240.55728738476</v>
      </c>
      <c r="M3018" s="3">
        <v>269.592331296856</v>
      </c>
      <c r="N3018" s="3">
        <v>300.14855382948099</v>
      </c>
      <c r="O3018" s="3">
        <v>338.77043285223198</v>
      </c>
      <c r="P3018" s="3">
        <v>368.74680965837996</v>
      </c>
    </row>
    <row r="3019" spans="1:16" x14ac:dyDescent="0.3">
      <c r="A3019" s="3" t="str">
        <f t="shared" si="47"/>
        <v>EXT</v>
      </c>
      <c r="C3019" s="3" t="s">
        <v>850</v>
      </c>
      <c r="D3019" s="3" t="s">
        <v>1574</v>
      </c>
      <c r="E3019" s="3" t="s">
        <v>1575</v>
      </c>
      <c r="F3019" s="3" t="s">
        <v>2</v>
      </c>
      <c r="G3019" s="3">
        <v>463.98795361137599</v>
      </c>
      <c r="H3019" s="3">
        <v>463.98795361137599</v>
      </c>
      <c r="I3019" s="3">
        <v>463.98795361137599</v>
      </c>
      <c r="J3019" s="3">
        <v>463.98795361137599</v>
      </c>
      <c r="K3019" s="3">
        <v>463.98795361137599</v>
      </c>
      <c r="L3019" s="3">
        <v>518.34332319544205</v>
      </c>
      <c r="M3019" s="3">
        <v>580.90688680284904</v>
      </c>
      <c r="N3019" s="3">
        <v>646.74822590361396</v>
      </c>
      <c r="O3019" s="3">
        <v>729.96912242413805</v>
      </c>
      <c r="P3019" s="3">
        <v>794.561032899937</v>
      </c>
    </row>
    <row r="3020" spans="1:16" x14ac:dyDescent="0.3">
      <c r="A3020" s="3" t="str">
        <f t="shared" si="47"/>
        <v>EXT</v>
      </c>
      <c r="C3020" s="3" t="s">
        <v>850</v>
      </c>
      <c r="D3020" s="3" t="s">
        <v>1574</v>
      </c>
      <c r="E3020" s="3" t="s">
        <v>1575</v>
      </c>
      <c r="F3020" s="3" t="s">
        <v>3</v>
      </c>
      <c r="G3020" s="3">
        <v>297.69802042148501</v>
      </c>
      <c r="H3020" s="3">
        <v>297.69802042148501</v>
      </c>
      <c r="I3020" s="3">
        <v>297.69802042148501</v>
      </c>
      <c r="J3020" s="3">
        <v>297.69802042148501</v>
      </c>
      <c r="K3020" s="3">
        <v>297.69802042148501</v>
      </c>
      <c r="L3020" s="3">
        <v>334.656824426176</v>
      </c>
      <c r="M3020" s="3">
        <v>375.04959613695502</v>
      </c>
      <c r="N3020" s="3">
        <v>417.55859060725004</v>
      </c>
      <c r="O3020" s="3">
        <v>471.28830932681905</v>
      </c>
      <c r="P3020" s="3">
        <v>512.99063802702017</v>
      </c>
    </row>
    <row r="3021" spans="1:16" x14ac:dyDescent="0.3">
      <c r="A3021" s="3" t="str">
        <f t="shared" si="47"/>
        <v>EXT</v>
      </c>
      <c r="C3021" s="3" t="s">
        <v>850</v>
      </c>
      <c r="D3021" s="3" t="s">
        <v>1574</v>
      </c>
      <c r="E3021" s="3" t="s">
        <v>1575</v>
      </c>
      <c r="F3021" s="3" t="s">
        <v>4</v>
      </c>
      <c r="G3021" s="3">
        <v>207.320979067254</v>
      </c>
      <c r="H3021" s="3">
        <v>207.320979067254</v>
      </c>
      <c r="I3021" s="3">
        <v>207.320979067254</v>
      </c>
      <c r="J3021" s="3">
        <v>207.320979067254</v>
      </c>
      <c r="K3021" s="3">
        <v>207.320979067254</v>
      </c>
      <c r="L3021" s="3">
        <v>231.72473342602001</v>
      </c>
      <c r="M3021" s="3">
        <v>259.69369617784002</v>
      </c>
      <c r="N3021" s="3">
        <v>289.12798435865705</v>
      </c>
      <c r="O3021" s="3">
        <v>326.33178191663507</v>
      </c>
      <c r="P3021" s="3">
        <v>355.20751459553105</v>
      </c>
    </row>
    <row r="3022" spans="1:16" x14ac:dyDescent="0.3">
      <c r="A3022" s="3" t="str">
        <f t="shared" si="47"/>
        <v>EXT</v>
      </c>
      <c r="C3022" s="3" t="s">
        <v>850</v>
      </c>
      <c r="D3022" s="3" t="s">
        <v>1574</v>
      </c>
      <c r="E3022" s="3" t="s">
        <v>1575</v>
      </c>
      <c r="F3022" s="3" t="s">
        <v>5</v>
      </c>
      <c r="G3022" s="3">
        <v>159.89555005524701</v>
      </c>
      <c r="H3022" s="3">
        <v>159.89555005524701</v>
      </c>
      <c r="I3022" s="3">
        <v>159.89555005524701</v>
      </c>
      <c r="J3022" s="3">
        <v>159.89555005524701</v>
      </c>
      <c r="K3022" s="3">
        <v>159.89555005524701</v>
      </c>
      <c r="L3022" s="3">
        <v>178.62703144491303</v>
      </c>
      <c r="M3022" s="3">
        <v>200.18715027679403</v>
      </c>
      <c r="N3022" s="3">
        <v>222.87682799353203</v>
      </c>
      <c r="O3022" s="3">
        <v>251.55569976524504</v>
      </c>
      <c r="P3022" s="3">
        <v>273.81481010261706</v>
      </c>
    </row>
    <row r="3023" spans="1:16" x14ac:dyDescent="0.3">
      <c r="A3023" s="3" t="str">
        <f t="shared" si="47"/>
        <v>EXT</v>
      </c>
      <c r="C3023" s="3" t="s">
        <v>850</v>
      </c>
      <c r="D3023" s="3" t="s">
        <v>1574</v>
      </c>
      <c r="E3023" s="3" t="s">
        <v>1575</v>
      </c>
      <c r="F3023" s="3" t="s">
        <v>6</v>
      </c>
      <c r="G3023" s="3">
        <v>528.43571851314005</v>
      </c>
      <c r="H3023" s="3">
        <v>528.43571851314005</v>
      </c>
      <c r="I3023" s="3">
        <v>528.43571851314005</v>
      </c>
      <c r="J3023" s="3">
        <v>528.43571851314005</v>
      </c>
      <c r="K3023" s="3">
        <v>528.43571851314005</v>
      </c>
      <c r="L3023" s="3">
        <v>590.34102997142304</v>
      </c>
      <c r="M3023" s="3">
        <v>661.59465073958904</v>
      </c>
      <c r="N3023" s="3">
        <v>736.58132887374097</v>
      </c>
      <c r="O3023" s="3">
        <v>831.36157889067294</v>
      </c>
      <c r="P3023" s="3">
        <v>904.92528319969495</v>
      </c>
    </row>
    <row r="3024" spans="1:16" x14ac:dyDescent="0.3">
      <c r="A3024" s="3" t="str">
        <f t="shared" si="47"/>
        <v>EXT</v>
      </c>
      <c r="C3024" s="3" t="s">
        <v>850</v>
      </c>
      <c r="D3024" s="3" t="s">
        <v>1574</v>
      </c>
      <c r="E3024" s="3" t="s">
        <v>1575</v>
      </c>
      <c r="F3024" s="3" t="s">
        <v>7</v>
      </c>
      <c r="G3024" s="3">
        <v>176.90818507978901</v>
      </c>
      <c r="H3024" s="3">
        <v>176.90818507978901</v>
      </c>
      <c r="I3024" s="3">
        <v>176.90818507978901</v>
      </c>
      <c r="J3024" s="3">
        <v>176.90818507978901</v>
      </c>
      <c r="K3024" s="3">
        <v>176.90818507978901</v>
      </c>
      <c r="L3024" s="3">
        <v>197.63266662637702</v>
      </c>
      <c r="M3024" s="3">
        <v>221.48674818984102</v>
      </c>
      <c r="N3024" s="3">
        <v>246.59057192681502</v>
      </c>
      <c r="O3024" s="3">
        <v>278.32083054574804</v>
      </c>
      <c r="P3024" s="3">
        <v>302.94827521143606</v>
      </c>
    </row>
    <row r="3025" spans="1:16" x14ac:dyDescent="0.3">
      <c r="A3025" s="3" t="str">
        <f t="shared" si="47"/>
        <v>EXT</v>
      </c>
      <c r="C3025" s="3" t="s">
        <v>850</v>
      </c>
      <c r="D3025" s="3" t="s">
        <v>1574</v>
      </c>
      <c r="E3025" s="3" t="s">
        <v>1575</v>
      </c>
      <c r="F3025" s="3" t="s">
        <v>8</v>
      </c>
      <c r="G3025" s="3">
        <v>125.43957647223699</v>
      </c>
      <c r="H3025" s="3">
        <v>125.43957647223699</v>
      </c>
      <c r="I3025" s="3">
        <v>125.43957647223699</v>
      </c>
      <c r="J3025" s="3">
        <v>125.43957647223699</v>
      </c>
      <c r="K3025" s="3">
        <v>125.43957647223699</v>
      </c>
      <c r="L3025" s="3">
        <v>140.134601389474</v>
      </c>
      <c r="M3025" s="3">
        <v>157.04871922469701</v>
      </c>
      <c r="N3025" s="3">
        <v>174.84898672492301</v>
      </c>
      <c r="O3025" s="3">
        <v>197.34783380041901</v>
      </c>
      <c r="P3025" s="3">
        <v>214.81031710532602</v>
      </c>
    </row>
    <row r="3026" spans="1:16" x14ac:dyDescent="0.3">
      <c r="A3026" s="3" t="str">
        <f t="shared" si="47"/>
        <v>ELC</v>
      </c>
      <c r="C3026" s="3" t="s">
        <v>850</v>
      </c>
      <c r="D3026" s="3" t="s">
        <v>1490</v>
      </c>
      <c r="E3026" s="3" t="s">
        <v>1489</v>
      </c>
      <c r="F3026" s="3" t="s">
        <v>0</v>
      </c>
      <c r="G3026" s="3">
        <v>0.493860778965796</v>
      </c>
      <c r="H3026" s="3">
        <v>0.49386077896578701</v>
      </c>
      <c r="I3026" s="3">
        <v>0.49386077896579239</v>
      </c>
      <c r="J3026" s="3">
        <v>0.49386077896579272</v>
      </c>
      <c r="K3026" s="3">
        <v>0.51547437079294867</v>
      </c>
      <c r="L3026" s="3">
        <v>0.58319268699828264</v>
      </c>
      <c r="M3026" s="3">
        <v>0.65358350932712495</v>
      </c>
      <c r="N3026" s="3">
        <v>0.72766218604089561</v>
      </c>
      <c r="O3026" s="3">
        <v>0.82129475751305125</v>
      </c>
      <c r="P3026" s="3">
        <v>0.89396769095900097</v>
      </c>
    </row>
    <row r="3027" spans="1:16" x14ac:dyDescent="0.3">
      <c r="A3027" s="3" t="str">
        <f t="shared" si="47"/>
        <v>ELC</v>
      </c>
      <c r="C3027" s="3" t="s">
        <v>850</v>
      </c>
      <c r="D3027" s="3" t="s">
        <v>1490</v>
      </c>
      <c r="E3027" s="3" t="s">
        <v>1489</v>
      </c>
      <c r="F3027" s="3" t="s">
        <v>1</v>
      </c>
      <c r="G3027" s="3">
        <v>1.43699216251857</v>
      </c>
      <c r="H3027" s="3">
        <v>1.4369921625185715</v>
      </c>
      <c r="I3027" s="3">
        <v>1.4369921625185773</v>
      </c>
      <c r="J3027" s="3">
        <v>1.4369921625185724</v>
      </c>
      <c r="K3027" s="3">
        <v>1.4369921625185724</v>
      </c>
      <c r="L3027" s="3">
        <v>1.6053332573145924</v>
      </c>
      <c r="M3027" s="3">
        <v>1.7990955088198874</v>
      </c>
      <c r="N3027" s="3">
        <v>2.0030091827011134</v>
      </c>
      <c r="O3027" s="3">
        <v>2.2607481501181979</v>
      </c>
      <c r="P3027" s="3">
        <v>2.4607922857329063</v>
      </c>
    </row>
    <row r="3028" spans="1:16" x14ac:dyDescent="0.3">
      <c r="A3028" s="3" t="str">
        <f t="shared" si="47"/>
        <v>ELC</v>
      </c>
      <c r="C3028" s="3" t="s">
        <v>850</v>
      </c>
      <c r="D3028" s="3" t="s">
        <v>1490</v>
      </c>
      <c r="E3028" s="3" t="s">
        <v>1489</v>
      </c>
      <c r="F3028" s="3" t="s">
        <v>2</v>
      </c>
      <c r="G3028" s="3">
        <v>3.2678985586167402</v>
      </c>
      <c r="H3028" s="3">
        <v>3.2678985586167522</v>
      </c>
      <c r="I3028" s="3">
        <v>3.2678985586167482</v>
      </c>
      <c r="J3028" s="3">
        <v>3.2678985586167464</v>
      </c>
      <c r="K3028" s="3">
        <v>3.2678985586167451</v>
      </c>
      <c r="L3028" s="3">
        <v>3.6507271052079151</v>
      </c>
      <c r="M3028" s="3">
        <v>4.091366517811748</v>
      </c>
      <c r="N3028" s="3">
        <v>4.5550915250454551</v>
      </c>
      <c r="O3028" s="3">
        <v>5.1412219313835426</v>
      </c>
      <c r="P3028" s="3">
        <v>5.5961471282539623</v>
      </c>
    </row>
    <row r="3029" spans="1:16" x14ac:dyDescent="0.3">
      <c r="A3029" s="3" t="str">
        <f t="shared" si="47"/>
        <v>ELC</v>
      </c>
      <c r="C3029" s="3" t="s">
        <v>850</v>
      </c>
      <c r="D3029" s="3" t="s">
        <v>1490</v>
      </c>
      <c r="E3029" s="3" t="s">
        <v>1489</v>
      </c>
      <c r="F3029" s="3" t="s">
        <v>3</v>
      </c>
      <c r="G3029" s="3">
        <v>2.1996417457783801</v>
      </c>
      <c r="H3029" s="3">
        <v>2.1996417457783539</v>
      </c>
      <c r="I3029" s="3">
        <v>2.1996417457783517</v>
      </c>
      <c r="J3029" s="3">
        <v>2.1996417457783446</v>
      </c>
      <c r="K3029" s="3">
        <v>2.1996417457783486</v>
      </c>
      <c r="L3029" s="3">
        <v>2.4727242743341584</v>
      </c>
      <c r="M3029" s="3">
        <v>2.7711798258925118</v>
      </c>
      <c r="N3029" s="3">
        <v>3.0852717996165455</v>
      </c>
      <c r="O3029" s="3">
        <v>3.4822718606756453</v>
      </c>
      <c r="P3029" s="3">
        <v>3.7904035136011762</v>
      </c>
    </row>
    <row r="3030" spans="1:16" x14ac:dyDescent="0.3">
      <c r="A3030" s="3" t="str">
        <f t="shared" si="47"/>
        <v>ELC</v>
      </c>
      <c r="C3030" s="3" t="s">
        <v>850</v>
      </c>
      <c r="D3030" s="3" t="s">
        <v>1490</v>
      </c>
      <c r="E3030" s="3" t="s">
        <v>1489</v>
      </c>
      <c r="F3030" s="3" t="s">
        <v>4</v>
      </c>
      <c r="G3030" s="3">
        <v>1.40069437318763</v>
      </c>
      <c r="H3030" s="3">
        <v>1.4006943731876291</v>
      </c>
      <c r="I3030" s="3">
        <v>1.4006943731876351</v>
      </c>
      <c r="J3030" s="3">
        <v>1.4006943731876302</v>
      </c>
      <c r="K3030" s="3">
        <v>1.4006943731876302</v>
      </c>
      <c r="L3030" s="3">
        <v>1.5655701207784622</v>
      </c>
      <c r="M3030" s="3">
        <v>1.7545329981805613</v>
      </c>
      <c r="N3030" s="3">
        <v>1.9533958533491118</v>
      </c>
      <c r="O3030" s="3">
        <v>2.2047507819970531</v>
      </c>
      <c r="P3030" s="3">
        <v>2.3998399450280639</v>
      </c>
    </row>
    <row r="3031" spans="1:16" x14ac:dyDescent="0.3">
      <c r="A3031" s="3" t="str">
        <f t="shared" si="47"/>
        <v>ELC</v>
      </c>
      <c r="C3031" s="3" t="s">
        <v>850</v>
      </c>
      <c r="D3031" s="3" t="s">
        <v>1490</v>
      </c>
      <c r="E3031" s="3" t="s">
        <v>1489</v>
      </c>
      <c r="F3031" s="3" t="s">
        <v>5</v>
      </c>
      <c r="G3031" s="3">
        <v>1.22152312432197</v>
      </c>
      <c r="H3031" s="3">
        <v>1.2215231243219764</v>
      </c>
      <c r="I3031" s="3">
        <v>1.2215231243219744</v>
      </c>
      <c r="J3031" s="3">
        <v>1.2215231243219784</v>
      </c>
      <c r="K3031" s="3">
        <v>1.2215231243219784</v>
      </c>
      <c r="L3031" s="3">
        <v>1.3646224017088593</v>
      </c>
      <c r="M3031" s="3">
        <v>1.5293310737586623</v>
      </c>
      <c r="N3031" s="3">
        <v>1.7026690184658919</v>
      </c>
      <c r="O3031" s="3">
        <v>1.921761451222826</v>
      </c>
      <c r="P3031" s="3">
        <v>2.0918100735549459</v>
      </c>
    </row>
    <row r="3032" spans="1:16" x14ac:dyDescent="0.3">
      <c r="A3032" s="3" t="str">
        <f t="shared" si="47"/>
        <v>ELC</v>
      </c>
      <c r="C3032" s="3" t="s">
        <v>850</v>
      </c>
      <c r="D3032" s="3" t="s">
        <v>1490</v>
      </c>
      <c r="E3032" s="3" t="s">
        <v>1489</v>
      </c>
      <c r="F3032" s="3" t="s">
        <v>6</v>
      </c>
      <c r="G3032" s="3">
        <v>4.2435742165971302</v>
      </c>
      <c r="H3032" s="3">
        <v>4.2435742165971142</v>
      </c>
      <c r="I3032" s="3">
        <v>4.243574216597116</v>
      </c>
      <c r="J3032" s="3">
        <v>4.2435742165971089</v>
      </c>
      <c r="K3032" s="3">
        <v>4.2435742165971115</v>
      </c>
      <c r="L3032" s="3">
        <v>4.7407014439426511</v>
      </c>
      <c r="M3032" s="3">
        <v>5.3128997593437237</v>
      </c>
      <c r="N3032" s="3">
        <v>5.9150761883211374</v>
      </c>
      <c r="O3032" s="3">
        <v>6.6762038167603555</v>
      </c>
      <c r="P3032" s="3">
        <v>7.2669531320441525</v>
      </c>
    </row>
    <row r="3033" spans="1:16" x14ac:dyDescent="0.3">
      <c r="A3033" s="3" t="str">
        <f t="shared" si="47"/>
        <v>ELC</v>
      </c>
      <c r="C3033" s="3" t="s">
        <v>850</v>
      </c>
      <c r="D3033" s="3" t="s">
        <v>1490</v>
      </c>
      <c r="E3033" s="3" t="s">
        <v>1489</v>
      </c>
      <c r="F3033" s="3" t="s">
        <v>7</v>
      </c>
      <c r="G3033" s="3">
        <v>1.5810636099500901</v>
      </c>
      <c r="H3033" s="3">
        <v>1.5810636099500897</v>
      </c>
      <c r="I3033" s="3">
        <v>1.5810636099500885</v>
      </c>
      <c r="J3033" s="3">
        <v>1.5810636099500877</v>
      </c>
      <c r="K3033" s="3">
        <v>1.5810636099500905</v>
      </c>
      <c r="L3033" s="3">
        <v>1.7662824204512215</v>
      </c>
      <c r="M3033" s="3">
        <v>1.9794710883003885</v>
      </c>
      <c r="N3033" s="3">
        <v>2.2038289503361654</v>
      </c>
      <c r="O3033" s="3">
        <v>2.4874085778931017</v>
      </c>
      <c r="P3033" s="3">
        <v>2.7075089454900914</v>
      </c>
    </row>
    <row r="3034" spans="1:16" x14ac:dyDescent="0.3">
      <c r="A3034" s="3" t="str">
        <f t="shared" si="47"/>
        <v>ELC</v>
      </c>
      <c r="C3034" s="3" t="s">
        <v>850</v>
      </c>
      <c r="D3034" s="3" t="s">
        <v>1490</v>
      </c>
      <c r="E3034" s="3" t="s">
        <v>1489</v>
      </c>
      <c r="F3034" s="3" t="s">
        <v>8</v>
      </c>
      <c r="G3034" s="3">
        <v>0.99139889626644695</v>
      </c>
      <c r="H3034" s="3">
        <v>0.99139889626644695</v>
      </c>
      <c r="I3034" s="3">
        <v>0.99139889626644706</v>
      </c>
      <c r="J3034" s="3">
        <v>0.99139889626644795</v>
      </c>
      <c r="K3034" s="3">
        <v>0.99139889626644795</v>
      </c>
      <c r="L3034" s="3">
        <v>1.1075395266262851</v>
      </c>
      <c r="M3034" s="3">
        <v>1.2412185314886219</v>
      </c>
      <c r="N3034" s="3">
        <v>1.3819011298301147</v>
      </c>
      <c r="O3034" s="3">
        <v>1.5597184725317699</v>
      </c>
      <c r="P3034" s="3">
        <v>1.6977314279437148</v>
      </c>
    </row>
    <row r="3035" spans="1:16" x14ac:dyDescent="0.3">
      <c r="A3035" s="3" t="str">
        <f t="shared" si="47"/>
        <v>COA</v>
      </c>
      <c r="C3035" s="3" t="s">
        <v>850</v>
      </c>
      <c r="D3035" s="3" t="s">
        <v>738</v>
      </c>
      <c r="E3035" s="3" t="s">
        <v>1507</v>
      </c>
      <c r="F3035" s="3" t="s">
        <v>0</v>
      </c>
      <c r="G3035" s="3">
        <v>0.258023441000515</v>
      </c>
      <c r="H3035" s="3">
        <v>19.9557614515154</v>
      </c>
      <c r="I3035" s="3">
        <v>19.9557614515154</v>
      </c>
      <c r="J3035" s="3">
        <v>19.9557614515154</v>
      </c>
      <c r="K3035" s="3">
        <v>20.829116253077899</v>
      </c>
      <c r="L3035" s="3">
        <v>23.565455362496401</v>
      </c>
      <c r="M3035" s="3">
        <v>26.409784206977601</v>
      </c>
      <c r="N3035" s="3">
        <v>29.4031306400346</v>
      </c>
      <c r="O3035" s="3">
        <v>33.186604323251998</v>
      </c>
      <c r="P3035" s="3">
        <v>36.123147951734097</v>
      </c>
    </row>
    <row r="3036" spans="1:16" x14ac:dyDescent="0.3">
      <c r="A3036" s="3" t="str">
        <f t="shared" si="47"/>
        <v>COA</v>
      </c>
      <c r="C3036" s="3" t="s">
        <v>850</v>
      </c>
      <c r="D3036" s="3" t="s">
        <v>738</v>
      </c>
      <c r="E3036" s="3" t="s">
        <v>1507</v>
      </c>
      <c r="F3036" s="3" t="s">
        <v>1</v>
      </c>
      <c r="G3036" s="3">
        <v>0.71025172338296905</v>
      </c>
      <c r="H3036" s="3">
        <v>58.065499477341497</v>
      </c>
      <c r="I3036" s="3">
        <v>58.065499477341604</v>
      </c>
      <c r="J3036" s="3">
        <v>58.065499477341497</v>
      </c>
      <c r="K3036" s="3">
        <v>58.065499477341604</v>
      </c>
      <c r="L3036" s="3">
        <v>64.867770225124502</v>
      </c>
      <c r="M3036" s="3">
        <v>72.697250584843403</v>
      </c>
      <c r="N3036" s="3">
        <v>80.936926230270004</v>
      </c>
      <c r="O3036" s="3">
        <v>91.351556364102606</v>
      </c>
      <c r="P3036" s="3">
        <v>99.434872999332299</v>
      </c>
    </row>
    <row r="3037" spans="1:16" x14ac:dyDescent="0.3">
      <c r="A3037" s="3" t="str">
        <f t="shared" si="47"/>
        <v>COA</v>
      </c>
      <c r="C3037" s="3" t="s">
        <v>850</v>
      </c>
      <c r="D3037" s="3" t="s">
        <v>738</v>
      </c>
      <c r="E3037" s="3" t="s">
        <v>1507</v>
      </c>
      <c r="F3037" s="3" t="s">
        <v>2</v>
      </c>
      <c r="G3037" s="3">
        <v>1.58750310310975</v>
      </c>
      <c r="H3037" s="3">
        <v>138.04643656693699</v>
      </c>
      <c r="I3037" s="3">
        <v>138.04643656693699</v>
      </c>
      <c r="J3037" s="3">
        <v>138.04643656693699</v>
      </c>
      <c r="K3037" s="3">
        <v>138.04643656693699</v>
      </c>
      <c r="L3037" s="3">
        <v>154.21833288656401</v>
      </c>
      <c r="M3037" s="3">
        <v>172.83234419377399</v>
      </c>
      <c r="N3037" s="3">
        <v>192.42156449768899</v>
      </c>
      <c r="O3037" s="3">
        <v>217.18157846604001</v>
      </c>
      <c r="P3037" s="3">
        <v>236.39906677114101</v>
      </c>
    </row>
    <row r="3038" spans="1:16" x14ac:dyDescent="0.3">
      <c r="A3038" s="3" t="str">
        <f t="shared" si="47"/>
        <v>COA</v>
      </c>
      <c r="C3038" s="3" t="s">
        <v>850</v>
      </c>
      <c r="D3038" s="3" t="s">
        <v>738</v>
      </c>
      <c r="E3038" s="3" t="s">
        <v>1507</v>
      </c>
      <c r="F3038" s="3" t="s">
        <v>3</v>
      </c>
      <c r="G3038" s="3">
        <v>1.07525359894484</v>
      </c>
      <c r="H3038" s="3">
        <v>92.919868619517104</v>
      </c>
      <c r="J3038" s="3">
        <v>92.919868619517203</v>
      </c>
      <c r="K3038" s="3">
        <v>92.919868619517104</v>
      </c>
      <c r="L3038" s="3">
        <v>104.45574382482801</v>
      </c>
      <c r="M3038" s="3">
        <v>117.063456282001</v>
      </c>
      <c r="N3038" s="3">
        <v>130.33170098089201</v>
      </c>
      <c r="O3038" s="3">
        <v>147.102247178402</v>
      </c>
      <c r="P3038" s="3">
        <v>160.118708955556</v>
      </c>
    </row>
    <row r="3039" spans="1:16" x14ac:dyDescent="0.3">
      <c r="A3039" s="3" t="str">
        <f t="shared" ref="A3039:A3102" si="48">RIGHT(E3039,3)</f>
        <v>COA</v>
      </c>
      <c r="C3039" s="3" t="s">
        <v>850</v>
      </c>
      <c r="D3039" s="3" t="s">
        <v>738</v>
      </c>
      <c r="E3039" s="3" t="s">
        <v>1507</v>
      </c>
      <c r="F3039" s="3" t="s">
        <v>4</v>
      </c>
      <c r="G3039" s="3">
        <v>0.64225678079049897</v>
      </c>
      <c r="H3039" s="3">
        <v>50.485622366779303</v>
      </c>
      <c r="J3039" s="3">
        <v>50.485622366779303</v>
      </c>
      <c r="K3039" s="3">
        <v>50.485622366779303</v>
      </c>
      <c r="L3039" s="3">
        <v>56.428285441357197</v>
      </c>
      <c r="M3039" s="3">
        <v>63.239127729637403</v>
      </c>
      <c r="N3039" s="3">
        <v>70.406797708900001</v>
      </c>
      <c r="O3039" s="3">
        <v>79.4664542982743</v>
      </c>
      <c r="P3039" s="3">
        <v>86.498108027431599</v>
      </c>
    </row>
    <row r="3040" spans="1:16" x14ac:dyDescent="0.3">
      <c r="A3040" s="3" t="str">
        <f t="shared" si="48"/>
        <v>COA</v>
      </c>
      <c r="C3040" s="3" t="s">
        <v>850</v>
      </c>
      <c r="D3040" s="3" t="s">
        <v>738</v>
      </c>
      <c r="E3040" s="3" t="s">
        <v>1507</v>
      </c>
      <c r="F3040" s="3" t="s">
        <v>5</v>
      </c>
      <c r="G3040" s="3">
        <v>0.55982033578945101</v>
      </c>
      <c r="J3040" s="3">
        <v>44.027702507623999</v>
      </c>
      <c r="K3040" s="3">
        <v>44.027702507623999</v>
      </c>
      <c r="L3040" s="3">
        <v>49.185470124461098</v>
      </c>
      <c r="M3040" s="3">
        <v>55.1221112481891</v>
      </c>
      <c r="N3040" s="3">
        <v>61.369779680245102</v>
      </c>
      <c r="O3040" s="3">
        <v>69.266590030395605</v>
      </c>
      <c r="P3040" s="3">
        <v>75.395700488313807</v>
      </c>
    </row>
    <row r="3041" spans="1:16" x14ac:dyDescent="0.3">
      <c r="A3041" s="3" t="str">
        <f t="shared" si="48"/>
        <v>COA</v>
      </c>
      <c r="C3041" s="3" t="s">
        <v>850</v>
      </c>
      <c r="D3041" s="3" t="s">
        <v>738</v>
      </c>
      <c r="E3041" s="3" t="s">
        <v>1507</v>
      </c>
      <c r="F3041" s="3" t="s">
        <v>6</v>
      </c>
      <c r="G3041" s="3">
        <v>1.9448171676663799</v>
      </c>
      <c r="H3041" s="3">
        <v>148.93517198515201</v>
      </c>
      <c r="J3041" s="3">
        <v>152.952342413547</v>
      </c>
      <c r="K3041" s="3">
        <v>152.952342413547</v>
      </c>
      <c r="L3041" s="3">
        <v>170.87043928638201</v>
      </c>
      <c r="M3041" s="3">
        <v>191.494344560239</v>
      </c>
      <c r="N3041" s="3">
        <v>213.198759437229</v>
      </c>
      <c r="O3041" s="3">
        <v>240.632297229529</v>
      </c>
      <c r="P3041" s="3">
        <v>261.92484142457602</v>
      </c>
    </row>
    <row r="3042" spans="1:16" x14ac:dyDescent="0.3">
      <c r="A3042" s="3" t="str">
        <f t="shared" si="48"/>
        <v>COA</v>
      </c>
      <c r="C3042" s="3" t="s">
        <v>850</v>
      </c>
      <c r="D3042" s="3" t="s">
        <v>738</v>
      </c>
      <c r="E3042" s="3" t="s">
        <v>1507</v>
      </c>
      <c r="F3042" s="3" t="s">
        <v>7</v>
      </c>
      <c r="H3042" s="3">
        <v>54.934161510841797</v>
      </c>
      <c r="I3042" s="3">
        <v>54.934161510841903</v>
      </c>
      <c r="J3042" s="3">
        <v>54.934161510841797</v>
      </c>
      <c r="K3042" s="3">
        <v>54.934161510841797</v>
      </c>
      <c r="L3042" s="3">
        <v>61.369601544299002</v>
      </c>
      <c r="M3042" s="3">
        <v>68.776856153287895</v>
      </c>
      <c r="N3042" s="3">
        <v>76.572185165818595</v>
      </c>
      <c r="O3042" s="3">
        <v>86.425178406165799</v>
      </c>
      <c r="P3042" s="3">
        <v>94.072580487952095</v>
      </c>
    </row>
    <row r="3043" spans="1:16" x14ac:dyDescent="0.3">
      <c r="A3043" s="3" t="str">
        <f t="shared" si="48"/>
        <v>COA</v>
      </c>
      <c r="C3043" s="3" t="s">
        <v>850</v>
      </c>
      <c r="D3043" s="3" t="s">
        <v>738</v>
      </c>
      <c r="E3043" s="3" t="s">
        <v>1507</v>
      </c>
      <c r="F3043" s="3" t="s">
        <v>8</v>
      </c>
      <c r="H3043" s="3">
        <v>34.446221357843001</v>
      </c>
      <c r="J3043" s="3">
        <v>34.446221357843001</v>
      </c>
      <c r="K3043" s="3">
        <v>34.446221357843001</v>
      </c>
      <c r="L3043" s="3">
        <v>38.481535374310504</v>
      </c>
      <c r="M3043" s="3">
        <v>43.126221392950498</v>
      </c>
      <c r="N3043" s="3">
        <v>48.014247738266803</v>
      </c>
      <c r="O3043" s="3">
        <v>54.1925232750175</v>
      </c>
      <c r="P3043" s="3">
        <v>58.9877926971173</v>
      </c>
    </row>
    <row r="3044" spans="1:16" x14ac:dyDescent="0.3">
      <c r="A3044" s="3" t="str">
        <f t="shared" si="48"/>
        <v>DST</v>
      </c>
      <c r="C3044" s="3" t="s">
        <v>850</v>
      </c>
      <c r="D3044" s="3" t="s">
        <v>738</v>
      </c>
      <c r="E3044" s="3" t="s">
        <v>1504</v>
      </c>
      <c r="F3044" s="3" t="s">
        <v>0</v>
      </c>
      <c r="G3044" s="3">
        <v>0.48553364664097998</v>
      </c>
    </row>
    <row r="3045" spans="1:16" x14ac:dyDescent="0.3">
      <c r="A3045" s="3" t="str">
        <f t="shared" si="48"/>
        <v>DST</v>
      </c>
      <c r="C3045" s="3" t="s">
        <v>850</v>
      </c>
      <c r="D3045" s="3" t="s">
        <v>738</v>
      </c>
      <c r="E3045" s="3" t="s">
        <v>1504</v>
      </c>
      <c r="F3045" s="3" t="s">
        <v>1</v>
      </c>
      <c r="G3045" s="3">
        <v>1.3365107757263199</v>
      </c>
    </row>
    <row r="3046" spans="1:16" x14ac:dyDescent="0.3">
      <c r="A3046" s="3" t="str">
        <f t="shared" si="48"/>
        <v>DST</v>
      </c>
      <c r="C3046" s="3" t="s">
        <v>850</v>
      </c>
      <c r="D3046" s="3" t="s">
        <v>738</v>
      </c>
      <c r="E3046" s="3" t="s">
        <v>1504</v>
      </c>
      <c r="F3046" s="3" t="s">
        <v>2</v>
      </c>
      <c r="G3046" s="3">
        <v>0.93109773006943397</v>
      </c>
    </row>
    <row r="3047" spans="1:16" x14ac:dyDescent="0.3">
      <c r="A3047" s="3" t="str">
        <f t="shared" si="48"/>
        <v>DST</v>
      </c>
      <c r="C3047" s="3" t="s">
        <v>850</v>
      </c>
      <c r="D3047" s="3" t="s">
        <v>738</v>
      </c>
      <c r="E3047" s="3" t="s">
        <v>1504</v>
      </c>
      <c r="F3047" s="3" t="s">
        <v>3</v>
      </c>
      <c r="G3047" s="3">
        <v>0.63065463195968097</v>
      </c>
    </row>
    <row r="3048" spans="1:16" x14ac:dyDescent="0.3">
      <c r="A3048" s="3" t="str">
        <f t="shared" si="48"/>
        <v>DST</v>
      </c>
      <c r="C3048" s="3" t="s">
        <v>850</v>
      </c>
      <c r="D3048" s="3" t="s">
        <v>738</v>
      </c>
      <c r="E3048" s="3" t="s">
        <v>1504</v>
      </c>
      <c r="F3048" s="3" t="s">
        <v>4</v>
      </c>
      <c r="G3048" s="3">
        <v>0.53123596040394905</v>
      </c>
    </row>
    <row r="3049" spans="1:16" x14ac:dyDescent="0.3">
      <c r="A3049" s="3" t="str">
        <f t="shared" si="48"/>
        <v>DST</v>
      </c>
      <c r="C3049" s="3" t="s">
        <v>850</v>
      </c>
      <c r="D3049" s="3" t="s">
        <v>738</v>
      </c>
      <c r="E3049" s="3" t="s">
        <v>1504</v>
      </c>
      <c r="F3049" s="3" t="s">
        <v>5</v>
      </c>
      <c r="G3049" s="3">
        <v>0.46304951949394801</v>
      </c>
    </row>
    <row r="3050" spans="1:16" x14ac:dyDescent="0.3">
      <c r="A3050" s="3" t="str">
        <f t="shared" si="48"/>
        <v>DST</v>
      </c>
      <c r="C3050" s="3" t="s">
        <v>850</v>
      </c>
      <c r="D3050" s="3" t="s">
        <v>738</v>
      </c>
      <c r="E3050" s="3" t="s">
        <v>1504</v>
      </c>
      <c r="F3050" s="3" t="s">
        <v>6</v>
      </c>
      <c r="G3050" s="3">
        <v>1.60863512348396</v>
      </c>
    </row>
    <row r="3051" spans="1:16" x14ac:dyDescent="0.3">
      <c r="A3051" s="3" t="str">
        <f t="shared" si="48"/>
        <v>DST</v>
      </c>
      <c r="C3051" s="3" t="s">
        <v>850</v>
      </c>
      <c r="D3051" s="3" t="s">
        <v>738</v>
      </c>
      <c r="E3051" s="3" t="s">
        <v>1504</v>
      </c>
      <c r="F3051" s="3" t="s">
        <v>7</v>
      </c>
      <c r="G3051" s="3">
        <v>2.07971853675103</v>
      </c>
    </row>
    <row r="3052" spans="1:16" x14ac:dyDescent="0.3">
      <c r="A3052" s="3" t="str">
        <f t="shared" si="48"/>
        <v>DST</v>
      </c>
      <c r="C3052" s="3" t="s">
        <v>850</v>
      </c>
      <c r="D3052" s="3" t="s">
        <v>738</v>
      </c>
      <c r="E3052" s="3" t="s">
        <v>1504</v>
      </c>
      <c r="F3052" s="3" t="s">
        <v>8</v>
      </c>
      <c r="G3052" s="3">
        <v>1.3040782476453801</v>
      </c>
    </row>
    <row r="3053" spans="1:16" x14ac:dyDescent="0.3">
      <c r="A3053" s="3" t="str">
        <f t="shared" si="48"/>
        <v>ELC</v>
      </c>
      <c r="C3053" s="3" t="s">
        <v>850</v>
      </c>
      <c r="D3053" s="3" t="s">
        <v>738</v>
      </c>
      <c r="E3053" s="3" t="s">
        <v>1502</v>
      </c>
      <c r="F3053" s="3" t="s">
        <v>0</v>
      </c>
      <c r="G3053" s="3">
        <v>9.7770064486647303</v>
      </c>
    </row>
    <row r="3054" spans="1:16" x14ac:dyDescent="0.3">
      <c r="A3054" s="3" t="str">
        <f t="shared" si="48"/>
        <v>ELC</v>
      </c>
      <c r="C3054" s="3" t="s">
        <v>850</v>
      </c>
      <c r="D3054" s="3" t="s">
        <v>738</v>
      </c>
      <c r="E3054" s="3" t="s">
        <v>1502</v>
      </c>
      <c r="F3054" s="3" t="s">
        <v>1</v>
      </c>
      <c r="G3054" s="3">
        <v>29.292532543647798</v>
      </c>
    </row>
    <row r="3055" spans="1:16" x14ac:dyDescent="0.3">
      <c r="A3055" s="3" t="str">
        <f t="shared" si="48"/>
        <v>ELC</v>
      </c>
      <c r="C3055" s="3" t="s">
        <v>850</v>
      </c>
      <c r="D3055" s="3" t="s">
        <v>738</v>
      </c>
      <c r="E3055" s="3" t="s">
        <v>1502</v>
      </c>
      <c r="F3055" s="3" t="s">
        <v>2</v>
      </c>
      <c r="G3055" s="3">
        <v>66.614855233341402</v>
      </c>
    </row>
    <row r="3056" spans="1:16" x14ac:dyDescent="0.3">
      <c r="A3056" s="3" t="str">
        <f t="shared" si="48"/>
        <v>ELC</v>
      </c>
      <c r="C3056" s="3" t="s">
        <v>850</v>
      </c>
      <c r="D3056" s="3" t="s">
        <v>738</v>
      </c>
      <c r="E3056" s="3" t="s">
        <v>1502</v>
      </c>
      <c r="F3056" s="3" t="s">
        <v>3</v>
      </c>
      <c r="G3056" s="3">
        <v>45.119825399099099</v>
      </c>
    </row>
    <row r="3057" spans="1:9" x14ac:dyDescent="0.3">
      <c r="A3057" s="3" t="str">
        <f t="shared" si="48"/>
        <v>ELC</v>
      </c>
      <c r="C3057" s="3" t="s">
        <v>850</v>
      </c>
      <c r="D3057" s="3" t="s">
        <v>738</v>
      </c>
      <c r="E3057" s="3" t="s">
        <v>1502</v>
      </c>
      <c r="F3057" s="3" t="s">
        <v>4</v>
      </c>
      <c r="G3057" s="3">
        <v>28.566974180164699</v>
      </c>
    </row>
    <row r="3058" spans="1:9" x14ac:dyDescent="0.3">
      <c r="A3058" s="3" t="str">
        <f t="shared" si="48"/>
        <v>ELC</v>
      </c>
      <c r="C3058" s="3" t="s">
        <v>850</v>
      </c>
      <c r="D3058" s="3" t="s">
        <v>738</v>
      </c>
      <c r="E3058" s="3" t="s">
        <v>1502</v>
      </c>
      <c r="F3058" s="3" t="s">
        <v>5</v>
      </c>
      <c r="G3058" s="3">
        <v>24.9002790727173</v>
      </c>
      <c r="H3058" s="3">
        <v>44.027702507623999</v>
      </c>
      <c r="I3058" s="3">
        <v>44.027702507623999</v>
      </c>
    </row>
    <row r="3059" spans="1:9" x14ac:dyDescent="0.3">
      <c r="A3059" s="3" t="str">
        <f t="shared" si="48"/>
        <v>ELC</v>
      </c>
      <c r="C3059" s="3" t="s">
        <v>850</v>
      </c>
      <c r="D3059" s="3" t="s">
        <v>738</v>
      </c>
      <c r="E3059" s="3" t="s">
        <v>1502</v>
      </c>
      <c r="F3059" s="3" t="s">
        <v>6</v>
      </c>
      <c r="G3059" s="3">
        <v>86.503628261402795</v>
      </c>
    </row>
    <row r="3060" spans="1:9" x14ac:dyDescent="0.3">
      <c r="A3060" s="3" t="str">
        <f t="shared" si="48"/>
        <v>ELC</v>
      </c>
      <c r="C3060" s="3" t="s">
        <v>850</v>
      </c>
      <c r="D3060" s="3" t="s">
        <v>738</v>
      </c>
      <c r="E3060" s="3" t="s">
        <v>1502</v>
      </c>
      <c r="F3060" s="3" t="s">
        <v>7</v>
      </c>
      <c r="G3060" s="3">
        <v>32.229373587444101</v>
      </c>
    </row>
    <row r="3061" spans="1:9" x14ac:dyDescent="0.3">
      <c r="A3061" s="3" t="str">
        <f t="shared" si="48"/>
        <v>ELC</v>
      </c>
      <c r="C3061" s="3" t="s">
        <v>850</v>
      </c>
      <c r="D3061" s="3" t="s">
        <v>738</v>
      </c>
      <c r="E3061" s="3" t="s">
        <v>1502</v>
      </c>
      <c r="F3061" s="3" t="s">
        <v>8</v>
      </c>
      <c r="G3061" s="3">
        <v>20.209285193123701</v>
      </c>
    </row>
    <row r="3062" spans="1:9" x14ac:dyDescent="0.3">
      <c r="A3062" s="3" t="str">
        <f t="shared" si="48"/>
        <v>LPG</v>
      </c>
      <c r="C3062" s="3" t="s">
        <v>850</v>
      </c>
      <c r="D3062" s="3" t="s">
        <v>738</v>
      </c>
      <c r="E3062" s="3" t="s">
        <v>1506</v>
      </c>
      <c r="F3062" s="3" t="s">
        <v>1</v>
      </c>
      <c r="G3062" s="3">
        <v>0.75427896242041703</v>
      </c>
    </row>
    <row r="3063" spans="1:9" x14ac:dyDescent="0.3">
      <c r="A3063" s="3" t="str">
        <f t="shared" si="48"/>
        <v>LPG</v>
      </c>
      <c r="C3063" s="3" t="s">
        <v>850</v>
      </c>
      <c r="D3063" s="3" t="s">
        <v>738</v>
      </c>
      <c r="E3063" s="3" t="s">
        <v>1506</v>
      </c>
      <c r="F3063" s="3" t="s">
        <v>2</v>
      </c>
      <c r="G3063" s="3">
        <v>7.3566964030945199</v>
      </c>
    </row>
    <row r="3064" spans="1:9" x14ac:dyDescent="0.3">
      <c r="A3064" s="3" t="str">
        <f t="shared" si="48"/>
        <v>LPG</v>
      </c>
      <c r="C3064" s="3" t="s">
        <v>850</v>
      </c>
      <c r="D3064" s="3" t="s">
        <v>738</v>
      </c>
      <c r="E3064" s="3" t="s">
        <v>1506</v>
      </c>
      <c r="F3064" s="3" t="s">
        <v>3</v>
      </c>
      <c r="G3064" s="3">
        <v>4.40060010214229</v>
      </c>
    </row>
    <row r="3065" spans="1:9" x14ac:dyDescent="0.3">
      <c r="A3065" s="3" t="str">
        <f t="shared" si="48"/>
        <v>LPG</v>
      </c>
      <c r="C3065" s="3" t="s">
        <v>850</v>
      </c>
      <c r="D3065" s="3" t="s">
        <v>738</v>
      </c>
      <c r="E3065" s="3" t="s">
        <v>1506</v>
      </c>
      <c r="F3065" s="3" t="s">
        <v>4</v>
      </c>
      <c r="G3065" s="3">
        <v>2.2831542332927799</v>
      </c>
    </row>
    <row r="3066" spans="1:9" x14ac:dyDescent="0.3">
      <c r="A3066" s="3" t="str">
        <f t="shared" si="48"/>
        <v>LPG</v>
      </c>
      <c r="C3066" s="3" t="s">
        <v>850</v>
      </c>
      <c r="D3066" s="3" t="s">
        <v>738</v>
      </c>
      <c r="E3066" s="3" t="s">
        <v>1506</v>
      </c>
      <c r="F3066" s="3" t="s">
        <v>5</v>
      </c>
      <c r="G3066" s="3">
        <v>2.0122303421832601</v>
      </c>
    </row>
    <row r="3067" spans="1:9" x14ac:dyDescent="0.3">
      <c r="A3067" s="3" t="str">
        <f t="shared" si="48"/>
        <v>LPG</v>
      </c>
      <c r="C3067" s="3" t="s">
        <v>850</v>
      </c>
      <c r="D3067" s="3" t="s">
        <v>738</v>
      </c>
      <c r="E3067" s="3" t="s">
        <v>1506</v>
      </c>
      <c r="F3067" s="3" t="s">
        <v>6</v>
      </c>
      <c r="G3067" s="3">
        <v>6.9904929574567802</v>
      </c>
    </row>
    <row r="3068" spans="1:9" x14ac:dyDescent="0.3">
      <c r="A3068" s="3" t="str">
        <f t="shared" si="48"/>
        <v>LPG</v>
      </c>
      <c r="C3068" s="3" t="s">
        <v>850</v>
      </c>
      <c r="D3068" s="3" t="s">
        <v>738</v>
      </c>
      <c r="E3068" s="3" t="s">
        <v>1506</v>
      </c>
      <c r="F3068" s="3" t="s">
        <v>7</v>
      </c>
      <c r="G3068" s="3">
        <v>1.8960074326987</v>
      </c>
    </row>
    <row r="3069" spans="1:9" x14ac:dyDescent="0.3">
      <c r="A3069" s="3" t="str">
        <f t="shared" si="48"/>
        <v>LPG</v>
      </c>
      <c r="C3069" s="3" t="s">
        <v>850</v>
      </c>
      <c r="D3069" s="3" t="s">
        <v>738</v>
      </c>
      <c r="E3069" s="3" t="s">
        <v>1506</v>
      </c>
      <c r="F3069" s="3" t="s">
        <v>8</v>
      </c>
      <c r="G3069" s="3">
        <v>1.1888830179007199</v>
      </c>
    </row>
    <row r="3070" spans="1:9" x14ac:dyDescent="0.3">
      <c r="A3070" s="3" t="str">
        <f t="shared" si="48"/>
        <v>NGA</v>
      </c>
      <c r="C3070" s="3" t="s">
        <v>850</v>
      </c>
      <c r="D3070" s="3" t="s">
        <v>738</v>
      </c>
      <c r="E3070" s="3" t="s">
        <v>1505</v>
      </c>
      <c r="F3070" s="3" t="s">
        <v>0</v>
      </c>
      <c r="G3070" s="3">
        <v>9.2667813403406196</v>
      </c>
    </row>
    <row r="3071" spans="1:9" x14ac:dyDescent="0.3">
      <c r="A3071" s="3" t="str">
        <f t="shared" si="48"/>
        <v>NGA</v>
      </c>
      <c r="C3071" s="3" t="s">
        <v>850</v>
      </c>
      <c r="D3071" s="3" t="s">
        <v>738</v>
      </c>
      <c r="E3071" s="3" t="s">
        <v>1505</v>
      </c>
      <c r="F3071" s="3" t="s">
        <v>1</v>
      </c>
      <c r="G3071" s="3">
        <v>25.508331303809399</v>
      </c>
    </row>
    <row r="3072" spans="1:9" x14ac:dyDescent="0.3">
      <c r="A3072" s="3" t="str">
        <f t="shared" si="48"/>
        <v>NGA</v>
      </c>
      <c r="C3072" s="3" t="s">
        <v>850</v>
      </c>
      <c r="D3072" s="3" t="s">
        <v>738</v>
      </c>
      <c r="E3072" s="3" t="s">
        <v>1505</v>
      </c>
      <c r="F3072" s="3" t="s">
        <v>2</v>
      </c>
      <c r="G3072" s="3">
        <v>61.5562840973218</v>
      </c>
    </row>
    <row r="3073" spans="1:16" x14ac:dyDescent="0.3">
      <c r="A3073" s="3" t="str">
        <f t="shared" si="48"/>
        <v>NGA</v>
      </c>
      <c r="C3073" s="3" t="s">
        <v>850</v>
      </c>
      <c r="D3073" s="3" t="s">
        <v>738</v>
      </c>
      <c r="E3073" s="3" t="s">
        <v>1505</v>
      </c>
      <c r="F3073" s="3" t="s">
        <v>3</v>
      </c>
      <c r="G3073" s="3">
        <v>41.6935348873712</v>
      </c>
      <c r="I3073" s="3">
        <v>92.919868619517104</v>
      </c>
    </row>
    <row r="3074" spans="1:16" x14ac:dyDescent="0.3">
      <c r="A3074" s="3" t="str">
        <f t="shared" si="48"/>
        <v>NGA</v>
      </c>
      <c r="C3074" s="3" t="s">
        <v>850</v>
      </c>
      <c r="D3074" s="3" t="s">
        <v>738</v>
      </c>
      <c r="E3074" s="3" t="s">
        <v>1505</v>
      </c>
      <c r="F3074" s="3" t="s">
        <v>4</v>
      </c>
      <c r="G3074" s="3">
        <v>18.3652598342712</v>
      </c>
      <c r="I3074" s="3">
        <v>50.485622366779303</v>
      </c>
    </row>
    <row r="3075" spans="1:16" x14ac:dyDescent="0.3">
      <c r="A3075" s="3" t="str">
        <f t="shared" si="48"/>
        <v>NGA</v>
      </c>
      <c r="C3075" s="3" t="s">
        <v>850</v>
      </c>
      <c r="D3075" s="3" t="s">
        <v>738</v>
      </c>
      <c r="E3075" s="3" t="s">
        <v>1505</v>
      </c>
      <c r="F3075" s="3" t="s">
        <v>5</v>
      </c>
      <c r="G3075" s="3">
        <v>16.007999035257999</v>
      </c>
    </row>
    <row r="3076" spans="1:16" x14ac:dyDescent="0.3">
      <c r="A3076" s="3" t="str">
        <f t="shared" si="48"/>
        <v>NGA</v>
      </c>
      <c r="C3076" s="3" t="s">
        <v>850</v>
      </c>
      <c r="D3076" s="3" t="s">
        <v>738</v>
      </c>
      <c r="E3076" s="3" t="s">
        <v>1505</v>
      </c>
      <c r="F3076" s="3" t="s">
        <v>6</v>
      </c>
      <c r="G3076" s="3">
        <v>55.611826426158103</v>
      </c>
      <c r="H3076" s="3">
        <v>4.0171704283948797</v>
      </c>
      <c r="I3076" s="3">
        <v>152.952342413547</v>
      </c>
    </row>
    <row r="3077" spans="1:16" x14ac:dyDescent="0.3">
      <c r="A3077" s="3" t="str">
        <f t="shared" si="48"/>
        <v>NGA</v>
      </c>
      <c r="C3077" s="3" t="s">
        <v>850</v>
      </c>
      <c r="D3077" s="3" t="s">
        <v>738</v>
      </c>
      <c r="E3077" s="3" t="s">
        <v>1505</v>
      </c>
      <c r="F3077" s="3" t="s">
        <v>7</v>
      </c>
      <c r="G3077" s="3">
        <v>18.729061953948001</v>
      </c>
    </row>
    <row r="3078" spans="1:16" x14ac:dyDescent="0.3">
      <c r="A3078" s="3" t="str">
        <f t="shared" si="48"/>
        <v>NGA</v>
      </c>
      <c r="C3078" s="3" t="s">
        <v>850</v>
      </c>
      <c r="D3078" s="3" t="s">
        <v>738</v>
      </c>
      <c r="E3078" s="3" t="s">
        <v>1505</v>
      </c>
      <c r="F3078" s="3" t="s">
        <v>8</v>
      </c>
      <c r="G3078" s="3">
        <v>11.7439748991732</v>
      </c>
      <c r="I3078" s="3">
        <v>34.446221357843001</v>
      </c>
    </row>
    <row r="3079" spans="1:16" x14ac:dyDescent="0.3">
      <c r="A3079" s="3" t="str">
        <f t="shared" si="48"/>
        <v>RFL</v>
      </c>
      <c r="C3079" s="3" t="s">
        <v>850</v>
      </c>
      <c r="D3079" s="3" t="s">
        <v>738</v>
      </c>
      <c r="E3079" s="3" t="s">
        <v>1503</v>
      </c>
      <c r="F3079" s="3" t="s">
        <v>0</v>
      </c>
      <c r="G3079" s="3">
        <v>0.16841657486860201</v>
      </c>
    </row>
    <row r="3080" spans="1:16" x14ac:dyDescent="0.3">
      <c r="A3080" s="3" t="str">
        <f t="shared" si="48"/>
        <v>RFL</v>
      </c>
      <c r="C3080" s="3" t="s">
        <v>850</v>
      </c>
      <c r="D3080" s="3" t="s">
        <v>738</v>
      </c>
      <c r="E3080" s="3" t="s">
        <v>1503</v>
      </c>
      <c r="F3080" s="3" t="s">
        <v>1</v>
      </c>
      <c r="G3080" s="3">
        <v>0.46359416835481598</v>
      </c>
    </row>
    <row r="3081" spans="1:16" x14ac:dyDescent="0.3">
      <c r="A3081" s="3" t="str">
        <f t="shared" si="48"/>
        <v>RFL</v>
      </c>
      <c r="C3081" s="3" t="s">
        <v>850</v>
      </c>
      <c r="D3081" s="3" t="s">
        <v>738</v>
      </c>
      <c r="E3081" s="3" t="s">
        <v>1503</v>
      </c>
      <c r="F3081" s="3" t="s">
        <v>4</v>
      </c>
      <c r="G3081" s="3">
        <v>9.6741377856191205E-2</v>
      </c>
    </row>
    <row r="3082" spans="1:16" x14ac:dyDescent="0.3">
      <c r="A3082" s="3" t="str">
        <f t="shared" si="48"/>
        <v>RFL</v>
      </c>
      <c r="C3082" s="3" t="s">
        <v>850</v>
      </c>
      <c r="D3082" s="3" t="s">
        <v>738</v>
      </c>
      <c r="E3082" s="3" t="s">
        <v>1503</v>
      </c>
      <c r="F3082" s="3" t="s">
        <v>5</v>
      </c>
      <c r="G3082" s="3">
        <v>8.43242021820758E-2</v>
      </c>
    </row>
    <row r="3083" spans="1:16" x14ac:dyDescent="0.3">
      <c r="A3083" s="3" t="str">
        <f t="shared" si="48"/>
        <v>RFL</v>
      </c>
      <c r="C3083" s="3" t="s">
        <v>850</v>
      </c>
      <c r="D3083" s="3" t="s">
        <v>738</v>
      </c>
      <c r="E3083" s="3" t="s">
        <v>1503</v>
      </c>
      <c r="F3083" s="3" t="s">
        <v>6</v>
      </c>
      <c r="G3083" s="3">
        <v>0.29294247737929702</v>
      </c>
    </row>
    <row r="3084" spans="1:16" x14ac:dyDescent="0.3">
      <c r="A3084" s="3" t="str">
        <f t="shared" si="48"/>
        <v>BIO</v>
      </c>
      <c r="C3084" s="3" t="s">
        <v>850</v>
      </c>
      <c r="D3084" s="3" t="s">
        <v>722</v>
      </c>
      <c r="E3084" s="3" t="s">
        <v>1486</v>
      </c>
      <c r="F3084" s="3" t="s">
        <v>0</v>
      </c>
      <c r="G3084" s="3">
        <v>0.15572788736680601</v>
      </c>
      <c r="H3084" s="3">
        <v>0.35055175388061099</v>
      </c>
      <c r="J3084" s="3">
        <v>0.35055175388061899</v>
      </c>
      <c r="K3084" s="3">
        <v>0.36589349156331602</v>
      </c>
      <c r="L3084" s="3">
        <v>0.41396123762999798</v>
      </c>
      <c r="N3084" s="3">
        <v>0.51650842993325696</v>
      </c>
      <c r="O3084" s="3">
        <v>0.58297060621429597</v>
      </c>
      <c r="P3084" s="3">
        <v>0.63455523363191702</v>
      </c>
    </row>
    <row r="3085" spans="1:16" x14ac:dyDescent="0.3">
      <c r="A3085" s="3" t="str">
        <f t="shared" si="48"/>
        <v>BIO</v>
      </c>
      <c r="C3085" s="3" t="s">
        <v>850</v>
      </c>
      <c r="D3085" s="3" t="s">
        <v>722</v>
      </c>
      <c r="E3085" s="3" t="s">
        <v>1486</v>
      </c>
      <c r="F3085" s="3" t="s">
        <v>1</v>
      </c>
      <c r="G3085" s="3">
        <v>0.42866648065840601</v>
      </c>
      <c r="H3085" s="3">
        <v>1.18735662390689</v>
      </c>
      <c r="J3085" s="3">
        <v>1.18735662390689</v>
      </c>
      <c r="K3085" s="3">
        <v>1.18735662390689</v>
      </c>
      <c r="L3085" s="3">
        <v>1.3264533560918901</v>
      </c>
      <c r="M3085" s="3">
        <v>1.4865550593501</v>
      </c>
      <c r="P3085" s="3">
        <v>2.03330129191722</v>
      </c>
    </row>
    <row r="3086" spans="1:16" x14ac:dyDescent="0.3">
      <c r="A3086" s="3" t="str">
        <f t="shared" si="48"/>
        <v>BIO</v>
      </c>
      <c r="C3086" s="3" t="s">
        <v>850</v>
      </c>
      <c r="D3086" s="3" t="s">
        <v>722</v>
      </c>
      <c r="E3086" s="3" t="s">
        <v>1486</v>
      </c>
      <c r="F3086" s="3" t="s">
        <v>2</v>
      </c>
      <c r="G3086" s="3">
        <v>0.11078909838039901</v>
      </c>
      <c r="H3086" s="3">
        <v>4.4159818208941202</v>
      </c>
      <c r="K3086" s="3">
        <v>4.7417023559537697</v>
      </c>
      <c r="L3086" s="3">
        <v>5.2971844153681404</v>
      </c>
      <c r="P3086" s="3">
        <v>8.1199778837497902</v>
      </c>
    </row>
    <row r="3087" spans="1:16" x14ac:dyDescent="0.3">
      <c r="A3087" s="3" t="str">
        <f t="shared" si="48"/>
        <v>BIO</v>
      </c>
      <c r="C3087" s="3" t="s">
        <v>850</v>
      </c>
      <c r="D3087" s="3" t="s">
        <v>722</v>
      </c>
      <c r="E3087" s="3" t="s">
        <v>1486</v>
      </c>
      <c r="F3087" s="3" t="s">
        <v>3</v>
      </c>
      <c r="G3087" s="3">
        <v>7.5040090645506E-2</v>
      </c>
      <c r="K3087" s="3">
        <v>3.1916677525713402</v>
      </c>
      <c r="P3087" s="3">
        <v>5.4998540952463504</v>
      </c>
    </row>
    <row r="3088" spans="1:16" x14ac:dyDescent="0.3">
      <c r="A3088" s="3" t="str">
        <f t="shared" si="48"/>
        <v>BIO</v>
      </c>
      <c r="C3088" s="3" t="s">
        <v>850</v>
      </c>
      <c r="D3088" s="3" t="s">
        <v>722</v>
      </c>
      <c r="E3088" s="3" t="s">
        <v>1486</v>
      </c>
      <c r="F3088" s="3" t="s">
        <v>4</v>
      </c>
      <c r="G3088" s="3">
        <v>1.1053541701960601</v>
      </c>
      <c r="H3088" s="3">
        <v>4.6660637158752598</v>
      </c>
      <c r="J3088" s="3">
        <v>4.6660637158752598</v>
      </c>
      <c r="K3088" s="3">
        <v>4.6660637158752598</v>
      </c>
      <c r="L3088" s="3">
        <v>5.2153061189203997</v>
      </c>
      <c r="M3088" s="3">
        <v>5.8447887832126604</v>
      </c>
      <c r="P3088" s="3">
        <v>7.9944678195002004</v>
      </c>
    </row>
    <row r="3089" spans="1:16" x14ac:dyDescent="0.3">
      <c r="A3089" s="3" t="str">
        <f t="shared" si="48"/>
        <v>BIO</v>
      </c>
      <c r="C3089" s="3" t="s">
        <v>850</v>
      </c>
      <c r="D3089" s="3" t="s">
        <v>722</v>
      </c>
      <c r="E3089" s="3" t="s">
        <v>1486</v>
      </c>
      <c r="F3089" s="3" t="s">
        <v>5</v>
      </c>
      <c r="G3089" s="3">
        <v>0.96347716557200203</v>
      </c>
      <c r="H3089" s="3">
        <v>2.7822156534479601</v>
      </c>
      <c r="J3089" s="3">
        <v>4.0691994182358604</v>
      </c>
      <c r="K3089" s="3">
        <v>4.0691994182358604</v>
      </c>
      <c r="L3089" s="3">
        <v>4.5458989458161403</v>
      </c>
      <c r="M3089" s="3">
        <v>5.0945847783954203</v>
      </c>
      <c r="P3089" s="3">
        <v>6.9683431814640997</v>
      </c>
    </row>
    <row r="3090" spans="1:16" x14ac:dyDescent="0.3">
      <c r="A3090" s="3" t="str">
        <f t="shared" si="48"/>
        <v>BIO</v>
      </c>
      <c r="C3090" s="3" t="s">
        <v>850</v>
      </c>
      <c r="D3090" s="3" t="s">
        <v>722</v>
      </c>
      <c r="E3090" s="3" t="s">
        <v>1486</v>
      </c>
      <c r="F3090" s="3" t="s">
        <v>6</v>
      </c>
      <c r="G3090" s="3">
        <v>3.3471219469306699</v>
      </c>
      <c r="K3090" s="3">
        <v>14.1364083819555</v>
      </c>
    </row>
    <row r="3091" spans="1:16" x14ac:dyDescent="0.3">
      <c r="A3091" s="3" t="str">
        <f t="shared" si="48"/>
        <v>COK</v>
      </c>
      <c r="C3091" s="3" t="s">
        <v>850</v>
      </c>
      <c r="D3091" s="3" t="s">
        <v>722</v>
      </c>
      <c r="E3091" s="3" t="s">
        <v>1485</v>
      </c>
      <c r="F3091" s="3" t="s">
        <v>2</v>
      </c>
      <c r="G3091" s="3">
        <v>0.87277037133510305</v>
      </c>
    </row>
    <row r="3092" spans="1:16" x14ac:dyDescent="0.3">
      <c r="A3092" s="3" t="str">
        <f t="shared" si="48"/>
        <v>COK</v>
      </c>
      <c r="C3092" s="3" t="s">
        <v>850</v>
      </c>
      <c r="D3092" s="3" t="s">
        <v>722</v>
      </c>
      <c r="E3092" s="3" t="s">
        <v>1485</v>
      </c>
      <c r="F3092" s="3" t="s">
        <v>3</v>
      </c>
      <c r="G3092" s="3">
        <v>0.59114812499715497</v>
      </c>
    </row>
    <row r="3093" spans="1:16" x14ac:dyDescent="0.3">
      <c r="A3093" s="3" t="str">
        <f t="shared" si="48"/>
        <v>COK</v>
      </c>
      <c r="C3093" s="3" t="s">
        <v>850</v>
      </c>
      <c r="D3093" s="3" t="s">
        <v>722</v>
      </c>
      <c r="E3093" s="3" t="s">
        <v>1485</v>
      </c>
      <c r="F3093" s="3" t="s">
        <v>4</v>
      </c>
      <c r="G3093" s="3">
        <v>0.29877444104202</v>
      </c>
    </row>
    <row r="3094" spans="1:16" x14ac:dyDescent="0.3">
      <c r="A3094" s="3" t="str">
        <f t="shared" si="48"/>
        <v>COK</v>
      </c>
      <c r="C3094" s="3" t="s">
        <v>850</v>
      </c>
      <c r="D3094" s="3" t="s">
        <v>722</v>
      </c>
      <c r="E3094" s="3" t="s">
        <v>1485</v>
      </c>
      <c r="F3094" s="3" t="s">
        <v>5</v>
      </c>
      <c r="G3094" s="3">
        <v>0.26042544494988901</v>
      </c>
    </row>
    <row r="3095" spans="1:16" x14ac:dyDescent="0.3">
      <c r="A3095" s="3" t="str">
        <f t="shared" si="48"/>
        <v>COK</v>
      </c>
      <c r="C3095" s="3" t="s">
        <v>850</v>
      </c>
      <c r="D3095" s="3" t="s">
        <v>722</v>
      </c>
      <c r="E3095" s="3" t="s">
        <v>1485</v>
      </c>
      <c r="F3095" s="3" t="s">
        <v>6</v>
      </c>
      <c r="G3095" s="3">
        <v>0.90471861034034895</v>
      </c>
    </row>
    <row r="3096" spans="1:16" x14ac:dyDescent="0.3">
      <c r="A3096" s="3" t="str">
        <f t="shared" si="48"/>
        <v>DST</v>
      </c>
      <c r="C3096" s="3" t="s">
        <v>850</v>
      </c>
      <c r="D3096" s="3" t="s">
        <v>722</v>
      </c>
      <c r="E3096" s="3" t="s">
        <v>1482</v>
      </c>
      <c r="F3096" s="3" t="s">
        <v>0</v>
      </c>
      <c r="G3096" s="3">
        <v>0.19482386651380501</v>
      </c>
    </row>
    <row r="3097" spans="1:16" x14ac:dyDescent="0.3">
      <c r="A3097" s="3" t="str">
        <f t="shared" si="48"/>
        <v>DST</v>
      </c>
      <c r="C3097" s="3" t="s">
        <v>850</v>
      </c>
      <c r="D3097" s="3" t="s">
        <v>722</v>
      </c>
      <c r="E3097" s="3" t="s">
        <v>1482</v>
      </c>
      <c r="F3097" s="3" t="s">
        <v>1</v>
      </c>
      <c r="G3097" s="3">
        <v>0.59133782893360498</v>
      </c>
    </row>
    <row r="3098" spans="1:16" x14ac:dyDescent="0.3">
      <c r="A3098" s="3" t="str">
        <f t="shared" si="48"/>
        <v>DST</v>
      </c>
      <c r="C3098" s="3" t="s">
        <v>850</v>
      </c>
      <c r="D3098" s="3" t="s">
        <v>722</v>
      </c>
      <c r="E3098" s="3" t="s">
        <v>1482</v>
      </c>
      <c r="F3098" s="3" t="s">
        <v>2</v>
      </c>
      <c r="G3098" s="3">
        <v>0.48062378066441303</v>
      </c>
    </row>
    <row r="3099" spans="1:16" x14ac:dyDescent="0.3">
      <c r="A3099" s="3" t="str">
        <f t="shared" si="48"/>
        <v>DST</v>
      </c>
      <c r="C3099" s="3" t="s">
        <v>850</v>
      </c>
      <c r="D3099" s="3" t="s">
        <v>722</v>
      </c>
      <c r="E3099" s="3" t="s">
        <v>1482</v>
      </c>
      <c r="F3099" s="3" t="s">
        <v>3</v>
      </c>
      <c r="G3099" s="3">
        <v>0.30553791478299003</v>
      </c>
    </row>
    <row r="3100" spans="1:16" x14ac:dyDescent="0.3">
      <c r="A3100" s="3" t="str">
        <f t="shared" si="48"/>
        <v>DST</v>
      </c>
      <c r="C3100" s="3" t="s">
        <v>850</v>
      </c>
      <c r="D3100" s="3" t="s">
        <v>722</v>
      </c>
      <c r="E3100" s="3" t="s">
        <v>1482</v>
      </c>
      <c r="F3100" s="3" t="s">
        <v>4</v>
      </c>
      <c r="G3100" s="3">
        <v>0.32906273204450298</v>
      </c>
    </row>
    <row r="3101" spans="1:16" x14ac:dyDescent="0.3">
      <c r="A3101" s="3" t="str">
        <f t="shared" si="48"/>
        <v>DST</v>
      </c>
      <c r="C3101" s="3" t="s">
        <v>850</v>
      </c>
      <c r="D3101" s="3" t="s">
        <v>722</v>
      </c>
      <c r="E3101" s="3" t="s">
        <v>1482</v>
      </c>
      <c r="F3101" s="3" t="s">
        <v>5</v>
      </c>
      <c r="G3101" s="3">
        <v>0.28682610236082301</v>
      </c>
    </row>
    <row r="3102" spans="1:16" x14ac:dyDescent="0.3">
      <c r="A3102" s="3" t="str">
        <f t="shared" si="48"/>
        <v>DST</v>
      </c>
      <c r="C3102" s="3" t="s">
        <v>850</v>
      </c>
      <c r="D3102" s="3" t="s">
        <v>722</v>
      </c>
      <c r="E3102" s="3" t="s">
        <v>1482</v>
      </c>
      <c r="F3102" s="3" t="s">
        <v>6</v>
      </c>
      <c r="G3102" s="3">
        <v>0.99643455648949397</v>
      </c>
    </row>
    <row r="3103" spans="1:16" x14ac:dyDescent="0.3">
      <c r="A3103" s="3" t="str">
        <f t="shared" ref="A3103:A3166" si="49">RIGHT(E3103,3)</f>
        <v>LPG</v>
      </c>
      <c r="C3103" s="3" t="s">
        <v>850</v>
      </c>
      <c r="D3103" s="3" t="s">
        <v>722</v>
      </c>
      <c r="E3103" s="3" t="s">
        <v>1484</v>
      </c>
      <c r="F3103" s="3" t="s">
        <v>4</v>
      </c>
      <c r="G3103" s="3">
        <v>1.07697179066593</v>
      </c>
    </row>
    <row r="3104" spans="1:16" x14ac:dyDescent="0.3">
      <c r="A3104" s="3" t="str">
        <f t="shared" si="49"/>
        <v>LPG</v>
      </c>
      <c r="C3104" s="3" t="s">
        <v>850</v>
      </c>
      <c r="D3104" s="3" t="s">
        <v>722</v>
      </c>
      <c r="E3104" s="3" t="s">
        <v>1484</v>
      </c>
      <c r="F3104" s="3" t="s">
        <v>5</v>
      </c>
      <c r="G3104" s="3">
        <v>0.94078301712463497</v>
      </c>
    </row>
    <row r="3105" spans="1:16" x14ac:dyDescent="0.3">
      <c r="A3105" s="3" t="str">
        <f t="shared" si="49"/>
        <v>LPG</v>
      </c>
      <c r="C3105" s="3" t="s">
        <v>850</v>
      </c>
      <c r="D3105" s="3" t="s">
        <v>722</v>
      </c>
      <c r="E3105" s="3" t="s">
        <v>1484</v>
      </c>
      <c r="F3105" s="3" t="s">
        <v>6</v>
      </c>
      <c r="G3105" s="3">
        <v>3.2682824216680699</v>
      </c>
    </row>
    <row r="3106" spans="1:16" x14ac:dyDescent="0.3">
      <c r="A3106" s="3" t="str">
        <f t="shared" si="49"/>
        <v>NGA</v>
      </c>
      <c r="C3106" s="3" t="s">
        <v>850</v>
      </c>
      <c r="D3106" s="3" t="s">
        <v>722</v>
      </c>
      <c r="E3106" s="3" t="s">
        <v>1483</v>
      </c>
      <c r="F3106" s="3" t="s">
        <v>0</v>
      </c>
      <c r="M3106" s="3">
        <v>0.46392597926457002</v>
      </c>
    </row>
    <row r="3107" spans="1:16" x14ac:dyDescent="0.3">
      <c r="A3107" s="3" t="str">
        <f t="shared" si="49"/>
        <v>NGA</v>
      </c>
      <c r="C3107" s="3" t="s">
        <v>850</v>
      </c>
      <c r="D3107" s="3" t="s">
        <v>722</v>
      </c>
      <c r="E3107" s="3" t="s">
        <v>1483</v>
      </c>
      <c r="F3107" s="3" t="s">
        <v>1</v>
      </c>
      <c r="I3107" s="3">
        <v>1.18735662390689</v>
      </c>
      <c r="O3107" s="3">
        <v>1.8680089989658399</v>
      </c>
    </row>
    <row r="3108" spans="1:16" x14ac:dyDescent="0.3">
      <c r="A3108" s="3" t="str">
        <f t="shared" si="49"/>
        <v>NGA</v>
      </c>
      <c r="C3108" s="3" t="s">
        <v>850</v>
      </c>
      <c r="D3108" s="3" t="s">
        <v>722</v>
      </c>
      <c r="E3108" s="3" t="s">
        <v>1483</v>
      </c>
      <c r="F3108" s="3" t="s">
        <v>2</v>
      </c>
      <c r="G3108" s="3">
        <v>3.1805833857237298</v>
      </c>
      <c r="H3108" s="3">
        <v>0.32572053505965298</v>
      </c>
      <c r="I3108" s="3">
        <v>4.7417023559537697</v>
      </c>
      <c r="J3108" s="3">
        <v>4.7417023559537901</v>
      </c>
      <c r="M3108" s="3">
        <v>5.9365497149305897</v>
      </c>
      <c r="N3108" s="3">
        <v>6.6094120819453597</v>
      </c>
      <c r="O3108" s="3">
        <v>7.4598839918829798</v>
      </c>
    </row>
    <row r="3109" spans="1:16" x14ac:dyDescent="0.3">
      <c r="A3109" s="3" t="str">
        <f t="shared" si="49"/>
        <v>NGA</v>
      </c>
      <c r="C3109" s="3" t="s">
        <v>850</v>
      </c>
      <c r="D3109" s="3" t="s">
        <v>722</v>
      </c>
      <c r="E3109" s="3" t="s">
        <v>1483</v>
      </c>
      <c r="F3109" s="3" t="s">
        <v>3</v>
      </c>
      <c r="G3109" s="3">
        <v>2.1542847541805199</v>
      </c>
      <c r="H3109" s="3">
        <v>3.1916677525713402</v>
      </c>
      <c r="I3109" s="3">
        <v>3.1916677525713402</v>
      </c>
      <c r="J3109" s="3">
        <v>3.1916677525712802</v>
      </c>
      <c r="L3109" s="3">
        <v>3.58790895951106</v>
      </c>
      <c r="M3109" s="3">
        <v>4.0209662795555197</v>
      </c>
      <c r="N3109" s="3">
        <v>4.4767119598693599</v>
      </c>
      <c r="O3109" s="3">
        <v>5.0527568067554203</v>
      </c>
    </row>
    <row r="3110" spans="1:16" x14ac:dyDescent="0.3">
      <c r="A3110" s="3" t="str">
        <f t="shared" si="49"/>
        <v>NGA</v>
      </c>
      <c r="C3110" s="3" t="s">
        <v>850</v>
      </c>
      <c r="D3110" s="3" t="s">
        <v>722</v>
      </c>
      <c r="E3110" s="3" t="s">
        <v>1483</v>
      </c>
      <c r="F3110" s="3" t="s">
        <v>4</v>
      </c>
      <c r="G3110" s="3">
        <v>0.81660398983595905</v>
      </c>
      <c r="I3110" s="3">
        <v>4.6660637158752598</v>
      </c>
      <c r="N3110" s="3">
        <v>6.5072507525754997</v>
      </c>
      <c r="O3110" s="3">
        <v>7.3445769636471496</v>
      </c>
    </row>
    <row r="3111" spans="1:16" x14ac:dyDescent="0.3">
      <c r="A3111" s="3" t="str">
        <f t="shared" si="49"/>
        <v>NGA</v>
      </c>
      <c r="C3111" s="3" t="s">
        <v>850</v>
      </c>
      <c r="D3111" s="3" t="s">
        <v>722</v>
      </c>
      <c r="E3111" s="3" t="s">
        <v>1483</v>
      </c>
      <c r="F3111" s="3" t="s">
        <v>5</v>
      </c>
      <c r="G3111" s="3">
        <v>0.71178932394345995</v>
      </c>
      <c r="H3111" s="3">
        <v>1.2869837647878799</v>
      </c>
      <c r="I3111" s="3">
        <v>4.0691994182358604</v>
      </c>
      <c r="N3111" s="3">
        <v>5.6720168791199601</v>
      </c>
      <c r="O3111" s="3">
        <v>6.40186863727578</v>
      </c>
    </row>
    <row r="3112" spans="1:16" x14ac:dyDescent="0.3">
      <c r="A3112" s="3" t="str">
        <f t="shared" si="49"/>
        <v>NGA</v>
      </c>
      <c r="C3112" s="3" t="s">
        <v>850</v>
      </c>
      <c r="D3112" s="3" t="s">
        <v>722</v>
      </c>
      <c r="E3112" s="3" t="s">
        <v>1483</v>
      </c>
      <c r="F3112" s="3" t="s">
        <v>6</v>
      </c>
      <c r="G3112" s="3">
        <v>2.4727577911487701</v>
      </c>
      <c r="H3112" s="3">
        <v>14.1364083819555</v>
      </c>
      <c r="I3112" s="3">
        <v>14.1364083819555</v>
      </c>
      <c r="J3112" s="3">
        <v>14.1364083819555</v>
      </c>
      <c r="L3112" s="3">
        <v>15.7924636657444</v>
      </c>
      <c r="M3112" s="3">
        <v>17.698599542982102</v>
      </c>
      <c r="N3112" s="3">
        <v>19.7046000235954</v>
      </c>
      <c r="O3112" s="3">
        <v>22.240106753823898</v>
      </c>
      <c r="P3112" s="3">
        <v>24.208040657171299</v>
      </c>
    </row>
    <row r="3113" spans="1:16" x14ac:dyDescent="0.3">
      <c r="A3113" s="3" t="str">
        <f t="shared" si="49"/>
        <v>OTP</v>
      </c>
      <c r="C3113" s="3" t="s">
        <v>850</v>
      </c>
      <c r="D3113" s="3" t="s">
        <v>722</v>
      </c>
      <c r="E3113" s="3" t="s">
        <v>1488</v>
      </c>
      <c r="F3113" s="3" t="s">
        <v>2</v>
      </c>
      <c r="G3113" s="3">
        <v>4.01940044733536E-3</v>
      </c>
    </row>
    <row r="3114" spans="1:16" x14ac:dyDescent="0.3">
      <c r="A3114" s="3" t="str">
        <f t="shared" si="49"/>
        <v>OTP</v>
      </c>
      <c r="C3114" s="3" t="s">
        <v>850</v>
      </c>
      <c r="D3114" s="3" t="s">
        <v>722</v>
      </c>
      <c r="E3114" s="3" t="s">
        <v>1488</v>
      </c>
      <c r="F3114" s="3" t="s">
        <v>3</v>
      </c>
      <c r="G3114" s="3">
        <v>2.7224354951695898E-3</v>
      </c>
    </row>
    <row r="3115" spans="1:16" x14ac:dyDescent="0.3">
      <c r="A3115" s="3" t="str">
        <f t="shared" si="49"/>
        <v>OTP</v>
      </c>
      <c r="C3115" s="3" t="s">
        <v>850</v>
      </c>
      <c r="D3115" s="3" t="s">
        <v>722</v>
      </c>
      <c r="E3115" s="3" t="s">
        <v>1488</v>
      </c>
      <c r="F3115" s="3" t="s">
        <v>4</v>
      </c>
      <c r="G3115" s="3">
        <v>3.3022957554518E-2</v>
      </c>
    </row>
    <row r="3116" spans="1:16" x14ac:dyDescent="0.3">
      <c r="A3116" s="3" t="str">
        <f t="shared" si="49"/>
        <v>OTP</v>
      </c>
      <c r="C3116" s="3" t="s">
        <v>850</v>
      </c>
      <c r="D3116" s="3" t="s">
        <v>722</v>
      </c>
      <c r="E3116" s="3" t="s">
        <v>1488</v>
      </c>
      <c r="F3116" s="3" t="s">
        <v>5</v>
      </c>
      <c r="G3116" s="3">
        <v>2.8784317643446401E-2</v>
      </c>
    </row>
    <row r="3117" spans="1:16" x14ac:dyDescent="0.3">
      <c r="A3117" s="3" t="str">
        <f t="shared" si="49"/>
        <v>OTP</v>
      </c>
      <c r="C3117" s="3" t="s">
        <v>850</v>
      </c>
      <c r="D3117" s="3" t="s">
        <v>722</v>
      </c>
      <c r="E3117" s="3" t="s">
        <v>1488</v>
      </c>
      <c r="F3117" s="3" t="s">
        <v>6</v>
      </c>
      <c r="G3117" s="3">
        <v>9.9996787422154301E-2</v>
      </c>
    </row>
    <row r="3118" spans="1:16" x14ac:dyDescent="0.3">
      <c r="A3118" s="3" t="str">
        <f t="shared" si="49"/>
        <v>PTC</v>
      </c>
      <c r="C3118" s="3" t="s">
        <v>850</v>
      </c>
      <c r="D3118" s="3" t="s">
        <v>722</v>
      </c>
      <c r="E3118" s="3" t="s">
        <v>1487</v>
      </c>
      <c r="F3118" s="3" t="s">
        <v>1</v>
      </c>
      <c r="G3118" s="3">
        <v>0.16735231431487399</v>
      </c>
    </row>
    <row r="3119" spans="1:16" x14ac:dyDescent="0.3">
      <c r="A3119" s="3" t="str">
        <f t="shared" si="49"/>
        <v>PTC</v>
      </c>
      <c r="C3119" s="3" t="s">
        <v>850</v>
      </c>
      <c r="D3119" s="3" t="s">
        <v>722</v>
      </c>
      <c r="E3119" s="3" t="s">
        <v>1487</v>
      </c>
      <c r="F3119" s="3" t="s">
        <v>2</v>
      </c>
      <c r="G3119" s="3">
        <v>9.2916319402799402E-2</v>
      </c>
    </row>
    <row r="3120" spans="1:16" x14ac:dyDescent="0.3">
      <c r="A3120" s="3" t="str">
        <f t="shared" si="49"/>
        <v>PTC</v>
      </c>
      <c r="C3120" s="3" t="s">
        <v>850</v>
      </c>
      <c r="D3120" s="3" t="s">
        <v>722</v>
      </c>
      <c r="E3120" s="3" t="s">
        <v>1487</v>
      </c>
      <c r="F3120" s="3" t="s">
        <v>3</v>
      </c>
      <c r="G3120" s="3">
        <v>6.2934432469995194E-2</v>
      </c>
    </row>
    <row r="3121" spans="1:16" x14ac:dyDescent="0.3">
      <c r="A3121" s="3" t="str">
        <f t="shared" si="49"/>
        <v>PTC</v>
      </c>
      <c r="C3121" s="3" t="s">
        <v>850</v>
      </c>
      <c r="D3121" s="3" t="s">
        <v>722</v>
      </c>
      <c r="E3121" s="3" t="s">
        <v>1487</v>
      </c>
      <c r="F3121" s="3" t="s">
        <v>4</v>
      </c>
      <c r="G3121" s="3">
        <v>0.86116156775197805</v>
      </c>
    </row>
    <row r="3122" spans="1:16" x14ac:dyDescent="0.3">
      <c r="A3122" s="3" t="str">
        <f t="shared" si="49"/>
        <v>PTC</v>
      </c>
      <c r="C3122" s="3" t="s">
        <v>850</v>
      </c>
      <c r="D3122" s="3" t="s">
        <v>722</v>
      </c>
      <c r="E3122" s="3" t="s">
        <v>1487</v>
      </c>
      <c r="F3122" s="3" t="s">
        <v>5</v>
      </c>
      <c r="G3122" s="3">
        <v>0.75062774336849003</v>
      </c>
    </row>
    <row r="3123" spans="1:16" x14ac:dyDescent="0.3">
      <c r="A3123" s="3" t="str">
        <f t="shared" si="49"/>
        <v>PTC</v>
      </c>
      <c r="C3123" s="3" t="s">
        <v>850</v>
      </c>
      <c r="D3123" s="3" t="s">
        <v>722</v>
      </c>
      <c r="E3123" s="3" t="s">
        <v>1487</v>
      </c>
      <c r="F3123" s="3" t="s">
        <v>6</v>
      </c>
      <c r="G3123" s="3">
        <v>2.6076825518870699</v>
      </c>
    </row>
    <row r="3124" spans="1:16" x14ac:dyDescent="0.3">
      <c r="A3124" s="3" t="str">
        <f t="shared" si="49"/>
        <v>RFL</v>
      </c>
      <c r="C3124" s="3" t="s">
        <v>850</v>
      </c>
      <c r="D3124" s="3" t="s">
        <v>722</v>
      </c>
      <c r="E3124" s="3" t="s">
        <v>1481</v>
      </c>
      <c r="F3124" s="3" t="s">
        <v>0</v>
      </c>
      <c r="I3124" s="3">
        <v>0.35055175388061099</v>
      </c>
    </row>
    <row r="3125" spans="1:16" x14ac:dyDescent="0.3">
      <c r="A3125" s="3" t="str">
        <f t="shared" si="49"/>
        <v>RFL</v>
      </c>
      <c r="C3125" s="3" t="s">
        <v>850</v>
      </c>
      <c r="D3125" s="3" t="s">
        <v>722</v>
      </c>
      <c r="E3125" s="3" t="s">
        <v>1481</v>
      </c>
      <c r="F3125" s="3" t="s">
        <v>1</v>
      </c>
      <c r="N3125" s="3">
        <v>1.6550446709870299</v>
      </c>
    </row>
    <row r="3126" spans="1:16" x14ac:dyDescent="0.3">
      <c r="A3126" s="3" t="str">
        <f t="shared" si="49"/>
        <v>RFL</v>
      </c>
      <c r="C3126" s="3" t="s">
        <v>850</v>
      </c>
      <c r="D3126" s="3" t="s">
        <v>722</v>
      </c>
      <c r="E3126" s="3" t="s">
        <v>1481</v>
      </c>
      <c r="F3126" s="3" t="s">
        <v>4</v>
      </c>
      <c r="G3126" s="3">
        <v>0.14511206678428701</v>
      </c>
    </row>
    <row r="3127" spans="1:16" x14ac:dyDescent="0.3">
      <c r="A3127" s="3" t="str">
        <f t="shared" si="49"/>
        <v>RFL</v>
      </c>
      <c r="C3127" s="3" t="s">
        <v>850</v>
      </c>
      <c r="D3127" s="3" t="s">
        <v>722</v>
      </c>
      <c r="E3127" s="3" t="s">
        <v>1481</v>
      </c>
      <c r="F3127" s="3" t="s">
        <v>5</v>
      </c>
      <c r="G3127" s="3">
        <v>0.126486303273114</v>
      </c>
    </row>
    <row r="3128" spans="1:16" x14ac:dyDescent="0.3">
      <c r="A3128" s="3" t="str">
        <f t="shared" si="49"/>
        <v>RFL</v>
      </c>
      <c r="C3128" s="3" t="s">
        <v>850</v>
      </c>
      <c r="D3128" s="3" t="s">
        <v>722</v>
      </c>
      <c r="E3128" s="3" t="s">
        <v>1481</v>
      </c>
      <c r="F3128" s="3" t="s">
        <v>6</v>
      </c>
      <c r="G3128" s="3">
        <v>0.43941371606894503</v>
      </c>
    </row>
    <row r="3129" spans="1:16" x14ac:dyDescent="0.3">
      <c r="A3129" s="3" t="str">
        <f t="shared" si="49"/>
        <v>COA</v>
      </c>
      <c r="C3129" s="3" t="s">
        <v>850</v>
      </c>
      <c r="D3129" s="3" t="s">
        <v>1271</v>
      </c>
      <c r="E3129" s="3" t="s">
        <v>1339</v>
      </c>
      <c r="F3129" s="3" t="s">
        <v>0</v>
      </c>
      <c r="G3129" s="3">
        <v>0.27804669931570625</v>
      </c>
      <c r="I3129" s="3">
        <v>0.16386840835973512</v>
      </c>
      <c r="J3129" s="3">
        <v>0.16386840835973512</v>
      </c>
      <c r="K3129" s="3">
        <v>0.16386840835973512</v>
      </c>
      <c r="L3129" s="3">
        <v>0.16386840835973512</v>
      </c>
      <c r="M3129" s="3">
        <v>0.16386840835973512</v>
      </c>
      <c r="N3129" s="3">
        <v>0.16386840835973512</v>
      </c>
      <c r="O3129" s="3">
        <v>0.16386840835973512</v>
      </c>
      <c r="P3129" s="3">
        <v>0.16386840835973512</v>
      </c>
    </row>
    <row r="3130" spans="1:16" x14ac:dyDescent="0.3">
      <c r="A3130" s="3" t="str">
        <f t="shared" si="49"/>
        <v>COA</v>
      </c>
      <c r="C3130" s="3" t="s">
        <v>850</v>
      </c>
      <c r="D3130" s="3" t="s">
        <v>1271</v>
      </c>
      <c r="E3130" s="3" t="s">
        <v>1339</v>
      </c>
      <c r="F3130" s="3" t="s">
        <v>1</v>
      </c>
      <c r="G3130" s="3">
        <v>0.75030490416708717</v>
      </c>
      <c r="H3130" s="3">
        <v>0.72218527989242043</v>
      </c>
      <c r="I3130" s="3">
        <v>0.60970678279375612</v>
      </c>
      <c r="J3130" s="3">
        <v>0.60970678279375612</v>
      </c>
      <c r="K3130" s="3">
        <v>0.60970678279375612</v>
      </c>
      <c r="L3130" s="3">
        <v>0.60970678279375612</v>
      </c>
      <c r="M3130" s="3">
        <v>0.60970678279375612</v>
      </c>
      <c r="N3130" s="3">
        <v>0.60970678279375612</v>
      </c>
      <c r="O3130" s="3">
        <v>0.60970678279375612</v>
      </c>
      <c r="P3130" s="3">
        <v>0.60970678279375612</v>
      </c>
    </row>
    <row r="3131" spans="1:16" x14ac:dyDescent="0.3">
      <c r="A3131" s="3" t="str">
        <f t="shared" si="49"/>
        <v>COA</v>
      </c>
      <c r="C3131" s="3" t="s">
        <v>850</v>
      </c>
      <c r="D3131" s="3" t="s">
        <v>1271</v>
      </c>
      <c r="E3131" s="3" t="s">
        <v>1339</v>
      </c>
      <c r="F3131" s="3" t="s">
        <v>2</v>
      </c>
      <c r="G3131" s="3">
        <v>7.7608877002048393</v>
      </c>
      <c r="H3131" s="3">
        <v>6.4917883093181157</v>
      </c>
      <c r="I3131" s="3">
        <v>1.4153907457712169</v>
      </c>
      <c r="J3131" s="3">
        <v>1.4153907457712169</v>
      </c>
      <c r="K3131" s="3">
        <v>1.4153907457712169</v>
      </c>
      <c r="L3131" s="3">
        <v>1.4153907457712169</v>
      </c>
      <c r="M3131" s="3">
        <v>1.4153907457712169</v>
      </c>
      <c r="N3131" s="3">
        <v>1.4153907457712169</v>
      </c>
      <c r="O3131" s="3">
        <v>1.4153907457712169</v>
      </c>
      <c r="P3131" s="3">
        <v>1.4153907457712169</v>
      </c>
    </row>
    <row r="3132" spans="1:16" x14ac:dyDescent="0.3">
      <c r="A3132" s="3" t="str">
        <f t="shared" si="49"/>
        <v>COA</v>
      </c>
      <c r="C3132" s="3" t="s">
        <v>850</v>
      </c>
      <c r="D3132" s="3" t="s">
        <v>1271</v>
      </c>
      <c r="E3132" s="3" t="s">
        <v>1339</v>
      </c>
      <c r="F3132" s="3" t="s">
        <v>3</v>
      </c>
      <c r="G3132" s="3">
        <v>1.1147387147625298</v>
      </c>
      <c r="H3132" s="3">
        <v>0.95276165008939995</v>
      </c>
      <c r="I3132" s="3">
        <v>0.30485339139687695</v>
      </c>
      <c r="J3132" s="3">
        <v>0.30485339139687695</v>
      </c>
      <c r="K3132" s="3">
        <v>0.30485339139687695</v>
      </c>
      <c r="L3132" s="3">
        <v>0.30485339139687695</v>
      </c>
      <c r="M3132" s="3">
        <v>0.30485339139687695</v>
      </c>
      <c r="N3132" s="3">
        <v>0.30485339139687695</v>
      </c>
      <c r="O3132" s="3">
        <v>0.30485339139687695</v>
      </c>
      <c r="P3132" s="3">
        <v>0.30485339139687695</v>
      </c>
    </row>
    <row r="3133" spans="1:16" x14ac:dyDescent="0.3">
      <c r="A3133" s="3" t="str">
        <f t="shared" si="49"/>
        <v>COA</v>
      </c>
      <c r="C3133" s="3" t="s">
        <v>850</v>
      </c>
      <c r="D3133" s="3" t="s">
        <v>1271</v>
      </c>
      <c r="E3133" s="3" t="s">
        <v>1339</v>
      </c>
      <c r="F3133" s="3" t="s">
        <v>4</v>
      </c>
      <c r="G3133" s="3">
        <v>21.865824513010452</v>
      </c>
      <c r="H3133" s="3">
        <v>19.893382572131994</v>
      </c>
      <c r="I3133" s="3">
        <v>12.003614808618122</v>
      </c>
      <c r="J3133" s="3">
        <v>12.003614808618122</v>
      </c>
      <c r="K3133" s="3">
        <v>12.003614808618122</v>
      </c>
      <c r="L3133" s="3">
        <v>12.003614808618122</v>
      </c>
      <c r="M3133" s="3">
        <v>12.003614808618122</v>
      </c>
      <c r="N3133" s="3">
        <v>12.003614808618122</v>
      </c>
      <c r="O3133" s="3">
        <v>12.003614808618122</v>
      </c>
      <c r="P3133" s="3">
        <v>12.003614808618122</v>
      </c>
    </row>
    <row r="3134" spans="1:16" x14ac:dyDescent="0.3">
      <c r="A3134" s="3" t="str">
        <f t="shared" si="49"/>
        <v>COA</v>
      </c>
      <c r="C3134" s="3" t="s">
        <v>850</v>
      </c>
      <c r="D3134" s="3" t="s">
        <v>1271</v>
      </c>
      <c r="E3134" s="3" t="s">
        <v>1339</v>
      </c>
      <c r="F3134" s="3" t="s">
        <v>7</v>
      </c>
      <c r="G3134" s="3">
        <v>1.5247267516824023</v>
      </c>
      <c r="I3134" s="3">
        <v>1.2390112836058798</v>
      </c>
      <c r="J3134" s="3">
        <v>1.2390112836058798</v>
      </c>
      <c r="K3134" s="3">
        <v>1.2390112836058798</v>
      </c>
      <c r="L3134" s="3">
        <v>1.2390112836058798</v>
      </c>
      <c r="M3134" s="3">
        <v>1.2390112836058798</v>
      </c>
      <c r="N3134" s="3">
        <v>1.2390112836058798</v>
      </c>
      <c r="O3134" s="3">
        <v>1.2390112836058798</v>
      </c>
      <c r="P3134" s="3">
        <v>1.2390112836058798</v>
      </c>
    </row>
    <row r="3135" spans="1:16" x14ac:dyDescent="0.3">
      <c r="A3135" s="3" t="str">
        <f t="shared" si="49"/>
        <v>COA</v>
      </c>
      <c r="C3135" s="3" t="s">
        <v>850</v>
      </c>
      <c r="D3135" s="3" t="s">
        <v>1271</v>
      </c>
      <c r="E3135" s="3" t="s">
        <v>1339</v>
      </c>
      <c r="F3135" s="3" t="s">
        <v>8</v>
      </c>
      <c r="G3135" s="3">
        <v>1.8489656566974637</v>
      </c>
      <c r="H3135" s="3">
        <v>1.7796708683063203</v>
      </c>
      <c r="I3135" s="3">
        <v>1.502491714741754</v>
      </c>
      <c r="J3135" s="3">
        <v>1.502491714741754</v>
      </c>
      <c r="K3135" s="3">
        <v>1.502491714741754</v>
      </c>
      <c r="L3135" s="3">
        <v>1.502491714741754</v>
      </c>
      <c r="M3135" s="3">
        <v>1.502491714741754</v>
      </c>
      <c r="N3135" s="3">
        <v>1.502491714741754</v>
      </c>
      <c r="O3135" s="3">
        <v>1.502491714741754</v>
      </c>
      <c r="P3135" s="3">
        <v>1.502491714741754</v>
      </c>
    </row>
    <row r="3136" spans="1:16" x14ac:dyDescent="0.3">
      <c r="A3136" s="3" t="str">
        <f t="shared" si="49"/>
        <v>NGA</v>
      </c>
      <c r="C3136" s="3" t="s">
        <v>850</v>
      </c>
      <c r="D3136" s="3" t="s">
        <v>1271</v>
      </c>
      <c r="E3136" s="3" t="s">
        <v>1342</v>
      </c>
      <c r="F3136" s="3" t="s">
        <v>0</v>
      </c>
      <c r="I3136" s="3">
        <v>1.7377880032811888</v>
      </c>
      <c r="J3136" s="3">
        <v>1.7377880032811888</v>
      </c>
      <c r="K3136" s="3">
        <v>1.7377880032811888</v>
      </c>
      <c r="L3136" s="3">
        <v>1.7377880032811888</v>
      </c>
      <c r="M3136" s="3">
        <v>1.7377880032811888</v>
      </c>
      <c r="N3136" s="3">
        <v>1.7377880032811888</v>
      </c>
      <c r="O3136" s="3">
        <v>1.7377880032811888</v>
      </c>
      <c r="P3136" s="3">
        <v>1.7377880032811888</v>
      </c>
    </row>
    <row r="3137" spans="1:16" x14ac:dyDescent="0.3">
      <c r="A3137" s="3" t="str">
        <f t="shared" si="49"/>
        <v>NGA</v>
      </c>
      <c r="C3137" s="3" t="s">
        <v>850</v>
      </c>
      <c r="D3137" s="3" t="s">
        <v>1271</v>
      </c>
      <c r="E3137" s="3" t="s">
        <v>1342</v>
      </c>
      <c r="F3137" s="3" t="s">
        <v>1</v>
      </c>
      <c r="G3137" s="3">
        <v>0.39517330536502387</v>
      </c>
      <c r="H3137" s="3">
        <v>0.36604528181713841</v>
      </c>
      <c r="I3137" s="3">
        <v>0.2495331876255957</v>
      </c>
      <c r="J3137" s="3">
        <v>0.2495331876255957</v>
      </c>
      <c r="K3137" s="3">
        <v>0.2495331876255957</v>
      </c>
      <c r="L3137" s="3">
        <v>0.2495331876255957</v>
      </c>
      <c r="M3137" s="3">
        <v>0.2495331876255957</v>
      </c>
      <c r="N3137" s="3">
        <v>0.2495331876255957</v>
      </c>
      <c r="O3137" s="3">
        <v>0.2495331876255957</v>
      </c>
      <c r="P3137" s="3">
        <v>0.2495331876255957</v>
      </c>
    </row>
    <row r="3138" spans="1:16" x14ac:dyDescent="0.3">
      <c r="A3138" s="3" t="str">
        <f t="shared" si="49"/>
        <v>NGA</v>
      </c>
      <c r="C3138" s="3" t="s">
        <v>850</v>
      </c>
      <c r="D3138" s="3" t="s">
        <v>1271</v>
      </c>
      <c r="E3138" s="3" t="s">
        <v>1342</v>
      </c>
      <c r="F3138" s="3" t="s">
        <v>2</v>
      </c>
      <c r="G3138" s="3">
        <v>2.181209967826077</v>
      </c>
      <c r="H3138" s="3">
        <v>1.7449679742608621</v>
      </c>
    </row>
    <row r="3139" spans="1:16" x14ac:dyDescent="0.3">
      <c r="A3139" s="3" t="str">
        <f t="shared" si="49"/>
        <v>NGA</v>
      </c>
      <c r="C3139" s="3" t="s">
        <v>850</v>
      </c>
      <c r="D3139" s="3" t="s">
        <v>1271</v>
      </c>
      <c r="E3139" s="3" t="s">
        <v>1342</v>
      </c>
      <c r="F3139" s="3" t="s">
        <v>4</v>
      </c>
      <c r="G3139" s="3">
        <v>1.4290473938436643</v>
      </c>
      <c r="H3139" s="3">
        <v>1.4981941406841233</v>
      </c>
      <c r="I3139" s="3">
        <v>1.7747811280459522</v>
      </c>
      <c r="J3139" s="3">
        <v>1.7747811280459522</v>
      </c>
      <c r="K3139" s="3">
        <v>1.7747811280459522</v>
      </c>
      <c r="L3139" s="3">
        <v>1.7747811280459522</v>
      </c>
      <c r="M3139" s="3">
        <v>1.7747811280459522</v>
      </c>
      <c r="N3139" s="3">
        <v>1.7747811280459522</v>
      </c>
      <c r="O3139" s="3">
        <v>1.7747811280459522</v>
      </c>
      <c r="P3139" s="3">
        <v>1.7747811280459522</v>
      </c>
    </row>
    <row r="3140" spans="1:16" x14ac:dyDescent="0.3">
      <c r="A3140" s="3" t="str">
        <f t="shared" si="49"/>
        <v>NGA</v>
      </c>
      <c r="C3140" s="3" t="s">
        <v>850</v>
      </c>
      <c r="D3140" s="3" t="s">
        <v>1271</v>
      </c>
      <c r="E3140" s="3" t="s">
        <v>1342</v>
      </c>
      <c r="F3140" s="3" t="s">
        <v>6</v>
      </c>
      <c r="G3140" s="3">
        <v>1.1425385545755684</v>
      </c>
      <c r="H3140" s="3">
        <v>1.0997189559090081</v>
      </c>
      <c r="I3140" s="3">
        <v>0.92844056124277052</v>
      </c>
      <c r="J3140" s="3">
        <v>0.92844056124277052</v>
      </c>
      <c r="K3140" s="3">
        <v>0.92844056124277052</v>
      </c>
      <c r="L3140" s="3">
        <v>0.92844056124277052</v>
      </c>
      <c r="M3140" s="3">
        <v>0.92844056124277052</v>
      </c>
      <c r="N3140" s="3">
        <v>0.92844056124277052</v>
      </c>
      <c r="O3140" s="3">
        <v>0.92844056124277052</v>
      </c>
      <c r="P3140" s="3">
        <v>0.92844056124277052</v>
      </c>
    </row>
    <row r="3141" spans="1:16" x14ac:dyDescent="0.3">
      <c r="A3141" s="3" t="str">
        <f t="shared" si="49"/>
        <v>NGA</v>
      </c>
      <c r="C3141" s="3" t="s">
        <v>850</v>
      </c>
      <c r="D3141" s="3" t="s">
        <v>1271</v>
      </c>
      <c r="E3141" s="3" t="s">
        <v>1342</v>
      </c>
      <c r="F3141" s="3" t="s">
        <v>8</v>
      </c>
      <c r="G3141" s="3">
        <v>0.35130201557541768</v>
      </c>
      <c r="H3141" s="3">
        <v>0.31785572156674174</v>
      </c>
      <c r="I3141" s="3">
        <v>0.18407054553203778</v>
      </c>
      <c r="L3141" s="3">
        <v>0.18407054553203778</v>
      </c>
      <c r="M3141" s="3">
        <v>0.18407054553203778</v>
      </c>
      <c r="N3141" s="3">
        <v>0.18407054553203778</v>
      </c>
      <c r="O3141" s="3">
        <v>0.18407054553203778</v>
      </c>
      <c r="P3141" s="3">
        <v>0.18407054553203778</v>
      </c>
    </row>
    <row r="3142" spans="1:16" x14ac:dyDescent="0.3">
      <c r="A3142" s="3" t="str">
        <f t="shared" si="49"/>
        <v>RFL</v>
      </c>
      <c r="C3142" s="3" t="s">
        <v>850</v>
      </c>
      <c r="D3142" s="3" t="s">
        <v>1271</v>
      </c>
      <c r="E3142" s="3" t="s">
        <v>1344</v>
      </c>
      <c r="F3142" s="3" t="s">
        <v>0</v>
      </c>
      <c r="I3142" s="3">
        <v>3.151178186120087E-2</v>
      </c>
      <c r="J3142" s="3">
        <v>3.151178186120087E-2</v>
      </c>
      <c r="N3142" s="3">
        <v>3.151178186120087E-2</v>
      </c>
      <c r="O3142" s="3">
        <v>3.151178186120087E-2</v>
      </c>
    </row>
    <row r="3143" spans="1:16" x14ac:dyDescent="0.3">
      <c r="A3143" s="3" t="str">
        <f t="shared" si="49"/>
        <v>RFL</v>
      </c>
      <c r="C3143" s="3" t="s">
        <v>850</v>
      </c>
      <c r="D3143" s="3" t="s">
        <v>1271</v>
      </c>
      <c r="E3143" s="3" t="s">
        <v>1344</v>
      </c>
      <c r="F3143" s="3" t="s">
        <v>1</v>
      </c>
      <c r="I3143" s="3">
        <v>2.4661394500070224E-2</v>
      </c>
      <c r="N3143" s="3">
        <v>2.4661394500070224E-2</v>
      </c>
      <c r="O3143" s="3">
        <v>2.4661394500070224E-2</v>
      </c>
    </row>
    <row r="3144" spans="1:16" x14ac:dyDescent="0.3">
      <c r="A3144" s="3" t="str">
        <f t="shared" si="49"/>
        <v>DST</v>
      </c>
      <c r="C3144" s="3" t="s">
        <v>850</v>
      </c>
      <c r="D3144" s="3" t="s">
        <v>1271</v>
      </c>
      <c r="E3144" s="3" t="s">
        <v>1346</v>
      </c>
      <c r="F3144" s="3" t="s">
        <v>0</v>
      </c>
      <c r="G3144" s="3">
        <v>0.39761080858652625</v>
      </c>
      <c r="I3144" s="3">
        <v>0.39761080858652625</v>
      </c>
    </row>
    <row r="3145" spans="1:16" x14ac:dyDescent="0.3">
      <c r="A3145" s="3" t="str">
        <f t="shared" si="49"/>
        <v>LPG</v>
      </c>
      <c r="C3145" s="3" t="s">
        <v>850</v>
      </c>
      <c r="D3145" s="3" t="s">
        <v>1271</v>
      </c>
      <c r="E3145" s="3" t="s">
        <v>1348</v>
      </c>
      <c r="F3145" s="3" t="s">
        <v>0</v>
      </c>
      <c r="M3145" s="3">
        <v>8.4285954204496291E-2</v>
      </c>
      <c r="N3145" s="3">
        <v>8.4285954204496291E-2</v>
      </c>
      <c r="O3145" s="3">
        <v>8.4285954204496291E-2</v>
      </c>
      <c r="P3145" s="3">
        <v>8.4285954204496291E-2</v>
      </c>
    </row>
    <row r="3146" spans="1:16" x14ac:dyDescent="0.3">
      <c r="A3146" s="3" t="str">
        <f t="shared" si="49"/>
        <v>LPG</v>
      </c>
      <c r="C3146" s="3" t="s">
        <v>850</v>
      </c>
      <c r="D3146" s="3" t="s">
        <v>1271</v>
      </c>
      <c r="E3146" s="3" t="s">
        <v>1348</v>
      </c>
      <c r="F3146" s="3" t="s">
        <v>1</v>
      </c>
      <c r="M3146" s="3">
        <v>0.26502245835159616</v>
      </c>
      <c r="N3146" s="3">
        <v>0.26502245835159616</v>
      </c>
      <c r="O3146" s="3">
        <v>0.26502245835159616</v>
      </c>
      <c r="P3146" s="3">
        <v>0.26502245835159616</v>
      </c>
    </row>
    <row r="3147" spans="1:16" x14ac:dyDescent="0.3">
      <c r="A3147" s="3" t="str">
        <f t="shared" si="49"/>
        <v>LPG</v>
      </c>
      <c r="C3147" s="3" t="s">
        <v>850</v>
      </c>
      <c r="D3147" s="3" t="s">
        <v>1271</v>
      </c>
      <c r="E3147" s="3" t="s">
        <v>1348</v>
      </c>
      <c r="F3147" s="3" t="s">
        <v>2</v>
      </c>
      <c r="N3147" s="3">
        <v>0.26138315763777448</v>
      </c>
    </row>
    <row r="3148" spans="1:16" x14ac:dyDescent="0.3">
      <c r="A3148" s="3" t="str">
        <f t="shared" si="49"/>
        <v>LPG</v>
      </c>
      <c r="C3148" s="3" t="s">
        <v>850</v>
      </c>
      <c r="D3148" s="3" t="s">
        <v>1271</v>
      </c>
      <c r="E3148" s="3" t="s">
        <v>1348</v>
      </c>
      <c r="F3148" s="3" t="s">
        <v>3</v>
      </c>
      <c r="M3148" s="3">
        <v>5.3915266399943648E-4</v>
      </c>
      <c r="N3148" s="3">
        <v>5.3915266399943648E-4</v>
      </c>
    </row>
    <row r="3149" spans="1:16" x14ac:dyDescent="0.3">
      <c r="A3149" s="3" t="str">
        <f t="shared" si="49"/>
        <v>LPG</v>
      </c>
      <c r="C3149" s="3" t="s">
        <v>850</v>
      </c>
      <c r="D3149" s="3" t="s">
        <v>1271</v>
      </c>
      <c r="E3149" s="3" t="s">
        <v>1348</v>
      </c>
      <c r="F3149" s="3" t="s">
        <v>4</v>
      </c>
      <c r="M3149" s="3">
        <v>0.12400864262619057</v>
      </c>
      <c r="N3149" s="3">
        <v>0.12400864262619057</v>
      </c>
    </row>
    <row r="3150" spans="1:16" x14ac:dyDescent="0.3">
      <c r="A3150" s="3" t="str">
        <f t="shared" si="49"/>
        <v>LPG</v>
      </c>
      <c r="C3150" s="3" t="s">
        <v>850</v>
      </c>
      <c r="D3150" s="3" t="s">
        <v>1271</v>
      </c>
      <c r="E3150" s="3" t="s">
        <v>1348</v>
      </c>
      <c r="F3150" s="3" t="s">
        <v>6</v>
      </c>
      <c r="M3150" s="3">
        <v>6.982782358236761E-2</v>
      </c>
      <c r="N3150" s="3">
        <v>6.982782358236761E-2</v>
      </c>
    </row>
    <row r="3151" spans="1:16" x14ac:dyDescent="0.3">
      <c r="A3151" s="3" t="str">
        <f t="shared" si="49"/>
        <v>LPG</v>
      </c>
      <c r="C3151" s="3" t="s">
        <v>850</v>
      </c>
      <c r="D3151" s="3" t="s">
        <v>1271</v>
      </c>
      <c r="E3151" s="3" t="s">
        <v>1348</v>
      </c>
      <c r="F3151" s="3" t="s">
        <v>7</v>
      </c>
      <c r="M3151" s="3">
        <v>1.5830575516434037E-2</v>
      </c>
      <c r="N3151" s="3">
        <v>1.5830575516434037E-2</v>
      </c>
      <c r="O3151" s="3">
        <v>1.5830575516434037E-2</v>
      </c>
      <c r="P3151" s="3">
        <v>1.5830575516434037E-2</v>
      </c>
    </row>
    <row r="3152" spans="1:16" x14ac:dyDescent="0.3">
      <c r="A3152" s="3" t="str">
        <f t="shared" si="49"/>
        <v>LPG</v>
      </c>
      <c r="C3152" s="3" t="s">
        <v>850</v>
      </c>
      <c r="D3152" s="3" t="s">
        <v>1271</v>
      </c>
      <c r="E3152" s="3" t="s">
        <v>1348</v>
      </c>
      <c r="F3152" s="3" t="s">
        <v>8</v>
      </c>
      <c r="G3152" s="3">
        <v>8.3901448593013975E-2</v>
      </c>
      <c r="M3152" s="3">
        <v>8.0469208111424426E-2</v>
      </c>
      <c r="N3152" s="3">
        <v>8.0469208111424426E-2</v>
      </c>
      <c r="O3152" s="3">
        <v>8.0469208111424426E-2</v>
      </c>
      <c r="P3152" s="3">
        <v>8.0469208111424426E-2</v>
      </c>
    </row>
    <row r="3153" spans="1:16" x14ac:dyDescent="0.3">
      <c r="A3153" s="3" t="str">
        <f t="shared" si="49"/>
        <v>NGA</v>
      </c>
      <c r="C3153" s="3" t="s">
        <v>850</v>
      </c>
      <c r="D3153" s="3" t="s">
        <v>1271</v>
      </c>
      <c r="E3153" s="3" t="s">
        <v>1350</v>
      </c>
      <c r="F3153" s="3" t="s">
        <v>0</v>
      </c>
      <c r="G3153" s="3">
        <v>10.424798895964013</v>
      </c>
      <c r="H3153" s="3">
        <v>8.6547979351403352</v>
      </c>
      <c r="I3153" s="3">
        <v>5.9476305300887908</v>
      </c>
      <c r="J3153" s="3">
        <v>5.9476305300887908</v>
      </c>
      <c r="K3153" s="3">
        <v>5.9476305300887908</v>
      </c>
      <c r="L3153" s="3">
        <v>5.9476305300887908</v>
      </c>
      <c r="M3153" s="3">
        <v>5.9476305300887908</v>
      </c>
      <c r="N3153" s="3">
        <v>5.9476305300887908</v>
      </c>
      <c r="O3153" s="3">
        <v>5.9476305300887908</v>
      </c>
      <c r="P3153" s="3">
        <v>5.9476305300887908</v>
      </c>
    </row>
    <row r="3154" spans="1:16" x14ac:dyDescent="0.3">
      <c r="A3154" s="3" t="str">
        <f t="shared" si="49"/>
        <v>NGA</v>
      </c>
      <c r="C3154" s="3" t="s">
        <v>850</v>
      </c>
      <c r="D3154" s="3" t="s">
        <v>1271</v>
      </c>
      <c r="E3154" s="3" t="s">
        <v>1350</v>
      </c>
      <c r="F3154" s="3" t="s">
        <v>1</v>
      </c>
      <c r="G3154" s="3">
        <v>17.25358022647924</v>
      </c>
      <c r="H3154" s="3">
        <v>18.505292452543618</v>
      </c>
      <c r="I3154" s="3">
        <v>17.802651029516763</v>
      </c>
      <c r="J3154" s="3">
        <v>17.802651029516763</v>
      </c>
      <c r="K3154" s="3">
        <v>17.802651029516763</v>
      </c>
      <c r="L3154" s="3">
        <v>17.802651029516763</v>
      </c>
      <c r="M3154" s="3">
        <v>17.802651029516763</v>
      </c>
      <c r="N3154" s="3">
        <v>17.802651029516763</v>
      </c>
      <c r="O3154" s="3">
        <v>17.802651029516763</v>
      </c>
      <c r="P3154" s="3">
        <v>17.802651029516763</v>
      </c>
    </row>
    <row r="3155" spans="1:16" x14ac:dyDescent="0.3">
      <c r="A3155" s="3" t="str">
        <f t="shared" si="49"/>
        <v>NGA</v>
      </c>
      <c r="C3155" s="3" t="s">
        <v>850</v>
      </c>
      <c r="D3155" s="3" t="s">
        <v>1271</v>
      </c>
      <c r="E3155" s="3" t="s">
        <v>1350</v>
      </c>
      <c r="F3155" s="3" t="s">
        <v>2</v>
      </c>
      <c r="G3155" s="3">
        <v>4.2933518329736913</v>
      </c>
      <c r="H3155" s="3">
        <v>17.916515361685761</v>
      </c>
      <c r="I3155" s="3">
        <v>17.558184198280518</v>
      </c>
      <c r="J3155" s="3">
        <v>17.558184198280518</v>
      </c>
      <c r="K3155" s="3">
        <v>17.558184198280518</v>
      </c>
      <c r="L3155" s="3">
        <v>17.558184198280518</v>
      </c>
      <c r="M3155" s="3">
        <v>17.558184198280518</v>
      </c>
      <c r="N3155" s="3">
        <v>17.558184198280518</v>
      </c>
      <c r="O3155" s="3">
        <v>17.558184198280518</v>
      </c>
      <c r="P3155" s="3">
        <v>17.558184198280518</v>
      </c>
    </row>
    <row r="3156" spans="1:16" x14ac:dyDescent="0.3">
      <c r="A3156" s="3" t="str">
        <f t="shared" si="49"/>
        <v>NGA</v>
      </c>
      <c r="C3156" s="3" t="s">
        <v>850</v>
      </c>
      <c r="D3156" s="3" t="s">
        <v>1271</v>
      </c>
      <c r="E3156" s="3" t="s">
        <v>1350</v>
      </c>
      <c r="F3156" s="3" t="s">
        <v>3</v>
      </c>
      <c r="H3156" s="3">
        <v>3.6217106989787563E-2</v>
      </c>
      <c r="I3156" s="3">
        <v>3.6217106989787563E-2</v>
      </c>
      <c r="J3156" s="3">
        <v>3.6217106989787563E-2</v>
      </c>
      <c r="K3156" s="3">
        <v>3.6217106989787563E-2</v>
      </c>
      <c r="L3156" s="3">
        <v>3.6217106989787563E-2</v>
      </c>
      <c r="M3156" s="3">
        <v>3.6217106989787563E-2</v>
      </c>
      <c r="N3156" s="3">
        <v>3.6217106989787563E-2</v>
      </c>
      <c r="O3156" s="3">
        <v>3.6217106989787563E-2</v>
      </c>
      <c r="P3156" s="3">
        <v>3.6217106989787563E-2</v>
      </c>
    </row>
    <row r="3157" spans="1:16" x14ac:dyDescent="0.3">
      <c r="A3157" s="3" t="str">
        <f t="shared" si="49"/>
        <v>NGA</v>
      </c>
      <c r="C3157" s="3" t="s">
        <v>850</v>
      </c>
      <c r="D3157" s="3" t="s">
        <v>1271</v>
      </c>
      <c r="E3157" s="3" t="s">
        <v>1350</v>
      </c>
      <c r="F3157" s="3" t="s">
        <v>4</v>
      </c>
      <c r="H3157" s="3">
        <v>8.362472488733669</v>
      </c>
      <c r="I3157" s="3">
        <v>8.330171726009949</v>
      </c>
      <c r="J3157" s="3">
        <v>8.330171726009949</v>
      </c>
      <c r="K3157" s="3">
        <v>8.330171726009949</v>
      </c>
      <c r="L3157" s="3">
        <v>8.330171726009949</v>
      </c>
      <c r="M3157" s="3">
        <v>8.330171726009949</v>
      </c>
      <c r="N3157" s="3">
        <v>8.330171726009949</v>
      </c>
      <c r="O3157" s="3">
        <v>8.330171726009949</v>
      </c>
      <c r="P3157" s="3">
        <v>8.330171726009949</v>
      </c>
    </row>
    <row r="3158" spans="1:16" x14ac:dyDescent="0.3">
      <c r="A3158" s="3" t="str">
        <f t="shared" si="49"/>
        <v>NGA</v>
      </c>
      <c r="C3158" s="3" t="s">
        <v>850</v>
      </c>
      <c r="D3158" s="3" t="s">
        <v>1271</v>
      </c>
      <c r="E3158" s="3" t="s">
        <v>1350</v>
      </c>
      <c r="F3158" s="3" t="s">
        <v>6</v>
      </c>
      <c r="G3158" s="3">
        <v>14.983639414657842</v>
      </c>
      <c r="H3158" s="3">
        <v>13.031054257865511</v>
      </c>
      <c r="I3158" s="3">
        <v>4.6906227612542439</v>
      </c>
      <c r="J3158" s="3">
        <v>4.6906227612542439</v>
      </c>
      <c r="K3158" s="3">
        <v>4.6906227612542439</v>
      </c>
      <c r="L3158" s="3">
        <v>4.6906227612542439</v>
      </c>
      <c r="M3158" s="3">
        <v>4.6906227612542439</v>
      </c>
      <c r="N3158" s="3">
        <v>4.6906227612542439</v>
      </c>
      <c r="O3158" s="3">
        <v>4.6906227612542439</v>
      </c>
      <c r="P3158" s="3">
        <v>4.6906227612542439</v>
      </c>
    </row>
    <row r="3159" spans="1:16" x14ac:dyDescent="0.3">
      <c r="A3159" s="3" t="str">
        <f t="shared" si="49"/>
        <v>NGA</v>
      </c>
      <c r="C3159" s="3" t="s">
        <v>850</v>
      </c>
      <c r="D3159" s="3" t="s">
        <v>1271</v>
      </c>
      <c r="E3159" s="3" t="s">
        <v>1350</v>
      </c>
      <c r="F3159" s="3" t="s">
        <v>7</v>
      </c>
      <c r="G3159" s="3">
        <v>0.80058185851119656</v>
      </c>
      <c r="H3159" s="3">
        <v>3.7428467914003116</v>
      </c>
      <c r="I3159" s="3">
        <v>1.8390651450027833</v>
      </c>
      <c r="J3159" s="3">
        <v>1.8390651450027833</v>
      </c>
      <c r="K3159" s="3">
        <v>1.8390651450027833</v>
      </c>
      <c r="L3159" s="3">
        <v>1.8390651450027833</v>
      </c>
      <c r="M3159" s="3">
        <v>1.8390651450027833</v>
      </c>
      <c r="N3159" s="3">
        <v>1.8390651450027833</v>
      </c>
      <c r="O3159" s="3">
        <v>1.8390651450027833</v>
      </c>
      <c r="P3159" s="3">
        <v>1.8390651450027833</v>
      </c>
    </row>
    <row r="3160" spans="1:16" x14ac:dyDescent="0.3">
      <c r="A3160" s="3" t="str">
        <f t="shared" si="49"/>
        <v>NGA</v>
      </c>
      <c r="C3160" s="3" t="s">
        <v>850</v>
      </c>
      <c r="D3160" s="3" t="s">
        <v>1271</v>
      </c>
      <c r="E3160" s="3" t="s">
        <v>1350</v>
      </c>
      <c r="F3160" s="3" t="s">
        <v>8</v>
      </c>
      <c r="G3160" s="3">
        <v>5.6068146586834544</v>
      </c>
      <c r="H3160" s="3">
        <v>5.6126529607310802</v>
      </c>
      <c r="I3160" s="3">
        <v>5.6360061689215959</v>
      </c>
      <c r="J3160" s="3">
        <v>2.9440299623225226</v>
      </c>
      <c r="K3160" s="3">
        <v>2.9476340017894906</v>
      </c>
      <c r="L3160" s="3">
        <v>5.6360061689215959</v>
      </c>
      <c r="M3160" s="3">
        <v>5.6360061689215959</v>
      </c>
      <c r="N3160" s="3">
        <v>5.6360061689215959</v>
      </c>
      <c r="O3160" s="3">
        <v>5.6360061689215959</v>
      </c>
      <c r="P3160" s="3">
        <v>5.6360061689215959</v>
      </c>
    </row>
    <row r="3161" spans="1:16" x14ac:dyDescent="0.3">
      <c r="A3161" s="3" t="str">
        <f t="shared" si="49"/>
        <v>RFL</v>
      </c>
      <c r="C3161" s="3" t="s">
        <v>850</v>
      </c>
      <c r="D3161" s="3" t="s">
        <v>1271</v>
      </c>
      <c r="E3161" s="3" t="s">
        <v>1352</v>
      </c>
      <c r="F3161" s="3" t="s">
        <v>0</v>
      </c>
      <c r="G3161" s="3">
        <v>0.10736218964254454</v>
      </c>
      <c r="I3161" s="3">
        <v>0.10736218964254454</v>
      </c>
      <c r="J3161" s="3">
        <v>0.10736218964254454</v>
      </c>
      <c r="K3161" s="3">
        <v>0.10736218964254454</v>
      </c>
      <c r="L3161" s="3">
        <v>0.10736218964254454</v>
      </c>
      <c r="M3161" s="3">
        <v>0.10736218964254454</v>
      </c>
      <c r="N3161" s="3">
        <v>0.10736218964254454</v>
      </c>
      <c r="O3161" s="3">
        <v>0.10736218964254454</v>
      </c>
      <c r="P3161" s="3">
        <v>0.10736218964254454</v>
      </c>
    </row>
    <row r="3162" spans="1:16" x14ac:dyDescent="0.3">
      <c r="A3162" s="3" t="str">
        <f t="shared" si="49"/>
        <v>COA</v>
      </c>
      <c r="C3162" s="3" t="s">
        <v>850</v>
      </c>
      <c r="D3162" s="3" t="s">
        <v>1271</v>
      </c>
      <c r="E3162" s="3" t="s">
        <v>1354</v>
      </c>
      <c r="F3162" s="3" t="s">
        <v>4</v>
      </c>
      <c r="G3162" s="3">
        <v>0.189963448424046</v>
      </c>
      <c r="P3162" s="3">
        <v>0.189963448424046</v>
      </c>
    </row>
    <row r="3163" spans="1:16" x14ac:dyDescent="0.3">
      <c r="A3163" s="3" t="str">
        <f t="shared" si="49"/>
        <v>COA</v>
      </c>
      <c r="C3163" s="3" t="s">
        <v>850</v>
      </c>
      <c r="D3163" s="3" t="s">
        <v>1271</v>
      </c>
      <c r="E3163" s="3" t="s">
        <v>1356</v>
      </c>
      <c r="F3163" s="3" t="s">
        <v>2</v>
      </c>
      <c r="G3163" s="3">
        <v>0.39581004198183301</v>
      </c>
      <c r="J3163" s="3">
        <v>0.39581004198183301</v>
      </c>
      <c r="K3163" s="3">
        <v>0.39581004198183301</v>
      </c>
      <c r="L3163" s="3">
        <v>0.39581004198183301</v>
      </c>
      <c r="M3163" s="3">
        <v>0.39581004198183301</v>
      </c>
      <c r="N3163" s="3">
        <v>0.39581004198183301</v>
      </c>
      <c r="O3163" s="3">
        <v>0.39581004198183301</v>
      </c>
      <c r="P3163" s="3">
        <v>0.39581004198183301</v>
      </c>
    </row>
    <row r="3164" spans="1:16" x14ac:dyDescent="0.3">
      <c r="A3164" s="3" t="str">
        <f t="shared" si="49"/>
        <v>LPG</v>
      </c>
      <c r="C3164" s="3" t="s">
        <v>850</v>
      </c>
      <c r="D3164" s="3" t="s">
        <v>1271</v>
      </c>
      <c r="E3164" s="3" t="s">
        <v>1358</v>
      </c>
      <c r="F3164" s="3" t="s">
        <v>1</v>
      </c>
      <c r="K3164" s="3">
        <v>8.5024925137858564E-5</v>
      </c>
      <c r="M3164" s="3">
        <v>8.5024925137858564E-5</v>
      </c>
      <c r="N3164" s="3">
        <v>8.5024925137858564E-5</v>
      </c>
      <c r="O3164" s="3">
        <v>8.5024925137858564E-5</v>
      </c>
      <c r="P3164" s="3">
        <v>8.5024925137858564E-5</v>
      </c>
    </row>
    <row r="3165" spans="1:16" x14ac:dyDescent="0.3">
      <c r="A3165" s="3" t="str">
        <f t="shared" si="49"/>
        <v>LPG</v>
      </c>
      <c r="C3165" s="3" t="s">
        <v>850</v>
      </c>
      <c r="D3165" s="3" t="s">
        <v>1271</v>
      </c>
      <c r="E3165" s="3" t="s">
        <v>1358</v>
      </c>
      <c r="F3165" s="3" t="s">
        <v>8</v>
      </c>
      <c r="G3165" s="3">
        <v>1.3826895913400487E-4</v>
      </c>
      <c r="I3165" s="3">
        <v>1.3826895913400487E-4</v>
      </c>
      <c r="J3165" s="3">
        <v>1.3826895913400487E-4</v>
      </c>
      <c r="K3165" s="3">
        <v>1.3826895913400487E-4</v>
      </c>
      <c r="L3165" s="3">
        <v>1.3826895913400487E-4</v>
      </c>
      <c r="M3165" s="3">
        <v>1.3826895913400487E-4</v>
      </c>
      <c r="N3165" s="3">
        <v>1.3826895913400487E-4</v>
      </c>
      <c r="O3165" s="3">
        <v>1.3826895913400487E-4</v>
      </c>
      <c r="P3165" s="3">
        <v>1.3826895913400487E-4</v>
      </c>
    </row>
    <row r="3166" spans="1:16" x14ac:dyDescent="0.3">
      <c r="A3166" s="3" t="str">
        <f t="shared" si="49"/>
        <v>NGA</v>
      </c>
      <c r="C3166" s="3" t="s">
        <v>850</v>
      </c>
      <c r="D3166" s="3" t="s">
        <v>1271</v>
      </c>
      <c r="E3166" s="3" t="s">
        <v>1360</v>
      </c>
      <c r="F3166" s="3" t="s">
        <v>1</v>
      </c>
      <c r="H3166" s="3">
        <v>1.1422949439491995E-3</v>
      </c>
      <c r="I3166" s="3">
        <v>5.7114747197459957E-3</v>
      </c>
      <c r="J3166" s="3">
        <v>5.7114747197459957E-3</v>
      </c>
      <c r="K3166" s="3">
        <v>5.7114747197459957E-3</v>
      </c>
      <c r="L3166" s="3">
        <v>5.7114747197459957E-3</v>
      </c>
      <c r="M3166" s="3">
        <v>5.7114747197459957E-3</v>
      </c>
      <c r="N3166" s="3">
        <v>5.7114747197459957E-3</v>
      </c>
      <c r="O3166" s="3">
        <v>5.7114747197459957E-3</v>
      </c>
      <c r="P3166" s="3">
        <v>5.7114747197459957E-3</v>
      </c>
    </row>
    <row r="3167" spans="1:16" x14ac:dyDescent="0.3">
      <c r="A3167" s="3" t="str">
        <f t="shared" ref="A3167:A3230" si="50">RIGHT(E3167,3)</f>
        <v>NGA</v>
      </c>
      <c r="C3167" s="3" t="s">
        <v>850</v>
      </c>
      <c r="D3167" s="3" t="s">
        <v>1271</v>
      </c>
      <c r="E3167" s="3" t="s">
        <v>1360</v>
      </c>
      <c r="F3167" s="3" t="s">
        <v>6</v>
      </c>
      <c r="G3167" s="3">
        <v>2.1897183490345181E-3</v>
      </c>
      <c r="H3167" s="3">
        <v>1.7517746792276162E-3</v>
      </c>
    </row>
    <row r="3168" spans="1:16" x14ac:dyDescent="0.3">
      <c r="A3168" s="3" t="str">
        <f t="shared" si="50"/>
        <v>NGA</v>
      </c>
      <c r="C3168" s="3" t="s">
        <v>850</v>
      </c>
      <c r="D3168" s="3" t="s">
        <v>1271</v>
      </c>
      <c r="E3168" s="3" t="s">
        <v>1360</v>
      </c>
      <c r="F3168" s="3" t="s">
        <v>8</v>
      </c>
      <c r="G3168" s="3">
        <v>7.1393433996825321E-3</v>
      </c>
      <c r="H3168" s="3">
        <v>7.5690939139741219E-3</v>
      </c>
      <c r="I3168" s="3">
        <v>9.2880959711404663E-3</v>
      </c>
      <c r="J3168" s="3">
        <v>9.2880959711404663E-3</v>
      </c>
      <c r="K3168" s="3">
        <v>9.2880959711404663E-3</v>
      </c>
      <c r="L3168" s="3">
        <v>9.2880959711404663E-3</v>
      </c>
      <c r="M3168" s="3">
        <v>9.2880959711404663E-3</v>
      </c>
      <c r="N3168" s="3">
        <v>9.2880959711404663E-3</v>
      </c>
      <c r="O3168" s="3">
        <v>9.2880959711404663E-3</v>
      </c>
      <c r="P3168" s="3">
        <v>9.2880959711404663E-3</v>
      </c>
    </row>
    <row r="3169" spans="1:16" x14ac:dyDescent="0.3">
      <c r="A3169" s="3" t="str">
        <f t="shared" si="50"/>
        <v>LPG</v>
      </c>
      <c r="C3169" s="3" t="s">
        <v>850</v>
      </c>
      <c r="D3169" s="3" t="s">
        <v>1271</v>
      </c>
      <c r="E3169" s="3" t="s">
        <v>1362</v>
      </c>
      <c r="F3169" s="3" t="s">
        <v>0</v>
      </c>
      <c r="M3169" s="3">
        <v>1.0375067377960388E-4</v>
      </c>
      <c r="N3169" s="3">
        <v>1.0375067377960388E-4</v>
      </c>
      <c r="O3169" s="3">
        <v>1.0375067377960388E-4</v>
      </c>
      <c r="P3169" s="3">
        <v>1.0375067377960388E-4</v>
      </c>
    </row>
    <row r="3170" spans="1:16" x14ac:dyDescent="0.3">
      <c r="A3170" s="3" t="str">
        <f t="shared" si="50"/>
        <v>LPG</v>
      </c>
      <c r="C3170" s="3" t="s">
        <v>850</v>
      </c>
      <c r="D3170" s="3" t="s">
        <v>1271</v>
      </c>
      <c r="E3170" s="3" t="s">
        <v>1362</v>
      </c>
      <c r="F3170" s="3" t="s">
        <v>1</v>
      </c>
      <c r="M3170" s="3">
        <v>1.7464696752899996E-4</v>
      </c>
      <c r="N3170" s="3">
        <v>1.7464696752899996E-4</v>
      </c>
      <c r="O3170" s="3">
        <v>1.7464696752899996E-4</v>
      </c>
      <c r="P3170" s="3">
        <v>1.7464696752899996E-4</v>
      </c>
    </row>
    <row r="3171" spans="1:16" x14ac:dyDescent="0.3">
      <c r="A3171" s="3" t="str">
        <f t="shared" si="50"/>
        <v>LPG</v>
      </c>
      <c r="C3171" s="3" t="s">
        <v>850</v>
      </c>
      <c r="D3171" s="3" t="s">
        <v>1271</v>
      </c>
      <c r="E3171" s="3" t="s">
        <v>1362</v>
      </c>
      <c r="F3171" s="3" t="s">
        <v>2</v>
      </c>
      <c r="N3171" s="3">
        <v>1.1422019502383253E-4</v>
      </c>
    </row>
    <row r="3172" spans="1:16" x14ac:dyDescent="0.3">
      <c r="A3172" s="3" t="str">
        <f t="shared" si="50"/>
        <v>LPG</v>
      </c>
      <c r="C3172" s="3" t="s">
        <v>850</v>
      </c>
      <c r="D3172" s="3" t="s">
        <v>1271</v>
      </c>
      <c r="E3172" s="3" t="s">
        <v>1362</v>
      </c>
      <c r="F3172" s="3" t="s">
        <v>3</v>
      </c>
      <c r="M3172" s="3">
        <v>3.6713634114803261E-5</v>
      </c>
      <c r="N3172" s="3">
        <v>3.6713634114803261E-5</v>
      </c>
    </row>
    <row r="3173" spans="1:16" x14ac:dyDescent="0.3">
      <c r="A3173" s="3" t="str">
        <f t="shared" si="50"/>
        <v>LPG</v>
      </c>
      <c r="C3173" s="3" t="s">
        <v>850</v>
      </c>
      <c r="D3173" s="3" t="s">
        <v>1271</v>
      </c>
      <c r="E3173" s="3" t="s">
        <v>1362</v>
      </c>
      <c r="F3173" s="3" t="s">
        <v>8</v>
      </c>
      <c r="G3173" s="3">
        <v>4.8161730136352354E-4</v>
      </c>
      <c r="M3173" s="3">
        <v>4.8161730136352354E-4</v>
      </c>
      <c r="N3173" s="3">
        <v>4.8161730136352354E-4</v>
      </c>
      <c r="O3173" s="3">
        <v>4.8161730136352354E-4</v>
      </c>
      <c r="P3173" s="3">
        <v>4.8161730136352354E-4</v>
      </c>
    </row>
    <row r="3174" spans="1:16" x14ac:dyDescent="0.3">
      <c r="A3174" s="3" t="str">
        <f t="shared" si="50"/>
        <v>NGA</v>
      </c>
      <c r="C3174" s="3" t="s">
        <v>850</v>
      </c>
      <c r="D3174" s="3" t="s">
        <v>1271</v>
      </c>
      <c r="E3174" s="3" t="s">
        <v>1364</v>
      </c>
      <c r="F3174" s="3" t="s">
        <v>0</v>
      </c>
      <c r="I3174" s="3">
        <v>6.969360449162831E-3</v>
      </c>
      <c r="J3174" s="3">
        <v>6.969360449162831E-3</v>
      </c>
      <c r="K3174" s="3">
        <v>6.969360449162831E-3</v>
      </c>
      <c r="L3174" s="3">
        <v>6.969360449162831E-3</v>
      </c>
      <c r="M3174" s="3">
        <v>6.969360449162831E-3</v>
      </c>
      <c r="N3174" s="3">
        <v>6.969360449162831E-3</v>
      </c>
      <c r="O3174" s="3">
        <v>6.969360449162831E-3</v>
      </c>
      <c r="P3174" s="3">
        <v>6.969360449162831E-3</v>
      </c>
    </row>
    <row r="3175" spans="1:16" x14ac:dyDescent="0.3">
      <c r="A3175" s="3" t="str">
        <f t="shared" si="50"/>
        <v>NGA</v>
      </c>
      <c r="C3175" s="3" t="s">
        <v>850</v>
      </c>
      <c r="D3175" s="3" t="s">
        <v>1271</v>
      </c>
      <c r="E3175" s="3" t="s">
        <v>1364</v>
      </c>
      <c r="F3175" s="3" t="s">
        <v>1</v>
      </c>
      <c r="G3175" s="3">
        <v>4.1816162694976993E-3</v>
      </c>
      <c r="H3175" s="3">
        <v>5.69164436681631E-3</v>
      </c>
      <c r="I3175" s="3">
        <v>1.1731756756090766E-2</v>
      </c>
      <c r="J3175" s="3">
        <v>1.1731756756090766E-2</v>
      </c>
      <c r="K3175" s="3">
        <v>1.1731756756090766E-2</v>
      </c>
      <c r="L3175" s="3">
        <v>1.1731756756090766E-2</v>
      </c>
      <c r="M3175" s="3">
        <v>1.1731756756090766E-2</v>
      </c>
      <c r="N3175" s="3">
        <v>1.1731756756090766E-2</v>
      </c>
      <c r="O3175" s="3">
        <v>1.1731756756090766E-2</v>
      </c>
      <c r="P3175" s="3">
        <v>1.1731756756090766E-2</v>
      </c>
    </row>
    <row r="3176" spans="1:16" x14ac:dyDescent="0.3">
      <c r="A3176" s="3" t="str">
        <f t="shared" si="50"/>
        <v>NGA</v>
      </c>
      <c r="C3176" s="3" t="s">
        <v>850</v>
      </c>
      <c r="D3176" s="3" t="s">
        <v>1271</v>
      </c>
      <c r="E3176" s="3" t="s">
        <v>1364</v>
      </c>
      <c r="F3176" s="3" t="s">
        <v>2</v>
      </c>
      <c r="G3176" s="3">
        <v>7.2890092821613333E-3</v>
      </c>
      <c r="H3176" s="3">
        <v>7.3657356956577701E-3</v>
      </c>
      <c r="I3176" s="3">
        <v>7.6726413496435129E-3</v>
      </c>
      <c r="J3176" s="3">
        <v>7.6726413496435129E-3</v>
      </c>
      <c r="K3176" s="3">
        <v>7.6726413496435129E-3</v>
      </c>
      <c r="L3176" s="3">
        <v>7.6726413496435129E-3</v>
      </c>
      <c r="M3176" s="3">
        <v>7.6726413496435129E-3</v>
      </c>
      <c r="N3176" s="3">
        <v>7.6726413496435129E-3</v>
      </c>
      <c r="O3176" s="3">
        <v>7.6726413496435129E-3</v>
      </c>
      <c r="P3176" s="3">
        <v>7.6726413496435129E-3</v>
      </c>
    </row>
    <row r="3177" spans="1:16" x14ac:dyDescent="0.3">
      <c r="A3177" s="3" t="str">
        <f t="shared" si="50"/>
        <v>NGA</v>
      </c>
      <c r="C3177" s="3" t="s">
        <v>850</v>
      </c>
      <c r="D3177" s="3" t="s">
        <v>1271</v>
      </c>
      <c r="E3177" s="3" t="s">
        <v>1364</v>
      </c>
      <c r="F3177" s="3" t="s">
        <v>3</v>
      </c>
      <c r="G3177" s="3">
        <v>2.4662061480997042E-3</v>
      </c>
      <c r="H3177" s="3">
        <v>2.4662061480997042E-3</v>
      </c>
      <c r="I3177" s="3">
        <v>2.4662061480997042E-3</v>
      </c>
      <c r="J3177" s="3">
        <v>2.4662061480997042E-3</v>
      </c>
      <c r="K3177" s="3">
        <v>2.4662061480997042E-3</v>
      </c>
      <c r="L3177" s="3">
        <v>2.4662061480997042E-3</v>
      </c>
      <c r="M3177" s="3">
        <v>2.4662061480997042E-3</v>
      </c>
      <c r="N3177" s="3">
        <v>2.4662061480997042E-3</v>
      </c>
      <c r="O3177" s="3">
        <v>2.4662061480997042E-3</v>
      </c>
      <c r="P3177" s="3">
        <v>2.4662061480997042E-3</v>
      </c>
    </row>
    <row r="3178" spans="1:16" x14ac:dyDescent="0.3">
      <c r="A3178" s="3" t="str">
        <f t="shared" si="50"/>
        <v>NGA</v>
      </c>
      <c r="C3178" s="3" t="s">
        <v>850</v>
      </c>
      <c r="D3178" s="3" t="s">
        <v>1271</v>
      </c>
      <c r="E3178" s="3" t="s">
        <v>1364</v>
      </c>
      <c r="F3178" s="3" t="s">
        <v>8</v>
      </c>
      <c r="G3178" s="3">
        <v>2.1796803721765852E-2</v>
      </c>
      <c r="H3178" s="3">
        <v>2.3907886878116E-2</v>
      </c>
      <c r="I3178" s="3">
        <v>3.2352219503516577E-2</v>
      </c>
      <c r="J3178" s="3">
        <v>3.2352219503516577E-2</v>
      </c>
      <c r="K3178" s="3">
        <v>3.2352219503516577E-2</v>
      </c>
      <c r="L3178" s="3">
        <v>3.2352219503516577E-2</v>
      </c>
      <c r="M3178" s="3">
        <v>3.2352219503516577E-2</v>
      </c>
      <c r="N3178" s="3">
        <v>3.2352219503516577E-2</v>
      </c>
      <c r="O3178" s="3">
        <v>3.2352219503516577E-2</v>
      </c>
      <c r="P3178" s="3">
        <v>3.2352219503516577E-2</v>
      </c>
    </row>
    <row r="3179" spans="1:16" x14ac:dyDescent="0.3">
      <c r="A3179" s="3" t="str">
        <f t="shared" si="50"/>
        <v>COA</v>
      </c>
      <c r="C3179" s="3" t="s">
        <v>850</v>
      </c>
      <c r="D3179" s="3" t="s">
        <v>1271</v>
      </c>
      <c r="E3179" s="3" t="s">
        <v>1366</v>
      </c>
      <c r="F3179" s="3" t="s">
        <v>1</v>
      </c>
      <c r="G3179" s="3">
        <v>5.8100791256764225E-4</v>
      </c>
      <c r="H3179" s="3">
        <v>5.8100791256764225E-4</v>
      </c>
      <c r="I3179" s="3">
        <v>5.8100791256764225E-4</v>
      </c>
      <c r="J3179" s="3">
        <v>5.8100791256764225E-4</v>
      </c>
      <c r="K3179" s="3">
        <v>5.8100791256764225E-4</v>
      </c>
      <c r="L3179" s="3">
        <v>5.8100791256764225E-4</v>
      </c>
      <c r="M3179" s="3">
        <v>5.8100791256764225E-4</v>
      </c>
      <c r="N3179" s="3">
        <v>9.6834652094607046E-5</v>
      </c>
    </row>
    <row r="3180" spans="1:16" x14ac:dyDescent="0.3">
      <c r="A3180" s="3" t="str">
        <f t="shared" si="50"/>
        <v>COA</v>
      </c>
      <c r="C3180" s="3" t="s">
        <v>850</v>
      </c>
      <c r="D3180" s="3" t="s">
        <v>1271</v>
      </c>
      <c r="E3180" s="3" t="s">
        <v>1366</v>
      </c>
      <c r="F3180" s="3" t="s">
        <v>3</v>
      </c>
      <c r="G3180" s="3">
        <v>2.3647646781193955E-2</v>
      </c>
      <c r="H3180" s="3">
        <v>2.3647646781193955E-2</v>
      </c>
      <c r="J3180" s="3">
        <v>2.3647646781193955E-2</v>
      </c>
      <c r="K3180" s="3">
        <v>2.3647646781193955E-2</v>
      </c>
      <c r="L3180" s="3">
        <v>2.3647646781193955E-2</v>
      </c>
      <c r="M3180" s="3">
        <v>2.3647646781193955E-2</v>
      </c>
      <c r="N3180" s="3">
        <v>3.9412744635323304E-3</v>
      </c>
    </row>
    <row r="3181" spans="1:16" x14ac:dyDescent="0.3">
      <c r="A3181" s="3" t="str">
        <f t="shared" si="50"/>
        <v>COA</v>
      </c>
      <c r="C3181" s="3" t="s">
        <v>850</v>
      </c>
      <c r="D3181" s="3" t="s">
        <v>1271</v>
      </c>
      <c r="E3181" s="3" t="s">
        <v>1366</v>
      </c>
      <c r="F3181" s="3" t="s">
        <v>7</v>
      </c>
      <c r="H3181" s="3">
        <v>5.3623490138411439E-4</v>
      </c>
      <c r="J3181" s="3">
        <v>2.6811745069205703E-3</v>
      </c>
      <c r="K3181" s="3">
        <v>2.6811745069205703E-3</v>
      </c>
      <c r="L3181" s="3">
        <v>2.6811745069205703E-3</v>
      </c>
      <c r="M3181" s="3">
        <v>2.6811745069205703E-3</v>
      </c>
      <c r="N3181" s="3">
        <v>4.4686241782009527E-4</v>
      </c>
    </row>
    <row r="3182" spans="1:16" x14ac:dyDescent="0.3">
      <c r="A3182" s="3" t="str">
        <f t="shared" si="50"/>
        <v>LPG</v>
      </c>
      <c r="C3182" s="3" t="s">
        <v>850</v>
      </c>
      <c r="D3182" s="3" t="s">
        <v>1271</v>
      </c>
      <c r="E3182" s="3" t="s">
        <v>1368</v>
      </c>
      <c r="F3182" s="3" t="s">
        <v>0</v>
      </c>
      <c r="M3182" s="3">
        <v>3.3761927722054008E-3</v>
      </c>
      <c r="N3182" s="3">
        <v>5.6269879536756688E-4</v>
      </c>
    </row>
    <row r="3183" spans="1:16" x14ac:dyDescent="0.3">
      <c r="A3183" s="3" t="str">
        <f t="shared" si="50"/>
        <v>LPG</v>
      </c>
      <c r="C3183" s="3" t="s">
        <v>850</v>
      </c>
      <c r="D3183" s="3" t="s">
        <v>1271</v>
      </c>
      <c r="E3183" s="3" t="s">
        <v>1368</v>
      </c>
      <c r="F3183" s="3" t="s">
        <v>1</v>
      </c>
      <c r="M3183" s="3">
        <v>6.901887644298472E-3</v>
      </c>
      <c r="N3183" s="3">
        <v>1.1503146073830791E-3</v>
      </c>
    </row>
    <row r="3184" spans="1:16" x14ac:dyDescent="0.3">
      <c r="A3184" s="3" t="str">
        <f t="shared" si="50"/>
        <v>LPG</v>
      </c>
      <c r="C3184" s="3" t="s">
        <v>850</v>
      </c>
      <c r="D3184" s="3" t="s">
        <v>1271</v>
      </c>
      <c r="E3184" s="3" t="s">
        <v>1368</v>
      </c>
      <c r="F3184" s="3" t="s">
        <v>7</v>
      </c>
      <c r="N3184" s="3">
        <v>4.5578289571853281E-5</v>
      </c>
    </row>
    <row r="3185" spans="1:16" x14ac:dyDescent="0.3">
      <c r="A3185" s="3" t="str">
        <f t="shared" si="50"/>
        <v>LPG</v>
      </c>
      <c r="C3185" s="3" t="s">
        <v>850</v>
      </c>
      <c r="D3185" s="3" t="s">
        <v>1271</v>
      </c>
      <c r="E3185" s="3" t="s">
        <v>1368</v>
      </c>
      <c r="F3185" s="3" t="s">
        <v>8</v>
      </c>
      <c r="M3185" s="3">
        <v>6.5110344293840723E-3</v>
      </c>
      <c r="N3185" s="3">
        <v>1.0851724048973432E-3</v>
      </c>
    </row>
    <row r="3186" spans="1:16" x14ac:dyDescent="0.3">
      <c r="A3186" s="3" t="str">
        <f t="shared" si="50"/>
        <v>NGA</v>
      </c>
      <c r="C3186" s="3" t="s">
        <v>850</v>
      </c>
      <c r="D3186" s="3" t="s">
        <v>1271</v>
      </c>
      <c r="E3186" s="3" t="s">
        <v>1370</v>
      </c>
      <c r="F3186" s="3" t="s">
        <v>0</v>
      </c>
      <c r="G3186" s="3">
        <v>0.15829625097809827</v>
      </c>
      <c r="I3186" s="3">
        <v>0.2267927861879919</v>
      </c>
      <c r="J3186" s="3">
        <v>0.2267927861879919</v>
      </c>
      <c r="K3186" s="3">
        <v>0.2267927861879919</v>
      </c>
      <c r="L3186" s="3">
        <v>0.2267927861879919</v>
      </c>
      <c r="M3186" s="3">
        <v>0.2267927861879919</v>
      </c>
      <c r="N3186" s="3">
        <v>3.7798797697998703E-2</v>
      </c>
    </row>
    <row r="3187" spans="1:16" x14ac:dyDescent="0.3">
      <c r="A3187" s="3" t="str">
        <f t="shared" si="50"/>
        <v>NGA</v>
      </c>
      <c r="C3187" s="3" t="s">
        <v>850</v>
      </c>
      <c r="D3187" s="3" t="s">
        <v>1271</v>
      </c>
      <c r="E3187" s="3" t="s">
        <v>1370</v>
      </c>
      <c r="F3187" s="3" t="s">
        <v>1</v>
      </c>
      <c r="J3187" s="3">
        <v>0.48493754863942834</v>
      </c>
      <c r="K3187" s="3">
        <v>0.48493754863942834</v>
      </c>
      <c r="L3187" s="3">
        <v>0.48493754863942834</v>
      </c>
      <c r="M3187" s="3">
        <v>0.48493754863942834</v>
      </c>
      <c r="N3187" s="3">
        <v>8.0822924773238061E-2</v>
      </c>
    </row>
    <row r="3188" spans="1:16" x14ac:dyDescent="0.3">
      <c r="A3188" s="3" t="str">
        <f t="shared" si="50"/>
        <v>NGA</v>
      </c>
      <c r="C3188" s="3" t="s">
        <v>850</v>
      </c>
      <c r="D3188" s="3" t="s">
        <v>1271</v>
      </c>
      <c r="E3188" s="3" t="s">
        <v>1370</v>
      </c>
      <c r="F3188" s="3" t="s">
        <v>2</v>
      </c>
      <c r="J3188" s="3">
        <v>0.44279633721520362</v>
      </c>
      <c r="K3188" s="3">
        <v>0.44279633721520362</v>
      </c>
      <c r="L3188" s="3">
        <v>0.44279633721520362</v>
      </c>
      <c r="M3188" s="3">
        <v>0.44279633721520362</v>
      </c>
      <c r="N3188" s="3">
        <v>7.3799389535867288E-2</v>
      </c>
    </row>
    <row r="3189" spans="1:16" x14ac:dyDescent="0.3">
      <c r="A3189" s="3" t="str">
        <f t="shared" si="50"/>
        <v>NGA</v>
      </c>
      <c r="C3189" s="3" t="s">
        <v>850</v>
      </c>
      <c r="D3189" s="3" t="s">
        <v>1271</v>
      </c>
      <c r="E3189" s="3" t="s">
        <v>1370</v>
      </c>
      <c r="F3189" s="3" t="s">
        <v>3</v>
      </c>
      <c r="J3189" s="3">
        <v>5.9711708678610444E-4</v>
      </c>
      <c r="K3189" s="3">
        <v>5.9711708678610444E-4</v>
      </c>
      <c r="L3189" s="3">
        <v>5.9711708678610444E-4</v>
      </c>
      <c r="M3189" s="3">
        <v>5.9711708678610444E-4</v>
      </c>
      <c r="N3189" s="3">
        <v>9.9519514464350577E-5</v>
      </c>
    </row>
    <row r="3190" spans="1:16" x14ac:dyDescent="0.3">
      <c r="A3190" s="3" t="str">
        <f t="shared" si="50"/>
        <v>NGA</v>
      </c>
      <c r="C3190" s="3" t="s">
        <v>850</v>
      </c>
      <c r="D3190" s="3" t="s">
        <v>1271</v>
      </c>
      <c r="E3190" s="3" t="s">
        <v>1370</v>
      </c>
      <c r="F3190" s="3" t="s">
        <v>4</v>
      </c>
      <c r="J3190" s="3">
        <v>0.1418317448831212</v>
      </c>
      <c r="K3190" s="3">
        <v>0.1418317448831212</v>
      </c>
      <c r="L3190" s="3">
        <v>0.1418317448831212</v>
      </c>
      <c r="M3190" s="3">
        <v>0.1418317448831212</v>
      </c>
      <c r="N3190" s="3">
        <v>2.363862414718684E-2</v>
      </c>
    </row>
    <row r="3191" spans="1:16" x14ac:dyDescent="0.3">
      <c r="A3191" s="3" t="str">
        <f t="shared" si="50"/>
        <v>NGA</v>
      </c>
      <c r="C3191" s="3" t="s">
        <v>850</v>
      </c>
      <c r="D3191" s="3" t="s">
        <v>1271</v>
      </c>
      <c r="E3191" s="3" t="s">
        <v>1370</v>
      </c>
      <c r="F3191" s="3" t="s">
        <v>6</v>
      </c>
      <c r="H3191" s="3">
        <v>2.9855854339305215E-3</v>
      </c>
      <c r="J3191" s="3">
        <v>2.9855854339305215E-3</v>
      </c>
      <c r="K3191" s="3">
        <v>2.9855854339305215E-3</v>
      </c>
      <c r="L3191" s="3">
        <v>2.9855854339305215E-3</v>
      </c>
      <c r="M3191" s="3">
        <v>2.9855854339305215E-3</v>
      </c>
      <c r="N3191" s="3">
        <v>4.9759757232175359E-4</v>
      </c>
    </row>
    <row r="3192" spans="1:16" x14ac:dyDescent="0.3">
      <c r="A3192" s="3" t="str">
        <f t="shared" si="50"/>
        <v>NGA</v>
      </c>
      <c r="C3192" s="3" t="s">
        <v>850</v>
      </c>
      <c r="D3192" s="3" t="s">
        <v>1271</v>
      </c>
      <c r="E3192" s="3" t="s">
        <v>1370</v>
      </c>
      <c r="F3192" s="3" t="s">
        <v>7</v>
      </c>
      <c r="J3192" s="3">
        <v>1.8370089587505606E-2</v>
      </c>
      <c r="K3192" s="3">
        <v>1.8370089587505606E-2</v>
      </c>
      <c r="L3192" s="3">
        <v>1.8370089587505606E-2</v>
      </c>
      <c r="M3192" s="3">
        <v>1.8370089587505606E-2</v>
      </c>
      <c r="N3192" s="3">
        <v>3.0616815979175975E-3</v>
      </c>
    </row>
    <row r="3193" spans="1:16" x14ac:dyDescent="0.3">
      <c r="A3193" s="3" t="str">
        <f t="shared" si="50"/>
        <v>NGA</v>
      </c>
      <c r="C3193" s="3" t="s">
        <v>850</v>
      </c>
      <c r="D3193" s="3" t="s">
        <v>1271</v>
      </c>
      <c r="E3193" s="3" t="s">
        <v>1370</v>
      </c>
      <c r="F3193" s="3" t="s">
        <v>8</v>
      </c>
      <c r="G3193" s="3">
        <v>0.41057106234980195</v>
      </c>
      <c r="H3193" s="3">
        <v>0.41593145449143581</v>
      </c>
      <c r="I3193" s="3">
        <v>0.43737302305797254</v>
      </c>
      <c r="L3193" s="3">
        <v>0.43737302305797254</v>
      </c>
      <c r="M3193" s="3">
        <v>0.43737302305797254</v>
      </c>
      <c r="N3193" s="3">
        <v>7.2895503842995438E-2</v>
      </c>
    </row>
    <row r="3194" spans="1:16" x14ac:dyDescent="0.3">
      <c r="A3194" s="3" t="str">
        <f t="shared" si="50"/>
        <v>RFL</v>
      </c>
      <c r="C3194" s="3" t="s">
        <v>850</v>
      </c>
      <c r="D3194" s="3" t="s">
        <v>1271</v>
      </c>
      <c r="E3194" s="3" t="s">
        <v>1372</v>
      </c>
      <c r="F3194" s="3" t="s">
        <v>0</v>
      </c>
      <c r="G3194" s="3">
        <v>2.6248106990472155E-3</v>
      </c>
      <c r="I3194" s="3">
        <v>2.0561017142536435E-3</v>
      </c>
      <c r="J3194" s="3">
        <v>2.0561017142536435E-3</v>
      </c>
      <c r="N3194" s="3">
        <v>3.4268361904227408E-4</v>
      </c>
    </row>
    <row r="3195" spans="1:16" x14ac:dyDescent="0.3">
      <c r="A3195" s="3" t="str">
        <f t="shared" si="50"/>
        <v>RFL</v>
      </c>
      <c r="C3195" s="3" t="s">
        <v>850</v>
      </c>
      <c r="D3195" s="3" t="s">
        <v>1271</v>
      </c>
      <c r="E3195" s="3" t="s">
        <v>1372</v>
      </c>
      <c r="F3195" s="3" t="s">
        <v>1</v>
      </c>
      <c r="J3195" s="3">
        <v>2.0062773153607699E-2</v>
      </c>
      <c r="N3195" s="3">
        <v>3.3437955256012818E-3</v>
      </c>
    </row>
    <row r="3196" spans="1:16" x14ac:dyDescent="0.3">
      <c r="A3196" s="3" t="str">
        <f t="shared" si="50"/>
        <v>RFL</v>
      </c>
      <c r="C3196" s="3" t="s">
        <v>850</v>
      </c>
      <c r="D3196" s="3" t="s">
        <v>1271</v>
      </c>
      <c r="E3196" s="3" t="s">
        <v>1372</v>
      </c>
      <c r="F3196" s="3" t="s">
        <v>4</v>
      </c>
      <c r="N3196" s="3">
        <v>1.0936711246030048E-4</v>
      </c>
    </row>
    <row r="3197" spans="1:16" x14ac:dyDescent="0.3">
      <c r="A3197" s="3" t="str">
        <f t="shared" si="50"/>
        <v>RFL</v>
      </c>
      <c r="C3197" s="3" t="s">
        <v>850</v>
      </c>
      <c r="D3197" s="3" t="s">
        <v>1271</v>
      </c>
      <c r="E3197" s="3" t="s">
        <v>1372</v>
      </c>
      <c r="F3197" s="3" t="s">
        <v>6</v>
      </c>
      <c r="N3197" s="3">
        <v>5.4390189512177191E-4</v>
      </c>
    </row>
    <row r="3198" spans="1:16" x14ac:dyDescent="0.3">
      <c r="A3198" s="3" t="str">
        <f t="shared" si="50"/>
        <v>RFL</v>
      </c>
      <c r="C3198" s="3" t="s">
        <v>850</v>
      </c>
      <c r="D3198" s="3" t="s">
        <v>1271</v>
      </c>
      <c r="E3198" s="3" t="s">
        <v>1372</v>
      </c>
      <c r="F3198" s="3" t="s">
        <v>8</v>
      </c>
      <c r="I3198" s="3">
        <v>3.6040394669689798E-3</v>
      </c>
      <c r="J3198" s="3">
        <v>3.6040394669689798E-3</v>
      </c>
      <c r="L3198" s="3">
        <v>3.6040394669689798E-3</v>
      </c>
      <c r="M3198" s="3">
        <v>3.6040394669689798E-3</v>
      </c>
      <c r="N3198" s="3">
        <v>6.0067324449482957E-4</v>
      </c>
    </row>
    <row r="3199" spans="1:16" x14ac:dyDescent="0.3">
      <c r="A3199" s="3" t="str">
        <f t="shared" si="50"/>
        <v>NGA</v>
      </c>
      <c r="C3199" s="3" t="s">
        <v>850</v>
      </c>
      <c r="D3199" s="3" t="s">
        <v>1271</v>
      </c>
      <c r="E3199" s="3" t="s">
        <v>1374</v>
      </c>
      <c r="F3199" s="3" t="s">
        <v>0</v>
      </c>
      <c r="I3199" s="3">
        <v>3.3207964968945819E-2</v>
      </c>
      <c r="J3199" s="3">
        <v>3.3207964968945819E-2</v>
      </c>
      <c r="L3199" s="3">
        <v>3.3207964968945819E-2</v>
      </c>
      <c r="M3199" s="3">
        <v>1.1790252342593035</v>
      </c>
      <c r="N3199" s="3">
        <v>2.6371902283195228</v>
      </c>
      <c r="O3199" s="3">
        <v>4.3167839480631285</v>
      </c>
      <c r="P3199" s="3">
        <v>5.6218723756457054</v>
      </c>
    </row>
    <row r="3200" spans="1:16" x14ac:dyDescent="0.3">
      <c r="A3200" s="3" t="str">
        <f t="shared" si="50"/>
        <v>NGA</v>
      </c>
      <c r="C3200" s="3" t="s">
        <v>850</v>
      </c>
      <c r="D3200" s="3" t="s">
        <v>1271</v>
      </c>
      <c r="E3200" s="3" t="s">
        <v>1374</v>
      </c>
      <c r="F3200" s="3" t="s">
        <v>1</v>
      </c>
      <c r="H3200" s="3">
        <v>0.71191928327712994</v>
      </c>
      <c r="I3200" s="3">
        <v>2.1427601597620418</v>
      </c>
      <c r="J3200" s="3">
        <v>2.1227824115335703</v>
      </c>
      <c r="K3200" s="3">
        <v>2.1427601597620418</v>
      </c>
      <c r="L3200" s="3">
        <v>4.6390043829477072</v>
      </c>
      <c r="M3200" s="3">
        <v>7.2399240891181389</v>
      </c>
      <c r="N3200" s="3">
        <v>10.645898130209329</v>
      </c>
      <c r="O3200" s="3">
        <v>14.553061496216454</v>
      </c>
      <c r="P3200" s="3">
        <v>17.543974296992499</v>
      </c>
    </row>
    <row r="3201" spans="1:16" x14ac:dyDescent="0.3">
      <c r="A3201" s="3" t="str">
        <f t="shared" si="50"/>
        <v>NGA</v>
      </c>
      <c r="C3201" s="3" t="s">
        <v>850</v>
      </c>
      <c r="D3201" s="3" t="s">
        <v>1271</v>
      </c>
      <c r="E3201" s="3" t="s">
        <v>1374</v>
      </c>
      <c r="F3201" s="3" t="s">
        <v>2</v>
      </c>
      <c r="H3201" s="3">
        <v>9.2925965890435034</v>
      </c>
      <c r="I3201" s="3">
        <v>9.2925965890435034</v>
      </c>
      <c r="J3201" s="3">
        <v>9.2925965890435034</v>
      </c>
      <c r="M3201" s="3">
        <v>9.2925965890435034</v>
      </c>
      <c r="N3201" s="3">
        <v>9.2925965890435034</v>
      </c>
      <c r="O3201" s="3">
        <v>18.380942938602907</v>
      </c>
      <c r="P3201" s="3">
        <v>25.174623596244732</v>
      </c>
    </row>
    <row r="3202" spans="1:16" x14ac:dyDescent="0.3">
      <c r="A3202" s="3" t="str">
        <f t="shared" si="50"/>
        <v>NGA</v>
      </c>
      <c r="C3202" s="3" t="s">
        <v>850</v>
      </c>
      <c r="D3202" s="3" t="s">
        <v>1271</v>
      </c>
      <c r="E3202" s="3" t="s">
        <v>1374</v>
      </c>
      <c r="F3202" s="3" t="s">
        <v>3</v>
      </c>
      <c r="H3202" s="3">
        <v>17.166283411390221</v>
      </c>
      <c r="I3202" s="3">
        <v>17.166283411390221</v>
      </c>
      <c r="J3202" s="3">
        <v>17.813594552995959</v>
      </c>
      <c r="K3202" s="3">
        <v>17.813594552995966</v>
      </c>
      <c r="L3202" s="3">
        <v>20.070787637313721</v>
      </c>
      <c r="M3202" s="3">
        <v>22.537128312752841</v>
      </c>
      <c r="N3202" s="3">
        <v>25.153493357754318</v>
      </c>
      <c r="O3202" s="3">
        <v>28.439556828396771</v>
      </c>
      <c r="P3202" s="3">
        <v>30.986452229289416</v>
      </c>
    </row>
    <row r="3203" spans="1:16" x14ac:dyDescent="0.3">
      <c r="A3203" s="3" t="str">
        <f t="shared" si="50"/>
        <v>NGA</v>
      </c>
      <c r="C3203" s="3" t="s">
        <v>850</v>
      </c>
      <c r="D3203" s="3" t="s">
        <v>1271</v>
      </c>
      <c r="E3203" s="3" t="s">
        <v>1374</v>
      </c>
      <c r="F3203" s="3" t="s">
        <v>4</v>
      </c>
      <c r="H3203" s="3">
        <v>10.018056464462259</v>
      </c>
      <c r="I3203" s="3">
        <v>17.506789440594993</v>
      </c>
      <c r="J3203" s="3">
        <v>17.506789440594993</v>
      </c>
      <c r="K3203" s="3">
        <v>17.506789440594993</v>
      </c>
      <c r="L3203" s="3">
        <v>22.188364365481814</v>
      </c>
      <c r="M3203" s="3">
        <v>27.42987419059007</v>
      </c>
      <c r="N3203" s="3">
        <v>33.194581961706454</v>
      </c>
      <c r="O3203" s="3">
        <v>40.479452139575812</v>
      </c>
      <c r="P3203" s="3">
        <v>45.82896036669316</v>
      </c>
    </row>
    <row r="3204" spans="1:16" x14ac:dyDescent="0.3">
      <c r="A3204" s="3" t="str">
        <f t="shared" si="50"/>
        <v>NGA</v>
      </c>
      <c r="C3204" s="3" t="s">
        <v>850</v>
      </c>
      <c r="D3204" s="3" t="s">
        <v>1271</v>
      </c>
      <c r="E3204" s="3" t="s">
        <v>1374</v>
      </c>
      <c r="F3204" s="3" t="s">
        <v>5</v>
      </c>
      <c r="H3204" s="3">
        <v>13.302766895351921</v>
      </c>
      <c r="I3204" s="3">
        <v>13.302766895351921</v>
      </c>
      <c r="J3204" s="3">
        <v>14.148436750651751</v>
      </c>
      <c r="K3204" s="3">
        <v>14.148436750651751</v>
      </c>
      <c r="L3204" s="3">
        <v>15.805901136597003</v>
      </c>
      <c r="M3204" s="3">
        <v>17.713658904239733</v>
      </c>
      <c r="N3204" s="3">
        <v>19.721366247921406</v>
      </c>
      <c r="O3204" s="3">
        <v>22.259030386804159</v>
      </c>
      <c r="P3204" s="3">
        <v>24.228638763180317</v>
      </c>
    </row>
    <row r="3205" spans="1:16" x14ac:dyDescent="0.3">
      <c r="A3205" s="3" t="str">
        <f t="shared" si="50"/>
        <v>NGA</v>
      </c>
      <c r="C3205" s="3" t="s">
        <v>850</v>
      </c>
      <c r="D3205" s="3" t="s">
        <v>1271</v>
      </c>
      <c r="E3205" s="3" t="s">
        <v>1374</v>
      </c>
      <c r="F3205" s="3" t="s">
        <v>6</v>
      </c>
      <c r="H3205" s="3">
        <v>4.9307161867235338</v>
      </c>
      <c r="I3205" s="3">
        <v>4.9307161867235338</v>
      </c>
      <c r="J3205" s="3">
        <v>13.44417785268025</v>
      </c>
      <c r="K3205" s="3">
        <v>13.444177852680255</v>
      </c>
      <c r="L3205" s="3">
        <v>15.677752655819789</v>
      </c>
      <c r="M3205" s="3">
        <v>18.178791341607702</v>
      </c>
      <c r="N3205" s="3">
        <v>20.886292526086567</v>
      </c>
      <c r="O3205" s="3">
        <v>24.376880986091923</v>
      </c>
      <c r="P3205" s="3">
        <v>27.031096472609025</v>
      </c>
    </row>
    <row r="3206" spans="1:16" x14ac:dyDescent="0.3">
      <c r="A3206" s="3" t="str">
        <f t="shared" si="50"/>
        <v>NGA</v>
      </c>
      <c r="C3206" s="3" t="s">
        <v>850</v>
      </c>
      <c r="D3206" s="3" t="s">
        <v>1271</v>
      </c>
      <c r="E3206" s="3" t="s">
        <v>1374</v>
      </c>
      <c r="F3206" s="3" t="s">
        <v>7</v>
      </c>
      <c r="I3206" s="3">
        <v>0.64425533359859066</v>
      </c>
      <c r="J3206" s="3">
        <v>0.64425533359859066</v>
      </c>
      <c r="K3206" s="3">
        <v>0.64425533359859066</v>
      </c>
      <c r="L3206" s="3">
        <v>1.0827860461001608</v>
      </c>
      <c r="M3206" s="3">
        <v>1.5717086225784371</v>
      </c>
      <c r="N3206" s="3">
        <v>2.1204035019390171</v>
      </c>
      <c r="O3206" s="3">
        <v>2.7953709422923581</v>
      </c>
      <c r="P3206" s="3">
        <v>3.3164884830163284</v>
      </c>
    </row>
    <row r="3207" spans="1:16" x14ac:dyDescent="0.3">
      <c r="A3207" s="3" t="str">
        <f t="shared" si="50"/>
        <v>NGA</v>
      </c>
      <c r="C3207" s="3" t="s">
        <v>850</v>
      </c>
      <c r="D3207" s="3" t="s">
        <v>1271</v>
      </c>
      <c r="E3207" s="3" t="s">
        <v>1374</v>
      </c>
      <c r="F3207" s="3" t="s">
        <v>8</v>
      </c>
      <c r="H3207" s="3">
        <v>8.5511935289563308</v>
      </c>
      <c r="I3207" s="3">
        <v>8.9034574386898839</v>
      </c>
      <c r="M3207" s="3">
        <v>0.80951411865069467</v>
      </c>
      <c r="N3207" s="3">
        <v>3.5534491247490254</v>
      </c>
      <c r="O3207" s="3">
        <v>6.6249181447251635</v>
      </c>
      <c r="P3207" s="3">
        <v>8.9509529293920327</v>
      </c>
    </row>
    <row r="3208" spans="1:16" x14ac:dyDescent="0.3">
      <c r="A3208" s="3" t="str">
        <f t="shared" si="50"/>
        <v>COA</v>
      </c>
      <c r="C3208" s="3" t="s">
        <v>850</v>
      </c>
      <c r="D3208" s="3" t="s">
        <v>1271</v>
      </c>
      <c r="E3208" s="3" t="s">
        <v>1375</v>
      </c>
      <c r="F3208" s="3" t="s">
        <v>0</v>
      </c>
      <c r="J3208" s="3">
        <v>0.39761080858652798</v>
      </c>
      <c r="K3208" s="3">
        <v>0.84315994280948303</v>
      </c>
      <c r="L3208" s="3">
        <v>1.61183049756416</v>
      </c>
      <c r="M3208" s="3">
        <v>1.61183049756416</v>
      </c>
      <c r="N3208" s="3">
        <v>1.61183049756416</v>
      </c>
      <c r="O3208" s="3">
        <v>1.61183049756416</v>
      </c>
      <c r="P3208" s="3">
        <v>1.61183049756416</v>
      </c>
    </row>
    <row r="3209" spans="1:16" x14ac:dyDescent="0.3">
      <c r="A3209" s="3" t="str">
        <f t="shared" si="50"/>
        <v>COA</v>
      </c>
      <c r="C3209" s="3" t="s">
        <v>850</v>
      </c>
      <c r="D3209" s="3" t="s">
        <v>1271</v>
      </c>
      <c r="E3209" s="3" t="s">
        <v>1375</v>
      </c>
      <c r="F3209" s="3" t="s">
        <v>2</v>
      </c>
      <c r="H3209" s="3">
        <v>13.3171685143851</v>
      </c>
      <c r="J3209" s="3">
        <v>19.6579519307456</v>
      </c>
      <c r="K3209" s="3">
        <v>28.950548519790502</v>
      </c>
      <c r="L3209" s="3">
        <v>34.667565097595599</v>
      </c>
      <c r="M3209" s="3">
        <v>31.955310672483499</v>
      </c>
      <c r="N3209" s="3">
        <v>34.667565097595599</v>
      </c>
      <c r="O3209" s="3">
        <v>34.667565097595599</v>
      </c>
      <c r="P3209" s="3">
        <v>34.667565097595599</v>
      </c>
    </row>
    <row r="3210" spans="1:16" x14ac:dyDescent="0.3">
      <c r="A3210" s="3" t="str">
        <f t="shared" si="50"/>
        <v>COA</v>
      </c>
      <c r="C3210" s="3" t="s">
        <v>850</v>
      </c>
      <c r="D3210" s="3" t="s">
        <v>1271</v>
      </c>
      <c r="E3210" s="3" t="s">
        <v>1375</v>
      </c>
      <c r="F3210" s="3" t="s">
        <v>8</v>
      </c>
      <c r="J3210" s="3">
        <v>12.216877213879</v>
      </c>
      <c r="K3210" s="3">
        <v>12.216877213879</v>
      </c>
      <c r="L3210" s="3">
        <v>10.860861693412</v>
      </c>
      <c r="M3210" s="3">
        <v>12.216877213879</v>
      </c>
      <c r="N3210" s="3">
        <v>12.216877213879</v>
      </c>
      <c r="O3210" s="3">
        <v>12.216877213879</v>
      </c>
      <c r="P3210" s="3">
        <v>12.216877213879</v>
      </c>
    </row>
    <row r="3211" spans="1:16" x14ac:dyDescent="0.3">
      <c r="A3211" s="3" t="str">
        <f t="shared" si="50"/>
        <v>COA</v>
      </c>
      <c r="C3211" s="3" t="s">
        <v>850</v>
      </c>
      <c r="D3211" s="3" t="s">
        <v>752</v>
      </c>
      <c r="E3211" s="3" t="s">
        <v>1501</v>
      </c>
      <c r="F3211" s="3" t="s">
        <v>0</v>
      </c>
      <c r="G3211" s="3">
        <v>8.6007813666838406E-2</v>
      </c>
      <c r="H3211" s="3">
        <v>0.28482021782300548</v>
      </c>
      <c r="I3211" s="3">
        <v>8.2986413640177048</v>
      </c>
      <c r="J3211" s="3">
        <v>8.2843067284065643</v>
      </c>
      <c r="K3211" s="3">
        <v>10.035750330145525</v>
      </c>
      <c r="L3211" s="3">
        <v>11.486531334924894</v>
      </c>
      <c r="M3211" s="3">
        <v>13.700728439842553</v>
      </c>
      <c r="N3211" s="3">
        <v>16.310591535120448</v>
      </c>
      <c r="O3211" s="3">
        <v>18.323892051012859</v>
      </c>
      <c r="P3211" s="3">
        <v>20.584081105177887</v>
      </c>
    </row>
    <row r="3212" spans="1:16" x14ac:dyDescent="0.3">
      <c r="A3212" s="3" t="str">
        <f t="shared" si="50"/>
        <v>COA</v>
      </c>
      <c r="C3212" s="3" t="s">
        <v>850</v>
      </c>
      <c r="D3212" s="3" t="s">
        <v>752</v>
      </c>
      <c r="E3212" s="3" t="s">
        <v>1501</v>
      </c>
      <c r="F3212" s="3" t="s">
        <v>1</v>
      </c>
      <c r="G3212" s="3">
        <v>0.23675057446098999</v>
      </c>
      <c r="H3212" s="3">
        <v>0.22885888864562401</v>
      </c>
      <c r="I3212" s="3">
        <v>0.19729214538415801</v>
      </c>
      <c r="J3212" s="3">
        <v>0.15783371630732701</v>
      </c>
      <c r="K3212" s="3">
        <v>20.836589273851295</v>
      </c>
      <c r="L3212" s="3">
        <v>20.797130844774465</v>
      </c>
      <c r="M3212" s="3">
        <v>20.75767241569763</v>
      </c>
      <c r="N3212" s="3">
        <v>45.606571685492895</v>
      </c>
      <c r="O3212" s="3">
        <v>51.383653364988426</v>
      </c>
      <c r="P3212" s="3">
        <v>51.383653364988426</v>
      </c>
    </row>
    <row r="3213" spans="1:16" x14ac:dyDescent="0.3">
      <c r="A3213" s="3" t="str">
        <f t="shared" si="50"/>
        <v>COA</v>
      </c>
      <c r="C3213" s="3" t="s">
        <v>850</v>
      </c>
      <c r="D3213" s="3" t="s">
        <v>752</v>
      </c>
      <c r="E3213" s="3" t="s">
        <v>1501</v>
      </c>
      <c r="F3213" s="3" t="s">
        <v>2</v>
      </c>
      <c r="G3213" s="3">
        <v>0.52916770103658195</v>
      </c>
      <c r="H3213" s="3">
        <v>0.51152877766869598</v>
      </c>
      <c r="I3213" s="3">
        <v>0.44097308419715198</v>
      </c>
      <c r="J3213" s="3">
        <v>0.352778467357721</v>
      </c>
      <c r="K3213" s="3">
        <v>0.26458385051829098</v>
      </c>
      <c r="L3213" s="3">
        <v>0.176389233678861</v>
      </c>
      <c r="M3213" s="3">
        <v>8.8194616839430306E-2</v>
      </c>
      <c r="O3213" s="3">
        <v>106.51791870477101</v>
      </c>
      <c r="P3213" s="3">
        <v>106.51791870477101</v>
      </c>
    </row>
    <row r="3214" spans="1:16" x14ac:dyDescent="0.3">
      <c r="A3214" s="3" t="str">
        <f t="shared" si="50"/>
        <v>COA</v>
      </c>
      <c r="C3214" s="3" t="s">
        <v>850</v>
      </c>
      <c r="D3214" s="3" t="s">
        <v>752</v>
      </c>
      <c r="E3214" s="3" t="s">
        <v>1501</v>
      </c>
      <c r="F3214" s="3" t="s">
        <v>3</v>
      </c>
      <c r="G3214" s="3">
        <v>0.35841786631494599</v>
      </c>
      <c r="H3214" s="3">
        <v>0.34647060410444802</v>
      </c>
      <c r="I3214" s="3">
        <v>0.29868155526245499</v>
      </c>
      <c r="J3214" s="3">
        <v>0.23894524420996399</v>
      </c>
      <c r="K3214" s="3">
        <v>0.17920893315747299</v>
      </c>
      <c r="L3214" s="3">
        <v>0.119472622104982</v>
      </c>
      <c r="M3214" s="3">
        <v>5.9736311052490998E-2</v>
      </c>
    </row>
    <row r="3215" spans="1:16" x14ac:dyDescent="0.3">
      <c r="A3215" s="3" t="str">
        <f t="shared" si="50"/>
        <v>COA</v>
      </c>
      <c r="C3215" s="3" t="s">
        <v>850</v>
      </c>
      <c r="D3215" s="3" t="s">
        <v>752</v>
      </c>
      <c r="E3215" s="3" t="s">
        <v>1501</v>
      </c>
      <c r="F3215" s="3" t="s">
        <v>4</v>
      </c>
      <c r="G3215" s="3">
        <v>0.21408559359683299</v>
      </c>
      <c r="H3215" s="3">
        <v>0.20694940714360499</v>
      </c>
      <c r="I3215" s="3">
        <v>0.17840466133069399</v>
      </c>
      <c r="J3215" s="3">
        <v>0.14272372906455499</v>
      </c>
      <c r="K3215" s="3">
        <v>21.242490692944116</v>
      </c>
      <c r="L3215" s="3">
        <v>22.597736863277088</v>
      </c>
      <c r="M3215" s="3">
        <v>25.216096408985589</v>
      </c>
      <c r="N3215" s="3">
        <v>29.27967797386875</v>
      </c>
      <c r="O3215" s="3">
        <v>30.4111951997704</v>
      </c>
      <c r="P3215" s="3">
        <v>33.502620234347049</v>
      </c>
    </row>
    <row r="3216" spans="1:16" x14ac:dyDescent="0.3">
      <c r="A3216" s="3" t="str">
        <f t="shared" si="50"/>
        <v>COA</v>
      </c>
      <c r="C3216" s="3" t="s">
        <v>850</v>
      </c>
      <c r="D3216" s="3" t="s">
        <v>752</v>
      </c>
      <c r="E3216" s="3" t="s">
        <v>1501</v>
      </c>
      <c r="F3216" s="3" t="s">
        <v>5</v>
      </c>
      <c r="G3216" s="3">
        <v>0.186606778596484</v>
      </c>
      <c r="H3216" s="3">
        <v>0.180386552643268</v>
      </c>
      <c r="I3216" s="3">
        <v>0.15550564883040299</v>
      </c>
      <c r="J3216" s="3">
        <v>0.124404519064323</v>
      </c>
      <c r="K3216" s="3">
        <v>9.3303389298242001E-2</v>
      </c>
      <c r="L3216" s="3">
        <v>6.2202259532161297E-2</v>
      </c>
      <c r="M3216" s="3">
        <v>3.1101129766080701E-2</v>
      </c>
    </row>
    <row r="3217" spans="1:16" x14ac:dyDescent="0.3">
      <c r="A3217" s="3" t="str">
        <f t="shared" si="50"/>
        <v>COA</v>
      </c>
      <c r="C3217" s="3" t="s">
        <v>850</v>
      </c>
      <c r="D3217" s="3" t="s">
        <v>752</v>
      </c>
      <c r="E3217" s="3" t="s">
        <v>1501</v>
      </c>
      <c r="F3217" s="3" t="s">
        <v>6</v>
      </c>
      <c r="G3217" s="3">
        <v>0.64827238922212604</v>
      </c>
      <c r="H3217" s="3">
        <v>0.62666330958138805</v>
      </c>
      <c r="I3217" s="3">
        <v>0.54022699101843796</v>
      </c>
      <c r="J3217" s="3">
        <v>0.43218159281475099</v>
      </c>
      <c r="K3217" s="3">
        <v>0.32413619461106302</v>
      </c>
      <c r="L3217" s="3">
        <v>0.216090796407375</v>
      </c>
      <c r="M3217" s="3">
        <v>0.108045398203688</v>
      </c>
    </row>
    <row r="3218" spans="1:16" x14ac:dyDescent="0.3">
      <c r="A3218" s="3" t="str">
        <f t="shared" si="50"/>
        <v>COA</v>
      </c>
      <c r="C3218" s="3" t="s">
        <v>850</v>
      </c>
      <c r="D3218" s="3" t="s">
        <v>752</v>
      </c>
      <c r="E3218" s="3" t="s">
        <v>1501</v>
      </c>
      <c r="F3218" s="3" t="s">
        <v>7</v>
      </c>
      <c r="N3218" s="3">
        <v>43.6828960825111</v>
      </c>
      <c r="O3218" s="3">
        <v>79.9988870486346</v>
      </c>
      <c r="P3218" s="3">
        <v>79.9988870486346</v>
      </c>
    </row>
    <row r="3219" spans="1:16" x14ac:dyDescent="0.3">
      <c r="A3219" s="3" t="str">
        <f t="shared" si="50"/>
        <v>COA</v>
      </c>
      <c r="C3219" s="3" t="s">
        <v>850</v>
      </c>
      <c r="D3219" s="3" t="s">
        <v>752</v>
      </c>
      <c r="E3219" s="3" t="s">
        <v>1501</v>
      </c>
      <c r="F3219" s="3" t="s">
        <v>8</v>
      </c>
      <c r="J3219" s="3">
        <v>27.922019088680099</v>
      </c>
      <c r="K3219" s="3">
        <v>28.029315919571086</v>
      </c>
      <c r="L3219" s="3">
        <v>28.029315919571086</v>
      </c>
      <c r="M3219" s="3">
        <v>32.115854794798075</v>
      </c>
      <c r="N3219" s="3">
        <v>36.862646349168294</v>
      </c>
      <c r="O3219" s="3">
        <v>41.197111745977367</v>
      </c>
      <c r="P3219" s="3">
        <v>45.309482219621373</v>
      </c>
    </row>
    <row r="3220" spans="1:16" x14ac:dyDescent="0.3">
      <c r="A3220" s="3" t="str">
        <f t="shared" si="50"/>
        <v>DST</v>
      </c>
      <c r="C3220" s="3" t="s">
        <v>850</v>
      </c>
      <c r="D3220" s="3" t="s">
        <v>752</v>
      </c>
      <c r="E3220" s="3" t="s">
        <v>1498</v>
      </c>
      <c r="F3220" s="3" t="s">
        <v>0</v>
      </c>
      <c r="G3220" s="3">
        <v>0.51882738241064696</v>
      </c>
      <c r="I3220" s="3">
        <v>0.43235615200887201</v>
      </c>
    </row>
    <row r="3221" spans="1:16" x14ac:dyDescent="0.3">
      <c r="A3221" s="3" t="str">
        <f t="shared" si="50"/>
        <v>DST</v>
      </c>
      <c r="C3221" s="3" t="s">
        <v>850</v>
      </c>
      <c r="D3221" s="3" t="s">
        <v>752</v>
      </c>
      <c r="E3221" s="3" t="s">
        <v>1498</v>
      </c>
      <c r="F3221" s="3" t="s">
        <v>1</v>
      </c>
      <c r="G3221" s="3">
        <v>1.4281572289189799</v>
      </c>
    </row>
    <row r="3222" spans="1:16" x14ac:dyDescent="0.3">
      <c r="A3222" s="3" t="str">
        <f t="shared" si="50"/>
        <v>DST</v>
      </c>
      <c r="C3222" s="3" t="s">
        <v>850</v>
      </c>
      <c r="D3222" s="3" t="s">
        <v>752</v>
      </c>
      <c r="E3222" s="3" t="s">
        <v>1498</v>
      </c>
      <c r="F3222" s="3" t="s">
        <v>2</v>
      </c>
      <c r="G3222" s="3">
        <v>0.99494443155990997</v>
      </c>
    </row>
    <row r="3223" spans="1:16" x14ac:dyDescent="0.3">
      <c r="A3223" s="3" t="str">
        <f t="shared" si="50"/>
        <v>DST</v>
      </c>
      <c r="C3223" s="3" t="s">
        <v>850</v>
      </c>
      <c r="D3223" s="3" t="s">
        <v>752</v>
      </c>
      <c r="E3223" s="3" t="s">
        <v>1498</v>
      </c>
      <c r="F3223" s="3" t="s">
        <v>3</v>
      </c>
      <c r="G3223" s="3">
        <v>0.67389952100834505</v>
      </c>
    </row>
    <row r="3224" spans="1:16" x14ac:dyDescent="0.3">
      <c r="A3224" s="3" t="str">
        <f t="shared" si="50"/>
        <v>DST</v>
      </c>
      <c r="C3224" s="3" t="s">
        <v>850</v>
      </c>
      <c r="D3224" s="3" t="s">
        <v>752</v>
      </c>
      <c r="E3224" s="3" t="s">
        <v>1498</v>
      </c>
      <c r="F3224" s="3" t="s">
        <v>4</v>
      </c>
      <c r="G3224" s="3">
        <v>0.56766356911736304</v>
      </c>
    </row>
    <row r="3225" spans="1:16" x14ac:dyDescent="0.3">
      <c r="A3225" s="3" t="str">
        <f t="shared" si="50"/>
        <v>DST</v>
      </c>
      <c r="C3225" s="3" t="s">
        <v>850</v>
      </c>
      <c r="D3225" s="3" t="s">
        <v>752</v>
      </c>
      <c r="E3225" s="3" t="s">
        <v>1498</v>
      </c>
      <c r="F3225" s="3" t="s">
        <v>5</v>
      </c>
      <c r="G3225" s="3">
        <v>0.49480148654496198</v>
      </c>
    </row>
    <row r="3226" spans="1:16" x14ac:dyDescent="0.3">
      <c r="A3226" s="3" t="str">
        <f t="shared" si="50"/>
        <v>DST</v>
      </c>
      <c r="C3226" s="3" t="s">
        <v>850</v>
      </c>
      <c r="D3226" s="3" t="s">
        <v>752</v>
      </c>
      <c r="E3226" s="3" t="s">
        <v>1498</v>
      </c>
      <c r="F3226" s="3" t="s">
        <v>6</v>
      </c>
      <c r="G3226" s="3">
        <v>1.7189415319514301</v>
      </c>
    </row>
    <row r="3227" spans="1:16" x14ac:dyDescent="0.3">
      <c r="A3227" s="3" t="str">
        <f t="shared" si="50"/>
        <v>DST</v>
      </c>
      <c r="C3227" s="3" t="s">
        <v>850</v>
      </c>
      <c r="D3227" s="3" t="s">
        <v>752</v>
      </c>
      <c r="E3227" s="3" t="s">
        <v>1498</v>
      </c>
      <c r="F3227" s="3" t="s">
        <v>7</v>
      </c>
      <c r="G3227" s="3">
        <v>2.2223278078425701</v>
      </c>
    </row>
    <row r="3228" spans="1:16" x14ac:dyDescent="0.3">
      <c r="A3228" s="3" t="str">
        <f t="shared" si="50"/>
        <v>DST</v>
      </c>
      <c r="C3228" s="3" t="s">
        <v>850</v>
      </c>
      <c r="D3228" s="3" t="s">
        <v>752</v>
      </c>
      <c r="E3228" s="3" t="s">
        <v>1498</v>
      </c>
      <c r="F3228" s="3" t="s">
        <v>8</v>
      </c>
      <c r="G3228" s="3">
        <v>1.3935007560555699</v>
      </c>
      <c r="I3228" s="3">
        <v>1.16125063004621</v>
      </c>
    </row>
    <row r="3229" spans="1:16" x14ac:dyDescent="0.3">
      <c r="A3229" s="3" t="str">
        <f t="shared" si="50"/>
        <v>ELC</v>
      </c>
      <c r="C3229" s="3" t="s">
        <v>850</v>
      </c>
      <c r="D3229" s="3" t="s">
        <v>752</v>
      </c>
      <c r="E3229" s="3" t="s">
        <v>1497</v>
      </c>
      <c r="F3229" s="3" t="s">
        <v>0</v>
      </c>
      <c r="G3229" s="3">
        <v>15.1776142822133</v>
      </c>
      <c r="H3229" s="3">
        <v>15.5163845922745</v>
      </c>
      <c r="I3229" s="3">
        <v>7.0962968615755297</v>
      </c>
      <c r="J3229" s="3">
        <v>7.6856960679519304</v>
      </c>
      <c r="K3229" s="3">
        <v>6.7433653873892698</v>
      </c>
      <c r="L3229" s="3">
        <v>7.6276066236037998</v>
      </c>
      <c r="M3229" s="3">
        <v>7.8270962564528945</v>
      </c>
      <c r="N3229" s="3">
        <v>7.7725480201875747</v>
      </c>
      <c r="O3229" s="3">
        <v>8.8581666579139302</v>
      </c>
      <c r="P3229" s="3">
        <v>9.003204138323893</v>
      </c>
    </row>
    <row r="3230" spans="1:16" x14ac:dyDescent="0.3">
      <c r="A3230" s="3" t="str">
        <f t="shared" si="50"/>
        <v>ELC</v>
      </c>
      <c r="C3230" s="3" t="s">
        <v>850</v>
      </c>
      <c r="D3230" s="3" t="s">
        <v>752</v>
      </c>
      <c r="E3230" s="3" t="s">
        <v>1497</v>
      </c>
      <c r="F3230" s="3" t="s">
        <v>1</v>
      </c>
      <c r="G3230" s="3">
        <v>44.184192861686299</v>
      </c>
      <c r="H3230" s="3">
        <v>47.330686534638858</v>
      </c>
      <c r="I3230" s="3">
        <v>46.071575317912689</v>
      </c>
      <c r="J3230" s="3">
        <v>46.369169338987042</v>
      </c>
      <c r="K3230" s="3">
        <v>25.948549373440649</v>
      </c>
      <c r="L3230" s="3">
        <v>31.817660173370953</v>
      </c>
      <c r="M3230" s="3">
        <v>38.501186128087802</v>
      </c>
      <c r="N3230" s="3">
        <v>20.686208952201262</v>
      </c>
      <c r="O3230" s="3">
        <v>23.4394090988357</v>
      </c>
      <c r="P3230" s="3">
        <v>30.060188531448958</v>
      </c>
    </row>
    <row r="3231" spans="1:16" x14ac:dyDescent="0.3">
      <c r="A3231" s="3" t="str">
        <f t="shared" ref="A3231:A3294" si="51">RIGHT(E3231,3)</f>
        <v>ELC</v>
      </c>
      <c r="C3231" s="3" t="s">
        <v>850</v>
      </c>
      <c r="D3231" s="3" t="s">
        <v>752</v>
      </c>
      <c r="E3231" s="3" t="s">
        <v>1497</v>
      </c>
      <c r="F3231" s="3" t="s">
        <v>2</v>
      </c>
      <c r="G3231" s="3">
        <v>100.480339373099</v>
      </c>
      <c r="H3231" s="3">
        <v>106.80692897263575</v>
      </c>
      <c r="I3231" s="3">
        <v>103.76284191520014</v>
      </c>
      <c r="J3231" s="3">
        <v>104.47396508222094</v>
      </c>
      <c r="K3231" s="3">
        <v>105.18508824924186</v>
      </c>
      <c r="L3231" s="3">
        <v>118.4683792684817</v>
      </c>
      <c r="M3231" s="3">
        <v>133.38745180680019</v>
      </c>
      <c r="N3231" s="3">
        <v>149.59013831392639</v>
      </c>
      <c r="O3231" s="3">
        <v>62.320862160467499</v>
      </c>
      <c r="P3231" s="3">
        <v>77.260698769274001</v>
      </c>
    </row>
    <row r="3232" spans="1:16" x14ac:dyDescent="0.3">
      <c r="A3232" s="3" t="str">
        <f t="shared" si="51"/>
        <v>ELC</v>
      </c>
      <c r="C3232" s="3" t="s">
        <v>850</v>
      </c>
      <c r="D3232" s="3" t="s">
        <v>752</v>
      </c>
      <c r="E3232" s="3" t="s">
        <v>1497</v>
      </c>
      <c r="F3232" s="3" t="s">
        <v>3</v>
      </c>
      <c r="G3232" s="3">
        <v>68.057723051048697</v>
      </c>
      <c r="H3232" s="3">
        <v>69.443053643139535</v>
      </c>
      <c r="I3232" s="3">
        <v>69.828382147069689</v>
      </c>
      <c r="J3232" s="3">
        <v>70.310042776982499</v>
      </c>
      <c r="K3232" s="3">
        <v>70.791703406895195</v>
      </c>
      <c r="L3232" s="3">
        <v>80.241450186816294</v>
      </c>
      <c r="M3232" s="3">
        <v>90.346492758589491</v>
      </c>
      <c r="N3232" s="3">
        <v>101.32095759285339</v>
      </c>
      <c r="O3232" s="3">
        <v>114.35852088174261</v>
      </c>
      <c r="P3232" s="3">
        <v>124.4776274521797</v>
      </c>
    </row>
    <row r="3233" spans="1:16" x14ac:dyDescent="0.3">
      <c r="A3233" s="3" t="str">
        <f t="shared" si="51"/>
        <v>ELC</v>
      </c>
      <c r="C3233" s="3" t="s">
        <v>850</v>
      </c>
      <c r="D3233" s="3" t="s">
        <v>752</v>
      </c>
      <c r="E3233" s="3" t="s">
        <v>1497</v>
      </c>
      <c r="F3233" s="3" t="s">
        <v>4</v>
      </c>
      <c r="G3233" s="3">
        <v>43.089777053945099</v>
      </c>
      <c r="H3233" s="3">
        <v>44.173574877645457</v>
      </c>
      <c r="I3233" s="3">
        <v>44.350799744099554</v>
      </c>
      <c r="J3233" s="3">
        <v>44.572330827167256</v>
      </c>
      <c r="K3233" s="3">
        <v>23.658414014089193</v>
      </c>
      <c r="L3233" s="3">
        <v>27.839933170778391</v>
      </c>
      <c r="M3233" s="3">
        <v>31.457620248052699</v>
      </c>
      <c r="N3233" s="3">
        <v>34.116277280823667</v>
      </c>
      <c r="O3233" s="3">
        <v>41.142290328312868</v>
      </c>
      <c r="P3233" s="3">
        <v>44.382333556548602</v>
      </c>
    </row>
    <row r="3234" spans="1:16" x14ac:dyDescent="0.3">
      <c r="A3234" s="3" t="str">
        <f t="shared" si="51"/>
        <v>ELC</v>
      </c>
      <c r="C3234" s="3" t="s">
        <v>850</v>
      </c>
      <c r="D3234" s="3" t="s">
        <v>752</v>
      </c>
      <c r="E3234" s="3" t="s">
        <v>1497</v>
      </c>
      <c r="F3234" s="3" t="s">
        <v>5</v>
      </c>
      <c r="G3234" s="3">
        <v>37.559017173383197</v>
      </c>
      <c r="H3234" s="3">
        <v>39.463203966563185</v>
      </c>
      <c r="I3234" s="3">
        <v>38.678107483292912</v>
      </c>
      <c r="J3234" s="3">
        <v>38.871204090475686</v>
      </c>
      <c r="K3234" s="3">
        <v>39.064300697658354</v>
      </c>
      <c r="L3234" s="3">
        <v>43.901573942486536</v>
      </c>
      <c r="M3234" s="3">
        <v>49.368298048751235</v>
      </c>
      <c r="N3234" s="3">
        <v>55.258809279822401</v>
      </c>
      <c r="O3234" s="3">
        <v>62.369285141582097</v>
      </c>
      <c r="P3234" s="3">
        <v>67.888081976338995</v>
      </c>
    </row>
    <row r="3235" spans="1:16" x14ac:dyDescent="0.3">
      <c r="A3235" s="3" t="str">
        <f t="shared" si="51"/>
        <v>ELC</v>
      </c>
      <c r="C3235" s="3" t="s">
        <v>850</v>
      </c>
      <c r="D3235" s="3" t="s">
        <v>752</v>
      </c>
      <c r="E3235" s="3" t="s">
        <v>1497</v>
      </c>
      <c r="F3235" s="3" t="s">
        <v>6</v>
      </c>
      <c r="G3235" s="3">
        <v>130.48011429678499</v>
      </c>
      <c r="H3235" s="3">
        <v>133.83118221914305</v>
      </c>
      <c r="I3235" s="3">
        <v>134.36783667437965</v>
      </c>
      <c r="J3235" s="3">
        <v>135.03865474342595</v>
      </c>
      <c r="K3235" s="3">
        <v>135.70947281247214</v>
      </c>
      <c r="L3235" s="3">
        <v>152.514171480606</v>
      </c>
      <c r="M3235" s="3">
        <v>171.505583926827</v>
      </c>
      <c r="N3235" s="3">
        <v>191.96923384473101</v>
      </c>
      <c r="O3235" s="3">
        <v>216.67104376867098</v>
      </c>
      <c r="P3235" s="3">
        <v>235.8433569965616</v>
      </c>
    </row>
    <row r="3236" spans="1:16" x14ac:dyDescent="0.3">
      <c r="A3236" s="3" t="str">
        <f t="shared" si="51"/>
        <v>ELC</v>
      </c>
      <c r="C3236" s="3" t="s">
        <v>850</v>
      </c>
      <c r="D3236" s="3" t="s">
        <v>752</v>
      </c>
      <c r="E3236" s="3" t="s">
        <v>1497</v>
      </c>
      <c r="F3236" s="3" t="s">
        <v>7</v>
      </c>
      <c r="G3236" s="3">
        <v>48.614057397634603</v>
      </c>
      <c r="H3236" s="3">
        <v>51.280578853259165</v>
      </c>
      <c r="I3236" s="3">
        <v>51.432204216359843</v>
      </c>
      <c r="J3236" s="3">
        <v>51.621735920235778</v>
      </c>
      <c r="K3236" s="3">
        <v>51.811267624111593</v>
      </c>
      <c r="L3236" s="3">
        <v>58.13700776961516</v>
      </c>
      <c r="M3236" s="3">
        <v>65.321661033709645</v>
      </c>
      <c r="N3236" s="3">
        <v>29.328877248544391</v>
      </c>
      <c r="O3236" s="3">
        <v>2.40774039999389</v>
      </c>
      <c r="P3236" s="3">
        <v>9.6995577375520199</v>
      </c>
    </row>
    <row r="3237" spans="1:16" x14ac:dyDescent="0.3">
      <c r="A3237" s="3" t="str">
        <f t="shared" si="51"/>
        <v>ELC</v>
      </c>
      <c r="C3237" s="3" t="s">
        <v>850</v>
      </c>
      <c r="D3237" s="3" t="s">
        <v>752</v>
      </c>
      <c r="E3237" s="3" t="s">
        <v>1497</v>
      </c>
      <c r="F3237" s="3" t="s">
        <v>8</v>
      </c>
      <c r="G3237" s="3">
        <v>30.483228216586401</v>
      </c>
      <c r="H3237" s="3">
        <v>32.155258621524133</v>
      </c>
      <c r="I3237" s="3">
        <v>30.876783461323448</v>
      </c>
      <c r="J3237" s="3">
        <v>4.44716055254582</v>
      </c>
      <c r="K3237" s="3">
        <v>4.4587087326003099</v>
      </c>
      <c r="L3237" s="3">
        <v>8.4252359228115292</v>
      </c>
      <c r="M3237" s="3">
        <v>8.8438018841349955</v>
      </c>
      <c r="N3237" s="3">
        <v>8.9190610023461936</v>
      </c>
      <c r="O3237" s="3">
        <v>10.475597045409998</v>
      </c>
      <c r="P3237" s="3">
        <v>10.935528163388577</v>
      </c>
    </row>
    <row r="3238" spans="1:16" x14ac:dyDescent="0.3">
      <c r="A3238" s="3" t="str">
        <f t="shared" si="51"/>
        <v>LPG</v>
      </c>
      <c r="C3238" s="3" t="s">
        <v>850</v>
      </c>
      <c r="D3238" s="3" t="s">
        <v>752</v>
      </c>
      <c r="E3238" s="3" t="s">
        <v>1500</v>
      </c>
      <c r="F3238" s="3" t="s">
        <v>0</v>
      </c>
      <c r="I3238" s="3">
        <v>4.89317597225098E-2</v>
      </c>
      <c r="M3238" s="3">
        <v>9.7863519445019701E-3</v>
      </c>
    </row>
    <row r="3239" spans="1:16" x14ac:dyDescent="0.3">
      <c r="A3239" s="3" t="str">
        <f t="shared" si="51"/>
        <v>LPG</v>
      </c>
      <c r="C3239" s="3" t="s">
        <v>850</v>
      </c>
      <c r="D3239" s="3" t="s">
        <v>752</v>
      </c>
      <c r="E3239" s="3" t="s">
        <v>1500</v>
      </c>
      <c r="F3239" s="3" t="s">
        <v>1</v>
      </c>
      <c r="G3239" s="3">
        <v>0.16163120623295399</v>
      </c>
      <c r="M3239" s="3">
        <v>2.6938534372157701E-2</v>
      </c>
    </row>
    <row r="3240" spans="1:16" x14ac:dyDescent="0.3">
      <c r="A3240" s="3" t="str">
        <f t="shared" si="51"/>
        <v>LPG</v>
      </c>
      <c r="C3240" s="3" t="s">
        <v>850</v>
      </c>
      <c r="D3240" s="3" t="s">
        <v>752</v>
      </c>
      <c r="E3240" s="3" t="s">
        <v>1500</v>
      </c>
      <c r="F3240" s="3" t="s">
        <v>2</v>
      </c>
      <c r="G3240" s="3">
        <v>1.5764349435202101</v>
      </c>
      <c r="M3240" s="3">
        <v>0.26273915725337499</v>
      </c>
    </row>
    <row r="3241" spans="1:16" x14ac:dyDescent="0.3">
      <c r="A3241" s="3" t="str">
        <f t="shared" si="51"/>
        <v>LPG</v>
      </c>
      <c r="C3241" s="3" t="s">
        <v>850</v>
      </c>
      <c r="D3241" s="3" t="s">
        <v>752</v>
      </c>
      <c r="E3241" s="3" t="s">
        <v>1500</v>
      </c>
      <c r="F3241" s="3" t="s">
        <v>3</v>
      </c>
      <c r="G3241" s="3">
        <v>0.61509894509997298</v>
      </c>
      <c r="M3241" s="3">
        <v>0.17795947854654201</v>
      </c>
    </row>
    <row r="3242" spans="1:16" x14ac:dyDescent="0.3">
      <c r="A3242" s="3" t="str">
        <f t="shared" si="51"/>
        <v>LPG</v>
      </c>
      <c r="C3242" s="3" t="s">
        <v>850</v>
      </c>
      <c r="D3242" s="3" t="s">
        <v>752</v>
      </c>
      <c r="E3242" s="3" t="s">
        <v>1500</v>
      </c>
      <c r="F3242" s="3" t="s">
        <v>4</v>
      </c>
      <c r="G3242" s="3">
        <v>0.47182803796949502</v>
      </c>
      <c r="M3242" s="3">
        <v>8.2447917353258807E-2</v>
      </c>
    </row>
    <row r="3243" spans="1:16" x14ac:dyDescent="0.3">
      <c r="A3243" s="3" t="str">
        <f t="shared" si="51"/>
        <v>LPG</v>
      </c>
      <c r="C3243" s="3" t="s">
        <v>850</v>
      </c>
      <c r="D3243" s="3" t="s">
        <v>752</v>
      </c>
      <c r="E3243" s="3" t="s">
        <v>1500</v>
      </c>
      <c r="F3243" s="3" t="s">
        <v>5</v>
      </c>
      <c r="G3243" s="3">
        <v>0.431192216182127</v>
      </c>
      <c r="M3243" s="3">
        <v>7.18653693636878E-2</v>
      </c>
    </row>
    <row r="3244" spans="1:16" x14ac:dyDescent="0.3">
      <c r="A3244" s="3" t="str">
        <f t="shared" si="51"/>
        <v>LPG</v>
      </c>
      <c r="C3244" s="3" t="s">
        <v>850</v>
      </c>
      <c r="D3244" s="3" t="s">
        <v>752</v>
      </c>
      <c r="E3244" s="3" t="s">
        <v>1500</v>
      </c>
      <c r="F3244" s="3" t="s">
        <v>6</v>
      </c>
      <c r="G3244" s="3">
        <v>1.4979627765972301</v>
      </c>
      <c r="M3244" s="3">
        <v>0.24966046276630999</v>
      </c>
    </row>
    <row r="3245" spans="1:16" x14ac:dyDescent="0.3">
      <c r="A3245" s="3" t="str">
        <f t="shared" si="51"/>
        <v>LPG</v>
      </c>
      <c r="C3245" s="3" t="s">
        <v>850</v>
      </c>
      <c r="D3245" s="3" t="s">
        <v>752</v>
      </c>
      <c r="E3245" s="3" t="s">
        <v>1500</v>
      </c>
      <c r="F3245" s="3" t="s">
        <v>7</v>
      </c>
      <c r="G3245" s="3">
        <v>0.406287307006864</v>
      </c>
      <c r="M3245" s="3">
        <v>6.7714551167810694E-2</v>
      </c>
    </row>
    <row r="3246" spans="1:16" x14ac:dyDescent="0.3">
      <c r="A3246" s="3" t="str">
        <f t="shared" si="51"/>
        <v>LPG</v>
      </c>
      <c r="C3246" s="3" t="s">
        <v>850</v>
      </c>
      <c r="D3246" s="3" t="s">
        <v>752</v>
      </c>
      <c r="E3246" s="3" t="s">
        <v>1500</v>
      </c>
      <c r="F3246" s="3" t="s">
        <v>8</v>
      </c>
      <c r="G3246" s="3">
        <v>0.25476064669301102</v>
      </c>
      <c r="I3246" s="3">
        <v>0.212300538910842</v>
      </c>
      <c r="M3246" s="3">
        <v>4.2460107782168501E-2</v>
      </c>
    </row>
    <row r="3247" spans="1:16" x14ac:dyDescent="0.3">
      <c r="A3247" s="3" t="str">
        <f t="shared" si="51"/>
        <v>NGA</v>
      </c>
      <c r="C3247" s="3" t="s">
        <v>850</v>
      </c>
      <c r="D3247" s="3" t="s">
        <v>752</v>
      </c>
      <c r="E3247" s="3" t="s">
        <v>1499</v>
      </c>
      <c r="F3247" s="3" t="s">
        <v>0</v>
      </c>
      <c r="G3247" s="3">
        <v>0.56265995420324599</v>
      </c>
      <c r="H3247" s="3">
        <v>0.54390462239647097</v>
      </c>
      <c r="I3247" s="3">
        <v>0.46888329516937199</v>
      </c>
      <c r="J3247" s="3">
        <v>0.375106636135497</v>
      </c>
      <c r="K3247" s="3">
        <v>0.281329977101623</v>
      </c>
      <c r="L3247" s="3">
        <v>0.187553318067749</v>
      </c>
      <c r="M3247" s="3">
        <v>9.3776659033874304E-2</v>
      </c>
    </row>
    <row r="3248" spans="1:16" x14ac:dyDescent="0.3">
      <c r="A3248" s="3" t="str">
        <f t="shared" si="51"/>
        <v>NGA</v>
      </c>
      <c r="C3248" s="3" t="s">
        <v>850</v>
      </c>
      <c r="D3248" s="3" t="s">
        <v>752</v>
      </c>
      <c r="E3248" s="3" t="s">
        <v>1499</v>
      </c>
      <c r="F3248" s="3" t="s">
        <v>1</v>
      </c>
      <c r="G3248" s="3">
        <v>1.54881355198515</v>
      </c>
      <c r="I3248" s="3">
        <v>1.2906779599876299</v>
      </c>
      <c r="J3248" s="3">
        <v>1.0325423679901</v>
      </c>
      <c r="K3248" s="3">
        <v>0.77440677599257501</v>
      </c>
      <c r="L3248" s="3">
        <v>0.51627118399505001</v>
      </c>
      <c r="M3248" s="3">
        <v>0.258135591997525</v>
      </c>
    </row>
    <row r="3249" spans="1:13" x14ac:dyDescent="0.3">
      <c r="A3249" s="3" t="str">
        <f t="shared" si="51"/>
        <v>NGA</v>
      </c>
      <c r="C3249" s="3" t="s">
        <v>850</v>
      </c>
      <c r="D3249" s="3" t="s">
        <v>752</v>
      </c>
      <c r="E3249" s="3" t="s">
        <v>1499</v>
      </c>
      <c r="F3249" s="3" t="s">
        <v>2</v>
      </c>
      <c r="G3249" s="3">
        <v>3.73757130108867</v>
      </c>
      <c r="I3249" s="3">
        <v>3.1146427509072301</v>
      </c>
      <c r="J3249" s="3">
        <v>2.49171420072578</v>
      </c>
      <c r="K3249" s="3">
        <v>1.8687856505443301</v>
      </c>
      <c r="L3249" s="3">
        <v>1.24585710036289</v>
      </c>
      <c r="M3249" s="3">
        <v>0.622928550181445</v>
      </c>
    </row>
    <row r="3250" spans="1:13" x14ac:dyDescent="0.3">
      <c r="A3250" s="3" t="str">
        <f t="shared" si="51"/>
        <v>NGA</v>
      </c>
      <c r="C3250" s="3" t="s">
        <v>850</v>
      </c>
      <c r="D3250" s="3" t="s">
        <v>752</v>
      </c>
      <c r="E3250" s="3" t="s">
        <v>1499</v>
      </c>
      <c r="F3250" s="3" t="s">
        <v>3</v>
      </c>
      <c r="G3250" s="3">
        <v>2.53154591316141</v>
      </c>
      <c r="H3250" s="3">
        <v>2.4471610493893601</v>
      </c>
      <c r="I3250" s="3">
        <v>2.10962159430118</v>
      </c>
      <c r="J3250" s="3">
        <v>1.6876972754409401</v>
      </c>
      <c r="K3250" s="3">
        <v>1.2657729565807001</v>
      </c>
      <c r="L3250" s="3">
        <v>0.84384863772047003</v>
      </c>
      <c r="M3250" s="3">
        <v>0.42192431886023501</v>
      </c>
    </row>
    <row r="3251" spans="1:13" x14ac:dyDescent="0.3">
      <c r="A3251" s="3" t="str">
        <f t="shared" si="51"/>
        <v>NGA</v>
      </c>
      <c r="C3251" s="3" t="s">
        <v>850</v>
      </c>
      <c r="D3251" s="3" t="s">
        <v>752</v>
      </c>
      <c r="E3251" s="3" t="s">
        <v>1499</v>
      </c>
      <c r="F3251" s="3" t="s">
        <v>4</v>
      </c>
      <c r="G3251" s="3">
        <v>1.1151009048090801</v>
      </c>
      <c r="H3251" s="3">
        <v>1.0779308746487799</v>
      </c>
      <c r="I3251" s="3">
        <v>0.92925075400756696</v>
      </c>
      <c r="J3251" s="3">
        <v>0.74340060320605295</v>
      </c>
      <c r="K3251" s="3">
        <v>0.55755045240454004</v>
      </c>
      <c r="L3251" s="3">
        <v>0.37170030160302697</v>
      </c>
      <c r="M3251" s="3">
        <v>0.18585015080151299</v>
      </c>
    </row>
    <row r="3252" spans="1:13" x14ac:dyDescent="0.3">
      <c r="A3252" s="3" t="str">
        <f t="shared" si="51"/>
        <v>NGA</v>
      </c>
      <c r="C3252" s="3" t="s">
        <v>850</v>
      </c>
      <c r="D3252" s="3" t="s">
        <v>752</v>
      </c>
      <c r="E3252" s="3" t="s">
        <v>1499</v>
      </c>
      <c r="F3252" s="3" t="s">
        <v>5</v>
      </c>
      <c r="G3252" s="3">
        <v>0.97197286449976605</v>
      </c>
      <c r="I3252" s="3">
        <v>0.80997738708313805</v>
      </c>
      <c r="J3252" s="3">
        <v>0.64798190966651104</v>
      </c>
      <c r="K3252" s="3">
        <v>0.48598643224988303</v>
      </c>
      <c r="L3252" s="3">
        <v>0.32399095483325502</v>
      </c>
      <c r="M3252" s="3">
        <v>0.16199547741662801</v>
      </c>
    </row>
    <row r="3253" spans="1:13" x14ac:dyDescent="0.3">
      <c r="A3253" s="3" t="str">
        <f t="shared" si="51"/>
        <v>NGA</v>
      </c>
      <c r="C3253" s="3" t="s">
        <v>850</v>
      </c>
      <c r="D3253" s="3" t="s">
        <v>752</v>
      </c>
      <c r="E3253" s="3" t="s">
        <v>1499</v>
      </c>
      <c r="F3253" s="3" t="s">
        <v>6</v>
      </c>
      <c r="G3253" s="3">
        <v>3.3766360250549301</v>
      </c>
      <c r="H3253" s="3">
        <v>3.2640814908864302</v>
      </c>
      <c r="I3253" s="3">
        <v>2.8138633542124398</v>
      </c>
      <c r="J3253" s="3">
        <v>2.25109068336995</v>
      </c>
      <c r="K3253" s="3">
        <v>1.6883180125274699</v>
      </c>
      <c r="L3253" s="3">
        <v>1.1255453416849801</v>
      </c>
      <c r="M3253" s="3">
        <v>0.56277267084248805</v>
      </c>
    </row>
    <row r="3254" spans="1:13" x14ac:dyDescent="0.3">
      <c r="A3254" s="3" t="str">
        <f t="shared" si="51"/>
        <v>NGA</v>
      </c>
      <c r="C3254" s="3" t="s">
        <v>850</v>
      </c>
      <c r="D3254" s="3" t="s">
        <v>752</v>
      </c>
      <c r="E3254" s="3" t="s">
        <v>1499</v>
      </c>
      <c r="F3254" s="3" t="s">
        <v>7</v>
      </c>
      <c r="G3254" s="3">
        <v>1.1371902232551001</v>
      </c>
      <c r="H3254" s="3">
        <v>1.09928388247993</v>
      </c>
      <c r="I3254" s="3">
        <v>0.94765851937925005</v>
      </c>
      <c r="J3254" s="3">
        <v>0.7581268155034</v>
      </c>
      <c r="K3254" s="3">
        <v>0.56859511162755005</v>
      </c>
      <c r="L3254" s="3">
        <v>0.3790634077517</v>
      </c>
      <c r="M3254" s="3">
        <v>0.18953170387585</v>
      </c>
    </row>
    <row r="3255" spans="1:13" x14ac:dyDescent="0.3">
      <c r="A3255" s="3" t="str">
        <f t="shared" si="51"/>
        <v>NGA</v>
      </c>
      <c r="C3255" s="3" t="s">
        <v>850</v>
      </c>
      <c r="D3255" s="3" t="s">
        <v>752</v>
      </c>
      <c r="E3255" s="3" t="s">
        <v>1499</v>
      </c>
      <c r="F3255" s="3" t="s">
        <v>8</v>
      </c>
      <c r="G3255" s="3">
        <v>0.71307006567287201</v>
      </c>
      <c r="H3255" s="3">
        <v>0.68930106348377596</v>
      </c>
      <c r="I3255" s="3">
        <v>0.59422505472739295</v>
      </c>
      <c r="J3255" s="3">
        <v>0.47538004378191501</v>
      </c>
      <c r="K3255" s="3">
        <v>0.35653503283643601</v>
      </c>
      <c r="L3255" s="3">
        <v>0.237690021890957</v>
      </c>
      <c r="M3255" s="3">
        <v>0.118845010945479</v>
      </c>
    </row>
    <row r="3256" spans="1:13" x14ac:dyDescent="0.3">
      <c r="A3256" s="3" t="str">
        <f t="shared" si="51"/>
        <v>BIO</v>
      </c>
      <c r="C3256" s="3" t="s">
        <v>850</v>
      </c>
      <c r="D3256" s="3" t="s">
        <v>768</v>
      </c>
      <c r="E3256" s="3" t="s">
        <v>1383</v>
      </c>
      <c r="F3256" s="3" t="s">
        <v>3</v>
      </c>
      <c r="G3256" s="3">
        <v>0.316865608622455</v>
      </c>
    </row>
    <row r="3257" spans="1:13" x14ac:dyDescent="0.3">
      <c r="A3257" s="3" t="str">
        <f t="shared" si="51"/>
        <v>BIO</v>
      </c>
      <c r="C3257" s="3" t="s">
        <v>850</v>
      </c>
      <c r="D3257" s="3" t="s">
        <v>768</v>
      </c>
      <c r="E3257" s="3" t="s">
        <v>1383</v>
      </c>
      <c r="F3257" s="3" t="s">
        <v>6</v>
      </c>
      <c r="G3257" s="3">
        <v>0.18861048132288999</v>
      </c>
    </row>
    <row r="3258" spans="1:13" x14ac:dyDescent="0.3">
      <c r="A3258" s="3" t="str">
        <f t="shared" si="51"/>
        <v>BIO</v>
      </c>
      <c r="C3258" s="3" t="s">
        <v>850</v>
      </c>
      <c r="D3258" s="3" t="s">
        <v>768</v>
      </c>
      <c r="E3258" s="3" t="s">
        <v>1385</v>
      </c>
      <c r="F3258" s="3" t="s">
        <v>6</v>
      </c>
      <c r="G3258" s="3">
        <v>1.65131070754862</v>
      </c>
    </row>
    <row r="3259" spans="1:13" x14ac:dyDescent="0.3">
      <c r="A3259" s="3" t="str">
        <f t="shared" si="51"/>
        <v>BIO</v>
      </c>
      <c r="C3259" s="3" t="s">
        <v>850</v>
      </c>
      <c r="D3259" s="3" t="s">
        <v>768</v>
      </c>
      <c r="E3259" s="3" t="s">
        <v>1376</v>
      </c>
      <c r="F3259" s="3" t="s">
        <v>1</v>
      </c>
      <c r="G3259" s="3">
        <v>9.8077450287903004E-2</v>
      </c>
    </row>
    <row r="3260" spans="1:13" x14ac:dyDescent="0.3">
      <c r="A3260" s="3" t="str">
        <f t="shared" si="51"/>
        <v>BIO</v>
      </c>
      <c r="C3260" s="3" t="s">
        <v>850</v>
      </c>
      <c r="D3260" s="3" t="s">
        <v>768</v>
      </c>
      <c r="E3260" s="3" t="s">
        <v>1376</v>
      </c>
      <c r="F3260" s="3" t="s">
        <v>2</v>
      </c>
      <c r="G3260" s="3">
        <v>6.13255663392498E-2</v>
      </c>
    </row>
    <row r="3261" spans="1:13" x14ac:dyDescent="0.3">
      <c r="A3261" s="3" t="str">
        <f t="shared" si="51"/>
        <v>BIO</v>
      </c>
      <c r="C3261" s="3" t="s">
        <v>850</v>
      </c>
      <c r="D3261" s="3" t="s">
        <v>768</v>
      </c>
      <c r="E3261" s="3" t="s">
        <v>1376</v>
      </c>
      <c r="F3261" s="3" t="s">
        <v>3</v>
      </c>
      <c r="G3261" s="3">
        <v>4.2754852607877203E-2</v>
      </c>
    </row>
    <row r="3262" spans="1:13" x14ac:dyDescent="0.3">
      <c r="A3262" s="3" t="str">
        <f t="shared" si="51"/>
        <v>BIO</v>
      </c>
      <c r="C3262" s="3" t="s">
        <v>850</v>
      </c>
      <c r="D3262" s="3" t="s">
        <v>768</v>
      </c>
      <c r="E3262" s="3" t="s">
        <v>1376</v>
      </c>
      <c r="F3262" s="3" t="s">
        <v>4</v>
      </c>
      <c r="G3262" s="3">
        <v>2.15874063527954E-2</v>
      </c>
    </row>
    <row r="3263" spans="1:13" x14ac:dyDescent="0.3">
      <c r="A3263" s="3" t="str">
        <f t="shared" si="51"/>
        <v>BIO</v>
      </c>
      <c r="C3263" s="3" t="s">
        <v>850</v>
      </c>
      <c r="D3263" s="3" t="s">
        <v>768</v>
      </c>
      <c r="E3263" s="3" t="s">
        <v>1376</v>
      </c>
      <c r="F3263" s="3" t="s">
        <v>5</v>
      </c>
      <c r="G3263" s="3">
        <v>4.5448838982772397E-2</v>
      </c>
    </row>
    <row r="3264" spans="1:13" x14ac:dyDescent="0.3">
      <c r="A3264" s="3" t="str">
        <f t="shared" si="51"/>
        <v>BIO</v>
      </c>
      <c r="C3264" s="3" t="s">
        <v>850</v>
      </c>
      <c r="D3264" s="3" t="s">
        <v>768</v>
      </c>
      <c r="E3264" s="3" t="s">
        <v>1376</v>
      </c>
      <c r="F3264" s="3" t="s">
        <v>6</v>
      </c>
      <c r="G3264" s="3">
        <v>8.3900229108465701E-2</v>
      </c>
    </row>
    <row r="3265" spans="1:12" x14ac:dyDescent="0.3">
      <c r="A3265" s="3" t="str">
        <f t="shared" si="51"/>
        <v>BIO</v>
      </c>
      <c r="C3265" s="3" t="s">
        <v>850</v>
      </c>
      <c r="D3265" s="3" t="s">
        <v>768</v>
      </c>
      <c r="E3265" s="3" t="s">
        <v>1378</v>
      </c>
      <c r="F3265" s="3" t="s">
        <v>1</v>
      </c>
      <c r="G3265" s="3">
        <v>1.6478408623332701</v>
      </c>
    </row>
    <row r="3266" spans="1:12" x14ac:dyDescent="0.3">
      <c r="A3266" s="3" t="str">
        <f t="shared" si="51"/>
        <v>BIO</v>
      </c>
      <c r="C3266" s="3" t="s">
        <v>850</v>
      </c>
      <c r="D3266" s="3" t="s">
        <v>768</v>
      </c>
      <c r="E3266" s="3" t="s">
        <v>1378</v>
      </c>
      <c r="F3266" s="3" t="s">
        <v>2</v>
      </c>
      <c r="G3266" s="3">
        <v>0.408053746729237</v>
      </c>
    </row>
    <row r="3267" spans="1:12" x14ac:dyDescent="0.3">
      <c r="A3267" s="3" t="str">
        <f t="shared" si="51"/>
        <v>BIO</v>
      </c>
      <c r="C3267" s="3" t="s">
        <v>850</v>
      </c>
      <c r="D3267" s="3" t="s">
        <v>768</v>
      </c>
      <c r="E3267" s="3" t="s">
        <v>1378</v>
      </c>
      <c r="F3267" s="3" t="s">
        <v>3</v>
      </c>
      <c r="G3267" s="3">
        <v>0.93185648844312396</v>
      </c>
    </row>
    <row r="3268" spans="1:12" x14ac:dyDescent="0.3">
      <c r="A3268" s="3" t="str">
        <f t="shared" si="51"/>
        <v>BIO</v>
      </c>
      <c r="C3268" s="3" t="s">
        <v>850</v>
      </c>
      <c r="D3268" s="3" t="s">
        <v>768</v>
      </c>
      <c r="E3268" s="3" t="s">
        <v>1378</v>
      </c>
      <c r="F3268" s="3" t="s">
        <v>4</v>
      </c>
      <c r="G3268" s="3">
        <v>1.0581622501428101</v>
      </c>
    </row>
    <row r="3269" spans="1:12" x14ac:dyDescent="0.3">
      <c r="A3269" s="3" t="str">
        <f t="shared" si="51"/>
        <v>BIO</v>
      </c>
      <c r="C3269" s="3" t="s">
        <v>850</v>
      </c>
      <c r="D3269" s="3" t="s">
        <v>768</v>
      </c>
      <c r="E3269" s="3" t="s">
        <v>1378</v>
      </c>
      <c r="F3269" s="3" t="s">
        <v>6</v>
      </c>
      <c r="G3269" s="3">
        <v>13.7660547310646</v>
      </c>
    </row>
    <row r="3270" spans="1:12" x14ac:dyDescent="0.3">
      <c r="A3270" s="3" t="str">
        <f t="shared" si="51"/>
        <v>BIO</v>
      </c>
      <c r="C3270" s="3" t="s">
        <v>850</v>
      </c>
      <c r="D3270" s="3" t="s">
        <v>768</v>
      </c>
      <c r="E3270" s="3" t="s">
        <v>1380</v>
      </c>
      <c r="F3270" s="3" t="s">
        <v>3</v>
      </c>
      <c r="G3270" s="3">
        <v>8.9778589109695703E-2</v>
      </c>
    </row>
    <row r="3271" spans="1:12" x14ac:dyDescent="0.3">
      <c r="A3271" s="3" t="str">
        <f t="shared" si="51"/>
        <v>BIO</v>
      </c>
      <c r="C3271" s="3" t="s">
        <v>850</v>
      </c>
      <c r="D3271" s="3" t="s">
        <v>768</v>
      </c>
      <c r="E3271" s="3" t="s">
        <v>1380</v>
      </c>
      <c r="F3271" s="3" t="s">
        <v>4</v>
      </c>
      <c r="G3271" s="3">
        <v>11.4121151359987</v>
      </c>
    </row>
    <row r="3272" spans="1:12" x14ac:dyDescent="0.3">
      <c r="A3272" s="3" t="str">
        <f t="shared" si="51"/>
        <v>BIO</v>
      </c>
      <c r="C3272" s="3" t="s">
        <v>850</v>
      </c>
      <c r="D3272" s="3" t="s">
        <v>768</v>
      </c>
      <c r="E3272" s="3" t="s">
        <v>1380</v>
      </c>
      <c r="F3272" s="3" t="s">
        <v>5</v>
      </c>
      <c r="G3272" s="3">
        <v>1.84051860554146</v>
      </c>
    </row>
    <row r="3273" spans="1:12" x14ac:dyDescent="0.3">
      <c r="A3273" s="3" t="str">
        <f t="shared" si="51"/>
        <v>BIO</v>
      </c>
      <c r="C3273" s="3" t="s">
        <v>850</v>
      </c>
      <c r="D3273" s="3" t="s">
        <v>768</v>
      </c>
      <c r="E3273" s="3" t="s">
        <v>1380</v>
      </c>
      <c r="F3273" s="3" t="s">
        <v>6</v>
      </c>
      <c r="G3273" s="3">
        <v>8.5625402028505899</v>
      </c>
    </row>
    <row r="3274" spans="1:12" x14ac:dyDescent="0.3">
      <c r="A3274" s="3" t="str">
        <f t="shared" si="51"/>
        <v>BIO</v>
      </c>
      <c r="C3274" s="3" t="s">
        <v>850</v>
      </c>
      <c r="D3274" s="3" t="s">
        <v>768</v>
      </c>
      <c r="E3274" s="3" t="s">
        <v>1513</v>
      </c>
      <c r="F3274" s="3" t="s">
        <v>0</v>
      </c>
      <c r="J3274" s="3">
        <v>2.2509422583326E-2</v>
      </c>
      <c r="K3274" s="3">
        <v>1.68820669374945E-2</v>
      </c>
    </row>
    <row r="3275" spans="1:12" x14ac:dyDescent="0.3">
      <c r="A3275" s="3" t="str">
        <f t="shared" si="51"/>
        <v>BIO</v>
      </c>
      <c r="C3275" s="3" t="s">
        <v>850</v>
      </c>
      <c r="D3275" s="3" t="s">
        <v>768</v>
      </c>
      <c r="E3275" s="3" t="s">
        <v>1513</v>
      </c>
      <c r="F3275" s="3" t="s">
        <v>1</v>
      </c>
      <c r="G3275" s="3">
        <v>10.807014348326801</v>
      </c>
      <c r="H3275" s="3">
        <v>10.446780536715901</v>
      </c>
      <c r="J3275" s="3">
        <v>7.2046762322178699</v>
      </c>
      <c r="K3275" s="3">
        <v>5.4035071741634004</v>
      </c>
      <c r="L3275" s="3">
        <v>3.6023381161089301</v>
      </c>
    </row>
    <row r="3276" spans="1:12" x14ac:dyDescent="0.3">
      <c r="A3276" s="3" t="str">
        <f t="shared" si="51"/>
        <v>BIO</v>
      </c>
      <c r="C3276" s="3" t="s">
        <v>850</v>
      </c>
      <c r="D3276" s="3" t="s">
        <v>768</v>
      </c>
      <c r="E3276" s="3" t="s">
        <v>1513</v>
      </c>
      <c r="F3276" s="3" t="s">
        <v>2</v>
      </c>
      <c r="G3276" s="3">
        <v>1.6317649176025701E-2</v>
      </c>
    </row>
    <row r="3277" spans="1:12" x14ac:dyDescent="0.3">
      <c r="A3277" s="3" t="str">
        <f t="shared" si="51"/>
        <v>BIO</v>
      </c>
      <c r="C3277" s="3" t="s">
        <v>850</v>
      </c>
      <c r="D3277" s="3" t="s">
        <v>768</v>
      </c>
      <c r="E3277" s="3" t="s">
        <v>1513</v>
      </c>
      <c r="F3277" s="3" t="s">
        <v>3</v>
      </c>
      <c r="G3277" s="3">
        <v>1.10523317834552E-2</v>
      </c>
    </row>
    <row r="3278" spans="1:12" x14ac:dyDescent="0.3">
      <c r="A3278" s="3" t="str">
        <f t="shared" si="51"/>
        <v>BIO</v>
      </c>
      <c r="C3278" s="3" t="s">
        <v>850</v>
      </c>
      <c r="D3278" s="3" t="s">
        <v>768</v>
      </c>
      <c r="E3278" s="3" t="s">
        <v>1513</v>
      </c>
      <c r="F3278" s="3" t="s">
        <v>4</v>
      </c>
      <c r="G3278" s="3">
        <v>6.9051176875777998E-2</v>
      </c>
      <c r="H3278" s="3">
        <v>6.6749470979918707E-2</v>
      </c>
    </row>
    <row r="3279" spans="1:12" x14ac:dyDescent="0.3">
      <c r="A3279" s="3" t="str">
        <f t="shared" si="51"/>
        <v>BIO</v>
      </c>
      <c r="C3279" s="3" t="s">
        <v>850</v>
      </c>
      <c r="D3279" s="3" t="s">
        <v>768</v>
      </c>
      <c r="E3279" s="3" t="s">
        <v>1513</v>
      </c>
      <c r="F3279" s="3" t="s">
        <v>5</v>
      </c>
      <c r="G3279" s="3">
        <v>6.0188158663981597E-2</v>
      </c>
      <c r="J3279" s="3">
        <v>4.01254391093211E-2</v>
      </c>
      <c r="K3279" s="3">
        <v>3.0094079331990799E-2</v>
      </c>
      <c r="L3279" s="3">
        <v>2.0062719554660501E-2</v>
      </c>
    </row>
    <row r="3280" spans="1:12" x14ac:dyDescent="0.3">
      <c r="A3280" s="3" t="str">
        <f t="shared" si="51"/>
        <v>BIO</v>
      </c>
      <c r="C3280" s="3" t="s">
        <v>850</v>
      </c>
      <c r="D3280" s="3" t="s">
        <v>768</v>
      </c>
      <c r="E3280" s="3" t="s">
        <v>1513</v>
      </c>
      <c r="F3280" s="3" t="s">
        <v>6</v>
      </c>
      <c r="G3280" s="3">
        <v>0.20909380523818299</v>
      </c>
    </row>
    <row r="3281" spans="1:16" x14ac:dyDescent="0.3">
      <c r="A3281" s="3" t="str">
        <f t="shared" si="51"/>
        <v>DST</v>
      </c>
      <c r="C3281" s="3" t="s">
        <v>850</v>
      </c>
      <c r="D3281" s="3" t="s">
        <v>768</v>
      </c>
      <c r="E3281" s="3" t="s">
        <v>1510</v>
      </c>
      <c r="F3281" s="3" t="s">
        <v>1</v>
      </c>
      <c r="G3281" s="3">
        <v>0.19093011081804601</v>
      </c>
    </row>
    <row r="3282" spans="1:16" x14ac:dyDescent="0.3">
      <c r="A3282" s="3" t="str">
        <f t="shared" si="51"/>
        <v>DST</v>
      </c>
      <c r="C3282" s="3" t="s">
        <v>850</v>
      </c>
      <c r="D3282" s="3" t="s">
        <v>768</v>
      </c>
      <c r="E3282" s="3" t="s">
        <v>1510</v>
      </c>
      <c r="F3282" s="3" t="s">
        <v>3</v>
      </c>
      <c r="G3282" s="3">
        <v>9.0093518851383003E-2</v>
      </c>
    </row>
    <row r="3283" spans="1:16" x14ac:dyDescent="0.3">
      <c r="A3283" s="3" t="str">
        <f t="shared" si="51"/>
        <v>ELC</v>
      </c>
      <c r="C3283" s="3" t="s">
        <v>850</v>
      </c>
      <c r="D3283" s="3" t="s">
        <v>768</v>
      </c>
      <c r="E3283" s="3" t="s">
        <v>1508</v>
      </c>
      <c r="F3283" s="3" t="s">
        <v>1</v>
      </c>
      <c r="G3283" s="3">
        <v>2.9845221836924098</v>
      </c>
      <c r="H3283" s="3">
        <v>11.341195760625</v>
      </c>
    </row>
    <row r="3284" spans="1:16" x14ac:dyDescent="0.3">
      <c r="A3284" s="3" t="str">
        <f t="shared" si="51"/>
        <v>ELC</v>
      </c>
      <c r="C3284" s="3" t="s">
        <v>850</v>
      </c>
      <c r="D3284" s="3" t="s">
        <v>768</v>
      </c>
      <c r="E3284" s="3" t="s">
        <v>1508</v>
      </c>
      <c r="F3284" s="3" t="s">
        <v>2</v>
      </c>
      <c r="G3284" s="3">
        <v>6.7871739294347897</v>
      </c>
      <c r="H3284" s="3">
        <v>8.2406442328404008</v>
      </c>
    </row>
    <row r="3285" spans="1:16" x14ac:dyDescent="0.3">
      <c r="A3285" s="3" t="str">
        <f t="shared" si="51"/>
        <v>ELC</v>
      </c>
      <c r="C3285" s="3" t="s">
        <v>850</v>
      </c>
      <c r="D3285" s="3" t="s">
        <v>768</v>
      </c>
      <c r="E3285" s="3" t="s">
        <v>1508</v>
      </c>
      <c r="F3285" s="3" t="s">
        <v>3</v>
      </c>
      <c r="G3285" s="3">
        <v>4.59711428594595</v>
      </c>
      <c r="H3285" s="3">
        <v>12.2152407984133</v>
      </c>
    </row>
    <row r="3286" spans="1:16" x14ac:dyDescent="0.3">
      <c r="A3286" s="3" t="str">
        <f t="shared" si="51"/>
        <v>ELC</v>
      </c>
      <c r="C3286" s="3" t="s">
        <v>850</v>
      </c>
      <c r="D3286" s="3" t="s">
        <v>768</v>
      </c>
      <c r="E3286" s="3" t="s">
        <v>1508</v>
      </c>
      <c r="F3286" s="3" t="s">
        <v>4</v>
      </c>
      <c r="G3286" s="3">
        <v>2.9105973692998002</v>
      </c>
    </row>
    <row r="3287" spans="1:16" x14ac:dyDescent="0.3">
      <c r="A3287" s="3" t="str">
        <f t="shared" si="51"/>
        <v>ELC</v>
      </c>
      <c r="C3287" s="3" t="s">
        <v>850</v>
      </c>
      <c r="D3287" s="3" t="s">
        <v>768</v>
      </c>
      <c r="E3287" s="3" t="s">
        <v>1508</v>
      </c>
      <c r="F3287" s="3" t="s">
        <v>5</v>
      </c>
      <c r="G3287" s="3">
        <v>2.5370095658994898</v>
      </c>
      <c r="H3287" s="3">
        <v>12.4222588547265</v>
      </c>
      <c r="I3287" s="3">
        <v>15.176223411668101</v>
      </c>
    </row>
    <row r="3288" spans="1:16" x14ac:dyDescent="0.3">
      <c r="A3288" s="3" t="str">
        <f t="shared" si="51"/>
        <v>ELC</v>
      </c>
      <c r="C3288" s="3" t="s">
        <v>850</v>
      </c>
      <c r="D3288" s="3" t="s">
        <v>768</v>
      </c>
      <c r="E3288" s="3" t="s">
        <v>1508</v>
      </c>
      <c r="F3288" s="3" t="s">
        <v>6</v>
      </c>
      <c r="G3288" s="3">
        <v>8.8135772190863193</v>
      </c>
    </row>
    <row r="3289" spans="1:16" x14ac:dyDescent="0.3">
      <c r="A3289" s="3" t="str">
        <f t="shared" si="51"/>
        <v>ELC</v>
      </c>
      <c r="C3289" s="3" t="s">
        <v>850</v>
      </c>
      <c r="D3289" s="3" t="s">
        <v>768</v>
      </c>
      <c r="E3289" s="3" t="s">
        <v>1508</v>
      </c>
      <c r="F3289" s="3" t="s">
        <v>7</v>
      </c>
      <c r="G3289" s="3">
        <v>3.28374749758864</v>
      </c>
    </row>
    <row r="3290" spans="1:16" x14ac:dyDescent="0.3">
      <c r="A3290" s="3" t="str">
        <f t="shared" si="51"/>
        <v>LPG</v>
      </c>
      <c r="C3290" s="3" t="s">
        <v>850</v>
      </c>
      <c r="D3290" s="3" t="s">
        <v>768</v>
      </c>
      <c r="E3290" s="3" t="s">
        <v>1512</v>
      </c>
      <c r="F3290" s="3" t="s">
        <v>1</v>
      </c>
      <c r="G3290" s="3">
        <v>0.107754137488631</v>
      </c>
    </row>
    <row r="3291" spans="1:16" x14ac:dyDescent="0.3">
      <c r="A3291" s="3" t="str">
        <f t="shared" si="51"/>
        <v>LPG</v>
      </c>
      <c r="C3291" s="3" t="s">
        <v>850</v>
      </c>
      <c r="D3291" s="3" t="s">
        <v>768</v>
      </c>
      <c r="E3291" s="3" t="s">
        <v>1512</v>
      </c>
      <c r="F3291" s="3" t="s">
        <v>3</v>
      </c>
      <c r="G3291" s="3">
        <v>0.38920930393698</v>
      </c>
    </row>
    <row r="3292" spans="1:16" x14ac:dyDescent="0.3">
      <c r="A3292" s="3" t="str">
        <f t="shared" si="51"/>
        <v>NGA</v>
      </c>
      <c r="C3292" s="3" t="s">
        <v>850</v>
      </c>
      <c r="D3292" s="3" t="s">
        <v>768</v>
      </c>
      <c r="E3292" s="3" t="s">
        <v>1511</v>
      </c>
      <c r="F3292" s="3" t="s">
        <v>0</v>
      </c>
      <c r="K3292" s="3">
        <v>1.40698691351797</v>
      </c>
      <c r="L3292" s="3">
        <v>2.3031790328022899</v>
      </c>
      <c r="M3292" s="3">
        <v>3.2171910923909102</v>
      </c>
    </row>
    <row r="3293" spans="1:16" x14ac:dyDescent="0.3">
      <c r="A3293" s="3" t="str">
        <f t="shared" si="51"/>
        <v>NGA</v>
      </c>
      <c r="C3293" s="3" t="s">
        <v>850</v>
      </c>
      <c r="D3293" s="3" t="s">
        <v>768</v>
      </c>
      <c r="E3293" s="3" t="s">
        <v>1511</v>
      </c>
      <c r="F3293" s="3" t="s">
        <v>1</v>
      </c>
      <c r="G3293" s="3">
        <v>3.2702988851037702</v>
      </c>
      <c r="I3293" s="3">
        <v>22.637091160375501</v>
      </c>
      <c r="J3293" s="3">
        <v>15.4324149281576</v>
      </c>
      <c r="K3293" s="3">
        <v>17.2335839862121</v>
      </c>
      <c r="L3293" s="3">
        <v>22.0726483713315</v>
      </c>
      <c r="M3293" s="3">
        <v>29.1716338100847</v>
      </c>
      <c r="N3293" s="3">
        <v>36.121559468262902</v>
      </c>
      <c r="O3293" s="3">
        <v>37.651967271563798</v>
      </c>
      <c r="P3293" s="3">
        <v>41.261977920045297</v>
      </c>
    </row>
    <row r="3294" spans="1:16" x14ac:dyDescent="0.3">
      <c r="A3294" s="3" t="str">
        <f t="shared" si="51"/>
        <v>NGA</v>
      </c>
      <c r="C3294" s="3" t="s">
        <v>850</v>
      </c>
      <c r="D3294" s="3" t="s">
        <v>768</v>
      </c>
      <c r="E3294" s="3" t="s">
        <v>1511</v>
      </c>
      <c r="F3294" s="3" t="s">
        <v>2</v>
      </c>
      <c r="G3294" s="3">
        <v>7.8918312945284299</v>
      </c>
      <c r="I3294" s="3">
        <v>13.139996867076899</v>
      </c>
    </row>
    <row r="3295" spans="1:16" x14ac:dyDescent="0.3">
      <c r="A3295" s="3" t="str">
        <f t="shared" ref="A3295:A3358" si="52">RIGHT(E3295,3)</f>
        <v>NGA</v>
      </c>
      <c r="C3295" s="3" t="s">
        <v>850</v>
      </c>
      <c r="D3295" s="3" t="s">
        <v>768</v>
      </c>
      <c r="E3295" s="3" t="s">
        <v>1511</v>
      </c>
      <c r="F3295" s="3" t="s">
        <v>3</v>
      </c>
      <c r="G3295" s="3">
        <v>5.3453249855604001</v>
      </c>
      <c r="I3295" s="3">
        <v>14.1440695106907</v>
      </c>
      <c r="J3295" s="3">
        <v>11.645858395961699</v>
      </c>
      <c r="K3295" s="3">
        <v>11.5547347326129</v>
      </c>
      <c r="L3295" s="3">
        <v>13.2277413683993</v>
      </c>
      <c r="M3295" s="3">
        <v>15.097780599095399</v>
      </c>
      <c r="N3295" s="3">
        <v>17.0824687385382</v>
      </c>
      <c r="O3295" s="3">
        <v>19.681791108628602</v>
      </c>
      <c r="P3295" s="3">
        <v>22.138673888729201</v>
      </c>
    </row>
    <row r="3296" spans="1:16" x14ac:dyDescent="0.3">
      <c r="A3296" s="3" t="str">
        <f t="shared" si="52"/>
        <v>NGA</v>
      </c>
      <c r="C3296" s="3" t="s">
        <v>850</v>
      </c>
      <c r="D3296" s="3" t="s">
        <v>768</v>
      </c>
      <c r="E3296" s="3" t="s">
        <v>1511</v>
      </c>
      <c r="F3296" s="3" t="s">
        <v>4</v>
      </c>
      <c r="G3296" s="3">
        <v>2.3545204915732199</v>
      </c>
      <c r="H3296" s="3">
        <v>9.0434431149239103</v>
      </c>
      <c r="I3296" s="3">
        <v>17.826033830243102</v>
      </c>
    </row>
    <row r="3297" spans="1:16" x14ac:dyDescent="0.3">
      <c r="A3297" s="3" t="str">
        <f t="shared" si="52"/>
        <v>NGA</v>
      </c>
      <c r="C3297" s="3" t="s">
        <v>850</v>
      </c>
      <c r="D3297" s="3" t="s">
        <v>768</v>
      </c>
      <c r="E3297" s="3" t="s">
        <v>1511</v>
      </c>
      <c r="F3297" s="3" t="s">
        <v>5</v>
      </c>
      <c r="G3297" s="3">
        <v>2.0523075686228198</v>
      </c>
      <c r="J3297" s="3">
        <v>9.4048421374450601</v>
      </c>
      <c r="K3297" s="3">
        <v>9.4148734972224108</v>
      </c>
      <c r="L3297" s="3">
        <v>11.2027726357018</v>
      </c>
      <c r="M3297" s="3">
        <v>13.787298149783</v>
      </c>
      <c r="N3297" s="3">
        <v>15.940851629220001</v>
      </c>
      <c r="O3297" s="3">
        <v>18.6628596216357</v>
      </c>
      <c r="P3297" s="3">
        <v>20.775546505718498</v>
      </c>
    </row>
    <row r="3298" spans="1:16" x14ac:dyDescent="0.3">
      <c r="A3298" s="3" t="str">
        <f t="shared" si="52"/>
        <v>NGA</v>
      </c>
      <c r="C3298" s="3" t="s">
        <v>850</v>
      </c>
      <c r="D3298" s="3" t="s">
        <v>768</v>
      </c>
      <c r="E3298" s="3" t="s">
        <v>1511</v>
      </c>
      <c r="F3298" s="3" t="s">
        <v>6</v>
      </c>
      <c r="G3298" s="3">
        <v>7.1297213366869396</v>
      </c>
      <c r="H3298" s="3">
        <v>46.947432327962701</v>
      </c>
      <c r="I3298" s="3">
        <v>55.765912127034497</v>
      </c>
      <c r="J3298" s="3">
        <v>52.715692951683202</v>
      </c>
      <c r="K3298" s="3">
        <v>52.567378243062102</v>
      </c>
      <c r="L3298" s="3">
        <v>58.862848092559197</v>
      </c>
      <c r="M3298" s="3">
        <v>66.157527363454705</v>
      </c>
      <c r="N3298" s="3">
        <v>73.827384540597095</v>
      </c>
      <c r="O3298" s="3">
        <v>83.616438172881502</v>
      </c>
      <c r="P3298" s="3">
        <v>92.446701370512898</v>
      </c>
    </row>
    <row r="3299" spans="1:16" x14ac:dyDescent="0.3">
      <c r="A3299" s="3" t="str">
        <f t="shared" si="52"/>
        <v>NGA</v>
      </c>
      <c r="C3299" s="3" t="s">
        <v>850</v>
      </c>
      <c r="D3299" s="3" t="s">
        <v>768</v>
      </c>
      <c r="E3299" s="3" t="s">
        <v>1511</v>
      </c>
      <c r="F3299" s="3" t="s">
        <v>7</v>
      </c>
      <c r="I3299" s="3">
        <v>14.1543518872289</v>
      </c>
      <c r="L3299" s="3">
        <v>1.4628093911800999</v>
      </c>
      <c r="M3299" s="3">
        <v>3.2986422069813099</v>
      </c>
      <c r="N3299" s="3">
        <v>5.2331853459916102</v>
      </c>
      <c r="O3299" s="3">
        <v>7.7737248371778103</v>
      </c>
      <c r="P3299" s="3">
        <v>10.134703409497799</v>
      </c>
    </row>
    <row r="3300" spans="1:16" x14ac:dyDescent="0.3">
      <c r="A3300" s="3" t="str">
        <f t="shared" si="52"/>
        <v>OTP</v>
      </c>
      <c r="C3300" s="3" t="s">
        <v>850</v>
      </c>
      <c r="D3300" s="3" t="s">
        <v>768</v>
      </c>
      <c r="E3300" s="3" t="s">
        <v>1515</v>
      </c>
      <c r="F3300" s="3" t="s">
        <v>3</v>
      </c>
      <c r="G3300" s="3">
        <v>2.7224354951695898E-3</v>
      </c>
    </row>
    <row r="3301" spans="1:16" x14ac:dyDescent="0.3">
      <c r="A3301" s="3" t="str">
        <f t="shared" si="52"/>
        <v>PTC</v>
      </c>
      <c r="C3301" s="3" t="s">
        <v>850</v>
      </c>
      <c r="D3301" s="3" t="s">
        <v>768</v>
      </c>
      <c r="E3301" s="3" t="s">
        <v>1514</v>
      </c>
      <c r="F3301" s="3" t="s">
        <v>1</v>
      </c>
      <c r="G3301" s="3">
        <v>0.787277368377724</v>
      </c>
    </row>
    <row r="3302" spans="1:16" x14ac:dyDescent="0.3">
      <c r="A3302" s="3" t="str">
        <f t="shared" si="52"/>
        <v>PTC</v>
      </c>
      <c r="C3302" s="3" t="s">
        <v>850</v>
      </c>
      <c r="D3302" s="3" t="s">
        <v>768</v>
      </c>
      <c r="E3302" s="3" t="s">
        <v>1514</v>
      </c>
      <c r="F3302" s="3" t="s">
        <v>3</v>
      </c>
      <c r="G3302" s="3">
        <v>0.23013539018142401</v>
      </c>
    </row>
    <row r="3303" spans="1:16" x14ac:dyDescent="0.3">
      <c r="A3303" s="3" t="str">
        <f t="shared" si="52"/>
        <v>RFL</v>
      </c>
      <c r="C3303" s="3" t="s">
        <v>850</v>
      </c>
      <c r="D3303" s="3" t="s">
        <v>768</v>
      </c>
      <c r="E3303" s="3" t="s">
        <v>1509</v>
      </c>
      <c r="F3303" s="3" t="s">
        <v>0</v>
      </c>
      <c r="I3303" s="3">
        <v>1.1432204111184201</v>
      </c>
      <c r="J3303" s="3">
        <v>1.1207109885350901</v>
      </c>
    </row>
    <row r="3304" spans="1:16" x14ac:dyDescent="0.3">
      <c r="A3304" s="3" t="str">
        <f t="shared" si="52"/>
        <v>RFL</v>
      </c>
      <c r="C3304" s="3" t="s">
        <v>850</v>
      </c>
      <c r="D3304" s="3" t="s">
        <v>768</v>
      </c>
      <c r="E3304" s="3" t="s">
        <v>1509</v>
      </c>
      <c r="F3304" s="3" t="s">
        <v>1</v>
      </c>
      <c r="G3304" s="3">
        <v>0.46359416835481598</v>
      </c>
    </row>
    <row r="3305" spans="1:16" x14ac:dyDescent="0.3">
      <c r="A3305" s="3" t="str">
        <f t="shared" si="52"/>
        <v>RFL</v>
      </c>
      <c r="C3305" s="3" t="s">
        <v>850</v>
      </c>
      <c r="D3305" s="3" t="s">
        <v>768</v>
      </c>
      <c r="E3305" s="3" t="s">
        <v>1509</v>
      </c>
      <c r="F3305" s="3" t="s">
        <v>6</v>
      </c>
      <c r="G3305" s="3">
        <v>0.29294247737929702</v>
      </c>
    </row>
    <row r="3306" spans="1:16" x14ac:dyDescent="0.3">
      <c r="A3306" s="3" t="str">
        <f t="shared" si="52"/>
        <v>BIO</v>
      </c>
      <c r="C3306" s="3" t="s">
        <v>850</v>
      </c>
      <c r="D3306" s="3" t="s">
        <v>768</v>
      </c>
      <c r="E3306" s="3" t="s">
        <v>1386</v>
      </c>
      <c r="F3306" s="3" t="s">
        <v>0</v>
      </c>
      <c r="N3306" s="3">
        <v>4.1917239734985001</v>
      </c>
      <c r="O3306" s="3">
        <v>5.4100528700950701</v>
      </c>
      <c r="P3306" s="3">
        <v>6.3536977285820004</v>
      </c>
    </row>
    <row r="3307" spans="1:16" x14ac:dyDescent="0.3">
      <c r="A3307" s="3" t="str">
        <f t="shared" si="52"/>
        <v>STM</v>
      </c>
      <c r="C3307" s="3" t="s">
        <v>850</v>
      </c>
      <c r="D3307" s="3" t="s">
        <v>768</v>
      </c>
      <c r="E3307" s="3" t="s">
        <v>1576</v>
      </c>
      <c r="F3307" s="3" t="s">
        <v>0</v>
      </c>
      <c r="G3307" s="3">
        <v>6.4126926323406304</v>
      </c>
      <c r="H3307" s="3">
        <v>6.4126926323406304</v>
      </c>
      <c r="I3307" s="3">
        <v>5.2694722212222196</v>
      </c>
      <c r="J3307" s="3">
        <v>5.2694722212222196</v>
      </c>
      <c r="K3307" s="3">
        <v>5.2694722212222196</v>
      </c>
      <c r="L3307" s="3">
        <v>5.2694722212222196</v>
      </c>
      <c r="M3307" s="3">
        <v>5.2694722212222196</v>
      </c>
      <c r="N3307" s="3">
        <v>5.2568375199433</v>
      </c>
      <c r="O3307" s="3">
        <v>5.2543105796875196</v>
      </c>
      <c r="P3307" s="3">
        <v>5.2543105796875196</v>
      </c>
    </row>
    <row r="3308" spans="1:16" x14ac:dyDescent="0.3">
      <c r="A3308" s="3" t="str">
        <f t="shared" si="52"/>
        <v>STM</v>
      </c>
      <c r="C3308" s="3" t="s">
        <v>850</v>
      </c>
      <c r="D3308" s="3" t="s">
        <v>768</v>
      </c>
      <c r="E3308" s="3" t="s">
        <v>1576</v>
      </c>
      <c r="F3308" s="3" t="s">
        <v>1</v>
      </c>
      <c r="G3308" s="3">
        <v>5.57475289002452</v>
      </c>
      <c r="H3308" s="3">
        <v>4.1440861074670199</v>
      </c>
      <c r="I3308" s="3">
        <v>3.29497124443242</v>
      </c>
      <c r="J3308" s="3">
        <v>3.29497124443242</v>
      </c>
      <c r="K3308" s="3">
        <v>3.29497124443242</v>
      </c>
      <c r="L3308" s="3">
        <v>3.29497124443242</v>
      </c>
      <c r="M3308" s="3">
        <v>3.29497124443242</v>
      </c>
      <c r="N3308" s="3">
        <v>2.48861965284079E-2</v>
      </c>
      <c r="O3308" s="3">
        <v>3.14565406526197</v>
      </c>
      <c r="P3308" s="3">
        <v>3.14565406526197</v>
      </c>
    </row>
    <row r="3309" spans="1:16" x14ac:dyDescent="0.3">
      <c r="A3309" s="3" t="str">
        <f t="shared" si="52"/>
        <v>STM</v>
      </c>
      <c r="C3309" s="3" t="s">
        <v>850</v>
      </c>
      <c r="D3309" s="3" t="s">
        <v>768</v>
      </c>
      <c r="E3309" s="3" t="s">
        <v>1576</v>
      </c>
      <c r="F3309" s="3" t="s">
        <v>2</v>
      </c>
      <c r="G3309" s="3">
        <v>5.77082928219812</v>
      </c>
      <c r="H3309" s="3">
        <v>12.694887235565499</v>
      </c>
      <c r="I3309" s="3">
        <v>7.7955346013289102</v>
      </c>
      <c r="J3309" s="3">
        <v>20.935531468405902</v>
      </c>
      <c r="K3309" s="3">
        <v>20.935531468405902</v>
      </c>
      <c r="L3309" s="3">
        <v>23.388092017762599</v>
      </c>
      <c r="M3309" s="3">
        <v>26.211013269238801</v>
      </c>
      <c r="N3309" s="3">
        <v>29.181830541405699</v>
      </c>
      <c r="O3309" s="3">
        <v>32.9368282398883</v>
      </c>
      <c r="P3309" s="3">
        <v>35.851270228835197</v>
      </c>
    </row>
    <row r="3310" spans="1:16" x14ac:dyDescent="0.3">
      <c r="A3310" s="3" t="str">
        <f t="shared" si="52"/>
        <v>STM</v>
      </c>
      <c r="C3310" s="3" t="s">
        <v>850</v>
      </c>
      <c r="D3310" s="3" t="s">
        <v>768</v>
      </c>
      <c r="E3310" s="3" t="s">
        <v>1576</v>
      </c>
      <c r="F3310" s="3" t="s">
        <v>3</v>
      </c>
      <c r="G3310" s="3">
        <v>2.0971617201527502</v>
      </c>
      <c r="H3310" s="3">
        <v>1.92882871227738</v>
      </c>
      <c r="J3310" s="3">
        <v>2.4982111147289801</v>
      </c>
      <c r="K3310" s="3">
        <v>2.58933477807778</v>
      </c>
      <c r="L3310" s="3">
        <v>2.6722951189417898</v>
      </c>
      <c r="M3310" s="3">
        <v>2.7213757063682502</v>
      </c>
      <c r="N3310" s="3">
        <v>2.7563522316959701</v>
      </c>
      <c r="O3310" s="3">
        <v>2.7098075901356702</v>
      </c>
      <c r="P3310" s="3">
        <v>2.2342636011301198</v>
      </c>
    </row>
    <row r="3311" spans="1:16" x14ac:dyDescent="0.3">
      <c r="A3311" s="3" t="str">
        <f t="shared" si="52"/>
        <v>STM</v>
      </c>
      <c r="C3311" s="3" t="s">
        <v>850</v>
      </c>
      <c r="D3311" s="3" t="s">
        <v>768</v>
      </c>
      <c r="E3311" s="3" t="s">
        <v>1576</v>
      </c>
      <c r="F3311" s="3" t="s">
        <v>4</v>
      </c>
      <c r="H3311" s="3">
        <v>8.7158412443393196</v>
      </c>
      <c r="J3311" s="3">
        <v>17.826033830243102</v>
      </c>
      <c r="K3311" s="3">
        <v>17.826033830243102</v>
      </c>
      <c r="L3311" s="3">
        <v>19.924336436865399</v>
      </c>
      <c r="M3311" s="3">
        <v>22.329185567203702</v>
      </c>
      <c r="N3311" s="3">
        <v>24.860027449395201</v>
      </c>
      <c r="O3311" s="3">
        <v>28.058913335743</v>
      </c>
      <c r="P3311" s="3">
        <v>30.5417290639095</v>
      </c>
    </row>
    <row r="3312" spans="1:16" x14ac:dyDescent="0.3">
      <c r="A3312" s="3" t="str">
        <f t="shared" si="52"/>
        <v>STM</v>
      </c>
      <c r="C3312" s="3" t="s">
        <v>850</v>
      </c>
      <c r="D3312" s="3" t="s">
        <v>768</v>
      </c>
      <c r="E3312" s="3" t="s">
        <v>1576</v>
      </c>
      <c r="F3312" s="3" t="s">
        <v>5</v>
      </c>
      <c r="G3312" s="3">
        <v>8.6407506739575606</v>
      </c>
      <c r="H3312" s="3">
        <v>2.7539645569415399</v>
      </c>
      <c r="J3312" s="3">
        <v>5.7312558351136902</v>
      </c>
      <c r="K3312" s="3">
        <v>5.7312558351136902</v>
      </c>
      <c r="L3312" s="3">
        <v>5.7312558351136902</v>
      </c>
      <c r="M3312" s="3">
        <v>5.2131362944281099</v>
      </c>
      <c r="N3312" s="3">
        <v>5.2131362944281099</v>
      </c>
      <c r="O3312" s="3">
        <v>5.2131362944281099</v>
      </c>
      <c r="P3312" s="3">
        <v>5.2131362944281099</v>
      </c>
    </row>
    <row r="3313" spans="1:16" x14ac:dyDescent="0.3">
      <c r="A3313" s="3" t="str">
        <f t="shared" si="52"/>
        <v>STM</v>
      </c>
      <c r="C3313" s="3" t="s">
        <v>850</v>
      </c>
      <c r="D3313" s="3" t="s">
        <v>768</v>
      </c>
      <c r="E3313" s="3" t="s">
        <v>1576</v>
      </c>
      <c r="F3313" s="3" t="s">
        <v>6</v>
      </c>
      <c r="G3313" s="3">
        <v>15.068160936748599</v>
      </c>
      <c r="H3313" s="3">
        <v>8.8184797990718096</v>
      </c>
      <c r="J3313" s="3">
        <v>3.0502191753512902</v>
      </c>
      <c r="K3313" s="3">
        <v>3.1985338839723498</v>
      </c>
      <c r="L3313" s="3">
        <v>3.43594218414463</v>
      </c>
      <c r="M3313" s="3">
        <v>3.6606697498476799</v>
      </c>
      <c r="N3313" s="3">
        <v>3.9041695942431498</v>
      </c>
      <c r="O3313" s="3">
        <v>4.1172920235891501</v>
      </c>
      <c r="P3313" s="3">
        <v>3.0502191753512902</v>
      </c>
    </row>
    <row r="3314" spans="1:16" x14ac:dyDescent="0.3">
      <c r="A3314" s="3" t="str">
        <f t="shared" si="52"/>
        <v>STM</v>
      </c>
      <c r="C3314" s="3" t="s">
        <v>850</v>
      </c>
      <c r="D3314" s="3" t="s">
        <v>768</v>
      </c>
      <c r="E3314" s="3" t="s">
        <v>1576</v>
      </c>
      <c r="F3314" s="3" t="s">
        <v>7</v>
      </c>
      <c r="G3314" s="3">
        <v>10.870604389640301</v>
      </c>
      <c r="H3314" s="3">
        <v>14.154351887229</v>
      </c>
      <c r="J3314" s="3">
        <v>14.154351887229</v>
      </c>
      <c r="K3314" s="3">
        <v>14.154351887229</v>
      </c>
      <c r="L3314" s="3">
        <v>14.3496998298007</v>
      </c>
      <c r="M3314" s="3">
        <v>14.422422371365601</v>
      </c>
      <c r="N3314" s="3">
        <v>14.4964259523832</v>
      </c>
      <c r="O3314" s="3">
        <v>14.494611539194899</v>
      </c>
      <c r="P3314" s="3">
        <v>14.104064791293901</v>
      </c>
    </row>
    <row r="3315" spans="1:16" x14ac:dyDescent="0.3">
      <c r="A3315" s="3" t="str">
        <f t="shared" si="52"/>
        <v>STM</v>
      </c>
      <c r="C3315" s="3" t="s">
        <v>850</v>
      </c>
      <c r="D3315" s="3" t="s">
        <v>768</v>
      </c>
      <c r="E3315" s="3" t="s">
        <v>1576</v>
      </c>
      <c r="F3315" s="3" t="s">
        <v>8</v>
      </c>
      <c r="G3315" s="3">
        <v>73.959862674988301</v>
      </c>
      <c r="H3315" s="3">
        <v>9.0240002417549494</v>
      </c>
      <c r="I3315" s="3">
        <v>9.0240002417549494</v>
      </c>
      <c r="J3315" s="3">
        <v>9.0240002417549494</v>
      </c>
      <c r="K3315" s="3">
        <v>9.0240002417549494</v>
      </c>
      <c r="L3315" s="3">
        <v>10.081145937994499</v>
      </c>
      <c r="M3315" s="3">
        <v>11.297931004770501</v>
      </c>
      <c r="N3315" s="3">
        <v>12.578464810310701</v>
      </c>
      <c r="O3315" s="3">
        <v>14.1970098274283</v>
      </c>
      <c r="P3315" s="3">
        <v>15.453243768875</v>
      </c>
    </row>
    <row r="3316" spans="1:16" x14ac:dyDescent="0.3">
      <c r="A3316" s="3" t="str">
        <f t="shared" si="52"/>
        <v>WOD</v>
      </c>
      <c r="C3316" s="3" t="s">
        <v>850</v>
      </c>
      <c r="D3316" s="3" t="s">
        <v>1272</v>
      </c>
      <c r="E3316" s="3" t="s">
        <v>1391</v>
      </c>
      <c r="F3316" s="3" t="s">
        <v>0</v>
      </c>
      <c r="G3316" s="3">
        <v>6.3995537782185927</v>
      </c>
      <c r="H3316" s="3">
        <v>6.3991492207360601</v>
      </c>
      <c r="I3316" s="3">
        <v>5.2543105796875187</v>
      </c>
      <c r="J3316" s="3">
        <v>5.2543105796875187</v>
      </c>
      <c r="K3316" s="3">
        <v>5.2543105796875187</v>
      </c>
      <c r="L3316" s="3">
        <v>5.2543105796875187</v>
      </c>
      <c r="M3316" s="3">
        <v>5.2543105796875187</v>
      </c>
      <c r="N3316" s="3">
        <v>5.2543105796875187</v>
      </c>
      <c r="O3316" s="3">
        <v>5.2543105796875187</v>
      </c>
      <c r="P3316" s="3">
        <v>5.2543105796875187</v>
      </c>
    </row>
    <row r="3317" spans="1:16" x14ac:dyDescent="0.3">
      <c r="A3317" s="3" t="str">
        <f t="shared" si="52"/>
        <v>WOD</v>
      </c>
      <c r="C3317" s="3" t="s">
        <v>850</v>
      </c>
      <c r="D3317" s="3" t="s">
        <v>1272</v>
      </c>
      <c r="E3317" s="3" t="s">
        <v>1391</v>
      </c>
      <c r="F3317" s="3" t="s">
        <v>1</v>
      </c>
      <c r="G3317" s="3">
        <v>4.3399972551287895</v>
      </c>
      <c r="H3317" s="3">
        <v>4.1011286171554264</v>
      </c>
      <c r="I3317" s="3">
        <v>3.1456540652619696</v>
      </c>
      <c r="J3317" s="3">
        <v>3.1456540652619696</v>
      </c>
      <c r="K3317" s="3">
        <v>3.1456540652619696</v>
      </c>
      <c r="L3317" s="3">
        <v>3.1456540652619696</v>
      </c>
      <c r="M3317" s="3">
        <v>3.1456540652619696</v>
      </c>
      <c r="O3317" s="3">
        <v>3.1456540652619696</v>
      </c>
      <c r="P3317" s="3">
        <v>3.1456540652619696</v>
      </c>
    </row>
    <row r="3318" spans="1:16" x14ac:dyDescent="0.3">
      <c r="A3318" s="3" t="str">
        <f t="shared" si="52"/>
        <v>WOD</v>
      </c>
      <c r="C3318" s="3" t="s">
        <v>850</v>
      </c>
      <c r="D3318" s="3" t="s">
        <v>1272</v>
      </c>
      <c r="E3318" s="3" t="s">
        <v>1391</v>
      </c>
      <c r="F3318" s="3" t="s">
        <v>2</v>
      </c>
      <c r="G3318" s="3">
        <v>5.7708292821981226</v>
      </c>
      <c r="H3318" s="3">
        <v>11.884981809543898</v>
      </c>
      <c r="I3318" s="3">
        <v>6.9856291753073929</v>
      </c>
      <c r="J3318" s="3">
        <v>6.9856291753073929</v>
      </c>
      <c r="K3318" s="3">
        <v>6.9856291753073938</v>
      </c>
      <c r="L3318" s="3">
        <v>4.1627079238312428</v>
      </c>
      <c r="M3318" s="3">
        <v>6.9856291753073929</v>
      </c>
    </row>
    <row r="3319" spans="1:16" x14ac:dyDescent="0.3">
      <c r="A3319" s="3" t="str">
        <f t="shared" si="52"/>
        <v>WOD</v>
      </c>
      <c r="C3319" s="3" t="s">
        <v>850</v>
      </c>
      <c r="D3319" s="3" t="s">
        <v>1272</v>
      </c>
      <c r="E3319" s="3" t="s">
        <v>1391</v>
      </c>
      <c r="F3319" s="3" t="s">
        <v>3</v>
      </c>
      <c r="G3319" s="3">
        <v>2.0971617201527497</v>
      </c>
      <c r="H3319" s="3">
        <v>1.9288287122773804</v>
      </c>
      <c r="J3319" s="3">
        <v>1.2554966807759123</v>
      </c>
      <c r="K3319" s="3">
        <v>1.2554966807759123</v>
      </c>
      <c r="L3319" s="3">
        <v>1.2554966807759123</v>
      </c>
      <c r="M3319" s="3">
        <v>1.2554966807759123</v>
      </c>
      <c r="N3319" s="3">
        <v>1.2554966807759123</v>
      </c>
      <c r="O3319" s="3">
        <v>1.2554966807759123</v>
      </c>
      <c r="P3319" s="3">
        <v>1.2554966807759123</v>
      </c>
    </row>
    <row r="3320" spans="1:16" x14ac:dyDescent="0.3">
      <c r="A3320" s="3" t="str">
        <f t="shared" si="52"/>
        <v>WOD</v>
      </c>
      <c r="C3320" s="3" t="s">
        <v>850</v>
      </c>
      <c r="D3320" s="3" t="s">
        <v>1272</v>
      </c>
      <c r="E3320" s="3" t="s">
        <v>1391</v>
      </c>
      <c r="F3320" s="3" t="s">
        <v>4</v>
      </c>
      <c r="H3320" s="3">
        <v>8.0317551206448456</v>
      </c>
      <c r="J3320" s="3">
        <v>4.8709285593861802</v>
      </c>
    </row>
    <row r="3321" spans="1:16" x14ac:dyDescent="0.3">
      <c r="A3321" s="3" t="str">
        <f t="shared" si="52"/>
        <v>WOD</v>
      </c>
      <c r="C3321" s="3" t="s">
        <v>850</v>
      </c>
      <c r="D3321" s="3" t="s">
        <v>1272</v>
      </c>
      <c r="E3321" s="3" t="s">
        <v>1391</v>
      </c>
      <c r="F3321" s="3" t="s">
        <v>5</v>
      </c>
      <c r="G3321" s="3">
        <v>8.6407506739575606</v>
      </c>
      <c r="H3321" s="3">
        <v>2.7539645569415434</v>
      </c>
      <c r="J3321" s="3">
        <v>5.213136294428109</v>
      </c>
      <c r="K3321" s="3">
        <v>5.213136294428109</v>
      </c>
      <c r="L3321" s="3">
        <v>5.213136294428109</v>
      </c>
      <c r="M3321" s="3">
        <v>5.213136294428109</v>
      </c>
      <c r="N3321" s="3">
        <v>5.213136294428109</v>
      </c>
      <c r="O3321" s="3">
        <v>5.213136294428109</v>
      </c>
      <c r="P3321" s="3">
        <v>5.213136294428109</v>
      </c>
    </row>
    <row r="3322" spans="1:16" x14ac:dyDescent="0.3">
      <c r="A3322" s="3" t="str">
        <f t="shared" si="52"/>
        <v>WOD</v>
      </c>
      <c r="C3322" s="3" t="s">
        <v>850</v>
      </c>
      <c r="D3322" s="3" t="s">
        <v>1272</v>
      </c>
      <c r="E3322" s="3" t="s">
        <v>1391</v>
      </c>
      <c r="F3322" s="3" t="s">
        <v>6</v>
      </c>
      <c r="G3322" s="3">
        <v>10.260544955001933</v>
      </c>
      <c r="H3322" s="3">
        <v>8.8184797990718096</v>
      </c>
      <c r="J3322" s="3">
        <v>3.0502191753512879</v>
      </c>
      <c r="K3322" s="3">
        <v>3.0502191753512879</v>
      </c>
      <c r="L3322" s="3">
        <v>3.0502191753512879</v>
      </c>
      <c r="M3322" s="3">
        <v>3.0502191753512879</v>
      </c>
      <c r="N3322" s="3">
        <v>3.0502191753512879</v>
      </c>
      <c r="O3322" s="3">
        <v>3.0502191753512879</v>
      </c>
      <c r="P3322" s="3">
        <v>3.0502191753512879</v>
      </c>
    </row>
    <row r="3323" spans="1:16" x14ac:dyDescent="0.3">
      <c r="A3323" s="3" t="str">
        <f t="shared" si="52"/>
        <v>WOD</v>
      </c>
      <c r="C3323" s="3" t="s">
        <v>850</v>
      </c>
      <c r="D3323" s="3" t="s">
        <v>1272</v>
      </c>
      <c r="E3323" s="3" t="s">
        <v>1391</v>
      </c>
      <c r="F3323" s="3" t="s">
        <v>7</v>
      </c>
      <c r="G3323" s="3">
        <v>10.870604389640308</v>
      </c>
      <c r="H3323" s="3">
        <v>13.137296821363581</v>
      </c>
      <c r="J3323" s="3">
        <v>10.876420439434385</v>
      </c>
      <c r="K3323" s="3">
        <v>10.876420439434385</v>
      </c>
      <c r="L3323" s="3">
        <v>10.876420439434385</v>
      </c>
      <c r="M3323" s="3">
        <v>10.876420439434385</v>
      </c>
      <c r="N3323" s="3">
        <v>10.876420439434385</v>
      </c>
      <c r="O3323" s="3">
        <v>10.876420439434385</v>
      </c>
      <c r="P3323" s="3">
        <v>10.876420439434385</v>
      </c>
    </row>
    <row r="3324" spans="1:16" x14ac:dyDescent="0.3">
      <c r="A3324" s="3" t="str">
        <f t="shared" si="52"/>
        <v>WOD</v>
      </c>
      <c r="C3324" s="3" t="s">
        <v>850</v>
      </c>
      <c r="D3324" s="3" t="s">
        <v>1272</v>
      </c>
      <c r="E3324" s="3" t="s">
        <v>1391</v>
      </c>
      <c r="F3324" s="3" t="s">
        <v>8</v>
      </c>
      <c r="G3324" s="3">
        <v>73.959862674988344</v>
      </c>
      <c r="H3324" s="3">
        <v>9.0228539955544402</v>
      </c>
      <c r="I3324" s="3">
        <v>9.0182690107524195</v>
      </c>
      <c r="J3324" s="3">
        <v>9.0182690107524195</v>
      </c>
      <c r="K3324" s="3">
        <v>9.0182690107524195</v>
      </c>
      <c r="L3324" s="3">
        <v>10.075414706992005</v>
      </c>
      <c r="M3324" s="3">
        <v>11.292199773767997</v>
      </c>
      <c r="N3324" s="3">
        <v>12.57750960514362</v>
      </c>
      <c r="O3324" s="3">
        <v>14.197009827428326</v>
      </c>
      <c r="P3324" s="3">
        <v>15.45324376887503</v>
      </c>
    </row>
    <row r="3325" spans="1:16" x14ac:dyDescent="0.3">
      <c r="A3325" s="3" t="str">
        <f t="shared" si="52"/>
        <v>WOD</v>
      </c>
      <c r="C3325" s="3" t="s">
        <v>850</v>
      </c>
      <c r="D3325" s="3" t="s">
        <v>1272</v>
      </c>
      <c r="E3325" s="3" t="s">
        <v>1393</v>
      </c>
      <c r="F3325" s="3" t="s">
        <v>2</v>
      </c>
      <c r="H3325" s="3">
        <v>0.80990542602151872</v>
      </c>
      <c r="I3325" s="3">
        <v>0.80990542602151872</v>
      </c>
      <c r="J3325" s="3">
        <v>13.944845324566822</v>
      </c>
      <c r="K3325" s="3">
        <v>13.944845324566822</v>
      </c>
      <c r="L3325" s="3">
        <v>19.220327125399749</v>
      </c>
      <c r="M3325" s="3">
        <v>19.220327125399749</v>
      </c>
      <c r="N3325" s="3">
        <v>29.180987713317055</v>
      </c>
      <c r="O3325" s="3">
        <v>32.936828239888293</v>
      </c>
      <c r="P3325" s="3">
        <v>35.851270228835176</v>
      </c>
    </row>
    <row r="3326" spans="1:16" x14ac:dyDescent="0.3">
      <c r="A3326" s="3" t="str">
        <f t="shared" si="52"/>
        <v>WOD</v>
      </c>
      <c r="C3326" s="3" t="s">
        <v>850</v>
      </c>
      <c r="D3326" s="3" t="s">
        <v>1272</v>
      </c>
      <c r="E3326" s="3" t="s">
        <v>1393</v>
      </c>
      <c r="F3326" s="3" t="s">
        <v>4</v>
      </c>
      <c r="H3326" s="3">
        <v>0.68408612369446509</v>
      </c>
      <c r="J3326" s="3">
        <v>12.862408214147498</v>
      </c>
      <c r="K3326" s="3">
        <v>17.733336773533676</v>
      </c>
      <c r="L3326" s="3">
        <v>19.83163938015597</v>
      </c>
      <c r="M3326" s="3">
        <v>22.236488510494187</v>
      </c>
      <c r="N3326" s="3">
        <v>24.844577939943658</v>
      </c>
      <c r="O3326" s="3">
        <v>28.058913335742972</v>
      </c>
      <c r="P3326" s="3">
        <v>30.541729063909461</v>
      </c>
    </row>
    <row r="3327" spans="1:16" x14ac:dyDescent="0.3">
      <c r="A3327" s="3" t="str">
        <f t="shared" si="52"/>
        <v>WOD</v>
      </c>
      <c r="C3327" s="3" t="s">
        <v>850</v>
      </c>
      <c r="D3327" s="3" t="s">
        <v>1272</v>
      </c>
      <c r="E3327" s="3" t="s">
        <v>1396</v>
      </c>
      <c r="F3327" s="3" t="s">
        <v>6</v>
      </c>
      <c r="G3327" s="3">
        <v>3.7742071008126299</v>
      </c>
      <c r="K3327" s="3">
        <v>0.148314708621062</v>
      </c>
      <c r="L3327" s="3">
        <v>0.38572300879333898</v>
      </c>
      <c r="M3327" s="3">
        <v>0.61045057449639395</v>
      </c>
      <c r="N3327" s="3">
        <v>0.85395041889186296</v>
      </c>
      <c r="O3327" s="3">
        <v>1.06707284823786</v>
      </c>
    </row>
    <row r="3328" spans="1:16" x14ac:dyDescent="0.3">
      <c r="A3328" s="3" t="str">
        <f t="shared" si="52"/>
        <v>WOD</v>
      </c>
      <c r="C3328" s="3" t="s">
        <v>850</v>
      </c>
      <c r="D3328" s="3" t="s">
        <v>1272</v>
      </c>
      <c r="E3328" s="3" t="s">
        <v>1398</v>
      </c>
      <c r="F3328" s="3" t="s">
        <v>5</v>
      </c>
      <c r="J3328" s="3">
        <v>0.51811954068558497</v>
      </c>
      <c r="K3328" s="3">
        <v>0.51811954068558497</v>
      </c>
      <c r="L3328" s="3">
        <v>0.51811954068558497</v>
      </c>
    </row>
    <row r="3329" spans="1:16" x14ac:dyDescent="0.3">
      <c r="A3329" s="3" t="str">
        <f t="shared" si="52"/>
        <v>WOD</v>
      </c>
      <c r="C3329" s="3" t="s">
        <v>850</v>
      </c>
      <c r="D3329" s="3" t="s">
        <v>1272</v>
      </c>
      <c r="E3329" s="3" t="s">
        <v>1398</v>
      </c>
      <c r="F3329" s="3" t="s">
        <v>6</v>
      </c>
      <c r="G3329" s="3">
        <v>1.03340888093406</v>
      </c>
    </row>
    <row r="3330" spans="1:16" x14ac:dyDescent="0.3">
      <c r="A3330" s="3" t="str">
        <f t="shared" si="52"/>
        <v>WOD</v>
      </c>
      <c r="C3330" s="3" t="s">
        <v>850</v>
      </c>
      <c r="D3330" s="3" t="s">
        <v>1272</v>
      </c>
      <c r="E3330" s="3" t="s">
        <v>1400</v>
      </c>
      <c r="F3330" s="3" t="s">
        <v>0</v>
      </c>
      <c r="G3330" s="3">
        <v>1.3138854122040728E-2</v>
      </c>
      <c r="H3330" s="3">
        <v>1.3543411604572231E-2</v>
      </c>
      <c r="I3330" s="3">
        <v>1.5161641534698265E-2</v>
      </c>
      <c r="J3330" s="3">
        <v>1.5161641534698265E-2</v>
      </c>
      <c r="K3330" s="3">
        <v>1.5161641534698265E-2</v>
      </c>
      <c r="L3330" s="3">
        <v>1.5161641534698265E-2</v>
      </c>
      <c r="M3330" s="3">
        <v>1.5161641534698265E-2</v>
      </c>
      <c r="N3330" s="3">
        <v>2.5269402557830437E-3</v>
      </c>
    </row>
    <row r="3331" spans="1:16" x14ac:dyDescent="0.3">
      <c r="A3331" s="3" t="str">
        <f t="shared" si="52"/>
        <v>WOD</v>
      </c>
      <c r="C3331" s="3" t="s">
        <v>850</v>
      </c>
      <c r="D3331" s="3" t="s">
        <v>1272</v>
      </c>
      <c r="E3331" s="3" t="s">
        <v>1400</v>
      </c>
      <c r="F3331" s="3" t="s">
        <v>1</v>
      </c>
      <c r="G3331" s="3">
        <v>1.6367568096873449E-2</v>
      </c>
      <c r="H3331" s="3">
        <v>4.2957490311588235E-2</v>
      </c>
      <c r="I3331" s="3">
        <v>0.14931717917044735</v>
      </c>
      <c r="J3331" s="3">
        <v>0.14931717917044735</v>
      </c>
      <c r="K3331" s="3">
        <v>0.14931717917044735</v>
      </c>
      <c r="L3331" s="3">
        <v>0.14931717917044735</v>
      </c>
      <c r="M3331" s="3">
        <v>0.14931717917044735</v>
      </c>
      <c r="N3331" s="3">
        <v>2.4886196528407883E-2</v>
      </c>
    </row>
    <row r="3332" spans="1:16" x14ac:dyDescent="0.3">
      <c r="A3332" s="3" t="str">
        <f t="shared" si="52"/>
        <v>WOD</v>
      </c>
      <c r="C3332" s="3" t="s">
        <v>850</v>
      </c>
      <c r="D3332" s="3" t="s">
        <v>1272</v>
      </c>
      <c r="E3332" s="3" t="s">
        <v>1400</v>
      </c>
      <c r="F3332" s="3" t="s">
        <v>2</v>
      </c>
      <c r="J3332" s="3">
        <v>5.0569685316438351E-3</v>
      </c>
      <c r="K3332" s="3">
        <v>5.0569685316438351E-3</v>
      </c>
      <c r="L3332" s="3">
        <v>5.0569685316438351E-3</v>
      </c>
      <c r="M3332" s="3">
        <v>5.0569685316438351E-3</v>
      </c>
      <c r="N3332" s="3">
        <v>8.4282808860730531E-4</v>
      </c>
    </row>
    <row r="3333" spans="1:16" x14ac:dyDescent="0.3">
      <c r="A3333" s="3" t="str">
        <f t="shared" si="52"/>
        <v>WOD</v>
      </c>
      <c r="C3333" s="3" t="s">
        <v>850</v>
      </c>
      <c r="D3333" s="3" t="s">
        <v>1272</v>
      </c>
      <c r="E3333" s="3" t="s">
        <v>1400</v>
      </c>
      <c r="F3333" s="3" t="s">
        <v>4</v>
      </c>
      <c r="J3333" s="3">
        <v>9.2697056709476477E-2</v>
      </c>
      <c r="K3333" s="3">
        <v>9.2697056709476477E-2</v>
      </c>
      <c r="L3333" s="3">
        <v>9.2697056709476477E-2</v>
      </c>
      <c r="M3333" s="3">
        <v>9.2697056709476477E-2</v>
      </c>
      <c r="N3333" s="3">
        <v>1.5449509451579403E-2</v>
      </c>
    </row>
    <row r="3334" spans="1:16" x14ac:dyDescent="0.3">
      <c r="A3334" s="3" t="str">
        <f t="shared" si="52"/>
        <v>WOD</v>
      </c>
      <c r="C3334" s="3" t="s">
        <v>850</v>
      </c>
      <c r="D3334" s="3" t="s">
        <v>1272</v>
      </c>
      <c r="E3334" s="3" t="s">
        <v>1400</v>
      </c>
      <c r="F3334" s="3" t="s">
        <v>7</v>
      </c>
      <c r="H3334" s="3">
        <v>2.9855891091370372E-2</v>
      </c>
      <c r="J3334" s="3">
        <v>1.0886479129690924E-2</v>
      </c>
      <c r="K3334" s="3">
        <v>1.0886479129690924E-2</v>
      </c>
      <c r="L3334" s="3">
        <v>1.0886479129690924E-2</v>
      </c>
      <c r="M3334" s="3">
        <v>1.0886479129690924E-2</v>
      </c>
      <c r="N3334" s="3">
        <v>1.8144131882818185E-3</v>
      </c>
    </row>
    <row r="3335" spans="1:16" x14ac:dyDescent="0.3">
      <c r="A3335" s="3" t="str">
        <f t="shared" si="52"/>
        <v>WOD</v>
      </c>
      <c r="C3335" s="3" t="s">
        <v>850</v>
      </c>
      <c r="D3335" s="3" t="s">
        <v>1272</v>
      </c>
      <c r="E3335" s="3" t="s">
        <v>1400</v>
      </c>
      <c r="F3335" s="3" t="s">
        <v>8</v>
      </c>
      <c r="H3335" s="3">
        <v>1.1462462005059361E-3</v>
      </c>
      <c r="I3335" s="3">
        <v>5.7312310025296794E-3</v>
      </c>
      <c r="J3335" s="3">
        <v>5.7312310025296794E-3</v>
      </c>
      <c r="K3335" s="3">
        <v>5.7312310025296794E-3</v>
      </c>
      <c r="L3335" s="3">
        <v>5.7312310025296794E-3</v>
      </c>
      <c r="M3335" s="3">
        <v>5.7312310025296794E-3</v>
      </c>
      <c r="N3335" s="3">
        <v>9.5520516708827875E-4</v>
      </c>
    </row>
    <row r="3336" spans="1:16" x14ac:dyDescent="0.3">
      <c r="A3336" s="3" t="str">
        <f t="shared" si="52"/>
        <v>WOD</v>
      </c>
      <c r="C3336" s="3" t="s">
        <v>850</v>
      </c>
      <c r="D3336" s="3" t="s">
        <v>1272</v>
      </c>
      <c r="E3336" s="3" t="s">
        <v>1402</v>
      </c>
      <c r="F3336" s="3" t="s">
        <v>3</v>
      </c>
      <c r="J3336" s="3">
        <v>0.43912828970183998</v>
      </c>
      <c r="K3336" s="3">
        <v>0.43912828970183998</v>
      </c>
      <c r="L3336" s="3">
        <v>0.43912828970183998</v>
      </c>
      <c r="M3336" s="3">
        <v>0.43912828970183998</v>
      </c>
      <c r="N3336" s="3">
        <v>0.43912828970183998</v>
      </c>
      <c r="O3336" s="3">
        <v>0.39258364814154301</v>
      </c>
    </row>
    <row r="3337" spans="1:16" x14ac:dyDescent="0.3">
      <c r="A3337" s="3" t="str">
        <f t="shared" si="52"/>
        <v>WOD</v>
      </c>
      <c r="C3337" s="3" t="s">
        <v>850</v>
      </c>
      <c r="D3337" s="3" t="s">
        <v>1272</v>
      </c>
      <c r="E3337" s="3" t="s">
        <v>1402</v>
      </c>
      <c r="F3337" s="3" t="s">
        <v>7</v>
      </c>
      <c r="H3337" s="3">
        <v>0.39054674790102401</v>
      </c>
      <c r="J3337" s="3">
        <v>0.39054674790102401</v>
      </c>
      <c r="K3337" s="3">
        <v>0.39054674790102401</v>
      </c>
      <c r="L3337" s="3">
        <v>0.58589469047281195</v>
      </c>
      <c r="M3337" s="3">
        <v>0.65861723203762434</v>
      </c>
      <c r="N3337" s="3">
        <v>0.65861723203762434</v>
      </c>
      <c r="O3337" s="3">
        <v>0.65861723203762434</v>
      </c>
      <c r="P3337" s="3">
        <v>0.2680704841366004</v>
      </c>
    </row>
    <row r="3338" spans="1:16" x14ac:dyDescent="0.3">
      <c r="A3338" s="3" t="str">
        <f t="shared" si="52"/>
        <v>WOD</v>
      </c>
      <c r="C3338" s="3" t="s">
        <v>850</v>
      </c>
      <c r="D3338" s="3" t="s">
        <v>1272</v>
      </c>
      <c r="E3338" s="3" t="s">
        <v>1405</v>
      </c>
      <c r="F3338" s="3" t="s">
        <v>3</v>
      </c>
      <c r="J3338" s="3">
        <v>0.80358614425122898</v>
      </c>
      <c r="K3338" s="3">
        <v>0.89470980760003105</v>
      </c>
      <c r="L3338" s="3">
        <v>0.97767014846403733</v>
      </c>
      <c r="M3338" s="3">
        <v>1.0267507358904979</v>
      </c>
      <c r="N3338" s="3">
        <v>1.0617272612182154</v>
      </c>
      <c r="O3338" s="3">
        <v>1.0617272612182154</v>
      </c>
      <c r="P3338" s="3">
        <v>0.97876692035420909</v>
      </c>
    </row>
    <row r="3339" spans="1:16" x14ac:dyDescent="0.3">
      <c r="A3339" s="3" t="str">
        <f t="shared" si="52"/>
        <v>WOD</v>
      </c>
      <c r="C3339" s="3" t="s">
        <v>850</v>
      </c>
      <c r="D3339" s="3" t="s">
        <v>1272</v>
      </c>
      <c r="E3339" s="3" t="s">
        <v>1405</v>
      </c>
      <c r="F3339" s="3" t="s">
        <v>7</v>
      </c>
      <c r="H3339" s="3">
        <v>0.59665242687297004</v>
      </c>
      <c r="J3339" s="3">
        <v>2.8764982207638599</v>
      </c>
      <c r="K3339" s="3">
        <v>2.8764982207638599</v>
      </c>
      <c r="L3339" s="3">
        <v>2.8764982207638599</v>
      </c>
      <c r="M3339" s="3">
        <v>2.8764982207638599</v>
      </c>
      <c r="N3339" s="3">
        <v>2.9595738677228787</v>
      </c>
      <c r="O3339" s="3">
        <v>2.9595738677228787</v>
      </c>
      <c r="P3339" s="3">
        <v>2.9595738677228787</v>
      </c>
    </row>
    <row r="3340" spans="1:16" x14ac:dyDescent="0.3">
      <c r="A3340" s="3" t="str">
        <f t="shared" si="52"/>
        <v>COA</v>
      </c>
      <c r="C3340" s="3" t="s">
        <v>850</v>
      </c>
      <c r="D3340" s="3" t="s">
        <v>802</v>
      </c>
      <c r="E3340" s="3" t="s">
        <v>1496</v>
      </c>
      <c r="F3340" s="3" t="s">
        <v>0</v>
      </c>
      <c r="G3340" s="3">
        <v>0.43003906833419198</v>
      </c>
      <c r="H3340" s="3">
        <v>0.48708271880372511</v>
      </c>
      <c r="I3340" s="3">
        <v>8.3634440347475962</v>
      </c>
      <c r="J3340" s="3">
        <v>10.8040447427537</v>
      </c>
      <c r="K3340" s="3">
        <v>14.228934939513119</v>
      </c>
      <c r="L3340" s="3">
        <v>19.461542765059939</v>
      </c>
      <c r="M3340" s="3">
        <v>24.805445027062081</v>
      </c>
      <c r="N3340" s="3">
        <v>30.302925113223424</v>
      </c>
      <c r="O3340" s="3">
        <v>34.202180641282126</v>
      </c>
      <c r="P3340" s="3">
        <v>37.228588364834089</v>
      </c>
    </row>
    <row r="3341" spans="1:16" x14ac:dyDescent="0.3">
      <c r="A3341" s="3" t="str">
        <f t="shared" si="52"/>
        <v>COA</v>
      </c>
      <c r="C3341" s="3" t="s">
        <v>850</v>
      </c>
      <c r="D3341" s="3" t="s">
        <v>802</v>
      </c>
      <c r="E3341" s="3" t="s">
        <v>1496</v>
      </c>
      <c r="F3341" s="3" t="s">
        <v>1</v>
      </c>
      <c r="G3341" s="3">
        <v>1.18375287230495</v>
      </c>
      <c r="H3341" s="3">
        <v>4.5706837095146504</v>
      </c>
      <c r="I3341" s="3">
        <v>11.808042949652492</v>
      </c>
      <c r="J3341" s="3">
        <v>32.96980911135163</v>
      </c>
      <c r="K3341" s="3">
        <v>39.919758826272229</v>
      </c>
      <c r="L3341" s="3">
        <v>53.571079569269273</v>
      </c>
      <c r="M3341" s="3">
        <v>68.281044588182226</v>
      </c>
      <c r="N3341" s="3">
        <v>83.413757687113289</v>
      </c>
      <c r="O3341" s="3">
        <v>94.14709628602246</v>
      </c>
      <c r="P3341" s="3">
        <v>102.47777854100396</v>
      </c>
    </row>
    <row r="3342" spans="1:16" x14ac:dyDescent="0.3">
      <c r="A3342" s="3" t="str">
        <f t="shared" si="52"/>
        <v>COA</v>
      </c>
      <c r="C3342" s="3" t="s">
        <v>850</v>
      </c>
      <c r="D3342" s="3" t="s">
        <v>802</v>
      </c>
      <c r="E3342" s="3" t="s">
        <v>1496</v>
      </c>
      <c r="F3342" s="3" t="s">
        <v>2</v>
      </c>
      <c r="G3342" s="3">
        <v>2.6458385051829101</v>
      </c>
      <c r="H3342" s="3">
        <v>9.82540895610828</v>
      </c>
      <c r="I3342" s="3">
        <v>27.901403175534462</v>
      </c>
      <c r="J3342" s="3">
        <v>76.773652051925211</v>
      </c>
      <c r="K3342" s="3">
        <v>92.799330800680877</v>
      </c>
      <c r="L3342" s="3">
        <v>125.3284272284892</v>
      </c>
      <c r="M3342" s="3">
        <v>160.34970162131697</v>
      </c>
      <c r="N3342" s="3">
        <v>196.36617664361313</v>
      </c>
      <c r="O3342" s="3">
        <v>221.63376704752491</v>
      </c>
      <c r="P3342" s="3">
        <v>241.24521087408971</v>
      </c>
    </row>
    <row r="3343" spans="1:16" x14ac:dyDescent="0.3">
      <c r="A3343" s="3" t="str">
        <f t="shared" si="52"/>
        <v>COA</v>
      </c>
      <c r="C3343" s="3" t="s">
        <v>850</v>
      </c>
      <c r="D3343" s="3" t="s">
        <v>802</v>
      </c>
      <c r="E3343" s="3" t="s">
        <v>1496</v>
      </c>
      <c r="F3343" s="3" t="s">
        <v>3</v>
      </c>
      <c r="G3343" s="3">
        <v>1.7920893315747299</v>
      </c>
      <c r="H3343" s="3">
        <v>1.7323530205222399</v>
      </c>
      <c r="I3343" s="3">
        <v>1.49340777631227</v>
      </c>
      <c r="J3343" s="3">
        <v>34.595744011074316</v>
      </c>
      <c r="K3343" s="3">
        <v>45.450317281752362</v>
      </c>
      <c r="L3343" s="3">
        <v>68.077249405338307</v>
      </c>
      <c r="M3343" s="3">
        <v>91.797991277752558</v>
      </c>
      <c r="N3343" s="3">
        <v>117.7986459470072</v>
      </c>
      <c r="O3343" s="3">
        <v>150.1178203675473</v>
      </c>
      <c r="P3343" s="3">
        <v>163.4011175867532</v>
      </c>
    </row>
    <row r="3344" spans="1:16" x14ac:dyDescent="0.3">
      <c r="A3344" s="3" t="str">
        <f t="shared" si="52"/>
        <v>COA</v>
      </c>
      <c r="C3344" s="3" t="s">
        <v>850</v>
      </c>
      <c r="D3344" s="3" t="s">
        <v>802</v>
      </c>
      <c r="E3344" s="3" t="s">
        <v>1496</v>
      </c>
      <c r="F3344" s="3" t="s">
        <v>4</v>
      </c>
      <c r="G3344" s="3">
        <v>1.07042796798416</v>
      </c>
      <c r="H3344" s="3">
        <v>1.03474703571802</v>
      </c>
      <c r="I3344" s="3">
        <v>0.89202330665346696</v>
      </c>
      <c r="J3344" s="3">
        <v>19.775247083227672</v>
      </c>
      <c r="K3344" s="3">
        <v>24.620987613353158</v>
      </c>
      <c r="L3344" s="3">
        <v>35.018414317396868</v>
      </c>
      <c r="M3344" s="3">
        <v>46.23632352985657</v>
      </c>
      <c r="N3344" s="3">
        <v>58.758440892548577</v>
      </c>
      <c r="O3344" s="3">
        <v>75.100664388780572</v>
      </c>
      <c r="P3344" s="3">
        <v>81.746007653114873</v>
      </c>
    </row>
    <row r="3345" spans="1:16" x14ac:dyDescent="0.3">
      <c r="A3345" s="3" t="str">
        <f t="shared" si="52"/>
        <v>COA</v>
      </c>
      <c r="C3345" s="3" t="s">
        <v>850</v>
      </c>
      <c r="D3345" s="3" t="s">
        <v>802</v>
      </c>
      <c r="E3345" s="3" t="s">
        <v>1496</v>
      </c>
      <c r="F3345" s="3" t="s">
        <v>5</v>
      </c>
      <c r="G3345" s="3">
        <v>0.93303389298241801</v>
      </c>
      <c r="H3345" s="3">
        <v>0.90193276321633697</v>
      </c>
      <c r="I3345" s="3">
        <v>0.77752824415201505</v>
      </c>
      <c r="J3345" s="3">
        <v>17.293224436710613</v>
      </c>
      <c r="K3345" s="3">
        <v>21.460777006060667</v>
      </c>
      <c r="L3345" s="3">
        <v>30.502735740979585</v>
      </c>
      <c r="M3345" s="3">
        <v>40.280777623924294</v>
      </c>
      <c r="N3345" s="3">
        <v>51.173144283666687</v>
      </c>
      <c r="O3345" s="3">
        <v>65.461168201900691</v>
      </c>
      <c r="P3345" s="3">
        <v>71.253552819618278</v>
      </c>
    </row>
    <row r="3346" spans="1:16" x14ac:dyDescent="0.3">
      <c r="A3346" s="3" t="str">
        <f t="shared" si="52"/>
        <v>COA</v>
      </c>
      <c r="C3346" s="3" t="s">
        <v>850</v>
      </c>
      <c r="D3346" s="3" t="s">
        <v>802</v>
      </c>
      <c r="E3346" s="3" t="s">
        <v>1496</v>
      </c>
      <c r="F3346" s="3" t="s">
        <v>6</v>
      </c>
      <c r="G3346" s="3">
        <v>3.2413619461106302</v>
      </c>
      <c r="H3346" s="3">
        <v>3.13331654790694</v>
      </c>
      <c r="I3346" s="3">
        <v>2.7011349550921899</v>
      </c>
      <c r="J3346" s="3">
        <v>60.076702503839748</v>
      </c>
      <c r="K3346" s="3">
        <v>74.554789964872015</v>
      </c>
      <c r="L3346" s="3">
        <v>105.96657594832178</v>
      </c>
      <c r="M3346" s="3">
        <v>139.60263590809254</v>
      </c>
      <c r="N3346" s="3">
        <v>177.77562400622429</v>
      </c>
      <c r="O3346" s="3">
        <v>227.41225281682938</v>
      </c>
      <c r="P3346" s="3">
        <v>247.53501064837189</v>
      </c>
    </row>
    <row r="3347" spans="1:16" x14ac:dyDescent="0.3">
      <c r="A3347" s="3" t="str">
        <f t="shared" si="52"/>
        <v>COA</v>
      </c>
      <c r="C3347" s="3" t="s">
        <v>850</v>
      </c>
      <c r="D3347" s="3" t="s">
        <v>802</v>
      </c>
      <c r="E3347" s="3" t="s">
        <v>1496</v>
      </c>
      <c r="F3347" s="3" t="s">
        <v>7</v>
      </c>
      <c r="H3347" s="3">
        <v>3.40040802400428</v>
      </c>
      <c r="I3347" s="3">
        <v>9.8438499944488296</v>
      </c>
      <c r="J3347" s="3">
        <v>30.611525485205732</v>
      </c>
      <c r="K3347" s="3">
        <v>35.487484691336164</v>
      </c>
      <c r="L3347" s="3">
        <v>46.234370112215061</v>
      </c>
      <c r="M3347" s="3">
        <v>57.777536916000457</v>
      </c>
      <c r="N3347" s="3">
        <v>69.855308552860478</v>
      </c>
      <c r="O3347" s="3">
        <v>78.844001790270426</v>
      </c>
      <c r="P3347" s="3">
        <v>85.820577303874032</v>
      </c>
    </row>
    <row r="3348" spans="1:16" x14ac:dyDescent="0.3">
      <c r="A3348" s="3" t="str">
        <f t="shared" si="52"/>
        <v>COA</v>
      </c>
      <c r="C3348" s="3" t="s">
        <v>850</v>
      </c>
      <c r="D3348" s="3" t="s">
        <v>802</v>
      </c>
      <c r="E3348" s="3" t="s">
        <v>1496</v>
      </c>
      <c r="F3348" s="3" t="s">
        <v>8</v>
      </c>
      <c r="H3348" s="3">
        <v>2.1322107097006202</v>
      </c>
      <c r="I3348" s="3">
        <v>5.8894749199096301</v>
      </c>
      <c r="J3348" s="3">
        <v>31.42461477652073</v>
      </c>
      <c r="K3348" s="3">
        <v>31.42461477652073</v>
      </c>
      <c r="L3348" s="3">
        <v>31.42461477652073</v>
      </c>
      <c r="M3348" s="3">
        <v>36.229147244319101</v>
      </c>
      <c r="N3348" s="3">
        <v>43.802460167838504</v>
      </c>
      <c r="O3348" s="3">
        <v>49.438780236407887</v>
      </c>
      <c r="P3348" s="3">
        <v>53.813410846067086</v>
      </c>
    </row>
    <row r="3349" spans="1:16" x14ac:dyDescent="0.3">
      <c r="A3349" s="3" t="str">
        <f t="shared" si="52"/>
        <v>DST</v>
      </c>
      <c r="C3349" s="3" t="s">
        <v>850</v>
      </c>
      <c r="D3349" s="3" t="s">
        <v>802</v>
      </c>
      <c r="E3349" s="3" t="s">
        <v>1493</v>
      </c>
      <c r="F3349" s="3" t="s">
        <v>0</v>
      </c>
      <c r="G3349" s="3">
        <v>0.29132018798458797</v>
      </c>
    </row>
    <row r="3350" spans="1:16" x14ac:dyDescent="0.3">
      <c r="A3350" s="3" t="str">
        <f t="shared" si="52"/>
        <v>DST</v>
      </c>
      <c r="C3350" s="3" t="s">
        <v>850</v>
      </c>
      <c r="D3350" s="3" t="s">
        <v>802</v>
      </c>
      <c r="E3350" s="3" t="s">
        <v>1493</v>
      </c>
      <c r="F3350" s="3" t="s">
        <v>1</v>
      </c>
      <c r="G3350" s="3">
        <v>0.80190646543579303</v>
      </c>
    </row>
    <row r="3351" spans="1:16" x14ac:dyDescent="0.3">
      <c r="A3351" s="3" t="str">
        <f t="shared" si="52"/>
        <v>DST</v>
      </c>
      <c r="C3351" s="3" t="s">
        <v>850</v>
      </c>
      <c r="D3351" s="3" t="s">
        <v>802</v>
      </c>
      <c r="E3351" s="3" t="s">
        <v>1493</v>
      </c>
      <c r="F3351" s="3" t="s">
        <v>2</v>
      </c>
      <c r="G3351" s="3">
        <v>0.55865863804166005</v>
      </c>
    </row>
    <row r="3352" spans="1:16" x14ac:dyDescent="0.3">
      <c r="A3352" s="3" t="str">
        <f t="shared" si="52"/>
        <v>DST</v>
      </c>
      <c r="C3352" s="3" t="s">
        <v>850</v>
      </c>
      <c r="D3352" s="3" t="s">
        <v>802</v>
      </c>
      <c r="E3352" s="3" t="s">
        <v>1493</v>
      </c>
      <c r="F3352" s="3" t="s">
        <v>3</v>
      </c>
      <c r="G3352" s="3">
        <v>0.37839277917580899</v>
      </c>
    </row>
    <row r="3353" spans="1:16" x14ac:dyDescent="0.3">
      <c r="A3353" s="3" t="str">
        <f t="shared" si="52"/>
        <v>DST</v>
      </c>
      <c r="C3353" s="3" t="s">
        <v>850</v>
      </c>
      <c r="D3353" s="3" t="s">
        <v>802</v>
      </c>
      <c r="E3353" s="3" t="s">
        <v>1493</v>
      </c>
      <c r="F3353" s="3" t="s">
        <v>4</v>
      </c>
      <c r="G3353" s="3">
        <v>0.31874157624236898</v>
      </c>
    </row>
    <row r="3354" spans="1:16" x14ac:dyDescent="0.3">
      <c r="A3354" s="3" t="str">
        <f t="shared" si="52"/>
        <v>DST</v>
      </c>
      <c r="C3354" s="3" t="s">
        <v>850</v>
      </c>
      <c r="D3354" s="3" t="s">
        <v>802</v>
      </c>
      <c r="E3354" s="3" t="s">
        <v>1493</v>
      </c>
      <c r="F3354" s="3" t="s">
        <v>5</v>
      </c>
      <c r="G3354" s="3">
        <v>0.277829711696369</v>
      </c>
    </row>
    <row r="3355" spans="1:16" x14ac:dyDescent="0.3">
      <c r="A3355" s="3" t="str">
        <f t="shared" si="52"/>
        <v>DST</v>
      </c>
      <c r="C3355" s="3" t="s">
        <v>850</v>
      </c>
      <c r="D3355" s="3" t="s">
        <v>802</v>
      </c>
      <c r="E3355" s="3" t="s">
        <v>1493</v>
      </c>
      <c r="F3355" s="3" t="s">
        <v>6</v>
      </c>
      <c r="G3355" s="3">
        <v>0.96518107409037801</v>
      </c>
    </row>
    <row r="3356" spans="1:16" x14ac:dyDescent="0.3">
      <c r="A3356" s="3" t="str">
        <f t="shared" si="52"/>
        <v>DST</v>
      </c>
      <c r="C3356" s="3" t="s">
        <v>850</v>
      </c>
      <c r="D3356" s="3" t="s">
        <v>802</v>
      </c>
      <c r="E3356" s="3" t="s">
        <v>1493</v>
      </c>
      <c r="F3356" s="3" t="s">
        <v>7</v>
      </c>
      <c r="G3356" s="3">
        <v>1.24783112205064</v>
      </c>
    </row>
    <row r="3357" spans="1:16" x14ac:dyDescent="0.3">
      <c r="A3357" s="3" t="str">
        <f t="shared" si="52"/>
        <v>DST</v>
      </c>
      <c r="C3357" s="3" t="s">
        <v>850</v>
      </c>
      <c r="D3357" s="3" t="s">
        <v>802</v>
      </c>
      <c r="E3357" s="3" t="s">
        <v>1493</v>
      </c>
      <c r="F3357" s="3" t="s">
        <v>8</v>
      </c>
      <c r="G3357" s="3">
        <v>0.78244694858740305</v>
      </c>
    </row>
    <row r="3358" spans="1:16" x14ac:dyDescent="0.3">
      <c r="A3358" s="3" t="str">
        <f t="shared" si="52"/>
        <v>ELC</v>
      </c>
      <c r="C3358" s="3" t="s">
        <v>850</v>
      </c>
      <c r="D3358" s="3" t="s">
        <v>802</v>
      </c>
      <c r="E3358" s="3" t="s">
        <v>1491</v>
      </c>
      <c r="F3358" s="3" t="s">
        <v>0</v>
      </c>
      <c r="G3358" s="3">
        <v>5.2014840704227101</v>
      </c>
      <c r="H3358" s="3">
        <v>6.0866834385786301</v>
      </c>
    </row>
    <row r="3359" spans="1:16" x14ac:dyDescent="0.3">
      <c r="A3359" s="3" t="str">
        <f t="shared" ref="A3359:A3422" si="53">RIGHT(E3359,3)</f>
        <v>ELC</v>
      </c>
      <c r="C3359" s="3" t="s">
        <v>850</v>
      </c>
      <c r="D3359" s="3" t="s">
        <v>802</v>
      </c>
      <c r="E3359" s="3" t="s">
        <v>1491</v>
      </c>
      <c r="F3359" s="3" t="s">
        <v>1</v>
      </c>
      <c r="G3359" s="3">
        <v>17.3323362371471</v>
      </c>
      <c r="H3359" s="3">
        <v>16.7545916959089</v>
      </c>
      <c r="I3359" s="3">
        <v>14.443613530955901</v>
      </c>
    </row>
    <row r="3360" spans="1:16" x14ac:dyDescent="0.3">
      <c r="A3360" s="3" t="str">
        <f t="shared" si="53"/>
        <v>ELC</v>
      </c>
      <c r="C3360" s="3" t="s">
        <v>850</v>
      </c>
      <c r="D3360" s="3" t="s">
        <v>802</v>
      </c>
      <c r="E3360" s="3" t="s">
        <v>1491</v>
      </c>
      <c r="F3360" s="3" t="s">
        <v>2</v>
      </c>
      <c r="G3360" s="3">
        <v>39.415884153161997</v>
      </c>
      <c r="H3360" s="3">
        <v>38.102021348056603</v>
      </c>
      <c r="I3360" s="3">
        <v>32.846570127634998</v>
      </c>
    </row>
    <row r="3361" spans="1:13" x14ac:dyDescent="0.3">
      <c r="A3361" s="3" t="str">
        <f t="shared" si="53"/>
        <v>ELC</v>
      </c>
      <c r="C3361" s="3" t="s">
        <v>850</v>
      </c>
      <c r="D3361" s="3" t="s">
        <v>802</v>
      </c>
      <c r="E3361" s="3" t="s">
        <v>1491</v>
      </c>
      <c r="F3361" s="3" t="s">
        <v>3</v>
      </c>
      <c r="G3361" s="3">
        <v>26.6973155569009</v>
      </c>
      <c r="H3361" s="3">
        <v>25.8074050383375</v>
      </c>
      <c r="I3361" s="3">
        <v>22.247762964084099</v>
      </c>
    </row>
    <row r="3362" spans="1:13" x14ac:dyDescent="0.3">
      <c r="A3362" s="3" t="str">
        <f t="shared" si="53"/>
        <v>ELC</v>
      </c>
      <c r="C3362" s="3" t="s">
        <v>850</v>
      </c>
      <c r="D3362" s="3" t="s">
        <v>802</v>
      </c>
      <c r="E3362" s="3" t="s">
        <v>1491</v>
      </c>
      <c r="F3362" s="3" t="s">
        <v>4</v>
      </c>
      <c r="G3362" s="3">
        <v>16.903024722452201</v>
      </c>
      <c r="H3362" s="3">
        <v>16.339590565037099</v>
      </c>
      <c r="I3362" s="3">
        <v>14.0858539353768</v>
      </c>
    </row>
    <row r="3363" spans="1:13" x14ac:dyDescent="0.3">
      <c r="A3363" s="3" t="str">
        <f t="shared" si="53"/>
        <v>ELC</v>
      </c>
      <c r="C3363" s="3" t="s">
        <v>850</v>
      </c>
      <c r="D3363" s="3" t="s">
        <v>802</v>
      </c>
      <c r="E3363" s="3" t="s">
        <v>1491</v>
      </c>
      <c r="F3363" s="3" t="s">
        <v>5</v>
      </c>
      <c r="G3363" s="3">
        <v>14.7334481456682</v>
      </c>
      <c r="H3363" s="3">
        <v>14.2423332074793</v>
      </c>
      <c r="I3363" s="3">
        <v>12.277873454723499</v>
      </c>
    </row>
    <row r="3364" spans="1:13" x14ac:dyDescent="0.3">
      <c r="A3364" s="3" t="str">
        <f t="shared" si="53"/>
        <v>ELC</v>
      </c>
      <c r="C3364" s="3" t="s">
        <v>850</v>
      </c>
      <c r="D3364" s="3" t="s">
        <v>802</v>
      </c>
      <c r="E3364" s="3" t="s">
        <v>1491</v>
      </c>
      <c r="F3364" s="3" t="s">
        <v>6</v>
      </c>
      <c r="G3364" s="3">
        <v>51.184033627879103</v>
      </c>
      <c r="H3364" s="3">
        <v>49.4778991736165</v>
      </c>
      <c r="I3364" s="3">
        <v>42.653361356565902</v>
      </c>
    </row>
    <row r="3365" spans="1:13" x14ac:dyDescent="0.3">
      <c r="A3365" s="3" t="str">
        <f t="shared" si="53"/>
        <v>ELC</v>
      </c>
      <c r="C3365" s="3" t="s">
        <v>850</v>
      </c>
      <c r="D3365" s="3" t="s">
        <v>802</v>
      </c>
      <c r="E3365" s="3" t="s">
        <v>1491</v>
      </c>
      <c r="F3365" s="3" t="s">
        <v>7</v>
      </c>
      <c r="G3365" s="3">
        <v>19.070059541551799</v>
      </c>
      <c r="H3365" s="3">
        <v>18.4343908901667</v>
      </c>
      <c r="I3365" s="3">
        <v>15.891716284626501</v>
      </c>
    </row>
    <row r="3366" spans="1:13" x14ac:dyDescent="0.3">
      <c r="A3366" s="3" t="str">
        <f t="shared" si="53"/>
        <v>ELC</v>
      </c>
      <c r="C3366" s="3" t="s">
        <v>850</v>
      </c>
      <c r="D3366" s="3" t="s">
        <v>802</v>
      </c>
      <c r="E3366" s="3" t="s">
        <v>1491</v>
      </c>
      <c r="F3366" s="3" t="s">
        <v>8</v>
      </c>
      <c r="G3366" s="3">
        <v>11.9577959180445</v>
      </c>
      <c r="H3366" s="3">
        <v>11.5592027207763</v>
      </c>
      <c r="I3366" s="3">
        <v>9.9648299317037505</v>
      </c>
    </row>
    <row r="3367" spans="1:13" x14ac:dyDescent="0.3">
      <c r="A3367" s="3" t="str">
        <f t="shared" si="53"/>
        <v>LPG</v>
      </c>
      <c r="C3367" s="3" t="s">
        <v>850</v>
      </c>
      <c r="D3367" s="3" t="s">
        <v>802</v>
      </c>
      <c r="E3367" s="3" t="s">
        <v>1495</v>
      </c>
      <c r="F3367" s="3" t="s">
        <v>1</v>
      </c>
      <c r="G3367" s="3">
        <v>0.21550827497738101</v>
      </c>
    </row>
    <row r="3368" spans="1:13" x14ac:dyDescent="0.3">
      <c r="A3368" s="3" t="str">
        <f t="shared" si="53"/>
        <v>LPG</v>
      </c>
      <c r="C3368" s="3" t="s">
        <v>850</v>
      </c>
      <c r="D3368" s="3" t="s">
        <v>802</v>
      </c>
      <c r="E3368" s="3" t="s">
        <v>1495</v>
      </c>
      <c r="F3368" s="3" t="s">
        <v>2</v>
      </c>
      <c r="G3368" s="3">
        <v>2.10191325802717</v>
      </c>
    </row>
    <row r="3369" spans="1:13" x14ac:dyDescent="0.3">
      <c r="A3369" s="3" t="str">
        <f t="shared" si="53"/>
        <v>LPG</v>
      </c>
      <c r="C3369" s="3" t="s">
        <v>850</v>
      </c>
      <c r="D3369" s="3" t="s">
        <v>802</v>
      </c>
      <c r="E3369" s="3" t="s">
        <v>1495</v>
      </c>
      <c r="F3369" s="3" t="s">
        <v>3</v>
      </c>
      <c r="G3369" s="3">
        <v>0.82947418317603205</v>
      </c>
    </row>
    <row r="3370" spans="1:13" x14ac:dyDescent="0.3">
      <c r="A3370" s="3" t="str">
        <f t="shared" si="53"/>
        <v>LPG</v>
      </c>
      <c r="C3370" s="3" t="s">
        <v>850</v>
      </c>
      <c r="D3370" s="3" t="s">
        <v>802</v>
      </c>
      <c r="E3370" s="3" t="s">
        <v>1495</v>
      </c>
      <c r="F3370" s="3" t="s">
        <v>4</v>
      </c>
      <c r="G3370" s="3">
        <v>0.63559064185564296</v>
      </c>
    </row>
    <row r="3371" spans="1:13" x14ac:dyDescent="0.3">
      <c r="A3371" s="3" t="str">
        <f t="shared" si="53"/>
        <v>LPG</v>
      </c>
      <c r="C3371" s="3" t="s">
        <v>850</v>
      </c>
      <c r="D3371" s="3" t="s">
        <v>802</v>
      </c>
      <c r="E3371" s="3" t="s">
        <v>1495</v>
      </c>
      <c r="F3371" s="3" t="s">
        <v>5</v>
      </c>
      <c r="G3371" s="3">
        <v>0.57492295490939704</v>
      </c>
    </row>
    <row r="3372" spans="1:13" x14ac:dyDescent="0.3">
      <c r="A3372" s="3" t="str">
        <f t="shared" si="53"/>
        <v>LPG</v>
      </c>
      <c r="C3372" s="3" t="s">
        <v>850</v>
      </c>
      <c r="D3372" s="3" t="s">
        <v>802</v>
      </c>
      <c r="E3372" s="3" t="s">
        <v>1495</v>
      </c>
      <c r="F3372" s="3" t="s">
        <v>6</v>
      </c>
      <c r="G3372" s="3">
        <v>1.99728370213063</v>
      </c>
      <c r="M3372" s="3">
        <v>0.33288061702174698</v>
      </c>
    </row>
    <row r="3373" spans="1:13" x14ac:dyDescent="0.3">
      <c r="A3373" s="3" t="str">
        <f t="shared" si="53"/>
        <v>LPG</v>
      </c>
      <c r="C3373" s="3" t="s">
        <v>850</v>
      </c>
      <c r="D3373" s="3" t="s">
        <v>802</v>
      </c>
      <c r="E3373" s="3" t="s">
        <v>1495</v>
      </c>
      <c r="F3373" s="3" t="s">
        <v>7</v>
      </c>
      <c r="G3373" s="3">
        <v>0.54171640934248499</v>
      </c>
      <c r="M3373" s="3">
        <v>9.0286068223747504E-2</v>
      </c>
    </row>
    <row r="3374" spans="1:13" x14ac:dyDescent="0.3">
      <c r="A3374" s="3" t="str">
        <f t="shared" si="53"/>
        <v>LPG</v>
      </c>
      <c r="C3374" s="3" t="s">
        <v>850</v>
      </c>
      <c r="D3374" s="3" t="s">
        <v>802</v>
      </c>
      <c r="E3374" s="3" t="s">
        <v>1495</v>
      </c>
      <c r="F3374" s="3" t="s">
        <v>8</v>
      </c>
      <c r="G3374" s="3">
        <v>0.339680862257348</v>
      </c>
      <c r="I3374" s="3">
        <v>0.28306738521445701</v>
      </c>
      <c r="M3374" s="3">
        <v>5.6613477042891297E-2</v>
      </c>
    </row>
    <row r="3375" spans="1:13" x14ac:dyDescent="0.3">
      <c r="A3375" s="3" t="str">
        <f t="shared" si="53"/>
        <v>NGA</v>
      </c>
      <c r="C3375" s="3" t="s">
        <v>850</v>
      </c>
      <c r="D3375" s="3" t="s">
        <v>802</v>
      </c>
      <c r="E3375" s="3" t="s">
        <v>1494</v>
      </c>
      <c r="F3375" s="3" t="s">
        <v>0</v>
      </c>
      <c r="G3375" s="3">
        <v>14.475187673168</v>
      </c>
      <c r="H3375" s="3">
        <v>13.992681417395699</v>
      </c>
      <c r="I3375" s="3">
        <v>12.0626563943067</v>
      </c>
      <c r="J3375" s="3">
        <v>9.6501251154453307</v>
      </c>
      <c r="K3375" s="3">
        <v>7.2375938365839998</v>
      </c>
      <c r="L3375" s="3">
        <v>4.8250625577226698</v>
      </c>
      <c r="M3375" s="3">
        <v>2.41253127886133</v>
      </c>
    </row>
    <row r="3376" spans="1:13" x14ac:dyDescent="0.3">
      <c r="A3376" s="3" t="str">
        <f t="shared" si="53"/>
        <v>NGA</v>
      </c>
      <c r="C3376" s="3" t="s">
        <v>850</v>
      </c>
      <c r="D3376" s="3" t="s">
        <v>802</v>
      </c>
      <c r="E3376" s="3" t="s">
        <v>1494</v>
      </c>
      <c r="F3376" s="3" t="s">
        <v>1</v>
      </c>
      <c r="G3376" s="3">
        <v>39.8453216161044</v>
      </c>
      <c r="H3376" s="3">
        <v>38.517144228900897</v>
      </c>
      <c r="I3376" s="3">
        <v>33.204434680086997</v>
      </c>
      <c r="J3376" s="3">
        <v>26.563547744069599</v>
      </c>
      <c r="K3376" s="3">
        <v>19.9226608080522</v>
      </c>
      <c r="L3376" s="3">
        <v>13.281773872034799</v>
      </c>
      <c r="M3376" s="3">
        <v>6.6408869360173997</v>
      </c>
    </row>
    <row r="3377" spans="1:16" x14ac:dyDescent="0.3">
      <c r="A3377" s="3" t="str">
        <f t="shared" si="53"/>
        <v>NGA</v>
      </c>
      <c r="C3377" s="3" t="s">
        <v>850</v>
      </c>
      <c r="D3377" s="3" t="s">
        <v>802</v>
      </c>
      <c r="E3377" s="3" t="s">
        <v>1494</v>
      </c>
      <c r="F3377" s="3" t="s">
        <v>2</v>
      </c>
      <c r="G3377" s="3">
        <v>96.154072492534397</v>
      </c>
      <c r="H3377" s="3">
        <v>92.948936742783204</v>
      </c>
      <c r="I3377" s="3">
        <v>80.128393743778702</v>
      </c>
      <c r="J3377" s="3">
        <v>64.102714995022893</v>
      </c>
      <c r="K3377" s="3">
        <v>48.077036246267198</v>
      </c>
      <c r="L3377" s="3">
        <v>32.051357497511503</v>
      </c>
      <c r="M3377" s="3">
        <v>16.025678748755698</v>
      </c>
    </row>
    <row r="3378" spans="1:16" x14ac:dyDescent="0.3">
      <c r="A3378" s="3" t="str">
        <f t="shared" si="53"/>
        <v>NGA</v>
      </c>
      <c r="C3378" s="3" t="s">
        <v>850</v>
      </c>
      <c r="D3378" s="3" t="s">
        <v>802</v>
      </c>
      <c r="E3378" s="3" t="s">
        <v>1494</v>
      </c>
      <c r="F3378" s="3" t="s">
        <v>3</v>
      </c>
      <c r="G3378" s="3">
        <v>65.127439624068003</v>
      </c>
      <c r="H3378" s="3">
        <v>67.284953416035677</v>
      </c>
      <c r="I3378" s="3">
        <v>71.083540734499067</v>
      </c>
      <c r="J3378" s="3">
        <v>60.228967463821064</v>
      </c>
      <c r="K3378" s="3">
        <v>49.374394193143068</v>
      </c>
      <c r="L3378" s="3">
        <v>38.519820922465072</v>
      </c>
      <c r="M3378" s="3">
        <v>27.66524765178707</v>
      </c>
      <c r="N3378" s="3">
        <v>15.20483463421235</v>
      </c>
    </row>
    <row r="3379" spans="1:16" x14ac:dyDescent="0.3">
      <c r="A3379" s="3" t="str">
        <f t="shared" si="53"/>
        <v>NGA</v>
      </c>
      <c r="C3379" s="3" t="s">
        <v>850</v>
      </c>
      <c r="D3379" s="3" t="s">
        <v>802</v>
      </c>
      <c r="E3379" s="3" t="s">
        <v>1494</v>
      </c>
      <c r="F3379" s="3" t="s">
        <v>4</v>
      </c>
      <c r="G3379" s="3">
        <v>28.687477669328199</v>
      </c>
      <c r="H3379" s="3">
        <v>30.337666354963591</v>
      </c>
      <c r="I3379" s="3">
        <v>32.65350889880829</v>
      </c>
      <c r="J3379" s="3">
        <v>27.872262620586991</v>
      </c>
      <c r="K3379" s="3">
        <v>23.091016342365588</v>
      </c>
      <c r="L3379" s="3">
        <v>18.309770064144221</v>
      </c>
      <c r="M3379" s="3">
        <v>13.528523785922859</v>
      </c>
      <c r="N3379" s="3">
        <v>7.7802933710699502</v>
      </c>
    </row>
    <row r="3380" spans="1:16" x14ac:dyDescent="0.3">
      <c r="A3380" s="3" t="str">
        <f t="shared" si="53"/>
        <v>NGA</v>
      </c>
      <c r="C3380" s="3" t="s">
        <v>850</v>
      </c>
      <c r="D3380" s="3" t="s">
        <v>802</v>
      </c>
      <c r="E3380" s="3" t="s">
        <v>1494</v>
      </c>
      <c r="F3380" s="3" t="s">
        <v>5</v>
      </c>
      <c r="G3380" s="3">
        <v>25.005315416100402</v>
      </c>
      <c r="H3380" s="3">
        <v>26.383094957400598</v>
      </c>
      <c r="I3380" s="3">
        <v>28.48320245617824</v>
      </c>
      <c r="J3380" s="3">
        <v>24.31564988682824</v>
      </c>
      <c r="K3380" s="3">
        <v>20.14809731747814</v>
      </c>
      <c r="L3380" s="3">
        <v>15.980544748128068</v>
      </c>
      <c r="M3380" s="3">
        <v>11.812992178778011</v>
      </c>
      <c r="N3380" s="3">
        <v>6.8250546806424</v>
      </c>
    </row>
    <row r="3381" spans="1:16" x14ac:dyDescent="0.3">
      <c r="A3381" s="3" t="str">
        <f t="shared" si="53"/>
        <v>NGA</v>
      </c>
      <c r="C3381" s="3" t="s">
        <v>850</v>
      </c>
      <c r="D3381" s="3" t="s">
        <v>802</v>
      </c>
      <c r="E3381" s="3" t="s">
        <v>1494</v>
      </c>
      <c r="F3381" s="3" t="s">
        <v>6</v>
      </c>
      <c r="G3381" s="3">
        <v>86.868524766193701</v>
      </c>
      <c r="H3381" s="3">
        <v>91.654934144126941</v>
      </c>
      <c r="I3381" s="3">
        <v>98.950712550976235</v>
      </c>
      <c r="J3381" s="3">
        <v>84.472625089943946</v>
      </c>
      <c r="K3381" s="3">
        <v>69.994537628911743</v>
      </c>
      <c r="L3381" s="3">
        <v>55.516450167879441</v>
      </c>
      <c r="M3381" s="3">
        <v>41.038362706847138</v>
      </c>
      <c r="N3381" s="3">
        <v>23.710256067167048</v>
      </c>
    </row>
    <row r="3382" spans="1:16" x14ac:dyDescent="0.3">
      <c r="A3382" s="3" t="str">
        <f t="shared" si="53"/>
        <v>NGA</v>
      </c>
      <c r="C3382" s="3" t="s">
        <v>850</v>
      </c>
      <c r="D3382" s="3" t="s">
        <v>802</v>
      </c>
      <c r="E3382" s="3" t="s">
        <v>1494</v>
      </c>
      <c r="F3382" s="3" t="s">
        <v>7</v>
      </c>
      <c r="G3382" s="3">
        <v>29.255755236782399</v>
      </c>
      <c r="H3382" s="3">
        <v>28.2805633955563</v>
      </c>
      <c r="I3382" s="3">
        <v>24.379796030651999</v>
      </c>
      <c r="J3382" s="3">
        <v>19.503836824521599</v>
      </c>
      <c r="K3382" s="3">
        <v>14.627877618391199</v>
      </c>
      <c r="L3382" s="3">
        <v>9.7519184122607996</v>
      </c>
      <c r="M3382" s="3">
        <v>4.8759592061303998</v>
      </c>
    </row>
    <row r="3383" spans="1:16" x14ac:dyDescent="0.3">
      <c r="A3383" s="3" t="str">
        <f t="shared" si="53"/>
        <v>NGA</v>
      </c>
      <c r="C3383" s="3" t="s">
        <v>850</v>
      </c>
      <c r="D3383" s="3" t="s">
        <v>802</v>
      </c>
      <c r="E3383" s="3" t="s">
        <v>1494</v>
      </c>
      <c r="F3383" s="3" t="s">
        <v>8</v>
      </c>
      <c r="G3383" s="3">
        <v>18.3446910476315</v>
      </c>
      <c r="H3383" s="3">
        <v>17.733201346043799</v>
      </c>
      <c r="I3383" s="3">
        <v>15.287242539692899</v>
      </c>
      <c r="L3383" s="3">
        <v>3.6813381401821799</v>
      </c>
      <c r="M3383" s="3">
        <v>3.05744850793858</v>
      </c>
    </row>
    <row r="3384" spans="1:16" x14ac:dyDescent="0.3">
      <c r="A3384" s="3" t="str">
        <f t="shared" si="53"/>
        <v>RFL</v>
      </c>
      <c r="C3384" s="3" t="s">
        <v>850</v>
      </c>
      <c r="D3384" s="3" t="s">
        <v>802</v>
      </c>
      <c r="E3384" s="3" t="s">
        <v>1492</v>
      </c>
      <c r="F3384" s="3" t="s">
        <v>0</v>
      </c>
      <c r="G3384" s="3">
        <v>0.16841657486860201</v>
      </c>
      <c r="I3384" s="3">
        <v>0.140347145723835</v>
      </c>
      <c r="J3384" s="3">
        <v>0.112277716579068</v>
      </c>
    </row>
    <row r="3385" spans="1:16" x14ac:dyDescent="0.3">
      <c r="A3385" s="3" t="str">
        <f t="shared" si="53"/>
        <v>RFL</v>
      </c>
      <c r="C3385" s="3" t="s">
        <v>850</v>
      </c>
      <c r="D3385" s="3" t="s">
        <v>802</v>
      </c>
      <c r="E3385" s="3" t="s">
        <v>1492</v>
      </c>
      <c r="F3385" s="3" t="s">
        <v>1</v>
      </c>
      <c r="G3385" s="3">
        <v>0.46359416835481598</v>
      </c>
      <c r="I3385" s="3">
        <v>0.38632847362901301</v>
      </c>
      <c r="J3385" s="3">
        <v>0.30906277890321099</v>
      </c>
    </row>
    <row r="3386" spans="1:16" x14ac:dyDescent="0.3">
      <c r="A3386" s="3" t="str">
        <f t="shared" si="53"/>
        <v>RFL</v>
      </c>
      <c r="C3386" s="3" t="s">
        <v>850</v>
      </c>
      <c r="D3386" s="3" t="s">
        <v>802</v>
      </c>
      <c r="E3386" s="3" t="s">
        <v>1492</v>
      </c>
      <c r="F3386" s="3" t="s">
        <v>4</v>
      </c>
      <c r="G3386" s="3">
        <v>9.6741377856191205E-2</v>
      </c>
      <c r="I3386" s="3">
        <v>8.0617814880159303E-2</v>
      </c>
      <c r="J3386" s="3">
        <v>6.4494251904127498E-2</v>
      </c>
    </row>
    <row r="3387" spans="1:16" x14ac:dyDescent="0.3">
      <c r="A3387" s="3" t="str">
        <f t="shared" si="53"/>
        <v>RFL</v>
      </c>
      <c r="C3387" s="3" t="s">
        <v>850</v>
      </c>
      <c r="D3387" s="3" t="s">
        <v>802</v>
      </c>
      <c r="E3387" s="3" t="s">
        <v>1492</v>
      </c>
      <c r="F3387" s="3" t="s">
        <v>5</v>
      </c>
      <c r="G3387" s="3">
        <v>8.43242021820758E-2</v>
      </c>
      <c r="H3387" s="3">
        <v>8.1513395442673303E-2</v>
      </c>
      <c r="I3387" s="3">
        <v>7.0270168485063206E-2</v>
      </c>
    </row>
    <row r="3388" spans="1:16" x14ac:dyDescent="0.3">
      <c r="A3388" s="3" t="str">
        <f t="shared" si="53"/>
        <v>RFL</v>
      </c>
      <c r="C3388" s="3" t="s">
        <v>850</v>
      </c>
      <c r="D3388" s="3" t="s">
        <v>802</v>
      </c>
      <c r="E3388" s="3" t="s">
        <v>1492</v>
      </c>
      <c r="F3388" s="3" t="s">
        <v>6</v>
      </c>
      <c r="G3388" s="3">
        <v>0.29294247737929702</v>
      </c>
      <c r="H3388" s="3">
        <v>0.28317772813331998</v>
      </c>
      <c r="I3388" s="3">
        <v>0.24411873114941399</v>
      </c>
    </row>
    <row r="3389" spans="1:16" x14ac:dyDescent="0.3">
      <c r="A3389" s="3" t="str">
        <f t="shared" si="53"/>
        <v>STM</v>
      </c>
      <c r="C3389" s="3" t="s">
        <v>850</v>
      </c>
      <c r="D3389" s="3" t="s">
        <v>784</v>
      </c>
      <c r="E3389" s="3" t="s">
        <v>1577</v>
      </c>
      <c r="F3389" s="3" t="s">
        <v>0</v>
      </c>
      <c r="G3389" s="3">
        <v>11.3687396551859</v>
      </c>
      <c r="H3389" s="3">
        <v>8.6547979351403406</v>
      </c>
      <c r="I3389" s="3">
        <v>8.6547979351403406</v>
      </c>
      <c r="J3389" s="3">
        <v>8.6547979351403406</v>
      </c>
      <c r="K3389" s="3">
        <v>9.0335712208188994</v>
      </c>
      <c r="L3389" s="3">
        <v>9.8354497405425203</v>
      </c>
      <c r="M3389" s="3">
        <v>11.0690329074834</v>
      </c>
      <c r="N3389" s="3">
        <v>12.367244884557</v>
      </c>
      <c r="O3389" s="3">
        <v>14.008134424188199</v>
      </c>
      <c r="P3389" s="3">
        <v>15.281711069909599</v>
      </c>
    </row>
    <row r="3390" spans="1:16" x14ac:dyDescent="0.3">
      <c r="A3390" s="3" t="str">
        <f t="shared" si="53"/>
        <v>STM</v>
      </c>
      <c r="C3390" s="3" t="s">
        <v>850</v>
      </c>
      <c r="D3390" s="3" t="s">
        <v>784</v>
      </c>
      <c r="E3390" s="3" t="s">
        <v>1577</v>
      </c>
      <c r="F3390" s="3" t="s">
        <v>1</v>
      </c>
      <c r="G3390" s="3">
        <v>18.403821060193401</v>
      </c>
      <c r="H3390" s="3">
        <v>20.312857244753701</v>
      </c>
      <c r="I3390" s="3">
        <v>20.847336793586599</v>
      </c>
      <c r="J3390" s="3">
        <v>21.307697972651098</v>
      </c>
      <c r="K3390" s="3">
        <v>21.307697972651098</v>
      </c>
      <c r="L3390" s="3">
        <v>23.803857170911702</v>
      </c>
      <c r="M3390" s="3">
        <v>26.676960894970598</v>
      </c>
      <c r="N3390" s="3">
        <v>29.700589755924</v>
      </c>
      <c r="O3390" s="3">
        <v>33.522339252372703</v>
      </c>
      <c r="P3390" s="3">
        <v>36.488590658648697</v>
      </c>
    </row>
    <row r="3391" spans="1:16" x14ac:dyDescent="0.3">
      <c r="A3391" s="3" t="str">
        <f t="shared" si="53"/>
        <v>STM</v>
      </c>
      <c r="C3391" s="3" t="s">
        <v>850</v>
      </c>
      <c r="D3391" s="3" t="s">
        <v>784</v>
      </c>
      <c r="E3391" s="3" t="s">
        <v>1577</v>
      </c>
      <c r="F3391" s="3" t="s">
        <v>2</v>
      </c>
      <c r="G3391" s="3">
        <v>14.638548552268601</v>
      </c>
      <c r="H3391" s="3">
        <v>48.770402484389002</v>
      </c>
      <c r="I3391" s="3">
        <v>28.2738441744449</v>
      </c>
      <c r="J3391" s="3">
        <v>48.770402484389002</v>
      </c>
      <c r="K3391" s="3">
        <v>48.770402484389002</v>
      </c>
      <c r="L3391" s="3">
        <v>54.487419062194</v>
      </c>
      <c r="M3391" s="3">
        <v>61.067761226125398</v>
      </c>
      <c r="N3391" s="3">
        <v>63.672516081391002</v>
      </c>
      <c r="O3391" s="3">
        <v>72.425565663581693</v>
      </c>
      <c r="P3391" s="3">
        <v>79.219246321223494</v>
      </c>
    </row>
    <row r="3392" spans="1:16" x14ac:dyDescent="0.3">
      <c r="A3392" s="3" t="str">
        <f t="shared" si="53"/>
        <v>STM</v>
      </c>
      <c r="C3392" s="3" t="s">
        <v>850</v>
      </c>
      <c r="D3392" s="3" t="s">
        <v>784</v>
      </c>
      <c r="E3392" s="3" t="s">
        <v>1577</v>
      </c>
      <c r="F3392" s="3" t="s">
        <v>3</v>
      </c>
      <c r="G3392" s="3">
        <v>1.14085256769182</v>
      </c>
      <c r="H3392" s="3">
        <v>18.181376021398702</v>
      </c>
      <c r="I3392" s="3">
        <v>17.509820115924999</v>
      </c>
      <c r="J3392" s="3">
        <v>18.181376021398702</v>
      </c>
      <c r="K3392" s="3">
        <v>18.181376021398702</v>
      </c>
      <c r="L3392" s="3">
        <v>20.4385691057165</v>
      </c>
      <c r="M3392" s="3">
        <v>22.905485647453698</v>
      </c>
      <c r="N3392" s="3">
        <v>25.501646722565201</v>
      </c>
      <c r="O3392" s="3">
        <v>28.783093532931499</v>
      </c>
      <c r="P3392" s="3">
        <v>31.3299889338242</v>
      </c>
    </row>
    <row r="3393" spans="1:16" x14ac:dyDescent="0.3">
      <c r="A3393" s="3" t="str">
        <f t="shared" si="53"/>
        <v>STM</v>
      </c>
      <c r="C3393" s="3" t="s">
        <v>850</v>
      </c>
      <c r="D3393" s="3" t="s">
        <v>784</v>
      </c>
      <c r="E3393" s="3" t="s">
        <v>1577</v>
      </c>
      <c r="F3393" s="3" t="s">
        <v>4</v>
      </c>
      <c r="G3393" s="3">
        <v>23.4848353552782</v>
      </c>
      <c r="H3393" s="3">
        <v>39.772105666012003</v>
      </c>
      <c r="I3393" s="3">
        <v>39.615357103268998</v>
      </c>
      <c r="J3393" s="3">
        <v>39.757188848152097</v>
      </c>
      <c r="K3393" s="3">
        <v>39.757188848152097</v>
      </c>
      <c r="L3393" s="3">
        <v>44.4387637730389</v>
      </c>
      <c r="M3393" s="3">
        <v>49.804282240773396</v>
      </c>
      <c r="N3393" s="3">
        <v>55.450906258266301</v>
      </c>
      <c r="O3393" s="3">
        <v>62.588019802249804</v>
      </c>
      <c r="P3393" s="3">
        <v>68.127491477791196</v>
      </c>
    </row>
    <row r="3394" spans="1:16" x14ac:dyDescent="0.3">
      <c r="A3394" s="3" t="str">
        <f t="shared" si="53"/>
        <v>STM</v>
      </c>
      <c r="C3394" s="3" t="s">
        <v>850</v>
      </c>
      <c r="D3394" s="3" t="s">
        <v>784</v>
      </c>
      <c r="E3394" s="3" t="s">
        <v>1577</v>
      </c>
      <c r="F3394" s="3" t="s">
        <v>5</v>
      </c>
      <c r="H3394" s="3">
        <v>13.302766895351899</v>
      </c>
      <c r="I3394" s="3">
        <v>13.302766895351899</v>
      </c>
      <c r="J3394" s="3">
        <v>14.148436750651801</v>
      </c>
      <c r="K3394" s="3">
        <v>14.148436750651801</v>
      </c>
      <c r="L3394" s="3">
        <v>15.805901136597001</v>
      </c>
      <c r="M3394" s="3">
        <v>17.713658904239701</v>
      </c>
      <c r="N3394" s="3">
        <v>19.721366247921399</v>
      </c>
      <c r="O3394" s="3">
        <v>22.259030386804199</v>
      </c>
      <c r="P3394" s="3">
        <v>24.2286387631803</v>
      </c>
    </row>
    <row r="3395" spans="1:16" x14ac:dyDescent="0.3">
      <c r="A3395" s="3" t="str">
        <f t="shared" si="53"/>
        <v>STM</v>
      </c>
      <c r="C3395" s="3" t="s">
        <v>850</v>
      </c>
      <c r="D3395" s="3" t="s">
        <v>784</v>
      </c>
      <c r="E3395" s="3" t="s">
        <v>1577</v>
      </c>
      <c r="F3395" s="3" t="s">
        <v>6</v>
      </c>
      <c r="G3395" s="3">
        <v>16.128367687582401</v>
      </c>
      <c r="H3395" s="3">
        <v>19.066226760611201</v>
      </c>
      <c r="I3395" s="3">
        <v>10.5497795092205</v>
      </c>
      <c r="J3395" s="3">
        <v>19.066226760611201</v>
      </c>
      <c r="K3395" s="3">
        <v>19.066226760611201</v>
      </c>
      <c r="L3395" s="3">
        <v>21.299801563750702</v>
      </c>
      <c r="M3395" s="3">
        <v>23.870668073120999</v>
      </c>
      <c r="N3395" s="3">
        <v>26.5762251716334</v>
      </c>
      <c r="O3395" s="3">
        <v>29.9959443085889</v>
      </c>
      <c r="P3395" s="3">
        <v>32.650159795106099</v>
      </c>
    </row>
    <row r="3396" spans="1:16" x14ac:dyDescent="0.3">
      <c r="A3396" s="3" t="str">
        <f t="shared" si="53"/>
        <v>STM</v>
      </c>
      <c r="C3396" s="3" t="s">
        <v>850</v>
      </c>
      <c r="D3396" s="3" t="s">
        <v>784</v>
      </c>
      <c r="E3396" s="3" t="s">
        <v>1577</v>
      </c>
      <c r="F3396" s="3" t="s">
        <v>7</v>
      </c>
      <c r="G3396" s="3">
        <v>2.3253086101935998</v>
      </c>
      <c r="H3396" s="3">
        <v>3.7433830263017001</v>
      </c>
      <c r="I3396" s="3">
        <v>3.7223317622072498</v>
      </c>
      <c r="J3396" s="3">
        <v>3.7433830263016801</v>
      </c>
      <c r="K3396" s="3">
        <v>3.7433830263016801</v>
      </c>
      <c r="L3396" s="3">
        <v>4.1819137388032503</v>
      </c>
      <c r="M3396" s="3">
        <v>4.6866668907979596</v>
      </c>
      <c r="N3396" s="3">
        <v>5.2178646283694201</v>
      </c>
      <c r="O3396" s="3">
        <v>5.8892779464174501</v>
      </c>
      <c r="P3396" s="3">
        <v>6.4103954871414199</v>
      </c>
    </row>
    <row r="3397" spans="1:16" x14ac:dyDescent="0.3">
      <c r="A3397" s="3" t="str">
        <f t="shared" si="53"/>
        <v>STM</v>
      </c>
      <c r="C3397" s="3" t="s">
        <v>850</v>
      </c>
      <c r="D3397" s="3" t="s">
        <v>784</v>
      </c>
      <c r="E3397" s="3" t="s">
        <v>1577</v>
      </c>
      <c r="F3397" s="3" t="s">
        <v>8</v>
      </c>
      <c r="G3397" s="3">
        <v>8.3311108752810998</v>
      </c>
      <c r="H3397" s="3">
        <v>16.708781514843999</v>
      </c>
      <c r="I3397" s="3">
        <v>16.708781514843999</v>
      </c>
      <c r="J3397" s="3">
        <v>16.708781514843999</v>
      </c>
      <c r="K3397" s="3">
        <v>16.708781514843999</v>
      </c>
      <c r="L3397" s="3">
        <v>18.666185769566201</v>
      </c>
      <c r="M3397" s="3">
        <v>20.919177268525999</v>
      </c>
      <c r="N3397" s="3">
        <v>23.2902055271623</v>
      </c>
      <c r="O3397" s="3">
        <v>26.287093197646101</v>
      </c>
      <c r="P3397" s="3">
        <v>28.6131279823129</v>
      </c>
    </row>
    <row r="3398" spans="1:16" x14ac:dyDescent="0.3">
      <c r="A3398" s="3" t="str">
        <f t="shared" si="53"/>
        <v>RFL</v>
      </c>
      <c r="C3398" s="3" t="s">
        <v>850</v>
      </c>
      <c r="D3398" s="3" t="s">
        <v>784</v>
      </c>
      <c r="E3398" s="3" t="s">
        <v>1413</v>
      </c>
      <c r="F3398" s="3" t="s">
        <v>5</v>
      </c>
      <c r="G3398" s="3">
        <v>8.8836854961335796E-2</v>
      </c>
    </row>
    <row r="3399" spans="1:16" x14ac:dyDescent="0.3">
      <c r="A3399" s="3" t="str">
        <f t="shared" si="53"/>
        <v>DST</v>
      </c>
      <c r="C3399" s="3" t="s">
        <v>850</v>
      </c>
      <c r="D3399" s="3" t="s">
        <v>784</v>
      </c>
      <c r="E3399" s="3" t="s">
        <v>1414</v>
      </c>
      <c r="F3399" s="3" t="s">
        <v>5</v>
      </c>
      <c r="G3399" s="3">
        <v>5.2753386933233103E-3</v>
      </c>
    </row>
    <row r="3400" spans="1:16" x14ac:dyDescent="0.3">
      <c r="A3400" s="3" t="str">
        <f t="shared" si="53"/>
        <v>COA</v>
      </c>
      <c r="C3400" s="3" t="s">
        <v>850</v>
      </c>
      <c r="D3400" s="3" t="s">
        <v>784</v>
      </c>
      <c r="E3400" s="3" t="s">
        <v>1412</v>
      </c>
      <c r="F3400" s="3" t="s">
        <v>2</v>
      </c>
      <c r="G3400" s="3">
        <v>3.11573798212396E-2</v>
      </c>
      <c r="H3400" s="3">
        <v>3.11573798212396E-2</v>
      </c>
      <c r="I3400" s="3">
        <v>3.11573798212396E-2</v>
      </c>
      <c r="J3400" s="3">
        <v>3.11573798212396E-2</v>
      </c>
      <c r="K3400" s="3">
        <v>3.11573798212396E-2</v>
      </c>
      <c r="L3400" s="3">
        <v>3.11573798212396E-2</v>
      </c>
      <c r="M3400" s="3">
        <v>3.11573798212396E-2</v>
      </c>
      <c r="N3400" s="3">
        <v>3.11573798212396E-2</v>
      </c>
      <c r="O3400" s="3">
        <v>3.11573798212396E-2</v>
      </c>
      <c r="P3400" s="3">
        <v>3.11573798212396E-2</v>
      </c>
    </row>
    <row r="3401" spans="1:16" x14ac:dyDescent="0.3">
      <c r="A3401" s="3" t="str">
        <f t="shared" si="53"/>
        <v>COA</v>
      </c>
      <c r="C3401" s="3" t="s">
        <v>850</v>
      </c>
      <c r="D3401" s="3" t="s">
        <v>784</v>
      </c>
      <c r="E3401" s="3" t="s">
        <v>1412</v>
      </c>
      <c r="F3401" s="3" t="s">
        <v>4</v>
      </c>
      <c r="G3401" s="3">
        <v>1.4916817859883301E-2</v>
      </c>
      <c r="J3401" s="3">
        <v>1.4916817859883301E-2</v>
      </c>
      <c r="K3401" s="3">
        <v>1.4916817859883301E-2</v>
      </c>
      <c r="L3401" s="3">
        <v>1.4916817859883301E-2</v>
      </c>
      <c r="M3401" s="3">
        <v>1.4916817859883301E-2</v>
      </c>
      <c r="N3401" s="3">
        <v>1.4916817859883301E-2</v>
      </c>
      <c r="O3401" s="3">
        <v>1.4916817859883301E-2</v>
      </c>
      <c r="P3401" s="3">
        <v>1.4916817859883301E-2</v>
      </c>
    </row>
    <row r="3402" spans="1:16" x14ac:dyDescent="0.3">
      <c r="A3402" s="3" t="str">
        <f t="shared" si="53"/>
        <v>ELC</v>
      </c>
      <c r="C3402" s="3" t="s">
        <v>850</v>
      </c>
      <c r="D3402" s="3" t="s">
        <v>784</v>
      </c>
      <c r="E3402" s="3" t="s">
        <v>1409</v>
      </c>
      <c r="F3402" s="3" t="s">
        <v>1</v>
      </c>
      <c r="G3402" s="3">
        <v>0.99484072789747102</v>
      </c>
      <c r="H3402" s="3">
        <v>0.99484072789747102</v>
      </c>
      <c r="I3402" s="3">
        <v>0.46036117906449198</v>
      </c>
    </row>
    <row r="3403" spans="1:16" x14ac:dyDescent="0.3">
      <c r="A3403" s="3" t="str">
        <f t="shared" si="53"/>
        <v>ELC</v>
      </c>
      <c r="C3403" s="3" t="s">
        <v>850</v>
      </c>
      <c r="D3403" s="3" t="s">
        <v>784</v>
      </c>
      <c r="E3403" s="3" t="s">
        <v>1409</v>
      </c>
      <c r="F3403" s="3" t="s">
        <v>2</v>
      </c>
      <c r="G3403" s="3">
        <v>2.2623913098116</v>
      </c>
    </row>
    <row r="3404" spans="1:16" x14ac:dyDescent="0.3">
      <c r="A3404" s="3" t="str">
        <f t="shared" si="53"/>
        <v>ELC</v>
      </c>
      <c r="C3404" s="3" t="s">
        <v>850</v>
      </c>
      <c r="D3404" s="3" t="s">
        <v>784</v>
      </c>
      <c r="E3404" s="3" t="s">
        <v>1409</v>
      </c>
      <c r="F3404" s="3" t="s">
        <v>3</v>
      </c>
      <c r="G3404" s="3">
        <v>1.5323714286486501</v>
      </c>
    </row>
    <row r="3405" spans="1:16" x14ac:dyDescent="0.3">
      <c r="A3405" s="3" t="str">
        <f t="shared" si="53"/>
        <v>ELC</v>
      </c>
      <c r="C3405" s="3" t="s">
        <v>850</v>
      </c>
      <c r="D3405" s="3" t="s">
        <v>784</v>
      </c>
      <c r="E3405" s="3" t="s">
        <v>1409</v>
      </c>
      <c r="F3405" s="3" t="s">
        <v>4</v>
      </c>
      <c r="G3405" s="3">
        <v>0.97019912309993495</v>
      </c>
    </row>
    <row r="3406" spans="1:16" x14ac:dyDescent="0.3">
      <c r="A3406" s="3" t="str">
        <f t="shared" si="53"/>
        <v>ELC</v>
      </c>
      <c r="C3406" s="3" t="s">
        <v>850</v>
      </c>
      <c r="D3406" s="3" t="s">
        <v>784</v>
      </c>
      <c r="E3406" s="3" t="s">
        <v>1409</v>
      </c>
      <c r="F3406" s="3" t="s">
        <v>5</v>
      </c>
      <c r="G3406" s="3">
        <v>0.84566985529983096</v>
      </c>
      <c r="H3406" s="3">
        <v>0.84566985529983096</v>
      </c>
      <c r="I3406" s="3">
        <v>0.84566985529983196</v>
      </c>
    </row>
    <row r="3407" spans="1:16" x14ac:dyDescent="0.3">
      <c r="A3407" s="3" t="str">
        <f t="shared" si="53"/>
        <v>ELC</v>
      </c>
      <c r="C3407" s="3" t="s">
        <v>850</v>
      </c>
      <c r="D3407" s="3" t="s">
        <v>784</v>
      </c>
      <c r="E3407" s="3" t="s">
        <v>1409</v>
      </c>
      <c r="F3407" s="3" t="s">
        <v>6</v>
      </c>
      <c r="G3407" s="3">
        <v>2.9378590730287701</v>
      </c>
    </row>
    <row r="3408" spans="1:16" x14ac:dyDescent="0.3">
      <c r="A3408" s="3" t="str">
        <f t="shared" si="53"/>
        <v>ELC</v>
      </c>
      <c r="C3408" s="3" t="s">
        <v>850</v>
      </c>
      <c r="D3408" s="3" t="s">
        <v>784</v>
      </c>
      <c r="E3408" s="3" t="s">
        <v>1409</v>
      </c>
      <c r="F3408" s="3" t="s">
        <v>7</v>
      </c>
      <c r="G3408" s="3">
        <v>1.0945824991962101</v>
      </c>
    </row>
    <row r="3409" spans="1:16" x14ac:dyDescent="0.3">
      <c r="A3409" s="3" t="str">
        <f t="shared" si="53"/>
        <v>NGA</v>
      </c>
      <c r="C3409" s="3" t="s">
        <v>850</v>
      </c>
      <c r="D3409" s="3" t="s">
        <v>784</v>
      </c>
      <c r="E3409" s="3" t="s">
        <v>1411</v>
      </c>
      <c r="F3409" s="3" t="s">
        <v>1</v>
      </c>
      <c r="G3409" s="3">
        <v>1.9090361845602399</v>
      </c>
    </row>
    <row r="3410" spans="1:16" x14ac:dyDescent="0.3">
      <c r="A3410" s="3" t="str">
        <f t="shared" si="53"/>
        <v>NGA</v>
      </c>
      <c r="C3410" s="3" t="s">
        <v>850</v>
      </c>
      <c r="D3410" s="3" t="s">
        <v>784</v>
      </c>
      <c r="E3410" s="3" t="s">
        <v>1411</v>
      </c>
      <c r="F3410" s="3" t="s">
        <v>2</v>
      </c>
      <c r="G3410" s="3">
        <v>27.549123783532</v>
      </c>
      <c r="I3410" s="3">
        <v>20.496558309944099</v>
      </c>
    </row>
    <row r="3411" spans="1:16" x14ac:dyDescent="0.3">
      <c r="A3411" s="3" t="str">
        <f t="shared" si="53"/>
        <v>NGA</v>
      </c>
      <c r="C3411" s="3" t="s">
        <v>850</v>
      </c>
      <c r="D3411" s="3" t="s">
        <v>784</v>
      </c>
      <c r="E3411" s="3" t="s">
        <v>1411</v>
      </c>
      <c r="F3411" s="3" t="s">
        <v>3</v>
      </c>
      <c r="G3411" s="3">
        <v>8.7681780737050694</v>
      </c>
      <c r="I3411" s="3">
        <v>0.67155590547373101</v>
      </c>
    </row>
    <row r="3412" spans="1:16" x14ac:dyDescent="0.3">
      <c r="A3412" s="3" t="str">
        <f t="shared" si="53"/>
        <v>NGA</v>
      </c>
      <c r="C3412" s="3" t="s">
        <v>850</v>
      </c>
      <c r="D3412" s="3" t="s">
        <v>784</v>
      </c>
      <c r="E3412" s="3" t="s">
        <v>1411</v>
      </c>
      <c r="F3412" s="3" t="s">
        <v>4</v>
      </c>
      <c r="G3412" s="3">
        <v>10.9762695061436</v>
      </c>
      <c r="I3412" s="3">
        <v>0.15674856274301199</v>
      </c>
    </row>
    <row r="3413" spans="1:16" x14ac:dyDescent="0.3">
      <c r="A3413" s="3" t="str">
        <f t="shared" si="53"/>
        <v>NGA</v>
      </c>
      <c r="C3413" s="3" t="s">
        <v>850</v>
      </c>
      <c r="D3413" s="3" t="s">
        <v>784</v>
      </c>
      <c r="E3413" s="3" t="s">
        <v>1411</v>
      </c>
      <c r="F3413" s="3" t="s">
        <v>5</v>
      </c>
      <c r="G3413" s="3">
        <v>11.2017725889744</v>
      </c>
    </row>
    <row r="3414" spans="1:16" x14ac:dyDescent="0.3">
      <c r="A3414" s="3" t="str">
        <f t="shared" si="53"/>
        <v>NGA</v>
      </c>
      <c r="C3414" s="3" t="s">
        <v>850</v>
      </c>
      <c r="D3414" s="3" t="s">
        <v>784</v>
      </c>
      <c r="E3414" s="3" t="s">
        <v>1411</v>
      </c>
      <c r="F3414" s="3" t="s">
        <v>6</v>
      </c>
      <c r="I3414" s="3">
        <v>8.5164472513906908</v>
      </c>
    </row>
    <row r="3415" spans="1:16" x14ac:dyDescent="0.3">
      <c r="A3415" s="3" t="str">
        <f t="shared" si="53"/>
        <v>NGA</v>
      </c>
      <c r="C3415" s="3" t="s">
        <v>850</v>
      </c>
      <c r="D3415" s="3" t="s">
        <v>784</v>
      </c>
      <c r="E3415" s="3" t="s">
        <v>1411</v>
      </c>
      <c r="F3415" s="3" t="s">
        <v>7</v>
      </c>
      <c r="G3415" s="3">
        <v>0.32349191691186902</v>
      </c>
      <c r="I3415" s="3">
        <v>2.10512640944245E-2</v>
      </c>
    </row>
    <row r="3416" spans="1:16" x14ac:dyDescent="0.3">
      <c r="A3416" s="3" t="str">
        <f t="shared" si="53"/>
        <v>NGA</v>
      </c>
      <c r="C3416" s="3" t="s">
        <v>850</v>
      </c>
      <c r="D3416" s="3" t="s">
        <v>784</v>
      </c>
      <c r="E3416" s="3" t="s">
        <v>1411</v>
      </c>
      <c r="F3416" s="3" t="s">
        <v>8</v>
      </c>
      <c r="G3416" s="3">
        <v>8.3776706395629006</v>
      </c>
    </row>
    <row r="3417" spans="1:16" x14ac:dyDescent="0.3">
      <c r="A3417" s="3" t="str">
        <f t="shared" si="53"/>
        <v>COA</v>
      </c>
      <c r="C3417" s="3" t="s">
        <v>850</v>
      </c>
      <c r="D3417" s="3" t="s">
        <v>784</v>
      </c>
      <c r="E3417" s="3" t="s">
        <v>1415</v>
      </c>
      <c r="F3417" s="3" t="s">
        <v>4</v>
      </c>
      <c r="G3417" s="3">
        <v>1.0466806985488699</v>
      </c>
    </row>
    <row r="3418" spans="1:16" x14ac:dyDescent="0.3">
      <c r="A3418" s="3" t="str">
        <f t="shared" si="53"/>
        <v>COA</v>
      </c>
      <c r="C3418" s="3" t="s">
        <v>850</v>
      </c>
      <c r="D3418" s="3" t="s">
        <v>784</v>
      </c>
      <c r="E3418" s="3" t="s">
        <v>1415</v>
      </c>
      <c r="F3418" s="3" t="s">
        <v>5</v>
      </c>
      <c r="G3418" s="3">
        <v>1.30893889605044</v>
      </c>
    </row>
    <row r="3419" spans="1:16" x14ac:dyDescent="0.3">
      <c r="A3419" s="3" t="str">
        <f t="shared" si="53"/>
        <v>COA</v>
      </c>
      <c r="C3419" s="3" t="s">
        <v>850</v>
      </c>
      <c r="D3419" s="3" t="s">
        <v>784</v>
      </c>
      <c r="E3419" s="3" t="s">
        <v>1416</v>
      </c>
      <c r="F3419" s="3" t="s">
        <v>0</v>
      </c>
      <c r="L3419" s="3">
        <v>0.384869584656019</v>
      </c>
      <c r="M3419" s="3">
        <v>0.384869584656019</v>
      </c>
      <c r="N3419" s="3">
        <v>0.384869584656019</v>
      </c>
      <c r="O3419" s="3">
        <v>0.384869584656019</v>
      </c>
      <c r="P3419" s="3">
        <v>0.384869584656019</v>
      </c>
    </row>
    <row r="3420" spans="1:16" x14ac:dyDescent="0.3">
      <c r="A3420" s="3" t="str">
        <f t="shared" si="53"/>
        <v>COA</v>
      </c>
      <c r="C3420" s="3" t="s">
        <v>850</v>
      </c>
      <c r="D3420" s="3" t="s">
        <v>784</v>
      </c>
      <c r="E3420" s="3" t="s">
        <v>1416</v>
      </c>
      <c r="F3420" s="3" t="s">
        <v>2</v>
      </c>
      <c r="G3420" s="3">
        <v>4.3203388387767996</v>
      </c>
      <c r="N3420" s="3">
        <v>4.3203388387767996</v>
      </c>
      <c r="O3420" s="3">
        <v>4.3203388387767996</v>
      </c>
      <c r="P3420" s="3">
        <v>4.3203388387767996</v>
      </c>
    </row>
    <row r="3421" spans="1:16" x14ac:dyDescent="0.3">
      <c r="A3421" s="3" t="str">
        <f t="shared" si="53"/>
        <v>COA</v>
      </c>
      <c r="C3421" s="3" t="s">
        <v>850</v>
      </c>
      <c r="D3421" s="3" t="s">
        <v>784</v>
      </c>
      <c r="E3421" s="3" t="s">
        <v>1416</v>
      </c>
      <c r="F3421" s="3" t="s">
        <v>3</v>
      </c>
      <c r="G3421" s="3">
        <v>6.7399739513531598</v>
      </c>
    </row>
    <row r="3422" spans="1:16" x14ac:dyDescent="0.3">
      <c r="A3422" s="3" t="str">
        <f t="shared" si="53"/>
        <v>COA</v>
      </c>
      <c r="C3422" s="3" t="s">
        <v>850</v>
      </c>
      <c r="D3422" s="3" t="s">
        <v>784</v>
      </c>
      <c r="E3422" s="3" t="s">
        <v>1416</v>
      </c>
      <c r="F3422" s="3" t="s">
        <v>4</v>
      </c>
      <c r="G3422" s="3">
        <v>3.2792041650815702</v>
      </c>
    </row>
    <row r="3423" spans="1:16" x14ac:dyDescent="0.3">
      <c r="A3423" s="3" t="str">
        <f t="shared" ref="A3423:A3486" si="54">RIGHT(E3423,3)</f>
        <v>COA</v>
      </c>
      <c r="C3423" s="3" t="s">
        <v>850</v>
      </c>
      <c r="D3423" s="3" t="s">
        <v>784</v>
      </c>
      <c r="E3423" s="3" t="s">
        <v>1416</v>
      </c>
      <c r="F3423" s="3" t="s">
        <v>5</v>
      </c>
      <c r="G3423" s="3">
        <v>0.69794321667239001</v>
      </c>
    </row>
    <row r="3424" spans="1:16" x14ac:dyDescent="0.3">
      <c r="A3424" s="3" t="str">
        <f t="shared" si="54"/>
        <v>EXT</v>
      </c>
      <c r="C3424" s="3" t="s">
        <v>850</v>
      </c>
      <c r="D3424" s="3" t="s">
        <v>1148</v>
      </c>
      <c r="E3424" s="3" t="s">
        <v>1149</v>
      </c>
      <c r="F3424" s="3" t="s">
        <v>0</v>
      </c>
      <c r="G3424" s="3">
        <v>72.738865064216995</v>
      </c>
      <c r="H3424" s="3">
        <v>72.738865064216995</v>
      </c>
      <c r="I3424" s="3">
        <v>72.738865064216995</v>
      </c>
      <c r="J3424" s="3">
        <v>72.738865064216995</v>
      </c>
      <c r="K3424" s="3">
        <v>72.738865064216995</v>
      </c>
      <c r="L3424" s="3">
        <v>72.738865064216995</v>
      </c>
      <c r="M3424" s="3">
        <v>72.738865064216995</v>
      </c>
      <c r="N3424" s="3">
        <v>72.738865064216995</v>
      </c>
      <c r="O3424" s="3">
        <v>73.323013296525701</v>
      </c>
      <c r="P3424" s="3">
        <v>77.127897614389397</v>
      </c>
    </row>
    <row r="3425" spans="1:16" x14ac:dyDescent="0.3">
      <c r="A3425" s="3" t="str">
        <f t="shared" si="54"/>
        <v>EXT</v>
      </c>
      <c r="C3425" s="3" t="s">
        <v>850</v>
      </c>
      <c r="D3425" s="3" t="s">
        <v>1148</v>
      </c>
      <c r="E3425" s="3" t="s">
        <v>1149</v>
      </c>
      <c r="F3425" s="3" t="s">
        <v>1</v>
      </c>
      <c r="G3425" s="3">
        <v>58.605249423653099</v>
      </c>
      <c r="H3425" s="3">
        <v>58.605249423653099</v>
      </c>
      <c r="I3425" s="3">
        <v>58.605249423653099</v>
      </c>
      <c r="J3425" s="3">
        <v>58.605249423653099</v>
      </c>
      <c r="K3425" s="3">
        <v>58.605249423653099</v>
      </c>
      <c r="L3425" s="3">
        <v>58.605249423653099</v>
      </c>
      <c r="M3425" s="3">
        <v>58.605249423653099</v>
      </c>
      <c r="N3425" s="3">
        <v>58.605249423653099</v>
      </c>
      <c r="O3425" s="3">
        <v>59.075894007186498</v>
      </c>
      <c r="P3425" s="3">
        <v>62.141465545588801</v>
      </c>
    </row>
    <row r="3426" spans="1:16" x14ac:dyDescent="0.3">
      <c r="A3426" s="3" t="str">
        <f t="shared" si="54"/>
        <v>EXT</v>
      </c>
      <c r="C3426" s="3" t="s">
        <v>850</v>
      </c>
      <c r="D3426" s="3" t="s">
        <v>1148</v>
      </c>
      <c r="E3426" s="3" t="s">
        <v>1149</v>
      </c>
      <c r="F3426" s="3" t="s">
        <v>2</v>
      </c>
      <c r="G3426" s="3">
        <v>127.614299157844</v>
      </c>
      <c r="H3426" s="3">
        <v>127.614299157844</v>
      </c>
      <c r="I3426" s="3">
        <v>127.614299157844</v>
      </c>
      <c r="J3426" s="3">
        <v>127.614299157844</v>
      </c>
      <c r="K3426" s="3">
        <v>127.614299157844</v>
      </c>
      <c r="L3426" s="3">
        <v>127.614299157844</v>
      </c>
      <c r="M3426" s="3">
        <v>127.614299157844</v>
      </c>
      <c r="N3426" s="3">
        <v>127.614299157844</v>
      </c>
      <c r="O3426" s="3">
        <v>128.639138728885</v>
      </c>
      <c r="P3426" s="3">
        <v>135.31449234035699</v>
      </c>
    </row>
    <row r="3427" spans="1:16" x14ac:dyDescent="0.3">
      <c r="A3427" s="3" t="str">
        <f t="shared" si="54"/>
        <v>EXT</v>
      </c>
      <c r="C3427" s="3" t="s">
        <v>850</v>
      </c>
      <c r="D3427" s="3" t="s">
        <v>1148</v>
      </c>
      <c r="E3427" s="3" t="s">
        <v>1149</v>
      </c>
      <c r="F3427" s="3" t="s">
        <v>3</v>
      </c>
      <c r="G3427" s="3">
        <v>27.380607174687299</v>
      </c>
      <c r="H3427" s="3">
        <v>27.380607174687299</v>
      </c>
      <c r="I3427" s="3">
        <v>27.380607174687299</v>
      </c>
      <c r="J3427" s="3">
        <v>27.380607174687299</v>
      </c>
      <c r="K3427" s="3">
        <v>27.380607174687299</v>
      </c>
      <c r="L3427" s="3">
        <v>27.380607174687299</v>
      </c>
      <c r="M3427" s="3">
        <v>27.380607174687299</v>
      </c>
      <c r="N3427" s="3">
        <v>27.380607174687299</v>
      </c>
      <c r="O3427" s="3">
        <v>27.6004942084829</v>
      </c>
      <c r="P3427" s="3">
        <v>29.032741505173398</v>
      </c>
    </row>
    <row r="3428" spans="1:16" x14ac:dyDescent="0.3">
      <c r="A3428" s="3" t="str">
        <f t="shared" si="54"/>
        <v>EXT</v>
      </c>
      <c r="C3428" s="3" t="s">
        <v>850</v>
      </c>
      <c r="D3428" s="3" t="s">
        <v>1148</v>
      </c>
      <c r="E3428" s="3" t="s">
        <v>1149</v>
      </c>
      <c r="F3428" s="3" t="s">
        <v>4</v>
      </c>
      <c r="G3428" s="3">
        <v>186.55490985728201</v>
      </c>
      <c r="H3428" s="3">
        <v>186.55490985728201</v>
      </c>
      <c r="I3428" s="3">
        <v>186.55490985728201</v>
      </c>
      <c r="J3428" s="3">
        <v>186.55490985728201</v>
      </c>
      <c r="K3428" s="3">
        <v>186.55490985728201</v>
      </c>
      <c r="L3428" s="3">
        <v>186.55490985728201</v>
      </c>
      <c r="M3428" s="3">
        <v>186.55490985728201</v>
      </c>
      <c r="N3428" s="3">
        <v>186.55490985728201</v>
      </c>
      <c r="O3428" s="3">
        <v>189.58264940444201</v>
      </c>
      <c r="P3428" s="3">
        <v>199.42048908433699</v>
      </c>
    </row>
    <row r="3429" spans="1:16" x14ac:dyDescent="0.3">
      <c r="A3429" s="3" t="str">
        <f t="shared" si="54"/>
        <v>EXT</v>
      </c>
      <c r="C3429" s="3" t="s">
        <v>850</v>
      </c>
      <c r="D3429" s="3" t="s">
        <v>1148</v>
      </c>
      <c r="E3429" s="3" t="s">
        <v>1149</v>
      </c>
      <c r="F3429" s="3" t="s">
        <v>5</v>
      </c>
      <c r="G3429" s="3">
        <v>99.059271716600307</v>
      </c>
      <c r="H3429" s="3">
        <v>99.059271716600307</v>
      </c>
      <c r="I3429" s="3">
        <v>99.059271716600307</v>
      </c>
      <c r="J3429" s="3">
        <v>99.059271716600307</v>
      </c>
      <c r="K3429" s="3">
        <v>99.059271716600307</v>
      </c>
      <c r="L3429" s="3">
        <v>99.059271716600307</v>
      </c>
      <c r="M3429" s="3">
        <v>99.059271716600307</v>
      </c>
      <c r="N3429" s="3">
        <v>99.059271716600307</v>
      </c>
      <c r="O3429" s="3">
        <v>99.854792768736004</v>
      </c>
      <c r="P3429" s="3">
        <v>105.036466543282</v>
      </c>
    </row>
    <row r="3430" spans="1:16" x14ac:dyDescent="0.3">
      <c r="A3430" s="3" t="str">
        <f t="shared" si="54"/>
        <v>EXT</v>
      </c>
      <c r="C3430" s="3" t="s">
        <v>850</v>
      </c>
      <c r="D3430" s="3" t="s">
        <v>1148</v>
      </c>
      <c r="E3430" s="3" t="s">
        <v>1149</v>
      </c>
      <c r="F3430" s="3" t="s">
        <v>6</v>
      </c>
      <c r="G3430" s="3">
        <v>68.261782405227393</v>
      </c>
      <c r="H3430" s="3">
        <v>68.261782405227393</v>
      </c>
      <c r="I3430" s="3">
        <v>68.261782405227393</v>
      </c>
      <c r="J3430" s="3">
        <v>68.261782405227393</v>
      </c>
      <c r="K3430" s="3">
        <v>68.261782405227393</v>
      </c>
      <c r="L3430" s="3">
        <v>68.261782405227393</v>
      </c>
      <c r="M3430" s="3">
        <v>68.261782405227393</v>
      </c>
      <c r="N3430" s="3">
        <v>68.261782405227393</v>
      </c>
      <c r="O3430" s="3">
        <v>68.809976269553601</v>
      </c>
      <c r="P3430" s="3">
        <v>72.380669669206895</v>
      </c>
    </row>
    <row r="3431" spans="1:16" x14ac:dyDescent="0.3">
      <c r="A3431" s="3" t="str">
        <f t="shared" si="54"/>
        <v>EXT</v>
      </c>
      <c r="C3431" s="3" t="s">
        <v>850</v>
      </c>
      <c r="D3431" s="3" t="s">
        <v>1148</v>
      </c>
      <c r="E3431" s="3" t="s">
        <v>1149</v>
      </c>
      <c r="F3431" s="3" t="s">
        <v>7</v>
      </c>
      <c r="G3431" s="3">
        <v>13.206996724949899</v>
      </c>
      <c r="H3431" s="3">
        <v>13.206996724949899</v>
      </c>
      <c r="I3431" s="3">
        <v>13.206996724949899</v>
      </c>
      <c r="J3431" s="3">
        <v>13.206996724949899</v>
      </c>
      <c r="K3431" s="3">
        <v>13.206996724949899</v>
      </c>
      <c r="L3431" s="3">
        <v>13.206996724949899</v>
      </c>
      <c r="M3431" s="3">
        <v>13.206996724949899</v>
      </c>
      <c r="N3431" s="3">
        <v>13.206996724949899</v>
      </c>
      <c r="O3431" s="3">
        <v>13.3130589213311</v>
      </c>
      <c r="P3431" s="3">
        <v>14.0039013572211</v>
      </c>
    </row>
    <row r="3432" spans="1:16" x14ac:dyDescent="0.3">
      <c r="A3432" s="3" t="str">
        <f t="shared" si="54"/>
        <v>EXT</v>
      </c>
      <c r="C3432" s="3" t="s">
        <v>850</v>
      </c>
      <c r="D3432" s="3" t="s">
        <v>1148</v>
      </c>
      <c r="E3432" s="3" t="s">
        <v>1149</v>
      </c>
      <c r="F3432" s="3" t="s">
        <v>8</v>
      </c>
      <c r="G3432" s="3">
        <v>69.3933542801866</v>
      </c>
      <c r="H3432" s="3">
        <v>69.3933542801866</v>
      </c>
      <c r="I3432" s="3">
        <v>69.3933542801866</v>
      </c>
      <c r="J3432" s="3">
        <v>69.3933542801866</v>
      </c>
      <c r="K3432" s="3">
        <v>69.3933542801866</v>
      </c>
      <c r="L3432" s="3">
        <v>69.3933542801866</v>
      </c>
      <c r="M3432" s="3">
        <v>69.3933542801866</v>
      </c>
      <c r="N3432" s="3">
        <v>69.3933542801866</v>
      </c>
      <c r="O3432" s="3">
        <v>69.950635524552396</v>
      </c>
      <c r="P3432" s="3">
        <v>73.580520115569101</v>
      </c>
    </row>
    <row r="3433" spans="1:16" x14ac:dyDescent="0.3">
      <c r="A3433" s="3" t="str">
        <f t="shared" si="54"/>
        <v>DST</v>
      </c>
      <c r="C3433" s="3" t="s">
        <v>850</v>
      </c>
      <c r="D3433" s="3" t="s">
        <v>723</v>
      </c>
      <c r="E3433" s="3" t="s">
        <v>1040</v>
      </c>
      <c r="F3433" s="3" t="s">
        <v>0</v>
      </c>
      <c r="G3433" s="3">
        <v>0.57799499607535598</v>
      </c>
    </row>
    <row r="3434" spans="1:16" x14ac:dyDescent="0.3">
      <c r="A3434" s="3" t="str">
        <f t="shared" si="54"/>
        <v>DST</v>
      </c>
      <c r="C3434" s="3" t="s">
        <v>850</v>
      </c>
      <c r="D3434" s="3" t="s">
        <v>723</v>
      </c>
      <c r="E3434" s="3" t="s">
        <v>1040</v>
      </c>
      <c r="F3434" s="3" t="s">
        <v>1</v>
      </c>
      <c r="G3434" s="3">
        <v>0.50999558477236795</v>
      </c>
    </row>
    <row r="3435" spans="1:16" x14ac:dyDescent="0.3">
      <c r="A3435" s="3" t="str">
        <f t="shared" si="54"/>
        <v>DST</v>
      </c>
      <c r="C3435" s="3" t="s">
        <v>850</v>
      </c>
      <c r="D3435" s="3" t="s">
        <v>723</v>
      </c>
      <c r="E3435" s="3" t="s">
        <v>1040</v>
      </c>
      <c r="F3435" s="3" t="s">
        <v>4</v>
      </c>
      <c r="G3435" s="3">
        <v>0.52399529042387305</v>
      </c>
    </row>
    <row r="3436" spans="1:16" x14ac:dyDescent="0.3">
      <c r="A3436" s="3" t="str">
        <f t="shared" si="54"/>
        <v>DST</v>
      </c>
      <c r="C3436" s="3" t="s">
        <v>850</v>
      </c>
      <c r="D3436" s="3" t="s">
        <v>723</v>
      </c>
      <c r="E3436" s="3" t="s">
        <v>1040</v>
      </c>
      <c r="F3436" s="3" t="s">
        <v>5</v>
      </c>
      <c r="G3436" s="3">
        <v>0.31586823314933499</v>
      </c>
    </row>
    <row r="3437" spans="1:16" x14ac:dyDescent="0.3">
      <c r="A3437" s="3" t="str">
        <f t="shared" si="54"/>
        <v>DST</v>
      </c>
      <c r="C3437" s="3" t="s">
        <v>850</v>
      </c>
      <c r="D3437" s="3" t="s">
        <v>723</v>
      </c>
      <c r="E3437" s="3" t="s">
        <v>1040</v>
      </c>
      <c r="F3437" s="3" t="s">
        <v>6</v>
      </c>
      <c r="G3437" s="3">
        <v>0.22812705727452401</v>
      </c>
    </row>
    <row r="3438" spans="1:16" x14ac:dyDescent="0.3">
      <c r="A3438" s="3" t="str">
        <f t="shared" si="54"/>
        <v>ELC</v>
      </c>
      <c r="C3438" s="3" t="s">
        <v>850</v>
      </c>
      <c r="D3438" s="3" t="s">
        <v>723</v>
      </c>
      <c r="E3438" s="3" t="s">
        <v>1150</v>
      </c>
      <c r="F3438" s="3" t="s">
        <v>0</v>
      </c>
      <c r="G3438" s="3">
        <v>0.17090751669931301</v>
      </c>
      <c r="H3438" s="3">
        <v>1.45759426456112</v>
      </c>
      <c r="K3438" s="3">
        <v>1.45759426456112</v>
      </c>
      <c r="L3438" s="3">
        <v>1.45759426456112</v>
      </c>
      <c r="M3438" s="3">
        <v>1.45759426456112</v>
      </c>
    </row>
    <row r="3439" spans="1:16" x14ac:dyDescent="0.3">
      <c r="A3439" s="3" t="str">
        <f t="shared" si="54"/>
        <v>ELC</v>
      </c>
      <c r="C3439" s="3" t="s">
        <v>850</v>
      </c>
      <c r="D3439" s="3" t="s">
        <v>723</v>
      </c>
      <c r="E3439" s="3" t="s">
        <v>1150</v>
      </c>
      <c r="F3439" s="3" t="s">
        <v>1</v>
      </c>
      <c r="G3439" s="3">
        <v>0.150800750028806</v>
      </c>
      <c r="H3439" s="3">
        <v>1.2861125863774601</v>
      </c>
      <c r="I3439" s="3">
        <v>0.82126916400902805</v>
      </c>
      <c r="J3439" s="3">
        <v>1.2861125863774601</v>
      </c>
      <c r="K3439" s="3">
        <v>1.2861125863774601</v>
      </c>
      <c r="L3439" s="3">
        <v>1.2861125863774601</v>
      </c>
      <c r="M3439" s="3">
        <v>1.2861125863774601</v>
      </c>
      <c r="O3439" s="3">
        <v>1.2925187405418199</v>
      </c>
    </row>
    <row r="3440" spans="1:16" x14ac:dyDescent="0.3">
      <c r="A3440" s="3" t="str">
        <f t="shared" si="54"/>
        <v>ELC</v>
      </c>
      <c r="C3440" s="3" t="s">
        <v>850</v>
      </c>
      <c r="D3440" s="3" t="s">
        <v>723</v>
      </c>
      <c r="E3440" s="3" t="s">
        <v>1150</v>
      </c>
      <c r="F3440" s="3" t="s">
        <v>2</v>
      </c>
      <c r="G3440" s="3">
        <v>1.51202885362216</v>
      </c>
      <c r="H3440" s="3">
        <v>2.08375724196631</v>
      </c>
    </row>
    <row r="3441" spans="1:16" x14ac:dyDescent="0.3">
      <c r="A3441" s="3" t="str">
        <f t="shared" si="54"/>
        <v>ELC</v>
      </c>
      <c r="C3441" s="3" t="s">
        <v>850</v>
      </c>
      <c r="D3441" s="3" t="s">
        <v>723</v>
      </c>
      <c r="E3441" s="3" t="s">
        <v>1150</v>
      </c>
      <c r="F3441" s="3" t="s">
        <v>3</v>
      </c>
      <c r="G3441" s="3">
        <v>0.28953744005530702</v>
      </c>
      <c r="H3441" s="3">
        <v>0.39901734420631002</v>
      </c>
    </row>
    <row r="3442" spans="1:16" x14ac:dyDescent="0.3">
      <c r="A3442" s="3" t="str">
        <f t="shared" si="54"/>
        <v>ELC</v>
      </c>
      <c r="C3442" s="3" t="s">
        <v>850</v>
      </c>
      <c r="D3442" s="3" t="s">
        <v>723</v>
      </c>
      <c r="E3442" s="3" t="s">
        <v>1150</v>
      </c>
      <c r="F3442" s="3" t="s">
        <v>4</v>
      </c>
      <c r="G3442" s="3">
        <v>1.2868330669124699</v>
      </c>
      <c r="H3442" s="3">
        <v>2.4589139137912799</v>
      </c>
      <c r="I3442" s="3">
        <v>0.97714353092566197</v>
      </c>
      <c r="J3442" s="3">
        <v>2.4589139137912901</v>
      </c>
      <c r="K3442" s="3">
        <v>2.4589139137912901</v>
      </c>
      <c r="L3442" s="3">
        <v>2.4589139137912901</v>
      </c>
      <c r="M3442" s="3">
        <v>2.4589139137912901</v>
      </c>
      <c r="N3442" s="3">
        <v>2.4589139137912901</v>
      </c>
      <c r="O3442" s="3">
        <v>2.4606524650840198</v>
      </c>
    </row>
    <row r="3443" spans="1:16" x14ac:dyDescent="0.3">
      <c r="A3443" s="3" t="str">
        <f t="shared" si="54"/>
        <v>ELC</v>
      </c>
      <c r="C3443" s="3" t="s">
        <v>850</v>
      </c>
      <c r="D3443" s="3" t="s">
        <v>723</v>
      </c>
      <c r="E3443" s="3" t="s">
        <v>1150</v>
      </c>
      <c r="F3443" s="3" t="s">
        <v>5</v>
      </c>
      <c r="G3443" s="3">
        <v>0.74719339369111404</v>
      </c>
      <c r="H3443" s="3">
        <v>1.43936936929815</v>
      </c>
      <c r="I3443" s="3">
        <v>1.43936936929816</v>
      </c>
      <c r="J3443" s="3">
        <v>0.64036812021043898</v>
      </c>
      <c r="K3443" s="3">
        <v>1.0430847350172101</v>
      </c>
      <c r="L3443" s="3">
        <v>1.2862046986403499</v>
      </c>
      <c r="M3443" s="3">
        <v>1.43936936929816</v>
      </c>
      <c r="N3443" s="3">
        <v>1.43936936929816</v>
      </c>
      <c r="O3443" s="3">
        <v>1.4509285965692</v>
      </c>
    </row>
    <row r="3444" spans="1:16" x14ac:dyDescent="0.3">
      <c r="A3444" s="3" t="str">
        <f t="shared" si="54"/>
        <v>ELC</v>
      </c>
      <c r="C3444" s="3" t="s">
        <v>850</v>
      </c>
      <c r="D3444" s="3" t="s">
        <v>723</v>
      </c>
      <c r="E3444" s="3" t="s">
        <v>1150</v>
      </c>
      <c r="F3444" s="3" t="s">
        <v>6</v>
      </c>
      <c r="G3444" s="3">
        <v>0.53963967322135997</v>
      </c>
      <c r="J3444" s="3">
        <v>6.5180223850775001E-2</v>
      </c>
      <c r="K3444" s="3">
        <v>0.24077105565756801</v>
      </c>
      <c r="L3444" s="3">
        <v>0.41636188746436198</v>
      </c>
      <c r="M3444" s="3">
        <v>0.591952719271156</v>
      </c>
      <c r="N3444" s="3">
        <v>0.76754355107795402</v>
      </c>
      <c r="O3444" s="3">
        <v>0.75440006714386498</v>
      </c>
    </row>
    <row r="3445" spans="1:16" x14ac:dyDescent="0.3">
      <c r="A3445" s="3" t="str">
        <f t="shared" si="54"/>
        <v>ELC</v>
      </c>
      <c r="C3445" s="3" t="s">
        <v>850</v>
      </c>
      <c r="D3445" s="3" t="s">
        <v>723</v>
      </c>
      <c r="E3445" s="3" t="s">
        <v>1150</v>
      </c>
      <c r="F3445" s="3" t="s">
        <v>7</v>
      </c>
      <c r="G3445" s="3">
        <v>0.20589329070599599</v>
      </c>
    </row>
    <row r="3446" spans="1:16" x14ac:dyDescent="0.3">
      <c r="A3446" s="3" t="str">
        <f t="shared" si="54"/>
        <v>ELC</v>
      </c>
      <c r="C3446" s="3" t="s">
        <v>850</v>
      </c>
      <c r="D3446" s="3" t="s">
        <v>723</v>
      </c>
      <c r="E3446" s="3" t="s">
        <v>1150</v>
      </c>
      <c r="F3446" s="3" t="s">
        <v>8</v>
      </c>
      <c r="G3446" s="3">
        <v>1.5956730029714601</v>
      </c>
    </row>
    <row r="3447" spans="1:16" x14ac:dyDescent="0.3">
      <c r="A3447" s="3" t="str">
        <f t="shared" si="54"/>
        <v>NGA</v>
      </c>
      <c r="C3447" s="3" t="s">
        <v>850</v>
      </c>
      <c r="D3447" s="3" t="s">
        <v>723</v>
      </c>
      <c r="E3447" s="3" t="s">
        <v>1041</v>
      </c>
      <c r="F3447" s="3" t="s">
        <v>0</v>
      </c>
      <c r="G3447" s="3">
        <v>0.42723608451040201</v>
      </c>
      <c r="P3447" s="3">
        <v>1.54554488994489</v>
      </c>
    </row>
    <row r="3448" spans="1:16" x14ac:dyDescent="0.3">
      <c r="A3448" s="3" t="str">
        <f t="shared" si="54"/>
        <v>NGA</v>
      </c>
      <c r="C3448" s="3" t="s">
        <v>850</v>
      </c>
      <c r="D3448" s="3" t="s">
        <v>723</v>
      </c>
      <c r="E3448" s="3" t="s">
        <v>1041</v>
      </c>
      <c r="F3448" s="3" t="s">
        <v>1</v>
      </c>
      <c r="G3448" s="3">
        <v>0.37697301574447201</v>
      </c>
      <c r="I3448" s="3">
        <v>0.46484342236842802</v>
      </c>
      <c r="N3448" s="3">
        <v>0.27425803656335901</v>
      </c>
      <c r="P3448" s="3">
        <v>1.36371607936313</v>
      </c>
    </row>
    <row r="3449" spans="1:16" x14ac:dyDescent="0.3">
      <c r="A3449" s="3" t="str">
        <f t="shared" si="54"/>
        <v>NGA</v>
      </c>
      <c r="C3449" s="3" t="s">
        <v>850</v>
      </c>
      <c r="D3449" s="3" t="s">
        <v>723</v>
      </c>
      <c r="E3449" s="3" t="s">
        <v>1041</v>
      </c>
      <c r="F3449" s="3" t="s">
        <v>2</v>
      </c>
      <c r="G3449" s="3">
        <v>0.51614680699131099</v>
      </c>
      <c r="I3449" s="3">
        <v>2.0837572419662802</v>
      </c>
      <c r="J3449" s="3">
        <v>2.0837572419662802</v>
      </c>
      <c r="K3449" s="3">
        <v>2.0837572419662802</v>
      </c>
      <c r="L3449" s="3">
        <v>2.0837572419663002</v>
      </c>
      <c r="M3449" s="3">
        <v>2.0837572419662802</v>
      </c>
      <c r="N3449" s="3">
        <v>2.0837572419663002</v>
      </c>
      <c r="O3449" s="3">
        <v>2.1004913923875401</v>
      </c>
      <c r="P3449" s="3">
        <v>2.2094902782677601</v>
      </c>
    </row>
    <row r="3450" spans="1:16" x14ac:dyDescent="0.3">
      <c r="A3450" s="3" t="str">
        <f t="shared" si="54"/>
        <v>NGA</v>
      </c>
      <c r="C3450" s="3" t="s">
        <v>850</v>
      </c>
      <c r="D3450" s="3" t="s">
        <v>723</v>
      </c>
      <c r="E3450" s="3" t="s">
        <v>1041</v>
      </c>
      <c r="F3450" s="3" t="s">
        <v>3</v>
      </c>
      <c r="G3450" s="3">
        <v>9.8836622615357403E-2</v>
      </c>
      <c r="I3450" s="3">
        <v>0.39901734420631402</v>
      </c>
      <c r="J3450" s="3">
        <v>0.39901734420631402</v>
      </c>
      <c r="K3450" s="3">
        <v>0.39901734420631502</v>
      </c>
      <c r="L3450" s="3">
        <v>0.39901734420631702</v>
      </c>
      <c r="M3450" s="3">
        <v>0.39901734420631602</v>
      </c>
      <c r="N3450" s="3">
        <v>0.39901734420631602</v>
      </c>
      <c r="O3450" s="3">
        <v>0.40222175598910598</v>
      </c>
      <c r="P3450" s="3">
        <v>0.42309388307255702</v>
      </c>
    </row>
    <row r="3451" spans="1:16" x14ac:dyDescent="0.3">
      <c r="A3451" s="3" t="str">
        <f t="shared" si="54"/>
        <v>NGA</v>
      </c>
      <c r="C3451" s="3" t="s">
        <v>850</v>
      </c>
      <c r="D3451" s="3" t="s">
        <v>723</v>
      </c>
      <c r="E3451" s="3" t="s">
        <v>1041</v>
      </c>
      <c r="F3451" s="3" t="s">
        <v>4</v>
      </c>
      <c r="G3451" s="3">
        <v>0.44941096778948803</v>
      </c>
      <c r="I3451" s="3">
        <v>1.4817703828656299</v>
      </c>
      <c r="O3451" s="3">
        <v>3.8169006785176797E-2</v>
      </c>
      <c r="P3451" s="3">
        <v>2.6284905376099199</v>
      </c>
    </row>
    <row r="3452" spans="1:16" x14ac:dyDescent="0.3">
      <c r="A3452" s="3" t="str">
        <f t="shared" si="54"/>
        <v>NGA</v>
      </c>
      <c r="C3452" s="3" t="s">
        <v>850</v>
      </c>
      <c r="D3452" s="3" t="s">
        <v>723</v>
      </c>
      <c r="E3452" s="3" t="s">
        <v>1041</v>
      </c>
      <c r="F3452" s="3" t="s">
        <v>5</v>
      </c>
      <c r="G3452" s="3">
        <v>0.26094830387776702</v>
      </c>
      <c r="J3452" s="3">
        <v>0.79900124908771997</v>
      </c>
      <c r="K3452" s="3">
        <v>0.39628463428093103</v>
      </c>
      <c r="L3452" s="3">
        <v>0.15316467065780701</v>
      </c>
      <c r="P3452" s="3">
        <v>1.5262203121606099</v>
      </c>
    </row>
    <row r="3453" spans="1:16" x14ac:dyDescent="0.3">
      <c r="A3453" s="3" t="str">
        <f t="shared" si="54"/>
        <v>NGA</v>
      </c>
      <c r="C3453" s="3" t="s">
        <v>850</v>
      </c>
      <c r="D3453" s="3" t="s">
        <v>723</v>
      </c>
      <c r="E3453" s="3" t="s">
        <v>1041</v>
      </c>
      <c r="F3453" s="3" t="s">
        <v>6</v>
      </c>
      <c r="G3453" s="3">
        <v>0.18846266391172101</v>
      </c>
      <c r="H3453" s="3">
        <v>1.03954454449311</v>
      </c>
      <c r="I3453" s="3">
        <v>1.0395445444931199</v>
      </c>
      <c r="J3453" s="3">
        <v>0.97436432064233003</v>
      </c>
      <c r="K3453" s="3">
        <v>0.798773488835547</v>
      </c>
      <c r="L3453" s="3">
        <v>0.62318265702875397</v>
      </c>
      <c r="M3453" s="3">
        <v>0.44759182522195001</v>
      </c>
      <c r="N3453" s="3">
        <v>0.27200099341515099</v>
      </c>
      <c r="O3453" s="3">
        <v>0.29349280815610301</v>
      </c>
      <c r="P3453" s="3">
        <v>1.10227022544931</v>
      </c>
    </row>
    <row r="3454" spans="1:16" x14ac:dyDescent="0.3">
      <c r="A3454" s="3" t="str">
        <f t="shared" si="54"/>
        <v>NGA</v>
      </c>
      <c r="C3454" s="3" t="s">
        <v>850</v>
      </c>
      <c r="D3454" s="3" t="s">
        <v>723</v>
      </c>
      <c r="E3454" s="3" t="s">
        <v>1041</v>
      </c>
      <c r="F3454" s="3" t="s">
        <v>7</v>
      </c>
      <c r="G3454" s="3">
        <v>5.0460178839522203E-2</v>
      </c>
      <c r="H3454" s="3">
        <v>0.25635346954552002</v>
      </c>
      <c r="I3454" s="3">
        <v>0.25635346954551802</v>
      </c>
      <c r="J3454" s="3">
        <v>0.25635346954551702</v>
      </c>
      <c r="K3454" s="3">
        <v>0.25635346954551702</v>
      </c>
      <c r="L3454" s="3">
        <v>0.25635346954551602</v>
      </c>
      <c r="M3454" s="3">
        <v>0.25635346954551702</v>
      </c>
      <c r="N3454" s="3">
        <v>0.25635346954551702</v>
      </c>
      <c r="O3454" s="3">
        <v>0.25841218225637702</v>
      </c>
      <c r="P3454" s="3">
        <v>0.27182173016783401</v>
      </c>
    </row>
    <row r="3455" spans="1:16" x14ac:dyDescent="0.3">
      <c r="A3455" s="3" t="str">
        <f t="shared" si="54"/>
        <v>NGA</v>
      </c>
      <c r="C3455" s="3" t="s">
        <v>850</v>
      </c>
      <c r="D3455" s="3" t="s">
        <v>723</v>
      </c>
      <c r="E3455" s="3" t="s">
        <v>1041</v>
      </c>
      <c r="F3455" s="3" t="s">
        <v>8</v>
      </c>
      <c r="G3455" s="3">
        <v>0.39106638600629201</v>
      </c>
      <c r="H3455" s="3">
        <v>1.98673938897776</v>
      </c>
      <c r="I3455" s="3">
        <v>1.98673938897775</v>
      </c>
      <c r="L3455" s="3">
        <v>9.94018734396587E-2</v>
      </c>
      <c r="M3455" s="3">
        <v>3.5288625138679898E-2</v>
      </c>
      <c r="O3455" s="3">
        <v>0.22530846420342401</v>
      </c>
      <c r="P3455" s="3">
        <v>0.428808660260868</v>
      </c>
    </row>
    <row r="3456" spans="1:16" x14ac:dyDescent="0.3">
      <c r="A3456" s="3" t="str">
        <f t="shared" si="54"/>
        <v>RFL</v>
      </c>
      <c r="C3456" s="3" t="s">
        <v>850</v>
      </c>
      <c r="D3456" s="3" t="s">
        <v>723</v>
      </c>
      <c r="E3456" s="3" t="s">
        <v>1042</v>
      </c>
      <c r="F3456" s="3" t="s">
        <v>0</v>
      </c>
      <c r="G3456" s="3">
        <v>0.28145566727605098</v>
      </c>
      <c r="I3456" s="3">
        <v>1.45759426456112</v>
      </c>
      <c r="J3456" s="3">
        <v>1.45759426456112</v>
      </c>
      <c r="N3456" s="3">
        <v>1.45759426456112</v>
      </c>
      <c r="O3456" s="3">
        <v>1.46929985155805</v>
      </c>
    </row>
    <row r="3457" spans="1:16" x14ac:dyDescent="0.3">
      <c r="A3457" s="3" t="str">
        <f t="shared" si="54"/>
        <v>RFL</v>
      </c>
      <c r="C3457" s="3" t="s">
        <v>850</v>
      </c>
      <c r="D3457" s="3" t="s">
        <v>723</v>
      </c>
      <c r="E3457" s="3" t="s">
        <v>1042</v>
      </c>
      <c r="F3457" s="3" t="s">
        <v>1</v>
      </c>
      <c r="G3457" s="3">
        <v>0.24834323583181001</v>
      </c>
      <c r="N3457" s="3">
        <v>1.0118545498141001</v>
      </c>
      <c r="O3457" s="3">
        <v>3.9223049505741096E-3</v>
      </c>
    </row>
    <row r="3458" spans="1:16" x14ac:dyDescent="0.3">
      <c r="A3458" s="3" t="str">
        <f t="shared" si="54"/>
        <v>RFL</v>
      </c>
      <c r="C3458" s="3" t="s">
        <v>850</v>
      </c>
      <c r="D3458" s="3" t="s">
        <v>723</v>
      </c>
      <c r="E3458" s="3" t="s">
        <v>1042</v>
      </c>
      <c r="F3458" s="3" t="s">
        <v>2</v>
      </c>
      <c r="G3458" s="3">
        <v>5.5581581352826398E-2</v>
      </c>
    </row>
    <row r="3459" spans="1:16" x14ac:dyDescent="0.3">
      <c r="A3459" s="3" t="str">
        <f t="shared" si="54"/>
        <v>RFL</v>
      </c>
      <c r="C3459" s="3" t="s">
        <v>850</v>
      </c>
      <c r="D3459" s="3" t="s">
        <v>723</v>
      </c>
      <c r="E3459" s="3" t="s">
        <v>1042</v>
      </c>
      <c r="F3459" s="3" t="s">
        <v>3</v>
      </c>
      <c r="G3459" s="3">
        <v>1.0643281535649E-2</v>
      </c>
    </row>
    <row r="3460" spans="1:16" x14ac:dyDescent="0.3">
      <c r="A3460" s="3" t="str">
        <f t="shared" si="54"/>
        <v>RFL</v>
      </c>
      <c r="C3460" s="3" t="s">
        <v>850</v>
      </c>
      <c r="D3460" s="3" t="s">
        <v>723</v>
      </c>
      <c r="E3460" s="3" t="s">
        <v>1042</v>
      </c>
      <c r="F3460" s="3" t="s">
        <v>4</v>
      </c>
      <c r="G3460" s="3">
        <v>0.19867458866544799</v>
      </c>
    </row>
    <row r="3461" spans="1:16" x14ac:dyDescent="0.3">
      <c r="A3461" s="3" t="str">
        <f t="shared" si="54"/>
        <v>RFL</v>
      </c>
      <c r="C3461" s="3" t="s">
        <v>850</v>
      </c>
      <c r="D3461" s="3" t="s">
        <v>723</v>
      </c>
      <c r="E3461" s="3" t="s">
        <v>1042</v>
      </c>
      <c r="F3461" s="3" t="s">
        <v>5</v>
      </c>
      <c r="G3461" s="3">
        <v>0.115359438579937</v>
      </c>
    </row>
    <row r="3462" spans="1:16" x14ac:dyDescent="0.3">
      <c r="A3462" s="3" t="str">
        <f t="shared" si="54"/>
        <v>RFL</v>
      </c>
      <c r="C3462" s="3" t="s">
        <v>850</v>
      </c>
      <c r="D3462" s="3" t="s">
        <v>723</v>
      </c>
      <c r="E3462" s="3" t="s">
        <v>1042</v>
      </c>
      <c r="F3462" s="3" t="s">
        <v>6</v>
      </c>
      <c r="G3462" s="3">
        <v>8.3315150085510395E-2</v>
      </c>
    </row>
    <row r="3463" spans="1:16" x14ac:dyDescent="0.3">
      <c r="A3463" s="3" t="str">
        <f t="shared" si="54"/>
        <v>RFL</v>
      </c>
      <c r="C3463" s="3" t="s">
        <v>850</v>
      </c>
      <c r="D3463" s="3" t="s">
        <v>723</v>
      </c>
      <c r="E3463" s="3" t="s">
        <v>1042</v>
      </c>
      <c r="F3463" s="3" t="s">
        <v>8</v>
      </c>
      <c r="J3463" s="3">
        <v>1.98673938897775</v>
      </c>
      <c r="K3463" s="3">
        <v>1.98673938897776</v>
      </c>
      <c r="L3463" s="3">
        <v>1.88733751553809</v>
      </c>
      <c r="M3463" s="3">
        <v>1.9514507638390699</v>
      </c>
      <c r="N3463" s="3">
        <v>1.98673938897776</v>
      </c>
      <c r="O3463" s="3">
        <v>1.7773859482834999</v>
      </c>
      <c r="P3463" s="3">
        <v>1.67780974853985</v>
      </c>
    </row>
    <row r="3464" spans="1:16" x14ac:dyDescent="0.3">
      <c r="A3464" s="3" t="str">
        <f t="shared" si="54"/>
        <v>COA</v>
      </c>
      <c r="C3464" s="3" t="s">
        <v>850</v>
      </c>
      <c r="D3464" s="3" t="s">
        <v>1151</v>
      </c>
      <c r="E3464" s="3" t="s">
        <v>1024</v>
      </c>
      <c r="F3464" s="3" t="s">
        <v>0</v>
      </c>
      <c r="G3464" s="3">
        <v>20.415336390781501</v>
      </c>
      <c r="H3464" s="3">
        <v>19.7776939873579</v>
      </c>
      <c r="I3464" s="3">
        <v>17.227124373663599</v>
      </c>
      <c r="J3464" s="3">
        <v>17.227124373663599</v>
      </c>
      <c r="K3464" s="3">
        <v>17.227124373663599</v>
      </c>
      <c r="L3464" s="3">
        <v>17.227124373663599</v>
      </c>
      <c r="M3464" s="3">
        <v>17.227124373663599</v>
      </c>
      <c r="N3464" s="3">
        <v>17.227124373663599</v>
      </c>
      <c r="O3464" s="3">
        <v>17.227124373663599</v>
      </c>
      <c r="P3464" s="3">
        <v>17.227124373663599</v>
      </c>
    </row>
    <row r="3465" spans="1:16" x14ac:dyDescent="0.3">
      <c r="A3465" s="3" t="str">
        <f t="shared" si="54"/>
        <v>COA</v>
      </c>
      <c r="C3465" s="3" t="s">
        <v>850</v>
      </c>
      <c r="D3465" s="3" t="s">
        <v>1151</v>
      </c>
      <c r="E3465" s="3" t="s">
        <v>1024</v>
      </c>
      <c r="F3465" s="3" t="s">
        <v>1</v>
      </c>
      <c r="G3465" s="3">
        <v>1.8525922566015101</v>
      </c>
      <c r="H3465" s="3">
        <v>1.6124521630297901</v>
      </c>
      <c r="I3465" s="3">
        <v>0.65189178874287701</v>
      </c>
      <c r="J3465" s="3">
        <v>0.65189178874287701</v>
      </c>
      <c r="K3465" s="3">
        <v>0.65189178874287701</v>
      </c>
      <c r="L3465" s="3">
        <v>0.65189178874287701</v>
      </c>
      <c r="M3465" s="3">
        <v>0.65189178874287701</v>
      </c>
      <c r="N3465" s="3">
        <v>0.65189178874287701</v>
      </c>
      <c r="O3465" s="3">
        <v>0.65189178874287701</v>
      </c>
      <c r="P3465" s="3">
        <v>0.65189178874287701</v>
      </c>
    </row>
    <row r="3466" spans="1:16" x14ac:dyDescent="0.3">
      <c r="A3466" s="3" t="str">
        <f t="shared" si="54"/>
        <v>COA</v>
      </c>
      <c r="C3466" s="3" t="s">
        <v>850</v>
      </c>
      <c r="D3466" s="3" t="s">
        <v>1151</v>
      </c>
      <c r="E3466" s="3" t="s">
        <v>1024</v>
      </c>
      <c r="F3466" s="3" t="s">
        <v>2</v>
      </c>
      <c r="G3466" s="3">
        <v>31.227078246112999</v>
      </c>
      <c r="H3466" s="3">
        <v>26.047631151595901</v>
      </c>
      <c r="I3466" s="3">
        <v>5.3298427735272904</v>
      </c>
      <c r="J3466" s="3">
        <v>5.3298427735272904</v>
      </c>
      <c r="K3466" s="3">
        <v>5.3298427735272904</v>
      </c>
      <c r="L3466" s="3">
        <v>5.3298427735272904</v>
      </c>
      <c r="M3466" s="3">
        <v>5.3298427735272904</v>
      </c>
      <c r="N3466" s="3">
        <v>5.3298427735272904</v>
      </c>
      <c r="O3466" s="3">
        <v>5.3298427735272904</v>
      </c>
      <c r="P3466" s="3">
        <v>5.3298427735272904</v>
      </c>
    </row>
    <row r="3467" spans="1:16" x14ac:dyDescent="0.3">
      <c r="A3467" s="3" t="str">
        <f t="shared" si="54"/>
        <v>COA</v>
      </c>
      <c r="C3467" s="3" t="s">
        <v>850</v>
      </c>
      <c r="D3467" s="3" t="s">
        <v>1151</v>
      </c>
      <c r="E3467" s="3" t="s">
        <v>1024</v>
      </c>
      <c r="F3467" s="3" t="s">
        <v>3</v>
      </c>
      <c r="G3467" s="3">
        <v>0.86238117967443095</v>
      </c>
      <c r="H3467" s="3">
        <v>2.1412238623556101</v>
      </c>
      <c r="I3467" s="3">
        <v>7.2565945930803197</v>
      </c>
      <c r="J3467" s="3">
        <v>7.2565945930803197</v>
      </c>
      <c r="K3467" s="3">
        <v>7.2565945930803197</v>
      </c>
      <c r="L3467" s="3">
        <v>7.2565945930803197</v>
      </c>
      <c r="M3467" s="3">
        <v>7.2565945930803197</v>
      </c>
      <c r="N3467" s="3">
        <v>7.2565945930803197</v>
      </c>
      <c r="O3467" s="3">
        <v>7.2565945930803197</v>
      </c>
      <c r="P3467" s="3">
        <v>7.2565945930803197</v>
      </c>
    </row>
    <row r="3468" spans="1:16" x14ac:dyDescent="0.3">
      <c r="A3468" s="3" t="str">
        <f t="shared" si="54"/>
        <v>COA</v>
      </c>
      <c r="C3468" s="3" t="s">
        <v>850</v>
      </c>
      <c r="D3468" s="3" t="s">
        <v>1151</v>
      </c>
      <c r="E3468" s="3" t="s">
        <v>1024</v>
      </c>
      <c r="F3468" s="3" t="s">
        <v>4</v>
      </c>
      <c r="G3468" s="3">
        <v>49.403739856800399</v>
      </c>
      <c r="H3468" s="3">
        <v>49.403739856800399</v>
      </c>
      <c r="I3468" s="3">
        <v>30.774262123567802</v>
      </c>
      <c r="J3468" s="3">
        <v>30.774262123567802</v>
      </c>
      <c r="K3468" s="3">
        <v>30.774262123567802</v>
      </c>
      <c r="L3468" s="3">
        <v>30.774262123567802</v>
      </c>
      <c r="M3468" s="3">
        <v>30.774262123567802</v>
      </c>
      <c r="N3468" s="3">
        <v>30.774262123567802</v>
      </c>
      <c r="O3468" s="3">
        <v>30.774262123567802</v>
      </c>
      <c r="P3468" s="3">
        <v>30.774262123567802</v>
      </c>
    </row>
    <row r="3469" spans="1:16" x14ac:dyDescent="0.3">
      <c r="A3469" s="3" t="str">
        <f t="shared" si="54"/>
        <v>COA</v>
      </c>
      <c r="C3469" s="3" t="s">
        <v>850</v>
      </c>
      <c r="D3469" s="3" t="s">
        <v>1151</v>
      </c>
      <c r="E3469" s="3" t="s">
        <v>1024</v>
      </c>
      <c r="F3469" s="3" t="s">
        <v>5</v>
      </c>
      <c r="G3469" s="3">
        <v>6.1692749774157498</v>
      </c>
      <c r="H3469" s="3">
        <v>5.9765869291425497</v>
      </c>
      <c r="I3469" s="3">
        <v>5.2058347360497796</v>
      </c>
      <c r="J3469" s="3">
        <v>5.2058347360497796</v>
      </c>
      <c r="K3469" s="3">
        <v>5.2058347360497796</v>
      </c>
      <c r="L3469" s="3">
        <v>5.2058347360497796</v>
      </c>
      <c r="M3469" s="3">
        <v>5.2058347360497796</v>
      </c>
      <c r="N3469" s="3">
        <v>5.2058347360497796</v>
      </c>
      <c r="O3469" s="3">
        <v>5.2058347360497796</v>
      </c>
      <c r="P3469" s="3">
        <v>5.2058347360497796</v>
      </c>
    </row>
    <row r="3470" spans="1:16" x14ac:dyDescent="0.3">
      <c r="A3470" s="3" t="str">
        <f t="shared" si="54"/>
        <v>COA</v>
      </c>
      <c r="C3470" s="3" t="s">
        <v>850</v>
      </c>
      <c r="D3470" s="3" t="s">
        <v>1151</v>
      </c>
      <c r="E3470" s="3" t="s">
        <v>1024</v>
      </c>
      <c r="F3470" s="3" t="s">
        <v>6</v>
      </c>
      <c r="G3470" s="3">
        <v>8.0838775566137109</v>
      </c>
      <c r="H3470" s="3">
        <v>6.4671020452909698</v>
      </c>
    </row>
    <row r="3471" spans="1:16" x14ac:dyDescent="0.3">
      <c r="A3471" s="3" t="str">
        <f t="shared" si="54"/>
        <v>COA</v>
      </c>
      <c r="C3471" s="3" t="s">
        <v>850</v>
      </c>
      <c r="D3471" s="3" t="s">
        <v>1151</v>
      </c>
      <c r="E3471" s="3" t="s">
        <v>1024</v>
      </c>
      <c r="F3471" s="3" t="s">
        <v>7</v>
      </c>
      <c r="G3471" s="3">
        <v>3.8555426560941699</v>
      </c>
      <c r="H3471" s="3">
        <v>3.88985820454517</v>
      </c>
    </row>
    <row r="3472" spans="1:16" x14ac:dyDescent="0.3">
      <c r="A3472" s="3" t="str">
        <f t="shared" si="54"/>
        <v>NGA</v>
      </c>
      <c r="C3472" s="3" t="s">
        <v>850</v>
      </c>
      <c r="D3472" s="3" t="s">
        <v>1151</v>
      </c>
      <c r="E3472" s="3" t="s">
        <v>1025</v>
      </c>
      <c r="F3472" s="3" t="s">
        <v>0</v>
      </c>
      <c r="G3472" s="3">
        <v>0.33792029523035799</v>
      </c>
      <c r="I3472" s="3">
        <v>0.49363714188928498</v>
      </c>
    </row>
    <row r="3473" spans="1:16" x14ac:dyDescent="0.3">
      <c r="A3473" s="3" t="str">
        <f t="shared" si="54"/>
        <v>NGA</v>
      </c>
      <c r="C3473" s="3" t="s">
        <v>850</v>
      </c>
      <c r="D3473" s="3" t="s">
        <v>1151</v>
      </c>
      <c r="E3473" s="3" t="s">
        <v>1025</v>
      </c>
      <c r="F3473" s="3" t="s">
        <v>1</v>
      </c>
      <c r="G3473" s="3">
        <v>0.63061021776798598</v>
      </c>
      <c r="I3473" s="3">
        <v>0.30995185820673699</v>
      </c>
    </row>
    <row r="3474" spans="1:16" x14ac:dyDescent="0.3">
      <c r="A3474" s="3" t="str">
        <f t="shared" si="54"/>
        <v>NGA</v>
      </c>
      <c r="C3474" s="3" t="s">
        <v>850</v>
      </c>
      <c r="D3474" s="3" t="s">
        <v>1151</v>
      </c>
      <c r="E3474" s="3" t="s">
        <v>1025</v>
      </c>
      <c r="F3474" s="3" t="s">
        <v>2</v>
      </c>
      <c r="I3474" s="3">
        <v>3.6527576231907499</v>
      </c>
    </row>
    <row r="3475" spans="1:16" x14ac:dyDescent="0.3">
      <c r="A3475" s="3" t="str">
        <f t="shared" si="54"/>
        <v>NGA</v>
      </c>
      <c r="C3475" s="3" t="s">
        <v>850</v>
      </c>
      <c r="D3475" s="3" t="s">
        <v>1151</v>
      </c>
      <c r="E3475" s="3" t="s">
        <v>1025</v>
      </c>
      <c r="F3475" s="3" t="s">
        <v>3</v>
      </c>
      <c r="G3475" s="3">
        <v>0.70007614842714005</v>
      </c>
      <c r="H3475" s="3">
        <v>0.75279643307361199</v>
      </c>
      <c r="I3475" s="3">
        <v>0.96367757165949997</v>
      </c>
    </row>
    <row r="3476" spans="1:16" x14ac:dyDescent="0.3">
      <c r="A3476" s="3" t="str">
        <f t="shared" si="54"/>
        <v>NGA</v>
      </c>
      <c r="C3476" s="3" t="s">
        <v>850</v>
      </c>
      <c r="D3476" s="3" t="s">
        <v>1151</v>
      </c>
      <c r="E3476" s="3" t="s">
        <v>1025</v>
      </c>
      <c r="F3476" s="3" t="s">
        <v>4</v>
      </c>
      <c r="I3476" s="3">
        <v>5.99721093670379</v>
      </c>
    </row>
    <row r="3477" spans="1:16" x14ac:dyDescent="0.3">
      <c r="A3477" s="3" t="str">
        <f t="shared" si="54"/>
        <v>NGA</v>
      </c>
      <c r="C3477" s="3" t="s">
        <v>850</v>
      </c>
      <c r="D3477" s="3" t="s">
        <v>1151</v>
      </c>
      <c r="E3477" s="3" t="s">
        <v>1025</v>
      </c>
      <c r="F3477" s="3" t="s">
        <v>5</v>
      </c>
      <c r="G3477" s="3">
        <v>9.00967564932321</v>
      </c>
      <c r="I3477" s="3">
        <v>8.4530440815047907</v>
      </c>
    </row>
    <row r="3478" spans="1:16" x14ac:dyDescent="0.3">
      <c r="A3478" s="3" t="str">
        <f t="shared" si="54"/>
        <v>NGA</v>
      </c>
      <c r="C3478" s="3" t="s">
        <v>850</v>
      </c>
      <c r="D3478" s="3" t="s">
        <v>1151</v>
      </c>
      <c r="E3478" s="3" t="s">
        <v>1025</v>
      </c>
      <c r="F3478" s="3" t="s">
        <v>6</v>
      </c>
      <c r="H3478" s="3">
        <v>5.1605967259950303</v>
      </c>
      <c r="I3478" s="3">
        <v>5.1659562980794203</v>
      </c>
    </row>
    <row r="3479" spans="1:16" x14ac:dyDescent="0.3">
      <c r="A3479" s="3" t="str">
        <f t="shared" si="54"/>
        <v>NGA</v>
      </c>
      <c r="C3479" s="3" t="s">
        <v>850</v>
      </c>
      <c r="D3479" s="3" t="s">
        <v>1151</v>
      </c>
      <c r="E3479" s="3" t="s">
        <v>1025</v>
      </c>
      <c r="F3479" s="3" t="s">
        <v>7</v>
      </c>
      <c r="I3479" s="3">
        <v>0.51996731503131299</v>
      </c>
    </row>
    <row r="3480" spans="1:16" x14ac:dyDescent="0.3">
      <c r="A3480" s="3" t="str">
        <f t="shared" si="54"/>
        <v>NGA</v>
      </c>
      <c r="C3480" s="3" t="s">
        <v>850</v>
      </c>
      <c r="D3480" s="3" t="s">
        <v>1151</v>
      </c>
      <c r="E3480" s="3" t="s">
        <v>1025</v>
      </c>
      <c r="F3480" s="3" t="s">
        <v>8</v>
      </c>
      <c r="G3480" s="3">
        <v>3.4542582447343602</v>
      </c>
      <c r="I3480" s="3">
        <v>1.0469830374225999</v>
      </c>
    </row>
    <row r="3481" spans="1:16" x14ac:dyDescent="0.3">
      <c r="A3481" s="3" t="str">
        <f t="shared" si="54"/>
        <v>RFL</v>
      </c>
      <c r="C3481" s="3" t="s">
        <v>850</v>
      </c>
      <c r="D3481" s="3" t="s">
        <v>1151</v>
      </c>
      <c r="E3481" s="3" t="s">
        <v>1026</v>
      </c>
      <c r="F3481" s="3" t="s">
        <v>0</v>
      </c>
      <c r="I3481" s="3">
        <v>0.53400989158177103</v>
      </c>
    </row>
    <row r="3482" spans="1:16" x14ac:dyDescent="0.3">
      <c r="A3482" s="3" t="str">
        <f t="shared" si="54"/>
        <v>RFL</v>
      </c>
      <c r="C3482" s="3" t="s">
        <v>850</v>
      </c>
      <c r="D3482" s="3" t="s">
        <v>1151</v>
      </c>
      <c r="E3482" s="3" t="s">
        <v>1026</v>
      </c>
      <c r="F3482" s="3" t="s">
        <v>1</v>
      </c>
      <c r="G3482" s="3">
        <v>6.2428191521203296</v>
      </c>
      <c r="I3482" s="3">
        <v>3.69886737615015</v>
      </c>
    </row>
    <row r="3483" spans="1:16" x14ac:dyDescent="0.3">
      <c r="A3483" s="3" t="str">
        <f t="shared" si="54"/>
        <v>NGA</v>
      </c>
      <c r="C3483" s="3" t="s">
        <v>850</v>
      </c>
      <c r="D3483" s="3" t="s">
        <v>1151</v>
      </c>
      <c r="E3483" s="3" t="s">
        <v>1031</v>
      </c>
      <c r="F3483" s="3" t="s">
        <v>1</v>
      </c>
      <c r="G3483" s="3">
        <v>0.22453118465522301</v>
      </c>
    </row>
    <row r="3484" spans="1:16" x14ac:dyDescent="0.3">
      <c r="A3484" s="3" t="str">
        <f t="shared" si="54"/>
        <v>NGA</v>
      </c>
      <c r="C3484" s="3" t="s">
        <v>850</v>
      </c>
      <c r="D3484" s="3" t="s">
        <v>1151</v>
      </c>
      <c r="E3484" s="3" t="s">
        <v>1031</v>
      </c>
      <c r="F3484" s="3" t="s">
        <v>5</v>
      </c>
      <c r="I3484" s="3">
        <v>0.75628098591844195</v>
      </c>
    </row>
    <row r="3485" spans="1:16" x14ac:dyDescent="0.3">
      <c r="A3485" s="3" t="str">
        <f t="shared" si="54"/>
        <v>NGA</v>
      </c>
      <c r="C3485" s="3" t="s">
        <v>850</v>
      </c>
      <c r="D3485" s="3" t="s">
        <v>1151</v>
      </c>
      <c r="E3485" s="3" t="s">
        <v>1031</v>
      </c>
      <c r="F3485" s="3" t="s">
        <v>6</v>
      </c>
      <c r="I3485" s="3">
        <v>1.26741030684995</v>
      </c>
    </row>
    <row r="3486" spans="1:16" x14ac:dyDescent="0.3">
      <c r="A3486" s="3" t="str">
        <f t="shared" si="54"/>
        <v>NGA</v>
      </c>
      <c r="C3486" s="3" t="s">
        <v>850</v>
      </c>
      <c r="D3486" s="3" t="s">
        <v>1151</v>
      </c>
      <c r="E3486" s="3" t="s">
        <v>1031</v>
      </c>
      <c r="F3486" s="3" t="s">
        <v>7</v>
      </c>
      <c r="I3486" s="3">
        <v>0.50577406611382802</v>
      </c>
    </row>
    <row r="3487" spans="1:16" x14ac:dyDescent="0.3">
      <c r="A3487" s="3" t="str">
        <f t="shared" ref="A3487:A3550" si="55">RIGHT(E3487,3)</f>
        <v>NGA</v>
      </c>
      <c r="C3487" s="3" t="s">
        <v>850</v>
      </c>
      <c r="D3487" s="3" t="s">
        <v>1151</v>
      </c>
      <c r="E3487" s="3" t="s">
        <v>1031</v>
      </c>
      <c r="F3487" s="3" t="s">
        <v>8</v>
      </c>
      <c r="G3487" s="3">
        <v>3.5541482350509401</v>
      </c>
      <c r="I3487" s="3">
        <v>2.67545092706751</v>
      </c>
    </row>
    <row r="3488" spans="1:16" x14ac:dyDescent="0.3">
      <c r="A3488" s="3" t="str">
        <f t="shared" si="55"/>
        <v>COA</v>
      </c>
      <c r="C3488" s="3" t="s">
        <v>850</v>
      </c>
      <c r="D3488" s="3" t="s">
        <v>1151</v>
      </c>
      <c r="E3488" s="3" t="s">
        <v>1033</v>
      </c>
      <c r="F3488" s="3" t="s">
        <v>2</v>
      </c>
      <c r="I3488" s="3">
        <v>1.0655437246388</v>
      </c>
      <c r="J3488" s="3">
        <v>1.0655437246388</v>
      </c>
      <c r="K3488" s="3">
        <v>1.0655437246388</v>
      </c>
      <c r="L3488" s="3">
        <v>1.0655437246388</v>
      </c>
      <c r="M3488" s="3">
        <v>1.0655437246388</v>
      </c>
      <c r="N3488" s="3">
        <v>1.0655437246388</v>
      </c>
      <c r="O3488" s="3">
        <v>1.0655437246388</v>
      </c>
      <c r="P3488" s="3">
        <v>1.0655437246388</v>
      </c>
    </row>
    <row r="3489" spans="1:16" x14ac:dyDescent="0.3">
      <c r="A3489" s="3" t="str">
        <f t="shared" si="55"/>
        <v>COA</v>
      </c>
      <c r="C3489" s="3" t="s">
        <v>850</v>
      </c>
      <c r="D3489" s="3" t="s">
        <v>1151</v>
      </c>
      <c r="E3489" s="3" t="s">
        <v>1033</v>
      </c>
      <c r="F3489" s="3" t="s">
        <v>4</v>
      </c>
      <c r="J3489" s="3">
        <v>1.2058655649008601</v>
      </c>
      <c r="K3489" s="3">
        <v>1.2058655649008601</v>
      </c>
      <c r="L3489" s="3">
        <v>1.2058655649008601</v>
      </c>
      <c r="M3489" s="3">
        <v>1.2058655649008601</v>
      </c>
      <c r="N3489" s="3">
        <v>1.2058655649008601</v>
      </c>
      <c r="O3489" s="3">
        <v>1.2058655649008601</v>
      </c>
      <c r="P3489" s="3">
        <v>1.2058655649008601</v>
      </c>
    </row>
    <row r="3490" spans="1:16" x14ac:dyDescent="0.3">
      <c r="A3490" s="3" t="str">
        <f t="shared" si="55"/>
        <v>COA</v>
      </c>
      <c r="C3490" s="3" t="s">
        <v>850</v>
      </c>
      <c r="D3490" s="3" t="s">
        <v>1151</v>
      </c>
      <c r="E3490" s="3" t="s">
        <v>1036</v>
      </c>
      <c r="F3490" s="3" t="s">
        <v>1</v>
      </c>
      <c r="G3490" s="3">
        <v>1.7050782709639101</v>
      </c>
      <c r="H3490" s="3">
        <v>0.60918364333521802</v>
      </c>
      <c r="I3490" s="3">
        <v>1.7050782709639101</v>
      </c>
      <c r="J3490" s="3">
        <v>1.7050782709639101</v>
      </c>
      <c r="K3490" s="3">
        <v>1.7050782709639101</v>
      </c>
      <c r="L3490" s="3">
        <v>1.7050782709639101</v>
      </c>
      <c r="M3490" s="3">
        <v>1.7050782709639101</v>
      </c>
      <c r="N3490" s="3">
        <v>1.7050782709639101</v>
      </c>
      <c r="O3490" s="3">
        <v>1.7050782709639101</v>
      </c>
      <c r="P3490" s="3">
        <v>1.7050782709639101</v>
      </c>
    </row>
    <row r="3491" spans="1:16" x14ac:dyDescent="0.3">
      <c r="A3491" s="3" t="str">
        <f t="shared" si="55"/>
        <v>COA</v>
      </c>
      <c r="C3491" s="3" t="s">
        <v>850</v>
      </c>
      <c r="D3491" s="3" t="s">
        <v>1151</v>
      </c>
      <c r="E3491" s="3" t="s">
        <v>1036</v>
      </c>
      <c r="F3491" s="3" t="s">
        <v>2</v>
      </c>
      <c r="I3491" s="3">
        <v>5.3411378957994504</v>
      </c>
      <c r="J3491" s="3">
        <v>5.3411378957994504</v>
      </c>
      <c r="K3491" s="3">
        <v>5.3411378957994504</v>
      </c>
      <c r="L3491" s="3">
        <v>5.3411378957994504</v>
      </c>
      <c r="M3491" s="3">
        <v>5.3411378957994504</v>
      </c>
      <c r="N3491" s="3">
        <v>5.3411378957994504</v>
      </c>
      <c r="O3491" s="3">
        <v>5.3411378957994504</v>
      </c>
      <c r="P3491" s="3">
        <v>5.3411378957994504</v>
      </c>
    </row>
    <row r="3492" spans="1:16" x14ac:dyDescent="0.3">
      <c r="A3492" s="3" t="str">
        <f t="shared" si="55"/>
        <v>COA</v>
      </c>
      <c r="C3492" s="3" t="s">
        <v>850</v>
      </c>
      <c r="D3492" s="3" t="s">
        <v>1151</v>
      </c>
      <c r="E3492" s="3" t="s">
        <v>1036</v>
      </c>
      <c r="F3492" s="3" t="s">
        <v>4</v>
      </c>
      <c r="J3492" s="3">
        <v>6.8142675138176401</v>
      </c>
      <c r="K3492" s="3">
        <v>6.8142675138176401</v>
      </c>
      <c r="L3492" s="3">
        <v>6.8142675138176401</v>
      </c>
      <c r="M3492" s="3">
        <v>6.8142675138176401</v>
      </c>
      <c r="N3492" s="3">
        <v>6.8142675138176401</v>
      </c>
      <c r="O3492" s="3">
        <v>6.8142675138176401</v>
      </c>
      <c r="P3492" s="3">
        <v>6.8142675138176401</v>
      </c>
    </row>
    <row r="3493" spans="1:16" x14ac:dyDescent="0.3">
      <c r="A3493" s="3" t="str">
        <f t="shared" si="55"/>
        <v>COA</v>
      </c>
      <c r="C3493" s="3" t="s">
        <v>850</v>
      </c>
      <c r="D3493" s="3" t="s">
        <v>1151</v>
      </c>
      <c r="E3493" s="3" t="s">
        <v>1036</v>
      </c>
      <c r="F3493" s="3" t="s">
        <v>5</v>
      </c>
      <c r="G3493" s="3">
        <v>1.49364411677147</v>
      </c>
      <c r="J3493" s="3">
        <v>1.49364411677147</v>
      </c>
      <c r="K3493" s="3">
        <v>1.49364411677147</v>
      </c>
      <c r="L3493" s="3">
        <v>1.49364411677147</v>
      </c>
      <c r="M3493" s="3">
        <v>1.49364411677147</v>
      </c>
      <c r="N3493" s="3">
        <v>1.49364411677147</v>
      </c>
      <c r="O3493" s="3">
        <v>1.49364411677147</v>
      </c>
      <c r="P3493" s="3">
        <v>1.49364411677147</v>
      </c>
    </row>
    <row r="3494" spans="1:16" x14ac:dyDescent="0.3">
      <c r="A3494" s="3" t="str">
        <f t="shared" si="55"/>
        <v>COA</v>
      </c>
      <c r="C3494" s="3" t="s">
        <v>850</v>
      </c>
      <c r="D3494" s="3" t="s">
        <v>1151</v>
      </c>
      <c r="E3494" s="3" t="s">
        <v>1036</v>
      </c>
      <c r="F3494" s="3" t="s">
        <v>6</v>
      </c>
      <c r="G3494" s="3">
        <v>2.83275245989139</v>
      </c>
      <c r="J3494" s="3">
        <v>2.83275245989139</v>
      </c>
      <c r="K3494" s="3">
        <v>2.83275245989139</v>
      </c>
      <c r="L3494" s="3">
        <v>2.83275245989139</v>
      </c>
      <c r="M3494" s="3">
        <v>2.83275245989139</v>
      </c>
      <c r="N3494" s="3">
        <v>2.83275245989139</v>
      </c>
      <c r="O3494" s="3">
        <v>2.83275245989139</v>
      </c>
      <c r="P3494" s="3">
        <v>2.83275245989139</v>
      </c>
    </row>
    <row r="3495" spans="1:16" x14ac:dyDescent="0.3">
      <c r="A3495" s="3" t="str">
        <f t="shared" si="55"/>
        <v>COA</v>
      </c>
      <c r="C3495" s="3" t="s">
        <v>850</v>
      </c>
      <c r="D3495" s="3" t="s">
        <v>1151</v>
      </c>
      <c r="E3495" s="3" t="s">
        <v>1036</v>
      </c>
      <c r="F3495" s="3" t="s">
        <v>7</v>
      </c>
      <c r="J3495" s="3">
        <v>2.53491747939638</v>
      </c>
      <c r="K3495" s="3">
        <v>2.53491747939638</v>
      </c>
      <c r="L3495" s="3">
        <v>2.53491747939638</v>
      </c>
      <c r="M3495" s="3">
        <v>2.53491747939638</v>
      </c>
      <c r="N3495" s="3">
        <v>2.53491747939638</v>
      </c>
      <c r="O3495" s="3">
        <v>2.53491747939638</v>
      </c>
      <c r="P3495" s="3">
        <v>2.5324853300602501</v>
      </c>
    </row>
    <row r="3496" spans="1:16" x14ac:dyDescent="0.3">
      <c r="A3496" s="3" t="str">
        <f t="shared" si="55"/>
        <v>COA</v>
      </c>
      <c r="C3496" s="3" t="s">
        <v>850</v>
      </c>
      <c r="D3496" s="3" t="s">
        <v>1151</v>
      </c>
      <c r="E3496" s="3" t="s">
        <v>1038</v>
      </c>
      <c r="F3496" s="3" t="s">
        <v>1</v>
      </c>
      <c r="G3496" s="3">
        <v>0.50813919107012195</v>
      </c>
      <c r="H3496" s="3">
        <v>0.50813919107012195</v>
      </c>
      <c r="I3496" s="3">
        <v>0.50813919107012195</v>
      </c>
      <c r="J3496" s="3">
        <v>0.50813919107012195</v>
      </c>
      <c r="K3496" s="3">
        <v>0.50813919107012195</v>
      </c>
      <c r="L3496" s="3">
        <v>0.50813919107012195</v>
      </c>
      <c r="M3496" s="3">
        <v>0.50813919107012195</v>
      </c>
      <c r="N3496" s="3">
        <v>0.50813919107012195</v>
      </c>
      <c r="O3496" s="3">
        <v>0.50813919107012195</v>
      </c>
      <c r="P3496" s="3">
        <v>0.50813919107012195</v>
      </c>
    </row>
    <row r="3497" spans="1:16" x14ac:dyDescent="0.3">
      <c r="A3497" s="3" t="str">
        <f t="shared" si="55"/>
        <v>COA</v>
      </c>
      <c r="C3497" s="3" t="s">
        <v>850</v>
      </c>
      <c r="D3497" s="3" t="s">
        <v>1151</v>
      </c>
      <c r="E3497" s="3" t="s">
        <v>1038</v>
      </c>
      <c r="F3497" s="3" t="s">
        <v>2</v>
      </c>
      <c r="G3497" s="3">
        <v>0.391870192104186</v>
      </c>
      <c r="I3497" s="3">
        <v>6.8135131903663098</v>
      </c>
      <c r="J3497" s="3">
        <v>6.8135131903663098</v>
      </c>
      <c r="K3497" s="3">
        <v>6.8135131903663098</v>
      </c>
      <c r="L3497" s="3">
        <v>6.8135131903663098</v>
      </c>
      <c r="M3497" s="3">
        <v>6.8135131903663098</v>
      </c>
      <c r="N3497" s="3">
        <v>6.8135131903663098</v>
      </c>
      <c r="O3497" s="3">
        <v>6.8135131903663098</v>
      </c>
      <c r="P3497" s="3">
        <v>6.8135131903663098</v>
      </c>
    </row>
    <row r="3498" spans="1:16" x14ac:dyDescent="0.3">
      <c r="A3498" s="3" t="str">
        <f t="shared" si="55"/>
        <v>COA</v>
      </c>
      <c r="C3498" s="3" t="s">
        <v>850</v>
      </c>
      <c r="D3498" s="3" t="s">
        <v>1151</v>
      </c>
      <c r="E3498" s="3" t="s">
        <v>1038</v>
      </c>
      <c r="F3498" s="3" t="s">
        <v>4</v>
      </c>
      <c r="J3498" s="3">
        <v>1.31328293809942</v>
      </c>
      <c r="K3498" s="3">
        <v>1.31328293809942</v>
      </c>
      <c r="L3498" s="3">
        <v>1.31328293809942</v>
      </c>
      <c r="M3498" s="3">
        <v>1.31328293809942</v>
      </c>
      <c r="N3498" s="3">
        <v>1.31328293809942</v>
      </c>
      <c r="O3498" s="3">
        <v>1.31328293809942</v>
      </c>
      <c r="P3498" s="3">
        <v>1.31328293809942</v>
      </c>
    </row>
    <row r="3499" spans="1:16" x14ac:dyDescent="0.3">
      <c r="A3499" s="3" t="str">
        <f t="shared" si="55"/>
        <v>NGA</v>
      </c>
      <c r="C3499" s="3" t="s">
        <v>850</v>
      </c>
      <c r="D3499" s="3" t="s">
        <v>1151</v>
      </c>
      <c r="E3499" s="3" t="s">
        <v>1051</v>
      </c>
      <c r="F3499" s="3" t="s">
        <v>1</v>
      </c>
      <c r="G3499" s="3">
        <v>4.3065810913817401E-3</v>
      </c>
    </row>
    <row r="3500" spans="1:16" x14ac:dyDescent="0.3">
      <c r="A3500" s="3" t="str">
        <f t="shared" si="55"/>
        <v>NGA</v>
      </c>
      <c r="C3500" s="3" t="s">
        <v>850</v>
      </c>
      <c r="D3500" s="3" t="s">
        <v>1151</v>
      </c>
      <c r="E3500" s="3" t="s">
        <v>1218</v>
      </c>
      <c r="F3500" s="3" t="s">
        <v>3</v>
      </c>
      <c r="H3500" s="3">
        <v>6.1226735140698603E-2</v>
      </c>
      <c r="I3500" s="3">
        <v>6.1226735140698603E-2</v>
      </c>
    </row>
    <row r="3501" spans="1:16" x14ac:dyDescent="0.3">
      <c r="A3501" s="3" t="str">
        <f t="shared" si="55"/>
        <v>NGA</v>
      </c>
      <c r="C3501" s="3" t="s">
        <v>850</v>
      </c>
      <c r="D3501" s="3" t="s">
        <v>1151</v>
      </c>
      <c r="E3501" s="3" t="s">
        <v>1218</v>
      </c>
      <c r="F3501" s="3" t="s">
        <v>4</v>
      </c>
      <c r="I3501" s="3">
        <v>10.6827414961659</v>
      </c>
    </row>
    <row r="3502" spans="1:16" x14ac:dyDescent="0.3">
      <c r="A3502" s="3" t="str">
        <f t="shared" si="55"/>
        <v>NGA</v>
      </c>
      <c r="C3502" s="3" t="s">
        <v>850</v>
      </c>
      <c r="D3502" s="3" t="s">
        <v>1151</v>
      </c>
      <c r="E3502" s="3" t="s">
        <v>1218</v>
      </c>
      <c r="F3502" s="3" t="s">
        <v>5</v>
      </c>
      <c r="I3502" s="3">
        <v>2.8950035353937502</v>
      </c>
    </row>
    <row r="3503" spans="1:16" x14ac:dyDescent="0.3">
      <c r="A3503" s="3" t="str">
        <f t="shared" si="55"/>
        <v>NGA</v>
      </c>
      <c r="C3503" s="3" t="s">
        <v>850</v>
      </c>
      <c r="D3503" s="3" t="s">
        <v>1151</v>
      </c>
      <c r="E3503" s="3" t="s">
        <v>1218</v>
      </c>
      <c r="F3503" s="3" t="s">
        <v>6</v>
      </c>
      <c r="I3503" s="3">
        <v>2.8327524598913998</v>
      </c>
    </row>
    <row r="3504" spans="1:16" x14ac:dyDescent="0.3">
      <c r="A3504" s="3" t="str">
        <f t="shared" si="55"/>
        <v>NGA</v>
      </c>
      <c r="C3504" s="3" t="s">
        <v>850</v>
      </c>
      <c r="D3504" s="3" t="s">
        <v>1151</v>
      </c>
      <c r="E3504" s="3" t="s">
        <v>1218</v>
      </c>
      <c r="F3504" s="3" t="s">
        <v>7</v>
      </c>
      <c r="I3504" s="3">
        <v>2.82980127494903</v>
      </c>
    </row>
    <row r="3505" spans="1:16" x14ac:dyDescent="0.3">
      <c r="A3505" s="3" t="str">
        <f t="shared" si="55"/>
        <v>NGA</v>
      </c>
      <c r="C3505" s="3" t="s">
        <v>850</v>
      </c>
      <c r="D3505" s="3" t="s">
        <v>1151</v>
      </c>
      <c r="E3505" s="3" t="s">
        <v>1218</v>
      </c>
      <c r="F3505" s="3" t="s">
        <v>8</v>
      </c>
      <c r="I3505" s="3">
        <v>0.265945500495256</v>
      </c>
    </row>
    <row r="3506" spans="1:16" x14ac:dyDescent="0.3">
      <c r="A3506" s="3" t="str">
        <f t="shared" si="55"/>
        <v>NGA</v>
      </c>
      <c r="C3506" s="3" t="s">
        <v>850</v>
      </c>
      <c r="D3506" s="3" t="s">
        <v>1151</v>
      </c>
      <c r="E3506" s="3" t="s">
        <v>1219</v>
      </c>
      <c r="F3506" s="3" t="s">
        <v>2</v>
      </c>
      <c r="M3506" s="3">
        <v>9.52799954135034</v>
      </c>
      <c r="N3506" s="3">
        <v>9.52799954135034</v>
      </c>
      <c r="O3506" s="3">
        <v>9.52799954135034</v>
      </c>
      <c r="P3506" s="3">
        <v>9.52799954135034</v>
      </c>
    </row>
    <row r="3507" spans="1:16" x14ac:dyDescent="0.3">
      <c r="A3507" s="3" t="str">
        <f t="shared" si="55"/>
        <v>NGA</v>
      </c>
      <c r="C3507" s="3" t="s">
        <v>850</v>
      </c>
      <c r="D3507" s="3" t="s">
        <v>1151</v>
      </c>
      <c r="E3507" s="3" t="s">
        <v>1219</v>
      </c>
      <c r="F3507" s="3" t="s">
        <v>3</v>
      </c>
      <c r="M3507" s="3">
        <v>0.797433751091429</v>
      </c>
      <c r="N3507" s="3">
        <v>0.797433751091429</v>
      </c>
      <c r="O3507" s="3">
        <v>0.797433751091429</v>
      </c>
      <c r="P3507" s="3">
        <v>1.107491968341145</v>
      </c>
    </row>
    <row r="3508" spans="1:16" x14ac:dyDescent="0.3">
      <c r="A3508" s="3" t="str">
        <f t="shared" si="55"/>
        <v>NGA</v>
      </c>
      <c r="C3508" s="3" t="s">
        <v>850</v>
      </c>
      <c r="D3508" s="3" t="s">
        <v>1151</v>
      </c>
      <c r="E3508" s="3" t="s">
        <v>1219</v>
      </c>
      <c r="F3508" s="3" t="s">
        <v>7</v>
      </c>
      <c r="M3508" s="3">
        <v>1.32247430079692</v>
      </c>
      <c r="N3508" s="3">
        <v>1.32247430079692</v>
      </c>
      <c r="O3508" s="3">
        <v>1.3333333764637929</v>
      </c>
      <c r="P3508" s="3">
        <v>1.592085283871985</v>
      </c>
    </row>
    <row r="3509" spans="1:16" x14ac:dyDescent="0.3">
      <c r="A3509" s="3" t="str">
        <f t="shared" si="55"/>
        <v>NGA</v>
      </c>
      <c r="C3509" s="3" t="s">
        <v>850</v>
      </c>
      <c r="D3509" s="3" t="s">
        <v>1151</v>
      </c>
      <c r="E3509" s="3" t="s">
        <v>1219</v>
      </c>
      <c r="F3509" s="3" t="s">
        <v>8</v>
      </c>
      <c r="M3509" s="3">
        <v>7.0084064797853003</v>
      </c>
      <c r="N3509" s="3">
        <v>7.0084064797853003</v>
      </c>
      <c r="O3509" s="3">
        <v>7.1915236466875214</v>
      </c>
      <c r="P3509" s="3">
        <v>7.4312907815607119</v>
      </c>
    </row>
    <row r="3510" spans="1:16" x14ac:dyDescent="0.3">
      <c r="A3510" s="3" t="str">
        <f t="shared" si="55"/>
        <v>COA</v>
      </c>
      <c r="C3510" s="3" t="s">
        <v>850</v>
      </c>
      <c r="D3510" s="3" t="s">
        <v>1151</v>
      </c>
      <c r="E3510" s="3" t="s">
        <v>1220</v>
      </c>
      <c r="F3510" s="3" t="s">
        <v>0</v>
      </c>
      <c r="H3510" s="3">
        <v>1.00404728477049</v>
      </c>
      <c r="I3510" s="3">
        <v>1.5871318282373701</v>
      </c>
      <c r="J3510" s="3">
        <v>3.5546168984648299</v>
      </c>
      <c r="K3510" s="3">
        <v>3.5546168984648401</v>
      </c>
      <c r="L3510" s="3">
        <v>3.5546168984648299</v>
      </c>
      <c r="M3510" s="3">
        <v>3.5546168984648299</v>
      </c>
      <c r="N3510" s="3">
        <v>3.5546168984648299</v>
      </c>
      <c r="O3510" s="3">
        <v>3.5546168984648299</v>
      </c>
      <c r="P3510" s="3">
        <v>3.5546168984648299</v>
      </c>
    </row>
    <row r="3511" spans="1:16" x14ac:dyDescent="0.3">
      <c r="A3511" s="3" t="str">
        <f t="shared" si="55"/>
        <v>COA</v>
      </c>
      <c r="C3511" s="3" t="s">
        <v>850</v>
      </c>
      <c r="D3511" s="3" t="s">
        <v>1151</v>
      </c>
      <c r="E3511" s="3" t="s">
        <v>1220</v>
      </c>
      <c r="F3511" s="3" t="s">
        <v>1</v>
      </c>
      <c r="H3511" s="3">
        <v>10.7962668255401</v>
      </c>
      <c r="I3511" s="3">
        <v>4.2941483691366598</v>
      </c>
      <c r="J3511" s="3">
        <v>10.6860660305365</v>
      </c>
      <c r="K3511" s="3">
        <v>10.6860660305365</v>
      </c>
      <c r="L3511" s="3">
        <v>10.6860660305365</v>
      </c>
      <c r="M3511" s="3">
        <v>10.6860660305365</v>
      </c>
      <c r="N3511" s="3">
        <v>10.6860660305365</v>
      </c>
      <c r="O3511" s="3">
        <v>10.7962668255401</v>
      </c>
      <c r="P3511" s="3">
        <v>10.7962668255401</v>
      </c>
    </row>
    <row r="3512" spans="1:16" x14ac:dyDescent="0.3">
      <c r="A3512" s="3" t="str">
        <f t="shared" si="55"/>
        <v>COA</v>
      </c>
      <c r="C3512" s="3" t="s">
        <v>850</v>
      </c>
      <c r="D3512" s="3" t="s">
        <v>1151</v>
      </c>
      <c r="E3512" s="3" t="s">
        <v>1220</v>
      </c>
      <c r="F3512" s="3" t="s">
        <v>2</v>
      </c>
      <c r="H3512" s="3">
        <v>5.8233220955583498</v>
      </c>
      <c r="I3512" s="3">
        <v>1.8189852387499399</v>
      </c>
      <c r="J3512" s="3">
        <v>11.768085957097</v>
      </c>
      <c r="K3512" s="3">
        <v>11.768085957097</v>
      </c>
      <c r="L3512" s="3">
        <v>11.768085957097</v>
      </c>
      <c r="M3512" s="3">
        <v>3.7929161214720102</v>
      </c>
      <c r="N3512" s="3">
        <v>3.7929161214720102</v>
      </c>
      <c r="O3512" s="3">
        <v>4.0488823403914003</v>
      </c>
      <c r="P3512" s="3">
        <v>5.7161335591775799</v>
      </c>
    </row>
    <row r="3513" spans="1:16" x14ac:dyDescent="0.3">
      <c r="A3513" s="3" t="str">
        <f t="shared" si="55"/>
        <v>COA</v>
      </c>
      <c r="C3513" s="3" t="s">
        <v>850</v>
      </c>
      <c r="D3513" s="3" t="s">
        <v>1151</v>
      </c>
      <c r="E3513" s="3" t="s">
        <v>1220</v>
      </c>
      <c r="F3513" s="3" t="s">
        <v>3</v>
      </c>
      <c r="H3513" s="3">
        <v>1.61555336203916</v>
      </c>
      <c r="J3513" s="3">
        <v>1.61555336203916</v>
      </c>
      <c r="K3513" s="3">
        <v>1.61555336203916</v>
      </c>
      <c r="L3513" s="3">
        <v>1.61555336203917</v>
      </c>
      <c r="M3513" s="3">
        <v>0.818119610947735</v>
      </c>
      <c r="N3513" s="3">
        <v>0.77605342377375297</v>
      </c>
      <c r="O3513" s="3">
        <v>0.88936968530878302</v>
      </c>
      <c r="P3513" s="3">
        <v>1.0434030728758199</v>
      </c>
    </row>
    <row r="3514" spans="1:16" x14ac:dyDescent="0.3">
      <c r="A3514" s="3" t="str">
        <f t="shared" si="55"/>
        <v>COA</v>
      </c>
      <c r="C3514" s="3" t="s">
        <v>850</v>
      </c>
      <c r="D3514" s="3" t="s">
        <v>1151</v>
      </c>
      <c r="E3514" s="3" t="s">
        <v>1220</v>
      </c>
      <c r="F3514" s="3" t="s">
        <v>4</v>
      </c>
      <c r="J3514" s="3">
        <v>8.5138922861072199</v>
      </c>
      <c r="K3514" s="3">
        <v>8.5138922861072093</v>
      </c>
      <c r="L3514" s="3">
        <v>8.5138922861072199</v>
      </c>
      <c r="M3514" s="3">
        <v>8.5138922861072199</v>
      </c>
      <c r="N3514" s="3">
        <v>8.5138922861072199</v>
      </c>
      <c r="O3514" s="3">
        <v>8.5138922861072199</v>
      </c>
      <c r="P3514" s="3">
        <v>8.5138922861071595</v>
      </c>
    </row>
    <row r="3515" spans="1:16" x14ac:dyDescent="0.3">
      <c r="A3515" s="3" t="str">
        <f t="shared" si="55"/>
        <v>COA</v>
      </c>
      <c r="C3515" s="3" t="s">
        <v>850</v>
      </c>
      <c r="D3515" s="3" t="s">
        <v>1151</v>
      </c>
      <c r="E3515" s="3" t="s">
        <v>1220</v>
      </c>
      <c r="F3515" s="3" t="s">
        <v>5</v>
      </c>
      <c r="H3515" s="3">
        <v>14.0988713091051</v>
      </c>
      <c r="J3515" s="3">
        <v>13.9743390768233</v>
      </c>
      <c r="K3515" s="3">
        <v>14.0988713091051</v>
      </c>
      <c r="L3515" s="3">
        <v>14.0988713091051</v>
      </c>
      <c r="M3515" s="3">
        <v>14.0988713091051</v>
      </c>
      <c r="N3515" s="3">
        <v>14.0988713091051</v>
      </c>
      <c r="O3515" s="3">
        <v>14.0988713091051</v>
      </c>
      <c r="P3515" s="3">
        <v>14.0988713091051</v>
      </c>
    </row>
    <row r="3516" spans="1:16" x14ac:dyDescent="0.3">
      <c r="A3516" s="3" t="str">
        <f t="shared" si="55"/>
        <v>COA</v>
      </c>
      <c r="C3516" s="3" t="s">
        <v>850</v>
      </c>
      <c r="D3516" s="3" t="s">
        <v>1151</v>
      </c>
      <c r="E3516" s="3" t="s">
        <v>1220</v>
      </c>
      <c r="F3516" s="3" t="s">
        <v>6</v>
      </c>
      <c r="J3516" s="3">
        <v>8.9692229446945309</v>
      </c>
      <c r="K3516" s="3">
        <v>8.9692229446945309</v>
      </c>
      <c r="L3516" s="3">
        <v>8.9692229446945202</v>
      </c>
      <c r="M3516" s="3">
        <v>8.9692229446945309</v>
      </c>
      <c r="N3516" s="3">
        <v>8.9692229446945309</v>
      </c>
      <c r="O3516" s="3">
        <v>8.9692229446945309</v>
      </c>
      <c r="P3516" s="3">
        <v>8.9692229446945309</v>
      </c>
    </row>
    <row r="3517" spans="1:16" x14ac:dyDescent="0.3">
      <c r="A3517" s="3" t="str">
        <f t="shared" si="55"/>
        <v>COA</v>
      </c>
      <c r="C3517" s="3" t="s">
        <v>850</v>
      </c>
      <c r="D3517" s="3" t="s">
        <v>1151</v>
      </c>
      <c r="E3517" s="3" t="s">
        <v>1220</v>
      </c>
      <c r="F3517" s="3" t="s">
        <v>7</v>
      </c>
      <c r="J3517" s="3">
        <v>1.3549407251487799</v>
      </c>
      <c r="K3517" s="3">
        <v>1.3549407251487799</v>
      </c>
      <c r="L3517" s="3">
        <v>1.3549407251487799</v>
      </c>
      <c r="M3517" s="3">
        <v>3.2466424351858897E-2</v>
      </c>
      <c r="N3517" s="3">
        <v>3.2466424351858897E-2</v>
      </c>
      <c r="O3517" s="3">
        <v>5.2845859103187301E-2</v>
      </c>
    </row>
    <row r="3518" spans="1:16" x14ac:dyDescent="0.3">
      <c r="A3518" s="3" t="str">
        <f t="shared" si="55"/>
        <v>COA</v>
      </c>
      <c r="C3518" s="3" t="s">
        <v>850</v>
      </c>
      <c r="D3518" s="3" t="s">
        <v>1151</v>
      </c>
      <c r="E3518" s="3" t="s">
        <v>1220</v>
      </c>
      <c r="F3518" s="3" t="s">
        <v>8</v>
      </c>
      <c r="H3518" s="3">
        <v>7.0084064797853003</v>
      </c>
      <c r="J3518" s="3">
        <v>7.0084064797853003</v>
      </c>
      <c r="K3518" s="3">
        <v>7.0084064797853003</v>
      </c>
      <c r="L3518" s="3">
        <v>7.0084064797853003</v>
      </c>
    </row>
    <row r="3519" spans="1:16" x14ac:dyDescent="0.3">
      <c r="A3519" s="3" t="str">
        <f t="shared" si="55"/>
        <v>COA</v>
      </c>
      <c r="C3519" s="3" t="s">
        <v>850</v>
      </c>
      <c r="D3519" s="3" t="s">
        <v>1151</v>
      </c>
      <c r="E3519" s="3" t="s">
        <v>1221</v>
      </c>
      <c r="F3519" s="3" t="s">
        <v>3</v>
      </c>
      <c r="H3519" s="3">
        <v>3.5604521487897101</v>
      </c>
    </row>
    <row r="3520" spans="1:16" x14ac:dyDescent="0.3">
      <c r="A3520" s="3" t="str">
        <f t="shared" si="55"/>
        <v>ELC</v>
      </c>
      <c r="C3520" s="3" t="s">
        <v>850</v>
      </c>
      <c r="D3520" s="3" t="s">
        <v>739</v>
      </c>
      <c r="E3520" s="3" t="s">
        <v>1152</v>
      </c>
      <c r="F3520" s="3" t="s">
        <v>0</v>
      </c>
      <c r="G3520" s="3">
        <v>2.1810647589443999</v>
      </c>
      <c r="H3520" s="3">
        <v>2.2048000969727561</v>
      </c>
      <c r="I3520" s="3">
        <v>2.2997414490861789</v>
      </c>
      <c r="J3520" s="3">
        <v>2.8931248997950698</v>
      </c>
      <c r="K3520" s="3">
        <v>2.8931248997950698</v>
      </c>
      <c r="L3520" s="3">
        <v>2.8931248997950698</v>
      </c>
      <c r="M3520" s="3">
        <v>2.8931248997950698</v>
      </c>
      <c r="N3520" s="3">
        <v>2.8931248997950698</v>
      </c>
      <c r="O3520" s="3">
        <v>2.9163588861182217</v>
      </c>
      <c r="P3520" s="3">
        <v>3.0676948404410318</v>
      </c>
    </row>
    <row r="3521" spans="1:16" x14ac:dyDescent="0.3">
      <c r="A3521" s="3" t="str">
        <f t="shared" si="55"/>
        <v>ELC</v>
      </c>
      <c r="C3521" s="3" t="s">
        <v>850</v>
      </c>
      <c r="D3521" s="3" t="s">
        <v>739</v>
      </c>
      <c r="E3521" s="3" t="s">
        <v>1152</v>
      </c>
      <c r="F3521" s="3" t="s">
        <v>1</v>
      </c>
      <c r="G3521" s="3">
        <v>1.92446890495094</v>
      </c>
      <c r="H3521" s="3">
        <v>2.2857794855400861</v>
      </c>
      <c r="I3521" s="3">
        <v>2.0291836315466263</v>
      </c>
      <c r="J3521" s="3">
        <v>2.5527572645250598</v>
      </c>
      <c r="K3521" s="3">
        <v>2.5527572645250598</v>
      </c>
      <c r="L3521" s="3">
        <v>2.5527572645250598</v>
      </c>
      <c r="M3521" s="3">
        <v>2.5527572645250598</v>
      </c>
      <c r="N3521" s="3">
        <v>2.5527572645250598</v>
      </c>
      <c r="O3521" s="3">
        <v>2.5732578406925484</v>
      </c>
      <c r="P3521" s="3">
        <v>2.7067895650950184</v>
      </c>
    </row>
    <row r="3522" spans="1:16" x14ac:dyDescent="0.3">
      <c r="A3522" s="3" t="str">
        <f t="shared" si="55"/>
        <v>ELC</v>
      </c>
      <c r="C3522" s="3" t="s">
        <v>850</v>
      </c>
      <c r="D3522" s="3" t="s">
        <v>739</v>
      </c>
      <c r="E3522" s="3" t="s">
        <v>1152</v>
      </c>
      <c r="F3522" s="3" t="s">
        <v>2</v>
      </c>
      <c r="G3522" s="3">
        <v>19.296008220308099</v>
      </c>
      <c r="H3522" s="3">
        <v>20.15625289862691</v>
      </c>
      <c r="I3522" s="3">
        <v>19.439382333361284</v>
      </c>
      <c r="J3522" s="3">
        <v>19.5827564464144</v>
      </c>
      <c r="K3522" s="3">
        <v>19.726130559467499</v>
      </c>
      <c r="L3522" s="3">
        <v>19.869504672520641</v>
      </c>
      <c r="M3522" s="3">
        <v>20.012878785573783</v>
      </c>
      <c r="N3522" s="3">
        <v>20.156252898626928</v>
      </c>
      <c r="O3522" s="3">
        <v>20.31812289055371</v>
      </c>
      <c r="P3522" s="3">
        <v>21.372472728060309</v>
      </c>
    </row>
    <row r="3523" spans="1:16" x14ac:dyDescent="0.3">
      <c r="A3523" s="3" t="str">
        <f t="shared" si="55"/>
        <v>ELC</v>
      </c>
      <c r="C3523" s="3" t="s">
        <v>850</v>
      </c>
      <c r="D3523" s="3" t="s">
        <v>739</v>
      </c>
      <c r="E3523" s="3" t="s">
        <v>1152</v>
      </c>
      <c r="F3523" s="3" t="s">
        <v>3</v>
      </c>
      <c r="G3523" s="3">
        <v>3.6949802975058001</v>
      </c>
      <c r="H3523" s="3">
        <v>3.7004712209844373</v>
      </c>
      <c r="I3523" s="3">
        <v>3.7224349148989626</v>
      </c>
      <c r="J3523" s="3">
        <v>3.7498895322921202</v>
      </c>
      <c r="K3523" s="3">
        <v>3.7773441496852702</v>
      </c>
      <c r="L3523" s="3">
        <v>3.8047987670784265</v>
      </c>
      <c r="M3523" s="3">
        <v>3.83225338447158</v>
      </c>
      <c r="N3523" s="3">
        <v>3.8597080018647349</v>
      </c>
      <c r="O3523" s="3">
        <v>3.8907043832974955</v>
      </c>
      <c r="P3523" s="3">
        <v>4.0926011606924151</v>
      </c>
    </row>
    <row r="3524" spans="1:16" x14ac:dyDescent="0.3">
      <c r="A3524" s="3" t="str">
        <f t="shared" si="55"/>
        <v>ELC</v>
      </c>
      <c r="C3524" s="3" t="s">
        <v>850</v>
      </c>
      <c r="D3524" s="3" t="s">
        <v>739</v>
      </c>
      <c r="E3524" s="3" t="s">
        <v>1152</v>
      </c>
      <c r="F3524" s="3" t="s">
        <v>4</v>
      </c>
      <c r="G3524" s="3">
        <v>16.422134655581399</v>
      </c>
      <c r="H3524" s="3">
        <v>16.308564220843181</v>
      </c>
      <c r="I3524" s="3">
        <v>16.408433324796423</v>
      </c>
      <c r="J3524" s="3">
        <v>17.032615224503999</v>
      </c>
      <c r="K3524" s="3">
        <v>17.032615224503999</v>
      </c>
      <c r="L3524" s="3">
        <v>17.032615224503999</v>
      </c>
      <c r="M3524" s="3">
        <v>17.032615224503999</v>
      </c>
      <c r="N3524" s="3">
        <v>17.032615224503999</v>
      </c>
      <c r="O3524" s="3">
        <v>17.309050311343807</v>
      </c>
      <c r="P3524" s="3">
        <v>18.207253087331907</v>
      </c>
    </row>
    <row r="3525" spans="1:16" x14ac:dyDescent="0.3">
      <c r="A3525" s="3" t="str">
        <f t="shared" si="55"/>
        <v>ELC</v>
      </c>
      <c r="C3525" s="3" t="s">
        <v>850</v>
      </c>
      <c r="D3525" s="3" t="s">
        <v>739</v>
      </c>
      <c r="E3525" s="3" t="s">
        <v>1152</v>
      </c>
      <c r="F3525" s="3" t="s">
        <v>5</v>
      </c>
      <c r="G3525" s="3">
        <v>9.5354330258214297</v>
      </c>
      <c r="H3525" s="3">
        <v>9.9703468656177137</v>
      </c>
      <c r="I3525" s="3">
        <v>9.6079186657874764</v>
      </c>
      <c r="J3525" s="3">
        <v>9.9703468656177101</v>
      </c>
      <c r="K3525" s="3">
        <v>9.9703468656177101</v>
      </c>
      <c r="L3525" s="3">
        <v>9.9703468656177101</v>
      </c>
      <c r="M3525" s="3">
        <v>9.9703468656177101</v>
      </c>
      <c r="N3525" s="3">
        <v>9.9703468656177101</v>
      </c>
      <c r="O3525" s="3">
        <v>10.050416309812555</v>
      </c>
      <c r="P3525" s="3">
        <v>10.571953405547545</v>
      </c>
    </row>
    <row r="3526" spans="1:16" x14ac:dyDescent="0.3">
      <c r="A3526" s="3" t="str">
        <f t="shared" si="55"/>
        <v>ELC</v>
      </c>
      <c r="C3526" s="3" t="s">
        <v>850</v>
      </c>
      <c r="D3526" s="3" t="s">
        <v>739</v>
      </c>
      <c r="E3526" s="3" t="s">
        <v>1152</v>
      </c>
      <c r="F3526" s="3" t="s">
        <v>6</v>
      </c>
      <c r="G3526" s="3">
        <v>6.8867016297599202</v>
      </c>
      <c r="H3526" s="3">
        <v>6.8971717777549992</v>
      </c>
      <c r="I3526" s="3">
        <v>6.9390523697353848</v>
      </c>
      <c r="J3526" s="3">
        <v>7.2008060696127796</v>
      </c>
      <c r="K3526" s="3">
        <v>7.2008060696127796</v>
      </c>
      <c r="L3526" s="3">
        <v>7.2008060696127796</v>
      </c>
      <c r="M3526" s="3">
        <v>7.2008060696127796</v>
      </c>
      <c r="N3526" s="3">
        <v>7.2008060696127796</v>
      </c>
      <c r="O3526" s="3">
        <v>7.2586340015312754</v>
      </c>
      <c r="P3526" s="3">
        <v>7.6352996817843062</v>
      </c>
    </row>
    <row r="3527" spans="1:16" x14ac:dyDescent="0.3">
      <c r="A3527" s="3" t="str">
        <f t="shared" si="55"/>
        <v>ELC</v>
      </c>
      <c r="C3527" s="3" t="s">
        <v>850</v>
      </c>
      <c r="D3527" s="3" t="s">
        <v>739</v>
      </c>
      <c r="E3527" s="3" t="s">
        <v>1152</v>
      </c>
      <c r="F3527" s="3" t="s">
        <v>7</v>
      </c>
      <c r="G3527" s="3">
        <v>2.6275415448930199</v>
      </c>
      <c r="H3527" s="3">
        <v>2.6303448881618738</v>
      </c>
      <c r="I3527" s="3">
        <v>2.6415582612373276</v>
      </c>
      <c r="J3527" s="3">
        <v>2.6555749775816402</v>
      </c>
      <c r="K3527" s="3">
        <v>2.6695916939259501</v>
      </c>
      <c r="L3527" s="3">
        <v>2.6836084102702622</v>
      </c>
      <c r="M3527" s="3">
        <v>2.6976251266145734</v>
      </c>
      <c r="N3527" s="3">
        <v>2.7116418429588851</v>
      </c>
      <c r="O3527" s="3">
        <v>2.7334183827470766</v>
      </c>
      <c r="P3527" s="3">
        <v>2.8752611722218364</v>
      </c>
    </row>
    <row r="3528" spans="1:16" x14ac:dyDescent="0.3">
      <c r="A3528" s="3" t="str">
        <f t="shared" si="55"/>
        <v>ELC</v>
      </c>
      <c r="C3528" s="3" t="s">
        <v>850</v>
      </c>
      <c r="D3528" s="3" t="s">
        <v>739</v>
      </c>
      <c r="E3528" s="3" t="s">
        <v>1152</v>
      </c>
      <c r="F3528" s="3" t="s">
        <v>8</v>
      </c>
      <c r="G3528" s="3">
        <v>20.363446972920901</v>
      </c>
      <c r="H3528" s="3">
        <v>20.385172883254583</v>
      </c>
      <c r="I3528" s="3">
        <v>20.472076524589344</v>
      </c>
      <c r="J3528" s="3">
        <v>20.580706076257702</v>
      </c>
      <c r="K3528" s="3">
        <v>20.689335627926098</v>
      </c>
      <c r="L3528" s="3">
        <v>20.797965179594506</v>
      </c>
      <c r="M3528" s="3">
        <v>20.906594731262931</v>
      </c>
      <c r="N3528" s="3">
        <v>20.906594731262931</v>
      </c>
      <c r="O3528" s="3">
        <v>20.958560975433581</v>
      </c>
      <c r="P3528" s="3">
        <v>22.057842593863082</v>
      </c>
    </row>
    <row r="3529" spans="1:16" x14ac:dyDescent="0.3">
      <c r="A3529" s="3" t="str">
        <f t="shared" si="55"/>
        <v>NGA</v>
      </c>
      <c r="C3529" s="3" t="s">
        <v>850</v>
      </c>
      <c r="D3529" s="3" t="s">
        <v>739</v>
      </c>
      <c r="E3529" s="3" t="s">
        <v>1043</v>
      </c>
      <c r="F3529" s="3" t="s">
        <v>0</v>
      </c>
      <c r="G3529" s="3">
        <v>0.71206014085067004</v>
      </c>
      <c r="H3529" s="3">
        <v>0.68832480282231301</v>
      </c>
      <c r="I3529" s="3">
        <v>0.59338345070889098</v>
      </c>
    </row>
    <row r="3530" spans="1:16" x14ac:dyDescent="0.3">
      <c r="A3530" s="3" t="str">
        <f t="shared" si="55"/>
        <v>NGA</v>
      </c>
      <c r="C3530" s="3" t="s">
        <v>850</v>
      </c>
      <c r="D3530" s="3" t="s">
        <v>739</v>
      </c>
      <c r="E3530" s="3" t="s">
        <v>1043</v>
      </c>
      <c r="F3530" s="3" t="s">
        <v>1</v>
      </c>
      <c r="G3530" s="3">
        <v>0.628288359574116</v>
      </c>
      <c r="H3530" s="3">
        <v>0.26697777898497499</v>
      </c>
      <c r="I3530" s="3">
        <v>0.52357363297843296</v>
      </c>
    </row>
    <row r="3531" spans="1:16" x14ac:dyDescent="0.3">
      <c r="A3531" s="3" t="str">
        <f t="shared" si="55"/>
        <v>NGA</v>
      </c>
      <c r="C3531" s="3" t="s">
        <v>850</v>
      </c>
      <c r="D3531" s="3" t="s">
        <v>739</v>
      </c>
      <c r="E3531" s="3" t="s">
        <v>1043</v>
      </c>
      <c r="F3531" s="3" t="s">
        <v>2</v>
      </c>
      <c r="G3531" s="3">
        <v>0.86024467831882501</v>
      </c>
      <c r="I3531" s="3">
        <v>0.71687056526570903</v>
      </c>
      <c r="J3531" s="3">
        <v>0.57349645221256695</v>
      </c>
      <c r="K3531" s="3">
        <v>0.43012233915942499</v>
      </c>
      <c r="L3531" s="3">
        <v>0.28674822610628398</v>
      </c>
      <c r="M3531" s="3">
        <v>0.14337411305314199</v>
      </c>
    </row>
    <row r="3532" spans="1:16" x14ac:dyDescent="0.3">
      <c r="A3532" s="3" t="str">
        <f t="shared" si="55"/>
        <v>NGA</v>
      </c>
      <c r="C3532" s="3" t="s">
        <v>850</v>
      </c>
      <c r="D3532" s="3" t="s">
        <v>739</v>
      </c>
      <c r="E3532" s="3" t="s">
        <v>1043</v>
      </c>
      <c r="F3532" s="3" t="s">
        <v>3</v>
      </c>
      <c r="G3532" s="3">
        <v>0.16472770435893599</v>
      </c>
      <c r="H3532" s="3">
        <v>0.159236780880298</v>
      </c>
      <c r="I3532" s="3">
        <v>0.137273086965774</v>
      </c>
      <c r="J3532" s="3">
        <v>0.109818469572619</v>
      </c>
      <c r="K3532" s="3">
        <v>8.23638521794645E-2</v>
      </c>
      <c r="L3532" s="3">
        <v>5.4909234786309699E-2</v>
      </c>
      <c r="M3532" s="3">
        <v>2.7454617393154801E-2</v>
      </c>
    </row>
    <row r="3533" spans="1:16" x14ac:dyDescent="0.3">
      <c r="A3533" s="3" t="str">
        <f t="shared" si="55"/>
        <v>NGA</v>
      </c>
      <c r="C3533" s="3" t="s">
        <v>850</v>
      </c>
      <c r="D3533" s="3" t="s">
        <v>739</v>
      </c>
      <c r="E3533" s="3" t="s">
        <v>1043</v>
      </c>
      <c r="F3533" s="3" t="s">
        <v>4</v>
      </c>
      <c r="G3533" s="3">
        <v>0.61048056892264702</v>
      </c>
      <c r="H3533" s="3">
        <v>0.72405100366084196</v>
      </c>
      <c r="I3533" s="3">
        <v>0.62418189970762294</v>
      </c>
    </row>
    <row r="3534" spans="1:16" x14ac:dyDescent="0.3">
      <c r="A3534" s="3" t="str">
        <f t="shared" si="55"/>
        <v>NGA</v>
      </c>
      <c r="C3534" s="3" t="s">
        <v>850</v>
      </c>
      <c r="D3534" s="3" t="s">
        <v>739</v>
      </c>
      <c r="E3534" s="3" t="s">
        <v>1043</v>
      </c>
      <c r="F3534" s="3" t="s">
        <v>5</v>
      </c>
      <c r="G3534" s="3">
        <v>0.43491383979628201</v>
      </c>
      <c r="I3534" s="3">
        <v>0.362428199830233</v>
      </c>
    </row>
    <row r="3535" spans="1:16" x14ac:dyDescent="0.3">
      <c r="A3535" s="3" t="str">
        <f t="shared" si="55"/>
        <v>NGA</v>
      </c>
      <c r="C3535" s="3" t="s">
        <v>850</v>
      </c>
      <c r="D3535" s="3" t="s">
        <v>739</v>
      </c>
      <c r="E3535" s="3" t="s">
        <v>1043</v>
      </c>
      <c r="F3535" s="3" t="s">
        <v>6</v>
      </c>
      <c r="G3535" s="3">
        <v>0.31410443985285502</v>
      </c>
      <c r="H3535" s="3">
        <v>0.30363429185777202</v>
      </c>
      <c r="I3535" s="3">
        <v>0.26175369987739</v>
      </c>
    </row>
    <row r="3536" spans="1:16" x14ac:dyDescent="0.3">
      <c r="A3536" s="3" t="str">
        <f t="shared" si="55"/>
        <v>NGA</v>
      </c>
      <c r="C3536" s="3" t="s">
        <v>850</v>
      </c>
      <c r="D3536" s="3" t="s">
        <v>739</v>
      </c>
      <c r="E3536" s="3" t="s">
        <v>1043</v>
      </c>
      <c r="F3536" s="3" t="s">
        <v>7</v>
      </c>
      <c r="G3536" s="3">
        <v>8.4100298065861598E-2</v>
      </c>
      <c r="H3536" s="3">
        <v>8.1296954797006896E-2</v>
      </c>
      <c r="I3536" s="3">
        <v>7.0083581721557694E-2</v>
      </c>
      <c r="J3536" s="3">
        <v>5.6066865377246103E-2</v>
      </c>
      <c r="K3536" s="3">
        <v>4.2050149032934601E-2</v>
      </c>
      <c r="L3536" s="3">
        <v>2.80334326886231E-2</v>
      </c>
      <c r="M3536" s="3">
        <v>1.40167163443115E-2</v>
      </c>
    </row>
    <row r="3537" spans="1:16" x14ac:dyDescent="0.3">
      <c r="A3537" s="3" t="str">
        <f t="shared" si="55"/>
        <v>NGA</v>
      </c>
      <c r="C3537" s="3" t="s">
        <v>850</v>
      </c>
      <c r="D3537" s="3" t="s">
        <v>739</v>
      </c>
      <c r="E3537" s="3" t="s">
        <v>1043</v>
      </c>
      <c r="F3537" s="3" t="s">
        <v>8</v>
      </c>
      <c r="G3537" s="3">
        <v>0.651777310010486</v>
      </c>
      <c r="H3537" s="3">
        <v>0.63005139967680301</v>
      </c>
      <c r="I3537" s="3">
        <v>0.54314775834207196</v>
      </c>
      <c r="J3537" s="3">
        <v>0.43451820667365698</v>
      </c>
      <c r="K3537" s="3">
        <v>0.325888655005243</v>
      </c>
      <c r="L3537" s="3">
        <v>0.21725910333682899</v>
      </c>
      <c r="M3537" s="3">
        <v>0.108629551668414</v>
      </c>
      <c r="N3537" s="3">
        <v>0.10862955166841499</v>
      </c>
      <c r="O3537" s="3">
        <v>0.22543149085624298</v>
      </c>
      <c r="P3537" s="3">
        <v>0.22543149085624298</v>
      </c>
    </row>
    <row r="3538" spans="1:16" x14ac:dyDescent="0.3">
      <c r="A3538" s="3" t="str">
        <f t="shared" si="55"/>
        <v>TOM</v>
      </c>
      <c r="C3538" s="3" t="s">
        <v>850</v>
      </c>
      <c r="D3538" s="3" t="s">
        <v>754</v>
      </c>
      <c r="E3538" s="3" t="s">
        <v>1015</v>
      </c>
      <c r="F3538" s="3" t="s">
        <v>0</v>
      </c>
      <c r="G3538" s="3">
        <v>3.87506616357732</v>
      </c>
      <c r="H3538" s="3">
        <v>3.7975648403057698</v>
      </c>
      <c r="K3538" s="3">
        <v>2.7125463145041202</v>
      </c>
    </row>
    <row r="3539" spans="1:16" x14ac:dyDescent="0.3">
      <c r="A3539" s="3" t="str">
        <f t="shared" si="55"/>
        <v>TOM</v>
      </c>
      <c r="C3539" s="3" t="s">
        <v>850</v>
      </c>
      <c r="D3539" s="3" t="s">
        <v>754</v>
      </c>
      <c r="E3539" s="3" t="s">
        <v>1015</v>
      </c>
      <c r="F3539" s="3" t="s">
        <v>1</v>
      </c>
      <c r="G3539" s="3">
        <v>5.2278570017193404</v>
      </c>
      <c r="H3539" s="3">
        <v>5.1232998616849503</v>
      </c>
      <c r="I3539" s="3">
        <v>4.7050713015474104</v>
      </c>
    </row>
    <row r="3540" spans="1:16" x14ac:dyDescent="0.3">
      <c r="A3540" s="3" t="str">
        <f t="shared" si="55"/>
        <v>TOM</v>
      </c>
      <c r="C3540" s="3" t="s">
        <v>850</v>
      </c>
      <c r="D3540" s="3" t="s">
        <v>754</v>
      </c>
      <c r="E3540" s="3" t="s">
        <v>1015</v>
      </c>
      <c r="F3540" s="3" t="s">
        <v>2</v>
      </c>
      <c r="G3540" s="3">
        <v>12.506339231246301</v>
      </c>
      <c r="H3540" s="3">
        <v>12.256212446621401</v>
      </c>
      <c r="I3540" s="3">
        <v>11.2557053081217</v>
      </c>
    </row>
    <row r="3541" spans="1:16" x14ac:dyDescent="0.3">
      <c r="A3541" s="3" t="str">
        <f t="shared" si="55"/>
        <v>TOM</v>
      </c>
      <c r="C3541" s="3" t="s">
        <v>850</v>
      </c>
      <c r="D3541" s="3" t="s">
        <v>754</v>
      </c>
      <c r="E3541" s="3" t="s">
        <v>1015</v>
      </c>
      <c r="F3541" s="3" t="s">
        <v>3</v>
      </c>
      <c r="G3541" s="3">
        <v>7.6655229875031701</v>
      </c>
      <c r="H3541" s="3">
        <v>7.5122125277531104</v>
      </c>
      <c r="I3541" s="3">
        <v>6.8989706887528497</v>
      </c>
    </row>
    <row r="3542" spans="1:16" x14ac:dyDescent="0.3">
      <c r="A3542" s="3" t="str">
        <f t="shared" si="55"/>
        <v>TOM</v>
      </c>
      <c r="C3542" s="3" t="s">
        <v>850</v>
      </c>
      <c r="D3542" s="3" t="s">
        <v>754</v>
      </c>
      <c r="E3542" s="3" t="s">
        <v>1015</v>
      </c>
      <c r="F3542" s="3" t="s">
        <v>4</v>
      </c>
      <c r="G3542" s="3">
        <v>44.616522678784897</v>
      </c>
      <c r="H3542" s="3">
        <v>43.724192225209201</v>
      </c>
      <c r="I3542" s="3">
        <v>2.3393140917815298</v>
      </c>
    </row>
    <row r="3543" spans="1:16" x14ac:dyDescent="0.3">
      <c r="A3543" s="3" t="str">
        <f t="shared" si="55"/>
        <v>TOM</v>
      </c>
      <c r="C3543" s="3" t="s">
        <v>850</v>
      </c>
      <c r="D3543" s="3" t="s">
        <v>754</v>
      </c>
      <c r="E3543" s="3" t="s">
        <v>1015</v>
      </c>
      <c r="F3543" s="3" t="s">
        <v>5</v>
      </c>
      <c r="G3543" s="3">
        <v>8.5076094914754901</v>
      </c>
      <c r="H3543" s="3">
        <v>8.3374573016459799</v>
      </c>
      <c r="I3543" s="3">
        <v>7.65684854232794</v>
      </c>
    </row>
    <row r="3544" spans="1:16" x14ac:dyDescent="0.3">
      <c r="A3544" s="3" t="str">
        <f t="shared" si="55"/>
        <v>TOM</v>
      </c>
      <c r="C3544" s="3" t="s">
        <v>850</v>
      </c>
      <c r="D3544" s="3" t="s">
        <v>754</v>
      </c>
      <c r="E3544" s="3" t="s">
        <v>1015</v>
      </c>
      <c r="F3544" s="3" t="s">
        <v>6</v>
      </c>
      <c r="G3544" s="3">
        <v>6.1260343916127002</v>
      </c>
      <c r="H3544" s="3">
        <v>6.0035137037804498</v>
      </c>
    </row>
    <row r="3545" spans="1:16" x14ac:dyDescent="0.3">
      <c r="A3545" s="3" t="str">
        <f t="shared" si="55"/>
        <v>TOM</v>
      </c>
      <c r="C3545" s="3" t="s">
        <v>850</v>
      </c>
      <c r="D3545" s="3" t="s">
        <v>754</v>
      </c>
      <c r="E3545" s="3" t="s">
        <v>1015</v>
      </c>
      <c r="F3545" s="3" t="s">
        <v>7</v>
      </c>
      <c r="G3545" s="3">
        <v>0.46254752312720598</v>
      </c>
      <c r="H3545" s="3">
        <v>0.453296572664662</v>
      </c>
      <c r="I3545" s="3">
        <v>0.41629277081448501</v>
      </c>
    </row>
    <row r="3546" spans="1:16" x14ac:dyDescent="0.3">
      <c r="A3546" s="3" t="str">
        <f t="shared" si="55"/>
        <v>TOM</v>
      </c>
      <c r="C3546" s="3" t="s">
        <v>850</v>
      </c>
      <c r="D3546" s="3" t="s">
        <v>754</v>
      </c>
      <c r="E3546" s="3" t="s">
        <v>1015</v>
      </c>
      <c r="F3546" s="3" t="s">
        <v>8</v>
      </c>
      <c r="G3546" s="3">
        <v>4.0116170760789798</v>
      </c>
      <c r="H3546" s="3">
        <v>3.9313847345573998</v>
      </c>
    </row>
    <row r="3547" spans="1:16" x14ac:dyDescent="0.3">
      <c r="A3547" s="3" t="str">
        <f t="shared" si="55"/>
        <v>WOD</v>
      </c>
      <c r="C3547" s="3" t="s">
        <v>850</v>
      </c>
      <c r="D3547" s="3" t="s">
        <v>754</v>
      </c>
      <c r="E3547" s="3" t="s">
        <v>1016</v>
      </c>
      <c r="F3547" s="3" t="s">
        <v>0</v>
      </c>
      <c r="G3547" s="3">
        <v>3.9339345504466698</v>
      </c>
    </row>
    <row r="3548" spans="1:16" x14ac:dyDescent="0.3">
      <c r="A3548" s="3" t="str">
        <f t="shared" si="55"/>
        <v>WOD</v>
      </c>
      <c r="C3548" s="3" t="s">
        <v>850</v>
      </c>
      <c r="D3548" s="3" t="s">
        <v>754</v>
      </c>
      <c r="E3548" s="3" t="s">
        <v>1016</v>
      </c>
      <c r="F3548" s="3" t="s">
        <v>4</v>
      </c>
      <c r="G3548" s="3">
        <v>0.55942330667449403</v>
      </c>
    </row>
    <row r="3549" spans="1:16" x14ac:dyDescent="0.3">
      <c r="A3549" s="3" t="str">
        <f t="shared" si="55"/>
        <v>WOD</v>
      </c>
      <c r="C3549" s="3" t="s">
        <v>850</v>
      </c>
      <c r="D3549" s="3" t="s">
        <v>754</v>
      </c>
      <c r="E3549" s="3" t="s">
        <v>1016</v>
      </c>
      <c r="F3549" s="3" t="s">
        <v>5</v>
      </c>
      <c r="G3549" s="3">
        <v>0.72815278099261005</v>
      </c>
    </row>
    <row r="3550" spans="1:16" x14ac:dyDescent="0.3">
      <c r="A3550" s="3" t="str">
        <f t="shared" si="55"/>
        <v>WOD</v>
      </c>
      <c r="C3550" s="3" t="s">
        <v>850</v>
      </c>
      <c r="D3550" s="3" t="s">
        <v>754</v>
      </c>
      <c r="E3550" s="3" t="s">
        <v>1016</v>
      </c>
      <c r="F3550" s="3" t="s">
        <v>8</v>
      </c>
      <c r="G3550" s="3">
        <v>0.60146512277989095</v>
      </c>
    </row>
    <row r="3551" spans="1:16" x14ac:dyDescent="0.3">
      <c r="A3551" s="3" t="str">
        <f t="shared" ref="A3551:A3614" si="56">RIGHT(E3551,3)</f>
        <v>TOM</v>
      </c>
      <c r="C3551" s="3" t="s">
        <v>850</v>
      </c>
      <c r="D3551" s="3" t="s">
        <v>754</v>
      </c>
      <c r="E3551" s="3" t="s">
        <v>1017</v>
      </c>
      <c r="F3551" s="3" t="s">
        <v>0</v>
      </c>
      <c r="G3551" s="3">
        <v>2.6140943784709401</v>
      </c>
      <c r="H3551" s="3">
        <v>2.5618124909015201</v>
      </c>
      <c r="K3551" s="3">
        <v>1.8298660649296601</v>
      </c>
    </row>
    <row r="3552" spans="1:16" x14ac:dyDescent="0.3">
      <c r="A3552" s="3" t="str">
        <f t="shared" si="56"/>
        <v>TOM</v>
      </c>
      <c r="C3552" s="3" t="s">
        <v>850</v>
      </c>
      <c r="D3552" s="3" t="s">
        <v>754</v>
      </c>
      <c r="E3552" s="3" t="s">
        <v>1017</v>
      </c>
      <c r="F3552" s="3" t="s">
        <v>1</v>
      </c>
      <c r="G3552" s="3">
        <v>2.1446040000000002</v>
      </c>
      <c r="H3552" s="3">
        <v>2.1017119200000001</v>
      </c>
      <c r="I3552" s="3">
        <v>1.9301436000000001</v>
      </c>
    </row>
    <row r="3553" spans="1:9" x14ac:dyDescent="0.3">
      <c r="A3553" s="3" t="str">
        <f t="shared" si="56"/>
        <v>TOM</v>
      </c>
      <c r="C3553" s="3" t="s">
        <v>850</v>
      </c>
      <c r="D3553" s="3" t="s">
        <v>754</v>
      </c>
      <c r="E3553" s="3" t="s">
        <v>1017</v>
      </c>
      <c r="F3553" s="3" t="s">
        <v>2</v>
      </c>
      <c r="G3553" s="3">
        <v>0.37347000000000002</v>
      </c>
      <c r="H3553" s="3">
        <v>0.36600060000000001</v>
      </c>
      <c r="I3553" s="3">
        <v>0.33612300000000001</v>
      </c>
    </row>
    <row r="3554" spans="1:9" x14ac:dyDescent="0.3">
      <c r="A3554" s="3" t="str">
        <f t="shared" si="56"/>
        <v>TOM</v>
      </c>
      <c r="C3554" s="3" t="s">
        <v>850</v>
      </c>
      <c r="D3554" s="3" t="s">
        <v>754</v>
      </c>
      <c r="E3554" s="3" t="s">
        <v>1017</v>
      </c>
      <c r="F3554" s="3" t="s">
        <v>4</v>
      </c>
      <c r="G3554" s="3">
        <v>2.1278084000000002</v>
      </c>
      <c r="H3554" s="3">
        <v>2.0852522320000002</v>
      </c>
    </row>
    <row r="3555" spans="1:9" x14ac:dyDescent="0.3">
      <c r="A3555" s="3" t="str">
        <f t="shared" si="56"/>
        <v>TOM</v>
      </c>
      <c r="C3555" s="3" t="s">
        <v>850</v>
      </c>
      <c r="D3555" s="3" t="s">
        <v>754</v>
      </c>
      <c r="E3555" s="3" t="s">
        <v>1017</v>
      </c>
      <c r="F3555" s="3" t="s">
        <v>5</v>
      </c>
      <c r="G3555" s="3">
        <v>1.56777324513046</v>
      </c>
      <c r="H3555" s="3">
        <v>1.53641778022785</v>
      </c>
      <c r="I3555" s="3">
        <v>1.4109959206174101</v>
      </c>
    </row>
    <row r="3556" spans="1:9" x14ac:dyDescent="0.3">
      <c r="A3556" s="3" t="str">
        <f t="shared" si="56"/>
        <v>TOM</v>
      </c>
      <c r="C3556" s="3" t="s">
        <v>850</v>
      </c>
      <c r="D3556" s="3" t="s">
        <v>754</v>
      </c>
      <c r="E3556" s="3" t="s">
        <v>1017</v>
      </c>
      <c r="F3556" s="3" t="s">
        <v>6</v>
      </c>
      <c r="G3556" s="3">
        <v>1.2202198268331299</v>
      </c>
      <c r="H3556" s="3">
        <v>1.1958154302964701</v>
      </c>
    </row>
    <row r="3557" spans="1:9" x14ac:dyDescent="0.3">
      <c r="A3557" s="3" t="str">
        <f t="shared" si="56"/>
        <v>TOM</v>
      </c>
      <c r="C3557" s="3" t="s">
        <v>850</v>
      </c>
      <c r="D3557" s="3" t="s">
        <v>754</v>
      </c>
      <c r="E3557" s="3" t="s">
        <v>1017</v>
      </c>
      <c r="F3557" s="3" t="s">
        <v>8</v>
      </c>
      <c r="G3557" s="3">
        <v>2.2586650635623302</v>
      </c>
      <c r="H3557" s="3">
        <v>2.2134917622910799</v>
      </c>
    </row>
    <row r="3558" spans="1:9" x14ac:dyDescent="0.3">
      <c r="A3558" s="3" t="str">
        <f t="shared" si="56"/>
        <v>TOM</v>
      </c>
      <c r="C3558" s="3" t="s">
        <v>850</v>
      </c>
      <c r="D3558" s="3" t="s">
        <v>754</v>
      </c>
      <c r="E3558" s="3" t="s">
        <v>1020</v>
      </c>
      <c r="F3558" s="3" t="s">
        <v>0</v>
      </c>
      <c r="G3558" s="3">
        <v>6.9345136867368399E-3</v>
      </c>
      <c r="H3558" s="3">
        <v>6.7958234130020998E-3</v>
      </c>
    </row>
    <row r="3559" spans="1:9" x14ac:dyDescent="0.3">
      <c r="A3559" s="3" t="str">
        <f t="shared" si="56"/>
        <v>TOM</v>
      </c>
      <c r="C3559" s="3" t="s">
        <v>850</v>
      </c>
      <c r="D3559" s="3" t="s">
        <v>754</v>
      </c>
      <c r="E3559" s="3" t="s">
        <v>1020</v>
      </c>
      <c r="F3559" s="3" t="s">
        <v>6</v>
      </c>
      <c r="G3559" s="3">
        <v>2.4404396536662602E-2</v>
      </c>
      <c r="H3559" s="3">
        <v>2.39163086059293E-2</v>
      </c>
    </row>
    <row r="3560" spans="1:9" x14ac:dyDescent="0.3">
      <c r="A3560" s="3" t="str">
        <f t="shared" si="56"/>
        <v>WOD</v>
      </c>
      <c r="C3560" s="3" t="s">
        <v>850</v>
      </c>
      <c r="D3560" s="3" t="s">
        <v>754</v>
      </c>
      <c r="E3560" s="3" t="s">
        <v>1022</v>
      </c>
      <c r="F3560" s="3" t="s">
        <v>0</v>
      </c>
      <c r="G3560" s="3">
        <v>2.1084406159512001</v>
      </c>
      <c r="H3560" s="3">
        <v>2.0662718036321799</v>
      </c>
    </row>
    <row r="3561" spans="1:9" x14ac:dyDescent="0.3">
      <c r="A3561" s="3" t="str">
        <f t="shared" si="56"/>
        <v>WOD</v>
      </c>
      <c r="C3561" s="3" t="s">
        <v>850</v>
      </c>
      <c r="D3561" s="3" t="s">
        <v>754</v>
      </c>
      <c r="E3561" s="3" t="s">
        <v>1022</v>
      </c>
      <c r="F3561" s="3" t="s">
        <v>4</v>
      </c>
      <c r="G3561" s="3">
        <v>0.54375945408760795</v>
      </c>
    </row>
    <row r="3562" spans="1:9" x14ac:dyDescent="0.3">
      <c r="A3562" s="3" t="str">
        <f t="shared" si="56"/>
        <v>WOD</v>
      </c>
      <c r="C3562" s="3" t="s">
        <v>850</v>
      </c>
      <c r="D3562" s="3" t="s">
        <v>754</v>
      </c>
      <c r="E3562" s="3" t="s">
        <v>1022</v>
      </c>
      <c r="F3562" s="3" t="s">
        <v>6</v>
      </c>
      <c r="G3562" s="3">
        <v>0.82461286453345595</v>
      </c>
    </row>
    <row r="3563" spans="1:9" x14ac:dyDescent="0.3">
      <c r="A3563" s="3" t="str">
        <f t="shared" si="56"/>
        <v>WOD</v>
      </c>
      <c r="C3563" s="3" t="s">
        <v>850</v>
      </c>
      <c r="D3563" s="3" t="s">
        <v>754</v>
      </c>
      <c r="E3563" s="3" t="s">
        <v>1022</v>
      </c>
      <c r="F3563" s="3" t="s">
        <v>8</v>
      </c>
      <c r="G3563" s="3">
        <v>3.6488940117652602</v>
      </c>
    </row>
    <row r="3564" spans="1:9" x14ac:dyDescent="0.3">
      <c r="A3564" s="3" t="str">
        <f t="shared" si="56"/>
        <v>WOD</v>
      </c>
      <c r="C3564" s="3" t="s">
        <v>850</v>
      </c>
      <c r="D3564" s="3" t="s">
        <v>754</v>
      </c>
      <c r="E3564" s="3" t="s">
        <v>1029</v>
      </c>
      <c r="F3564" s="3" t="s">
        <v>0</v>
      </c>
      <c r="G3564" s="3">
        <v>1.6131473284539899</v>
      </c>
      <c r="H3564" s="3">
        <v>1.5808843818849101</v>
      </c>
    </row>
    <row r="3565" spans="1:9" x14ac:dyDescent="0.3">
      <c r="A3565" s="3" t="str">
        <f t="shared" si="56"/>
        <v>WOD</v>
      </c>
      <c r="C3565" s="3" t="s">
        <v>850</v>
      </c>
      <c r="D3565" s="3" t="s">
        <v>754</v>
      </c>
      <c r="E3565" s="3" t="s">
        <v>1029</v>
      </c>
      <c r="F3565" s="3" t="s">
        <v>2</v>
      </c>
      <c r="G3565" s="3">
        <v>4.6484500771935497</v>
      </c>
    </row>
    <row r="3566" spans="1:9" x14ac:dyDescent="0.3">
      <c r="A3566" s="3" t="str">
        <f t="shared" si="56"/>
        <v>WOD</v>
      </c>
      <c r="C3566" s="3" t="s">
        <v>850</v>
      </c>
      <c r="D3566" s="3" t="s">
        <v>754</v>
      </c>
      <c r="E3566" s="3" t="s">
        <v>1029</v>
      </c>
      <c r="F3566" s="3" t="s">
        <v>3</v>
      </c>
      <c r="G3566" s="3">
        <v>1.3139295610808299</v>
      </c>
      <c r="H3566" s="3">
        <v>1.22210336392781</v>
      </c>
    </row>
    <row r="3567" spans="1:9" x14ac:dyDescent="0.3">
      <c r="A3567" s="3" t="str">
        <f t="shared" si="56"/>
        <v>WOD</v>
      </c>
      <c r="C3567" s="3" t="s">
        <v>850</v>
      </c>
      <c r="D3567" s="3" t="s">
        <v>754</v>
      </c>
      <c r="E3567" s="3" t="s">
        <v>1029</v>
      </c>
      <c r="F3567" s="3" t="s">
        <v>4</v>
      </c>
      <c r="G3567" s="3">
        <v>4.7580367394820398</v>
      </c>
    </row>
    <row r="3568" spans="1:9" x14ac:dyDescent="0.3">
      <c r="A3568" s="3" t="str">
        <f t="shared" si="56"/>
        <v>WOD</v>
      </c>
      <c r="C3568" s="3" t="s">
        <v>850</v>
      </c>
      <c r="D3568" s="3" t="s">
        <v>754</v>
      </c>
      <c r="E3568" s="3" t="s">
        <v>1029</v>
      </c>
      <c r="F3568" s="3" t="s">
        <v>5</v>
      </c>
      <c r="G3568" s="3">
        <v>2.4396468730379</v>
      </c>
    </row>
    <row r="3569" spans="1:16" x14ac:dyDescent="0.3">
      <c r="A3569" s="3" t="str">
        <f t="shared" si="56"/>
        <v>WOD</v>
      </c>
      <c r="C3569" s="3" t="s">
        <v>850</v>
      </c>
      <c r="D3569" s="3" t="s">
        <v>754</v>
      </c>
      <c r="E3569" s="3" t="s">
        <v>1029</v>
      </c>
      <c r="F3569" s="3" t="s">
        <v>6</v>
      </c>
      <c r="G3569" s="3">
        <v>2.1215431941635399</v>
      </c>
    </row>
    <row r="3570" spans="1:16" x14ac:dyDescent="0.3">
      <c r="A3570" s="3" t="str">
        <f t="shared" si="56"/>
        <v>BIO</v>
      </c>
      <c r="C3570" s="3" t="s">
        <v>850</v>
      </c>
      <c r="D3570" s="3" t="s">
        <v>754</v>
      </c>
      <c r="E3570" s="3" t="s">
        <v>1044</v>
      </c>
      <c r="F3570" s="3" t="s">
        <v>7</v>
      </c>
      <c r="G3570" s="3">
        <v>2.1496755683436</v>
      </c>
      <c r="H3570" s="3">
        <v>2.1066820569767302</v>
      </c>
    </row>
    <row r="3571" spans="1:16" x14ac:dyDescent="0.3">
      <c r="A3571" s="3" t="str">
        <f t="shared" si="56"/>
        <v>ELC</v>
      </c>
      <c r="C3571" s="3" t="s">
        <v>850</v>
      </c>
      <c r="D3571" s="3" t="s">
        <v>754</v>
      </c>
      <c r="E3571" s="3" t="s">
        <v>1153</v>
      </c>
      <c r="F3571" s="3" t="s">
        <v>0</v>
      </c>
      <c r="G3571" s="3">
        <v>0.14242293058276101</v>
      </c>
      <c r="H3571" s="3">
        <v>1.59096863648613</v>
      </c>
      <c r="I3571" s="3">
        <v>2.1234556355420899</v>
      </c>
      <c r="J3571" s="3">
        <v>3.0419005402946899</v>
      </c>
      <c r="K3571" s="3">
        <v>1.4297958167667999</v>
      </c>
      <c r="L3571" s="3">
        <v>0.90114052625914898</v>
      </c>
      <c r="M3571" s="3">
        <v>1.01352980967699</v>
      </c>
      <c r="N3571" s="3">
        <v>4.8427416763055904</v>
      </c>
      <c r="O3571" s="3">
        <v>4.9742630668058698</v>
      </c>
      <c r="P3571" s="3">
        <v>4.8637362910858899</v>
      </c>
    </row>
    <row r="3572" spans="1:16" x14ac:dyDescent="0.3">
      <c r="A3572" s="3" t="str">
        <f t="shared" si="56"/>
        <v>ELC</v>
      </c>
      <c r="C3572" s="3" t="s">
        <v>850</v>
      </c>
      <c r="D3572" s="3" t="s">
        <v>754</v>
      </c>
      <c r="E3572" s="3" t="s">
        <v>1153</v>
      </c>
      <c r="F3572" s="3" t="s">
        <v>1</v>
      </c>
      <c r="G3572" s="3">
        <v>0.12566729169067101</v>
      </c>
      <c r="H3572" s="3">
        <v>9.7893661493153701</v>
      </c>
      <c r="J3572" s="3">
        <v>4.0764610654162099E-2</v>
      </c>
      <c r="K3572" s="3">
        <v>1.2073956475337999</v>
      </c>
      <c r="L3572" s="3">
        <v>1.04618634112257</v>
      </c>
      <c r="M3572" s="3">
        <v>0.34227639022564998</v>
      </c>
      <c r="N3572" s="3">
        <v>1.2033635139980401</v>
      </c>
      <c r="O3572" s="3">
        <v>0.501030778459575</v>
      </c>
      <c r="P3572" s="3">
        <v>1.2553170266595699</v>
      </c>
    </row>
    <row r="3573" spans="1:16" x14ac:dyDescent="0.3">
      <c r="A3573" s="3" t="str">
        <f t="shared" si="56"/>
        <v>ELC</v>
      </c>
      <c r="C3573" s="3" t="s">
        <v>850</v>
      </c>
      <c r="D3573" s="3" t="s">
        <v>754</v>
      </c>
      <c r="E3573" s="3" t="s">
        <v>1153</v>
      </c>
      <c r="F3573" s="3" t="s">
        <v>2</v>
      </c>
      <c r="G3573" s="3">
        <v>1.2600240446851301</v>
      </c>
      <c r="H3573" s="3">
        <v>19.419253743260398</v>
      </c>
    </row>
    <row r="3574" spans="1:16" x14ac:dyDescent="0.3">
      <c r="A3574" s="3" t="str">
        <f t="shared" si="56"/>
        <v>ELC</v>
      </c>
      <c r="C3574" s="3" t="s">
        <v>850</v>
      </c>
      <c r="D3574" s="3" t="s">
        <v>754</v>
      </c>
      <c r="E3574" s="3" t="s">
        <v>1153</v>
      </c>
      <c r="F3574" s="3" t="s">
        <v>3</v>
      </c>
      <c r="G3574" s="3">
        <v>0.24128120004608899</v>
      </c>
      <c r="H3574" s="3">
        <v>0.86930378490401505</v>
      </c>
    </row>
    <row r="3575" spans="1:16" x14ac:dyDescent="0.3">
      <c r="A3575" s="3" t="str">
        <f t="shared" si="56"/>
        <v>ELC</v>
      </c>
      <c r="C3575" s="3" t="s">
        <v>850</v>
      </c>
      <c r="D3575" s="3" t="s">
        <v>754</v>
      </c>
      <c r="E3575" s="3" t="s">
        <v>1153</v>
      </c>
      <c r="F3575" s="3" t="s">
        <v>4</v>
      </c>
      <c r="G3575" s="3">
        <v>1.07236088909373</v>
      </c>
      <c r="J3575" s="3">
        <v>1.06530432420806</v>
      </c>
      <c r="K3575" s="3">
        <v>1.07447502454347</v>
      </c>
      <c r="L3575" s="3">
        <v>0.98643928533218495</v>
      </c>
      <c r="M3575" s="3">
        <v>0.89840354612089302</v>
      </c>
      <c r="N3575" s="3">
        <v>0.81036780690959598</v>
      </c>
    </row>
    <row r="3576" spans="1:16" x14ac:dyDescent="0.3">
      <c r="A3576" s="3" t="str">
        <f t="shared" si="56"/>
        <v>ELC</v>
      </c>
      <c r="C3576" s="3" t="s">
        <v>850</v>
      </c>
      <c r="D3576" s="3" t="s">
        <v>754</v>
      </c>
      <c r="E3576" s="3" t="s">
        <v>1153</v>
      </c>
      <c r="F3576" s="3" t="s">
        <v>5</v>
      </c>
      <c r="G3576" s="3">
        <v>0.62266116140926198</v>
      </c>
      <c r="H3576" s="3">
        <v>11.854111823702301</v>
      </c>
      <c r="M3576" s="3">
        <v>7.83652943657316E-2</v>
      </c>
      <c r="N3576" s="3">
        <v>0.290161253085579</v>
      </c>
      <c r="O3576" s="3">
        <v>0.14068018659766299</v>
      </c>
    </row>
    <row r="3577" spans="1:16" x14ac:dyDescent="0.3">
      <c r="A3577" s="3" t="str">
        <f t="shared" si="56"/>
        <v>ELC</v>
      </c>
      <c r="C3577" s="3" t="s">
        <v>850</v>
      </c>
      <c r="D3577" s="3" t="s">
        <v>754</v>
      </c>
      <c r="E3577" s="3" t="s">
        <v>1153</v>
      </c>
      <c r="F3577" s="3" t="s">
        <v>6</v>
      </c>
      <c r="G3577" s="3">
        <v>0.44969972768446698</v>
      </c>
    </row>
    <row r="3578" spans="1:16" x14ac:dyDescent="0.3">
      <c r="A3578" s="3" t="str">
        <f t="shared" si="56"/>
        <v>ELC</v>
      </c>
      <c r="C3578" s="3" t="s">
        <v>850</v>
      </c>
      <c r="D3578" s="3" t="s">
        <v>754</v>
      </c>
      <c r="E3578" s="3" t="s">
        <v>1153</v>
      </c>
      <c r="F3578" s="3" t="s">
        <v>7</v>
      </c>
      <c r="G3578" s="3">
        <v>0.171577742254997</v>
      </c>
    </row>
    <row r="3579" spans="1:16" x14ac:dyDescent="0.3">
      <c r="A3579" s="3" t="str">
        <f t="shared" si="56"/>
        <v>ELC</v>
      </c>
      <c r="C3579" s="3" t="s">
        <v>850</v>
      </c>
      <c r="D3579" s="3" t="s">
        <v>754</v>
      </c>
      <c r="E3579" s="3" t="s">
        <v>1153</v>
      </c>
      <c r="F3579" s="3" t="s">
        <v>8</v>
      </c>
      <c r="G3579" s="3">
        <v>1.3297275024762201</v>
      </c>
    </row>
    <row r="3580" spans="1:16" x14ac:dyDescent="0.3">
      <c r="A3580" s="3" t="str">
        <f t="shared" si="56"/>
        <v>NGA</v>
      </c>
      <c r="C3580" s="3" t="s">
        <v>850</v>
      </c>
      <c r="D3580" s="3" t="s">
        <v>754</v>
      </c>
      <c r="E3580" s="3" t="s">
        <v>1045</v>
      </c>
      <c r="F3580" s="3" t="s">
        <v>0</v>
      </c>
      <c r="G3580" s="3">
        <v>0.71206014085066904</v>
      </c>
      <c r="H3580" s="3">
        <v>1.8301900890445899</v>
      </c>
      <c r="I3580" s="3">
        <v>19.046133051153699</v>
      </c>
      <c r="J3580" s="3">
        <v>13.4890114401695</v>
      </c>
      <c r="K3580" s="3">
        <v>11.9984911851703</v>
      </c>
      <c r="L3580" s="3">
        <v>21.039111001648202</v>
      </c>
      <c r="M3580" s="3">
        <v>20.561877591497002</v>
      </c>
      <c r="N3580" s="3">
        <v>1.0921431147240901</v>
      </c>
      <c r="P3580" s="3">
        <v>0.53769284804668005</v>
      </c>
    </row>
    <row r="3581" spans="1:16" x14ac:dyDescent="0.3">
      <c r="A3581" s="3" t="str">
        <f t="shared" si="56"/>
        <v>NGA</v>
      </c>
      <c r="C3581" s="3" t="s">
        <v>850</v>
      </c>
      <c r="D3581" s="3" t="s">
        <v>754</v>
      </c>
      <c r="E3581" s="3" t="s">
        <v>1045</v>
      </c>
      <c r="F3581" s="3" t="s">
        <v>1</v>
      </c>
      <c r="G3581" s="3">
        <v>0.62828835957411999</v>
      </c>
      <c r="I3581" s="3">
        <v>12.6200431150989</v>
      </c>
      <c r="J3581" s="3">
        <v>18.041243434044901</v>
      </c>
      <c r="K3581" s="3">
        <v>9.3159184123716301</v>
      </c>
      <c r="L3581" s="3">
        <v>10.8965710891092</v>
      </c>
      <c r="M3581" s="3">
        <v>16.689372287498902</v>
      </c>
      <c r="N3581" s="3">
        <v>19.031510521680801</v>
      </c>
      <c r="O3581" s="3">
        <v>15.957283940234801</v>
      </c>
      <c r="P3581" s="3">
        <v>18.297905609890499</v>
      </c>
    </row>
    <row r="3582" spans="1:16" x14ac:dyDescent="0.3">
      <c r="A3582" s="3" t="str">
        <f t="shared" si="56"/>
        <v>NGA</v>
      </c>
      <c r="C3582" s="3" t="s">
        <v>850</v>
      </c>
      <c r="D3582" s="3" t="s">
        <v>754</v>
      </c>
      <c r="E3582" s="3" t="s">
        <v>1045</v>
      </c>
      <c r="F3582" s="3" t="s">
        <v>2</v>
      </c>
      <c r="G3582" s="3">
        <v>0.86024467831885099</v>
      </c>
      <c r="I3582" s="3">
        <v>18.356058240646799</v>
      </c>
      <c r="J3582" s="3">
        <v>24.195520354437399</v>
      </c>
      <c r="K3582" s="3">
        <v>13.9215157690033</v>
      </c>
      <c r="L3582" s="3">
        <v>16.692606504979</v>
      </c>
      <c r="M3582" s="3">
        <v>22.733592567158201</v>
      </c>
      <c r="N3582" s="3">
        <v>22.234787976930399</v>
      </c>
      <c r="O3582" s="3">
        <v>22.173711812239102</v>
      </c>
      <c r="P3582" s="3">
        <v>21.847141953147201</v>
      </c>
    </row>
    <row r="3583" spans="1:16" x14ac:dyDescent="0.3">
      <c r="A3583" s="3" t="str">
        <f t="shared" si="56"/>
        <v>NGA</v>
      </c>
      <c r="C3583" s="3" t="s">
        <v>850</v>
      </c>
      <c r="D3583" s="3" t="s">
        <v>754</v>
      </c>
      <c r="E3583" s="3" t="s">
        <v>1045</v>
      </c>
      <c r="F3583" s="3" t="s">
        <v>3</v>
      </c>
      <c r="G3583" s="3">
        <v>0.164727704358929</v>
      </c>
      <c r="I3583" s="3">
        <v>3.1905658200502698</v>
      </c>
    </row>
    <row r="3584" spans="1:16" x14ac:dyDescent="0.3">
      <c r="A3584" s="3" t="str">
        <f t="shared" si="56"/>
        <v>NGA</v>
      </c>
      <c r="C3584" s="3" t="s">
        <v>850</v>
      </c>
      <c r="D3584" s="3" t="s">
        <v>754</v>
      </c>
      <c r="E3584" s="3" t="s">
        <v>1045</v>
      </c>
      <c r="F3584" s="3" t="s">
        <v>4</v>
      </c>
      <c r="G3584" s="3">
        <v>0.74901827964914702</v>
      </c>
      <c r="H3584" s="3">
        <v>24.885268347683699</v>
      </c>
      <c r="K3584" s="3">
        <v>2.7919122973350099</v>
      </c>
      <c r="L3584" s="3">
        <v>6.3382883396316299</v>
      </c>
      <c r="M3584" s="3">
        <v>9.8846643819282605</v>
      </c>
      <c r="N3584" s="3">
        <v>13.4310404242249</v>
      </c>
      <c r="O3584" s="3">
        <v>19.3971604343837</v>
      </c>
      <c r="P3584" s="3">
        <v>28.370792222901201</v>
      </c>
    </row>
    <row r="3585" spans="1:16" x14ac:dyDescent="0.3">
      <c r="A3585" s="3" t="str">
        <f t="shared" si="56"/>
        <v>NGA</v>
      </c>
      <c r="C3585" s="3" t="s">
        <v>850</v>
      </c>
      <c r="D3585" s="3" t="s">
        <v>754</v>
      </c>
      <c r="E3585" s="3" t="s">
        <v>1045</v>
      </c>
      <c r="F3585" s="3" t="s">
        <v>5</v>
      </c>
      <c r="G3585" s="3">
        <v>0.43491383979627901</v>
      </c>
      <c r="P3585" s="3">
        <v>6.2466952880417903</v>
      </c>
    </row>
    <row r="3586" spans="1:16" x14ac:dyDescent="0.3">
      <c r="A3586" s="3" t="str">
        <f t="shared" si="56"/>
        <v>NGA</v>
      </c>
      <c r="C3586" s="3" t="s">
        <v>850</v>
      </c>
      <c r="D3586" s="3" t="s">
        <v>754</v>
      </c>
      <c r="E3586" s="3" t="s">
        <v>1045</v>
      </c>
      <c r="F3586" s="3" t="s">
        <v>6</v>
      </c>
      <c r="G3586" s="3">
        <v>0.31410443985286801</v>
      </c>
      <c r="H3586" s="3">
        <v>9.0646747122490794</v>
      </c>
      <c r="I3586" s="3">
        <v>18.443460539290701</v>
      </c>
      <c r="P3586" s="3">
        <v>1.0770958482553299</v>
      </c>
    </row>
    <row r="3587" spans="1:16" x14ac:dyDescent="0.3">
      <c r="A3587" s="3" t="str">
        <f t="shared" si="56"/>
        <v>NGA</v>
      </c>
      <c r="C3587" s="3" t="s">
        <v>850</v>
      </c>
      <c r="D3587" s="3" t="s">
        <v>754</v>
      </c>
      <c r="E3587" s="3" t="s">
        <v>1045</v>
      </c>
      <c r="F3587" s="3" t="s">
        <v>7</v>
      </c>
      <c r="G3587" s="3">
        <v>8.4100298065869203E-2</v>
      </c>
      <c r="H3587" s="3">
        <v>0.41758714377641798</v>
      </c>
      <c r="I3587" s="3">
        <v>1.89394216564602</v>
      </c>
    </row>
    <row r="3588" spans="1:16" x14ac:dyDescent="0.3">
      <c r="A3588" s="3" t="str">
        <f t="shared" si="56"/>
        <v>NGA</v>
      </c>
      <c r="C3588" s="3" t="s">
        <v>850</v>
      </c>
      <c r="D3588" s="3" t="s">
        <v>754</v>
      </c>
      <c r="E3588" s="3" t="s">
        <v>1045</v>
      </c>
      <c r="F3588" s="3" t="s">
        <v>8</v>
      </c>
      <c r="G3588" s="3">
        <v>0.651777310010486</v>
      </c>
      <c r="H3588" s="3">
        <v>13.9926865474624</v>
      </c>
      <c r="I3588" s="3">
        <v>14.678553102872</v>
      </c>
      <c r="L3588" s="3">
        <v>1.01808654389575</v>
      </c>
      <c r="M3588" s="3">
        <v>2.0171118124576601</v>
      </c>
    </row>
    <row r="3589" spans="1:16" x14ac:dyDescent="0.3">
      <c r="A3589" s="3" t="str">
        <f t="shared" si="56"/>
        <v>OTP</v>
      </c>
      <c r="C3589" s="3" t="s">
        <v>850</v>
      </c>
      <c r="D3589" s="3" t="s">
        <v>754</v>
      </c>
      <c r="E3589" s="3" t="s">
        <v>1046</v>
      </c>
      <c r="F3589" s="3" t="s">
        <v>0</v>
      </c>
      <c r="G3589" s="3">
        <v>0.30669020042492301</v>
      </c>
      <c r="H3589" s="3">
        <v>2.3300720760636202</v>
      </c>
    </row>
    <row r="3590" spans="1:16" x14ac:dyDescent="0.3">
      <c r="A3590" s="3" t="str">
        <f t="shared" si="56"/>
        <v>OTP</v>
      </c>
      <c r="C3590" s="3" t="s">
        <v>850</v>
      </c>
      <c r="D3590" s="3" t="s">
        <v>754</v>
      </c>
      <c r="E3590" s="3" t="s">
        <v>1046</v>
      </c>
      <c r="F3590" s="3" t="s">
        <v>1</v>
      </c>
      <c r="G3590" s="3">
        <v>0.27060900037493202</v>
      </c>
    </row>
    <row r="3591" spans="1:16" x14ac:dyDescent="0.3">
      <c r="A3591" s="3" t="str">
        <f t="shared" si="56"/>
        <v>OTP</v>
      </c>
      <c r="C3591" s="3" t="s">
        <v>850</v>
      </c>
      <c r="D3591" s="3" t="s">
        <v>754</v>
      </c>
      <c r="E3591" s="3" t="s">
        <v>1046</v>
      </c>
      <c r="F3591" s="3" t="s">
        <v>2</v>
      </c>
      <c r="G3591" s="3">
        <v>0.46800127986920098</v>
      </c>
    </row>
    <row r="3592" spans="1:16" x14ac:dyDescent="0.3">
      <c r="A3592" s="3" t="str">
        <f t="shared" si="56"/>
        <v>OTP</v>
      </c>
      <c r="C3592" s="3" t="s">
        <v>850</v>
      </c>
      <c r="D3592" s="3" t="s">
        <v>754</v>
      </c>
      <c r="E3592" s="3" t="s">
        <v>1046</v>
      </c>
      <c r="F3592" s="3" t="s">
        <v>3</v>
      </c>
      <c r="G3592" s="3">
        <v>8.9617266357932102E-2</v>
      </c>
    </row>
    <row r="3593" spans="1:16" x14ac:dyDescent="0.3">
      <c r="A3593" s="3" t="str">
        <f t="shared" si="56"/>
        <v>OTP</v>
      </c>
      <c r="C3593" s="3" t="s">
        <v>850</v>
      </c>
      <c r="D3593" s="3" t="s">
        <v>754</v>
      </c>
      <c r="E3593" s="3" t="s">
        <v>1046</v>
      </c>
      <c r="F3593" s="3" t="s">
        <v>4</v>
      </c>
      <c r="G3593" s="3">
        <v>0.82658749205433801</v>
      </c>
    </row>
    <row r="3594" spans="1:16" x14ac:dyDescent="0.3">
      <c r="A3594" s="3" t="str">
        <f t="shared" si="56"/>
        <v>OTP</v>
      </c>
      <c r="C3594" s="3" t="s">
        <v>850</v>
      </c>
      <c r="D3594" s="3" t="s">
        <v>754</v>
      </c>
      <c r="E3594" s="3" t="s">
        <v>1046</v>
      </c>
      <c r="F3594" s="3" t="s">
        <v>5</v>
      </c>
      <c r="G3594" s="3">
        <v>0.479954027644454</v>
      </c>
    </row>
    <row r="3595" spans="1:16" x14ac:dyDescent="0.3">
      <c r="A3595" s="3" t="str">
        <f t="shared" si="56"/>
        <v>OTP</v>
      </c>
      <c r="C3595" s="3" t="s">
        <v>850</v>
      </c>
      <c r="D3595" s="3" t="s">
        <v>754</v>
      </c>
      <c r="E3595" s="3" t="s">
        <v>1046</v>
      </c>
      <c r="F3595" s="3" t="s">
        <v>6</v>
      </c>
      <c r="G3595" s="3">
        <v>0.34663346440988402</v>
      </c>
    </row>
    <row r="3596" spans="1:16" x14ac:dyDescent="0.3">
      <c r="A3596" s="3" t="str">
        <f t="shared" si="56"/>
        <v>OTP</v>
      </c>
      <c r="C3596" s="3" t="s">
        <v>850</v>
      </c>
      <c r="D3596" s="3" t="s">
        <v>754</v>
      </c>
      <c r="E3596" s="3" t="s">
        <v>1046</v>
      </c>
      <c r="F3596" s="3" t="s">
        <v>7</v>
      </c>
      <c r="G3596" s="3">
        <v>3.4488004203627701E-2</v>
      </c>
    </row>
    <row r="3597" spans="1:16" x14ac:dyDescent="0.3">
      <c r="A3597" s="3" t="str">
        <f t="shared" si="56"/>
        <v>OTP</v>
      </c>
      <c r="C3597" s="3" t="s">
        <v>850</v>
      </c>
      <c r="D3597" s="3" t="s">
        <v>754</v>
      </c>
      <c r="E3597" s="3" t="s">
        <v>1046</v>
      </c>
      <c r="F3597" s="3" t="s">
        <v>8</v>
      </c>
      <c r="G3597" s="3">
        <v>0.267282032578115</v>
      </c>
    </row>
    <row r="3598" spans="1:16" x14ac:dyDescent="0.3">
      <c r="A3598" s="3" t="str">
        <f t="shared" si="56"/>
        <v>PTC</v>
      </c>
      <c r="C3598" s="3" t="s">
        <v>850</v>
      </c>
      <c r="D3598" s="3" t="s">
        <v>754</v>
      </c>
      <c r="E3598" s="3" t="s">
        <v>1047</v>
      </c>
      <c r="F3598" s="3" t="s">
        <v>1</v>
      </c>
      <c r="G3598" s="3">
        <v>0.57729920079982799</v>
      </c>
    </row>
    <row r="3599" spans="1:16" x14ac:dyDescent="0.3">
      <c r="A3599" s="3" t="str">
        <f t="shared" si="56"/>
        <v>PTC</v>
      </c>
      <c r="C3599" s="3" t="s">
        <v>850</v>
      </c>
      <c r="D3599" s="3" t="s">
        <v>754</v>
      </c>
      <c r="E3599" s="3" t="s">
        <v>1047</v>
      </c>
      <c r="F3599" s="3" t="s">
        <v>2</v>
      </c>
      <c r="G3599" s="3">
        <v>0.46800127986914603</v>
      </c>
    </row>
    <row r="3600" spans="1:16" x14ac:dyDescent="0.3">
      <c r="A3600" s="3" t="str">
        <f t="shared" si="56"/>
        <v>PTC</v>
      </c>
      <c r="C3600" s="3" t="s">
        <v>850</v>
      </c>
      <c r="D3600" s="3" t="s">
        <v>754</v>
      </c>
      <c r="E3600" s="3" t="s">
        <v>1047</v>
      </c>
      <c r="F3600" s="3" t="s">
        <v>3</v>
      </c>
      <c r="G3600" s="3">
        <v>8.9617266357938E-2</v>
      </c>
    </row>
    <row r="3601" spans="1:16" x14ac:dyDescent="0.3">
      <c r="A3601" s="3" t="str">
        <f t="shared" si="56"/>
        <v>PTC</v>
      </c>
      <c r="C3601" s="3" t="s">
        <v>850</v>
      </c>
      <c r="D3601" s="3" t="s">
        <v>754</v>
      </c>
      <c r="E3601" s="3" t="s">
        <v>1047</v>
      </c>
      <c r="F3601" s="3" t="s">
        <v>5</v>
      </c>
      <c r="G3601" s="3">
        <v>0.47995402764453798</v>
      </c>
    </row>
    <row r="3602" spans="1:16" x14ac:dyDescent="0.3">
      <c r="A3602" s="3" t="str">
        <f t="shared" si="56"/>
        <v>PTC</v>
      </c>
      <c r="C3602" s="3" t="s">
        <v>850</v>
      </c>
      <c r="D3602" s="3" t="s">
        <v>754</v>
      </c>
      <c r="E3602" s="3" t="s">
        <v>1047</v>
      </c>
      <c r="F3602" s="3" t="s">
        <v>6</v>
      </c>
      <c r="G3602" s="3">
        <v>0.34663346440995502</v>
      </c>
    </row>
    <row r="3603" spans="1:16" x14ac:dyDescent="0.3">
      <c r="A3603" s="3" t="str">
        <f t="shared" si="56"/>
        <v>PTC</v>
      </c>
      <c r="C3603" s="3" t="s">
        <v>850</v>
      </c>
      <c r="D3603" s="3" t="s">
        <v>754</v>
      </c>
      <c r="E3603" s="3" t="s">
        <v>1047</v>
      </c>
      <c r="F3603" s="3" t="s">
        <v>7</v>
      </c>
      <c r="G3603" s="3">
        <v>3.4488004203646803E-2</v>
      </c>
    </row>
    <row r="3604" spans="1:16" x14ac:dyDescent="0.3">
      <c r="A3604" s="3" t="str">
        <f t="shared" si="56"/>
        <v>PTC</v>
      </c>
      <c r="C3604" s="3" t="s">
        <v>850</v>
      </c>
      <c r="D3604" s="3" t="s">
        <v>754</v>
      </c>
      <c r="E3604" s="3" t="s">
        <v>1047</v>
      </c>
      <c r="F3604" s="3" t="s">
        <v>8</v>
      </c>
      <c r="G3604" s="3">
        <v>0.267282032578115</v>
      </c>
    </row>
    <row r="3605" spans="1:16" x14ac:dyDescent="0.3">
      <c r="A3605" s="3" t="str">
        <f t="shared" si="56"/>
        <v>STM</v>
      </c>
      <c r="C3605" s="3" t="s">
        <v>850</v>
      </c>
      <c r="D3605" s="3" t="s">
        <v>754</v>
      </c>
      <c r="E3605" s="3" t="s">
        <v>1222</v>
      </c>
      <c r="F3605" s="3" t="s">
        <v>0</v>
      </c>
      <c r="G3605" s="3">
        <v>22.077983953364601</v>
      </c>
      <c r="H3605" s="3">
        <v>21.626214634078099</v>
      </c>
      <c r="I3605" s="3">
        <v>16.221186089113999</v>
      </c>
      <c r="J3605" s="3">
        <v>20.859862795345599</v>
      </c>
      <c r="K3605" s="3">
        <v>19.4200753944389</v>
      </c>
      <c r="L3605" s="3">
        <v>15.4505232479024</v>
      </c>
      <c r="M3605" s="3">
        <v>15.8153673746358</v>
      </c>
      <c r="N3605" s="3">
        <v>31.4558899847801</v>
      </c>
      <c r="O3605" s="3">
        <v>32.716787977689997</v>
      </c>
      <c r="P3605" s="3">
        <v>34.245489273539199</v>
      </c>
    </row>
    <row r="3606" spans="1:16" x14ac:dyDescent="0.3">
      <c r="A3606" s="3" t="str">
        <f t="shared" si="56"/>
        <v>STM</v>
      </c>
      <c r="C3606" s="3" t="s">
        <v>850</v>
      </c>
      <c r="D3606" s="3" t="s">
        <v>754</v>
      </c>
      <c r="E3606" s="3" t="s">
        <v>1222</v>
      </c>
      <c r="F3606" s="3" t="s">
        <v>1</v>
      </c>
      <c r="G3606" s="3">
        <v>23.0559234954248</v>
      </c>
      <c r="H3606" s="3">
        <v>15.0158704185834</v>
      </c>
      <c r="I3606" s="3">
        <v>12.774990332937399</v>
      </c>
      <c r="J3606" s="3">
        <v>13.9482403048846</v>
      </c>
      <c r="K3606" s="3">
        <v>21.506934289678298</v>
      </c>
      <c r="L3606" s="3">
        <v>20.0874909193519</v>
      </c>
      <c r="M3606" s="3">
        <v>14.9985996718591</v>
      </c>
      <c r="N3606" s="3">
        <v>11.7953743139048</v>
      </c>
      <c r="O3606" s="3">
        <v>15.8291608083728</v>
      </c>
      <c r="P3606" s="3">
        <v>14.4097174380464</v>
      </c>
    </row>
    <row r="3607" spans="1:16" x14ac:dyDescent="0.3">
      <c r="A3607" s="3" t="str">
        <f t="shared" si="56"/>
        <v>STM</v>
      </c>
      <c r="C3607" s="3" t="s">
        <v>850</v>
      </c>
      <c r="D3607" s="3" t="s">
        <v>754</v>
      </c>
      <c r="E3607" s="3" t="s">
        <v>1222</v>
      </c>
      <c r="F3607" s="3" t="s">
        <v>2</v>
      </c>
      <c r="G3607" s="3">
        <v>38.613625411261602</v>
      </c>
      <c r="H3607" s="3">
        <v>27.156689212562</v>
      </c>
      <c r="I3607" s="3">
        <v>29.250269453675301</v>
      </c>
      <c r="J3607" s="3">
        <v>35.002635648006397</v>
      </c>
      <c r="K3607" s="3">
        <v>45.276640233440503</v>
      </c>
      <c r="L3607" s="3">
        <v>42.505549497464798</v>
      </c>
      <c r="M3607" s="3">
        <v>36.464563435285598</v>
      </c>
      <c r="N3607" s="3">
        <v>36.963368025513397</v>
      </c>
      <c r="O3607" s="3">
        <v>37.499850263069</v>
      </c>
      <c r="P3607" s="3">
        <v>40.9230059050333</v>
      </c>
    </row>
    <row r="3608" spans="1:16" x14ac:dyDescent="0.3">
      <c r="A3608" s="3" t="str">
        <f t="shared" si="56"/>
        <v>STM</v>
      </c>
      <c r="C3608" s="3" t="s">
        <v>850</v>
      </c>
      <c r="D3608" s="3" t="s">
        <v>754</v>
      </c>
      <c r="E3608" s="3" t="s">
        <v>1222</v>
      </c>
      <c r="F3608" s="3" t="s">
        <v>3</v>
      </c>
      <c r="G3608" s="3">
        <v>1.94618454400204</v>
      </c>
      <c r="H3608" s="3">
        <v>1.9072608531220001</v>
      </c>
      <c r="I3608" s="3">
        <v>1.4213440209038</v>
      </c>
      <c r="J3608" s="3">
        <v>11.510880529706901</v>
      </c>
      <c r="K3608" s="3">
        <v>11.510880529706901</v>
      </c>
      <c r="L3608" s="3">
        <v>11.510880529706901</v>
      </c>
      <c r="M3608" s="3">
        <v>11.510880529706901</v>
      </c>
      <c r="N3608" s="3">
        <v>11.510880529706901</v>
      </c>
      <c r="O3608" s="3">
        <v>11.603321627156101</v>
      </c>
      <c r="P3608" s="3">
        <v>12.2054422235336</v>
      </c>
    </row>
    <row r="3609" spans="1:16" x14ac:dyDescent="0.3">
      <c r="A3609" s="3" t="str">
        <f t="shared" si="56"/>
        <v>STM</v>
      </c>
      <c r="C3609" s="3" t="s">
        <v>850</v>
      </c>
      <c r="D3609" s="3" t="s">
        <v>754</v>
      </c>
      <c r="E3609" s="3" t="s">
        <v>1222</v>
      </c>
      <c r="F3609" s="3" t="s">
        <v>4</v>
      </c>
      <c r="G3609" s="3">
        <v>49.332930535302999</v>
      </c>
      <c r="H3609" s="3">
        <v>33.8917349702363</v>
      </c>
      <c r="I3609" s="3">
        <v>102.247133683348</v>
      </c>
      <c r="J3609" s="3">
        <v>103.521143450921</v>
      </c>
      <c r="K3609" s="3">
        <v>100.72006045325099</v>
      </c>
      <c r="L3609" s="3">
        <v>97.261720150165402</v>
      </c>
      <c r="M3609" s="3">
        <v>93.803379847080095</v>
      </c>
      <c r="N3609" s="3">
        <v>90.345039543994702</v>
      </c>
      <c r="O3609" s="3">
        <v>86.886699240909394</v>
      </c>
      <c r="P3609" s="3">
        <v>83.4283589378241</v>
      </c>
    </row>
    <row r="3610" spans="1:16" x14ac:dyDescent="0.3">
      <c r="A3610" s="3" t="str">
        <f t="shared" si="56"/>
        <v>STM</v>
      </c>
      <c r="C3610" s="3" t="s">
        <v>850</v>
      </c>
      <c r="D3610" s="3" t="s">
        <v>754</v>
      </c>
      <c r="E3610" s="3" t="s">
        <v>1222</v>
      </c>
      <c r="F3610" s="3" t="s">
        <v>5</v>
      </c>
      <c r="G3610" s="3">
        <v>43.138120150765999</v>
      </c>
      <c r="H3610" s="3">
        <v>36.670798692320801</v>
      </c>
      <c r="I3610" s="3">
        <v>49.330941134951601</v>
      </c>
      <c r="J3610" s="3">
        <v>58.398785597897003</v>
      </c>
      <c r="K3610" s="3">
        <v>58.398785597897003</v>
      </c>
      <c r="L3610" s="3">
        <v>58.398785597897003</v>
      </c>
      <c r="M3610" s="3">
        <v>58.320420303531201</v>
      </c>
      <c r="N3610" s="3">
        <v>58.108624344811403</v>
      </c>
      <c r="O3610" s="3">
        <v>58.7270919337845</v>
      </c>
      <c r="P3610" s="3">
        <v>55.675848491309097</v>
      </c>
    </row>
    <row r="3611" spans="1:16" x14ac:dyDescent="0.3">
      <c r="A3611" s="3" t="str">
        <f t="shared" si="56"/>
        <v>STM</v>
      </c>
      <c r="C3611" s="3" t="s">
        <v>850</v>
      </c>
      <c r="D3611" s="3" t="s">
        <v>754</v>
      </c>
      <c r="E3611" s="3" t="s">
        <v>1222</v>
      </c>
      <c r="F3611" s="3" t="s">
        <v>6</v>
      </c>
      <c r="G3611" s="3">
        <v>30.919404093290598</v>
      </c>
      <c r="H3611" s="3">
        <v>26.405369708395401</v>
      </c>
      <c r="I3611" s="3">
        <v>24.2498293240366</v>
      </c>
      <c r="J3611" s="3">
        <v>42.693289863327301</v>
      </c>
      <c r="K3611" s="3">
        <v>42.693289863327301</v>
      </c>
      <c r="L3611" s="3">
        <v>42.693289863327301</v>
      </c>
      <c r="M3611" s="3">
        <v>42.693289863327301</v>
      </c>
      <c r="N3611" s="3">
        <v>42.693289863327301</v>
      </c>
      <c r="O3611" s="3">
        <v>43.036149348185702</v>
      </c>
      <c r="P3611" s="3">
        <v>44.192289183984201</v>
      </c>
    </row>
    <row r="3612" spans="1:16" x14ac:dyDescent="0.3">
      <c r="A3612" s="3" t="str">
        <f t="shared" si="56"/>
        <v>STM</v>
      </c>
      <c r="C3612" s="3" t="s">
        <v>850</v>
      </c>
      <c r="D3612" s="3" t="s">
        <v>754</v>
      </c>
      <c r="E3612" s="3" t="s">
        <v>1222</v>
      </c>
      <c r="F3612" s="3" t="s">
        <v>7</v>
      </c>
      <c r="G3612" s="3">
        <v>2.0344316609430502</v>
      </c>
      <c r="H3612" s="3">
        <v>1.9937430277241901</v>
      </c>
      <c r="I3612" s="3">
        <v>2.66107386468149</v>
      </c>
      <c r="J3612" s="3">
        <v>4.9713088011420004</v>
      </c>
      <c r="K3612" s="3">
        <v>4.9713088011420004</v>
      </c>
      <c r="L3612" s="3">
        <v>4.9713088011420004</v>
      </c>
      <c r="M3612" s="3">
        <v>4.9713088011420004</v>
      </c>
      <c r="N3612" s="3">
        <v>4.9713088011420004</v>
      </c>
      <c r="O3612" s="3">
        <v>5.0112321797358801</v>
      </c>
      <c r="P3612" s="3">
        <v>5.2712754850585997</v>
      </c>
    </row>
    <row r="3613" spans="1:16" x14ac:dyDescent="0.3">
      <c r="A3613" s="3" t="str">
        <f t="shared" si="56"/>
        <v>STM</v>
      </c>
      <c r="C3613" s="3" t="s">
        <v>850</v>
      </c>
      <c r="D3613" s="3" t="s">
        <v>754</v>
      </c>
      <c r="E3613" s="3" t="s">
        <v>1222</v>
      </c>
      <c r="F3613" s="3" t="s">
        <v>8</v>
      </c>
      <c r="G3613" s="3">
        <v>15.6680573242857</v>
      </c>
      <c r="H3613" s="3">
        <v>8.5672044318042602</v>
      </c>
      <c r="I3613" s="3">
        <v>14.0262143732431</v>
      </c>
      <c r="J3613" s="3">
        <v>28.704767476115101</v>
      </c>
      <c r="K3613" s="3">
        <v>28.704767476115101</v>
      </c>
      <c r="L3613" s="3">
        <v>27.686680932219399</v>
      </c>
      <c r="M3613" s="3">
        <v>26.687655663657502</v>
      </c>
      <c r="N3613" s="3">
        <v>28.704767476115101</v>
      </c>
      <c r="O3613" s="3">
        <v>28.935288521022901</v>
      </c>
      <c r="P3613" s="3">
        <v>30.4368010827239</v>
      </c>
    </row>
    <row r="3614" spans="1:16" x14ac:dyDescent="0.3">
      <c r="A3614" s="3" t="str">
        <f t="shared" si="56"/>
        <v>COA</v>
      </c>
      <c r="C3614" s="3" t="s">
        <v>850</v>
      </c>
      <c r="D3614" s="3" t="s">
        <v>786</v>
      </c>
      <c r="E3614" s="3" t="s">
        <v>1048</v>
      </c>
      <c r="F3614" s="3" t="s">
        <v>0</v>
      </c>
      <c r="G3614" s="3">
        <v>0.39377167664906898</v>
      </c>
      <c r="H3614" s="3">
        <v>0.38064595409410001</v>
      </c>
      <c r="I3614" s="3">
        <v>0.32814306387422398</v>
      </c>
      <c r="J3614" s="3">
        <v>0.26251445109937899</v>
      </c>
      <c r="K3614" s="3">
        <v>0.19688583832453399</v>
      </c>
      <c r="L3614" s="3">
        <v>0.13125722554968999</v>
      </c>
      <c r="M3614" s="3">
        <v>6.5628612774844802E-2</v>
      </c>
    </row>
    <row r="3615" spans="1:16" x14ac:dyDescent="0.3">
      <c r="A3615" s="3" t="str">
        <f t="shared" ref="A3615:A3678" si="57">RIGHT(E3615,3)</f>
        <v>COA</v>
      </c>
      <c r="C3615" s="3" t="s">
        <v>850</v>
      </c>
      <c r="D3615" s="3" t="s">
        <v>786</v>
      </c>
      <c r="E3615" s="3" t="s">
        <v>1048</v>
      </c>
      <c r="F3615" s="3" t="s">
        <v>1</v>
      </c>
      <c r="G3615" s="3">
        <v>0.34744559704329597</v>
      </c>
      <c r="H3615" s="3">
        <v>0.33586407714185301</v>
      </c>
      <c r="I3615" s="3">
        <v>0.28953799753608001</v>
      </c>
      <c r="J3615" s="3">
        <v>0.23163039802886401</v>
      </c>
      <c r="K3615" s="3">
        <v>0.17372279852164799</v>
      </c>
      <c r="L3615" s="3">
        <v>0.115815199014432</v>
      </c>
      <c r="M3615" s="3">
        <v>5.7907599507216002E-2</v>
      </c>
    </row>
    <row r="3616" spans="1:16" x14ac:dyDescent="0.3">
      <c r="A3616" s="3" t="str">
        <f t="shared" si="57"/>
        <v>COA</v>
      </c>
      <c r="C3616" s="3" t="s">
        <v>850</v>
      </c>
      <c r="D3616" s="3" t="s">
        <v>786</v>
      </c>
      <c r="E3616" s="3" t="s">
        <v>1048</v>
      </c>
      <c r="F3616" s="3" t="s">
        <v>2</v>
      </c>
      <c r="G3616" s="3">
        <v>1.58979339853462</v>
      </c>
      <c r="H3616" s="3">
        <v>1.5368002852501299</v>
      </c>
      <c r="I3616" s="3">
        <v>1.32482783211218</v>
      </c>
      <c r="J3616" s="3">
        <v>1.0598622656897501</v>
      </c>
      <c r="K3616" s="3">
        <v>0.79489669926730999</v>
      </c>
      <c r="L3616" s="3">
        <v>0.52993113284487303</v>
      </c>
      <c r="M3616" s="3">
        <v>0.26496556642243702</v>
      </c>
    </row>
    <row r="3617" spans="1:16" x14ac:dyDescent="0.3">
      <c r="A3617" s="3" t="str">
        <f t="shared" si="57"/>
        <v>COA</v>
      </c>
      <c r="C3617" s="3" t="s">
        <v>850</v>
      </c>
      <c r="D3617" s="3" t="s">
        <v>786</v>
      </c>
      <c r="E3617" s="3" t="s">
        <v>1048</v>
      </c>
      <c r="F3617" s="3" t="s">
        <v>3</v>
      </c>
      <c r="G3617" s="3">
        <v>0.30442852312364999</v>
      </c>
      <c r="H3617" s="3">
        <v>0.29428090568619503</v>
      </c>
      <c r="I3617" s="3">
        <v>0.25369043593637502</v>
      </c>
      <c r="J3617" s="3">
        <v>0.20295234874910001</v>
      </c>
      <c r="K3617" s="3">
        <v>0.15221426156182499</v>
      </c>
      <c r="L3617" s="3">
        <v>0.10147617437455</v>
      </c>
      <c r="M3617" s="3">
        <v>5.0738087187275002E-2</v>
      </c>
    </row>
    <row r="3618" spans="1:16" x14ac:dyDescent="0.3">
      <c r="A3618" s="3" t="str">
        <f t="shared" si="57"/>
        <v>COA</v>
      </c>
      <c r="C3618" s="3" t="s">
        <v>850</v>
      </c>
      <c r="D3618" s="3" t="s">
        <v>786</v>
      </c>
      <c r="E3618" s="3" t="s">
        <v>1048</v>
      </c>
      <c r="F3618" s="3" t="s">
        <v>4</v>
      </c>
      <c r="G3618" s="3">
        <v>1.19418338539326</v>
      </c>
      <c r="H3618" s="3">
        <v>1.15437727254682</v>
      </c>
      <c r="I3618" s="3">
        <v>0.99515282116104997</v>
      </c>
      <c r="J3618" s="3">
        <v>0.79612225692883998</v>
      </c>
      <c r="K3618" s="3">
        <v>0.59709169269662998</v>
      </c>
      <c r="L3618" s="3">
        <v>0.39806112846441999</v>
      </c>
      <c r="M3618" s="3">
        <v>0.19903056423220999</v>
      </c>
    </row>
    <row r="3619" spans="1:16" x14ac:dyDescent="0.3">
      <c r="A3619" s="3" t="str">
        <f t="shared" si="57"/>
        <v>COA</v>
      </c>
      <c r="C3619" s="3" t="s">
        <v>850</v>
      </c>
      <c r="D3619" s="3" t="s">
        <v>786</v>
      </c>
      <c r="E3619" s="3" t="s">
        <v>1048</v>
      </c>
      <c r="F3619" s="3" t="s">
        <v>5</v>
      </c>
      <c r="G3619" s="3">
        <v>0.69339680442189</v>
      </c>
      <c r="H3619" s="3">
        <v>0.67028357760782697</v>
      </c>
      <c r="I3619" s="3">
        <v>0.57783067035157498</v>
      </c>
      <c r="J3619" s="3">
        <v>0.46226453628126002</v>
      </c>
      <c r="K3619" s="3">
        <v>0.346698402210945</v>
      </c>
      <c r="L3619" s="3">
        <v>0.23113226814063001</v>
      </c>
      <c r="M3619" s="3">
        <v>0.115566134070315</v>
      </c>
    </row>
    <row r="3620" spans="1:16" x14ac:dyDescent="0.3">
      <c r="A3620" s="3" t="str">
        <f t="shared" si="57"/>
        <v>COA</v>
      </c>
      <c r="C3620" s="3" t="s">
        <v>850</v>
      </c>
      <c r="D3620" s="3" t="s">
        <v>786</v>
      </c>
      <c r="E3620" s="3" t="s">
        <v>1048</v>
      </c>
      <c r="F3620" s="3" t="s">
        <v>6</v>
      </c>
      <c r="G3620" s="3">
        <v>0.50078658097136497</v>
      </c>
      <c r="H3620" s="3">
        <v>0.48409369493898602</v>
      </c>
      <c r="I3620" s="3">
        <v>0.41732215080947099</v>
      </c>
      <c r="J3620" s="3">
        <v>0.33385772064757702</v>
      </c>
      <c r="K3620" s="3">
        <v>0.25039329048568199</v>
      </c>
      <c r="L3620" s="3">
        <v>0.16692886032378801</v>
      </c>
      <c r="M3620" s="3">
        <v>8.3464430161894199E-2</v>
      </c>
    </row>
    <row r="3621" spans="1:16" x14ac:dyDescent="0.3">
      <c r="A3621" s="3" t="str">
        <f t="shared" si="57"/>
        <v>COA</v>
      </c>
      <c r="C3621" s="3" t="s">
        <v>850</v>
      </c>
      <c r="D3621" s="3" t="s">
        <v>786</v>
      </c>
      <c r="E3621" s="3" t="s">
        <v>1048</v>
      </c>
      <c r="F3621" s="3" t="s">
        <v>7</v>
      </c>
      <c r="G3621" s="3">
        <v>6.1179838463496797E-2</v>
      </c>
      <c r="H3621" s="3">
        <v>5.9140510514713598E-2</v>
      </c>
      <c r="I3621" s="3">
        <v>5.0983198719580701E-2</v>
      </c>
      <c r="J3621" s="3">
        <v>4.0786558975664501E-2</v>
      </c>
      <c r="K3621" s="3">
        <v>3.0589919231748398E-2</v>
      </c>
      <c r="L3621" s="3">
        <v>2.0393279487832299E-2</v>
      </c>
      <c r="M3621" s="3">
        <v>1.0196639743916099E-2</v>
      </c>
    </row>
    <row r="3622" spans="1:16" x14ac:dyDescent="0.3">
      <c r="A3622" s="3" t="str">
        <f t="shared" si="57"/>
        <v>COA</v>
      </c>
      <c r="C3622" s="3" t="s">
        <v>850</v>
      </c>
      <c r="D3622" s="3" t="s">
        <v>786</v>
      </c>
      <c r="E3622" s="3" t="s">
        <v>1048</v>
      </c>
      <c r="F3622" s="3" t="s">
        <v>8</v>
      </c>
      <c r="G3622" s="3">
        <v>0.47414374809210003</v>
      </c>
      <c r="H3622" s="3">
        <v>0.45833895648903</v>
      </c>
      <c r="I3622" s="3">
        <v>0.39511979007675002</v>
      </c>
      <c r="J3622" s="3">
        <v>0.31609583206140002</v>
      </c>
      <c r="K3622" s="3">
        <v>0.23707187404605001</v>
      </c>
      <c r="L3622" s="3">
        <v>0.15804791603070001</v>
      </c>
      <c r="M3622" s="3">
        <v>7.9023958015350004E-2</v>
      </c>
    </row>
    <row r="3623" spans="1:16" x14ac:dyDescent="0.3">
      <c r="A3623" s="3" t="str">
        <f t="shared" si="57"/>
        <v>ELC</v>
      </c>
      <c r="C3623" s="3" t="s">
        <v>850</v>
      </c>
      <c r="D3623" s="3" t="s">
        <v>786</v>
      </c>
      <c r="E3623" s="3" t="s">
        <v>1154</v>
      </c>
      <c r="F3623" s="3" t="s">
        <v>0</v>
      </c>
      <c r="G3623" s="3">
        <v>0.29709423319563899</v>
      </c>
      <c r="H3623" s="3">
        <v>0.28719109208911803</v>
      </c>
      <c r="I3623" s="3">
        <v>0.24757852766303201</v>
      </c>
      <c r="J3623" s="3">
        <v>0.198062822130426</v>
      </c>
      <c r="K3623" s="3">
        <v>0.148547116597819</v>
      </c>
      <c r="L3623" s="3">
        <v>9.9031411065213001E-2</v>
      </c>
      <c r="M3623" s="3">
        <v>4.9515705532606501E-2</v>
      </c>
    </row>
    <row r="3624" spans="1:16" x14ac:dyDescent="0.3">
      <c r="A3624" s="3" t="str">
        <f t="shared" si="57"/>
        <v>ELC</v>
      </c>
      <c r="C3624" s="3" t="s">
        <v>850</v>
      </c>
      <c r="D3624" s="3" t="s">
        <v>786</v>
      </c>
      <c r="E3624" s="3" t="s">
        <v>1154</v>
      </c>
      <c r="F3624" s="3" t="s">
        <v>1</v>
      </c>
      <c r="G3624" s="3">
        <v>0.26214197046673998</v>
      </c>
      <c r="H3624" s="3">
        <v>0.25340390478451502</v>
      </c>
      <c r="I3624" s="3">
        <v>0.21845164205561701</v>
      </c>
      <c r="J3624" s="3">
        <v>0.17476131364449299</v>
      </c>
      <c r="K3624" s="3">
        <v>0.13107098523336999</v>
      </c>
      <c r="L3624" s="3">
        <v>8.7380656822246702E-2</v>
      </c>
      <c r="M3624" s="3">
        <v>4.3690328411123303E-2</v>
      </c>
    </row>
    <row r="3625" spans="1:16" x14ac:dyDescent="0.3">
      <c r="A3625" s="3" t="str">
        <f t="shared" si="57"/>
        <v>ELC</v>
      </c>
      <c r="C3625" s="3" t="s">
        <v>850</v>
      </c>
      <c r="D3625" s="3" t="s">
        <v>786</v>
      </c>
      <c r="E3625" s="3" t="s">
        <v>1154</v>
      </c>
      <c r="F3625" s="3" t="s">
        <v>2</v>
      </c>
      <c r="G3625" s="3">
        <v>2.6284101572131799</v>
      </c>
      <c r="H3625" s="3">
        <v>2.5407964853060698</v>
      </c>
      <c r="I3625" s="3">
        <v>2.1903417976776498</v>
      </c>
      <c r="J3625" s="3">
        <v>1.7522734381421201</v>
      </c>
      <c r="K3625" s="3">
        <v>1.31420507860659</v>
      </c>
      <c r="L3625" s="3">
        <v>0.87613671907106005</v>
      </c>
      <c r="M3625" s="3">
        <v>0.43806835953553003</v>
      </c>
    </row>
    <row r="3626" spans="1:16" x14ac:dyDescent="0.3">
      <c r="A3626" s="3" t="str">
        <f t="shared" si="57"/>
        <v>ELC</v>
      </c>
      <c r="C3626" s="3" t="s">
        <v>850</v>
      </c>
      <c r="D3626" s="3" t="s">
        <v>786</v>
      </c>
      <c r="E3626" s="3" t="s">
        <v>1154</v>
      </c>
      <c r="F3626" s="3" t="s">
        <v>3</v>
      </c>
      <c r="G3626" s="3">
        <v>0.50331258329614104</v>
      </c>
      <c r="H3626" s="3">
        <v>0.48653549718626998</v>
      </c>
      <c r="I3626" s="3">
        <v>0.41942715274678399</v>
      </c>
      <c r="J3626" s="3">
        <v>0.33554172219742701</v>
      </c>
      <c r="K3626" s="3">
        <v>0.25165629164807102</v>
      </c>
      <c r="L3626" s="3">
        <v>0.167770861098714</v>
      </c>
      <c r="M3626" s="3">
        <v>8.3885430549356793E-2</v>
      </c>
    </row>
    <row r="3627" spans="1:16" x14ac:dyDescent="0.3">
      <c r="A3627" s="3" t="str">
        <f t="shared" si="57"/>
        <v>ELC</v>
      </c>
      <c r="C3627" s="3" t="s">
        <v>850</v>
      </c>
      <c r="D3627" s="3" t="s">
        <v>786</v>
      </c>
      <c r="E3627" s="3" t="s">
        <v>1154</v>
      </c>
      <c r="F3627" s="3" t="s">
        <v>4</v>
      </c>
      <c r="G3627" s="3">
        <v>2.2369448146495201</v>
      </c>
      <c r="H3627" s="3">
        <v>2.16237998749454</v>
      </c>
      <c r="I3627" s="3">
        <v>1.8641206788746001</v>
      </c>
      <c r="J3627" s="3">
        <v>1.4912965430996801</v>
      </c>
      <c r="K3627" s="3">
        <v>1.1184724073247601</v>
      </c>
      <c r="L3627" s="3">
        <v>0.74564827154984004</v>
      </c>
      <c r="M3627" s="3">
        <v>0.37282413577492002</v>
      </c>
    </row>
    <row r="3628" spans="1:16" x14ac:dyDescent="0.3">
      <c r="A3628" s="3" t="str">
        <f t="shared" si="57"/>
        <v>ELC</v>
      </c>
      <c r="C3628" s="3" t="s">
        <v>850</v>
      </c>
      <c r="D3628" s="3" t="s">
        <v>786</v>
      </c>
      <c r="E3628" s="3" t="s">
        <v>1154</v>
      </c>
      <c r="F3628" s="3" t="s">
        <v>5</v>
      </c>
      <c r="G3628" s="3">
        <v>1.2988711826997199</v>
      </c>
      <c r="H3628" s="3">
        <v>1.25557547660973</v>
      </c>
      <c r="I3628" s="3">
        <v>1.08239265224977</v>
      </c>
      <c r="J3628" s="3">
        <v>0.86591412179981297</v>
      </c>
      <c r="K3628" s="3">
        <v>0.64943559134985995</v>
      </c>
      <c r="L3628" s="3">
        <v>0.43295706089990699</v>
      </c>
      <c r="M3628" s="3">
        <v>0.21647853044995299</v>
      </c>
    </row>
    <row r="3629" spans="1:16" x14ac:dyDescent="0.3">
      <c r="A3629" s="3" t="str">
        <f t="shared" si="57"/>
        <v>ELC</v>
      </c>
      <c r="C3629" s="3" t="s">
        <v>850</v>
      </c>
      <c r="D3629" s="3" t="s">
        <v>786</v>
      </c>
      <c r="E3629" s="3" t="s">
        <v>1154</v>
      </c>
      <c r="F3629" s="3" t="s">
        <v>6</v>
      </c>
      <c r="G3629" s="3">
        <v>0.93807363194979798</v>
      </c>
      <c r="H3629" s="3">
        <v>0.90680451088480496</v>
      </c>
      <c r="I3629" s="3">
        <v>0.78172802662483198</v>
      </c>
      <c r="J3629" s="3">
        <v>0.62538242129986499</v>
      </c>
      <c r="K3629" s="3">
        <v>0.46903681597489899</v>
      </c>
      <c r="L3629" s="3">
        <v>0.31269121064993299</v>
      </c>
      <c r="M3629" s="3">
        <v>0.156345605324966</v>
      </c>
    </row>
    <row r="3630" spans="1:16" x14ac:dyDescent="0.3">
      <c r="A3630" s="3" t="str">
        <f t="shared" si="57"/>
        <v>ELC</v>
      </c>
      <c r="C3630" s="3" t="s">
        <v>850</v>
      </c>
      <c r="D3630" s="3" t="s">
        <v>786</v>
      </c>
      <c r="E3630" s="3" t="s">
        <v>1154</v>
      </c>
      <c r="F3630" s="3" t="s">
        <v>7</v>
      </c>
      <c r="G3630" s="3">
        <v>0.357911170343923</v>
      </c>
      <c r="H3630" s="3">
        <v>0.34598079799912601</v>
      </c>
      <c r="I3630" s="3">
        <v>0.29825930861993599</v>
      </c>
      <c r="J3630" s="3">
        <v>0.23860744689594901</v>
      </c>
      <c r="K3630" s="3">
        <v>0.178955585171962</v>
      </c>
      <c r="L3630" s="3">
        <v>0.11930372344797401</v>
      </c>
      <c r="M3630" s="3">
        <v>5.9651861723987197E-2</v>
      </c>
    </row>
    <row r="3631" spans="1:16" x14ac:dyDescent="0.3">
      <c r="A3631" s="3" t="str">
        <f t="shared" si="57"/>
        <v>ELC</v>
      </c>
      <c r="C3631" s="3" t="s">
        <v>850</v>
      </c>
      <c r="D3631" s="3" t="s">
        <v>786</v>
      </c>
      <c r="E3631" s="3" t="s">
        <v>1154</v>
      </c>
      <c r="F3631" s="3" t="s">
        <v>8</v>
      </c>
      <c r="G3631" s="3">
        <v>2.7738115701654098</v>
      </c>
      <c r="H3631" s="3">
        <v>2.6813511844932201</v>
      </c>
      <c r="I3631" s="3">
        <v>2.3115096418044998</v>
      </c>
      <c r="J3631" s="3">
        <v>1.8492077134436</v>
      </c>
      <c r="K3631" s="3">
        <v>1.3869057850827</v>
      </c>
      <c r="L3631" s="3">
        <v>0.92460385672180001</v>
      </c>
      <c r="M3631" s="3">
        <v>0.46230192836090001</v>
      </c>
    </row>
    <row r="3632" spans="1:16" x14ac:dyDescent="0.3">
      <c r="A3632" s="3" t="str">
        <f t="shared" si="57"/>
        <v>NGA</v>
      </c>
      <c r="C3632" s="3" t="s">
        <v>850</v>
      </c>
      <c r="D3632" s="3" t="s">
        <v>786</v>
      </c>
      <c r="E3632" s="3" t="s">
        <v>1049</v>
      </c>
      <c r="F3632" s="3" t="s">
        <v>0</v>
      </c>
      <c r="G3632" s="3">
        <v>8.1174856056976292</v>
      </c>
      <c r="H3632" s="3">
        <v>8.1874237472384443</v>
      </c>
      <c r="I3632" s="3">
        <v>8.4671763134017866</v>
      </c>
      <c r="J3632" s="3">
        <v>8.8168670211059457</v>
      </c>
      <c r="K3632" s="3">
        <v>9.1665577288100959</v>
      </c>
      <c r="L3632" s="3">
        <v>9.516248436514255</v>
      </c>
      <c r="M3632" s="3">
        <v>9.8659391442184141</v>
      </c>
      <c r="N3632" s="3">
        <v>10.215629851922579</v>
      </c>
      <c r="O3632" s="3">
        <v>10.29766910445494</v>
      </c>
      <c r="P3632" s="3">
        <v>10.832036664168239</v>
      </c>
    </row>
    <row r="3633" spans="1:16" x14ac:dyDescent="0.3">
      <c r="A3633" s="3" t="str">
        <f t="shared" si="57"/>
        <v>NGA</v>
      </c>
      <c r="C3633" s="3" t="s">
        <v>850</v>
      </c>
      <c r="D3633" s="3" t="s">
        <v>786</v>
      </c>
      <c r="E3633" s="3" t="s">
        <v>1049</v>
      </c>
      <c r="F3633" s="3" t="s">
        <v>1</v>
      </c>
      <c r="G3633" s="3">
        <v>7.1624872991449697</v>
      </c>
      <c r="H3633" s="3">
        <v>7.224197424033953</v>
      </c>
      <c r="I3633" s="3">
        <v>7.471037923589833</v>
      </c>
      <c r="J3633" s="3">
        <v>7.7795885480346829</v>
      </c>
      <c r="K3633" s="3">
        <v>8.0881391724795222</v>
      </c>
      <c r="L3633" s="3">
        <v>8.3966897969243828</v>
      </c>
      <c r="M3633" s="3">
        <v>8.705240421369222</v>
      </c>
      <c r="N3633" s="3">
        <v>9.0137910458140702</v>
      </c>
      <c r="O3633" s="3">
        <v>9.086178621577929</v>
      </c>
      <c r="P3633" s="3">
        <v>9.5576794095602509</v>
      </c>
    </row>
    <row r="3634" spans="1:16" x14ac:dyDescent="0.3">
      <c r="A3634" s="3" t="str">
        <f t="shared" si="57"/>
        <v>NGA</v>
      </c>
      <c r="C3634" s="3" t="s">
        <v>850</v>
      </c>
      <c r="D3634" s="3" t="s">
        <v>786</v>
      </c>
      <c r="E3634" s="3" t="s">
        <v>1049</v>
      </c>
      <c r="F3634" s="3" t="s">
        <v>2</v>
      </c>
      <c r="G3634" s="3">
        <v>9.8067893328349101</v>
      </c>
      <c r="H3634" s="3">
        <v>9.9566597149185636</v>
      </c>
      <c r="I3634" s="3">
        <v>10.556141243253483</v>
      </c>
      <c r="J3634" s="3">
        <v>11.305493153672144</v>
      </c>
      <c r="K3634" s="3">
        <v>12.054845064090802</v>
      </c>
      <c r="L3634" s="3">
        <v>12.804196974509463</v>
      </c>
      <c r="M3634" s="3">
        <v>13.553548884928123</v>
      </c>
      <c r="N3634" s="3">
        <v>14.302900795346785</v>
      </c>
      <c r="O3634" s="3">
        <v>14.41776393225603</v>
      </c>
      <c r="P3634" s="3">
        <v>15.165931818682701</v>
      </c>
    </row>
    <row r="3635" spans="1:16" x14ac:dyDescent="0.3">
      <c r="A3635" s="3" t="str">
        <f t="shared" si="57"/>
        <v>NGA</v>
      </c>
      <c r="C3635" s="3" t="s">
        <v>850</v>
      </c>
      <c r="D3635" s="3" t="s">
        <v>786</v>
      </c>
      <c r="E3635" s="3" t="s">
        <v>1049</v>
      </c>
      <c r="F3635" s="3" t="s">
        <v>3</v>
      </c>
      <c r="G3635" s="3">
        <v>1.87789582969179</v>
      </c>
      <c r="H3635" s="3">
        <v>1.9065944134950714</v>
      </c>
      <c r="I3635" s="3">
        <v>2.0213887487081355</v>
      </c>
      <c r="J3635" s="3">
        <v>2.1648816677244787</v>
      </c>
      <c r="K3635" s="3">
        <v>2.3083745867408183</v>
      </c>
      <c r="L3635" s="3">
        <v>2.4518675057571584</v>
      </c>
      <c r="M3635" s="3">
        <v>2.5953604247734976</v>
      </c>
      <c r="N3635" s="3">
        <v>2.7388533437898372</v>
      </c>
      <c r="O3635" s="3">
        <v>2.7608484125596733</v>
      </c>
      <c r="P3635" s="3">
        <v>2.90411460357757</v>
      </c>
    </row>
    <row r="3636" spans="1:16" x14ac:dyDescent="0.3">
      <c r="A3636" s="3" t="str">
        <f t="shared" si="57"/>
        <v>NGA</v>
      </c>
      <c r="C3636" s="3" t="s">
        <v>850</v>
      </c>
      <c r="D3636" s="3" t="s">
        <v>786</v>
      </c>
      <c r="E3636" s="3" t="s">
        <v>1049</v>
      </c>
      <c r="F3636" s="3" t="s">
        <v>4</v>
      </c>
      <c r="G3636" s="3">
        <v>8.5388083880002803</v>
      </c>
      <c r="H3636" s="3">
        <v>8.5817031373138786</v>
      </c>
      <c r="I3636" s="3">
        <v>9.171636623096548</v>
      </c>
      <c r="J3636" s="3">
        <v>9.9090534803248893</v>
      </c>
      <c r="K3636" s="3">
        <v>10.646470337553218</v>
      </c>
      <c r="L3636" s="3">
        <v>11.383887194781559</v>
      </c>
      <c r="M3636" s="3">
        <v>12.121304052009899</v>
      </c>
      <c r="N3636" s="3">
        <v>12.858720909238235</v>
      </c>
      <c r="O3636" s="3">
        <v>13.06741473483938</v>
      </c>
      <c r="P3636" s="3">
        <v>13.7455101807881</v>
      </c>
    </row>
    <row r="3637" spans="1:16" x14ac:dyDescent="0.3">
      <c r="A3637" s="3" t="str">
        <f t="shared" si="57"/>
        <v>NGA</v>
      </c>
      <c r="C3637" s="3" t="s">
        <v>850</v>
      </c>
      <c r="D3637" s="3" t="s">
        <v>786</v>
      </c>
      <c r="E3637" s="3" t="s">
        <v>1049</v>
      </c>
      <c r="F3637" s="3" t="s">
        <v>5</v>
      </c>
      <c r="G3637" s="3">
        <v>4.9580177736775797</v>
      </c>
      <c r="H3637" s="3">
        <v>5.0436532796782858</v>
      </c>
      <c r="I3637" s="3">
        <v>5.3861953036811254</v>
      </c>
      <c r="J3637" s="3">
        <v>5.8143728336846765</v>
      </c>
      <c r="K3637" s="3">
        <v>6.2425503636882258</v>
      </c>
      <c r="L3637" s="3">
        <v>6.6707278936917769</v>
      </c>
      <c r="M3637" s="3">
        <v>7.0989054236953271</v>
      </c>
      <c r="N3637" s="3">
        <v>7.5270829536988808</v>
      </c>
      <c r="O3637" s="3">
        <v>7.5875311363583604</v>
      </c>
      <c r="P3637" s="3">
        <v>7.9812639759414896</v>
      </c>
    </row>
    <row r="3638" spans="1:16" x14ac:dyDescent="0.3">
      <c r="A3638" s="3" t="str">
        <f t="shared" si="57"/>
        <v>NGA</v>
      </c>
      <c r="C3638" s="3" t="s">
        <v>850</v>
      </c>
      <c r="D3638" s="3" t="s">
        <v>786</v>
      </c>
      <c r="E3638" s="3" t="s">
        <v>1049</v>
      </c>
      <c r="F3638" s="3" t="s">
        <v>6</v>
      </c>
      <c r="G3638" s="3">
        <v>3.5807906143227002</v>
      </c>
      <c r="H3638" s="3">
        <v>3.6426384797676579</v>
      </c>
      <c r="I3638" s="3">
        <v>3.8900299415474873</v>
      </c>
      <c r="J3638" s="3">
        <v>4.1992692687722712</v>
      </c>
      <c r="K3638" s="3">
        <v>4.5085085959970579</v>
      </c>
      <c r="L3638" s="3">
        <v>4.8177479232218428</v>
      </c>
      <c r="M3638" s="3">
        <v>5.1269872504466303</v>
      </c>
      <c r="N3638" s="3">
        <v>5.436226577671416</v>
      </c>
      <c r="O3638" s="3">
        <v>5.4798835984810319</v>
      </c>
      <c r="P3638" s="3">
        <v>5.7642462048466179</v>
      </c>
    </row>
    <row r="3639" spans="1:16" x14ac:dyDescent="0.3">
      <c r="A3639" s="3" t="str">
        <f t="shared" si="57"/>
        <v>NGA</v>
      </c>
      <c r="C3639" s="3" t="s">
        <v>850</v>
      </c>
      <c r="D3639" s="3" t="s">
        <v>786</v>
      </c>
      <c r="E3639" s="3" t="s">
        <v>1049</v>
      </c>
      <c r="F3639" s="3" t="s">
        <v>7</v>
      </c>
      <c r="G3639" s="3">
        <v>0.95874339795091601</v>
      </c>
      <c r="H3639" s="3">
        <v>0.97271309824449625</v>
      </c>
      <c r="I3639" s="3">
        <v>1.0285918994188195</v>
      </c>
      <c r="J3639" s="3">
        <v>1.0984404008867215</v>
      </c>
      <c r="K3639" s="3">
        <v>1.1682889023546252</v>
      </c>
      <c r="L3639" s="3">
        <v>1.2381374038225283</v>
      </c>
      <c r="M3639" s="3">
        <v>1.3079859052904315</v>
      </c>
      <c r="N3639" s="3">
        <v>1.377834406758335</v>
      </c>
      <c r="O3639" s="3">
        <v>1.3888994616284032</v>
      </c>
      <c r="P3639" s="3">
        <v>1.460972355840588</v>
      </c>
    </row>
    <row r="3640" spans="1:16" x14ac:dyDescent="0.3">
      <c r="A3640" s="3" t="str">
        <f t="shared" si="57"/>
        <v>NGA</v>
      </c>
      <c r="C3640" s="3" t="s">
        <v>850</v>
      </c>
      <c r="D3640" s="3" t="s">
        <v>786</v>
      </c>
      <c r="E3640" s="3" t="s">
        <v>1049</v>
      </c>
      <c r="F3640" s="3" t="s">
        <v>8</v>
      </c>
      <c r="G3640" s="3">
        <v>7.4302613341195398</v>
      </c>
      <c r="H3640" s="3">
        <v>7.5385265113948012</v>
      </c>
      <c r="I3640" s="3">
        <v>7.9715872204958016</v>
      </c>
      <c r="J3640" s="3">
        <v>8.5129131068720412</v>
      </c>
      <c r="K3640" s="3">
        <v>9.0542389932482923</v>
      </c>
      <c r="L3640" s="3">
        <v>9.5955648796245416</v>
      </c>
      <c r="M3640" s="3">
        <v>10.136890766000782</v>
      </c>
      <c r="N3640" s="3">
        <v>10.678216652377031</v>
      </c>
      <c r="O3640" s="3">
        <v>10.76397082762006</v>
      </c>
      <c r="P3640" s="3">
        <v>11.322535757764509</v>
      </c>
    </row>
    <row r="3641" spans="1:16" x14ac:dyDescent="0.3">
      <c r="A3641" s="3" t="str">
        <f t="shared" si="57"/>
        <v>RFL</v>
      </c>
      <c r="C3641" s="3" t="s">
        <v>850</v>
      </c>
      <c r="D3641" s="3" t="s">
        <v>786</v>
      </c>
      <c r="E3641" s="3" t="s">
        <v>1050</v>
      </c>
      <c r="F3641" s="3" t="s">
        <v>0</v>
      </c>
      <c r="G3641" s="3">
        <v>1.4072783363802499</v>
      </c>
      <c r="H3641" s="3">
        <v>1.36036905850092</v>
      </c>
      <c r="I3641" s="3">
        <v>1.17273194698355</v>
      </c>
      <c r="J3641" s="3">
        <v>0.93818555758683997</v>
      </c>
      <c r="K3641" s="3">
        <v>0.70363916819012995</v>
      </c>
      <c r="L3641" s="3">
        <v>0.46909277879341998</v>
      </c>
      <c r="M3641" s="3">
        <v>0.23454638939670999</v>
      </c>
    </row>
    <row r="3642" spans="1:16" x14ac:dyDescent="0.3">
      <c r="A3642" s="3" t="str">
        <f t="shared" si="57"/>
        <v>RFL</v>
      </c>
      <c r="C3642" s="3" t="s">
        <v>850</v>
      </c>
      <c r="D3642" s="3" t="s">
        <v>786</v>
      </c>
      <c r="E3642" s="3" t="s">
        <v>1050</v>
      </c>
      <c r="F3642" s="3" t="s">
        <v>1</v>
      </c>
      <c r="G3642" s="3">
        <v>1.2417161791590701</v>
      </c>
      <c r="H3642" s="3">
        <v>1.2003256398537501</v>
      </c>
      <c r="I3642" s="3">
        <v>1.03476348263254</v>
      </c>
      <c r="J3642" s="3">
        <v>0.82781078610603398</v>
      </c>
      <c r="K3642" s="3">
        <v>0.62085808957952504</v>
      </c>
      <c r="L3642" s="3">
        <v>0.41390539305301699</v>
      </c>
      <c r="M3642" s="3">
        <v>0.206952696526508</v>
      </c>
    </row>
    <row r="3643" spans="1:16" x14ac:dyDescent="0.3">
      <c r="A3643" s="3" t="str">
        <f t="shared" si="57"/>
        <v>RFL</v>
      </c>
      <c r="C3643" s="3" t="s">
        <v>850</v>
      </c>
      <c r="D3643" s="3" t="s">
        <v>786</v>
      </c>
      <c r="E3643" s="3" t="s">
        <v>1050</v>
      </c>
      <c r="F3643" s="3" t="s">
        <v>2</v>
      </c>
      <c r="G3643" s="3">
        <v>0.277907906764085</v>
      </c>
      <c r="H3643" s="3">
        <v>0.26864430987202897</v>
      </c>
      <c r="I3643" s="3">
        <v>0.231589922303473</v>
      </c>
      <c r="J3643" s="3">
        <v>0.18527193784277901</v>
      </c>
      <c r="K3643" s="3">
        <v>0.13895395338208399</v>
      </c>
      <c r="L3643" s="3">
        <v>9.2635968921389297E-2</v>
      </c>
      <c r="M3643" s="3">
        <v>4.6317984460694697E-2</v>
      </c>
    </row>
    <row r="3644" spans="1:16" x14ac:dyDescent="0.3">
      <c r="A3644" s="3" t="str">
        <f t="shared" si="57"/>
        <v>RFL</v>
      </c>
      <c r="C3644" s="3" t="s">
        <v>850</v>
      </c>
      <c r="D3644" s="3" t="s">
        <v>786</v>
      </c>
      <c r="E3644" s="3" t="s">
        <v>1050</v>
      </c>
      <c r="F3644" s="3" t="s">
        <v>3</v>
      </c>
      <c r="G3644" s="3">
        <v>5.3216407678256E-2</v>
      </c>
      <c r="H3644" s="3">
        <v>5.1442527422303402E-2</v>
      </c>
      <c r="I3644" s="3">
        <v>4.4347006398537399E-2</v>
      </c>
      <c r="J3644" s="3">
        <v>3.54776051188299E-2</v>
      </c>
      <c r="K3644" s="3">
        <v>2.66082038391224E-2</v>
      </c>
      <c r="L3644" s="3">
        <v>1.7738802559414998E-2</v>
      </c>
      <c r="M3644" s="3">
        <v>8.8694012797074801E-3</v>
      </c>
    </row>
    <row r="3645" spans="1:16" x14ac:dyDescent="0.3">
      <c r="A3645" s="3" t="str">
        <f t="shared" si="57"/>
        <v>RFL</v>
      </c>
      <c r="C3645" s="3" t="s">
        <v>850</v>
      </c>
      <c r="D3645" s="3" t="s">
        <v>786</v>
      </c>
      <c r="E3645" s="3" t="s">
        <v>1050</v>
      </c>
      <c r="F3645" s="3" t="s">
        <v>4</v>
      </c>
      <c r="G3645" s="3">
        <v>0.88878432119518702</v>
      </c>
      <c r="H3645" s="3">
        <v>0.96026051188299799</v>
      </c>
      <c r="I3645" s="3">
        <v>0.82781078610603298</v>
      </c>
      <c r="J3645" s="3">
        <v>0.66224862888482605</v>
      </c>
      <c r="K3645" s="3">
        <v>0.49668647166362001</v>
      </c>
      <c r="L3645" s="3">
        <v>0.33112431444241303</v>
      </c>
      <c r="M3645" s="3">
        <v>0.16556215722120701</v>
      </c>
    </row>
    <row r="3646" spans="1:16" x14ac:dyDescent="0.3">
      <c r="A3646" s="3" t="str">
        <f t="shared" si="57"/>
        <v>RFL</v>
      </c>
      <c r="C3646" s="3" t="s">
        <v>850</v>
      </c>
      <c r="D3646" s="3" t="s">
        <v>786</v>
      </c>
      <c r="E3646" s="3" t="s">
        <v>1050</v>
      </c>
      <c r="F3646" s="3" t="s">
        <v>5</v>
      </c>
      <c r="G3646" s="3">
        <v>0.57679719289968701</v>
      </c>
      <c r="H3646" s="3">
        <v>0.55757061980303102</v>
      </c>
      <c r="I3646" s="3">
        <v>0.48066432741640602</v>
      </c>
      <c r="J3646" s="3">
        <v>0.38453146193312499</v>
      </c>
      <c r="K3646" s="3">
        <v>0.288398596449844</v>
      </c>
      <c r="L3646" s="3">
        <v>0.19226573096656199</v>
      </c>
      <c r="M3646" s="3">
        <v>9.6132865483281205E-2</v>
      </c>
    </row>
    <row r="3647" spans="1:16" x14ac:dyDescent="0.3">
      <c r="A3647" s="3" t="str">
        <f t="shared" si="57"/>
        <v>RFL</v>
      </c>
      <c r="C3647" s="3" t="s">
        <v>850</v>
      </c>
      <c r="D3647" s="3" t="s">
        <v>786</v>
      </c>
      <c r="E3647" s="3" t="s">
        <v>1050</v>
      </c>
      <c r="F3647" s="3" t="s">
        <v>6</v>
      </c>
      <c r="G3647" s="3">
        <v>0.41657575042754902</v>
      </c>
      <c r="H3647" s="3">
        <v>0.40268989207996703</v>
      </c>
      <c r="I3647" s="3">
        <v>0.34714645868962701</v>
      </c>
      <c r="J3647" s="3">
        <v>0.27771716695170101</v>
      </c>
      <c r="K3647" s="3">
        <v>0.20828787521377601</v>
      </c>
      <c r="L3647" s="3">
        <v>0.13885858347585101</v>
      </c>
      <c r="M3647" s="3">
        <v>6.9429291737925294E-2</v>
      </c>
    </row>
    <row r="3648" spans="1:16" x14ac:dyDescent="0.3">
      <c r="A3648" s="3" t="str">
        <f t="shared" si="57"/>
        <v>TOM</v>
      </c>
      <c r="C3648" s="3" t="s">
        <v>850</v>
      </c>
      <c r="D3648" s="3" t="s">
        <v>1155</v>
      </c>
      <c r="E3648" s="3" t="s">
        <v>1027</v>
      </c>
      <c r="F3648" s="3" t="s">
        <v>0</v>
      </c>
      <c r="G3648" s="3">
        <v>16.625344075194398</v>
      </c>
      <c r="H3648" s="3">
        <v>16.292837193690499</v>
      </c>
      <c r="I3648" s="3">
        <v>14.9628096676749</v>
      </c>
      <c r="J3648" s="3">
        <v>13.3002752601555</v>
      </c>
      <c r="K3648" s="3">
        <v>11.637740852636099</v>
      </c>
      <c r="L3648" s="3">
        <v>9.9752064451166298</v>
      </c>
      <c r="M3648" s="3">
        <v>8.3126720375971903</v>
      </c>
      <c r="N3648" s="3">
        <v>6.6501376300777499</v>
      </c>
      <c r="O3648" s="3">
        <v>4.9876032225583096</v>
      </c>
      <c r="P3648" s="3">
        <v>3.3250688150388701</v>
      </c>
    </row>
    <row r="3649" spans="1:16" x14ac:dyDescent="0.3">
      <c r="A3649" s="3" t="str">
        <f t="shared" si="57"/>
        <v>TOM</v>
      </c>
      <c r="C3649" s="3" t="s">
        <v>850</v>
      </c>
      <c r="D3649" s="3" t="s">
        <v>1155</v>
      </c>
      <c r="E3649" s="3" t="s">
        <v>1027</v>
      </c>
      <c r="F3649" s="3" t="s">
        <v>1</v>
      </c>
      <c r="G3649" s="3">
        <v>14.194433703263799</v>
      </c>
      <c r="H3649" s="3">
        <v>13.9105450291985</v>
      </c>
      <c r="I3649" s="3">
        <v>12.774990332937399</v>
      </c>
      <c r="J3649" s="3">
        <v>11.355546962610999</v>
      </c>
      <c r="K3649" s="3">
        <v>9.9361035922846401</v>
      </c>
      <c r="L3649" s="3">
        <v>8.5166602219582597</v>
      </c>
      <c r="M3649" s="3">
        <v>7.0972168516318899</v>
      </c>
      <c r="N3649" s="3">
        <v>5.6777734813055103</v>
      </c>
      <c r="O3649" s="3">
        <v>4.2583301109791298</v>
      </c>
      <c r="P3649" s="3">
        <v>2.8388867406527498</v>
      </c>
    </row>
    <row r="3650" spans="1:16" x14ac:dyDescent="0.3">
      <c r="A3650" s="3" t="str">
        <f t="shared" si="57"/>
        <v>TOM</v>
      </c>
      <c r="C3650" s="3" t="s">
        <v>850</v>
      </c>
      <c r="D3650" s="3" t="s">
        <v>1155</v>
      </c>
      <c r="E3650" s="3" t="s">
        <v>1027</v>
      </c>
      <c r="F3650" s="3" t="s">
        <v>2</v>
      </c>
      <c r="G3650" s="3">
        <v>21.001238228780402</v>
      </c>
      <c r="H3650" s="3">
        <v>20.581213464204801</v>
      </c>
      <c r="I3650" s="3">
        <v>18.901114405902302</v>
      </c>
      <c r="J3650" s="3">
        <v>16.800990583024301</v>
      </c>
      <c r="K3650" s="3">
        <v>14.700866760146299</v>
      </c>
      <c r="L3650" s="3">
        <v>12.600742937268199</v>
      </c>
      <c r="M3650" s="3">
        <v>10.500619114390201</v>
      </c>
      <c r="N3650" s="3">
        <v>8.4004952915121507</v>
      </c>
      <c r="O3650" s="3">
        <v>6.3003714686341104</v>
      </c>
      <c r="P3650" s="3">
        <v>4.20024764575607</v>
      </c>
    </row>
    <row r="3651" spans="1:16" x14ac:dyDescent="0.3">
      <c r="A3651" s="3" t="str">
        <f t="shared" si="57"/>
        <v>TOM</v>
      </c>
      <c r="C3651" s="3" t="s">
        <v>850</v>
      </c>
      <c r="D3651" s="3" t="s">
        <v>1155</v>
      </c>
      <c r="E3651" s="3" t="s">
        <v>1027</v>
      </c>
      <c r="F3651" s="3" t="s">
        <v>4</v>
      </c>
      <c r="G3651" s="3">
        <v>33.238632255142498</v>
      </c>
      <c r="H3651" s="3">
        <v>32.573859610039698</v>
      </c>
      <c r="I3651" s="3">
        <v>29.9147690296283</v>
      </c>
      <c r="J3651" s="3">
        <v>26.590905804114001</v>
      </c>
      <c r="K3651" s="3">
        <v>23.267042578599799</v>
      </c>
      <c r="L3651" s="3">
        <v>19.943179353085501</v>
      </c>
      <c r="M3651" s="3">
        <v>16.619316127571299</v>
      </c>
      <c r="N3651" s="3">
        <v>13.295452902057001</v>
      </c>
      <c r="O3651" s="3">
        <v>9.9715896765427701</v>
      </c>
      <c r="P3651" s="3">
        <v>6.6477264510285101</v>
      </c>
    </row>
    <row r="3652" spans="1:16" x14ac:dyDescent="0.3">
      <c r="A3652" s="3" t="str">
        <f t="shared" si="57"/>
        <v>TOM</v>
      </c>
      <c r="C3652" s="3" t="s">
        <v>850</v>
      </c>
      <c r="D3652" s="3" t="s">
        <v>1155</v>
      </c>
      <c r="E3652" s="3" t="s">
        <v>1027</v>
      </c>
      <c r="F3652" s="3" t="s">
        <v>5</v>
      </c>
      <c r="G3652" s="3">
        <v>37.419182339102903</v>
      </c>
      <c r="H3652" s="3">
        <v>36.670798692320801</v>
      </c>
      <c r="I3652" s="3">
        <v>33.677264105192599</v>
      </c>
      <c r="J3652" s="3">
        <v>29.935345871282301</v>
      </c>
      <c r="K3652" s="3">
        <v>26.193427637372</v>
      </c>
      <c r="L3652" s="3">
        <v>22.451509403461699</v>
      </c>
      <c r="M3652" s="3">
        <v>18.709591169551398</v>
      </c>
      <c r="N3652" s="3">
        <v>14.967672935641099</v>
      </c>
      <c r="O3652" s="3">
        <v>11.225754701730899</v>
      </c>
      <c r="P3652" s="3">
        <v>7.48383646782057</v>
      </c>
    </row>
    <row r="3653" spans="1:16" x14ac:dyDescent="0.3">
      <c r="A3653" s="3" t="str">
        <f t="shared" si="57"/>
        <v>TOM</v>
      </c>
      <c r="C3653" s="3" t="s">
        <v>850</v>
      </c>
      <c r="D3653" s="3" t="s">
        <v>1155</v>
      </c>
      <c r="E3653" s="3" t="s">
        <v>1027</v>
      </c>
      <c r="F3653" s="3" t="s">
        <v>6</v>
      </c>
      <c r="G3653" s="3">
        <v>26.944254804485102</v>
      </c>
      <c r="H3653" s="3">
        <v>26.405369708395401</v>
      </c>
      <c r="I3653" s="3">
        <v>24.2498293240366</v>
      </c>
      <c r="J3653" s="3">
        <v>21.555403843588</v>
      </c>
      <c r="K3653" s="3">
        <v>18.860978363139498</v>
      </c>
      <c r="L3653" s="3">
        <v>16.166552882691001</v>
      </c>
      <c r="M3653" s="3">
        <v>13.472127402242499</v>
      </c>
      <c r="N3653" s="3">
        <v>10.777701921794</v>
      </c>
      <c r="O3653" s="3">
        <v>8.0832764413455198</v>
      </c>
      <c r="P3653" s="3">
        <v>5.3888509608970097</v>
      </c>
    </row>
    <row r="3654" spans="1:16" x14ac:dyDescent="0.3">
      <c r="A3654" s="3" t="str">
        <f t="shared" si="57"/>
        <v>TOM</v>
      </c>
      <c r="C3654" s="3" t="s">
        <v>850</v>
      </c>
      <c r="D3654" s="3" t="s">
        <v>1155</v>
      </c>
      <c r="E3654" s="3" t="s">
        <v>1027</v>
      </c>
      <c r="F3654" s="3" t="s">
        <v>7</v>
      </c>
      <c r="G3654" s="3">
        <v>2.0344316609430502</v>
      </c>
      <c r="H3654" s="3">
        <v>1.9937430277241901</v>
      </c>
      <c r="I3654" s="3">
        <v>1.83098849484874</v>
      </c>
      <c r="J3654" s="3">
        <v>1.6275453287544399</v>
      </c>
      <c r="K3654" s="3">
        <v>1.42410216266014</v>
      </c>
      <c r="L3654" s="3">
        <v>1.2206589965658301</v>
      </c>
      <c r="M3654" s="3">
        <v>1.01721583047153</v>
      </c>
      <c r="N3654" s="3">
        <v>0.81377266437721996</v>
      </c>
      <c r="O3654" s="3">
        <v>0.61032949828291505</v>
      </c>
      <c r="P3654" s="3">
        <v>0.40688633218860998</v>
      </c>
    </row>
    <row r="3655" spans="1:16" x14ac:dyDescent="0.3">
      <c r="A3655" s="3" t="str">
        <f t="shared" si="57"/>
        <v>TOM</v>
      </c>
      <c r="C3655" s="3" t="s">
        <v>850</v>
      </c>
      <c r="D3655" s="3" t="s">
        <v>1155</v>
      </c>
      <c r="E3655" s="3" t="s">
        <v>1027</v>
      </c>
      <c r="F3655" s="3" t="s">
        <v>8</v>
      </c>
      <c r="G3655" s="3">
        <v>3.4303214782887399</v>
      </c>
      <c r="H3655" s="3">
        <v>3.3617150487229601</v>
      </c>
      <c r="I3655" s="3">
        <v>3.0872893304598601</v>
      </c>
      <c r="J3655" s="3">
        <v>2.7442571826309901</v>
      </c>
      <c r="K3655" s="3">
        <v>2.40122503480212</v>
      </c>
      <c r="L3655" s="3">
        <v>2.0581928869732402</v>
      </c>
      <c r="M3655" s="3">
        <v>1.71516073914437</v>
      </c>
      <c r="N3655" s="3">
        <v>1.3721285913154899</v>
      </c>
      <c r="O3655" s="3">
        <v>1.0290964434866201</v>
      </c>
      <c r="P3655" s="3">
        <v>0.68606429565774696</v>
      </c>
    </row>
    <row r="3656" spans="1:16" x14ac:dyDescent="0.3">
      <c r="A3656" s="3" t="str">
        <f t="shared" si="57"/>
        <v>WOD</v>
      </c>
      <c r="C3656" s="3" t="s">
        <v>850</v>
      </c>
      <c r="D3656" s="3" t="s">
        <v>1155</v>
      </c>
      <c r="E3656" s="3" t="s">
        <v>1028</v>
      </c>
      <c r="F3656" s="3" t="s">
        <v>0</v>
      </c>
      <c r="G3656" s="3">
        <v>0.50638463047764104</v>
      </c>
      <c r="H3656" s="3">
        <v>0.496256937868088</v>
      </c>
    </row>
    <row r="3657" spans="1:16" x14ac:dyDescent="0.3">
      <c r="A3657" s="3" t="str">
        <f t="shared" si="57"/>
        <v>WOD</v>
      </c>
      <c r="C3657" s="3" t="s">
        <v>850</v>
      </c>
      <c r="D3657" s="3" t="s">
        <v>1155</v>
      </c>
      <c r="E3657" s="3" t="s">
        <v>1028</v>
      </c>
      <c r="F3657" s="3" t="s">
        <v>1</v>
      </c>
      <c r="G3657" s="3">
        <v>6.2502603877929301</v>
      </c>
      <c r="H3657" s="3">
        <v>1.10532538938488</v>
      </c>
    </row>
    <row r="3658" spans="1:16" x14ac:dyDescent="0.3">
      <c r="A3658" s="3" t="str">
        <f t="shared" si="57"/>
        <v>WOD</v>
      </c>
      <c r="C3658" s="3" t="s">
        <v>850</v>
      </c>
      <c r="D3658" s="3" t="s">
        <v>1155</v>
      </c>
      <c r="E3658" s="3" t="s">
        <v>1028</v>
      </c>
      <c r="F3658" s="3" t="s">
        <v>3</v>
      </c>
      <c r="G3658" s="3">
        <v>1.94618454400204</v>
      </c>
      <c r="H3658" s="3">
        <v>1.9072608531220001</v>
      </c>
    </row>
    <row r="3659" spans="1:16" x14ac:dyDescent="0.3">
      <c r="A3659" s="3" t="str">
        <f t="shared" si="57"/>
        <v>WOD</v>
      </c>
      <c r="C3659" s="3" t="s">
        <v>850</v>
      </c>
      <c r="D3659" s="3" t="s">
        <v>1155</v>
      </c>
      <c r="E3659" s="3" t="s">
        <v>1028</v>
      </c>
      <c r="F3659" s="3" t="s">
        <v>4</v>
      </c>
      <c r="G3659" s="3">
        <v>0.90434194905549203</v>
      </c>
    </row>
    <row r="3660" spans="1:16" x14ac:dyDescent="0.3">
      <c r="A3660" s="3" t="str">
        <f t="shared" si="57"/>
        <v>WOD</v>
      </c>
      <c r="C3660" s="3" t="s">
        <v>850</v>
      </c>
      <c r="D3660" s="3" t="s">
        <v>1155</v>
      </c>
      <c r="E3660" s="3" t="s">
        <v>1028</v>
      </c>
      <c r="F3660" s="3" t="s">
        <v>5</v>
      </c>
      <c r="G3660" s="3">
        <v>2.3757391292685202</v>
      </c>
    </row>
    <row r="3661" spans="1:16" x14ac:dyDescent="0.3">
      <c r="A3661" s="3" t="str">
        <f t="shared" si="57"/>
        <v>WOD</v>
      </c>
      <c r="C3661" s="3" t="s">
        <v>850</v>
      </c>
      <c r="D3661" s="3" t="s">
        <v>1155</v>
      </c>
      <c r="E3661" s="3" t="s">
        <v>1028</v>
      </c>
      <c r="F3661" s="3" t="s">
        <v>8</v>
      </c>
      <c r="G3661" s="3">
        <v>4.4397760813751601</v>
      </c>
      <c r="H3661" s="3">
        <v>1.2901738858934</v>
      </c>
      <c r="I3661" s="3">
        <v>1.8832766439600701</v>
      </c>
    </row>
    <row r="3662" spans="1:16" x14ac:dyDescent="0.3">
      <c r="A3662" s="3" t="str">
        <f t="shared" si="57"/>
        <v>BLQ</v>
      </c>
      <c r="C3662" s="3" t="s">
        <v>850</v>
      </c>
      <c r="D3662" s="3" t="s">
        <v>1155</v>
      </c>
      <c r="E3662" s="3" t="s">
        <v>1030</v>
      </c>
      <c r="F3662" s="3" t="s">
        <v>8</v>
      </c>
      <c r="G3662" s="3">
        <v>4.0503263764012702</v>
      </c>
      <c r="H3662" s="3">
        <v>3.9153154971878901</v>
      </c>
      <c r="I3662" s="3">
        <v>3.3752719803343898</v>
      </c>
      <c r="J3662" s="3">
        <v>2.7002175842675098</v>
      </c>
      <c r="K3662" s="3">
        <v>2.0251631882006298</v>
      </c>
      <c r="L3662" s="3">
        <v>1.35010879213376</v>
      </c>
      <c r="M3662" s="3">
        <v>0.675054396066878</v>
      </c>
    </row>
    <row r="3663" spans="1:16" x14ac:dyDescent="0.3">
      <c r="A3663" s="3" t="str">
        <f t="shared" si="57"/>
        <v>WOD</v>
      </c>
      <c r="C3663" s="3" t="s">
        <v>850</v>
      </c>
      <c r="D3663" s="3" t="s">
        <v>1155</v>
      </c>
      <c r="E3663" s="3" t="s">
        <v>1032</v>
      </c>
      <c r="F3663" s="3" t="s">
        <v>8</v>
      </c>
      <c r="G3663" s="3">
        <v>0.39901882787638399</v>
      </c>
    </row>
    <row r="3664" spans="1:16" x14ac:dyDescent="0.3">
      <c r="A3664" s="3" t="str">
        <f t="shared" si="57"/>
        <v>WOD</v>
      </c>
      <c r="C3664" s="3" t="s">
        <v>850</v>
      </c>
      <c r="D3664" s="3" t="s">
        <v>1155</v>
      </c>
      <c r="E3664" s="3" t="s">
        <v>1034</v>
      </c>
      <c r="F3664" s="3" t="s">
        <v>1</v>
      </c>
      <c r="G3664" s="3">
        <v>2.6112294043681099</v>
      </c>
    </row>
    <row r="3665" spans="1:16" x14ac:dyDescent="0.3">
      <c r="A3665" s="3" t="str">
        <f t="shared" si="57"/>
        <v>WOD</v>
      </c>
      <c r="C3665" s="3" t="s">
        <v>850</v>
      </c>
      <c r="D3665" s="3" t="s">
        <v>1155</v>
      </c>
      <c r="E3665" s="3" t="s">
        <v>1034</v>
      </c>
      <c r="F3665" s="3" t="s">
        <v>2</v>
      </c>
      <c r="G3665" s="3">
        <v>0.44168380947838398</v>
      </c>
    </row>
    <row r="3666" spans="1:16" x14ac:dyDescent="0.3">
      <c r="A3666" s="3" t="str">
        <f t="shared" si="57"/>
        <v>WOD</v>
      </c>
      <c r="C3666" s="3" t="s">
        <v>850</v>
      </c>
      <c r="D3666" s="3" t="s">
        <v>1155</v>
      </c>
      <c r="E3666" s="3" t="s">
        <v>1034</v>
      </c>
      <c r="F3666" s="3" t="s">
        <v>5</v>
      </c>
      <c r="G3666" s="3">
        <v>1.11984186195661</v>
      </c>
    </row>
    <row r="3667" spans="1:16" x14ac:dyDescent="0.3">
      <c r="A3667" s="3" t="str">
        <f t="shared" si="57"/>
        <v>TOM</v>
      </c>
      <c r="C3667" s="3" t="s">
        <v>850</v>
      </c>
      <c r="D3667" s="3" t="s">
        <v>1155</v>
      </c>
      <c r="E3667" s="3" t="s">
        <v>1035</v>
      </c>
      <c r="F3667" s="3" t="s">
        <v>0</v>
      </c>
      <c r="G3667" s="3">
        <v>1.3981960238211999</v>
      </c>
      <c r="H3667" s="3">
        <v>1.37023210334478</v>
      </c>
      <c r="I3667" s="3">
        <v>1.25837642143908</v>
      </c>
      <c r="J3667" s="3">
        <v>1.1185568190569599</v>
      </c>
      <c r="K3667" s="3">
        <v>0.97873721667484304</v>
      </c>
      <c r="L3667" s="3">
        <v>0.83891761429272305</v>
      </c>
      <c r="M3667" s="3">
        <v>0.69909801191060195</v>
      </c>
      <c r="N3667" s="3">
        <v>0.55927840952848196</v>
      </c>
      <c r="O3667" s="3">
        <v>0.41945880714636102</v>
      </c>
      <c r="P3667" s="3">
        <v>0.27963920476424098</v>
      </c>
    </row>
    <row r="3668" spans="1:16" x14ac:dyDescent="0.3">
      <c r="A3668" s="3" t="str">
        <f t="shared" si="57"/>
        <v>TOM</v>
      </c>
      <c r="C3668" s="3" t="s">
        <v>850</v>
      </c>
      <c r="D3668" s="3" t="s">
        <v>1155</v>
      </c>
      <c r="E3668" s="3" t="s">
        <v>1035</v>
      </c>
      <c r="F3668" s="3" t="s">
        <v>2</v>
      </c>
      <c r="G3668" s="3">
        <v>6.7096691309767902</v>
      </c>
      <c r="H3668" s="3">
        <v>6.5754757483572499</v>
      </c>
      <c r="I3668" s="3">
        <v>6.0387022178791101</v>
      </c>
      <c r="J3668" s="3">
        <v>5.36773530478143</v>
      </c>
      <c r="K3668" s="3">
        <v>4.6967683916837499</v>
      </c>
      <c r="L3668" s="3">
        <v>4.0258014785860698</v>
      </c>
      <c r="M3668" s="3">
        <v>3.3548345654884</v>
      </c>
      <c r="N3668" s="3">
        <v>2.6838676523907199</v>
      </c>
      <c r="O3668" s="3">
        <v>2.0129007392930398</v>
      </c>
      <c r="P3668" s="3">
        <v>1.3419338261953599</v>
      </c>
    </row>
    <row r="3669" spans="1:16" x14ac:dyDescent="0.3">
      <c r="A3669" s="3" t="str">
        <f t="shared" si="57"/>
        <v>TOM</v>
      </c>
      <c r="C3669" s="3" t="s">
        <v>850</v>
      </c>
      <c r="D3669" s="3" t="s">
        <v>1155</v>
      </c>
      <c r="E3669" s="3" t="s">
        <v>1035</v>
      </c>
      <c r="F3669" s="3" t="s">
        <v>4</v>
      </c>
      <c r="G3669" s="3">
        <v>1.34477077571086</v>
      </c>
      <c r="H3669" s="3">
        <v>1.31787536019664</v>
      </c>
      <c r="I3669" s="3">
        <v>1.2102936981397701</v>
      </c>
      <c r="J3669" s="3">
        <v>1.0758166205686901</v>
      </c>
      <c r="K3669" s="3">
        <v>0.94133954299760103</v>
      </c>
      <c r="L3669" s="3">
        <v>0.80686246542651496</v>
      </c>
      <c r="M3669" s="3">
        <v>0.67238538785542901</v>
      </c>
      <c r="N3669" s="3">
        <v>0.53790831028434305</v>
      </c>
      <c r="O3669" s="3">
        <v>0.40343123271325698</v>
      </c>
      <c r="P3669" s="3">
        <v>0.26895415514217202</v>
      </c>
    </row>
    <row r="3670" spans="1:16" x14ac:dyDescent="0.3">
      <c r="A3670" s="3" t="str">
        <f t="shared" si="57"/>
        <v>WOD</v>
      </c>
      <c r="C3670" s="3" t="s">
        <v>850</v>
      </c>
      <c r="D3670" s="3" t="s">
        <v>1155</v>
      </c>
      <c r="E3670" s="3" t="s">
        <v>1037</v>
      </c>
      <c r="F3670" s="3" t="s">
        <v>0</v>
      </c>
      <c r="G3670" s="3">
        <v>3.5376412236476602</v>
      </c>
      <c r="H3670" s="3">
        <v>3.4668883991747101</v>
      </c>
    </row>
    <row r="3671" spans="1:16" x14ac:dyDescent="0.3">
      <c r="A3671" s="3" t="str">
        <f t="shared" si="57"/>
        <v>WOD</v>
      </c>
      <c r="C3671" s="3" t="s">
        <v>850</v>
      </c>
      <c r="D3671" s="3" t="s">
        <v>1155</v>
      </c>
      <c r="E3671" s="3" t="s">
        <v>1037</v>
      </c>
      <c r="F3671" s="3" t="s">
        <v>4</v>
      </c>
      <c r="G3671" s="3">
        <v>3.4730502571010202</v>
      </c>
    </row>
    <row r="3672" spans="1:16" x14ac:dyDescent="0.3">
      <c r="A3672" s="3" t="str">
        <f t="shared" si="57"/>
        <v>WOD</v>
      </c>
      <c r="C3672" s="3" t="s">
        <v>850</v>
      </c>
      <c r="D3672" s="3" t="s">
        <v>1155</v>
      </c>
      <c r="E3672" s="3" t="s">
        <v>1037</v>
      </c>
      <c r="F3672" s="3" t="s">
        <v>5</v>
      </c>
      <c r="G3672" s="3">
        <v>1.19406762664622</v>
      </c>
    </row>
    <row r="3673" spans="1:16" x14ac:dyDescent="0.3">
      <c r="A3673" s="3" t="str">
        <f t="shared" si="57"/>
        <v>WOD</v>
      </c>
      <c r="C3673" s="3" t="s">
        <v>850</v>
      </c>
      <c r="D3673" s="3" t="s">
        <v>1155</v>
      </c>
      <c r="E3673" s="3" t="s">
        <v>1037</v>
      </c>
      <c r="F3673" s="3" t="s">
        <v>8</v>
      </c>
      <c r="G3673" s="3">
        <v>2.12360742767174</v>
      </c>
    </row>
    <row r="3674" spans="1:16" x14ac:dyDescent="0.3">
      <c r="A3674" s="3" t="str">
        <f t="shared" si="57"/>
        <v>WOD</v>
      </c>
      <c r="C3674" s="3" t="s">
        <v>850</v>
      </c>
      <c r="D3674" s="3" t="s">
        <v>1155</v>
      </c>
      <c r="E3674" s="3" t="s">
        <v>1039</v>
      </c>
      <c r="F3674" s="3" t="s">
        <v>2</v>
      </c>
      <c r="G3674" s="3">
        <v>10.4610342420261</v>
      </c>
    </row>
    <row r="3675" spans="1:16" x14ac:dyDescent="0.3">
      <c r="A3675" s="3" t="str">
        <f t="shared" si="57"/>
        <v>WOD</v>
      </c>
      <c r="C3675" s="3" t="s">
        <v>850</v>
      </c>
      <c r="D3675" s="3" t="s">
        <v>1155</v>
      </c>
      <c r="E3675" s="3" t="s">
        <v>1039</v>
      </c>
      <c r="F3675" s="3" t="s">
        <v>4</v>
      </c>
      <c r="G3675" s="3">
        <v>10.372135298293101</v>
      </c>
    </row>
    <row r="3676" spans="1:16" x14ac:dyDescent="0.3">
      <c r="A3676" s="3" t="str">
        <f t="shared" si="57"/>
        <v>WOD</v>
      </c>
      <c r="C3676" s="3" t="s">
        <v>850</v>
      </c>
      <c r="D3676" s="3" t="s">
        <v>1155</v>
      </c>
      <c r="E3676" s="3" t="s">
        <v>1039</v>
      </c>
      <c r="F3676" s="3" t="s">
        <v>5</v>
      </c>
      <c r="G3676" s="3">
        <v>1.0292891937917801</v>
      </c>
    </row>
    <row r="3677" spans="1:16" x14ac:dyDescent="0.3">
      <c r="A3677" s="3" t="str">
        <f t="shared" si="57"/>
        <v>WOD</v>
      </c>
      <c r="C3677" s="3" t="s">
        <v>850</v>
      </c>
      <c r="D3677" s="3" t="s">
        <v>1155</v>
      </c>
      <c r="E3677" s="3" t="s">
        <v>1039</v>
      </c>
      <c r="F3677" s="3" t="s">
        <v>6</v>
      </c>
      <c r="G3677" s="3">
        <v>3.9751492888055702</v>
      </c>
    </row>
    <row r="3678" spans="1:16" x14ac:dyDescent="0.3">
      <c r="A3678" s="3" t="str">
        <f t="shared" si="57"/>
        <v>WOD</v>
      </c>
      <c r="C3678" s="3" t="s">
        <v>850</v>
      </c>
      <c r="D3678" s="3" t="s">
        <v>1155</v>
      </c>
      <c r="E3678" s="3" t="s">
        <v>1039</v>
      </c>
      <c r="F3678" s="3" t="s">
        <v>8</v>
      </c>
      <c r="G3678" s="3">
        <v>1.2250071326724601</v>
      </c>
    </row>
    <row r="3679" spans="1:16" x14ac:dyDescent="0.3">
      <c r="A3679" s="3" t="str">
        <f t="shared" ref="A3679:A3742" si="58">RIGHT(E3679,3)</f>
        <v>WOD</v>
      </c>
      <c r="C3679" s="3" t="s">
        <v>850</v>
      </c>
      <c r="D3679" s="3" t="s">
        <v>1155</v>
      </c>
      <c r="E3679" s="3" t="s">
        <v>1052</v>
      </c>
      <c r="F3679" s="3" t="s">
        <v>0</v>
      </c>
      <c r="G3679" s="3">
        <v>1.04180002236969E-2</v>
      </c>
    </row>
    <row r="3680" spans="1:16" x14ac:dyDescent="0.3">
      <c r="A3680" s="3" t="str">
        <f t="shared" si="58"/>
        <v>TOM</v>
      </c>
      <c r="C3680" s="3" t="s">
        <v>850</v>
      </c>
      <c r="D3680" s="3" t="s">
        <v>1155</v>
      </c>
      <c r="E3680" s="3" t="s">
        <v>1223</v>
      </c>
      <c r="F3680" s="3" t="s">
        <v>0</v>
      </c>
      <c r="J3680" s="3">
        <v>6.4410307161331399</v>
      </c>
      <c r="K3680" s="3">
        <v>6.8035973251280337</v>
      </c>
      <c r="L3680" s="3">
        <v>4.636399188493054</v>
      </c>
      <c r="M3680" s="3">
        <v>6.8035973251280337</v>
      </c>
      <c r="N3680" s="3">
        <v>24.246473945173836</v>
      </c>
      <c r="O3680" s="3">
        <v>27.309725947985285</v>
      </c>
      <c r="P3680" s="3">
        <v>30.640781253736037</v>
      </c>
    </row>
    <row r="3681" spans="1:16" x14ac:dyDescent="0.3">
      <c r="A3681" s="3" t="str">
        <f t="shared" si="58"/>
        <v>TOM</v>
      </c>
      <c r="C3681" s="3" t="s">
        <v>850</v>
      </c>
      <c r="D3681" s="3" t="s">
        <v>1155</v>
      </c>
      <c r="E3681" s="3" t="s">
        <v>1223</v>
      </c>
      <c r="F3681" s="3" t="s">
        <v>1</v>
      </c>
      <c r="J3681" s="3">
        <v>2.5926933422735798</v>
      </c>
      <c r="K3681" s="3">
        <v>11.570830697393628</v>
      </c>
      <c r="L3681" s="3">
        <v>11.570830697393628</v>
      </c>
      <c r="M3681" s="3">
        <v>7.9013828202272398</v>
      </c>
      <c r="N3681" s="3">
        <v>6.1176008325993001</v>
      </c>
      <c r="O3681" s="3">
        <v>11.570830697393628</v>
      </c>
      <c r="P3681" s="3">
        <v>11.570830697393628</v>
      </c>
    </row>
    <row r="3682" spans="1:16" x14ac:dyDescent="0.3">
      <c r="A3682" s="3" t="str">
        <f t="shared" si="58"/>
        <v>TOM</v>
      </c>
      <c r="C3682" s="3" t="s">
        <v>850</v>
      </c>
      <c r="D3682" s="3" t="s">
        <v>1155</v>
      </c>
      <c r="E3682" s="3" t="s">
        <v>1223</v>
      </c>
      <c r="F3682" s="3" t="s">
        <v>2</v>
      </c>
      <c r="I3682" s="3">
        <v>4.3104528298938503</v>
      </c>
      <c r="J3682" s="3">
        <v>12.83390976020064</v>
      </c>
      <c r="K3682" s="3">
        <v>25.87900508161054</v>
      </c>
      <c r="L3682" s="3">
        <v>25.87900508161054</v>
      </c>
      <c r="M3682" s="3">
        <v>22.609109755407029</v>
      </c>
      <c r="N3682" s="3">
        <v>25.87900508161054</v>
      </c>
      <c r="O3682" s="3">
        <v>29.139681202251602</v>
      </c>
      <c r="P3682" s="3">
        <v>32.323151468068325</v>
      </c>
    </row>
    <row r="3683" spans="1:16" x14ac:dyDescent="0.3">
      <c r="A3683" s="3" t="str">
        <f t="shared" si="58"/>
        <v>TOM</v>
      </c>
      <c r="C3683" s="3" t="s">
        <v>850</v>
      </c>
      <c r="D3683" s="3" t="s">
        <v>1155</v>
      </c>
      <c r="E3683" s="3" t="s">
        <v>1223</v>
      </c>
      <c r="F3683" s="3" t="s">
        <v>3</v>
      </c>
      <c r="I3683" s="3">
        <v>1.4213440209038</v>
      </c>
      <c r="J3683" s="3">
        <v>11.510880529706899</v>
      </c>
      <c r="K3683" s="3">
        <v>11.510880529706899</v>
      </c>
      <c r="L3683" s="3">
        <v>11.510880529706899</v>
      </c>
      <c r="M3683" s="3">
        <v>11.510880529706899</v>
      </c>
      <c r="N3683" s="3">
        <v>11.510880529706899</v>
      </c>
      <c r="O3683" s="3">
        <v>11.603321627156069</v>
      </c>
      <c r="P3683" s="3">
        <v>12.205442223533543</v>
      </c>
    </row>
    <row r="3684" spans="1:16" x14ac:dyDescent="0.3">
      <c r="A3684" s="3" t="str">
        <f t="shared" si="58"/>
        <v>TOM</v>
      </c>
      <c r="C3684" s="3" t="s">
        <v>850</v>
      </c>
      <c r="D3684" s="3" t="s">
        <v>1155</v>
      </c>
      <c r="E3684" s="3" t="s">
        <v>1223</v>
      </c>
      <c r="F3684" s="3" t="s">
        <v>4</v>
      </c>
      <c r="I3684" s="3">
        <v>71.122070955579602</v>
      </c>
      <c r="J3684" s="3">
        <v>75.854421026238398</v>
      </c>
      <c r="K3684" s="3">
        <v>76.511678331653343</v>
      </c>
      <c r="L3684" s="3">
        <v>76.511678331653343</v>
      </c>
      <c r="M3684" s="3">
        <v>76.511678331653343</v>
      </c>
      <c r="N3684" s="3">
        <v>76.511678331653343</v>
      </c>
      <c r="O3684" s="3">
        <v>76.511678331653343</v>
      </c>
      <c r="P3684" s="3">
        <v>76.511678331653343</v>
      </c>
    </row>
    <row r="3685" spans="1:16" x14ac:dyDescent="0.3">
      <c r="A3685" s="3" t="str">
        <f t="shared" si="58"/>
        <v>TOM</v>
      </c>
      <c r="C3685" s="3" t="s">
        <v>850</v>
      </c>
      <c r="D3685" s="3" t="s">
        <v>1155</v>
      </c>
      <c r="E3685" s="3" t="s">
        <v>1223</v>
      </c>
      <c r="F3685" s="3" t="s">
        <v>5</v>
      </c>
      <c r="I3685" s="3">
        <v>15.653677029759001</v>
      </c>
      <c r="J3685" s="3">
        <v>28.463439726614702</v>
      </c>
      <c r="K3685" s="3">
        <v>32.205357960524992</v>
      </c>
      <c r="L3685" s="3">
        <v>35.947276194435261</v>
      </c>
      <c r="M3685" s="3">
        <v>39.610829133979813</v>
      </c>
      <c r="N3685" s="3">
        <v>43.140951409170256</v>
      </c>
      <c r="O3685" s="3">
        <v>47.501337232053665</v>
      </c>
      <c r="P3685" s="3">
        <v>48.192012023488594</v>
      </c>
    </row>
    <row r="3686" spans="1:16" x14ac:dyDescent="0.3">
      <c r="A3686" s="3" t="str">
        <f t="shared" si="58"/>
        <v>TOM</v>
      </c>
      <c r="C3686" s="3" t="s">
        <v>850</v>
      </c>
      <c r="D3686" s="3" t="s">
        <v>1155</v>
      </c>
      <c r="E3686" s="3" t="s">
        <v>1223</v>
      </c>
      <c r="F3686" s="3" t="s">
        <v>6</v>
      </c>
      <c r="J3686" s="3">
        <v>21.137886019739199</v>
      </c>
      <c r="K3686" s="3">
        <v>23.8323115001877</v>
      </c>
      <c r="L3686" s="3">
        <v>26.526736980636208</v>
      </c>
      <c r="M3686" s="3">
        <v>29.221162461084717</v>
      </c>
      <c r="N3686" s="3">
        <v>31.915587941533218</v>
      </c>
      <c r="O3686" s="3">
        <v>34.952872906840184</v>
      </c>
      <c r="P3686" s="3">
        <v>38.803438223087127</v>
      </c>
    </row>
    <row r="3687" spans="1:16" x14ac:dyDescent="0.3">
      <c r="A3687" s="3" t="str">
        <f t="shared" si="58"/>
        <v>TOM</v>
      </c>
      <c r="C3687" s="3" t="s">
        <v>850</v>
      </c>
      <c r="D3687" s="3" t="s">
        <v>1155</v>
      </c>
      <c r="E3687" s="3" t="s">
        <v>1223</v>
      </c>
      <c r="F3687" s="3" t="s">
        <v>7</v>
      </c>
      <c r="I3687" s="3">
        <v>0.83008536983274595</v>
      </c>
      <c r="J3687" s="3">
        <v>3.3437634723875558</v>
      </c>
      <c r="K3687" s="3">
        <v>3.5472066384818617</v>
      </c>
      <c r="L3687" s="3">
        <v>3.7506498045761658</v>
      </c>
      <c r="M3687" s="3">
        <v>3.9540929706704708</v>
      </c>
      <c r="N3687" s="3">
        <v>4.1575361367647758</v>
      </c>
      <c r="O3687" s="3">
        <v>4.400902681452961</v>
      </c>
      <c r="P3687" s="3">
        <v>4.8643891528699879</v>
      </c>
    </row>
    <row r="3688" spans="1:16" x14ac:dyDescent="0.3">
      <c r="A3688" s="3" t="str">
        <f t="shared" si="58"/>
        <v>TOM</v>
      </c>
      <c r="C3688" s="3" t="s">
        <v>850</v>
      </c>
      <c r="D3688" s="3" t="s">
        <v>1155</v>
      </c>
      <c r="E3688" s="3" t="s">
        <v>1223</v>
      </c>
      <c r="F3688" s="3" t="s">
        <v>8</v>
      </c>
      <c r="I3688" s="3">
        <v>5.6803764184888097</v>
      </c>
      <c r="J3688" s="3">
        <v>23.260292709216611</v>
      </c>
      <c r="K3688" s="3">
        <v>24.278379253112369</v>
      </c>
      <c r="L3688" s="3">
        <v>24.278379253112369</v>
      </c>
      <c r="M3688" s="3">
        <v>24.278379253112369</v>
      </c>
      <c r="N3688" s="3">
        <v>13.944119921874861</v>
      </c>
      <c r="O3688" s="3">
        <v>14.51767311461146</v>
      </c>
      <c r="P3688" s="3">
        <v>12.720437888288261</v>
      </c>
    </row>
    <row r="3689" spans="1:16" x14ac:dyDescent="0.3">
      <c r="A3689" s="3" t="str">
        <f t="shared" si="58"/>
        <v>NGA</v>
      </c>
      <c r="C3689" s="3" t="s">
        <v>850</v>
      </c>
      <c r="D3689" s="3" t="s">
        <v>1155</v>
      </c>
      <c r="E3689" s="3" t="s">
        <v>1053</v>
      </c>
      <c r="F3689" s="3" t="s">
        <v>2</v>
      </c>
      <c r="O3689" s="3">
        <v>4.6896852890241099E-2</v>
      </c>
      <c r="P3689" s="3">
        <v>3.057672965013511</v>
      </c>
    </row>
    <row r="3690" spans="1:16" x14ac:dyDescent="0.3">
      <c r="A3690" s="3" t="str">
        <f t="shared" si="58"/>
        <v>NGA</v>
      </c>
      <c r="C3690" s="3" t="s">
        <v>850</v>
      </c>
      <c r="D3690" s="3" t="s">
        <v>1155</v>
      </c>
      <c r="E3690" s="3" t="s">
        <v>1053</v>
      </c>
      <c r="F3690" s="3" t="s">
        <v>8</v>
      </c>
      <c r="M3690" s="3">
        <v>1.9061275333845398E-2</v>
      </c>
      <c r="N3690" s="3">
        <v>13.388518962924746</v>
      </c>
      <c r="O3690" s="3">
        <v>13.388518962924746</v>
      </c>
      <c r="P3690" s="3">
        <v>17.030298898777886</v>
      </c>
    </row>
    <row r="3691" spans="1:16" x14ac:dyDescent="0.3">
      <c r="A3691" s="3" t="str">
        <f t="shared" si="58"/>
        <v>STM</v>
      </c>
      <c r="C3691" s="3" t="s">
        <v>850</v>
      </c>
      <c r="D3691" s="3" t="s">
        <v>770</v>
      </c>
      <c r="E3691" s="3" t="s">
        <v>1224</v>
      </c>
      <c r="F3691" s="3" t="s">
        <v>0</v>
      </c>
      <c r="G3691" s="3">
        <v>20.753256686011898</v>
      </c>
      <c r="H3691" s="3">
        <v>20.7817412721284</v>
      </c>
      <c r="I3691" s="3">
        <v>19.841903235372001</v>
      </c>
      <c r="J3691" s="3">
        <v>20.7817412721284</v>
      </c>
      <c r="K3691" s="3">
        <v>20.7817412721284</v>
      </c>
      <c r="L3691" s="3">
        <v>20.7817412721284</v>
      </c>
      <c r="M3691" s="3">
        <v>20.7817412721284</v>
      </c>
      <c r="N3691" s="3">
        <v>20.7817412721284</v>
      </c>
      <c r="O3691" s="3">
        <v>20.7817412721284</v>
      </c>
      <c r="P3691" s="3">
        <v>20.7817412721284</v>
      </c>
    </row>
    <row r="3692" spans="1:16" x14ac:dyDescent="0.3">
      <c r="A3692" s="3" t="str">
        <f t="shared" si="58"/>
        <v>STM</v>
      </c>
      <c r="C3692" s="3" t="s">
        <v>850</v>
      </c>
      <c r="D3692" s="3" t="s">
        <v>770</v>
      </c>
      <c r="E3692" s="3" t="s">
        <v>1224</v>
      </c>
      <c r="F3692" s="3" t="s">
        <v>1</v>
      </c>
      <c r="G3692" s="3">
        <v>11.168076854270501</v>
      </c>
      <c r="H3692" s="3">
        <v>13.5260418229753</v>
      </c>
      <c r="I3692" s="3">
        <v>11.168076854270501</v>
      </c>
      <c r="J3692" s="3">
        <v>13.5511752813134</v>
      </c>
      <c r="K3692" s="3">
        <v>13.5511752813134</v>
      </c>
      <c r="L3692" s="3">
        <v>13.5511752813134</v>
      </c>
      <c r="M3692" s="3">
        <v>13.5511752813134</v>
      </c>
      <c r="N3692" s="3">
        <v>13.5511752813134</v>
      </c>
      <c r="O3692" s="3">
        <v>13.661376076317</v>
      </c>
      <c r="P3692" s="3">
        <v>13.661376076317</v>
      </c>
    </row>
    <row r="3693" spans="1:16" x14ac:dyDescent="0.3">
      <c r="A3693" s="3" t="str">
        <f t="shared" si="58"/>
        <v>STM</v>
      </c>
      <c r="C3693" s="3" t="s">
        <v>850</v>
      </c>
      <c r="D3693" s="3" t="s">
        <v>770</v>
      </c>
      <c r="E3693" s="3" t="s">
        <v>1224</v>
      </c>
      <c r="F3693" s="3" t="s">
        <v>2</v>
      </c>
      <c r="G3693" s="3">
        <v>31.618948438217199</v>
      </c>
      <c r="H3693" s="3">
        <v>31.870953247154201</v>
      </c>
      <c r="I3693" s="3">
        <v>24.021780446272501</v>
      </c>
      <c r="J3693" s="3">
        <v>30.3181235414289</v>
      </c>
      <c r="K3693" s="3">
        <v>30.3181235414289</v>
      </c>
      <c r="L3693" s="3">
        <v>30.3181235414289</v>
      </c>
      <c r="M3693" s="3">
        <v>31.870953247154201</v>
      </c>
      <c r="N3693" s="3">
        <v>31.870953247154201</v>
      </c>
      <c r="O3693" s="3">
        <v>32.126919466073602</v>
      </c>
      <c r="P3693" s="3">
        <v>33.7941706848598</v>
      </c>
    </row>
    <row r="3694" spans="1:16" x14ac:dyDescent="0.3">
      <c r="A3694" s="3" t="str">
        <f t="shared" si="58"/>
        <v>STM</v>
      </c>
      <c r="C3694" s="3" t="s">
        <v>850</v>
      </c>
      <c r="D3694" s="3" t="s">
        <v>770</v>
      </c>
      <c r="E3694" s="3" t="s">
        <v>1224</v>
      </c>
      <c r="F3694" s="3" t="s">
        <v>3</v>
      </c>
      <c r="G3694" s="3">
        <v>1.5624573281015699</v>
      </c>
      <c r="H3694" s="3">
        <v>8.1312525413987906</v>
      </c>
      <c r="I3694" s="3">
        <v>8.2814988998805195</v>
      </c>
      <c r="J3694" s="3">
        <v>8.8721479551194804</v>
      </c>
      <c r="K3694" s="3">
        <v>8.8721479551194804</v>
      </c>
      <c r="L3694" s="3">
        <v>8.8721479551194893</v>
      </c>
      <c r="M3694" s="3">
        <v>8.8721479551194804</v>
      </c>
      <c r="N3694" s="3">
        <v>8.8300817679455008</v>
      </c>
      <c r="O3694" s="3">
        <v>8.9433980294805195</v>
      </c>
      <c r="P3694" s="3">
        <v>9.4074896342972902</v>
      </c>
    </row>
    <row r="3695" spans="1:16" x14ac:dyDescent="0.3">
      <c r="A3695" s="3" t="str">
        <f t="shared" si="58"/>
        <v>STM</v>
      </c>
      <c r="C3695" s="3" t="s">
        <v>850</v>
      </c>
      <c r="D3695" s="3" t="s">
        <v>770</v>
      </c>
      <c r="E3695" s="3" t="s">
        <v>1224</v>
      </c>
      <c r="F3695" s="3" t="s">
        <v>4</v>
      </c>
      <c r="G3695" s="3">
        <v>49.403739856800399</v>
      </c>
      <c r="H3695" s="3">
        <v>49.403739856800399</v>
      </c>
      <c r="I3695" s="3">
        <v>47.454214556437499</v>
      </c>
      <c r="J3695" s="3">
        <v>48.621570426492902</v>
      </c>
      <c r="K3695" s="3">
        <v>48.621570426492902</v>
      </c>
      <c r="L3695" s="3">
        <v>48.621570426492902</v>
      </c>
      <c r="M3695" s="3">
        <v>48.621570426492902</v>
      </c>
      <c r="N3695" s="3">
        <v>48.621570426492902</v>
      </c>
      <c r="O3695" s="3">
        <v>48.621570426492902</v>
      </c>
      <c r="P3695" s="3">
        <v>48.621570426492902</v>
      </c>
    </row>
    <row r="3696" spans="1:16" x14ac:dyDescent="0.3">
      <c r="A3696" s="3" t="str">
        <f t="shared" si="58"/>
        <v>STM</v>
      </c>
      <c r="C3696" s="3" t="s">
        <v>850</v>
      </c>
      <c r="D3696" s="3" t="s">
        <v>770</v>
      </c>
      <c r="E3696" s="3" t="s">
        <v>1224</v>
      </c>
      <c r="F3696" s="3" t="s">
        <v>5</v>
      </c>
      <c r="G3696" s="3">
        <v>16.672594743510398</v>
      </c>
      <c r="H3696" s="3">
        <v>20.075458238247698</v>
      </c>
      <c r="I3696" s="3">
        <v>17.310163338866801</v>
      </c>
      <c r="J3696" s="3">
        <v>20.6738179296445</v>
      </c>
      <c r="K3696" s="3">
        <v>20.7983501619264</v>
      </c>
      <c r="L3696" s="3">
        <v>20.7983501619264</v>
      </c>
      <c r="M3696" s="3">
        <v>20.7983501619264</v>
      </c>
      <c r="N3696" s="3">
        <v>20.7983501619264</v>
      </c>
      <c r="O3696" s="3">
        <v>20.7983501619264</v>
      </c>
      <c r="P3696" s="3">
        <v>20.7983501619264</v>
      </c>
    </row>
    <row r="3697" spans="1:16" x14ac:dyDescent="0.3">
      <c r="A3697" s="3" t="str">
        <f t="shared" si="58"/>
        <v>STM</v>
      </c>
      <c r="C3697" s="3" t="s">
        <v>850</v>
      </c>
      <c r="D3697" s="3" t="s">
        <v>770</v>
      </c>
      <c r="E3697" s="3" t="s">
        <v>1224</v>
      </c>
      <c r="F3697" s="3" t="s">
        <v>6</v>
      </c>
      <c r="G3697" s="3">
        <v>10.916630016505099</v>
      </c>
      <c r="H3697" s="3">
        <v>11.627698771285999</v>
      </c>
      <c r="I3697" s="3">
        <v>9.2661190648207707</v>
      </c>
      <c r="J3697" s="3">
        <v>11.8019754045859</v>
      </c>
      <c r="K3697" s="3">
        <v>11.8019754045859</v>
      </c>
      <c r="L3697" s="3">
        <v>11.8019754045859</v>
      </c>
      <c r="M3697" s="3">
        <v>11.8019754045859</v>
      </c>
      <c r="N3697" s="3">
        <v>11.8019754045859</v>
      </c>
      <c r="O3697" s="3">
        <v>11.8019754045859</v>
      </c>
      <c r="P3697" s="3">
        <v>11.8019754045859</v>
      </c>
    </row>
    <row r="3698" spans="1:16" x14ac:dyDescent="0.3">
      <c r="A3698" s="3" t="str">
        <f t="shared" si="58"/>
        <v>STM</v>
      </c>
      <c r="C3698" s="3" t="s">
        <v>850</v>
      </c>
      <c r="D3698" s="3" t="s">
        <v>770</v>
      </c>
      <c r="E3698" s="3" t="s">
        <v>1224</v>
      </c>
      <c r="F3698" s="3" t="s">
        <v>7</v>
      </c>
      <c r="G3698" s="3">
        <v>3.8555426560941699</v>
      </c>
      <c r="H3698" s="3">
        <v>3.88985820454517</v>
      </c>
      <c r="I3698" s="3">
        <v>3.8555426560941699</v>
      </c>
      <c r="J3698" s="3">
        <v>3.88985820454517</v>
      </c>
      <c r="K3698" s="3">
        <v>3.88985820454517</v>
      </c>
      <c r="L3698" s="3">
        <v>3.88985820454517</v>
      </c>
      <c r="M3698" s="3">
        <v>3.88985820454517</v>
      </c>
      <c r="N3698" s="3">
        <v>3.88985820454517</v>
      </c>
      <c r="O3698" s="3">
        <v>3.9210967149633702</v>
      </c>
      <c r="P3698" s="3">
        <v>4.1245706139322396</v>
      </c>
    </row>
    <row r="3699" spans="1:16" x14ac:dyDescent="0.3">
      <c r="A3699" s="3" t="str">
        <f t="shared" si="58"/>
        <v>STM</v>
      </c>
      <c r="C3699" s="3" t="s">
        <v>850</v>
      </c>
      <c r="D3699" s="3" t="s">
        <v>770</v>
      </c>
      <c r="E3699" s="3" t="s">
        <v>1224</v>
      </c>
      <c r="F3699" s="3" t="s">
        <v>8</v>
      </c>
      <c r="G3699" s="3">
        <v>7.0084064797853003</v>
      </c>
      <c r="H3699" s="3">
        <v>7.0084064797853003</v>
      </c>
      <c r="I3699" s="3">
        <v>3.9883794649853699</v>
      </c>
      <c r="J3699" s="3">
        <v>7.0084064797853003</v>
      </c>
      <c r="K3699" s="3">
        <v>7.0084064797853003</v>
      </c>
      <c r="L3699" s="3">
        <v>7.0084064797853003</v>
      </c>
      <c r="M3699" s="3">
        <v>7.0084064797853003</v>
      </c>
      <c r="N3699" s="3">
        <v>7.0084064797853003</v>
      </c>
      <c r="O3699" s="3">
        <v>7.1915236466875196</v>
      </c>
      <c r="P3699" s="3">
        <v>7.4312907815607101</v>
      </c>
    </row>
    <row r="3700" spans="1:16" x14ac:dyDescent="0.3">
      <c r="A3700" s="3" t="str">
        <f t="shared" si="58"/>
        <v>RFL</v>
      </c>
      <c r="C3700" s="3" t="s">
        <v>850</v>
      </c>
      <c r="D3700" s="3" t="s">
        <v>770</v>
      </c>
      <c r="E3700" s="3" t="s">
        <v>1014</v>
      </c>
      <c r="F3700" s="3" t="s">
        <v>0</v>
      </c>
      <c r="I3700" s="3">
        <v>0.91135345063985296</v>
      </c>
    </row>
    <row r="3701" spans="1:16" x14ac:dyDescent="0.3">
      <c r="A3701" s="3" t="str">
        <f t="shared" si="58"/>
        <v>RFL</v>
      </c>
      <c r="C3701" s="3" t="s">
        <v>850</v>
      </c>
      <c r="D3701" s="3" t="s">
        <v>770</v>
      </c>
      <c r="E3701" s="3" t="s">
        <v>1014</v>
      </c>
      <c r="F3701" s="3" t="s">
        <v>1</v>
      </c>
      <c r="G3701" s="3">
        <v>0.80413539762340003</v>
      </c>
      <c r="I3701" s="3">
        <v>0.80413539762340003</v>
      </c>
    </row>
    <row r="3702" spans="1:16" x14ac:dyDescent="0.3">
      <c r="A3702" s="3" t="str">
        <f t="shared" si="58"/>
        <v>RFL</v>
      </c>
      <c r="C3702" s="3" t="s">
        <v>850</v>
      </c>
      <c r="D3702" s="3" t="s">
        <v>770</v>
      </c>
      <c r="E3702" s="3" t="s">
        <v>1014</v>
      </c>
      <c r="F3702" s="3" t="s">
        <v>2</v>
      </c>
      <c r="I3702" s="3">
        <v>0.17997316042047501</v>
      </c>
    </row>
    <row r="3703" spans="1:16" x14ac:dyDescent="0.3">
      <c r="A3703" s="3" t="str">
        <f t="shared" si="58"/>
        <v>RFL</v>
      </c>
      <c r="C3703" s="3" t="s">
        <v>850</v>
      </c>
      <c r="D3703" s="3" t="s">
        <v>770</v>
      </c>
      <c r="E3703" s="3" t="s">
        <v>1014</v>
      </c>
      <c r="F3703" s="3" t="s">
        <v>3</v>
      </c>
      <c r="G3703" s="3">
        <v>4.1355534734917702E-2</v>
      </c>
    </row>
    <row r="3704" spans="1:16" x14ac:dyDescent="0.3">
      <c r="A3704" s="3" t="str">
        <f t="shared" si="58"/>
        <v>RFL</v>
      </c>
      <c r="C3704" s="3" t="s">
        <v>850</v>
      </c>
      <c r="D3704" s="3" t="s">
        <v>770</v>
      </c>
      <c r="E3704" s="3" t="s">
        <v>1014</v>
      </c>
      <c r="F3704" s="3" t="s">
        <v>5</v>
      </c>
      <c r="G3704" s="3">
        <v>8.5765689315920199E-2</v>
      </c>
      <c r="I3704" s="3">
        <v>0.37353386212183698</v>
      </c>
    </row>
    <row r="3705" spans="1:16" x14ac:dyDescent="0.3">
      <c r="A3705" s="3" t="str">
        <f t="shared" si="58"/>
        <v>RFL</v>
      </c>
      <c r="C3705" s="3" t="s">
        <v>850</v>
      </c>
      <c r="D3705" s="3" t="s">
        <v>770</v>
      </c>
      <c r="E3705" s="3" t="s">
        <v>1014</v>
      </c>
      <c r="F3705" s="3" t="s">
        <v>6</v>
      </c>
      <c r="I3705" s="3">
        <v>0.26977445597688299</v>
      </c>
    </row>
    <row r="3706" spans="1:16" x14ac:dyDescent="0.3">
      <c r="A3706" s="3" t="str">
        <f t="shared" si="58"/>
        <v>COA</v>
      </c>
      <c r="C3706" s="3" t="s">
        <v>850</v>
      </c>
      <c r="D3706" s="3" t="s">
        <v>770</v>
      </c>
      <c r="E3706" s="3" t="s">
        <v>1018</v>
      </c>
      <c r="F3706" s="3" t="s">
        <v>2</v>
      </c>
      <c r="G3706" s="3">
        <v>2.2789723059793701E-3</v>
      </c>
      <c r="H3706" s="3">
        <v>2.2789723059793701E-3</v>
      </c>
      <c r="I3706" s="3">
        <v>2.2789723059793701E-3</v>
      </c>
      <c r="J3706" s="3">
        <v>2.2789723059793701E-3</v>
      </c>
      <c r="K3706" s="3">
        <v>2.2789723059793701E-3</v>
      </c>
      <c r="L3706" s="3">
        <v>2.2789723059793701E-3</v>
      </c>
      <c r="M3706" s="3">
        <v>2.2789723059793701E-3</v>
      </c>
      <c r="N3706" s="3">
        <v>2.2789723059793701E-3</v>
      </c>
      <c r="O3706" s="3">
        <v>2.2789723059793701E-3</v>
      </c>
      <c r="P3706" s="3">
        <v>2.2789723059793701E-3</v>
      </c>
    </row>
    <row r="3707" spans="1:16" x14ac:dyDescent="0.3">
      <c r="A3707" s="3" t="str">
        <f t="shared" si="58"/>
        <v>ELC</v>
      </c>
      <c r="C3707" s="3" t="s">
        <v>850</v>
      </c>
      <c r="D3707" s="3" t="s">
        <v>770</v>
      </c>
      <c r="E3707" s="3" t="s">
        <v>1156</v>
      </c>
      <c r="F3707" s="3" t="s">
        <v>0</v>
      </c>
      <c r="G3707" s="3">
        <v>2.8484586116552201E-2</v>
      </c>
      <c r="I3707" s="3">
        <v>2.8484586116552201E-2</v>
      </c>
      <c r="O3707" s="3">
        <v>2.8484586116552201E-2</v>
      </c>
    </row>
    <row r="3708" spans="1:16" x14ac:dyDescent="0.3">
      <c r="A3708" s="3" t="str">
        <f t="shared" si="58"/>
        <v>ELC</v>
      </c>
      <c r="C3708" s="3" t="s">
        <v>850</v>
      </c>
      <c r="D3708" s="3" t="s">
        <v>770</v>
      </c>
      <c r="E3708" s="3" t="s">
        <v>1156</v>
      </c>
      <c r="F3708" s="3" t="s">
        <v>1</v>
      </c>
      <c r="G3708" s="3">
        <v>2.5133458338134299E-2</v>
      </c>
      <c r="H3708" s="3">
        <v>2.5133458338134299E-2</v>
      </c>
      <c r="I3708" s="3">
        <v>2.5133458338134299E-2</v>
      </c>
    </row>
    <row r="3709" spans="1:16" x14ac:dyDescent="0.3">
      <c r="A3709" s="3" t="str">
        <f t="shared" si="58"/>
        <v>ELC</v>
      </c>
      <c r="C3709" s="3" t="s">
        <v>850</v>
      </c>
      <c r="D3709" s="3" t="s">
        <v>770</v>
      </c>
      <c r="E3709" s="3" t="s">
        <v>1156</v>
      </c>
      <c r="F3709" s="3" t="s">
        <v>2</v>
      </c>
      <c r="G3709" s="3">
        <v>0.25200480893702598</v>
      </c>
      <c r="I3709" s="3">
        <v>0.25200480893702598</v>
      </c>
    </row>
    <row r="3710" spans="1:16" x14ac:dyDescent="0.3">
      <c r="A3710" s="3" t="str">
        <f t="shared" si="58"/>
        <v>ELC</v>
      </c>
      <c r="C3710" s="3" t="s">
        <v>850</v>
      </c>
      <c r="D3710" s="3" t="s">
        <v>770</v>
      </c>
      <c r="E3710" s="3" t="s">
        <v>1156</v>
      </c>
      <c r="F3710" s="3" t="s">
        <v>3</v>
      </c>
      <c r="G3710" s="3">
        <v>5.7907488011061298E-2</v>
      </c>
      <c r="H3710" s="3">
        <v>5.7907488011061298E-2</v>
      </c>
      <c r="I3710" s="3">
        <v>5.7907488011061298E-2</v>
      </c>
    </row>
    <row r="3711" spans="1:16" x14ac:dyDescent="0.3">
      <c r="A3711" s="3" t="str">
        <f t="shared" si="58"/>
        <v>ELC</v>
      </c>
      <c r="C3711" s="3" t="s">
        <v>850</v>
      </c>
      <c r="D3711" s="3" t="s">
        <v>770</v>
      </c>
      <c r="E3711" s="3" t="s">
        <v>1156</v>
      </c>
      <c r="F3711" s="3" t="s">
        <v>4</v>
      </c>
      <c r="G3711" s="3">
        <v>0.214472177818746</v>
      </c>
      <c r="H3711" s="3">
        <v>0.214472177818746</v>
      </c>
      <c r="I3711" s="3">
        <v>0.214472177818746</v>
      </c>
      <c r="J3711" s="3">
        <v>0.214472177818746</v>
      </c>
      <c r="K3711" s="3">
        <v>0.214472177818746</v>
      </c>
      <c r="L3711" s="3">
        <v>0.214472177818742</v>
      </c>
      <c r="M3711" s="3">
        <v>0.214472177818746</v>
      </c>
      <c r="N3711" s="3">
        <v>0.214472177818749</v>
      </c>
      <c r="O3711" s="3">
        <v>0.214472177818746</v>
      </c>
    </row>
    <row r="3712" spans="1:16" x14ac:dyDescent="0.3">
      <c r="A3712" s="3" t="str">
        <f t="shared" si="58"/>
        <v>ELC</v>
      </c>
      <c r="C3712" s="3" t="s">
        <v>850</v>
      </c>
      <c r="D3712" s="3" t="s">
        <v>770</v>
      </c>
      <c r="E3712" s="3" t="s">
        <v>1156</v>
      </c>
      <c r="F3712" s="3" t="s">
        <v>5</v>
      </c>
      <c r="G3712" s="3">
        <v>0.12453223228185201</v>
      </c>
      <c r="H3712" s="3">
        <v>0.12453223228185201</v>
      </c>
      <c r="I3712" s="3">
        <v>0.12453223228185201</v>
      </c>
      <c r="J3712" s="3">
        <v>0.12453223228185201</v>
      </c>
      <c r="O3712" s="3">
        <v>0.12453223228185201</v>
      </c>
    </row>
    <row r="3713" spans="1:16" x14ac:dyDescent="0.3">
      <c r="A3713" s="3" t="str">
        <f t="shared" si="58"/>
        <v>ELC</v>
      </c>
      <c r="C3713" s="3" t="s">
        <v>850</v>
      </c>
      <c r="D3713" s="3" t="s">
        <v>770</v>
      </c>
      <c r="E3713" s="3" t="s">
        <v>1156</v>
      </c>
      <c r="F3713" s="3" t="s">
        <v>6</v>
      </c>
      <c r="G3713" s="3">
        <v>8.9939945536893301E-2</v>
      </c>
      <c r="I3713" s="3">
        <v>8.9939945536893301E-2</v>
      </c>
      <c r="J3713" s="3">
        <v>8.9939945536893301E-2</v>
      </c>
      <c r="K3713" s="3">
        <v>8.9939945536893301E-2</v>
      </c>
      <c r="L3713" s="3">
        <v>8.9939945536893301E-2</v>
      </c>
      <c r="M3713" s="3">
        <v>8.9939945536893301E-2</v>
      </c>
      <c r="N3713" s="3">
        <v>8.9939945536890803E-2</v>
      </c>
      <c r="O3713" s="3">
        <v>8.9939945536893301E-2</v>
      </c>
      <c r="P3713" s="3">
        <v>8.9939945536893301E-2</v>
      </c>
    </row>
    <row r="3714" spans="1:16" x14ac:dyDescent="0.3">
      <c r="A3714" s="3" t="str">
        <f t="shared" si="58"/>
        <v>ELC</v>
      </c>
      <c r="C3714" s="3" t="s">
        <v>850</v>
      </c>
      <c r="D3714" s="3" t="s">
        <v>770</v>
      </c>
      <c r="E3714" s="3" t="s">
        <v>1156</v>
      </c>
      <c r="F3714" s="3" t="s">
        <v>7</v>
      </c>
      <c r="G3714" s="3">
        <v>3.4315548450999302E-2</v>
      </c>
      <c r="I3714" s="3">
        <v>3.4315548450999302E-2</v>
      </c>
    </row>
    <row r="3715" spans="1:16" x14ac:dyDescent="0.3">
      <c r="A3715" s="3" t="str">
        <f t="shared" si="58"/>
        <v>NGA</v>
      </c>
      <c r="C3715" s="3" t="s">
        <v>850</v>
      </c>
      <c r="D3715" s="3" t="s">
        <v>770</v>
      </c>
      <c r="E3715" s="3" t="s">
        <v>1019</v>
      </c>
      <c r="F3715" s="3" t="s">
        <v>1</v>
      </c>
      <c r="G3715" s="3">
        <v>1.5538295710813901</v>
      </c>
      <c r="I3715" s="3">
        <v>1.5538295710813901</v>
      </c>
    </row>
    <row r="3716" spans="1:16" x14ac:dyDescent="0.3">
      <c r="A3716" s="3" t="str">
        <f t="shared" si="58"/>
        <v>NGA</v>
      </c>
      <c r="C3716" s="3" t="s">
        <v>850</v>
      </c>
      <c r="D3716" s="3" t="s">
        <v>770</v>
      </c>
      <c r="E3716" s="3" t="s">
        <v>1019</v>
      </c>
      <c r="F3716" s="3" t="s">
        <v>2</v>
      </c>
      <c r="I3716" s="3">
        <v>5.8643651257988401</v>
      </c>
    </row>
    <row r="3717" spans="1:16" x14ac:dyDescent="0.3">
      <c r="A3717" s="3" t="str">
        <f t="shared" si="58"/>
        <v>NGA</v>
      </c>
      <c r="C3717" s="3" t="s">
        <v>850</v>
      </c>
      <c r="D3717" s="3" t="s">
        <v>770</v>
      </c>
      <c r="E3717" s="3" t="s">
        <v>1019</v>
      </c>
      <c r="F3717" s="3" t="s">
        <v>3</v>
      </c>
      <c r="G3717" s="3">
        <v>0.532741567227906</v>
      </c>
      <c r="H3717" s="3">
        <v>0.532741567227906</v>
      </c>
      <c r="I3717" s="3">
        <v>0.532741567227906</v>
      </c>
    </row>
    <row r="3718" spans="1:16" x14ac:dyDescent="0.3">
      <c r="A3718" s="3" t="str">
        <f t="shared" si="58"/>
        <v>NGA</v>
      </c>
      <c r="C3718" s="3" t="s">
        <v>850</v>
      </c>
      <c r="D3718" s="3" t="s">
        <v>770</v>
      </c>
      <c r="E3718" s="3" t="s">
        <v>1019</v>
      </c>
      <c r="F3718" s="3" t="s">
        <v>4</v>
      </c>
      <c r="I3718" s="3">
        <v>1.94952530036299</v>
      </c>
    </row>
    <row r="3719" spans="1:16" x14ac:dyDescent="0.3">
      <c r="A3719" s="3" t="str">
        <f t="shared" si="58"/>
        <v>NGA</v>
      </c>
      <c r="C3719" s="3" t="s">
        <v>850</v>
      </c>
      <c r="D3719" s="3" t="s">
        <v>770</v>
      </c>
      <c r="E3719" s="3" t="s">
        <v>1019</v>
      </c>
      <c r="F3719" s="3" t="s">
        <v>5</v>
      </c>
      <c r="G3719" s="3">
        <v>3.9154574968181399</v>
      </c>
      <c r="H3719" s="3">
        <v>1.5236964595590701</v>
      </c>
      <c r="I3719" s="3">
        <v>3.9154574968181399</v>
      </c>
    </row>
    <row r="3720" spans="1:16" x14ac:dyDescent="0.3">
      <c r="A3720" s="3" t="str">
        <f t="shared" si="58"/>
        <v>NGA</v>
      </c>
      <c r="C3720" s="3" t="s">
        <v>850</v>
      </c>
      <c r="D3720" s="3" t="s">
        <v>770</v>
      </c>
      <c r="E3720" s="3" t="s">
        <v>1019</v>
      </c>
      <c r="F3720" s="3" t="s">
        <v>6</v>
      </c>
      <c r="G3720" s="3">
        <v>0.88534538808081598</v>
      </c>
      <c r="H3720" s="3">
        <v>0.26421657883680699</v>
      </c>
      <c r="I3720" s="3">
        <v>2.2660818837882699</v>
      </c>
    </row>
    <row r="3721" spans="1:16" x14ac:dyDescent="0.3">
      <c r="A3721" s="3" t="str">
        <f t="shared" si="58"/>
        <v>NGA</v>
      </c>
      <c r="C3721" s="3" t="s">
        <v>850</v>
      </c>
      <c r="D3721" s="3" t="s">
        <v>770</v>
      </c>
      <c r="E3721" s="3" t="s">
        <v>1019</v>
      </c>
      <c r="F3721" s="3" t="s">
        <v>8</v>
      </c>
      <c r="I3721" s="3">
        <v>3.02002701479993</v>
      </c>
    </row>
    <row r="3722" spans="1:16" x14ac:dyDescent="0.3">
      <c r="A3722" s="3" t="str">
        <f t="shared" si="58"/>
        <v>COA</v>
      </c>
      <c r="C3722" s="3" t="s">
        <v>850</v>
      </c>
      <c r="D3722" s="3" t="s">
        <v>770</v>
      </c>
      <c r="E3722" s="3" t="s">
        <v>1021</v>
      </c>
      <c r="F3722" s="3" t="s">
        <v>1</v>
      </c>
      <c r="G3722" s="3">
        <v>0.171164896039422</v>
      </c>
      <c r="H3722" s="3">
        <v>0.171164896039422</v>
      </c>
      <c r="I3722" s="3">
        <v>0.171164896039422</v>
      </c>
      <c r="J3722" s="3">
        <v>0.171164896039422</v>
      </c>
      <c r="K3722" s="3">
        <v>0.171164896039422</v>
      </c>
      <c r="L3722" s="3">
        <v>0.171164896039422</v>
      </c>
      <c r="M3722" s="3">
        <v>0.171164896039422</v>
      </c>
      <c r="N3722" s="3">
        <v>0.171164896039422</v>
      </c>
      <c r="O3722" s="3">
        <v>0.171164896039422</v>
      </c>
      <c r="P3722" s="3">
        <v>0.171164896039422</v>
      </c>
    </row>
    <row r="3723" spans="1:16" x14ac:dyDescent="0.3">
      <c r="A3723" s="3" t="str">
        <f t="shared" si="58"/>
        <v>COA</v>
      </c>
      <c r="C3723" s="3" t="s">
        <v>850</v>
      </c>
      <c r="D3723" s="3" t="s">
        <v>770</v>
      </c>
      <c r="E3723" s="3" t="s">
        <v>1021</v>
      </c>
      <c r="F3723" s="3" t="s">
        <v>2</v>
      </c>
      <c r="I3723" s="3">
        <v>0.32060412595634402</v>
      </c>
      <c r="J3723" s="3">
        <v>0.32060412595634402</v>
      </c>
      <c r="K3723" s="3">
        <v>0.32060412595634402</v>
      </c>
      <c r="L3723" s="3">
        <v>0.32060412595634402</v>
      </c>
    </row>
    <row r="3724" spans="1:16" x14ac:dyDescent="0.3">
      <c r="A3724" s="3" t="str">
        <f t="shared" si="58"/>
        <v>COA</v>
      </c>
      <c r="C3724" s="3" t="s">
        <v>850</v>
      </c>
      <c r="D3724" s="3" t="s">
        <v>770</v>
      </c>
      <c r="E3724" s="3" t="s">
        <v>1021</v>
      </c>
      <c r="F3724" s="3" t="s">
        <v>4</v>
      </c>
      <c r="J3724" s="3">
        <v>0.191083950234059</v>
      </c>
      <c r="K3724" s="3">
        <v>0.191083950234059</v>
      </c>
      <c r="L3724" s="3">
        <v>0.191083950234059</v>
      </c>
      <c r="M3724" s="3">
        <v>0.191083950234059</v>
      </c>
      <c r="N3724" s="3">
        <v>0.191083950234059</v>
      </c>
      <c r="O3724" s="3">
        <v>0.191083950234059</v>
      </c>
      <c r="P3724" s="3">
        <v>0.191083950234059</v>
      </c>
    </row>
    <row r="3725" spans="1:16" x14ac:dyDescent="0.3">
      <c r="A3725" s="3" t="str">
        <f t="shared" si="58"/>
        <v>COA</v>
      </c>
      <c r="C3725" s="3" t="s">
        <v>850</v>
      </c>
      <c r="D3725" s="3" t="s">
        <v>770</v>
      </c>
      <c r="E3725" s="3" t="s">
        <v>1021</v>
      </c>
      <c r="F3725" s="3" t="s">
        <v>5</v>
      </c>
      <c r="G3725" s="3">
        <v>0.68269084038168204</v>
      </c>
      <c r="J3725" s="3">
        <v>0.68269084038168204</v>
      </c>
      <c r="K3725" s="3">
        <v>0.68269084038168204</v>
      </c>
      <c r="L3725" s="3">
        <v>0.68269084038168204</v>
      </c>
      <c r="M3725" s="3">
        <v>0.68269084038168204</v>
      </c>
      <c r="N3725" s="3">
        <v>0.68269084038168204</v>
      </c>
      <c r="O3725" s="3">
        <v>0.68269084038168204</v>
      </c>
      <c r="P3725" s="3">
        <v>0.68269084038168204</v>
      </c>
    </row>
    <row r="3726" spans="1:16" x14ac:dyDescent="0.3">
      <c r="A3726" s="3" t="str">
        <f t="shared" si="58"/>
        <v>COA</v>
      </c>
      <c r="C3726" s="3" t="s">
        <v>850</v>
      </c>
      <c r="D3726" s="3" t="s">
        <v>770</v>
      </c>
      <c r="E3726" s="3" t="s">
        <v>1023</v>
      </c>
      <c r="F3726" s="3" t="s">
        <v>2</v>
      </c>
      <c r="I3726" s="3">
        <v>1.2322255797689801</v>
      </c>
      <c r="J3726" s="3">
        <v>1.2322255797689801</v>
      </c>
      <c r="K3726" s="3">
        <v>1.2322255797689901</v>
      </c>
      <c r="L3726" s="3">
        <v>1.2322255797689601</v>
      </c>
    </row>
    <row r="3727" spans="1:16" x14ac:dyDescent="0.3">
      <c r="A3727" s="3" t="str">
        <f t="shared" si="58"/>
        <v>COA</v>
      </c>
      <c r="C3727" s="3" t="s">
        <v>850</v>
      </c>
      <c r="D3727" s="3" t="s">
        <v>770</v>
      </c>
      <c r="E3727" s="3" t="s">
        <v>1023</v>
      </c>
      <c r="F3727" s="3" t="s">
        <v>3</v>
      </c>
      <c r="G3727" s="3">
        <v>0.15024635848172299</v>
      </c>
      <c r="H3727" s="3">
        <v>0.15024635848172299</v>
      </c>
      <c r="N3727" s="3">
        <v>4.2066187173981397E-2</v>
      </c>
    </row>
    <row r="3728" spans="1:16" x14ac:dyDescent="0.3">
      <c r="A3728" s="3" t="str">
        <f t="shared" si="58"/>
        <v>COA</v>
      </c>
      <c r="C3728" s="3" t="s">
        <v>850</v>
      </c>
      <c r="D3728" s="3" t="s">
        <v>770</v>
      </c>
      <c r="E3728" s="3" t="s">
        <v>1023</v>
      </c>
      <c r="F3728" s="3" t="s">
        <v>4</v>
      </c>
      <c r="J3728" s="3">
        <v>0.59108548007344597</v>
      </c>
      <c r="K3728" s="3">
        <v>0.59108548007344597</v>
      </c>
      <c r="L3728" s="3">
        <v>0.59108548007344597</v>
      </c>
      <c r="M3728" s="3">
        <v>0.59108548007344597</v>
      </c>
      <c r="N3728" s="3">
        <v>0.59108548007344597</v>
      </c>
      <c r="O3728" s="3">
        <v>0.59108548007344597</v>
      </c>
      <c r="P3728" s="3">
        <v>0.59108548007344597</v>
      </c>
    </row>
    <row r="3729" spans="1:16" x14ac:dyDescent="0.3">
      <c r="A3729" s="3" t="str">
        <f t="shared" si="58"/>
        <v>COA</v>
      </c>
      <c r="C3729" s="3" t="s">
        <v>850</v>
      </c>
      <c r="D3729" s="3" t="s">
        <v>770</v>
      </c>
      <c r="E3729" s="3" t="s">
        <v>1023</v>
      </c>
      <c r="F3729" s="3" t="s">
        <v>5</v>
      </c>
      <c r="G3729" s="3">
        <v>0.24264592778056099</v>
      </c>
      <c r="J3729" s="3">
        <v>0.24264592778056099</v>
      </c>
      <c r="K3729" s="3">
        <v>0.24264592778056099</v>
      </c>
      <c r="L3729" s="3">
        <v>0.24264592778056099</v>
      </c>
      <c r="M3729" s="3">
        <v>0.24264592778056099</v>
      </c>
      <c r="N3729" s="3">
        <v>0.24264592778056099</v>
      </c>
      <c r="O3729" s="3">
        <v>0.24264592778056099</v>
      </c>
      <c r="P3729" s="3">
        <v>0.24264592778056099</v>
      </c>
    </row>
    <row r="3730" spans="1:16" x14ac:dyDescent="0.3">
      <c r="A3730" s="3" t="str">
        <f t="shared" si="58"/>
        <v>COA</v>
      </c>
      <c r="C3730" s="3" t="s">
        <v>850</v>
      </c>
      <c r="D3730" s="3" t="s">
        <v>770</v>
      </c>
      <c r="E3730" s="3" t="s">
        <v>1440</v>
      </c>
      <c r="F3730" s="3" t="s">
        <v>0</v>
      </c>
      <c r="O3730" s="3">
        <v>0.13840855165365101</v>
      </c>
      <c r="P3730" s="3">
        <v>1.253961535035051</v>
      </c>
    </row>
    <row r="3731" spans="1:16" x14ac:dyDescent="0.3">
      <c r="A3731" s="3" t="str">
        <f t="shared" si="58"/>
        <v>COA</v>
      </c>
      <c r="C3731" s="3" t="s">
        <v>850</v>
      </c>
      <c r="D3731" s="3" t="s">
        <v>770</v>
      </c>
      <c r="E3731" s="3" t="s">
        <v>1440</v>
      </c>
      <c r="F3731" s="3" t="s">
        <v>1</v>
      </c>
      <c r="P3731" s="3">
        <v>0.71779944461748602</v>
      </c>
    </row>
    <row r="3732" spans="1:16" x14ac:dyDescent="0.3">
      <c r="A3732" s="3" t="str">
        <f t="shared" si="58"/>
        <v>COA</v>
      </c>
      <c r="C3732" s="3" t="s">
        <v>850</v>
      </c>
      <c r="D3732" s="3" t="s">
        <v>770</v>
      </c>
      <c r="E3732" s="3" t="s">
        <v>1440</v>
      </c>
      <c r="F3732" s="3" t="s">
        <v>4</v>
      </c>
      <c r="O3732" s="3">
        <v>0.80529117647729698</v>
      </c>
      <c r="P3732" s="3">
        <v>3.6363442610814269</v>
      </c>
    </row>
    <row r="3733" spans="1:16" x14ac:dyDescent="0.3">
      <c r="A3733" s="3" t="str">
        <f t="shared" si="58"/>
        <v>COA</v>
      </c>
      <c r="C3733" s="3" t="s">
        <v>850</v>
      </c>
      <c r="D3733" s="3" t="s">
        <v>770</v>
      </c>
      <c r="E3733" s="3" t="s">
        <v>1440</v>
      </c>
      <c r="F3733" s="3" t="s">
        <v>5</v>
      </c>
      <c r="O3733" s="3">
        <v>4.9925443243282103E-2</v>
      </c>
      <c r="P3733" s="3">
        <v>1.3107981401928521</v>
      </c>
    </row>
    <row r="3734" spans="1:16" x14ac:dyDescent="0.3">
      <c r="A3734" s="3" t="str">
        <f t="shared" si="58"/>
        <v>COA</v>
      </c>
      <c r="C3734" s="3" t="s">
        <v>850</v>
      </c>
      <c r="D3734" s="3" t="s">
        <v>770</v>
      </c>
      <c r="E3734" s="3" t="s">
        <v>1440</v>
      </c>
      <c r="F3734" s="3" t="s">
        <v>6</v>
      </c>
      <c r="O3734" s="3">
        <v>9.5501095932775101E-2</v>
      </c>
      <c r="P3734" s="3">
        <v>0.71755317476433311</v>
      </c>
    </row>
    <row r="3735" spans="1:16" x14ac:dyDescent="0.3">
      <c r="A3735" s="3" t="str">
        <f t="shared" si="58"/>
        <v>EXT</v>
      </c>
      <c r="C3735" s="3" t="s">
        <v>850</v>
      </c>
      <c r="D3735" s="3" t="s">
        <v>1157</v>
      </c>
      <c r="E3735" s="3" t="s">
        <v>1158</v>
      </c>
      <c r="F3735" s="3" t="s">
        <v>0</v>
      </c>
      <c r="G3735" s="3">
        <v>14.6556752460074</v>
      </c>
      <c r="H3735" s="3">
        <v>14.6556752460074</v>
      </c>
      <c r="I3735" s="3">
        <v>14.6556752460074</v>
      </c>
      <c r="J3735" s="3">
        <v>14.6556752460074</v>
      </c>
      <c r="K3735" s="3">
        <v>14.6556752460074</v>
      </c>
      <c r="L3735" s="3">
        <v>14.6556752460074</v>
      </c>
      <c r="M3735" s="3">
        <v>14.6556752460074</v>
      </c>
      <c r="N3735" s="3">
        <v>14.6556752460074</v>
      </c>
      <c r="O3735" s="3">
        <v>14.773371429205801</v>
      </c>
      <c r="P3735" s="3">
        <v>15.539992531446099</v>
      </c>
    </row>
    <row r="3736" spans="1:16" x14ac:dyDescent="0.3">
      <c r="A3736" s="3" t="str">
        <f t="shared" si="58"/>
        <v>EXT</v>
      </c>
      <c r="C3736" s="3" t="s">
        <v>850</v>
      </c>
      <c r="D3736" s="3" t="s">
        <v>1157</v>
      </c>
      <c r="E3736" s="3" t="s">
        <v>1158</v>
      </c>
      <c r="F3736" s="3" t="s">
        <v>1</v>
      </c>
      <c r="G3736" s="3">
        <v>11.7017878270652</v>
      </c>
      <c r="H3736" s="3">
        <v>11.7017878270652</v>
      </c>
      <c r="I3736" s="3">
        <v>11.7017878270652</v>
      </c>
      <c r="J3736" s="3">
        <v>11.7017878270652</v>
      </c>
      <c r="K3736" s="3">
        <v>11.7017878270652</v>
      </c>
      <c r="L3736" s="3">
        <v>11.7017878270652</v>
      </c>
      <c r="M3736" s="3">
        <v>11.7017878270652</v>
      </c>
      <c r="N3736" s="3">
        <v>11.7017878270652</v>
      </c>
      <c r="O3736" s="3">
        <v>11.7957620548456</v>
      </c>
      <c r="P3736" s="3">
        <v>12.4078687869875</v>
      </c>
    </row>
    <row r="3737" spans="1:16" x14ac:dyDescent="0.3">
      <c r="A3737" s="3" t="str">
        <f t="shared" si="58"/>
        <v>EXT</v>
      </c>
      <c r="C3737" s="3" t="s">
        <v>850</v>
      </c>
      <c r="D3737" s="3" t="s">
        <v>1157</v>
      </c>
      <c r="E3737" s="3" t="s">
        <v>1158</v>
      </c>
      <c r="F3737" s="3" t="s">
        <v>2</v>
      </c>
      <c r="G3737" s="3">
        <v>26.751531672593</v>
      </c>
      <c r="H3737" s="3">
        <v>26.751531672593</v>
      </c>
      <c r="I3737" s="3">
        <v>26.751531672593</v>
      </c>
      <c r="J3737" s="3">
        <v>26.751531672593</v>
      </c>
      <c r="K3737" s="3">
        <v>26.751531672593</v>
      </c>
      <c r="L3737" s="3">
        <v>26.751531672593</v>
      </c>
      <c r="M3737" s="3">
        <v>26.751531672593</v>
      </c>
      <c r="N3737" s="3">
        <v>26.751531672593</v>
      </c>
      <c r="O3737" s="3">
        <v>26.966366753182999</v>
      </c>
      <c r="P3737" s="3">
        <v>28.365707851645599</v>
      </c>
    </row>
    <row r="3738" spans="1:16" x14ac:dyDescent="0.3">
      <c r="A3738" s="3" t="str">
        <f t="shared" si="58"/>
        <v>EXT</v>
      </c>
      <c r="C3738" s="3" t="s">
        <v>850</v>
      </c>
      <c r="D3738" s="3" t="s">
        <v>1157</v>
      </c>
      <c r="E3738" s="3" t="s">
        <v>1158</v>
      </c>
      <c r="F3738" s="3" t="s">
        <v>3</v>
      </c>
      <c r="G3738" s="3">
        <v>3.9998703892048901</v>
      </c>
      <c r="H3738" s="3">
        <v>4.1728147439244205</v>
      </c>
      <c r="I3738" s="3">
        <v>4.8645921628025413</v>
      </c>
      <c r="J3738" s="3">
        <v>4.8645921628025413</v>
      </c>
      <c r="K3738" s="3">
        <v>4.8645921628025413</v>
      </c>
      <c r="L3738" s="3">
        <v>4.945389577123791</v>
      </c>
      <c r="M3738" s="3">
        <v>5.1425272754253708</v>
      </c>
      <c r="N3738" s="3">
        <v>5.4385861301356906</v>
      </c>
      <c r="O3738" s="3">
        <v>5.7599891155284801</v>
      </c>
      <c r="P3738" s="3">
        <v>6.0588869822611198</v>
      </c>
    </row>
    <row r="3739" spans="1:16" x14ac:dyDescent="0.3">
      <c r="A3739" s="3" t="str">
        <f t="shared" si="58"/>
        <v>EXT</v>
      </c>
      <c r="C3739" s="3" t="s">
        <v>850</v>
      </c>
      <c r="D3739" s="3" t="s">
        <v>1157</v>
      </c>
      <c r="E3739" s="3" t="s">
        <v>1158</v>
      </c>
      <c r="F3739" s="3" t="s">
        <v>4</v>
      </c>
      <c r="G3739" s="3">
        <v>220.48745313708699</v>
      </c>
      <c r="H3739" s="3">
        <v>223.39370840663199</v>
      </c>
      <c r="I3739" s="3">
        <v>235.01872948481198</v>
      </c>
      <c r="J3739" s="3">
        <v>235.01872948481198</v>
      </c>
      <c r="K3739" s="3">
        <v>235.01872948481198</v>
      </c>
      <c r="L3739" s="3">
        <v>238.92222334903298</v>
      </c>
      <c r="M3739" s="3">
        <v>248.44636223629098</v>
      </c>
      <c r="N3739" s="3">
        <v>262.74959127546697</v>
      </c>
      <c r="O3739" s="3">
        <v>278.27724883681998</v>
      </c>
      <c r="P3739" s="3">
        <v>292.71763654750396</v>
      </c>
    </row>
    <row r="3740" spans="1:16" x14ac:dyDescent="0.3">
      <c r="A3740" s="3" t="str">
        <f t="shared" si="58"/>
        <v>EXT</v>
      </c>
      <c r="C3740" s="3" t="s">
        <v>850</v>
      </c>
      <c r="D3740" s="3" t="s">
        <v>1157</v>
      </c>
      <c r="E3740" s="3" t="s">
        <v>1158</v>
      </c>
      <c r="F3740" s="3" t="s">
        <v>5</v>
      </c>
      <c r="G3740" s="3">
        <v>118.588799475123</v>
      </c>
      <c r="H3740" s="3">
        <v>120.45351945248601</v>
      </c>
      <c r="I3740" s="3">
        <v>127.91239936193701</v>
      </c>
      <c r="J3740" s="3">
        <v>127.91239936193701</v>
      </c>
      <c r="K3740" s="3">
        <v>127.91239936193701</v>
      </c>
      <c r="L3740" s="3">
        <v>130.03693329658</v>
      </c>
      <c r="M3740" s="3">
        <v>135.22058593395101</v>
      </c>
      <c r="N3740" s="3">
        <v>143.00532866077501</v>
      </c>
      <c r="O3740" s="3">
        <v>151.45648461543999</v>
      </c>
      <c r="P3740" s="3">
        <v>159.31587796608599</v>
      </c>
    </row>
    <row r="3741" spans="1:16" x14ac:dyDescent="0.3">
      <c r="A3741" s="3" t="str">
        <f t="shared" si="58"/>
        <v>EXT</v>
      </c>
      <c r="C3741" s="3" t="s">
        <v>850</v>
      </c>
      <c r="D3741" s="3" t="s">
        <v>1157</v>
      </c>
      <c r="E3741" s="3" t="s">
        <v>1158</v>
      </c>
      <c r="F3741" s="3" t="s">
        <v>6</v>
      </c>
      <c r="G3741" s="3">
        <v>94.165633018809203</v>
      </c>
      <c r="H3741" s="3">
        <v>95.374042081893606</v>
      </c>
      <c r="I3741" s="3">
        <v>100.20767833423101</v>
      </c>
      <c r="J3741" s="3">
        <v>100.20767833423101</v>
      </c>
      <c r="K3741" s="3">
        <v>100.20767833423101</v>
      </c>
      <c r="L3741" s="3">
        <v>101.87205656648101</v>
      </c>
      <c r="M3741" s="3">
        <v>105.932974809538</v>
      </c>
      <c r="N3741" s="3">
        <v>112.031609492146</v>
      </c>
      <c r="O3741" s="3">
        <v>118.652318052707</v>
      </c>
      <c r="P3741" s="3">
        <v>124.809434678713</v>
      </c>
    </row>
    <row r="3742" spans="1:16" x14ac:dyDescent="0.3">
      <c r="A3742" s="3" t="str">
        <f t="shared" si="58"/>
        <v>EXT</v>
      </c>
      <c r="C3742" s="3" t="s">
        <v>850</v>
      </c>
      <c r="D3742" s="3" t="s">
        <v>1157</v>
      </c>
      <c r="E3742" s="3" t="s">
        <v>1158</v>
      </c>
      <c r="F3742" s="3" t="s">
        <v>7</v>
      </c>
      <c r="G3742" s="3">
        <v>9.4341286208250494</v>
      </c>
      <c r="H3742" s="3">
        <v>9.4341286208250494</v>
      </c>
      <c r="I3742" s="3">
        <v>9.4341286208250494</v>
      </c>
      <c r="J3742" s="3">
        <v>9.4341286208250494</v>
      </c>
      <c r="K3742" s="3">
        <v>9.4341286208250494</v>
      </c>
      <c r="L3742" s="3">
        <v>9.4341286208250494</v>
      </c>
      <c r="M3742" s="3">
        <v>9.4341286208250494</v>
      </c>
      <c r="N3742" s="3">
        <v>9.4341286208250494</v>
      </c>
      <c r="O3742" s="3">
        <v>9.5098918259886496</v>
      </c>
      <c r="P3742" s="3">
        <v>10.003379977204601</v>
      </c>
    </row>
    <row r="3743" spans="1:16" x14ac:dyDescent="0.3">
      <c r="A3743" s="3" t="str">
        <f t="shared" ref="A3743:A3806" si="59">RIGHT(E3743,3)</f>
        <v>EXT</v>
      </c>
      <c r="C3743" s="3" t="s">
        <v>850</v>
      </c>
      <c r="D3743" s="3" t="s">
        <v>1157</v>
      </c>
      <c r="E3743" s="3" t="s">
        <v>1158</v>
      </c>
      <c r="F3743" s="3" t="s">
        <v>8</v>
      </c>
      <c r="G3743" s="3">
        <v>56.943086237754201</v>
      </c>
      <c r="H3743" s="3">
        <v>57.673825672978502</v>
      </c>
      <c r="I3743" s="3">
        <v>60.596783413875499</v>
      </c>
      <c r="J3743" s="3">
        <v>60.596783413875499</v>
      </c>
      <c r="K3743" s="3">
        <v>60.596783413875499</v>
      </c>
      <c r="L3743" s="3">
        <v>61.603252867463802</v>
      </c>
      <c r="M3743" s="3">
        <v>64.058938772242399</v>
      </c>
      <c r="N3743" s="3">
        <v>67.74685621655</v>
      </c>
      <c r="O3743" s="3">
        <v>71.750477988452005</v>
      </c>
      <c r="P3743" s="3">
        <v>75.473760164450894</v>
      </c>
    </row>
    <row r="3744" spans="1:16" x14ac:dyDescent="0.3">
      <c r="A3744" s="3" t="str">
        <f t="shared" si="59"/>
        <v>ELC</v>
      </c>
      <c r="C3744" s="3" t="s">
        <v>850</v>
      </c>
      <c r="D3744" s="3" t="s">
        <v>1159</v>
      </c>
      <c r="E3744" s="3" t="s">
        <v>1160</v>
      </c>
      <c r="F3744" s="3" t="s">
        <v>0</v>
      </c>
      <c r="G3744" s="3">
        <v>4.7796169924396302E-2</v>
      </c>
      <c r="H3744" s="3">
        <v>4.7796169924384256E-2</v>
      </c>
      <c r="I3744" s="3">
        <v>4.7796169924384208E-2</v>
      </c>
      <c r="J3744" s="3">
        <v>4.7796169924384187E-2</v>
      </c>
      <c r="K3744" s="3">
        <v>4.7796169924384277E-2</v>
      </c>
      <c r="L3744" s="3">
        <v>4.7796169924384256E-2</v>
      </c>
      <c r="M3744" s="3">
        <v>4.7796169924384235E-2</v>
      </c>
      <c r="N3744" s="3">
        <v>4.7796169924384242E-2</v>
      </c>
      <c r="O3744" s="3">
        <v>4.818000940480216E-2</v>
      </c>
      <c r="P3744" s="3">
        <v>5.068017073174428E-2</v>
      </c>
    </row>
    <row r="3745" spans="1:16" x14ac:dyDescent="0.3">
      <c r="A3745" s="3" t="str">
        <f t="shared" si="59"/>
        <v>ELC</v>
      </c>
      <c r="C3745" s="3" t="s">
        <v>850</v>
      </c>
      <c r="D3745" s="3" t="s">
        <v>1159</v>
      </c>
      <c r="E3745" s="3" t="s">
        <v>1160</v>
      </c>
      <c r="F3745" s="3" t="s">
        <v>1</v>
      </c>
      <c r="G3745" s="3">
        <v>4.2173091109750899E-2</v>
      </c>
      <c r="H3745" s="3">
        <v>4.217309110975085E-2</v>
      </c>
      <c r="I3745" s="3">
        <v>4.2173091109750885E-2</v>
      </c>
      <c r="J3745" s="3">
        <v>4.217309110975085E-2</v>
      </c>
      <c r="K3745" s="3">
        <v>4.2173091109750836E-2</v>
      </c>
      <c r="L3745" s="3">
        <v>4.2173091109750926E-2</v>
      </c>
      <c r="M3745" s="3">
        <v>4.2173091109751717E-2</v>
      </c>
      <c r="N3745" s="3">
        <v>4.2173091109750878E-2</v>
      </c>
      <c r="O3745" s="3">
        <v>4.251177300423753E-2</v>
      </c>
      <c r="P3745" s="3">
        <v>4.4717797704480755E-2</v>
      </c>
    </row>
    <row r="3746" spans="1:16" x14ac:dyDescent="0.3">
      <c r="A3746" s="3" t="str">
        <f t="shared" si="59"/>
        <v>ELC</v>
      </c>
      <c r="C3746" s="3" t="s">
        <v>850</v>
      </c>
      <c r="D3746" s="3" t="s">
        <v>1159</v>
      </c>
      <c r="E3746" s="3" t="s">
        <v>1160</v>
      </c>
      <c r="F3746" s="3" t="s">
        <v>2</v>
      </c>
      <c r="G3746" s="3">
        <v>0.13591784791942599</v>
      </c>
      <c r="H3746" s="3">
        <v>0.13591784791942474</v>
      </c>
      <c r="I3746" s="3">
        <v>0.13591784791942477</v>
      </c>
      <c r="J3746" s="3">
        <v>0.13591784791942527</v>
      </c>
      <c r="K3746" s="3">
        <v>0.13591784791942524</v>
      </c>
      <c r="L3746" s="3">
        <v>0.13591784791942527</v>
      </c>
      <c r="M3746" s="3">
        <v>0.13591784791942524</v>
      </c>
      <c r="N3746" s="3">
        <v>0.13591784791942529</v>
      </c>
      <c r="O3746" s="3">
        <v>0.1370093712822279</v>
      </c>
      <c r="P3746" s="3">
        <v>0.1441190737447276</v>
      </c>
    </row>
    <row r="3747" spans="1:16" x14ac:dyDescent="0.3">
      <c r="A3747" s="3" t="str">
        <f t="shared" si="59"/>
        <v>ELC</v>
      </c>
      <c r="C3747" s="3" t="s">
        <v>850</v>
      </c>
      <c r="D3747" s="3" t="s">
        <v>1159</v>
      </c>
      <c r="E3747" s="3" t="s">
        <v>1160</v>
      </c>
      <c r="F3747" s="3" t="s">
        <v>3</v>
      </c>
      <c r="G3747" s="3">
        <v>1.8218775359412302E-2</v>
      </c>
      <c r="H3747" s="3">
        <v>1.9006509471201801E-2</v>
      </c>
      <c r="I3747" s="3">
        <v>2.2157445918360087E-2</v>
      </c>
      <c r="J3747" s="3">
        <v>2.2157445918360014E-2</v>
      </c>
      <c r="K3747" s="3">
        <v>2.2157445918360056E-2</v>
      </c>
      <c r="L3747" s="3">
        <v>2.2525465328467126E-2</v>
      </c>
      <c r="M3747" s="3">
        <v>2.3423396283910367E-2</v>
      </c>
      <c r="N3747" s="3">
        <v>2.4771897420769559E-2</v>
      </c>
      <c r="O3747" s="3">
        <v>2.623583705404358E-2</v>
      </c>
      <c r="P3747" s="3">
        <v>2.7597269440479494E-2</v>
      </c>
    </row>
    <row r="3748" spans="1:16" x14ac:dyDescent="0.3">
      <c r="A3748" s="3" t="str">
        <f t="shared" si="59"/>
        <v>ELC</v>
      </c>
      <c r="C3748" s="3" t="s">
        <v>850</v>
      </c>
      <c r="D3748" s="3" t="s">
        <v>1159</v>
      </c>
      <c r="E3748" s="3" t="s">
        <v>1160</v>
      </c>
      <c r="F3748" s="3" t="s">
        <v>4</v>
      </c>
      <c r="G3748" s="3">
        <v>0.23713084948364099</v>
      </c>
      <c r="H3748" s="3">
        <v>0.240256482126572</v>
      </c>
      <c r="I3748" s="3">
        <v>0.25275901269833073</v>
      </c>
      <c r="J3748" s="3">
        <v>0.2527590126983309</v>
      </c>
      <c r="K3748" s="3">
        <v>0.25275901269833001</v>
      </c>
      <c r="L3748" s="3">
        <v>0.25695716004325625</v>
      </c>
      <c r="M3748" s="3">
        <v>0.26720022427572071</v>
      </c>
      <c r="N3748" s="3">
        <v>0.282583126133225</v>
      </c>
      <c r="O3748" s="3">
        <v>0.29928288194983099</v>
      </c>
      <c r="P3748" s="3">
        <v>0.31481329583954376</v>
      </c>
    </row>
    <row r="3749" spans="1:16" x14ac:dyDescent="0.3">
      <c r="A3749" s="3" t="str">
        <f t="shared" si="59"/>
        <v>ELC</v>
      </c>
      <c r="C3749" s="3" t="s">
        <v>850</v>
      </c>
      <c r="D3749" s="3" t="s">
        <v>1159</v>
      </c>
      <c r="E3749" s="3" t="s">
        <v>1160</v>
      </c>
      <c r="F3749" s="3" t="s">
        <v>5</v>
      </c>
      <c r="G3749" s="3">
        <v>0.13606564623579401</v>
      </c>
      <c r="H3749" s="3">
        <v>0.138205176527812</v>
      </c>
      <c r="I3749" s="3">
        <v>0.14676329769580407</v>
      </c>
      <c r="J3749" s="3">
        <v>0.14676329769580396</v>
      </c>
      <c r="K3749" s="3">
        <v>0.14676329769580396</v>
      </c>
      <c r="L3749" s="3">
        <v>0.14920093163801917</v>
      </c>
      <c r="M3749" s="3">
        <v>0.15514851732138565</v>
      </c>
      <c r="N3749" s="3">
        <v>0.16408052485154925</v>
      </c>
      <c r="O3749" s="3">
        <v>0.17377715726119231</v>
      </c>
      <c r="P3749" s="3">
        <v>0.18279481693906949</v>
      </c>
    </row>
    <row r="3750" spans="1:16" x14ac:dyDescent="0.3">
      <c r="A3750" s="3" t="str">
        <f t="shared" si="59"/>
        <v>ELC</v>
      </c>
      <c r="C3750" s="3" t="s">
        <v>850</v>
      </c>
      <c r="D3750" s="3" t="s">
        <v>1159</v>
      </c>
      <c r="E3750" s="3" t="s">
        <v>1160</v>
      </c>
      <c r="F3750" s="3" t="s">
        <v>6</v>
      </c>
      <c r="G3750" s="3">
        <v>9.96046786674573E-2</v>
      </c>
      <c r="H3750" s="3">
        <v>0.10088288593446899</v>
      </c>
      <c r="I3750" s="3">
        <v>0.10599571500252553</v>
      </c>
      <c r="J3750" s="3">
        <v>0.10599571500252541</v>
      </c>
      <c r="K3750" s="3">
        <v>0.10599571500252541</v>
      </c>
      <c r="L3750" s="3">
        <v>0.10775622840523652</v>
      </c>
      <c r="M3750" s="3">
        <v>0.11205170695433482</v>
      </c>
      <c r="N3750" s="3">
        <v>0.11850260128167511</v>
      </c>
      <c r="O3750" s="3">
        <v>0.12550572468863944</v>
      </c>
      <c r="P3750" s="3">
        <v>0.13201847890044383</v>
      </c>
    </row>
    <row r="3751" spans="1:16" x14ac:dyDescent="0.3">
      <c r="A3751" s="3" t="str">
        <f t="shared" si="59"/>
        <v>ELC</v>
      </c>
      <c r="C3751" s="3" t="s">
        <v>850</v>
      </c>
      <c r="D3751" s="3" t="s">
        <v>1159</v>
      </c>
      <c r="E3751" s="3" t="s">
        <v>1160</v>
      </c>
      <c r="F3751" s="3" t="s">
        <v>7</v>
      </c>
      <c r="G3751" s="3">
        <v>2.46772830265055E-2</v>
      </c>
      <c r="H3751" s="3">
        <v>2.4677283026505542E-2</v>
      </c>
      <c r="I3751" s="3">
        <v>2.4677283026505504E-2</v>
      </c>
      <c r="J3751" s="3">
        <v>2.4677283026505483E-2</v>
      </c>
      <c r="K3751" s="3">
        <v>2.4677283026505573E-2</v>
      </c>
      <c r="L3751" s="3">
        <v>2.4677283026505525E-2</v>
      </c>
      <c r="M3751" s="3">
        <v>2.4677283026505514E-2</v>
      </c>
      <c r="N3751" s="3">
        <v>2.4677283026505521E-2</v>
      </c>
      <c r="O3751" s="3">
        <v>2.4875460317907969E-2</v>
      </c>
      <c r="P3751" s="3">
        <v>2.616629991393608E-2</v>
      </c>
    </row>
    <row r="3752" spans="1:16" x14ac:dyDescent="0.3">
      <c r="A3752" s="3" t="str">
        <f t="shared" si="59"/>
        <v>ELC</v>
      </c>
      <c r="C3752" s="3" t="s">
        <v>850</v>
      </c>
      <c r="D3752" s="3" t="s">
        <v>1159</v>
      </c>
      <c r="E3752" s="3" t="s">
        <v>1160</v>
      </c>
      <c r="F3752" s="3" t="s">
        <v>8</v>
      </c>
      <c r="G3752" s="3">
        <v>0.15299915476433401</v>
      </c>
      <c r="H3752" s="3">
        <v>0.15496256285000901</v>
      </c>
      <c r="I3752" s="3">
        <v>0.16281619519269061</v>
      </c>
      <c r="J3752" s="3">
        <v>0.16281619519268992</v>
      </c>
      <c r="K3752" s="3">
        <v>0.16281619519269033</v>
      </c>
      <c r="L3752" s="3">
        <v>0.16552045633955162</v>
      </c>
      <c r="M3752" s="3">
        <v>0.17211858602695701</v>
      </c>
      <c r="N3752" s="3">
        <v>0.1820275721585447</v>
      </c>
      <c r="O3752" s="3">
        <v>0.19278481746378709</v>
      </c>
      <c r="P3752" s="3">
        <v>0.2027888243330046</v>
      </c>
    </row>
    <row r="3753" spans="1:16" x14ac:dyDescent="0.3">
      <c r="A3753" s="3" t="str">
        <f t="shared" si="59"/>
        <v>DST</v>
      </c>
      <c r="C3753" s="3" t="s">
        <v>850</v>
      </c>
      <c r="D3753" s="3" t="s">
        <v>724</v>
      </c>
      <c r="E3753" s="3" t="s">
        <v>1077</v>
      </c>
      <c r="F3753" s="3" t="s">
        <v>4</v>
      </c>
      <c r="G3753" s="3">
        <v>2.6672673288358002E-2</v>
      </c>
    </row>
    <row r="3754" spans="1:16" x14ac:dyDescent="0.3">
      <c r="A3754" s="3" t="str">
        <f t="shared" si="59"/>
        <v>DST</v>
      </c>
      <c r="C3754" s="3" t="s">
        <v>850</v>
      </c>
      <c r="D3754" s="3" t="s">
        <v>724</v>
      </c>
      <c r="E3754" s="3" t="s">
        <v>1077</v>
      </c>
      <c r="F3754" s="3" t="s">
        <v>5</v>
      </c>
      <c r="G3754" s="3">
        <v>1.4373693053402201E-3</v>
      </c>
    </row>
    <row r="3755" spans="1:16" x14ac:dyDescent="0.3">
      <c r="A3755" s="3" t="str">
        <f t="shared" si="59"/>
        <v>DST</v>
      </c>
      <c r="C3755" s="3" t="s">
        <v>850</v>
      </c>
      <c r="D3755" s="3" t="s">
        <v>724</v>
      </c>
      <c r="E3755" s="3" t="s">
        <v>1077</v>
      </c>
      <c r="F3755" s="3" t="s">
        <v>6</v>
      </c>
      <c r="G3755" s="3">
        <v>1.25936556094128E-2</v>
      </c>
    </row>
    <row r="3756" spans="1:16" x14ac:dyDescent="0.3">
      <c r="A3756" s="3" t="str">
        <f t="shared" si="59"/>
        <v>DST</v>
      </c>
      <c r="C3756" s="3" t="s">
        <v>850</v>
      </c>
      <c r="D3756" s="3" t="s">
        <v>724</v>
      </c>
      <c r="E3756" s="3" t="s">
        <v>1077</v>
      </c>
      <c r="F3756" s="3" t="s">
        <v>7</v>
      </c>
      <c r="G3756" s="3">
        <v>0.124341780668316</v>
      </c>
    </row>
    <row r="3757" spans="1:16" x14ac:dyDescent="0.3">
      <c r="A3757" s="3" t="str">
        <f t="shared" si="59"/>
        <v>DST</v>
      </c>
      <c r="C3757" s="3" t="s">
        <v>850</v>
      </c>
      <c r="D3757" s="3" t="s">
        <v>724</v>
      </c>
      <c r="E3757" s="3" t="s">
        <v>1077</v>
      </c>
      <c r="F3757" s="3" t="s">
        <v>8</v>
      </c>
      <c r="G3757" s="3">
        <v>0.54522885534509202</v>
      </c>
    </row>
    <row r="3758" spans="1:16" x14ac:dyDescent="0.3">
      <c r="A3758" s="3" t="str">
        <f t="shared" si="59"/>
        <v>ELC</v>
      </c>
      <c r="C3758" s="3" t="s">
        <v>850</v>
      </c>
      <c r="D3758" s="3" t="s">
        <v>724</v>
      </c>
      <c r="E3758" s="3" t="s">
        <v>1161</v>
      </c>
      <c r="F3758" s="3" t="s">
        <v>0</v>
      </c>
      <c r="G3758" s="3">
        <v>0.14338850977315201</v>
      </c>
    </row>
    <row r="3759" spans="1:16" x14ac:dyDescent="0.3">
      <c r="A3759" s="3" t="str">
        <f t="shared" si="59"/>
        <v>ELC</v>
      </c>
      <c r="C3759" s="3" t="s">
        <v>850</v>
      </c>
      <c r="D3759" s="3" t="s">
        <v>724</v>
      </c>
      <c r="E3759" s="3" t="s">
        <v>1161</v>
      </c>
      <c r="F3759" s="3" t="s">
        <v>1</v>
      </c>
      <c r="G3759" s="3">
        <v>0.126519273329252</v>
      </c>
      <c r="H3759" s="3">
        <v>0.27330337068490901</v>
      </c>
    </row>
    <row r="3760" spans="1:16" x14ac:dyDescent="0.3">
      <c r="A3760" s="3" t="str">
        <f t="shared" si="59"/>
        <v>ELC</v>
      </c>
      <c r="C3760" s="3" t="s">
        <v>850</v>
      </c>
      <c r="D3760" s="3" t="s">
        <v>724</v>
      </c>
      <c r="E3760" s="3" t="s">
        <v>1161</v>
      </c>
      <c r="F3760" s="3" t="s">
        <v>2</v>
      </c>
      <c r="G3760" s="3">
        <v>0.40775354375827499</v>
      </c>
      <c r="H3760" s="3">
        <v>0.84577592951800895</v>
      </c>
    </row>
    <row r="3761" spans="1:16" x14ac:dyDescent="0.3">
      <c r="A3761" s="3" t="str">
        <f t="shared" si="59"/>
        <v>ELC</v>
      </c>
      <c r="C3761" s="3" t="s">
        <v>850</v>
      </c>
      <c r="D3761" s="3" t="s">
        <v>724</v>
      </c>
      <c r="E3761" s="3" t="s">
        <v>1161</v>
      </c>
      <c r="F3761" s="3" t="s">
        <v>3</v>
      </c>
      <c r="G3761" s="3">
        <v>7.80804658260527E-2</v>
      </c>
      <c r="H3761" s="3">
        <v>0.11827179771436901</v>
      </c>
    </row>
    <row r="3762" spans="1:16" x14ac:dyDescent="0.3">
      <c r="A3762" s="3" t="str">
        <f t="shared" si="59"/>
        <v>ELC</v>
      </c>
      <c r="C3762" s="3" t="s">
        <v>850</v>
      </c>
      <c r="D3762" s="3" t="s">
        <v>724</v>
      </c>
      <c r="E3762" s="3" t="s">
        <v>1161</v>
      </c>
      <c r="F3762" s="3" t="s">
        <v>4</v>
      </c>
      <c r="G3762" s="3">
        <v>0.89069568423793499</v>
      </c>
      <c r="H3762" s="3">
        <v>2.0795527903950601</v>
      </c>
      <c r="J3762" s="3">
        <v>2.1877691103351098</v>
      </c>
      <c r="K3762" s="3">
        <v>2.1877691103351098</v>
      </c>
      <c r="L3762" s="3">
        <v>2.2241063985046301</v>
      </c>
      <c r="M3762" s="3">
        <v>2.3127657870808598</v>
      </c>
      <c r="N3762" s="3">
        <v>2.4459133142526399</v>
      </c>
      <c r="O3762" s="3">
        <v>2.59045894107591</v>
      </c>
      <c r="P3762" s="3">
        <v>2.7248832665071498</v>
      </c>
    </row>
    <row r="3763" spans="1:16" x14ac:dyDescent="0.3">
      <c r="A3763" s="3" t="str">
        <f t="shared" si="59"/>
        <v>ELC</v>
      </c>
      <c r="C3763" s="3" t="s">
        <v>850</v>
      </c>
      <c r="D3763" s="3" t="s">
        <v>724</v>
      </c>
      <c r="E3763" s="3" t="s">
        <v>1161</v>
      </c>
      <c r="F3763" s="3" t="s">
        <v>5</v>
      </c>
      <c r="G3763" s="3">
        <v>0.51717813923492995</v>
      </c>
      <c r="H3763" s="3">
        <v>1.1962422738881</v>
      </c>
      <c r="I3763" s="3">
        <v>1.2703175479365301</v>
      </c>
      <c r="J3763" s="3">
        <v>1.2703175479365101</v>
      </c>
      <c r="K3763" s="3">
        <v>1.2703175479365101</v>
      </c>
      <c r="L3763" s="3">
        <v>1.2914166184865601</v>
      </c>
      <c r="M3763" s="3">
        <v>1.34289626346631</v>
      </c>
      <c r="N3763" s="3">
        <v>1.4202077308563701</v>
      </c>
      <c r="O3763" s="3">
        <v>1.5041374496569899</v>
      </c>
      <c r="P3763" s="3">
        <v>1.5821902837783499</v>
      </c>
    </row>
    <row r="3764" spans="1:16" x14ac:dyDescent="0.3">
      <c r="A3764" s="3" t="str">
        <f t="shared" si="59"/>
        <v>ELC</v>
      </c>
      <c r="C3764" s="3" t="s">
        <v>850</v>
      </c>
      <c r="D3764" s="3" t="s">
        <v>724</v>
      </c>
      <c r="E3764" s="3" t="s">
        <v>1161</v>
      </c>
      <c r="F3764" s="3" t="s">
        <v>6</v>
      </c>
      <c r="G3764" s="3">
        <v>0.37351754500300499</v>
      </c>
      <c r="J3764" s="3">
        <v>0.91745156239858305</v>
      </c>
      <c r="K3764" s="3">
        <v>0.91745156239858305</v>
      </c>
      <c r="L3764" s="3">
        <v>0.93268978001806402</v>
      </c>
      <c r="M3764" s="3">
        <v>0.96986952361454803</v>
      </c>
      <c r="N3764" s="3">
        <v>1.0257055833962601</v>
      </c>
      <c r="O3764" s="3">
        <v>1.0863214914189301</v>
      </c>
    </row>
    <row r="3765" spans="1:16" x14ac:dyDescent="0.3">
      <c r="A3765" s="3" t="str">
        <f t="shared" si="59"/>
        <v>ELC</v>
      </c>
      <c r="C3765" s="3" t="s">
        <v>850</v>
      </c>
      <c r="D3765" s="3" t="s">
        <v>724</v>
      </c>
      <c r="E3765" s="3" t="s">
        <v>1161</v>
      </c>
      <c r="F3765" s="3" t="s">
        <v>7</v>
      </c>
      <c r="G3765" s="3">
        <v>7.4031849079516696E-2</v>
      </c>
    </row>
    <row r="3766" spans="1:16" x14ac:dyDescent="0.3">
      <c r="A3766" s="3" t="str">
        <f t="shared" si="59"/>
        <v>ELC</v>
      </c>
      <c r="C3766" s="3" t="s">
        <v>850</v>
      </c>
      <c r="D3766" s="3" t="s">
        <v>724</v>
      </c>
      <c r="E3766" s="3" t="s">
        <v>1161</v>
      </c>
      <c r="F3766" s="3" t="s">
        <v>8</v>
      </c>
      <c r="G3766" s="3">
        <v>0.57374683036625396</v>
      </c>
    </row>
    <row r="3767" spans="1:16" x14ac:dyDescent="0.3">
      <c r="A3767" s="3" t="str">
        <f t="shared" si="59"/>
        <v>NGA</v>
      </c>
      <c r="C3767" s="3" t="s">
        <v>850</v>
      </c>
      <c r="D3767" s="3" t="s">
        <v>724</v>
      </c>
      <c r="E3767" s="3" t="s">
        <v>1078</v>
      </c>
      <c r="F3767" s="3" t="s">
        <v>0</v>
      </c>
      <c r="G3767" s="3">
        <v>0.16635531033640999</v>
      </c>
      <c r="H3767" s="3">
        <v>0.30974382010956297</v>
      </c>
      <c r="I3767" s="3">
        <v>0.30974382010956403</v>
      </c>
      <c r="J3767" s="3">
        <v>0.30974382010956297</v>
      </c>
      <c r="K3767" s="3">
        <v>0.30974382010956403</v>
      </c>
      <c r="L3767" s="3">
        <v>0.30974382010956297</v>
      </c>
      <c r="M3767" s="3">
        <v>0.30974382010956297</v>
      </c>
      <c r="N3767" s="3">
        <v>0.30974382010956297</v>
      </c>
      <c r="O3767" s="3">
        <v>0.31223129781251902</v>
      </c>
      <c r="P3767" s="3">
        <v>0.32843363204813802</v>
      </c>
    </row>
    <row r="3768" spans="1:16" x14ac:dyDescent="0.3">
      <c r="A3768" s="3" t="str">
        <f t="shared" si="59"/>
        <v>NGA</v>
      </c>
      <c r="C3768" s="3" t="s">
        <v>850</v>
      </c>
      <c r="D3768" s="3" t="s">
        <v>724</v>
      </c>
      <c r="E3768" s="3" t="s">
        <v>1078</v>
      </c>
      <c r="F3768" s="3" t="s">
        <v>1</v>
      </c>
      <c r="G3768" s="3">
        <v>0.14678409735565601</v>
      </c>
      <c r="I3768" s="3">
        <v>0.27330337068490801</v>
      </c>
      <c r="J3768" s="3">
        <v>0.27330337068490801</v>
      </c>
      <c r="K3768" s="3">
        <v>0.27330337068490901</v>
      </c>
      <c r="L3768" s="3">
        <v>0.27330337068490901</v>
      </c>
      <c r="M3768" s="3">
        <v>0.27330337068490901</v>
      </c>
      <c r="N3768" s="3">
        <v>0.27330337068490901</v>
      </c>
      <c r="O3768" s="3">
        <v>0.27549820395222302</v>
      </c>
      <c r="P3768" s="3">
        <v>0.28979438121894602</v>
      </c>
    </row>
    <row r="3769" spans="1:16" x14ac:dyDescent="0.3">
      <c r="A3769" s="3" t="str">
        <f t="shared" si="59"/>
        <v>NGA</v>
      </c>
      <c r="C3769" s="3" t="s">
        <v>850</v>
      </c>
      <c r="D3769" s="3" t="s">
        <v>724</v>
      </c>
      <c r="E3769" s="3" t="s">
        <v>1078</v>
      </c>
      <c r="F3769" s="3" t="s">
        <v>2</v>
      </c>
      <c r="G3769" s="3">
        <v>0.43802238575973501</v>
      </c>
      <c r="I3769" s="3">
        <v>0.84577592951800795</v>
      </c>
      <c r="J3769" s="3">
        <v>0.84577592951801595</v>
      </c>
      <c r="K3769" s="3">
        <v>0.84577592951801595</v>
      </c>
      <c r="L3769" s="3">
        <v>0.84577592951801095</v>
      </c>
      <c r="M3769" s="3">
        <v>0.84577592951801195</v>
      </c>
      <c r="N3769" s="3">
        <v>0.84577592951801195</v>
      </c>
      <c r="O3769" s="3">
        <v>0.85256815144395304</v>
      </c>
      <c r="P3769" s="3">
        <v>0.89680969367599905</v>
      </c>
    </row>
    <row r="3770" spans="1:16" x14ac:dyDescent="0.3">
      <c r="A3770" s="3" t="str">
        <f t="shared" si="59"/>
        <v>NGA</v>
      </c>
      <c r="C3770" s="3" t="s">
        <v>850</v>
      </c>
      <c r="D3770" s="3" t="s">
        <v>724</v>
      </c>
      <c r="E3770" s="3" t="s">
        <v>1078</v>
      </c>
      <c r="F3770" s="3" t="s">
        <v>3</v>
      </c>
      <c r="G3770" s="3">
        <v>3.52894991944466E-2</v>
      </c>
      <c r="I3770" s="3">
        <v>0.13787912848984801</v>
      </c>
      <c r="J3770" s="3">
        <v>0.13787912848984801</v>
      </c>
      <c r="K3770" s="3">
        <v>0.13787912848984801</v>
      </c>
      <c r="L3770" s="3">
        <v>0.14016920270326899</v>
      </c>
      <c r="M3770" s="3">
        <v>0.145756757245284</v>
      </c>
      <c r="N3770" s="3">
        <v>0.154148074647244</v>
      </c>
      <c r="O3770" s="3">
        <v>0.163257731127565</v>
      </c>
      <c r="P3770" s="3">
        <v>0.17172951581029799</v>
      </c>
    </row>
    <row r="3771" spans="1:16" x14ac:dyDescent="0.3">
      <c r="A3771" s="3" t="str">
        <f t="shared" si="59"/>
        <v>NGA</v>
      </c>
      <c r="C3771" s="3" t="s">
        <v>850</v>
      </c>
      <c r="D3771" s="3" t="s">
        <v>724</v>
      </c>
      <c r="E3771" s="3" t="s">
        <v>1078</v>
      </c>
      <c r="F3771" s="3" t="s">
        <v>4</v>
      </c>
      <c r="G3771" s="3">
        <v>1.13513035288374</v>
      </c>
      <c r="I3771" s="3">
        <v>2.1877691103351098</v>
      </c>
    </row>
    <row r="3772" spans="1:16" x14ac:dyDescent="0.3">
      <c r="A3772" s="3" t="str">
        <f t="shared" si="59"/>
        <v>NGA</v>
      </c>
      <c r="C3772" s="3" t="s">
        <v>850</v>
      </c>
      <c r="D3772" s="3" t="s">
        <v>724</v>
      </c>
      <c r="E3772" s="3" t="s">
        <v>1078</v>
      </c>
      <c r="F3772" s="3" t="s">
        <v>5</v>
      </c>
      <c r="G3772" s="3">
        <v>0.65910794683571905</v>
      </c>
    </row>
    <row r="3773" spans="1:16" x14ac:dyDescent="0.3">
      <c r="A3773" s="3" t="str">
        <f t="shared" si="59"/>
        <v>NGA</v>
      </c>
      <c r="C3773" s="3" t="s">
        <v>850</v>
      </c>
      <c r="D3773" s="3" t="s">
        <v>724</v>
      </c>
      <c r="E3773" s="3" t="s">
        <v>1078</v>
      </c>
      <c r="F3773" s="3" t="s">
        <v>6</v>
      </c>
      <c r="G3773" s="3">
        <v>0.47602240604801999</v>
      </c>
      <c r="H3773" s="3">
        <v>0.87319719780807004</v>
      </c>
      <c r="I3773" s="3">
        <v>0.91745156239859704</v>
      </c>
      <c r="P3773" s="3">
        <v>1.1426929827288099</v>
      </c>
    </row>
    <row r="3774" spans="1:16" x14ac:dyDescent="0.3">
      <c r="A3774" s="3" t="str">
        <f t="shared" si="59"/>
        <v>NGA</v>
      </c>
      <c r="C3774" s="3" t="s">
        <v>850</v>
      </c>
      <c r="D3774" s="3" t="s">
        <v>724</v>
      </c>
      <c r="E3774" s="3" t="s">
        <v>1078</v>
      </c>
      <c r="F3774" s="3" t="s">
        <v>7</v>
      </c>
      <c r="G3774" s="3">
        <v>7.1574721758186494E-2</v>
      </c>
      <c r="H3774" s="3">
        <v>0.26994835150601498</v>
      </c>
      <c r="I3774" s="3">
        <v>0.26994835150601498</v>
      </c>
      <c r="J3774" s="3">
        <v>0.26994835150601498</v>
      </c>
      <c r="K3774" s="3">
        <v>0.26994835150601498</v>
      </c>
      <c r="L3774" s="3">
        <v>0.26994835150601498</v>
      </c>
      <c r="M3774" s="3">
        <v>0.26994835150601498</v>
      </c>
      <c r="N3774" s="3">
        <v>0.26994835150601498</v>
      </c>
      <c r="O3774" s="3">
        <v>0.27211624142576701</v>
      </c>
      <c r="P3774" s="3">
        <v>0.28623692159271202</v>
      </c>
    </row>
    <row r="3775" spans="1:16" x14ac:dyDescent="0.3">
      <c r="A3775" s="3" t="str">
        <f t="shared" si="59"/>
        <v>NGA</v>
      </c>
      <c r="C3775" s="3" t="s">
        <v>850</v>
      </c>
      <c r="D3775" s="3" t="s">
        <v>724</v>
      </c>
      <c r="E3775" s="3" t="s">
        <v>1078</v>
      </c>
      <c r="F3775" s="3" t="s">
        <v>8</v>
      </c>
      <c r="G3775" s="3">
        <v>0.55470409362594497</v>
      </c>
      <c r="H3775" s="3">
        <v>1.6951577830336999</v>
      </c>
      <c r="I3775" s="3">
        <v>1.78106979781932</v>
      </c>
      <c r="J3775" s="3">
        <v>1.78106979781932</v>
      </c>
      <c r="K3775" s="3">
        <v>1.78106979781931</v>
      </c>
      <c r="L3775" s="3">
        <v>1.8106520998034099</v>
      </c>
      <c r="M3775" s="3">
        <v>1.88282999030394</v>
      </c>
      <c r="N3775" s="3">
        <v>1.9912258160698799</v>
      </c>
      <c r="O3775" s="3">
        <v>2.1089008710496899</v>
      </c>
      <c r="P3775" s="3">
        <v>2.2183361423435199</v>
      </c>
    </row>
    <row r="3776" spans="1:16" x14ac:dyDescent="0.3">
      <c r="A3776" s="3" t="str">
        <f t="shared" si="59"/>
        <v>NGA</v>
      </c>
      <c r="C3776" s="3" t="s">
        <v>850</v>
      </c>
      <c r="D3776" s="3" t="s">
        <v>1162</v>
      </c>
      <c r="E3776" s="3" t="s">
        <v>1163</v>
      </c>
      <c r="F3776" s="3" t="s">
        <v>7</v>
      </c>
      <c r="G3776" s="3">
        <v>0.21025074516467299</v>
      </c>
      <c r="H3776" s="3">
        <v>0.21025074516467299</v>
      </c>
      <c r="I3776" s="3">
        <v>0.21025074516467199</v>
      </c>
      <c r="J3776" s="3">
        <v>0.21025074516467299</v>
      </c>
      <c r="K3776" s="3">
        <v>0.21025074516467199</v>
      </c>
      <c r="L3776" s="3">
        <v>0.21025074516467199</v>
      </c>
      <c r="M3776" s="3">
        <v>0.21025074516467299</v>
      </c>
      <c r="N3776" s="3">
        <v>0.21025074516467299</v>
      </c>
      <c r="O3776" s="3">
        <v>0.211939218046688</v>
      </c>
      <c r="P3776" s="3">
        <v>0.222937186772073</v>
      </c>
    </row>
    <row r="3777" spans="1:16" x14ac:dyDescent="0.3">
      <c r="A3777" s="3" t="str">
        <f t="shared" si="59"/>
        <v>NGA</v>
      </c>
      <c r="C3777" s="3" t="s">
        <v>850</v>
      </c>
      <c r="D3777" s="3" t="s">
        <v>1162</v>
      </c>
      <c r="E3777" s="3" t="s">
        <v>1163</v>
      </c>
      <c r="F3777" s="3" t="s">
        <v>8</v>
      </c>
      <c r="G3777" s="3">
        <v>1.30355462002097</v>
      </c>
      <c r="H3777" s="3">
        <v>1.32028288028493</v>
      </c>
      <c r="I3777" s="3">
        <v>1.3871959213407501</v>
      </c>
      <c r="J3777" s="3">
        <v>1.3871959213407501</v>
      </c>
      <c r="K3777" s="3">
        <v>1.3871959213407501</v>
      </c>
      <c r="L3777" s="3">
        <v>1.4102362585057799</v>
      </c>
      <c r="M3777" s="3">
        <v>1.4664524019920799</v>
      </c>
      <c r="N3777" s="3">
        <v>1.550877081798</v>
      </c>
      <c r="O3777" s="3">
        <v>1.6425289398618399</v>
      </c>
      <c r="P3777" s="3">
        <v>1.7277631974835601</v>
      </c>
    </row>
    <row r="3778" spans="1:16" x14ac:dyDescent="0.3">
      <c r="A3778" s="3" t="str">
        <f t="shared" si="59"/>
        <v>DST</v>
      </c>
      <c r="C3778" s="3" t="s">
        <v>850</v>
      </c>
      <c r="D3778" s="3" t="s">
        <v>1164</v>
      </c>
      <c r="E3778" s="3" t="s">
        <v>1060</v>
      </c>
      <c r="F3778" s="3" t="s">
        <v>5</v>
      </c>
      <c r="G3778" s="3">
        <v>2.15185466567465E-2</v>
      </c>
    </row>
    <row r="3779" spans="1:16" x14ac:dyDescent="0.3">
      <c r="A3779" s="3" t="str">
        <f t="shared" si="59"/>
        <v>RFL</v>
      </c>
      <c r="C3779" s="3" t="s">
        <v>850</v>
      </c>
      <c r="D3779" s="3" t="s">
        <v>1164</v>
      </c>
      <c r="E3779" s="3" t="s">
        <v>1061</v>
      </c>
      <c r="F3779" s="3" t="s">
        <v>0</v>
      </c>
      <c r="G3779" s="3">
        <v>3.5101421867469398</v>
      </c>
      <c r="I3779" s="3">
        <v>3.9904203015842401</v>
      </c>
    </row>
    <row r="3780" spans="1:16" x14ac:dyDescent="0.3">
      <c r="A3780" s="3" t="str">
        <f t="shared" si="59"/>
        <v>RFL</v>
      </c>
      <c r="C3780" s="3" t="s">
        <v>850</v>
      </c>
      <c r="D3780" s="3" t="s">
        <v>1164</v>
      </c>
      <c r="E3780" s="3" t="s">
        <v>1061</v>
      </c>
      <c r="F3780" s="3" t="s">
        <v>1</v>
      </c>
      <c r="G3780" s="3">
        <v>0.21302462210871401</v>
      </c>
      <c r="I3780" s="3">
        <v>0.33724966466254802</v>
      </c>
    </row>
    <row r="3781" spans="1:16" x14ac:dyDescent="0.3">
      <c r="A3781" s="3" t="str">
        <f t="shared" si="59"/>
        <v>COA</v>
      </c>
      <c r="C3781" s="3" t="s">
        <v>850</v>
      </c>
      <c r="D3781" s="3" t="s">
        <v>1164</v>
      </c>
      <c r="E3781" s="3" t="s">
        <v>1064</v>
      </c>
      <c r="F3781" s="3" t="s">
        <v>2</v>
      </c>
      <c r="G3781" s="3">
        <v>8.2653556930487202</v>
      </c>
      <c r="H3781" s="3">
        <v>8.6324015202246205</v>
      </c>
      <c r="I3781" s="3">
        <v>3.77642801125993</v>
      </c>
      <c r="J3781" s="3">
        <v>3.77642801125993</v>
      </c>
      <c r="K3781" s="3">
        <v>3.77642801125993</v>
      </c>
      <c r="L3781" s="3">
        <v>3.77642801125993</v>
      </c>
      <c r="M3781" s="3">
        <v>3.77642801125993</v>
      </c>
      <c r="N3781" s="3">
        <v>3.77642801125993</v>
      </c>
      <c r="O3781" s="3">
        <v>3.77642801125993</v>
      </c>
      <c r="P3781" s="3">
        <v>3.77642801125993</v>
      </c>
    </row>
    <row r="3782" spans="1:16" x14ac:dyDescent="0.3">
      <c r="A3782" s="3" t="str">
        <f t="shared" si="59"/>
        <v>NGA</v>
      </c>
      <c r="C3782" s="3" t="s">
        <v>850</v>
      </c>
      <c r="D3782" s="3" t="s">
        <v>1164</v>
      </c>
      <c r="E3782" s="3" t="s">
        <v>1065</v>
      </c>
      <c r="F3782" s="3" t="s">
        <v>0</v>
      </c>
      <c r="G3782" s="3">
        <v>1.09045343850577</v>
      </c>
    </row>
    <row r="3783" spans="1:16" x14ac:dyDescent="0.3">
      <c r="A3783" s="3" t="str">
        <f t="shared" si="59"/>
        <v>NGA</v>
      </c>
      <c r="C3783" s="3" t="s">
        <v>850</v>
      </c>
      <c r="D3783" s="3" t="s">
        <v>1164</v>
      </c>
      <c r="E3783" s="3" t="s">
        <v>1065</v>
      </c>
      <c r="F3783" s="3" t="s">
        <v>2</v>
      </c>
      <c r="I3783" s="3">
        <v>2.8526958117103098</v>
      </c>
    </row>
    <row r="3784" spans="1:16" x14ac:dyDescent="0.3">
      <c r="A3784" s="3" t="str">
        <f t="shared" si="59"/>
        <v>NGA</v>
      </c>
      <c r="C3784" s="3" t="s">
        <v>850</v>
      </c>
      <c r="D3784" s="3" t="s">
        <v>1164</v>
      </c>
      <c r="E3784" s="3" t="s">
        <v>1065</v>
      </c>
      <c r="F3784" s="3" t="s">
        <v>3</v>
      </c>
      <c r="G3784" s="3">
        <v>0.72145044746429698</v>
      </c>
      <c r="I3784" s="3">
        <v>1.96003103331273</v>
      </c>
    </row>
    <row r="3785" spans="1:16" x14ac:dyDescent="0.3">
      <c r="A3785" s="3" t="str">
        <f t="shared" si="59"/>
        <v>NGA</v>
      </c>
      <c r="C3785" s="3" t="s">
        <v>850</v>
      </c>
      <c r="D3785" s="3" t="s">
        <v>1164</v>
      </c>
      <c r="E3785" s="3" t="s">
        <v>1065</v>
      </c>
      <c r="F3785" s="3" t="s">
        <v>4</v>
      </c>
      <c r="H3785" s="3">
        <v>3.0954250280880098</v>
      </c>
      <c r="I3785" s="3">
        <v>7.8902434480841501</v>
      </c>
    </row>
    <row r="3786" spans="1:16" x14ac:dyDescent="0.3">
      <c r="A3786" s="3" t="str">
        <f t="shared" si="59"/>
        <v>NGA</v>
      </c>
      <c r="C3786" s="3" t="s">
        <v>850</v>
      </c>
      <c r="D3786" s="3" t="s">
        <v>1164</v>
      </c>
      <c r="E3786" s="3" t="s">
        <v>1065</v>
      </c>
      <c r="F3786" s="3" t="s">
        <v>5</v>
      </c>
      <c r="H3786" s="3">
        <v>0.461511002076399</v>
      </c>
      <c r="I3786" s="3">
        <v>2.3075550103819902</v>
      </c>
    </row>
    <row r="3787" spans="1:16" x14ac:dyDescent="0.3">
      <c r="A3787" s="3" t="str">
        <f t="shared" si="59"/>
        <v>NGA</v>
      </c>
      <c r="C3787" s="3" t="s">
        <v>850</v>
      </c>
      <c r="D3787" s="3" t="s">
        <v>1164</v>
      </c>
      <c r="E3787" s="3" t="s">
        <v>1065</v>
      </c>
      <c r="F3787" s="3" t="s">
        <v>6</v>
      </c>
      <c r="G3787" s="3">
        <v>15.9365035925053</v>
      </c>
      <c r="H3787" s="3">
        <v>16.803179314659001</v>
      </c>
      <c r="I3787" s="3">
        <v>19.626954730616902</v>
      </c>
    </row>
    <row r="3788" spans="1:16" x14ac:dyDescent="0.3">
      <c r="A3788" s="3" t="str">
        <f t="shared" si="59"/>
        <v>NGA</v>
      </c>
      <c r="C3788" s="3" t="s">
        <v>850</v>
      </c>
      <c r="D3788" s="3" t="s">
        <v>1164</v>
      </c>
      <c r="E3788" s="3" t="s">
        <v>1065</v>
      </c>
      <c r="F3788" s="3" t="s">
        <v>8</v>
      </c>
      <c r="I3788" s="3">
        <v>2.8030900680207802</v>
      </c>
    </row>
    <row r="3789" spans="1:16" x14ac:dyDescent="0.3">
      <c r="A3789" s="3" t="str">
        <f t="shared" si="59"/>
        <v>RFL</v>
      </c>
      <c r="C3789" s="3" t="s">
        <v>850</v>
      </c>
      <c r="D3789" s="3" t="s">
        <v>1164</v>
      </c>
      <c r="E3789" s="3" t="s">
        <v>1066</v>
      </c>
      <c r="F3789" s="3" t="s">
        <v>0</v>
      </c>
      <c r="G3789" s="3">
        <v>0.95475575236237697</v>
      </c>
    </row>
    <row r="3790" spans="1:16" x14ac:dyDescent="0.3">
      <c r="A3790" s="3" t="str">
        <f t="shared" si="59"/>
        <v>NGA</v>
      </c>
      <c r="C3790" s="3" t="s">
        <v>850</v>
      </c>
      <c r="D3790" s="3" t="s">
        <v>1164</v>
      </c>
      <c r="E3790" s="3" t="s">
        <v>1070</v>
      </c>
      <c r="F3790" s="3" t="s">
        <v>0</v>
      </c>
      <c r="G3790" s="3">
        <v>0.81014982521242596</v>
      </c>
      <c r="I3790" s="3">
        <v>0.27324632968762103</v>
      </c>
    </row>
    <row r="3791" spans="1:16" x14ac:dyDescent="0.3">
      <c r="A3791" s="3" t="str">
        <f t="shared" si="59"/>
        <v>NGA</v>
      </c>
      <c r="C3791" s="3" t="s">
        <v>850</v>
      </c>
      <c r="D3791" s="3" t="s">
        <v>1164</v>
      </c>
      <c r="E3791" s="3" t="s">
        <v>1070</v>
      </c>
      <c r="F3791" s="3" t="s">
        <v>1</v>
      </c>
      <c r="G3791" s="3">
        <v>4.15850022870345</v>
      </c>
    </row>
    <row r="3792" spans="1:16" x14ac:dyDescent="0.3">
      <c r="A3792" s="3" t="str">
        <f t="shared" si="59"/>
        <v>NGA</v>
      </c>
      <c r="C3792" s="3" t="s">
        <v>850</v>
      </c>
      <c r="D3792" s="3" t="s">
        <v>1164</v>
      </c>
      <c r="E3792" s="3" t="s">
        <v>1070</v>
      </c>
      <c r="F3792" s="3" t="s">
        <v>8</v>
      </c>
      <c r="G3792" s="3">
        <v>3.2318431499558602</v>
      </c>
      <c r="I3792" s="3">
        <v>1.850089481388</v>
      </c>
    </row>
    <row r="3793" spans="1:16" x14ac:dyDescent="0.3">
      <c r="A3793" s="3" t="str">
        <f t="shared" si="59"/>
        <v>COA</v>
      </c>
      <c r="C3793" s="3" t="s">
        <v>850</v>
      </c>
      <c r="D3793" s="3" t="s">
        <v>1164</v>
      </c>
      <c r="E3793" s="3" t="s">
        <v>1071</v>
      </c>
      <c r="F3793" s="3" t="s">
        <v>4</v>
      </c>
      <c r="G3793" s="3">
        <v>7.2207328315009001</v>
      </c>
      <c r="J3793" s="3">
        <v>7.9502431301863803</v>
      </c>
      <c r="K3793" s="3">
        <v>7.9502431301863803</v>
      </c>
      <c r="L3793" s="3">
        <v>7.9502431301863803</v>
      </c>
      <c r="M3793" s="3">
        <v>7.9502431301863803</v>
      </c>
      <c r="N3793" s="3">
        <v>7.9502431301863803</v>
      </c>
      <c r="O3793" s="3">
        <v>7.9502431301863803</v>
      </c>
      <c r="P3793" s="3">
        <v>7.9502431301863803</v>
      </c>
    </row>
    <row r="3794" spans="1:16" x14ac:dyDescent="0.3">
      <c r="A3794" s="3" t="str">
        <f t="shared" si="59"/>
        <v>COA</v>
      </c>
      <c r="C3794" s="3" t="s">
        <v>850</v>
      </c>
      <c r="D3794" s="3" t="s">
        <v>1164</v>
      </c>
      <c r="E3794" s="3" t="s">
        <v>1073</v>
      </c>
      <c r="F3794" s="3" t="s">
        <v>4</v>
      </c>
      <c r="G3794" s="3">
        <v>23.5566971332013</v>
      </c>
      <c r="H3794" s="3">
        <v>23.5566971332013</v>
      </c>
      <c r="J3794" s="3">
        <v>23.5566971332013</v>
      </c>
      <c r="K3794" s="3">
        <v>23.5566971332013</v>
      </c>
      <c r="L3794" s="3">
        <v>23.5566971332013</v>
      </c>
      <c r="M3794" s="3">
        <v>23.5566971332013</v>
      </c>
      <c r="N3794" s="3">
        <v>23.5566971332013</v>
      </c>
      <c r="O3794" s="3">
        <v>23.5566971332013</v>
      </c>
      <c r="P3794" s="3">
        <v>23.5566971332013</v>
      </c>
    </row>
    <row r="3795" spans="1:16" x14ac:dyDescent="0.3">
      <c r="A3795" s="3" t="str">
        <f t="shared" si="59"/>
        <v>COA</v>
      </c>
      <c r="C3795" s="3" t="s">
        <v>850</v>
      </c>
      <c r="D3795" s="3" t="s">
        <v>1164</v>
      </c>
      <c r="E3795" s="3" t="s">
        <v>1073</v>
      </c>
      <c r="F3795" s="3" t="s">
        <v>5</v>
      </c>
      <c r="G3795" s="3">
        <v>10.8145997874763</v>
      </c>
      <c r="H3795" s="3">
        <v>9.12732371924562</v>
      </c>
      <c r="J3795" s="3">
        <v>10.8145997874763</v>
      </c>
      <c r="K3795" s="3">
        <v>10.8145997874763</v>
      </c>
      <c r="L3795" s="3">
        <v>10.8145997874763</v>
      </c>
      <c r="M3795" s="3">
        <v>10.8145997874763</v>
      </c>
      <c r="N3795" s="3">
        <v>10.8145997874763</v>
      </c>
      <c r="O3795" s="3">
        <v>10.8145997874763</v>
      </c>
      <c r="P3795" s="3">
        <v>10.8145997874763</v>
      </c>
    </row>
    <row r="3796" spans="1:16" x14ac:dyDescent="0.3">
      <c r="A3796" s="3" t="str">
        <f t="shared" si="59"/>
        <v>COA</v>
      </c>
      <c r="C3796" s="3" t="s">
        <v>850</v>
      </c>
      <c r="D3796" s="3" t="s">
        <v>1164</v>
      </c>
      <c r="E3796" s="3" t="s">
        <v>1075</v>
      </c>
      <c r="F3796" s="3" t="s">
        <v>4</v>
      </c>
      <c r="G3796" s="3">
        <v>3.60711399134648</v>
      </c>
      <c r="J3796" s="3">
        <v>3.60711399134648</v>
      </c>
      <c r="K3796" s="3">
        <v>3.60711399134648</v>
      </c>
      <c r="L3796" s="3">
        <v>3.60711399134648</v>
      </c>
      <c r="M3796" s="3">
        <v>3.60711399134648</v>
      </c>
      <c r="N3796" s="3">
        <v>3.60711399134648</v>
      </c>
      <c r="O3796" s="3">
        <v>3.60711399134648</v>
      </c>
      <c r="P3796" s="3">
        <v>3.60711399134648</v>
      </c>
    </row>
    <row r="3797" spans="1:16" x14ac:dyDescent="0.3">
      <c r="A3797" s="3" t="str">
        <f t="shared" si="59"/>
        <v>COA</v>
      </c>
      <c r="C3797" s="3" t="s">
        <v>850</v>
      </c>
      <c r="D3797" s="3" t="s">
        <v>1164</v>
      </c>
      <c r="E3797" s="3" t="s">
        <v>1075</v>
      </c>
      <c r="F3797" s="3" t="s">
        <v>5</v>
      </c>
      <c r="G3797" s="3">
        <v>1.65464483274588</v>
      </c>
      <c r="J3797" s="3">
        <v>1.65464483274588</v>
      </c>
      <c r="K3797" s="3">
        <v>1.65464483274588</v>
      </c>
      <c r="L3797" s="3">
        <v>1.65464483274588</v>
      </c>
      <c r="M3797" s="3">
        <v>1.65464483274588</v>
      </c>
      <c r="N3797" s="3">
        <v>1.65464483274588</v>
      </c>
      <c r="O3797" s="3">
        <v>1.65464483274588</v>
      </c>
      <c r="P3797" s="3">
        <v>1.65464483274588</v>
      </c>
    </row>
    <row r="3798" spans="1:16" x14ac:dyDescent="0.3">
      <c r="A3798" s="3" t="str">
        <f t="shared" si="59"/>
        <v>NGA</v>
      </c>
      <c r="C3798" s="3" t="s">
        <v>850</v>
      </c>
      <c r="D3798" s="3" t="s">
        <v>1164</v>
      </c>
      <c r="E3798" s="3" t="s">
        <v>1086</v>
      </c>
      <c r="F3798" s="3" t="s">
        <v>8</v>
      </c>
      <c r="G3798" s="3">
        <v>1.9502206300200099E-2</v>
      </c>
      <c r="I3798" s="3">
        <v>4.3884021499923299E-2</v>
      </c>
    </row>
    <row r="3799" spans="1:16" x14ac:dyDescent="0.3">
      <c r="A3799" s="3" t="str">
        <f t="shared" si="59"/>
        <v>NGA</v>
      </c>
      <c r="C3799" s="3" t="s">
        <v>850</v>
      </c>
      <c r="D3799" s="3" t="s">
        <v>1164</v>
      </c>
      <c r="E3799" s="3" t="s">
        <v>1225</v>
      </c>
      <c r="F3799" s="3" t="s">
        <v>4</v>
      </c>
      <c r="I3799" s="3">
        <v>29.740762420895901</v>
      </c>
    </row>
    <row r="3800" spans="1:16" x14ac:dyDescent="0.3">
      <c r="A3800" s="3" t="str">
        <f t="shared" si="59"/>
        <v>NGA</v>
      </c>
      <c r="C3800" s="3" t="s">
        <v>850</v>
      </c>
      <c r="D3800" s="3" t="s">
        <v>1164</v>
      </c>
      <c r="E3800" s="3" t="s">
        <v>1225</v>
      </c>
      <c r="F3800" s="3" t="s">
        <v>5</v>
      </c>
      <c r="I3800" s="3">
        <v>11.2315119900708</v>
      </c>
    </row>
    <row r="3801" spans="1:16" x14ac:dyDescent="0.3">
      <c r="A3801" s="3" t="str">
        <f t="shared" si="59"/>
        <v>NGA</v>
      </c>
      <c r="C3801" s="3" t="s">
        <v>850</v>
      </c>
      <c r="D3801" s="3" t="s">
        <v>1164</v>
      </c>
      <c r="E3801" s="3" t="s">
        <v>1226</v>
      </c>
      <c r="F3801" s="3" t="s">
        <v>0</v>
      </c>
      <c r="M3801" s="3">
        <v>5.7827412188307496E-3</v>
      </c>
      <c r="N3801" s="3">
        <v>4.4850950662836356E-2</v>
      </c>
      <c r="O3801" s="3">
        <v>1.1131467551950063</v>
      </c>
      <c r="P3801" s="3">
        <v>1.2694567476884522</v>
      </c>
    </row>
    <row r="3802" spans="1:16" x14ac:dyDescent="0.3">
      <c r="A3802" s="3" t="str">
        <f t="shared" si="59"/>
        <v>NGA</v>
      </c>
      <c r="C3802" s="3" t="s">
        <v>850</v>
      </c>
      <c r="D3802" s="3" t="s">
        <v>1164</v>
      </c>
      <c r="E3802" s="3" t="s">
        <v>1226</v>
      </c>
      <c r="F3802" s="3" t="s">
        <v>1</v>
      </c>
      <c r="M3802" s="3">
        <v>1.07103606816881</v>
      </c>
      <c r="N3802" s="3">
        <v>1.078526030933586</v>
      </c>
      <c r="O3802" s="3">
        <v>1.0857799070985139</v>
      </c>
      <c r="P3802" s="3">
        <v>1.296728999072974</v>
      </c>
    </row>
    <row r="3803" spans="1:16" x14ac:dyDescent="0.3">
      <c r="A3803" s="3" t="str">
        <f t="shared" si="59"/>
        <v>NGA</v>
      </c>
      <c r="C3803" s="3" t="s">
        <v>850</v>
      </c>
      <c r="D3803" s="3" t="s">
        <v>1164</v>
      </c>
      <c r="E3803" s="3" t="s">
        <v>1226</v>
      </c>
      <c r="F3803" s="3" t="s">
        <v>2</v>
      </c>
      <c r="M3803" s="3">
        <v>4.8559735089646896</v>
      </c>
      <c r="N3803" s="3">
        <v>4.8559735089646896</v>
      </c>
      <c r="O3803" s="3">
        <v>4.8975327085225606</v>
      </c>
      <c r="P3803" s="3">
        <v>5.3768489890120472</v>
      </c>
    </row>
    <row r="3804" spans="1:16" x14ac:dyDescent="0.3">
      <c r="A3804" s="3" t="str">
        <f t="shared" si="59"/>
        <v>NGA</v>
      </c>
      <c r="C3804" s="3" t="s">
        <v>850</v>
      </c>
      <c r="D3804" s="3" t="s">
        <v>1164</v>
      </c>
      <c r="E3804" s="3" t="s">
        <v>1226</v>
      </c>
      <c r="F3804" s="3" t="s">
        <v>3</v>
      </c>
      <c r="M3804" s="3">
        <v>0.76558360814434201</v>
      </c>
      <c r="N3804" s="3">
        <v>0.8160331118630465</v>
      </c>
      <c r="O3804" s="3">
        <v>0.8680582955772197</v>
      </c>
      <c r="P3804" s="3">
        <v>0.99368457820567369</v>
      </c>
    </row>
    <row r="3805" spans="1:16" x14ac:dyDescent="0.3">
      <c r="A3805" s="3" t="str">
        <f t="shared" si="59"/>
        <v>NGA</v>
      </c>
      <c r="C3805" s="3" t="s">
        <v>850</v>
      </c>
      <c r="D3805" s="3" t="s">
        <v>1164</v>
      </c>
      <c r="E3805" s="3" t="s">
        <v>1226</v>
      </c>
      <c r="F3805" s="3" t="s">
        <v>7</v>
      </c>
      <c r="M3805" s="3">
        <v>0.268821596031104</v>
      </c>
      <c r="N3805" s="3">
        <v>0.27006989945461946</v>
      </c>
      <c r="O3805" s="3">
        <v>0.27102182154432486</v>
      </c>
      <c r="P3805" s="3">
        <v>0.37434176546674985</v>
      </c>
    </row>
    <row r="3806" spans="1:16" x14ac:dyDescent="0.3">
      <c r="A3806" s="3" t="str">
        <f t="shared" si="59"/>
        <v>NGA</v>
      </c>
      <c r="C3806" s="3" t="s">
        <v>850</v>
      </c>
      <c r="D3806" s="3" t="s">
        <v>1164</v>
      </c>
      <c r="E3806" s="3" t="s">
        <v>1226</v>
      </c>
      <c r="F3806" s="3" t="s">
        <v>8</v>
      </c>
      <c r="M3806" s="3">
        <v>2.2804124217482902</v>
      </c>
      <c r="N3806" s="3">
        <v>2.2804124217482902</v>
      </c>
      <c r="O3806" s="3">
        <v>2.4444012256641141</v>
      </c>
      <c r="P3806" s="3">
        <v>3.163014848682022</v>
      </c>
    </row>
    <row r="3807" spans="1:16" x14ac:dyDescent="0.3">
      <c r="A3807" s="3" t="str">
        <f t="shared" ref="A3807:A3870" si="60">RIGHT(E3807,3)</f>
        <v>COA</v>
      </c>
      <c r="C3807" s="3" t="s">
        <v>850</v>
      </c>
      <c r="D3807" s="3" t="s">
        <v>1164</v>
      </c>
      <c r="E3807" s="3" t="s">
        <v>1227</v>
      </c>
      <c r="F3807" s="3" t="s">
        <v>0</v>
      </c>
      <c r="H3807" s="3">
        <v>7.14010807901884</v>
      </c>
      <c r="I3807" s="3">
        <v>2.8764414477469802</v>
      </c>
      <c r="J3807" s="3">
        <v>7.14010807901884</v>
      </c>
      <c r="K3807" s="3">
        <v>7.14010807901884</v>
      </c>
      <c r="L3807" s="3">
        <v>7.14010807901884</v>
      </c>
      <c r="M3807" s="3">
        <v>7.1343253378</v>
      </c>
      <c r="N3807" s="3">
        <v>7.0952571283559998</v>
      </c>
      <c r="O3807" s="3">
        <v>6.0843018048606003</v>
      </c>
      <c r="P3807" s="3">
        <v>6.3014824522572104</v>
      </c>
    </row>
    <row r="3808" spans="1:16" x14ac:dyDescent="0.3">
      <c r="A3808" s="3" t="str">
        <f t="shared" si="60"/>
        <v>COA</v>
      </c>
      <c r="C3808" s="3" t="s">
        <v>850</v>
      </c>
      <c r="D3808" s="3" t="s">
        <v>1164</v>
      </c>
      <c r="E3808" s="3" t="s">
        <v>1227</v>
      </c>
      <c r="F3808" s="3" t="s">
        <v>1</v>
      </c>
      <c r="H3808" s="3">
        <v>4.4519383905745</v>
      </c>
      <c r="I3808" s="3">
        <v>4.0342751861496202</v>
      </c>
      <c r="J3808" s="3">
        <v>4.5362845727940098</v>
      </c>
      <c r="K3808" s="3">
        <v>4.5362845727940098</v>
      </c>
      <c r="L3808" s="3">
        <v>4.5362845727940098</v>
      </c>
      <c r="M3808" s="3">
        <v>3.4652485046252002</v>
      </c>
      <c r="N3808" s="3">
        <v>3.4577585418604202</v>
      </c>
      <c r="O3808" s="3">
        <v>3.4869344699288698</v>
      </c>
      <c r="P3808" s="3">
        <v>3.5132730785138402</v>
      </c>
    </row>
    <row r="3809" spans="1:16" x14ac:dyDescent="0.3">
      <c r="A3809" s="3" t="str">
        <f t="shared" si="60"/>
        <v>COA</v>
      </c>
      <c r="C3809" s="3" t="s">
        <v>850</v>
      </c>
      <c r="D3809" s="3" t="s">
        <v>1164</v>
      </c>
      <c r="E3809" s="3" t="s">
        <v>1227</v>
      </c>
      <c r="F3809" s="3" t="s">
        <v>2</v>
      </c>
      <c r="I3809" s="3">
        <v>0.42336516329624602</v>
      </c>
      <c r="J3809" s="3">
        <v>4.8559735089646896</v>
      </c>
      <c r="K3809" s="3">
        <v>4.8559735089646896</v>
      </c>
      <c r="L3809" s="3">
        <v>4.8559735089646896</v>
      </c>
      <c r="O3809" s="3">
        <v>2.77655291709396E-2</v>
      </c>
    </row>
    <row r="3810" spans="1:16" x14ac:dyDescent="0.3">
      <c r="A3810" s="3" t="str">
        <f t="shared" si="60"/>
        <v>COA</v>
      </c>
      <c r="C3810" s="3" t="s">
        <v>850</v>
      </c>
      <c r="D3810" s="3" t="s">
        <v>1164</v>
      </c>
      <c r="E3810" s="3" t="s">
        <v>1227</v>
      </c>
      <c r="F3810" s="3" t="s">
        <v>3</v>
      </c>
      <c r="H3810" s="3">
        <v>1.61883718780643</v>
      </c>
      <c r="J3810" s="3">
        <v>1.96003103331273</v>
      </c>
      <c r="K3810" s="3">
        <v>1.96003103331273</v>
      </c>
      <c r="L3810" s="3">
        <v>1.99258575407474</v>
      </c>
      <c r="M3810" s="3">
        <v>1.3064324442114199</v>
      </c>
      <c r="N3810" s="3">
        <v>1.3752703387984699</v>
      </c>
      <c r="O3810" s="3">
        <v>1.4527441561282599</v>
      </c>
      <c r="P3810" s="3">
        <v>1.4475491604361901</v>
      </c>
    </row>
    <row r="3811" spans="1:16" x14ac:dyDescent="0.3">
      <c r="A3811" s="3" t="str">
        <f t="shared" si="60"/>
        <v>COA</v>
      </c>
      <c r="C3811" s="3" t="s">
        <v>850</v>
      </c>
      <c r="D3811" s="3" t="s">
        <v>1164</v>
      </c>
      <c r="E3811" s="3" t="s">
        <v>1227</v>
      </c>
      <c r="F3811" s="3" t="s">
        <v>4</v>
      </c>
      <c r="H3811" s="3">
        <v>8.2808850987437594</v>
      </c>
      <c r="J3811" s="3">
        <v>3.5516095182476901</v>
      </c>
      <c r="K3811" s="3">
        <v>3.5516095182476901</v>
      </c>
      <c r="L3811" s="3">
        <v>4.8111161437216801</v>
      </c>
      <c r="M3811" s="3">
        <v>5.84158435404016</v>
      </c>
      <c r="N3811" s="3">
        <v>8.2808850987437594</v>
      </c>
      <c r="O3811" s="3">
        <v>8.2808850987437594</v>
      </c>
      <c r="P3811" s="3">
        <v>8.2808850987437594</v>
      </c>
    </row>
    <row r="3812" spans="1:16" x14ac:dyDescent="0.3">
      <c r="A3812" s="3" t="str">
        <f t="shared" si="60"/>
        <v>COA</v>
      </c>
      <c r="C3812" s="3" t="s">
        <v>850</v>
      </c>
      <c r="D3812" s="3" t="s">
        <v>1164</v>
      </c>
      <c r="E3812" s="3" t="s">
        <v>1227</v>
      </c>
      <c r="F3812" s="3" t="s">
        <v>5</v>
      </c>
      <c r="H3812" s="3">
        <v>3.6096343617675299</v>
      </c>
      <c r="J3812" s="3">
        <v>1.56786752972636</v>
      </c>
      <c r="K3812" s="3">
        <v>1.9126529558829799</v>
      </c>
      <c r="L3812" s="3">
        <v>2.1515260408803001</v>
      </c>
      <c r="M3812" s="3">
        <v>2.7343527384691</v>
      </c>
      <c r="N3812" s="3">
        <v>3.6096343617675299</v>
      </c>
      <c r="O3812" s="3">
        <v>3.6096343617675299</v>
      </c>
      <c r="P3812" s="3">
        <v>3.6096343617675299</v>
      </c>
    </row>
    <row r="3813" spans="1:16" x14ac:dyDescent="0.3">
      <c r="A3813" s="3" t="str">
        <f t="shared" si="60"/>
        <v>COA</v>
      </c>
      <c r="C3813" s="3" t="s">
        <v>850</v>
      </c>
      <c r="D3813" s="3" t="s">
        <v>1164</v>
      </c>
      <c r="E3813" s="3" t="s">
        <v>1227</v>
      </c>
      <c r="F3813" s="3" t="s">
        <v>6</v>
      </c>
      <c r="J3813" s="3">
        <v>19.377943033948199</v>
      </c>
      <c r="K3813" s="3">
        <v>19.377943033948199</v>
      </c>
      <c r="L3813" s="3">
        <v>19.9529444827199</v>
      </c>
      <c r="M3813" s="3">
        <v>20.4993155336225</v>
      </c>
      <c r="N3813" s="3">
        <v>21.251036716130301</v>
      </c>
      <c r="O3813" s="3">
        <v>21.251036716130301</v>
      </c>
      <c r="P3813" s="3">
        <v>21.251036716130301</v>
      </c>
    </row>
    <row r="3814" spans="1:16" x14ac:dyDescent="0.3">
      <c r="A3814" s="3" t="str">
        <f t="shared" si="60"/>
        <v>COA</v>
      </c>
      <c r="C3814" s="3" t="s">
        <v>850</v>
      </c>
      <c r="D3814" s="3" t="s">
        <v>1164</v>
      </c>
      <c r="E3814" s="3" t="s">
        <v>1227</v>
      </c>
      <c r="F3814" s="3" t="s">
        <v>7</v>
      </c>
      <c r="H3814" s="3">
        <v>1.58321086308489</v>
      </c>
      <c r="J3814" s="3">
        <v>1.58321086308489</v>
      </c>
      <c r="K3814" s="3">
        <v>1.58321086308489</v>
      </c>
      <c r="L3814" s="3">
        <v>1.58321086308489</v>
      </c>
      <c r="M3814" s="3">
        <v>1.31438926705378</v>
      </c>
      <c r="N3814" s="3">
        <v>1.31314096363027</v>
      </c>
      <c r="O3814" s="3">
        <v>1.3249034250579099</v>
      </c>
      <c r="P3814" s="3">
        <v>1.30439937576767</v>
      </c>
    </row>
    <row r="3815" spans="1:16" x14ac:dyDescent="0.3">
      <c r="A3815" s="3" t="str">
        <f t="shared" si="60"/>
        <v>COA</v>
      </c>
      <c r="C3815" s="3" t="s">
        <v>850</v>
      </c>
      <c r="D3815" s="3" t="s">
        <v>1164</v>
      </c>
      <c r="E3815" s="3" t="s">
        <v>1227</v>
      </c>
      <c r="F3815" s="3" t="s">
        <v>8</v>
      </c>
      <c r="H3815" s="3">
        <v>7.0553042732635296</v>
      </c>
      <c r="J3815" s="3">
        <v>7.4128729970179004</v>
      </c>
      <c r="K3815" s="3">
        <v>7.4128729970179004</v>
      </c>
      <c r="L3815" s="3">
        <v>7.5359955427126302</v>
      </c>
      <c r="M3815" s="3">
        <v>5.5559899529303101</v>
      </c>
      <c r="N3815" s="3">
        <v>6.0071370617037303</v>
      </c>
      <c r="O3815" s="3">
        <v>6.3329158337416098</v>
      </c>
      <c r="P3815" s="3">
        <v>6.0697755270915197</v>
      </c>
    </row>
    <row r="3816" spans="1:16" x14ac:dyDescent="0.3">
      <c r="A3816" s="3" t="str">
        <f t="shared" si="60"/>
        <v>ELC</v>
      </c>
      <c r="C3816" s="3" t="s">
        <v>850</v>
      </c>
      <c r="D3816" s="3" t="s">
        <v>740</v>
      </c>
      <c r="E3816" s="3" t="s">
        <v>1165</v>
      </c>
      <c r="F3816" s="3" t="s">
        <v>0</v>
      </c>
      <c r="G3816" s="3">
        <v>2.3692561431517198</v>
      </c>
      <c r="H3816" s="3">
        <v>2.29028093838</v>
      </c>
      <c r="I3816" s="3">
        <v>1.31926767262231</v>
      </c>
      <c r="J3816" s="3">
        <v>1.35781579715666</v>
      </c>
      <c r="K3816" s="3">
        <v>1.3805631808760901</v>
      </c>
      <c r="L3816" s="3">
        <v>1.4024453277905145</v>
      </c>
      <c r="M3816" s="3">
        <v>1.4301712128465849</v>
      </c>
      <c r="N3816" s="3">
        <v>1.4892540188221002</v>
      </c>
      <c r="O3816" s="3">
        <v>2.5559743357941702</v>
      </c>
      <c r="P3816" s="3">
        <v>2.6886091830254903</v>
      </c>
    </row>
    <row r="3817" spans="1:16" x14ac:dyDescent="0.3">
      <c r="A3817" s="3" t="str">
        <f t="shared" si="60"/>
        <v>ELC</v>
      </c>
      <c r="C3817" s="3" t="s">
        <v>850</v>
      </c>
      <c r="D3817" s="3" t="s">
        <v>740</v>
      </c>
      <c r="E3817" s="3" t="s">
        <v>1165</v>
      </c>
      <c r="F3817" s="3" t="s">
        <v>1</v>
      </c>
      <c r="G3817" s="3">
        <v>2.0905201263103401</v>
      </c>
      <c r="H3817" s="3">
        <v>2.2373042236660159</v>
      </c>
      <c r="I3817" s="3">
        <v>2.1149841425363007</v>
      </c>
      <c r="J3817" s="3">
        <v>2.13944815876224</v>
      </c>
      <c r="K3817" s="3">
        <v>2.1639121749881798</v>
      </c>
      <c r="L3817" s="3">
        <v>2.1883761912141222</v>
      </c>
      <c r="M3817" s="3">
        <v>2.212840207440065</v>
      </c>
      <c r="N3817" s="3">
        <v>2.2373042236660079</v>
      </c>
      <c r="O3817" s="3">
        <v>2.2552714727595653</v>
      </c>
      <c r="P3817" s="3">
        <v>2.3723022203166253</v>
      </c>
    </row>
    <row r="3818" spans="1:16" x14ac:dyDescent="0.3">
      <c r="A3818" s="3" t="str">
        <f t="shared" si="60"/>
        <v>ELC</v>
      </c>
      <c r="C3818" s="3" t="s">
        <v>850</v>
      </c>
      <c r="D3818" s="3" t="s">
        <v>740</v>
      </c>
      <c r="E3818" s="3" t="s">
        <v>1165</v>
      </c>
      <c r="F3818" s="3" t="s">
        <v>2</v>
      </c>
      <c r="G3818" s="3">
        <v>6.7374477213658999</v>
      </c>
      <c r="H3818" s="3">
        <v>7.1754701071256246</v>
      </c>
      <c r="I3818" s="3">
        <v>6.810451452325851</v>
      </c>
      <c r="J3818" s="3">
        <v>6.8834551832858004</v>
      </c>
      <c r="K3818" s="3">
        <v>6.9564589142457498</v>
      </c>
      <c r="L3818" s="3">
        <v>7.0294626452057116</v>
      </c>
      <c r="M3818" s="3">
        <v>7.1024663761656655</v>
      </c>
      <c r="N3818" s="3">
        <v>7.1754701071256202</v>
      </c>
      <c r="O3818" s="3">
        <v>7.2330945720572783</v>
      </c>
      <c r="P3818" s="3">
        <v>7.6084349579678783</v>
      </c>
    </row>
    <row r="3819" spans="1:16" x14ac:dyDescent="0.3">
      <c r="A3819" s="3" t="str">
        <f t="shared" si="60"/>
        <v>ELC</v>
      </c>
      <c r="C3819" s="3" t="s">
        <v>850</v>
      </c>
      <c r="D3819" s="3" t="s">
        <v>740</v>
      </c>
      <c r="E3819" s="3" t="s">
        <v>1165</v>
      </c>
      <c r="F3819" s="3" t="s">
        <v>3</v>
      </c>
      <c r="G3819" s="3">
        <v>0.96181833350832902</v>
      </c>
      <c r="H3819" s="3">
        <v>1.00340494378824</v>
      </c>
      <c r="I3819" s="3">
        <v>1.0998541956908987</v>
      </c>
      <c r="J3819" s="3">
        <v>1.11383363353429</v>
      </c>
      <c r="K3819" s="3">
        <v>1.1278130713776899</v>
      </c>
      <c r="L3819" s="3">
        <v>1.1612212473631973</v>
      </c>
      <c r="M3819" s="3">
        <v>1.2226048843436015</v>
      </c>
      <c r="N3819" s="3">
        <v>1.3077753375324881</v>
      </c>
      <c r="O3819" s="3">
        <v>1.3850606627343753</v>
      </c>
      <c r="P3819" s="3">
        <v>1.4569343536534254</v>
      </c>
    </row>
    <row r="3820" spans="1:16" x14ac:dyDescent="0.3">
      <c r="A3820" s="3" t="str">
        <f t="shared" si="60"/>
        <v>ELC</v>
      </c>
      <c r="C3820" s="3" t="s">
        <v>850</v>
      </c>
      <c r="D3820" s="3" t="s">
        <v>740</v>
      </c>
      <c r="E3820" s="3" t="s">
        <v>1165</v>
      </c>
      <c r="F3820" s="3" t="s">
        <v>4</v>
      </c>
      <c r="G3820" s="3">
        <v>12.6611970546679</v>
      </c>
      <c r="H3820" s="3">
        <v>11.7307922014267</v>
      </c>
      <c r="I3820" s="3">
        <v>12.549694199996996</v>
      </c>
      <c r="J3820" s="3">
        <v>13.495636160733399</v>
      </c>
      <c r="K3820" s="3">
        <v>13.495636160733399</v>
      </c>
      <c r="L3820" s="3">
        <v>13.719789074259321</v>
      </c>
      <c r="M3820" s="3">
        <v>14.266700009606851</v>
      </c>
      <c r="N3820" s="3">
        <v>15.088043804033374</v>
      </c>
      <c r="O3820" s="3">
        <v>15.979698768451959</v>
      </c>
      <c r="P3820" s="3">
        <v>16.808918716115357</v>
      </c>
    </row>
    <row r="3821" spans="1:16" x14ac:dyDescent="0.3">
      <c r="A3821" s="3" t="str">
        <f t="shared" si="60"/>
        <v>ELC</v>
      </c>
      <c r="C3821" s="3" t="s">
        <v>850</v>
      </c>
      <c r="D3821" s="3" t="s">
        <v>740</v>
      </c>
      <c r="E3821" s="3" t="s">
        <v>1165</v>
      </c>
      <c r="F3821" s="3" t="s">
        <v>5</v>
      </c>
      <c r="G3821" s="3">
        <v>7.2649929906366602</v>
      </c>
      <c r="H3821" s="3">
        <v>7.3792295595622504</v>
      </c>
      <c r="I3821" s="3">
        <v>7.28691921290143</v>
      </c>
      <c r="J3821" s="3">
        <v>7.8361758352645303</v>
      </c>
      <c r="K3821" s="3">
        <v>7.8361758352645303</v>
      </c>
      <c r="L3821" s="3">
        <v>7.9663291398925029</v>
      </c>
      <c r="M3821" s="3">
        <v>8.283890328158817</v>
      </c>
      <c r="N3821" s="3">
        <v>8.7607996281483995</v>
      </c>
      <c r="O3821" s="3">
        <v>9.2785347687785897</v>
      </c>
      <c r="P3821" s="3">
        <v>9.760017319034759</v>
      </c>
    </row>
    <row r="3822" spans="1:16" x14ac:dyDescent="0.3">
      <c r="A3822" s="3" t="str">
        <f t="shared" si="60"/>
        <v>ELC</v>
      </c>
      <c r="C3822" s="3" t="s">
        <v>850</v>
      </c>
      <c r="D3822" s="3" t="s">
        <v>740</v>
      </c>
      <c r="E3822" s="3" t="s">
        <v>1165</v>
      </c>
      <c r="F3822" s="3" t="s">
        <v>6</v>
      </c>
      <c r="G3822" s="3">
        <v>5.3182218463847999</v>
      </c>
      <c r="H3822" s="3">
        <v>4.9263145496885299</v>
      </c>
      <c r="I3822" s="3">
        <v>5.2627749870954803</v>
      </c>
      <c r="J3822" s="3">
        <v>5.6594603254688298</v>
      </c>
      <c r="K3822" s="3">
        <v>5.6594603254688298</v>
      </c>
      <c r="L3822" s="3">
        <v>5.7534599343668154</v>
      </c>
      <c r="M3822" s="3">
        <v>5.9828096814480505</v>
      </c>
      <c r="N3822" s="3">
        <v>6.3272441758849691</v>
      </c>
      <c r="O3822" s="3">
        <v>6.701163999673434</v>
      </c>
      <c r="P3822" s="3">
        <v>7.0489013970806544</v>
      </c>
    </row>
    <row r="3823" spans="1:16" x14ac:dyDescent="0.3">
      <c r="A3823" s="3" t="str">
        <f t="shared" si="60"/>
        <v>ELC</v>
      </c>
      <c r="C3823" s="3" t="s">
        <v>850</v>
      </c>
      <c r="D3823" s="3" t="s">
        <v>740</v>
      </c>
      <c r="E3823" s="3" t="s">
        <v>1165</v>
      </c>
      <c r="F3823" s="3" t="s">
        <v>7</v>
      </c>
      <c r="G3823" s="3">
        <v>1.2232529196238799</v>
      </c>
      <c r="H3823" s="3">
        <v>1.2256387436824787</v>
      </c>
      <c r="I3823" s="3">
        <v>1.2351820399169076</v>
      </c>
      <c r="J3823" s="3">
        <v>1.2471111602099401</v>
      </c>
      <c r="K3823" s="3">
        <v>1.2590402805029699</v>
      </c>
      <c r="L3823" s="3">
        <v>1.2709694007960008</v>
      </c>
      <c r="M3823" s="3">
        <v>1.282898521089032</v>
      </c>
      <c r="N3823" s="3">
        <v>1.2948276413820632</v>
      </c>
      <c r="O3823" s="3">
        <v>1.3052260889958662</v>
      </c>
      <c r="P3823" s="3">
        <v>1.3729569971242963</v>
      </c>
    </row>
    <row r="3824" spans="1:16" x14ac:dyDescent="0.3">
      <c r="A3824" s="3" t="str">
        <f t="shared" si="60"/>
        <v>ELC</v>
      </c>
      <c r="C3824" s="3" t="s">
        <v>850</v>
      </c>
      <c r="D3824" s="3" t="s">
        <v>740</v>
      </c>
      <c r="E3824" s="3" t="s">
        <v>1165</v>
      </c>
      <c r="F3824" s="3" t="s">
        <v>8</v>
      </c>
      <c r="G3824" s="3">
        <v>7.4732272829428501</v>
      </c>
      <c r="H3824" s="3">
        <v>7.5947382851021397</v>
      </c>
      <c r="I3824" s="3">
        <v>8.0807822937392775</v>
      </c>
      <c r="J3824" s="3">
        <v>8.1732329760102793</v>
      </c>
      <c r="K3824" s="3">
        <v>8.2656836582812705</v>
      </c>
      <c r="L3824" s="3">
        <v>8.5000280846370746</v>
      </c>
      <c r="M3824" s="3">
        <v>8.9386854660612887</v>
      </c>
      <c r="N3824" s="3">
        <v>9.5510649074047542</v>
      </c>
      <c r="O3824" s="3">
        <v>10.115502189717978</v>
      </c>
      <c r="P3824" s="3">
        <v>10.640416727713337</v>
      </c>
    </row>
    <row r="3825" spans="1:14" x14ac:dyDescent="0.3">
      <c r="A3825" s="3" t="str">
        <f t="shared" si="60"/>
        <v>NGA</v>
      </c>
      <c r="C3825" s="3" t="s">
        <v>850</v>
      </c>
      <c r="D3825" s="3" t="s">
        <v>740</v>
      </c>
      <c r="E3825" s="3" t="s">
        <v>1079</v>
      </c>
      <c r="F3825" s="3" t="s">
        <v>0</v>
      </c>
      <c r="G3825" s="3">
        <v>0.16635531033640999</v>
      </c>
      <c r="H3825" s="3">
        <v>0.24533051510814341</v>
      </c>
      <c r="I3825" s="3">
        <v>1.2163437808658315</v>
      </c>
      <c r="J3825" s="3">
        <v>1.1777956563314778</v>
      </c>
      <c r="K3825" s="3">
        <v>1.1550482726120546</v>
      </c>
      <c r="L3825" s="3">
        <v>1.1331661256976262</v>
      </c>
      <c r="M3825" s="3">
        <v>1.1054402406415578</v>
      </c>
      <c r="N3825" s="3">
        <v>1.0463574346660431</v>
      </c>
    </row>
    <row r="3826" spans="1:14" x14ac:dyDescent="0.3">
      <c r="A3826" s="3" t="str">
        <f t="shared" si="60"/>
        <v>NGA</v>
      </c>
      <c r="C3826" s="3" t="s">
        <v>850</v>
      </c>
      <c r="D3826" s="3" t="s">
        <v>740</v>
      </c>
      <c r="E3826" s="3" t="s">
        <v>1079</v>
      </c>
      <c r="F3826" s="3" t="s">
        <v>1</v>
      </c>
      <c r="G3826" s="3">
        <v>0.14678409735565601</v>
      </c>
      <c r="I3826" s="3">
        <v>0.122320081129713</v>
      </c>
      <c r="J3826" s="3">
        <v>9.7856064903770704E-2</v>
      </c>
      <c r="K3826" s="3">
        <v>7.3392048677828003E-2</v>
      </c>
      <c r="L3826" s="3">
        <v>4.8928032451885303E-2</v>
      </c>
      <c r="M3826" s="3">
        <v>2.44640162259427E-2</v>
      </c>
    </row>
    <row r="3827" spans="1:14" x14ac:dyDescent="0.3">
      <c r="A3827" s="3" t="str">
        <f t="shared" si="60"/>
        <v>NGA</v>
      </c>
      <c r="C3827" s="3" t="s">
        <v>850</v>
      </c>
      <c r="D3827" s="3" t="s">
        <v>740</v>
      </c>
      <c r="E3827" s="3" t="s">
        <v>1079</v>
      </c>
      <c r="F3827" s="3" t="s">
        <v>2</v>
      </c>
      <c r="G3827" s="3">
        <v>0.43802238575973501</v>
      </c>
      <c r="I3827" s="3">
        <v>0.36501865479977902</v>
      </c>
      <c r="J3827" s="3">
        <v>0.29201492383982303</v>
      </c>
      <c r="K3827" s="3">
        <v>0.21901119287986801</v>
      </c>
      <c r="L3827" s="3">
        <v>0.14600746191991201</v>
      </c>
      <c r="M3827" s="3">
        <v>7.3003730959955798E-2</v>
      </c>
    </row>
    <row r="3828" spans="1:14" x14ac:dyDescent="0.3">
      <c r="A3828" s="3" t="str">
        <f t="shared" si="60"/>
        <v>NGA</v>
      </c>
      <c r="C3828" s="3" t="s">
        <v>850</v>
      </c>
      <c r="D3828" s="3" t="s">
        <v>740</v>
      </c>
      <c r="E3828" s="3" t="s">
        <v>1079</v>
      </c>
      <c r="F3828" s="3" t="s">
        <v>3</v>
      </c>
      <c r="I3828" s="3">
        <v>6.9897189216979003E-2</v>
      </c>
      <c r="J3828" s="3">
        <v>5.5917751373583201E-2</v>
      </c>
      <c r="K3828" s="3">
        <v>4.1938313530187399E-2</v>
      </c>
      <c r="L3828" s="3">
        <v>2.79588756867916E-2</v>
      </c>
      <c r="M3828" s="3">
        <v>1.39794378433958E-2</v>
      </c>
    </row>
    <row r="3829" spans="1:14" x14ac:dyDescent="0.3">
      <c r="A3829" s="3" t="str">
        <f t="shared" si="60"/>
        <v>NGA</v>
      </c>
      <c r="C3829" s="3" t="s">
        <v>850</v>
      </c>
      <c r="D3829" s="3" t="s">
        <v>740</v>
      </c>
      <c r="E3829" s="3" t="s">
        <v>1079</v>
      </c>
      <c r="F3829" s="3" t="s">
        <v>4</v>
      </c>
      <c r="H3829" s="3">
        <v>1.0972926744542799</v>
      </c>
      <c r="I3829" s="3">
        <v>0.94594196073644998</v>
      </c>
    </row>
    <row r="3830" spans="1:14" x14ac:dyDescent="0.3">
      <c r="A3830" s="3" t="str">
        <f t="shared" si="60"/>
        <v>NGA</v>
      </c>
      <c r="C3830" s="3" t="s">
        <v>850</v>
      </c>
      <c r="D3830" s="3" t="s">
        <v>740</v>
      </c>
      <c r="E3830" s="3" t="s">
        <v>1079</v>
      </c>
      <c r="F3830" s="3" t="s">
        <v>5</v>
      </c>
      <c r="I3830" s="3">
        <v>0.54925662236309902</v>
      </c>
    </row>
    <row r="3831" spans="1:14" x14ac:dyDescent="0.3">
      <c r="A3831" s="3" t="str">
        <f t="shared" si="60"/>
        <v>NGA</v>
      </c>
      <c r="C3831" s="3" t="s">
        <v>850</v>
      </c>
      <c r="D3831" s="3" t="s">
        <v>740</v>
      </c>
      <c r="E3831" s="3" t="s">
        <v>1079</v>
      </c>
      <c r="F3831" s="3" t="s">
        <v>6</v>
      </c>
      <c r="H3831" s="3">
        <v>0.460154992513086</v>
      </c>
      <c r="I3831" s="3">
        <v>0.39668533837335002</v>
      </c>
    </row>
    <row r="3832" spans="1:14" x14ac:dyDescent="0.3">
      <c r="A3832" s="3" t="str">
        <f t="shared" si="60"/>
        <v>NGA</v>
      </c>
      <c r="C3832" s="3" t="s">
        <v>850</v>
      </c>
      <c r="D3832" s="3" t="s">
        <v>740</v>
      </c>
      <c r="E3832" s="3" t="s">
        <v>1079</v>
      </c>
      <c r="F3832" s="3" t="s">
        <v>7</v>
      </c>
      <c r="G3832" s="3">
        <v>7.1574721758186494E-2</v>
      </c>
      <c r="H3832" s="3">
        <v>6.9188897699580296E-2</v>
      </c>
      <c r="I3832" s="3">
        <v>5.96456014651554E-2</v>
      </c>
      <c r="J3832" s="3">
        <v>4.7716481172124299E-2</v>
      </c>
      <c r="K3832" s="3">
        <v>3.5787360879093198E-2</v>
      </c>
      <c r="L3832" s="3">
        <v>2.3858240586062202E-2</v>
      </c>
      <c r="M3832" s="3">
        <v>1.1929120293031101E-2</v>
      </c>
    </row>
    <row r="3833" spans="1:14" x14ac:dyDescent="0.3">
      <c r="A3833" s="3" t="str">
        <f t="shared" si="60"/>
        <v>NGA</v>
      </c>
      <c r="C3833" s="3" t="s">
        <v>850</v>
      </c>
      <c r="D3833" s="3" t="s">
        <v>740</v>
      </c>
      <c r="E3833" s="3" t="s">
        <v>1079</v>
      </c>
      <c r="F3833" s="3" t="s">
        <v>8</v>
      </c>
      <c r="G3833" s="3">
        <v>0.55470409362594497</v>
      </c>
      <c r="H3833" s="3">
        <v>0.53621395717174702</v>
      </c>
      <c r="I3833" s="3">
        <v>0.46225341135495401</v>
      </c>
      <c r="J3833" s="3">
        <v>0.369802729083963</v>
      </c>
      <c r="K3833" s="3">
        <v>0.27735204681297199</v>
      </c>
      <c r="L3833" s="3">
        <v>0.184901364541982</v>
      </c>
      <c r="M3833" s="3">
        <v>9.2450682270990805E-2</v>
      </c>
    </row>
    <row r="3834" spans="1:14" x14ac:dyDescent="0.3">
      <c r="A3834" s="3" t="str">
        <f t="shared" si="60"/>
        <v>TOM</v>
      </c>
      <c r="C3834" s="3" t="s">
        <v>850</v>
      </c>
      <c r="D3834" s="3" t="s">
        <v>755</v>
      </c>
      <c r="E3834" s="3" t="s">
        <v>1055</v>
      </c>
      <c r="F3834" s="3" t="s">
        <v>2</v>
      </c>
      <c r="G3834" s="3">
        <v>0.75530310359045905</v>
      </c>
      <c r="H3834" s="3">
        <v>0.74019704151864996</v>
      </c>
      <c r="I3834" s="3">
        <v>0.67977279323141304</v>
      </c>
    </row>
    <row r="3835" spans="1:14" x14ac:dyDescent="0.3">
      <c r="A3835" s="3" t="str">
        <f t="shared" si="60"/>
        <v>TOM</v>
      </c>
      <c r="C3835" s="3" t="s">
        <v>850</v>
      </c>
      <c r="D3835" s="3" t="s">
        <v>755</v>
      </c>
      <c r="E3835" s="3" t="s">
        <v>1055</v>
      </c>
      <c r="F3835" s="3" t="s">
        <v>3</v>
      </c>
      <c r="G3835" s="3">
        <v>0.144632509198173</v>
      </c>
      <c r="H3835" s="3">
        <v>0.14173985901420999</v>
      </c>
      <c r="I3835" s="3">
        <v>0.13016925827835599</v>
      </c>
    </row>
    <row r="3836" spans="1:14" x14ac:dyDescent="0.3">
      <c r="A3836" s="3" t="str">
        <f t="shared" si="60"/>
        <v>TOM</v>
      </c>
      <c r="C3836" s="3" t="s">
        <v>850</v>
      </c>
      <c r="D3836" s="3" t="s">
        <v>755</v>
      </c>
      <c r="E3836" s="3" t="s">
        <v>1055</v>
      </c>
      <c r="F3836" s="3" t="s">
        <v>4</v>
      </c>
      <c r="G3836" s="3">
        <v>133.09837841301899</v>
      </c>
      <c r="H3836" s="3">
        <v>130.436410844759</v>
      </c>
      <c r="I3836" s="3">
        <v>43.7081023616986</v>
      </c>
    </row>
    <row r="3837" spans="1:14" x14ac:dyDescent="0.3">
      <c r="A3837" s="3" t="str">
        <f t="shared" si="60"/>
        <v>TOM</v>
      </c>
      <c r="C3837" s="3" t="s">
        <v>850</v>
      </c>
      <c r="D3837" s="3" t="s">
        <v>755</v>
      </c>
      <c r="E3837" s="3" t="s">
        <v>1055</v>
      </c>
      <c r="F3837" s="3" t="s">
        <v>5</v>
      </c>
      <c r="G3837" s="3">
        <v>74.333665151979602</v>
      </c>
      <c r="H3837" s="3">
        <v>72.846991848939993</v>
      </c>
      <c r="I3837" s="3">
        <v>66.900298636781599</v>
      </c>
    </row>
    <row r="3838" spans="1:14" x14ac:dyDescent="0.3">
      <c r="A3838" s="3" t="str">
        <f t="shared" si="60"/>
        <v>TOM</v>
      </c>
      <c r="C3838" s="3" t="s">
        <v>850</v>
      </c>
      <c r="D3838" s="3" t="s">
        <v>755</v>
      </c>
      <c r="E3838" s="3" t="s">
        <v>1055</v>
      </c>
      <c r="F3838" s="3" t="s">
        <v>6</v>
      </c>
      <c r="G3838" s="3">
        <v>31.3819792777063</v>
      </c>
      <c r="H3838" s="3">
        <v>30.7543396921522</v>
      </c>
    </row>
    <row r="3839" spans="1:14" x14ac:dyDescent="0.3">
      <c r="A3839" s="3" t="str">
        <f t="shared" si="60"/>
        <v>TOM</v>
      </c>
      <c r="C3839" s="3" t="s">
        <v>850</v>
      </c>
      <c r="D3839" s="3" t="s">
        <v>755</v>
      </c>
      <c r="E3839" s="3" t="s">
        <v>1055</v>
      </c>
      <c r="F3839" s="3" t="s">
        <v>7</v>
      </c>
      <c r="G3839" s="3">
        <v>0.80945816547260996</v>
      </c>
      <c r="H3839" s="3">
        <v>0.79326900216315799</v>
      </c>
      <c r="I3839" s="3">
        <v>0.728512348925349</v>
      </c>
    </row>
    <row r="3840" spans="1:14" x14ac:dyDescent="0.3">
      <c r="A3840" s="3" t="str">
        <f t="shared" si="60"/>
        <v>TOM</v>
      </c>
      <c r="C3840" s="3" t="s">
        <v>850</v>
      </c>
      <c r="D3840" s="3" t="s">
        <v>755</v>
      </c>
      <c r="E3840" s="3" t="s">
        <v>1055</v>
      </c>
      <c r="F3840" s="3" t="s">
        <v>8</v>
      </c>
      <c r="G3840" s="3">
        <v>29.2336587289786</v>
      </c>
      <c r="H3840" s="3">
        <v>28.648985554399001</v>
      </c>
    </row>
    <row r="3841" spans="1:9" x14ac:dyDescent="0.3">
      <c r="A3841" s="3" t="str">
        <f t="shared" si="60"/>
        <v>TOM</v>
      </c>
      <c r="C3841" s="3" t="s">
        <v>850</v>
      </c>
      <c r="D3841" s="3" t="s">
        <v>755</v>
      </c>
      <c r="E3841" s="3" t="s">
        <v>1057</v>
      </c>
      <c r="F3841" s="3" t="s">
        <v>4</v>
      </c>
      <c r="G3841" s="3">
        <v>3.271264875</v>
      </c>
      <c r="H3841" s="3">
        <v>3.2058395774999999</v>
      </c>
    </row>
    <row r="3842" spans="1:9" x14ac:dyDescent="0.3">
      <c r="A3842" s="3" t="str">
        <f t="shared" si="60"/>
        <v>TOM</v>
      </c>
      <c r="C3842" s="3" t="s">
        <v>850</v>
      </c>
      <c r="D3842" s="3" t="s">
        <v>755</v>
      </c>
      <c r="E3842" s="3" t="s">
        <v>1057</v>
      </c>
      <c r="F3842" s="3" t="s">
        <v>5</v>
      </c>
      <c r="G3842" s="3">
        <v>5.5429700000000004</v>
      </c>
      <c r="H3842" s="3">
        <v>5.4321105999999997</v>
      </c>
      <c r="I3842" s="3">
        <v>4.9886730000000004</v>
      </c>
    </row>
    <row r="3843" spans="1:9" x14ac:dyDescent="0.3">
      <c r="A3843" s="3" t="str">
        <f t="shared" si="60"/>
        <v>TOM</v>
      </c>
      <c r="C3843" s="3" t="s">
        <v>850</v>
      </c>
      <c r="D3843" s="3" t="s">
        <v>755</v>
      </c>
      <c r="E3843" s="3" t="s">
        <v>1057</v>
      </c>
      <c r="F3843" s="3" t="s">
        <v>6</v>
      </c>
      <c r="G3843" s="3">
        <v>4.3965015000000003</v>
      </c>
      <c r="H3843" s="3">
        <v>4.3085714700000004</v>
      </c>
    </row>
    <row r="3844" spans="1:9" x14ac:dyDescent="0.3">
      <c r="A3844" s="3" t="str">
        <f t="shared" si="60"/>
        <v>TOM</v>
      </c>
      <c r="C3844" s="3" t="s">
        <v>850</v>
      </c>
      <c r="D3844" s="3" t="s">
        <v>755</v>
      </c>
      <c r="E3844" s="3" t="s">
        <v>1057</v>
      </c>
      <c r="F3844" s="3" t="s">
        <v>8</v>
      </c>
      <c r="G3844" s="3">
        <v>1.7011875000000001</v>
      </c>
      <c r="H3844" s="3">
        <v>1.6671637500000001</v>
      </c>
    </row>
    <row r="3845" spans="1:9" x14ac:dyDescent="0.3">
      <c r="A3845" s="3" t="str">
        <f t="shared" si="60"/>
        <v>WOD</v>
      </c>
      <c r="C3845" s="3" t="s">
        <v>850</v>
      </c>
      <c r="D3845" s="3" t="s">
        <v>755</v>
      </c>
      <c r="E3845" s="3" t="s">
        <v>1062</v>
      </c>
      <c r="F3845" s="3" t="s">
        <v>2</v>
      </c>
      <c r="G3845" s="3">
        <v>2.1107001720601302</v>
      </c>
    </row>
    <row r="3846" spans="1:9" x14ac:dyDescent="0.3">
      <c r="A3846" s="3" t="str">
        <f t="shared" si="60"/>
        <v>WOD</v>
      </c>
      <c r="C3846" s="3" t="s">
        <v>850</v>
      </c>
      <c r="D3846" s="3" t="s">
        <v>755</v>
      </c>
      <c r="E3846" s="3" t="s">
        <v>1062</v>
      </c>
      <c r="F3846" s="3" t="s">
        <v>4</v>
      </c>
      <c r="G3846" s="3">
        <v>10.8506789275802</v>
      </c>
    </row>
    <row r="3847" spans="1:9" x14ac:dyDescent="0.3">
      <c r="A3847" s="3" t="str">
        <f t="shared" si="60"/>
        <v>WOD</v>
      </c>
      <c r="C3847" s="3" t="s">
        <v>850</v>
      </c>
      <c r="D3847" s="3" t="s">
        <v>755</v>
      </c>
      <c r="E3847" s="3" t="s">
        <v>1069</v>
      </c>
      <c r="F3847" s="3" t="s">
        <v>1</v>
      </c>
      <c r="G3847" s="3">
        <v>1.5951599999999999</v>
      </c>
    </row>
    <row r="3848" spans="1:9" x14ac:dyDescent="0.3">
      <c r="A3848" s="3" t="str">
        <f t="shared" si="60"/>
        <v>WOD</v>
      </c>
      <c r="C3848" s="3" t="s">
        <v>850</v>
      </c>
      <c r="D3848" s="3" t="s">
        <v>755</v>
      </c>
      <c r="E3848" s="3" t="s">
        <v>1069</v>
      </c>
      <c r="F3848" s="3" t="s">
        <v>2</v>
      </c>
      <c r="G3848" s="3">
        <v>2.4899633469498998</v>
      </c>
    </row>
    <row r="3849" spans="1:9" x14ac:dyDescent="0.3">
      <c r="A3849" s="3" t="str">
        <f t="shared" si="60"/>
        <v>WOD</v>
      </c>
      <c r="C3849" s="3" t="s">
        <v>850</v>
      </c>
      <c r="D3849" s="3" t="s">
        <v>755</v>
      </c>
      <c r="E3849" s="3" t="s">
        <v>1069</v>
      </c>
      <c r="F3849" s="3" t="s">
        <v>4</v>
      </c>
      <c r="G3849" s="3">
        <v>6.62266389168395</v>
      </c>
    </row>
    <row r="3850" spans="1:9" x14ac:dyDescent="0.3">
      <c r="A3850" s="3" t="str">
        <f t="shared" si="60"/>
        <v>WOD</v>
      </c>
      <c r="C3850" s="3" t="s">
        <v>850</v>
      </c>
      <c r="D3850" s="3" t="s">
        <v>755</v>
      </c>
      <c r="E3850" s="3" t="s">
        <v>1069</v>
      </c>
      <c r="F3850" s="3" t="s">
        <v>5</v>
      </c>
      <c r="G3850" s="3">
        <v>8.9160115107268805</v>
      </c>
    </row>
    <row r="3851" spans="1:9" x14ac:dyDescent="0.3">
      <c r="A3851" s="3" t="str">
        <f t="shared" si="60"/>
        <v>WOD</v>
      </c>
      <c r="C3851" s="3" t="s">
        <v>850</v>
      </c>
      <c r="D3851" s="3" t="s">
        <v>755</v>
      </c>
      <c r="E3851" s="3" t="s">
        <v>1069</v>
      </c>
      <c r="F3851" s="3" t="s">
        <v>6</v>
      </c>
      <c r="G3851" s="3">
        <v>6.9201063315220797</v>
      </c>
    </row>
    <row r="3852" spans="1:9" x14ac:dyDescent="0.3">
      <c r="A3852" s="3" t="str">
        <f t="shared" si="60"/>
        <v>BIO</v>
      </c>
      <c r="C3852" s="3" t="s">
        <v>850</v>
      </c>
      <c r="D3852" s="3" t="s">
        <v>755</v>
      </c>
      <c r="E3852" s="3" t="s">
        <v>1080</v>
      </c>
      <c r="F3852" s="3" t="s">
        <v>1</v>
      </c>
      <c r="G3852" s="3">
        <v>1.2987027809899001</v>
      </c>
      <c r="H3852" s="3">
        <v>1.2554126882902401</v>
      </c>
    </row>
    <row r="3853" spans="1:9" x14ac:dyDescent="0.3">
      <c r="A3853" s="3" t="str">
        <f t="shared" si="60"/>
        <v>BIO</v>
      </c>
      <c r="C3853" s="3" t="s">
        <v>850</v>
      </c>
      <c r="D3853" s="3" t="s">
        <v>755</v>
      </c>
      <c r="E3853" s="3" t="s">
        <v>1080</v>
      </c>
      <c r="F3853" s="3" t="s">
        <v>7</v>
      </c>
      <c r="G3853" s="3">
        <v>0.84887532256389997</v>
      </c>
      <c r="H3853" s="3">
        <v>0.32711649520476299</v>
      </c>
    </row>
    <row r="3854" spans="1:9" x14ac:dyDescent="0.3">
      <c r="A3854" s="3" t="str">
        <f t="shared" si="60"/>
        <v>ELC</v>
      </c>
      <c r="C3854" s="3" t="s">
        <v>850</v>
      </c>
      <c r="D3854" s="3" t="s">
        <v>755</v>
      </c>
      <c r="E3854" s="3" t="s">
        <v>1166</v>
      </c>
      <c r="F3854" s="3" t="s">
        <v>0</v>
      </c>
      <c r="G3854" s="3">
        <v>4.7796169924394498E-2</v>
      </c>
    </row>
    <row r="3855" spans="1:9" x14ac:dyDescent="0.3">
      <c r="A3855" s="3" t="str">
        <f t="shared" si="60"/>
        <v>ELC</v>
      </c>
      <c r="C3855" s="3" t="s">
        <v>850</v>
      </c>
      <c r="D3855" s="3" t="s">
        <v>755</v>
      </c>
      <c r="E3855" s="3" t="s">
        <v>1166</v>
      </c>
      <c r="F3855" s="3" t="s">
        <v>1</v>
      </c>
      <c r="G3855" s="3">
        <v>4.2173091109750697E-2</v>
      </c>
      <c r="H3855" s="3">
        <v>1.82146247576252</v>
      </c>
    </row>
    <row r="3856" spans="1:9" x14ac:dyDescent="0.3">
      <c r="A3856" s="3" t="str">
        <f t="shared" si="60"/>
        <v>ELC</v>
      </c>
      <c r="C3856" s="3" t="s">
        <v>850</v>
      </c>
      <c r="D3856" s="3" t="s">
        <v>755</v>
      </c>
      <c r="E3856" s="3" t="s">
        <v>1166</v>
      </c>
      <c r="F3856" s="3" t="s">
        <v>2</v>
      </c>
      <c r="G3856" s="3">
        <v>0.13591784791942499</v>
      </c>
      <c r="H3856" s="3">
        <v>5.0587929804447702</v>
      </c>
    </row>
    <row r="3857" spans="1:16" x14ac:dyDescent="0.3">
      <c r="A3857" s="3" t="str">
        <f t="shared" si="60"/>
        <v>ELC</v>
      </c>
      <c r="C3857" s="3" t="s">
        <v>850</v>
      </c>
      <c r="D3857" s="3" t="s">
        <v>755</v>
      </c>
      <c r="E3857" s="3" t="s">
        <v>1166</v>
      </c>
      <c r="F3857" s="3" t="s">
        <v>3</v>
      </c>
      <c r="G3857" s="3">
        <v>2.6026821942017601E-2</v>
      </c>
    </row>
    <row r="3858" spans="1:16" x14ac:dyDescent="0.3">
      <c r="A3858" s="3" t="str">
        <f t="shared" si="60"/>
        <v>ELC</v>
      </c>
      <c r="C3858" s="3" t="s">
        <v>850</v>
      </c>
      <c r="D3858" s="3" t="s">
        <v>755</v>
      </c>
      <c r="E3858" s="3" t="s">
        <v>1166</v>
      </c>
      <c r="F3858" s="3" t="s">
        <v>4</v>
      </c>
      <c r="G3858" s="3">
        <v>0.29689856141264498</v>
      </c>
      <c r="H3858" s="3">
        <v>5.4358007170157103</v>
      </c>
      <c r="J3858" s="3">
        <v>5.4745931563310499</v>
      </c>
      <c r="K3858" s="3">
        <v>7.4300224873713301</v>
      </c>
      <c r="L3858" s="3">
        <v>8.1297434139192006</v>
      </c>
      <c r="M3858" s="3">
        <v>7.9889229586921102</v>
      </c>
      <c r="N3858" s="3">
        <v>8.4398164895937207</v>
      </c>
      <c r="O3858" s="3">
        <v>5.2927424036888597</v>
      </c>
      <c r="P3858" s="3">
        <v>3.50481147239371</v>
      </c>
    </row>
    <row r="3859" spans="1:16" x14ac:dyDescent="0.3">
      <c r="A3859" s="3" t="str">
        <f t="shared" si="60"/>
        <v>ELC</v>
      </c>
      <c r="C3859" s="3" t="s">
        <v>850</v>
      </c>
      <c r="D3859" s="3" t="s">
        <v>755</v>
      </c>
      <c r="E3859" s="3" t="s">
        <v>1166</v>
      </c>
      <c r="F3859" s="3" t="s">
        <v>5</v>
      </c>
      <c r="G3859" s="3">
        <v>0.17239271307831</v>
      </c>
      <c r="H3859" s="3">
        <v>14.2182977542919</v>
      </c>
      <c r="I3859" s="3">
        <v>24.244354772905901</v>
      </c>
      <c r="J3859" s="3">
        <v>3.91339658478008</v>
      </c>
      <c r="K3859" s="3">
        <v>4.6594245100081197</v>
      </c>
      <c r="L3859" s="3">
        <v>4.82865630332791</v>
      </c>
      <c r="M3859" s="3">
        <v>4.7644428862360098</v>
      </c>
      <c r="N3859" s="3">
        <v>4.7342525805994198</v>
      </c>
      <c r="O3859" s="3">
        <v>3.8633403578641601</v>
      </c>
      <c r="P3859" s="3">
        <v>2.92801552738652</v>
      </c>
    </row>
    <row r="3860" spans="1:16" x14ac:dyDescent="0.3">
      <c r="A3860" s="3" t="str">
        <f t="shared" si="60"/>
        <v>ELC</v>
      </c>
      <c r="C3860" s="3" t="s">
        <v>850</v>
      </c>
      <c r="D3860" s="3" t="s">
        <v>755</v>
      </c>
      <c r="E3860" s="3" t="s">
        <v>1166</v>
      </c>
      <c r="F3860" s="3" t="s">
        <v>6</v>
      </c>
      <c r="G3860" s="3">
        <v>0.12450584833433501</v>
      </c>
      <c r="J3860" s="3">
        <v>2.8292393318401601</v>
      </c>
      <c r="K3860" s="3">
        <v>3.0739379523235701</v>
      </c>
      <c r="L3860" s="3">
        <v>3.5630762674012</v>
      </c>
      <c r="M3860" s="3">
        <v>3.3072169177764899</v>
      </c>
      <c r="N3860" s="3">
        <v>2.7375293239820002</v>
      </c>
      <c r="O3860" s="3">
        <v>0.902578766612112</v>
      </c>
    </row>
    <row r="3861" spans="1:16" x14ac:dyDescent="0.3">
      <c r="A3861" s="3" t="str">
        <f t="shared" si="60"/>
        <v>ELC</v>
      </c>
      <c r="C3861" s="3" t="s">
        <v>850</v>
      </c>
      <c r="D3861" s="3" t="s">
        <v>755</v>
      </c>
      <c r="E3861" s="3" t="s">
        <v>1166</v>
      </c>
      <c r="F3861" s="3" t="s">
        <v>7</v>
      </c>
      <c r="G3861" s="3">
        <v>2.46772830265055E-2</v>
      </c>
    </row>
    <row r="3862" spans="1:16" x14ac:dyDescent="0.3">
      <c r="A3862" s="3" t="str">
        <f t="shared" si="60"/>
        <v>NGA</v>
      </c>
      <c r="C3862" s="3" t="s">
        <v>850</v>
      </c>
      <c r="D3862" s="3" t="s">
        <v>755</v>
      </c>
      <c r="E3862" s="3" t="s">
        <v>1081</v>
      </c>
      <c r="F3862" s="3" t="s">
        <v>0</v>
      </c>
      <c r="G3862" s="3">
        <v>8.3177655168204995E-2</v>
      </c>
    </row>
    <row r="3863" spans="1:16" x14ac:dyDescent="0.3">
      <c r="A3863" s="3" t="str">
        <f t="shared" si="60"/>
        <v>NGA</v>
      </c>
      <c r="C3863" s="3" t="s">
        <v>850</v>
      </c>
      <c r="D3863" s="3" t="s">
        <v>755</v>
      </c>
      <c r="E3863" s="3" t="s">
        <v>1081</v>
      </c>
      <c r="F3863" s="3" t="s">
        <v>1</v>
      </c>
      <c r="G3863" s="3">
        <v>7.3392048677828003E-2</v>
      </c>
      <c r="I3863" s="3">
        <v>3.0768751640527499</v>
      </c>
    </row>
    <row r="3864" spans="1:16" x14ac:dyDescent="0.3">
      <c r="A3864" s="3" t="str">
        <f t="shared" si="60"/>
        <v>NGA</v>
      </c>
      <c r="C3864" s="3" t="s">
        <v>850</v>
      </c>
      <c r="D3864" s="3" t="s">
        <v>755</v>
      </c>
      <c r="E3864" s="3" t="s">
        <v>1081</v>
      </c>
      <c r="F3864" s="3" t="s">
        <v>2</v>
      </c>
      <c r="G3864" s="3">
        <v>0.21901119287986801</v>
      </c>
      <c r="I3864" s="3">
        <v>5.1192172287320101</v>
      </c>
      <c r="J3864" s="3">
        <v>0.21332952457500801</v>
      </c>
      <c r="K3864" s="3">
        <v>0.21332952457500801</v>
      </c>
      <c r="L3864" s="3">
        <v>0.21332952457500601</v>
      </c>
      <c r="M3864" s="3">
        <v>0.21332952457500801</v>
      </c>
      <c r="N3864" s="3">
        <v>0.10248607253134299</v>
      </c>
      <c r="O3864" s="3">
        <v>0.14905635882210799</v>
      </c>
    </row>
    <row r="3865" spans="1:16" x14ac:dyDescent="0.3">
      <c r="A3865" s="3" t="str">
        <f t="shared" si="60"/>
        <v>NGA</v>
      </c>
      <c r="C3865" s="3" t="s">
        <v>850</v>
      </c>
      <c r="D3865" s="3" t="s">
        <v>755</v>
      </c>
      <c r="E3865" s="3" t="s">
        <v>1081</v>
      </c>
      <c r="F3865" s="3" t="s">
        <v>3</v>
      </c>
      <c r="G3865" s="3">
        <v>4.1938313530187399E-2</v>
      </c>
      <c r="I3865" s="3">
        <v>0.76595189938453401</v>
      </c>
    </row>
    <row r="3866" spans="1:16" x14ac:dyDescent="0.3">
      <c r="A3866" s="3" t="str">
        <f t="shared" si="60"/>
        <v>NGA</v>
      </c>
      <c r="C3866" s="3" t="s">
        <v>850</v>
      </c>
      <c r="D3866" s="3" t="s">
        <v>755</v>
      </c>
      <c r="E3866" s="3" t="s">
        <v>1081</v>
      </c>
      <c r="F3866" s="3" t="s">
        <v>4</v>
      </c>
      <c r="G3866" s="3">
        <v>0.56756517644186999</v>
      </c>
      <c r="H3866" s="3">
        <v>20.774555852321399</v>
      </c>
      <c r="I3866" s="3">
        <v>54.494228408731701</v>
      </c>
      <c r="J3866" s="3">
        <v>49.9366604394299</v>
      </c>
      <c r="K3866" s="3">
        <v>35.848633957804402</v>
      </c>
      <c r="L3866" s="3">
        <v>37.988451967909697</v>
      </c>
      <c r="M3866" s="3">
        <v>38.556900491501501</v>
      </c>
      <c r="N3866" s="3">
        <v>41.919507294692401</v>
      </c>
      <c r="O3866" s="3">
        <v>49.7768151570423</v>
      </c>
      <c r="P3866" s="3">
        <v>59.240433845746502</v>
      </c>
    </row>
    <row r="3867" spans="1:16" x14ac:dyDescent="0.3">
      <c r="A3867" s="3" t="str">
        <f t="shared" si="60"/>
        <v>NGA</v>
      </c>
      <c r="C3867" s="3" t="s">
        <v>850</v>
      </c>
      <c r="D3867" s="3" t="s">
        <v>755</v>
      </c>
      <c r="E3867" s="3" t="s">
        <v>1081</v>
      </c>
      <c r="F3867" s="3" t="s">
        <v>5</v>
      </c>
      <c r="G3867" s="3">
        <v>0.32955397341786002</v>
      </c>
      <c r="J3867" s="3">
        <v>15.314303667292601</v>
      </c>
      <c r="K3867" s="3">
        <v>13.0828019596992</v>
      </c>
      <c r="L3867" s="3">
        <v>13.0505970687074</v>
      </c>
      <c r="M3867" s="3">
        <v>15.8543556851067</v>
      </c>
      <c r="N3867" s="3">
        <v>19.531324084987698</v>
      </c>
      <c r="O3867" s="3">
        <v>25.794160632827001</v>
      </c>
      <c r="P3867" s="3">
        <v>30.356158547677801</v>
      </c>
    </row>
    <row r="3868" spans="1:16" x14ac:dyDescent="0.3">
      <c r="A3868" s="3" t="str">
        <f t="shared" si="60"/>
        <v>NGA</v>
      </c>
      <c r="C3868" s="3" t="s">
        <v>850</v>
      </c>
      <c r="D3868" s="3" t="s">
        <v>755</v>
      </c>
      <c r="E3868" s="3" t="s">
        <v>1081</v>
      </c>
      <c r="F3868" s="3" t="s">
        <v>6</v>
      </c>
      <c r="G3868" s="3">
        <v>0.23801120302400999</v>
      </c>
      <c r="H3868" s="3">
        <v>9.2820928321098393</v>
      </c>
      <c r="I3868" s="3">
        <v>49.480603328962999</v>
      </c>
      <c r="J3868" s="3">
        <v>18.840162606872202</v>
      </c>
      <c r="K3868" s="3">
        <v>17.371762023922599</v>
      </c>
      <c r="L3868" s="3">
        <v>16.808482933774702</v>
      </c>
      <c r="M3868" s="3">
        <v>18.643311550931401</v>
      </c>
      <c r="N3868" s="3">
        <v>22.208785779711501</v>
      </c>
      <c r="O3868" s="3">
        <v>27.9939266710828</v>
      </c>
      <c r="P3868" s="3">
        <v>33.466480283337397</v>
      </c>
    </row>
    <row r="3869" spans="1:16" x14ac:dyDescent="0.3">
      <c r="A3869" s="3" t="str">
        <f t="shared" si="60"/>
        <v>NGA</v>
      </c>
      <c r="C3869" s="3" t="s">
        <v>850</v>
      </c>
      <c r="D3869" s="3" t="s">
        <v>755</v>
      </c>
      <c r="E3869" s="3" t="s">
        <v>1081</v>
      </c>
      <c r="F3869" s="3" t="s">
        <v>7</v>
      </c>
      <c r="G3869" s="3">
        <v>3.5787360879093302E-2</v>
      </c>
      <c r="H3869" s="3">
        <v>0.75362743139254695</v>
      </c>
      <c r="I3869" s="3">
        <v>1.4304765957340499</v>
      </c>
    </row>
    <row r="3870" spans="1:16" x14ac:dyDescent="0.3">
      <c r="A3870" s="3" t="str">
        <f t="shared" si="60"/>
        <v>NGA</v>
      </c>
      <c r="C3870" s="3" t="s">
        <v>850</v>
      </c>
      <c r="D3870" s="3" t="s">
        <v>755</v>
      </c>
      <c r="E3870" s="3" t="s">
        <v>1081</v>
      </c>
      <c r="F3870" s="3" t="s">
        <v>8</v>
      </c>
      <c r="H3870" s="3">
        <v>1.9496634075655599</v>
      </c>
      <c r="L3870" s="3">
        <v>0.89072377817051895</v>
      </c>
      <c r="M3870" s="3">
        <v>1.28161960400087</v>
      </c>
    </row>
    <row r="3871" spans="1:16" x14ac:dyDescent="0.3">
      <c r="A3871" s="3" t="str">
        <f t="shared" ref="A3871:A3934" si="61">RIGHT(E3871,3)</f>
        <v>OTP</v>
      </c>
      <c r="C3871" s="3" t="s">
        <v>850</v>
      </c>
      <c r="D3871" s="3" t="s">
        <v>755</v>
      </c>
      <c r="E3871" s="3" t="s">
        <v>1082</v>
      </c>
      <c r="F3871" s="3" t="s">
        <v>0</v>
      </c>
      <c r="G3871" s="3">
        <v>2.43958113974371E-2</v>
      </c>
      <c r="H3871" s="3">
        <v>0.20989801705505601</v>
      </c>
    </row>
    <row r="3872" spans="1:16" x14ac:dyDescent="0.3">
      <c r="A3872" s="3" t="str">
        <f t="shared" si="61"/>
        <v>OTP</v>
      </c>
      <c r="C3872" s="3" t="s">
        <v>850</v>
      </c>
      <c r="D3872" s="3" t="s">
        <v>755</v>
      </c>
      <c r="E3872" s="3" t="s">
        <v>1082</v>
      </c>
      <c r="F3872" s="3" t="s">
        <v>1</v>
      </c>
      <c r="G3872" s="3">
        <v>2.1525715938915099E-2</v>
      </c>
    </row>
    <row r="3873" spans="1:16" x14ac:dyDescent="0.3">
      <c r="A3873" s="3" t="str">
        <f t="shared" si="61"/>
        <v>OTP</v>
      </c>
      <c r="C3873" s="3" t="s">
        <v>850</v>
      </c>
      <c r="D3873" s="3" t="s">
        <v>755</v>
      </c>
      <c r="E3873" s="3" t="s">
        <v>1082</v>
      </c>
      <c r="F3873" s="3" t="s">
        <v>2</v>
      </c>
      <c r="G3873" s="3">
        <v>4.4047179281807097E-2</v>
      </c>
    </row>
    <row r="3874" spans="1:16" x14ac:dyDescent="0.3">
      <c r="A3874" s="3" t="str">
        <f t="shared" si="61"/>
        <v>OTP</v>
      </c>
      <c r="C3874" s="3" t="s">
        <v>850</v>
      </c>
      <c r="D3874" s="3" t="s">
        <v>755</v>
      </c>
      <c r="E3874" s="3" t="s">
        <v>1082</v>
      </c>
      <c r="F3874" s="3" t="s">
        <v>4</v>
      </c>
      <c r="G3874" s="3">
        <v>1.5383711657678001</v>
      </c>
    </row>
    <row r="3875" spans="1:16" x14ac:dyDescent="0.3">
      <c r="A3875" s="3" t="str">
        <f t="shared" si="61"/>
        <v>OTP</v>
      </c>
      <c r="C3875" s="3" t="s">
        <v>850</v>
      </c>
      <c r="D3875" s="3" t="s">
        <v>755</v>
      </c>
      <c r="E3875" s="3" t="s">
        <v>1082</v>
      </c>
      <c r="F3875" s="3" t="s">
        <v>7</v>
      </c>
      <c r="G3875" s="3">
        <v>4.1985396421807597E-2</v>
      </c>
    </row>
    <row r="3876" spans="1:16" x14ac:dyDescent="0.3">
      <c r="A3876" s="3" t="str">
        <f t="shared" si="61"/>
        <v>OTP</v>
      </c>
      <c r="C3876" s="3" t="s">
        <v>850</v>
      </c>
      <c r="D3876" s="3" t="s">
        <v>755</v>
      </c>
      <c r="E3876" s="3" t="s">
        <v>1082</v>
      </c>
      <c r="F3876" s="3" t="s">
        <v>8</v>
      </c>
      <c r="G3876" s="3">
        <v>0.325386822269009</v>
      </c>
    </row>
    <row r="3877" spans="1:16" x14ac:dyDescent="0.3">
      <c r="A3877" s="3" t="str">
        <f t="shared" si="61"/>
        <v>PTC</v>
      </c>
      <c r="C3877" s="3" t="s">
        <v>850</v>
      </c>
      <c r="D3877" s="3" t="s">
        <v>755</v>
      </c>
      <c r="E3877" s="3" t="s">
        <v>1083</v>
      </c>
      <c r="F3877" s="3" t="s">
        <v>1</v>
      </c>
      <c r="G3877" s="3">
        <v>4.59215273363585E-2</v>
      </c>
    </row>
    <row r="3878" spans="1:16" x14ac:dyDescent="0.3">
      <c r="A3878" s="3" t="str">
        <f t="shared" si="61"/>
        <v>PTC</v>
      </c>
      <c r="C3878" s="3" t="s">
        <v>850</v>
      </c>
      <c r="D3878" s="3" t="s">
        <v>755</v>
      </c>
      <c r="E3878" s="3" t="s">
        <v>1083</v>
      </c>
      <c r="F3878" s="3" t="s">
        <v>2</v>
      </c>
      <c r="G3878" s="3">
        <v>4.4047179281835498E-2</v>
      </c>
    </row>
    <row r="3879" spans="1:16" x14ac:dyDescent="0.3">
      <c r="A3879" s="3" t="str">
        <f t="shared" si="61"/>
        <v>PTC</v>
      </c>
      <c r="C3879" s="3" t="s">
        <v>850</v>
      </c>
      <c r="D3879" s="3" t="s">
        <v>755</v>
      </c>
      <c r="E3879" s="3" t="s">
        <v>1083</v>
      </c>
      <c r="F3879" s="3" t="s">
        <v>7</v>
      </c>
      <c r="G3879" s="3">
        <v>4.1985396421807701E-2</v>
      </c>
    </row>
    <row r="3880" spans="1:16" x14ac:dyDescent="0.3">
      <c r="A3880" s="3" t="str">
        <f t="shared" si="61"/>
        <v>STM</v>
      </c>
      <c r="C3880" s="3" t="s">
        <v>850</v>
      </c>
      <c r="D3880" s="3" t="s">
        <v>755</v>
      </c>
      <c r="E3880" s="3" t="s">
        <v>1228</v>
      </c>
      <c r="F3880" s="3" t="s">
        <v>0</v>
      </c>
      <c r="G3880" s="3">
        <v>2.7264190282509602</v>
      </c>
      <c r="H3880" s="3">
        <v>2.6718906476859399</v>
      </c>
      <c r="I3880" s="3">
        <v>2.8817886647409998</v>
      </c>
      <c r="J3880" s="3">
        <v>2.8817886647409998</v>
      </c>
      <c r="K3880" s="3">
        <v>2.8817886647409998</v>
      </c>
      <c r="L3880" s="3">
        <v>2.8817886647409998</v>
      </c>
      <c r="M3880" s="3">
        <v>2.8817886647409998</v>
      </c>
      <c r="N3880" s="3">
        <v>2.8817886647409998</v>
      </c>
      <c r="O3880" s="3">
        <v>2.9049316125022702</v>
      </c>
      <c r="P3880" s="3">
        <v>3.0556745817277302</v>
      </c>
    </row>
    <row r="3881" spans="1:16" x14ac:dyDescent="0.3">
      <c r="A3881" s="3" t="str">
        <f t="shared" si="61"/>
        <v>STM</v>
      </c>
      <c r="C3881" s="3" t="s">
        <v>850</v>
      </c>
      <c r="D3881" s="3" t="s">
        <v>755</v>
      </c>
      <c r="E3881" s="3" t="s">
        <v>1228</v>
      </c>
      <c r="F3881" s="3" t="s">
        <v>1</v>
      </c>
      <c r="J3881" s="3">
        <v>3.0768751640527499</v>
      </c>
      <c r="K3881" s="3">
        <v>3.0768751640527499</v>
      </c>
      <c r="L3881" s="3">
        <v>3.0768751640527499</v>
      </c>
      <c r="M3881" s="3">
        <v>3.0768751640527499</v>
      </c>
      <c r="N3881" s="3">
        <v>3.0768751640527499</v>
      </c>
      <c r="O3881" s="3">
        <v>3.1015848043053098</v>
      </c>
      <c r="P3881" s="3">
        <v>3.2625325184247602</v>
      </c>
    </row>
    <row r="3882" spans="1:16" x14ac:dyDescent="0.3">
      <c r="A3882" s="3" t="str">
        <f t="shared" si="61"/>
        <v>STM</v>
      </c>
      <c r="C3882" s="3" t="s">
        <v>850</v>
      </c>
      <c r="D3882" s="3" t="s">
        <v>755</v>
      </c>
      <c r="E3882" s="3" t="s">
        <v>1228</v>
      </c>
      <c r="F3882" s="3" t="s">
        <v>2</v>
      </c>
      <c r="J3882" s="3">
        <v>5.5856604973884103</v>
      </c>
      <c r="K3882" s="3">
        <v>5.5856604973884103</v>
      </c>
      <c r="L3882" s="3">
        <v>5.5856604973884103</v>
      </c>
      <c r="M3882" s="3">
        <v>5.5856604973884103</v>
      </c>
      <c r="N3882" s="3">
        <v>5.6965039494320804</v>
      </c>
      <c r="O3882" s="3">
        <v>5.6965039494320804</v>
      </c>
      <c r="P3882" s="3">
        <v>6.1488986429193897</v>
      </c>
    </row>
    <row r="3883" spans="1:16" x14ac:dyDescent="0.3">
      <c r="A3883" s="3" t="str">
        <f t="shared" si="61"/>
        <v>STM</v>
      </c>
      <c r="C3883" s="3" t="s">
        <v>850</v>
      </c>
      <c r="D3883" s="3" t="s">
        <v>755</v>
      </c>
      <c r="E3883" s="3" t="s">
        <v>1228</v>
      </c>
      <c r="F3883" s="3" t="s">
        <v>3</v>
      </c>
      <c r="G3883" s="3">
        <v>0.52423051352219097</v>
      </c>
      <c r="H3883" s="3">
        <v>0.62694689907242296</v>
      </c>
      <c r="J3883" s="3">
        <v>0.89612115766289002</v>
      </c>
      <c r="K3883" s="3">
        <v>0.89612115766289002</v>
      </c>
      <c r="L3883" s="3">
        <v>0.91100509243780703</v>
      </c>
      <c r="M3883" s="3">
        <v>0.94732042093992597</v>
      </c>
      <c r="N3883" s="3">
        <v>1.0018583132730201</v>
      </c>
      <c r="O3883" s="3">
        <v>1.06106492416814</v>
      </c>
      <c r="P3883" s="3">
        <v>1.11612579944718</v>
      </c>
    </row>
    <row r="3884" spans="1:16" x14ac:dyDescent="0.3">
      <c r="A3884" s="3" t="str">
        <f t="shared" si="61"/>
        <v>STM</v>
      </c>
      <c r="C3884" s="3" t="s">
        <v>850</v>
      </c>
      <c r="D3884" s="3" t="s">
        <v>755</v>
      </c>
      <c r="E3884" s="3" t="s">
        <v>1228</v>
      </c>
      <c r="F3884" s="3" t="s">
        <v>4</v>
      </c>
      <c r="G3884" s="3">
        <v>1.9098419942071101</v>
      </c>
      <c r="H3884" s="3">
        <v>0.38771308800000198</v>
      </c>
      <c r="I3884" s="3">
        <v>70.376617607097799</v>
      </c>
      <c r="J3884" s="3">
        <v>113.167694781767</v>
      </c>
      <c r="K3884" s="3">
        <v>125.300291932352</v>
      </c>
      <c r="L3884" s="3">
        <v>125.260729372352</v>
      </c>
      <c r="M3884" s="3">
        <v>131.66476668374301</v>
      </c>
      <c r="N3884" s="3">
        <v>138.11097337433301</v>
      </c>
      <c r="O3884" s="3">
        <v>144.53872927299801</v>
      </c>
      <c r="P3884" s="3">
        <v>147.22113246334899</v>
      </c>
    </row>
    <row r="3885" spans="1:16" x14ac:dyDescent="0.3">
      <c r="A3885" s="3" t="str">
        <f t="shared" si="61"/>
        <v>STM</v>
      </c>
      <c r="C3885" s="3" t="s">
        <v>850</v>
      </c>
      <c r="D3885" s="3" t="s">
        <v>755</v>
      </c>
      <c r="E3885" s="3" t="s">
        <v>1228</v>
      </c>
      <c r="F3885" s="3" t="s">
        <v>5</v>
      </c>
      <c r="G3885" s="3">
        <v>1.7708706947779</v>
      </c>
      <c r="I3885" s="3">
        <v>2.09181843054923</v>
      </c>
      <c r="J3885" s="3">
        <v>78.9974445881641</v>
      </c>
      <c r="K3885" s="3">
        <v>80.482918370529504</v>
      </c>
      <c r="L3885" s="3">
        <v>81.977341229829605</v>
      </c>
      <c r="M3885" s="3">
        <v>83.218372062612104</v>
      </c>
      <c r="N3885" s="3">
        <v>85.549571753950602</v>
      </c>
      <c r="O3885" s="3">
        <v>86.647370253648901</v>
      </c>
      <c r="P3885" s="3">
        <v>89.055999877023396</v>
      </c>
    </row>
    <row r="3886" spans="1:16" x14ac:dyDescent="0.3">
      <c r="A3886" s="3" t="str">
        <f t="shared" si="61"/>
        <v>STM</v>
      </c>
      <c r="C3886" s="3" t="s">
        <v>850</v>
      </c>
      <c r="D3886" s="3" t="s">
        <v>755</v>
      </c>
      <c r="E3886" s="3" t="s">
        <v>1228</v>
      </c>
      <c r="F3886" s="3" t="s">
        <v>6</v>
      </c>
      <c r="G3886" s="3">
        <v>22.2736126327768</v>
      </c>
      <c r="H3886" s="3">
        <v>21.828140380121301</v>
      </c>
      <c r="I3886" s="3">
        <v>20.0462513694991</v>
      </c>
      <c r="J3886" s="3">
        <v>47.857452759749798</v>
      </c>
      <c r="K3886" s="3">
        <v>49.081154722215999</v>
      </c>
      <c r="L3886" s="3">
        <v>50.310087080531602</v>
      </c>
      <c r="M3886" s="3">
        <v>51.548695041818704</v>
      </c>
      <c r="N3886" s="3">
        <v>52.784309577733701</v>
      </c>
      <c r="O3886" s="3">
        <v>53.427749689451701</v>
      </c>
      <c r="P3886" s="3">
        <v>53.129752402155397</v>
      </c>
    </row>
    <row r="3887" spans="1:16" x14ac:dyDescent="0.3">
      <c r="A3887" s="3" t="str">
        <f t="shared" si="61"/>
        <v>STM</v>
      </c>
      <c r="C3887" s="3" t="s">
        <v>850</v>
      </c>
      <c r="D3887" s="3" t="s">
        <v>755</v>
      </c>
      <c r="E3887" s="3" t="s">
        <v>1228</v>
      </c>
      <c r="F3887" s="3" t="s">
        <v>7</v>
      </c>
      <c r="G3887" s="3">
        <v>3.5622001987366301</v>
      </c>
      <c r="H3887" s="3">
        <v>3.4909561947619001</v>
      </c>
      <c r="I3887" s="3">
        <v>3.20598017886297</v>
      </c>
      <c r="J3887" s="3">
        <v>5.3649691235223598</v>
      </c>
      <c r="K3887" s="3">
        <v>5.3649691235223598</v>
      </c>
      <c r="L3887" s="3">
        <v>5.3649691235223598</v>
      </c>
      <c r="M3887" s="3">
        <v>5.3649691235223598</v>
      </c>
      <c r="N3887" s="3">
        <v>5.3649691235223704</v>
      </c>
      <c r="O3887" s="3">
        <v>5.40805389295243</v>
      </c>
      <c r="P3887" s="3">
        <v>5.6886891058594804</v>
      </c>
    </row>
    <row r="3888" spans="1:16" x14ac:dyDescent="0.3">
      <c r="A3888" s="3" t="str">
        <f t="shared" si="61"/>
        <v>STM</v>
      </c>
      <c r="C3888" s="3" t="s">
        <v>850</v>
      </c>
      <c r="D3888" s="3" t="s">
        <v>755</v>
      </c>
      <c r="E3888" s="3" t="s">
        <v>1228</v>
      </c>
      <c r="F3888" s="3" t="s">
        <v>8</v>
      </c>
      <c r="G3888" s="3">
        <v>3.30405956203133</v>
      </c>
      <c r="H3888" s="3">
        <v>2.7420366758400099</v>
      </c>
      <c r="I3888" s="3">
        <v>36.782076485907098</v>
      </c>
      <c r="J3888" s="3">
        <v>36.782076485907098</v>
      </c>
      <c r="K3888" s="3">
        <v>36.782076485907098</v>
      </c>
      <c r="L3888" s="3">
        <v>36.502276825107103</v>
      </c>
      <c r="M3888" s="3">
        <v>37.601975411821897</v>
      </c>
      <c r="N3888" s="3">
        <v>41.122150494646597</v>
      </c>
      <c r="O3888" s="3">
        <v>43.552337609182899</v>
      </c>
      <c r="P3888" s="3">
        <v>45.8123593803194</v>
      </c>
    </row>
    <row r="3889" spans="1:16" x14ac:dyDescent="0.3">
      <c r="A3889" s="3" t="str">
        <f t="shared" si="61"/>
        <v>ELC</v>
      </c>
      <c r="C3889" s="3" t="s">
        <v>850</v>
      </c>
      <c r="D3889" s="3" t="s">
        <v>787</v>
      </c>
      <c r="E3889" s="3" t="s">
        <v>1167</v>
      </c>
      <c r="F3889" s="3" t="s">
        <v>0</v>
      </c>
      <c r="G3889" s="3">
        <v>0.116144692916253</v>
      </c>
      <c r="H3889" s="3">
        <v>0.112273203152378</v>
      </c>
      <c r="I3889" s="3">
        <v>9.6787244096877501E-2</v>
      </c>
      <c r="J3889" s="3">
        <v>7.7429795277502003E-2</v>
      </c>
      <c r="K3889" s="3">
        <v>5.8072346458126499E-2</v>
      </c>
      <c r="L3889" s="3">
        <v>3.8714897638751002E-2</v>
      </c>
      <c r="M3889" s="3">
        <v>1.9357448819375501E-2</v>
      </c>
    </row>
    <row r="3890" spans="1:16" x14ac:dyDescent="0.3">
      <c r="A3890" s="3" t="str">
        <f t="shared" si="61"/>
        <v>ELC</v>
      </c>
      <c r="C3890" s="3" t="s">
        <v>850</v>
      </c>
      <c r="D3890" s="3" t="s">
        <v>787</v>
      </c>
      <c r="E3890" s="3" t="s">
        <v>1167</v>
      </c>
      <c r="F3890" s="3" t="s">
        <v>1</v>
      </c>
      <c r="G3890" s="3">
        <v>0.102480611396694</v>
      </c>
      <c r="H3890" s="3">
        <v>9.9064591016804204E-2</v>
      </c>
      <c r="I3890" s="3">
        <v>8.5400509497244995E-2</v>
      </c>
      <c r="J3890" s="3">
        <v>6.8320407597796007E-2</v>
      </c>
      <c r="K3890" s="3">
        <v>5.1240305698346998E-2</v>
      </c>
      <c r="L3890" s="3">
        <v>3.4160203798898003E-2</v>
      </c>
      <c r="M3890" s="3">
        <v>1.7080101899449002E-2</v>
      </c>
    </row>
    <row r="3891" spans="1:16" x14ac:dyDescent="0.3">
      <c r="A3891" s="3" t="str">
        <f t="shared" si="61"/>
        <v>ELC</v>
      </c>
      <c r="C3891" s="3" t="s">
        <v>850</v>
      </c>
      <c r="D3891" s="3" t="s">
        <v>787</v>
      </c>
      <c r="E3891" s="3" t="s">
        <v>1167</v>
      </c>
      <c r="F3891" s="3" t="s">
        <v>2</v>
      </c>
      <c r="G3891" s="3">
        <v>0.330280370444203</v>
      </c>
      <c r="H3891" s="3">
        <v>0.31927102476273</v>
      </c>
      <c r="I3891" s="3">
        <v>0.27523364203683598</v>
      </c>
      <c r="J3891" s="3">
        <v>0.22018691362946899</v>
      </c>
      <c r="K3891" s="3">
        <v>0.165140185222101</v>
      </c>
      <c r="L3891" s="3">
        <v>0.11009345681473399</v>
      </c>
      <c r="M3891" s="3">
        <v>5.5046728407367199E-2</v>
      </c>
    </row>
    <row r="3892" spans="1:16" x14ac:dyDescent="0.3">
      <c r="A3892" s="3" t="str">
        <f t="shared" si="61"/>
        <v>ELC</v>
      </c>
      <c r="C3892" s="3" t="s">
        <v>850</v>
      </c>
      <c r="D3892" s="3" t="s">
        <v>787</v>
      </c>
      <c r="E3892" s="3" t="s">
        <v>1167</v>
      </c>
      <c r="F3892" s="3" t="s">
        <v>3</v>
      </c>
      <c r="G3892" s="3">
        <v>6.3245177319102702E-2</v>
      </c>
      <c r="I3892" s="3">
        <v>5.2704314432585601E-2</v>
      </c>
      <c r="J3892" s="3">
        <v>4.2163451546068501E-2</v>
      </c>
      <c r="K3892" s="3">
        <v>3.16225886595514E-2</v>
      </c>
      <c r="L3892" s="3">
        <v>2.1081725773034202E-2</v>
      </c>
      <c r="M3892" s="3">
        <v>1.0540862886517101E-2</v>
      </c>
    </row>
    <row r="3893" spans="1:16" x14ac:dyDescent="0.3">
      <c r="A3893" s="3" t="str">
        <f t="shared" si="61"/>
        <v>ELC</v>
      </c>
      <c r="C3893" s="3" t="s">
        <v>850</v>
      </c>
      <c r="D3893" s="3" t="s">
        <v>787</v>
      </c>
      <c r="E3893" s="3" t="s">
        <v>1167</v>
      </c>
      <c r="F3893" s="3" t="s">
        <v>4</v>
      </c>
      <c r="G3893" s="3">
        <v>0.72146350423272698</v>
      </c>
      <c r="H3893" s="3">
        <v>0.306181924746036</v>
      </c>
      <c r="I3893" s="3">
        <v>0.60121958686060595</v>
      </c>
      <c r="J3893" s="3">
        <v>0.48097566948848502</v>
      </c>
      <c r="K3893" s="3">
        <v>0.36073175211636299</v>
      </c>
      <c r="L3893" s="3">
        <v>0.24048783474424201</v>
      </c>
      <c r="M3893" s="3">
        <v>0.12024391737212101</v>
      </c>
    </row>
    <row r="3894" spans="1:16" x14ac:dyDescent="0.3">
      <c r="A3894" s="3" t="str">
        <f t="shared" si="61"/>
        <v>ELC</v>
      </c>
      <c r="C3894" s="3" t="s">
        <v>850</v>
      </c>
      <c r="D3894" s="3" t="s">
        <v>787</v>
      </c>
      <c r="E3894" s="3" t="s">
        <v>1167</v>
      </c>
      <c r="F3894" s="3" t="s">
        <v>5</v>
      </c>
      <c r="G3894" s="3">
        <v>0.41891429278029302</v>
      </c>
      <c r="H3894" s="3">
        <v>0.40495048302094999</v>
      </c>
      <c r="I3894" s="3">
        <v>0.349095243983578</v>
      </c>
      <c r="J3894" s="3">
        <v>0.27927619518686198</v>
      </c>
      <c r="K3894" s="3">
        <v>0.20945714639014701</v>
      </c>
      <c r="L3894" s="3">
        <v>0.13963809759343099</v>
      </c>
      <c r="M3894" s="3">
        <v>6.9819048796715494E-2</v>
      </c>
    </row>
    <row r="3895" spans="1:16" x14ac:dyDescent="0.3">
      <c r="A3895" s="3" t="str">
        <f t="shared" si="61"/>
        <v>ELC</v>
      </c>
      <c r="C3895" s="3" t="s">
        <v>850</v>
      </c>
      <c r="D3895" s="3" t="s">
        <v>787</v>
      </c>
      <c r="E3895" s="3" t="s">
        <v>1167</v>
      </c>
      <c r="F3895" s="3" t="s">
        <v>6</v>
      </c>
      <c r="G3895" s="3">
        <v>0.30254921145243402</v>
      </c>
      <c r="I3895" s="3">
        <v>0.25212434287702801</v>
      </c>
      <c r="J3895" s="3">
        <v>0.20169947430162299</v>
      </c>
      <c r="K3895" s="3">
        <v>0.15127460572621701</v>
      </c>
      <c r="L3895" s="3">
        <v>0.100849737150811</v>
      </c>
      <c r="M3895" s="3">
        <v>5.04248685754057E-2</v>
      </c>
    </row>
    <row r="3896" spans="1:16" x14ac:dyDescent="0.3">
      <c r="A3896" s="3" t="str">
        <f t="shared" si="61"/>
        <v>ELC</v>
      </c>
      <c r="C3896" s="3" t="s">
        <v>850</v>
      </c>
      <c r="D3896" s="3" t="s">
        <v>787</v>
      </c>
      <c r="E3896" s="3" t="s">
        <v>1167</v>
      </c>
      <c r="F3896" s="3" t="s">
        <v>7</v>
      </c>
      <c r="G3896" s="3">
        <v>5.9965797754408502E-2</v>
      </c>
      <c r="H3896" s="3">
        <v>5.7966937829261503E-2</v>
      </c>
      <c r="I3896" s="3">
        <v>4.99714981286737E-2</v>
      </c>
      <c r="J3896" s="3">
        <v>3.9977198502939001E-2</v>
      </c>
      <c r="K3896" s="3">
        <v>2.9982898877204199E-2</v>
      </c>
      <c r="L3896" s="3">
        <v>1.9988599251469501E-2</v>
      </c>
      <c r="M3896" s="3">
        <v>9.9942996257347504E-3</v>
      </c>
    </row>
    <row r="3897" spans="1:16" x14ac:dyDescent="0.3">
      <c r="A3897" s="3" t="str">
        <f t="shared" si="61"/>
        <v>ELC</v>
      </c>
      <c r="C3897" s="3" t="s">
        <v>850</v>
      </c>
      <c r="D3897" s="3" t="s">
        <v>787</v>
      </c>
      <c r="E3897" s="3" t="s">
        <v>1167</v>
      </c>
      <c r="F3897" s="3" t="s">
        <v>8</v>
      </c>
      <c r="I3897" s="3">
        <v>0.38727911049722202</v>
      </c>
      <c r="J3897" s="3">
        <v>0.30982328839777701</v>
      </c>
      <c r="K3897" s="3">
        <v>0.23236746629833299</v>
      </c>
      <c r="L3897" s="3">
        <v>0.154911644198889</v>
      </c>
      <c r="M3897" s="3">
        <v>7.7455822099444294E-2</v>
      </c>
    </row>
    <row r="3898" spans="1:16" x14ac:dyDescent="0.3">
      <c r="A3898" s="3" t="str">
        <f t="shared" si="61"/>
        <v>NGA</v>
      </c>
      <c r="C3898" s="3" t="s">
        <v>850</v>
      </c>
      <c r="D3898" s="3" t="s">
        <v>787</v>
      </c>
      <c r="E3898" s="3" t="s">
        <v>1084</v>
      </c>
      <c r="F3898" s="3" t="s">
        <v>0</v>
      </c>
      <c r="G3898" s="3">
        <v>1.45560896544359</v>
      </c>
      <c r="H3898" s="3">
        <v>1.4651095685529887</v>
      </c>
      <c r="I3898" s="3">
        <v>1.5031119809905715</v>
      </c>
      <c r="J3898" s="3">
        <v>1.5506149965375535</v>
      </c>
      <c r="K3898" s="3">
        <v>1.5981180120845346</v>
      </c>
      <c r="L3898" s="3">
        <v>1.6456210276315155</v>
      </c>
      <c r="M3898" s="3">
        <v>1.6931240431784966</v>
      </c>
      <c r="N3898" s="3">
        <v>1.7406270587254777</v>
      </c>
      <c r="O3898" s="3">
        <v>1.7546056136364592</v>
      </c>
      <c r="P3898" s="3">
        <v>1.845655763967333</v>
      </c>
    </row>
    <row r="3899" spans="1:16" x14ac:dyDescent="0.3">
      <c r="A3899" s="3" t="str">
        <f t="shared" si="61"/>
        <v>NGA</v>
      </c>
      <c r="C3899" s="3" t="s">
        <v>850</v>
      </c>
      <c r="D3899" s="3" t="s">
        <v>787</v>
      </c>
      <c r="E3899" s="3" t="s">
        <v>1084</v>
      </c>
      <c r="F3899" s="3" t="s">
        <v>1</v>
      </c>
      <c r="G3899" s="3">
        <v>1.28436085186199</v>
      </c>
      <c r="H3899" s="3">
        <v>1.2927437369585157</v>
      </c>
      <c r="I3899" s="3">
        <v>1.3262752773446178</v>
      </c>
      <c r="J3899" s="3">
        <v>1.3681897028272498</v>
      </c>
      <c r="K3899" s="3">
        <v>1.4101041283098796</v>
      </c>
      <c r="L3899" s="3">
        <v>1.4520185537925108</v>
      </c>
      <c r="M3899" s="3">
        <v>1.4939329792751397</v>
      </c>
      <c r="N3899" s="3">
        <v>1.535847404757771</v>
      </c>
      <c r="O3899" s="3">
        <v>1.548181423796881</v>
      </c>
      <c r="P3899" s="3">
        <v>1.628519791735882</v>
      </c>
    </row>
    <row r="3900" spans="1:16" x14ac:dyDescent="0.3">
      <c r="A3900" s="3" t="str">
        <f t="shared" si="61"/>
        <v>NGA</v>
      </c>
      <c r="C3900" s="3" t="s">
        <v>850</v>
      </c>
      <c r="D3900" s="3" t="s">
        <v>787</v>
      </c>
      <c r="E3900" s="3" t="s">
        <v>1084</v>
      </c>
      <c r="F3900" s="3" t="s">
        <v>2</v>
      </c>
      <c r="G3900" s="3">
        <v>3.8326958753976799</v>
      </c>
      <c r="H3900" s="3">
        <v>3.8437052210791762</v>
      </c>
      <c r="I3900" s="3">
        <v>3.8877426038050711</v>
      </c>
      <c r="J3900" s="3">
        <v>3.9427893322124321</v>
      </c>
      <c r="K3900" s="3">
        <v>3.9978360606198029</v>
      </c>
      <c r="L3900" s="3">
        <v>4.0528827890271728</v>
      </c>
      <c r="M3900" s="3">
        <v>4.1079295174345365</v>
      </c>
      <c r="N3900" s="3">
        <v>4.1629762458419046</v>
      </c>
      <c r="O3900" s="3">
        <v>4.1964081011919285</v>
      </c>
      <c r="P3900" s="3">
        <v>4.4141684830656231</v>
      </c>
    </row>
    <row r="3901" spans="1:16" x14ac:dyDescent="0.3">
      <c r="A3901" s="3" t="str">
        <f t="shared" si="61"/>
        <v>NGA</v>
      </c>
      <c r="C3901" s="3" t="s">
        <v>850</v>
      </c>
      <c r="D3901" s="3" t="s">
        <v>787</v>
      </c>
      <c r="E3901" s="3" t="s">
        <v>1084</v>
      </c>
      <c r="F3901" s="3" t="s">
        <v>3</v>
      </c>
      <c r="G3901" s="3">
        <v>0.494770787549067</v>
      </c>
      <c r="H3901" s="3">
        <v>0.58214317439670304</v>
      </c>
      <c r="I3901" s="3">
        <v>0.6259476980782499</v>
      </c>
      <c r="J3901" s="3">
        <v>0.6364885609647668</v>
      </c>
      <c r="K3901" s="3">
        <v>0.64702942385128392</v>
      </c>
      <c r="L3901" s="3">
        <v>0.66884221375648789</v>
      </c>
      <c r="M3901" s="3">
        <v>0.70688546352697479</v>
      </c>
      <c r="N3901" s="3">
        <v>0.75872905660065282</v>
      </c>
      <c r="O3901" s="3">
        <v>0.80356750873887817</v>
      </c>
      <c r="P3901" s="3">
        <v>0.84526630526788527</v>
      </c>
    </row>
    <row r="3902" spans="1:16" x14ac:dyDescent="0.3">
      <c r="A3902" s="3" t="str">
        <f t="shared" si="61"/>
        <v>NGA</v>
      </c>
      <c r="C3902" s="3" t="s">
        <v>850</v>
      </c>
      <c r="D3902" s="3" t="s">
        <v>787</v>
      </c>
      <c r="E3902" s="3" t="s">
        <v>1084</v>
      </c>
      <c r="F3902" s="3" t="s">
        <v>4</v>
      </c>
      <c r="G3902" s="3">
        <v>9.0571371367984703</v>
      </c>
      <c r="H3902" s="3">
        <v>9.6013109014749602</v>
      </c>
      <c r="I3902" s="3">
        <v>8.4973447223499452</v>
      </c>
      <c r="J3902" s="3">
        <v>8.882488091276004</v>
      </c>
      <c r="K3902" s="3">
        <v>9.267631460202054</v>
      </c>
      <c r="L3902" s="3">
        <v>9.8258944650068845</v>
      </c>
      <c r="M3902" s="3">
        <v>10.633432620135615</v>
      </c>
      <c r="N3902" s="3">
        <v>11.652923035396054</v>
      </c>
      <c r="O3902" s="3">
        <v>12.34157338725419</v>
      </c>
      <c r="P3902" s="3">
        <v>12.982003409531419</v>
      </c>
    </row>
    <row r="3903" spans="1:16" x14ac:dyDescent="0.3">
      <c r="A3903" s="3" t="str">
        <f t="shared" si="61"/>
        <v>NGA</v>
      </c>
      <c r="C3903" s="3" t="s">
        <v>850</v>
      </c>
      <c r="D3903" s="3" t="s">
        <v>787</v>
      </c>
      <c r="E3903" s="3" t="s">
        <v>1084</v>
      </c>
      <c r="F3903" s="3" t="s">
        <v>5</v>
      </c>
      <c r="G3903" s="3">
        <v>5.1920453035823302</v>
      </c>
      <c r="H3903" s="3">
        <v>5.2942372470087804</v>
      </c>
      <c r="I3903" s="3">
        <v>4.9339420968483241</v>
      </c>
      <c r="J3903" s="3">
        <v>5.157573730418294</v>
      </c>
      <c r="K3903" s="3">
        <v>5.3812053639882542</v>
      </c>
      <c r="L3903" s="3">
        <v>5.7053580764555942</v>
      </c>
      <c r="M3903" s="3">
        <v>6.1742511987884097</v>
      </c>
      <c r="N3903" s="3">
        <v>6.7662133753912341</v>
      </c>
      <c r="O3903" s="3">
        <v>7.1660748700185746</v>
      </c>
      <c r="P3903" s="3">
        <v>7.5379374635988938</v>
      </c>
    </row>
    <row r="3904" spans="1:16" x14ac:dyDescent="0.3">
      <c r="A3904" s="3" t="str">
        <f t="shared" si="61"/>
        <v>NGA</v>
      </c>
      <c r="C3904" s="3" t="s">
        <v>850</v>
      </c>
      <c r="D3904" s="3" t="s">
        <v>787</v>
      </c>
      <c r="E3904" s="3" t="s">
        <v>1084</v>
      </c>
      <c r="F3904" s="3" t="s">
        <v>6</v>
      </c>
      <c r="G3904" s="3">
        <v>3.8048639605929102</v>
      </c>
      <c r="H3904" s="3">
        <v>4.0263561844894999</v>
      </c>
      <c r="I3904" s="3">
        <v>3.5634026255015745</v>
      </c>
      <c r="J3904" s="3">
        <v>3.7249143608576638</v>
      </c>
      <c r="K3904" s="3">
        <v>3.8864260962137518</v>
      </c>
      <c r="L3904" s="3">
        <v>4.120536388551268</v>
      </c>
      <c r="M3904" s="3">
        <v>4.4591814213471999</v>
      </c>
      <c r="N3904" s="3">
        <v>4.8867096600047981</v>
      </c>
      <c r="O3904" s="3">
        <v>5.1754985172356509</v>
      </c>
      <c r="P3904" s="3">
        <v>5.4440659459325405</v>
      </c>
    </row>
    <row r="3905" spans="1:16" x14ac:dyDescent="0.3">
      <c r="A3905" s="3" t="str">
        <f t="shared" si="61"/>
        <v>NGA</v>
      </c>
      <c r="C3905" s="3" t="s">
        <v>850</v>
      </c>
      <c r="D3905" s="3" t="s">
        <v>787</v>
      </c>
      <c r="E3905" s="3" t="s">
        <v>1084</v>
      </c>
      <c r="F3905" s="3" t="s">
        <v>7</v>
      </c>
      <c r="G3905" s="3">
        <v>0.62627881538413199</v>
      </c>
      <c r="H3905" s="3">
        <v>0.62827767530927925</v>
      </c>
      <c r="I3905" s="3">
        <v>0.63627311500986661</v>
      </c>
      <c r="J3905" s="3">
        <v>0.64626741463560156</v>
      </c>
      <c r="K3905" s="3">
        <v>0.6562617142613365</v>
      </c>
      <c r="L3905" s="3">
        <v>0.66625601388707156</v>
      </c>
      <c r="M3905" s="3">
        <v>0.67625031351280651</v>
      </c>
      <c r="N3905" s="3">
        <v>0.68624461313854157</v>
      </c>
      <c r="O3905" s="3">
        <v>0.69175567764776003</v>
      </c>
      <c r="P3905" s="3">
        <v>0.72765232470767904</v>
      </c>
    </row>
    <row r="3906" spans="1:16" x14ac:dyDescent="0.3">
      <c r="A3906" s="3" t="str">
        <f t="shared" si="61"/>
        <v>NGA</v>
      </c>
      <c r="C3906" s="3" t="s">
        <v>850</v>
      </c>
      <c r="D3906" s="3" t="s">
        <v>787</v>
      </c>
      <c r="E3906" s="3" t="s">
        <v>1084</v>
      </c>
      <c r="F3906" s="3" t="s">
        <v>8</v>
      </c>
      <c r="G3906" s="3">
        <v>4.2547166014589504</v>
      </c>
      <c r="H3906" s="3">
        <v>4.30931654346786</v>
      </c>
      <c r="I3906" s="3">
        <v>4.1404372010062485</v>
      </c>
      <c r="J3906" s="3">
        <v>4.2178930231056935</v>
      </c>
      <c r="K3906" s="3">
        <v>4.2953488452051385</v>
      </c>
      <c r="L3906" s="3">
        <v>4.4480068134468516</v>
      </c>
      <c r="M3906" s="3">
        <v>4.7089484329863209</v>
      </c>
      <c r="N3906" s="3">
        <v>5.0619608610201707</v>
      </c>
      <c r="O3906" s="3">
        <v>5.361106501770144</v>
      </c>
      <c r="P3906" s="3">
        <v>5.6393055164845194</v>
      </c>
    </row>
    <row r="3907" spans="1:16" x14ac:dyDescent="0.3">
      <c r="A3907" s="3" t="str">
        <f t="shared" si="61"/>
        <v>RFL</v>
      </c>
      <c r="C3907" s="3" t="s">
        <v>850</v>
      </c>
      <c r="D3907" s="3" t="s">
        <v>787</v>
      </c>
      <c r="E3907" s="3" t="s">
        <v>1085</v>
      </c>
      <c r="F3907" s="3" t="s">
        <v>0</v>
      </c>
      <c r="G3907" s="3">
        <v>0.168873400365631</v>
      </c>
      <c r="H3907" s="3">
        <v>0.16324428702011001</v>
      </c>
      <c r="I3907" s="3">
        <v>0.14072783363802599</v>
      </c>
      <c r="J3907" s="3">
        <v>0.112582266910421</v>
      </c>
      <c r="K3907" s="3">
        <v>8.4436700182815502E-2</v>
      </c>
      <c r="L3907" s="3">
        <v>5.62911334552103E-2</v>
      </c>
      <c r="M3907" s="3">
        <v>2.8145566727605199E-2</v>
      </c>
    </row>
    <row r="3908" spans="1:16" x14ac:dyDescent="0.3">
      <c r="A3908" s="3" t="str">
        <f t="shared" si="61"/>
        <v>RFL</v>
      </c>
      <c r="C3908" s="3" t="s">
        <v>850</v>
      </c>
      <c r="D3908" s="3" t="s">
        <v>787</v>
      </c>
      <c r="E3908" s="3" t="s">
        <v>1085</v>
      </c>
      <c r="F3908" s="3" t="s">
        <v>1</v>
      </c>
      <c r="G3908" s="3">
        <v>0.14900594149910201</v>
      </c>
      <c r="H3908" s="3">
        <v>0.14403907678245001</v>
      </c>
      <c r="I3908" s="3">
        <v>0.124171617915905</v>
      </c>
      <c r="J3908" s="3">
        <v>9.9337294332723994E-2</v>
      </c>
      <c r="K3908" s="3">
        <v>7.4502970749542999E-2</v>
      </c>
      <c r="L3908" s="3">
        <v>4.9668647166361997E-2</v>
      </c>
      <c r="M3908" s="3">
        <v>2.4834323583180998E-2</v>
      </c>
    </row>
    <row r="3909" spans="1:16" x14ac:dyDescent="0.3">
      <c r="A3909" s="3" t="str">
        <f t="shared" si="61"/>
        <v>RFL</v>
      </c>
      <c r="C3909" s="3" t="s">
        <v>850</v>
      </c>
      <c r="D3909" s="3" t="s">
        <v>787</v>
      </c>
      <c r="E3909" s="3" t="s">
        <v>1085</v>
      </c>
      <c r="F3909" s="3" t="s">
        <v>4</v>
      </c>
      <c r="I3909" s="3">
        <v>1.3244972577696501</v>
      </c>
      <c r="J3909" s="3">
        <v>1.0595978062157201</v>
      </c>
      <c r="K3909" s="3">
        <v>0.79469835466178995</v>
      </c>
      <c r="L3909" s="3">
        <v>0.52979890310786004</v>
      </c>
      <c r="M3909" s="3">
        <v>0.26489945155393002</v>
      </c>
    </row>
    <row r="3910" spans="1:16" x14ac:dyDescent="0.3">
      <c r="A3910" s="3" t="str">
        <f t="shared" si="61"/>
        <v>RFL</v>
      </c>
      <c r="C3910" s="3" t="s">
        <v>850</v>
      </c>
      <c r="D3910" s="3" t="s">
        <v>787</v>
      </c>
      <c r="E3910" s="3" t="s">
        <v>1085</v>
      </c>
      <c r="F3910" s="3" t="s">
        <v>5</v>
      </c>
      <c r="I3910" s="3">
        <v>0.76906292386624997</v>
      </c>
      <c r="J3910" s="3">
        <v>0.61525033909299998</v>
      </c>
      <c r="K3910" s="3">
        <v>0.46143775431974998</v>
      </c>
      <c r="L3910" s="3">
        <v>0.30762516954649999</v>
      </c>
      <c r="M3910" s="3">
        <v>0.15381258477324999</v>
      </c>
    </row>
    <row r="3911" spans="1:16" x14ac:dyDescent="0.3">
      <c r="A3911" s="3" t="str">
        <f t="shared" si="61"/>
        <v>RFL</v>
      </c>
      <c r="C3911" s="3" t="s">
        <v>850</v>
      </c>
      <c r="D3911" s="3" t="s">
        <v>787</v>
      </c>
      <c r="E3911" s="3" t="s">
        <v>1085</v>
      </c>
      <c r="F3911" s="3" t="s">
        <v>6</v>
      </c>
      <c r="H3911" s="3">
        <v>0.13376661360318301</v>
      </c>
      <c r="I3911" s="3">
        <v>0.55543433390340302</v>
      </c>
      <c r="J3911" s="3">
        <v>0.444347467122722</v>
      </c>
      <c r="K3911" s="3">
        <v>0.33326060034204202</v>
      </c>
      <c r="L3911" s="3">
        <v>0.222173733561361</v>
      </c>
      <c r="M3911" s="3">
        <v>0.111086866780681</v>
      </c>
    </row>
    <row r="3912" spans="1:16" x14ac:dyDescent="0.3">
      <c r="A3912" s="3" t="str">
        <f t="shared" si="61"/>
        <v>TOM</v>
      </c>
      <c r="C3912" s="3" t="s">
        <v>850</v>
      </c>
      <c r="D3912" s="3" t="s">
        <v>1168</v>
      </c>
      <c r="E3912" s="3" t="s">
        <v>1067</v>
      </c>
      <c r="F3912" s="3" t="s">
        <v>6</v>
      </c>
      <c r="G3912" s="3">
        <v>13.6577702383768</v>
      </c>
      <c r="H3912" s="3">
        <v>13.3846148336093</v>
      </c>
      <c r="I3912" s="3">
        <v>12.291993214539101</v>
      </c>
      <c r="J3912" s="3">
        <v>10.926216190701499</v>
      </c>
      <c r="K3912" s="3">
        <v>9.5604391668637696</v>
      </c>
      <c r="L3912" s="3">
        <v>8.1946621430260898</v>
      </c>
      <c r="M3912" s="3">
        <v>6.8288851191884099</v>
      </c>
      <c r="N3912" s="3">
        <v>5.4631080953507301</v>
      </c>
      <c r="O3912" s="3">
        <v>4.0973310715130502</v>
      </c>
      <c r="P3912" s="3">
        <v>2.7315540476753601</v>
      </c>
    </row>
    <row r="3913" spans="1:16" x14ac:dyDescent="0.3">
      <c r="A3913" s="3" t="str">
        <f t="shared" si="61"/>
        <v>TOM</v>
      </c>
      <c r="C3913" s="3" t="s">
        <v>850</v>
      </c>
      <c r="D3913" s="3" t="s">
        <v>1168</v>
      </c>
      <c r="E3913" s="3" t="s">
        <v>1067</v>
      </c>
      <c r="F3913" s="3" t="s">
        <v>7</v>
      </c>
      <c r="G3913" s="3">
        <v>3.5622001987366301</v>
      </c>
      <c r="H3913" s="3">
        <v>3.4909561947619001</v>
      </c>
      <c r="I3913" s="3">
        <v>3.20598017886297</v>
      </c>
      <c r="J3913" s="3">
        <v>2.8497601589892998</v>
      </c>
      <c r="K3913" s="3">
        <v>2.4935401391156402</v>
      </c>
      <c r="L3913" s="3">
        <v>2.1373201192419802</v>
      </c>
      <c r="M3913" s="3">
        <v>1.7811000993683099</v>
      </c>
      <c r="N3913" s="3">
        <v>1.4248800794946499</v>
      </c>
      <c r="O3913" s="3">
        <v>1.0686600596209901</v>
      </c>
      <c r="P3913" s="3">
        <v>0.71244003974732595</v>
      </c>
    </row>
    <row r="3914" spans="1:16" x14ac:dyDescent="0.3">
      <c r="A3914" s="3" t="str">
        <f t="shared" si="61"/>
        <v>WOD</v>
      </c>
      <c r="C3914" s="3" t="s">
        <v>850</v>
      </c>
      <c r="D3914" s="3" t="s">
        <v>1168</v>
      </c>
      <c r="E3914" s="3" t="s">
        <v>1068</v>
      </c>
      <c r="F3914" s="3" t="s">
        <v>5</v>
      </c>
      <c r="G3914" s="3">
        <v>1.7708706947779</v>
      </c>
    </row>
    <row r="3915" spans="1:16" x14ac:dyDescent="0.3">
      <c r="A3915" s="3" t="str">
        <f t="shared" si="61"/>
        <v>TOM</v>
      </c>
      <c r="C3915" s="3" t="s">
        <v>850</v>
      </c>
      <c r="D3915" s="3" t="s">
        <v>1168</v>
      </c>
      <c r="E3915" s="3" t="s">
        <v>1072</v>
      </c>
      <c r="F3915" s="3" t="s">
        <v>4</v>
      </c>
      <c r="G3915" s="3">
        <v>0.39562560000000202</v>
      </c>
      <c r="H3915" s="3">
        <v>0.38771308800000198</v>
      </c>
      <c r="I3915" s="3">
        <v>0.356063040000002</v>
      </c>
      <c r="J3915" s="3">
        <v>0.31650048000000203</v>
      </c>
      <c r="K3915" s="3">
        <v>0.276937920000002</v>
      </c>
      <c r="L3915" s="3">
        <v>0.23737536000000101</v>
      </c>
      <c r="M3915" s="3">
        <v>0.19781280000000101</v>
      </c>
      <c r="N3915" s="3">
        <v>0.15825024000000101</v>
      </c>
      <c r="O3915" s="3">
        <v>0.118687680000001</v>
      </c>
      <c r="P3915" s="3">
        <v>7.9125120000000507E-2</v>
      </c>
    </row>
    <row r="3916" spans="1:16" x14ac:dyDescent="0.3">
      <c r="A3916" s="3" t="str">
        <f t="shared" si="61"/>
        <v>TOM</v>
      </c>
      <c r="C3916" s="3" t="s">
        <v>850</v>
      </c>
      <c r="D3916" s="3" t="s">
        <v>1168</v>
      </c>
      <c r="E3916" s="3" t="s">
        <v>1072</v>
      </c>
      <c r="F3916" s="3" t="s">
        <v>6</v>
      </c>
      <c r="G3916" s="3">
        <v>8.6158423943999995</v>
      </c>
      <c r="H3916" s="3">
        <v>8.4435255465119994</v>
      </c>
      <c r="I3916" s="3">
        <v>7.7542581549599996</v>
      </c>
      <c r="J3916" s="3">
        <v>6.8926739155199996</v>
      </c>
      <c r="K3916" s="3">
        <v>6.0310896760799997</v>
      </c>
      <c r="L3916" s="3">
        <v>5.1695054366399997</v>
      </c>
      <c r="M3916" s="3">
        <v>4.3079211971999998</v>
      </c>
      <c r="N3916" s="3">
        <v>3.4463369577599998</v>
      </c>
      <c r="O3916" s="3">
        <v>2.5847527183199999</v>
      </c>
      <c r="P3916" s="3">
        <v>1.7231684788799999</v>
      </c>
    </row>
    <row r="3917" spans="1:16" x14ac:dyDescent="0.3">
      <c r="A3917" s="3" t="str">
        <f t="shared" si="61"/>
        <v>TOM</v>
      </c>
      <c r="C3917" s="3" t="s">
        <v>850</v>
      </c>
      <c r="D3917" s="3" t="s">
        <v>1168</v>
      </c>
      <c r="E3917" s="3" t="s">
        <v>1072</v>
      </c>
      <c r="F3917" s="3" t="s">
        <v>8</v>
      </c>
      <c r="G3917" s="3">
        <v>2.7979966080000098</v>
      </c>
      <c r="H3917" s="3">
        <v>2.7420366758400099</v>
      </c>
      <c r="I3917" s="3">
        <v>2.5181969472000101</v>
      </c>
      <c r="J3917" s="3">
        <v>2.2383972864000099</v>
      </c>
      <c r="K3917" s="3">
        <v>1.9585976256000099</v>
      </c>
      <c r="L3917" s="3">
        <v>1.67879796480001</v>
      </c>
      <c r="M3917" s="3">
        <v>1.39899830400001</v>
      </c>
      <c r="N3917" s="3">
        <v>1.1191986432000001</v>
      </c>
      <c r="O3917" s="3">
        <v>0.83939898240000399</v>
      </c>
      <c r="P3917" s="3">
        <v>0.55959932160000203</v>
      </c>
    </row>
    <row r="3918" spans="1:16" x14ac:dyDescent="0.3">
      <c r="A3918" s="3" t="str">
        <f t="shared" si="61"/>
        <v>WOD</v>
      </c>
      <c r="C3918" s="3" t="s">
        <v>850</v>
      </c>
      <c r="D3918" s="3" t="s">
        <v>1168</v>
      </c>
      <c r="E3918" s="3" t="s">
        <v>1074</v>
      </c>
      <c r="F3918" s="3" t="s">
        <v>4</v>
      </c>
      <c r="G3918" s="3">
        <v>1.5142163942071201</v>
      </c>
    </row>
    <row r="3919" spans="1:16" x14ac:dyDescent="0.3">
      <c r="A3919" s="3" t="str">
        <f t="shared" si="61"/>
        <v>WOD</v>
      </c>
      <c r="C3919" s="3" t="s">
        <v>850</v>
      </c>
      <c r="D3919" s="3" t="s">
        <v>1168</v>
      </c>
      <c r="E3919" s="3" t="s">
        <v>1074</v>
      </c>
      <c r="F3919" s="3" t="s">
        <v>8</v>
      </c>
      <c r="G3919" s="3">
        <v>0.50606295403131396</v>
      </c>
    </row>
    <row r="3920" spans="1:16" x14ac:dyDescent="0.3">
      <c r="A3920" s="3" t="str">
        <f t="shared" si="61"/>
        <v>WOD</v>
      </c>
      <c r="C3920" s="3" t="s">
        <v>850</v>
      </c>
      <c r="D3920" s="3" t="s">
        <v>1168</v>
      </c>
      <c r="E3920" s="3" t="s">
        <v>1076</v>
      </c>
      <c r="F3920" s="3" t="s">
        <v>0</v>
      </c>
      <c r="G3920" s="3">
        <v>2.7264190282509602</v>
      </c>
      <c r="H3920" s="3">
        <v>2.6718906476859399</v>
      </c>
    </row>
    <row r="3921" spans="1:16" x14ac:dyDescent="0.3">
      <c r="A3921" s="3" t="str">
        <f t="shared" si="61"/>
        <v>WOD</v>
      </c>
      <c r="C3921" s="3" t="s">
        <v>850</v>
      </c>
      <c r="D3921" s="3" t="s">
        <v>1168</v>
      </c>
      <c r="E3921" s="3" t="s">
        <v>1076</v>
      </c>
      <c r="F3921" s="3" t="s">
        <v>3</v>
      </c>
      <c r="G3921" s="3">
        <v>0.52423051352219097</v>
      </c>
      <c r="H3921" s="3">
        <v>0.62694689907242296</v>
      </c>
    </row>
    <row r="3922" spans="1:16" x14ac:dyDescent="0.3">
      <c r="A3922" s="3" t="str">
        <f t="shared" si="61"/>
        <v>TOM</v>
      </c>
      <c r="C3922" s="3" t="s">
        <v>850</v>
      </c>
      <c r="D3922" s="3" t="s">
        <v>1168</v>
      </c>
      <c r="E3922" s="3" t="s">
        <v>1229</v>
      </c>
      <c r="F3922" s="3" t="s">
        <v>0</v>
      </c>
      <c r="I3922" s="3">
        <v>2.8817886647409998</v>
      </c>
      <c r="J3922" s="3">
        <v>2.8817886647409998</v>
      </c>
      <c r="K3922" s="3">
        <v>2.8817886647409998</v>
      </c>
      <c r="L3922" s="3">
        <v>2.8817886647409998</v>
      </c>
      <c r="M3922" s="3">
        <v>2.8817886647409998</v>
      </c>
      <c r="N3922" s="3">
        <v>2.8817886647409998</v>
      </c>
      <c r="O3922" s="3">
        <v>2.9049316125022653</v>
      </c>
      <c r="P3922" s="3">
        <v>3.0556745817277342</v>
      </c>
    </row>
    <row r="3923" spans="1:16" x14ac:dyDescent="0.3">
      <c r="A3923" s="3" t="str">
        <f t="shared" si="61"/>
        <v>TOM</v>
      </c>
      <c r="C3923" s="3" t="s">
        <v>850</v>
      </c>
      <c r="D3923" s="3" t="s">
        <v>1168</v>
      </c>
      <c r="E3923" s="3" t="s">
        <v>1229</v>
      </c>
      <c r="F3923" s="3" t="s">
        <v>1</v>
      </c>
      <c r="J3923" s="3">
        <v>3.0768751640527499</v>
      </c>
      <c r="K3923" s="3">
        <v>3.0768751640527499</v>
      </c>
      <c r="L3923" s="3">
        <v>3.0768751640527499</v>
      </c>
      <c r="M3923" s="3">
        <v>3.0768751640527499</v>
      </c>
      <c r="N3923" s="3">
        <v>3.0768751640527499</v>
      </c>
      <c r="O3923" s="3">
        <v>3.1015848043053085</v>
      </c>
      <c r="P3923" s="3">
        <v>3.2625325184247544</v>
      </c>
    </row>
    <row r="3924" spans="1:16" x14ac:dyDescent="0.3">
      <c r="A3924" s="3" t="str">
        <f t="shared" si="61"/>
        <v>TOM</v>
      </c>
      <c r="C3924" s="3" t="s">
        <v>850</v>
      </c>
      <c r="D3924" s="3" t="s">
        <v>1168</v>
      </c>
      <c r="E3924" s="3" t="s">
        <v>1229</v>
      </c>
      <c r="F3924" s="3" t="s">
        <v>2</v>
      </c>
      <c r="J3924" s="3">
        <v>5.5856604973884103</v>
      </c>
      <c r="K3924" s="3">
        <v>5.5856604973884103</v>
      </c>
      <c r="L3924" s="3">
        <v>5.5856604973884103</v>
      </c>
      <c r="M3924" s="3">
        <v>5.5856604973884103</v>
      </c>
      <c r="N3924" s="3">
        <v>5.5856604973884103</v>
      </c>
      <c r="O3924" s="3">
        <v>5.5856604973884103</v>
      </c>
      <c r="P3924" s="3">
        <v>5.5856604973884103</v>
      </c>
    </row>
    <row r="3925" spans="1:16" x14ac:dyDescent="0.3">
      <c r="A3925" s="3" t="str">
        <f t="shared" si="61"/>
        <v>TOM</v>
      </c>
      <c r="C3925" s="3" t="s">
        <v>850</v>
      </c>
      <c r="D3925" s="3" t="s">
        <v>1168</v>
      </c>
      <c r="E3925" s="3" t="s">
        <v>1229</v>
      </c>
      <c r="F3925" s="3" t="s">
        <v>3</v>
      </c>
      <c r="J3925" s="3">
        <v>0.89612115766289002</v>
      </c>
      <c r="K3925" s="3">
        <v>0.89612115766289002</v>
      </c>
      <c r="L3925" s="3">
        <v>0.91100509243780725</v>
      </c>
      <c r="M3925" s="3">
        <v>0.9473204209399263</v>
      </c>
      <c r="N3925" s="3">
        <v>1.0018583132730252</v>
      </c>
      <c r="O3925" s="3">
        <v>1.0610649241681445</v>
      </c>
      <c r="P3925" s="3">
        <v>1.1161257994471752</v>
      </c>
    </row>
    <row r="3926" spans="1:16" x14ac:dyDescent="0.3">
      <c r="A3926" s="3" t="str">
        <f t="shared" si="61"/>
        <v>TOM</v>
      </c>
      <c r="C3926" s="3" t="s">
        <v>850</v>
      </c>
      <c r="D3926" s="3" t="s">
        <v>1168</v>
      </c>
      <c r="E3926" s="3" t="s">
        <v>1229</v>
      </c>
      <c r="F3926" s="3" t="s">
        <v>4</v>
      </c>
      <c r="I3926" s="3">
        <v>70.020554567097804</v>
      </c>
      <c r="J3926" s="3">
        <v>112.85119430176709</v>
      </c>
      <c r="K3926" s="3">
        <v>125.0233540123524</v>
      </c>
      <c r="L3926" s="3">
        <v>125.0233540123524</v>
      </c>
      <c r="M3926" s="3">
        <v>131.46695388374303</v>
      </c>
      <c r="N3926" s="3">
        <v>137.95272313433264</v>
      </c>
      <c r="O3926" s="3">
        <v>144.42004159299748</v>
      </c>
      <c r="P3926" s="3">
        <v>147.14200734334923</v>
      </c>
    </row>
    <row r="3927" spans="1:16" x14ac:dyDescent="0.3">
      <c r="A3927" s="3" t="str">
        <f t="shared" si="61"/>
        <v>TOM</v>
      </c>
      <c r="C3927" s="3" t="s">
        <v>850</v>
      </c>
      <c r="D3927" s="3" t="s">
        <v>1168</v>
      </c>
      <c r="E3927" s="3" t="s">
        <v>1229</v>
      </c>
      <c r="F3927" s="3" t="s">
        <v>5</v>
      </c>
      <c r="I3927" s="3">
        <v>2.09181843054923</v>
      </c>
      <c r="J3927" s="3">
        <v>78.997444588164129</v>
      </c>
      <c r="K3927" s="3">
        <v>80.482918370529504</v>
      </c>
      <c r="L3927" s="3">
        <v>81.977341229829548</v>
      </c>
      <c r="M3927" s="3">
        <v>83.218372062612104</v>
      </c>
      <c r="N3927" s="3">
        <v>85.549571753950602</v>
      </c>
      <c r="O3927" s="3">
        <v>86.647370253648916</v>
      </c>
      <c r="P3927" s="3">
        <v>89.055999877023396</v>
      </c>
    </row>
    <row r="3928" spans="1:16" x14ac:dyDescent="0.3">
      <c r="A3928" s="3" t="str">
        <f t="shared" si="61"/>
        <v>TOM</v>
      </c>
      <c r="C3928" s="3" t="s">
        <v>850</v>
      </c>
      <c r="D3928" s="3" t="s">
        <v>1168</v>
      </c>
      <c r="E3928" s="3" t="s">
        <v>1229</v>
      </c>
      <c r="F3928" s="3" t="s">
        <v>6</v>
      </c>
      <c r="J3928" s="3">
        <v>30.038562653528398</v>
      </c>
      <c r="K3928" s="3">
        <v>33.489625879272225</v>
      </c>
      <c r="L3928" s="3">
        <v>36.945919500865578</v>
      </c>
      <c r="M3928" s="3">
        <v>40.411888725430359</v>
      </c>
      <c r="N3928" s="3">
        <v>43.874864524622957</v>
      </c>
      <c r="O3928" s="3">
        <v>46.745665899618679</v>
      </c>
      <c r="P3928" s="3">
        <v>48.675029875600046</v>
      </c>
    </row>
    <row r="3929" spans="1:16" x14ac:dyDescent="0.3">
      <c r="A3929" s="3" t="str">
        <f t="shared" si="61"/>
        <v>TOM</v>
      </c>
      <c r="C3929" s="3" t="s">
        <v>850</v>
      </c>
      <c r="D3929" s="3" t="s">
        <v>1168</v>
      </c>
      <c r="E3929" s="3" t="s">
        <v>1229</v>
      </c>
      <c r="F3929" s="3" t="s">
        <v>7</v>
      </c>
      <c r="J3929" s="3">
        <v>2.51520896453306</v>
      </c>
      <c r="K3929" s="3">
        <v>2.871428984406724</v>
      </c>
      <c r="L3929" s="3">
        <v>3.2276490042803858</v>
      </c>
      <c r="M3929" s="3">
        <v>3.583869024154049</v>
      </c>
      <c r="N3929" s="3">
        <v>3.940089044027713</v>
      </c>
      <c r="O3929" s="3">
        <v>4.3393938333314388</v>
      </c>
      <c r="P3929" s="3">
        <v>4.9762490661121479</v>
      </c>
    </row>
    <row r="3930" spans="1:16" x14ac:dyDescent="0.3">
      <c r="A3930" s="3" t="str">
        <f t="shared" si="61"/>
        <v>TOM</v>
      </c>
      <c r="C3930" s="3" t="s">
        <v>850</v>
      </c>
      <c r="D3930" s="3" t="s">
        <v>1168</v>
      </c>
      <c r="E3930" s="3" t="s">
        <v>1229</v>
      </c>
      <c r="F3930" s="3" t="s">
        <v>8</v>
      </c>
      <c r="I3930" s="3">
        <v>34.263879538707101</v>
      </c>
      <c r="J3930" s="3">
        <v>34.543679199507096</v>
      </c>
      <c r="K3930" s="3">
        <v>34.823478860307098</v>
      </c>
      <c r="L3930" s="3">
        <v>34.823478860307098</v>
      </c>
      <c r="M3930" s="3">
        <v>36.20297710782188</v>
      </c>
      <c r="N3930" s="3">
        <v>40.002951851446603</v>
      </c>
      <c r="O3930" s="3">
        <v>42.712938626782822</v>
      </c>
      <c r="P3930" s="3">
        <v>45.252760058719389</v>
      </c>
    </row>
    <row r="3931" spans="1:16" x14ac:dyDescent="0.3">
      <c r="A3931" s="3" t="str">
        <f t="shared" si="61"/>
        <v>NGA</v>
      </c>
      <c r="C3931" s="3" t="s">
        <v>850</v>
      </c>
      <c r="D3931" s="3" t="s">
        <v>1168</v>
      </c>
      <c r="E3931" s="3" t="s">
        <v>1087</v>
      </c>
      <c r="F3931" s="3" t="s">
        <v>2</v>
      </c>
      <c r="N3931" s="3">
        <v>0.110843452043665</v>
      </c>
      <c r="O3931" s="3">
        <v>0.110843452043665</v>
      </c>
      <c r="P3931" s="3">
        <v>0.56323814553098195</v>
      </c>
    </row>
    <row r="3932" spans="1:16" x14ac:dyDescent="0.3">
      <c r="A3932" s="3" t="str">
        <f t="shared" si="61"/>
        <v>STM</v>
      </c>
      <c r="C3932" s="3" t="s">
        <v>850</v>
      </c>
      <c r="D3932" s="3" t="s">
        <v>771</v>
      </c>
      <c r="E3932" s="3" t="s">
        <v>1230</v>
      </c>
      <c r="F3932" s="3" t="s">
        <v>0</v>
      </c>
      <c r="G3932" s="3">
        <v>6.3655012028275104</v>
      </c>
      <c r="H3932" s="3">
        <v>7.14010807901884</v>
      </c>
      <c r="I3932" s="3">
        <v>7.14010807901884</v>
      </c>
      <c r="J3932" s="3">
        <v>7.14010807901884</v>
      </c>
      <c r="K3932" s="3">
        <v>7.14010807901884</v>
      </c>
      <c r="L3932" s="3">
        <v>7.1401080790188303</v>
      </c>
      <c r="M3932" s="3">
        <v>7.14010807901884</v>
      </c>
      <c r="N3932" s="3">
        <v>7.14010807901884</v>
      </c>
      <c r="O3932" s="3">
        <v>7.1974485600555997</v>
      </c>
      <c r="P3932" s="3">
        <v>7.5709391999456601</v>
      </c>
    </row>
    <row r="3933" spans="1:16" x14ac:dyDescent="0.3">
      <c r="A3933" s="3" t="str">
        <f t="shared" si="61"/>
        <v>STM</v>
      </c>
      <c r="C3933" s="3" t="s">
        <v>850</v>
      </c>
      <c r="D3933" s="3" t="s">
        <v>771</v>
      </c>
      <c r="E3933" s="3" t="s">
        <v>1230</v>
      </c>
      <c r="F3933" s="3" t="s">
        <v>1</v>
      </c>
      <c r="G3933" s="3">
        <v>4.3715248508121602</v>
      </c>
      <c r="H3933" s="3">
        <v>4.4519383905745</v>
      </c>
      <c r="I3933" s="3">
        <v>4.3715248508121602</v>
      </c>
      <c r="J3933" s="3">
        <v>4.5362845727940098</v>
      </c>
      <c r="K3933" s="3">
        <v>4.5362845727940098</v>
      </c>
      <c r="L3933" s="3">
        <v>4.5362845727940098</v>
      </c>
      <c r="M3933" s="3">
        <v>4.5362845727940098</v>
      </c>
      <c r="N3933" s="3">
        <v>4.5362845727940098</v>
      </c>
      <c r="O3933" s="3">
        <v>4.5727143770273804</v>
      </c>
      <c r="P3933" s="3">
        <v>4.8100020775868098</v>
      </c>
    </row>
    <row r="3934" spans="1:16" x14ac:dyDescent="0.3">
      <c r="A3934" s="3" t="str">
        <f t="shared" si="61"/>
        <v>STM</v>
      </c>
      <c r="C3934" s="3" t="s">
        <v>850</v>
      </c>
      <c r="D3934" s="3" t="s">
        <v>771</v>
      </c>
      <c r="E3934" s="3" t="s">
        <v>1230</v>
      </c>
      <c r="F3934" s="3" t="s">
        <v>2</v>
      </c>
      <c r="G3934" s="3">
        <v>8.2653556930487202</v>
      </c>
      <c r="H3934" s="3">
        <v>8.6324015202246205</v>
      </c>
      <c r="I3934" s="3">
        <v>7.0524889862664901</v>
      </c>
      <c r="J3934" s="3">
        <v>8.6324015202246205</v>
      </c>
      <c r="K3934" s="3">
        <v>8.6324015202246205</v>
      </c>
      <c r="L3934" s="3">
        <v>8.6324015202246205</v>
      </c>
      <c r="M3934" s="3">
        <v>8.6324015202246205</v>
      </c>
      <c r="N3934" s="3">
        <v>8.6324015202246205</v>
      </c>
      <c r="O3934" s="3">
        <v>8.7017262489534293</v>
      </c>
      <c r="P3934" s="3">
        <v>9.1532770002719808</v>
      </c>
    </row>
    <row r="3935" spans="1:16" x14ac:dyDescent="0.3">
      <c r="A3935" s="3" t="str">
        <f t="shared" ref="A3935:A3998" si="62">RIGHT(E3935,3)</f>
        <v>STM</v>
      </c>
      <c r="C3935" s="3" t="s">
        <v>850</v>
      </c>
      <c r="D3935" s="3" t="s">
        <v>771</v>
      </c>
      <c r="E3935" s="3" t="s">
        <v>1230</v>
      </c>
      <c r="F3935" s="3" t="s">
        <v>3</v>
      </c>
      <c r="G3935" s="3">
        <v>0.72145044746429698</v>
      </c>
      <c r="H3935" s="3">
        <v>1.61883718780643</v>
      </c>
      <c r="I3935" s="3">
        <v>1.96003103331273</v>
      </c>
      <c r="J3935" s="3">
        <v>1.96003103331273</v>
      </c>
      <c r="K3935" s="3">
        <v>1.96003103331273</v>
      </c>
      <c r="L3935" s="3">
        <v>1.99258575407474</v>
      </c>
      <c r="M3935" s="3">
        <v>2.0720160523557598</v>
      </c>
      <c r="N3935" s="3">
        <v>2.1913034506615099</v>
      </c>
      <c r="O3935" s="3">
        <v>2.3208024517054802</v>
      </c>
      <c r="P3935" s="3">
        <v>2.4412337386418601</v>
      </c>
    </row>
    <row r="3936" spans="1:16" x14ac:dyDescent="0.3">
      <c r="A3936" s="3" t="str">
        <f t="shared" si="62"/>
        <v>STM</v>
      </c>
      <c r="C3936" s="3" t="s">
        <v>850</v>
      </c>
      <c r="D3936" s="3" t="s">
        <v>771</v>
      </c>
      <c r="E3936" s="3" t="s">
        <v>1230</v>
      </c>
      <c r="F3936" s="3" t="s">
        <v>4</v>
      </c>
      <c r="G3936" s="3">
        <v>34.384543956048603</v>
      </c>
      <c r="H3936" s="3">
        <v>34.933007260033001</v>
      </c>
      <c r="I3936" s="3">
        <v>37.631005868980097</v>
      </c>
      <c r="J3936" s="3">
        <v>38.665663772981802</v>
      </c>
      <c r="K3936" s="3">
        <v>38.665663772981802</v>
      </c>
      <c r="L3936" s="3">
        <v>39.925170398455798</v>
      </c>
      <c r="M3936" s="3">
        <v>40.955638608774301</v>
      </c>
      <c r="N3936" s="3">
        <v>43.394939353477902</v>
      </c>
      <c r="O3936" s="3">
        <v>43.394939353477902</v>
      </c>
      <c r="P3936" s="3">
        <v>43.394939353477902</v>
      </c>
    </row>
    <row r="3937" spans="1:16" x14ac:dyDescent="0.3">
      <c r="A3937" s="3" t="str">
        <f t="shared" si="62"/>
        <v>STM</v>
      </c>
      <c r="C3937" s="3" t="s">
        <v>850</v>
      </c>
      <c r="D3937" s="3" t="s">
        <v>771</v>
      </c>
      <c r="E3937" s="3" t="s">
        <v>1230</v>
      </c>
      <c r="F3937" s="3" t="s">
        <v>5</v>
      </c>
      <c r="G3937" s="3">
        <v>12.490763166879001</v>
      </c>
      <c r="H3937" s="3">
        <v>13.198469083089501</v>
      </c>
      <c r="I3937" s="3">
        <v>13.5390670004528</v>
      </c>
      <c r="J3937" s="3">
        <v>14.0371121499486</v>
      </c>
      <c r="K3937" s="3">
        <v>14.381897576105199</v>
      </c>
      <c r="L3937" s="3">
        <v>14.620770661102499</v>
      </c>
      <c r="M3937" s="3">
        <v>15.203597358691299</v>
      </c>
      <c r="N3937" s="3">
        <v>16.078878981989799</v>
      </c>
      <c r="O3937" s="3">
        <v>16.078878981989799</v>
      </c>
      <c r="P3937" s="3">
        <v>16.078878981989799</v>
      </c>
    </row>
    <row r="3938" spans="1:16" x14ac:dyDescent="0.3">
      <c r="A3938" s="3" t="str">
        <f t="shared" si="62"/>
        <v>STM</v>
      </c>
      <c r="C3938" s="3" t="s">
        <v>850</v>
      </c>
      <c r="D3938" s="3" t="s">
        <v>771</v>
      </c>
      <c r="E3938" s="3" t="s">
        <v>1230</v>
      </c>
      <c r="F3938" s="3" t="s">
        <v>6</v>
      </c>
      <c r="G3938" s="3">
        <v>15.9365035925053</v>
      </c>
      <c r="H3938" s="3">
        <v>16.803179314659001</v>
      </c>
      <c r="I3938" s="3">
        <v>19.626954730616902</v>
      </c>
      <c r="J3938" s="3">
        <v>19.377943033948199</v>
      </c>
      <c r="K3938" s="3">
        <v>19.377943033948199</v>
      </c>
      <c r="L3938" s="3">
        <v>19.9529444827199</v>
      </c>
      <c r="M3938" s="3">
        <v>20.4993155336225</v>
      </c>
      <c r="N3938" s="3">
        <v>21.251036716130301</v>
      </c>
      <c r="O3938" s="3">
        <v>21.251036716130301</v>
      </c>
      <c r="P3938" s="3">
        <v>21.251036716130301</v>
      </c>
    </row>
    <row r="3939" spans="1:16" x14ac:dyDescent="0.3">
      <c r="A3939" s="3" t="str">
        <f t="shared" si="62"/>
        <v>STM</v>
      </c>
      <c r="C3939" s="3" t="s">
        <v>850</v>
      </c>
      <c r="D3939" s="3" t="s">
        <v>771</v>
      </c>
      <c r="E3939" s="3" t="s">
        <v>1230</v>
      </c>
      <c r="F3939" s="3" t="s">
        <v>7</v>
      </c>
      <c r="H3939" s="3">
        <v>1.58321086308489</v>
      </c>
      <c r="J3939" s="3">
        <v>1.58321086308489</v>
      </c>
      <c r="K3939" s="3">
        <v>1.58321086308489</v>
      </c>
      <c r="L3939" s="3">
        <v>1.58321086308489</v>
      </c>
      <c r="M3939" s="3">
        <v>1.58321086308489</v>
      </c>
      <c r="N3939" s="3">
        <v>1.58321086308489</v>
      </c>
      <c r="O3939" s="3">
        <v>1.59592524660223</v>
      </c>
      <c r="P3939" s="3">
        <v>1.67874114123442</v>
      </c>
    </row>
    <row r="3940" spans="1:16" x14ac:dyDescent="0.3">
      <c r="A3940" s="3" t="str">
        <f t="shared" si="62"/>
        <v>STM</v>
      </c>
      <c r="C3940" s="3" t="s">
        <v>850</v>
      </c>
      <c r="D3940" s="3" t="s">
        <v>771</v>
      </c>
      <c r="E3940" s="3" t="s">
        <v>1230</v>
      </c>
      <c r="F3940" s="3" t="s">
        <v>8</v>
      </c>
      <c r="G3940" s="3">
        <v>3.2513453562560599</v>
      </c>
      <c r="H3940" s="3">
        <v>7.0553042732635296</v>
      </c>
      <c r="I3940" s="3">
        <v>4.6970635709086999</v>
      </c>
      <c r="J3940" s="3">
        <v>7.4128729970179004</v>
      </c>
      <c r="K3940" s="3">
        <v>7.4128729970179004</v>
      </c>
      <c r="L3940" s="3">
        <v>7.5359955427126302</v>
      </c>
      <c r="M3940" s="3">
        <v>7.8364023746785998</v>
      </c>
      <c r="N3940" s="3">
        <v>8.28754948345202</v>
      </c>
      <c r="O3940" s="3">
        <v>8.7773170594057301</v>
      </c>
      <c r="P3940" s="3">
        <v>9.2327903757735506</v>
      </c>
    </row>
    <row r="3941" spans="1:16" x14ac:dyDescent="0.3">
      <c r="A3941" s="3" t="str">
        <f t="shared" si="62"/>
        <v>RFL</v>
      </c>
      <c r="C3941" s="3" t="s">
        <v>850</v>
      </c>
      <c r="D3941" s="3" t="s">
        <v>771</v>
      </c>
      <c r="E3941" s="3" t="s">
        <v>1054</v>
      </c>
      <c r="F3941" s="3" t="s">
        <v>0</v>
      </c>
      <c r="G3941" s="3">
        <v>3.1547133161673501E-3</v>
      </c>
    </row>
    <row r="3942" spans="1:16" x14ac:dyDescent="0.3">
      <c r="A3942" s="3" t="str">
        <f t="shared" si="62"/>
        <v>RFL</v>
      </c>
      <c r="C3942" s="3" t="s">
        <v>850</v>
      </c>
      <c r="D3942" s="3" t="s">
        <v>771</v>
      </c>
      <c r="E3942" s="3" t="s">
        <v>1054</v>
      </c>
      <c r="F3942" s="3" t="s">
        <v>1</v>
      </c>
      <c r="G3942" s="3">
        <v>8.0413539762340003E-2</v>
      </c>
      <c r="I3942" s="3">
        <v>8.0413539762340003E-2</v>
      </c>
    </row>
    <row r="3943" spans="1:16" x14ac:dyDescent="0.3">
      <c r="A3943" s="3" t="str">
        <f t="shared" si="62"/>
        <v>RFL</v>
      </c>
      <c r="C3943" s="3" t="s">
        <v>850</v>
      </c>
      <c r="D3943" s="3" t="s">
        <v>771</v>
      </c>
      <c r="E3943" s="3" t="s">
        <v>1054</v>
      </c>
      <c r="F3943" s="3" t="s">
        <v>5</v>
      </c>
      <c r="G3943" s="3">
        <v>0.49804514949578299</v>
      </c>
      <c r="I3943" s="3">
        <v>0.49804514949578299</v>
      </c>
    </row>
    <row r="3944" spans="1:16" x14ac:dyDescent="0.3">
      <c r="A3944" s="3" t="str">
        <f t="shared" si="62"/>
        <v>RFL</v>
      </c>
      <c r="C3944" s="3" t="s">
        <v>850</v>
      </c>
      <c r="D3944" s="3" t="s">
        <v>771</v>
      </c>
      <c r="E3944" s="3" t="s">
        <v>1054</v>
      </c>
      <c r="F3944" s="3" t="s">
        <v>6</v>
      </c>
      <c r="G3944" s="3">
        <v>8.2192154982489996E-2</v>
      </c>
    </row>
    <row r="3945" spans="1:16" x14ac:dyDescent="0.3">
      <c r="A3945" s="3" t="str">
        <f t="shared" si="62"/>
        <v>COA</v>
      </c>
      <c r="C3945" s="3" t="s">
        <v>850</v>
      </c>
      <c r="D3945" s="3" t="s">
        <v>771</v>
      </c>
      <c r="E3945" s="3" t="s">
        <v>1056</v>
      </c>
      <c r="F3945" s="3" t="s">
        <v>4</v>
      </c>
      <c r="G3945" s="3">
        <v>5.2824827953378797E-2</v>
      </c>
      <c r="I3945" s="3">
        <v>5.2824827953378797E-2</v>
      </c>
      <c r="J3945" s="3">
        <v>5.2824827953378797E-2</v>
      </c>
      <c r="K3945" s="3">
        <v>5.2824827953378797E-2</v>
      </c>
      <c r="L3945" s="3">
        <v>5.2824827953378797E-2</v>
      </c>
      <c r="M3945" s="3">
        <v>5.2824827953378797E-2</v>
      </c>
      <c r="N3945" s="3">
        <v>5.2824827953378797E-2</v>
      </c>
      <c r="O3945" s="3">
        <v>5.2824827953378797E-2</v>
      </c>
      <c r="P3945" s="3">
        <v>5.2824827953378797E-2</v>
      </c>
    </row>
    <row r="3946" spans="1:16" x14ac:dyDescent="0.3">
      <c r="A3946" s="3" t="str">
        <f t="shared" si="62"/>
        <v>ELC</v>
      </c>
      <c r="C3946" s="3" t="s">
        <v>850</v>
      </c>
      <c r="D3946" s="3" t="s">
        <v>771</v>
      </c>
      <c r="E3946" s="3" t="s">
        <v>1169</v>
      </c>
      <c r="F3946" s="3" t="s">
        <v>1</v>
      </c>
      <c r="G3946" s="3">
        <v>8.4346182219501395E-2</v>
      </c>
      <c r="H3946" s="3">
        <v>8.4346182219501395E-2</v>
      </c>
      <c r="I3946" s="3">
        <v>8.4346182219501395E-2</v>
      </c>
    </row>
    <row r="3947" spans="1:16" x14ac:dyDescent="0.3">
      <c r="A3947" s="3" t="str">
        <f t="shared" si="62"/>
        <v>ELC</v>
      </c>
      <c r="C3947" s="3" t="s">
        <v>850</v>
      </c>
      <c r="D3947" s="3" t="s">
        <v>771</v>
      </c>
      <c r="E3947" s="3" t="s">
        <v>1169</v>
      </c>
      <c r="F3947" s="3" t="s">
        <v>2</v>
      </c>
      <c r="G3947" s="3">
        <v>0.27183569583884998</v>
      </c>
      <c r="I3947" s="3">
        <v>0.27183569583884998</v>
      </c>
    </row>
    <row r="3948" spans="1:16" x14ac:dyDescent="0.3">
      <c r="A3948" s="3" t="str">
        <f t="shared" si="62"/>
        <v>ELC</v>
      </c>
      <c r="C3948" s="3" t="s">
        <v>850</v>
      </c>
      <c r="D3948" s="3" t="s">
        <v>771</v>
      </c>
      <c r="E3948" s="3" t="s">
        <v>1169</v>
      </c>
      <c r="F3948" s="3" t="s">
        <v>3</v>
      </c>
      <c r="G3948" s="3">
        <v>6.2464372660842198E-2</v>
      </c>
      <c r="H3948" s="3">
        <v>6.2464372660842198E-2</v>
      </c>
    </row>
    <row r="3949" spans="1:16" x14ac:dyDescent="0.3">
      <c r="A3949" s="3" t="str">
        <f t="shared" si="62"/>
        <v>ELC</v>
      </c>
      <c r="C3949" s="3" t="s">
        <v>850</v>
      </c>
      <c r="D3949" s="3" t="s">
        <v>771</v>
      </c>
      <c r="E3949" s="3" t="s">
        <v>1169</v>
      </c>
      <c r="F3949" s="3" t="s">
        <v>4</v>
      </c>
      <c r="G3949" s="3">
        <v>0.59379712282528996</v>
      </c>
      <c r="H3949" s="3">
        <v>0.59379712282528996</v>
      </c>
      <c r="I3949" s="3">
        <v>0.59379712282528996</v>
      </c>
      <c r="J3949" s="3">
        <v>0.59379712282528996</v>
      </c>
      <c r="K3949" s="3">
        <v>0.59379712282528996</v>
      </c>
      <c r="M3949" s="3">
        <v>0.59379712282528996</v>
      </c>
      <c r="N3949" s="3">
        <v>0.59379712282528996</v>
      </c>
      <c r="O3949" s="3">
        <v>3.2419143101518699</v>
      </c>
      <c r="P3949" s="3">
        <v>3.2419143101518699</v>
      </c>
    </row>
    <row r="3950" spans="1:16" x14ac:dyDescent="0.3">
      <c r="A3950" s="3" t="str">
        <f t="shared" si="62"/>
        <v>ELC</v>
      </c>
      <c r="C3950" s="3" t="s">
        <v>850</v>
      </c>
      <c r="D3950" s="3" t="s">
        <v>771</v>
      </c>
      <c r="E3950" s="3" t="s">
        <v>1169</v>
      </c>
      <c r="F3950" s="3" t="s">
        <v>5</v>
      </c>
      <c r="G3950" s="3">
        <v>0.34478542615662</v>
      </c>
      <c r="H3950" s="3">
        <v>0.34478542615662</v>
      </c>
      <c r="I3950" s="3">
        <v>0.34478542615662</v>
      </c>
      <c r="J3950" s="3">
        <v>0.34478542615662</v>
      </c>
      <c r="O3950" s="3">
        <v>0.34478542615662</v>
      </c>
      <c r="P3950" s="3">
        <v>0.34478542615662</v>
      </c>
    </row>
    <row r="3951" spans="1:16" x14ac:dyDescent="0.3">
      <c r="A3951" s="3" t="str">
        <f t="shared" si="62"/>
        <v>ELC</v>
      </c>
      <c r="C3951" s="3" t="s">
        <v>850</v>
      </c>
      <c r="D3951" s="3" t="s">
        <v>771</v>
      </c>
      <c r="E3951" s="3" t="s">
        <v>1169</v>
      </c>
      <c r="F3951" s="3" t="s">
        <v>6</v>
      </c>
      <c r="G3951" s="3">
        <v>0.24901169666867001</v>
      </c>
      <c r="J3951" s="3">
        <v>0.24901169666867001</v>
      </c>
      <c r="K3951" s="3">
        <v>0.24901169666867001</v>
      </c>
      <c r="M3951" s="3">
        <v>0.24901169666867001</v>
      </c>
      <c r="N3951" s="3">
        <v>0.69178607402084302</v>
      </c>
      <c r="O3951" s="3">
        <v>1.988536476413403</v>
      </c>
      <c r="P3951" s="3">
        <v>3.010306623396013</v>
      </c>
    </row>
    <row r="3952" spans="1:16" x14ac:dyDescent="0.3">
      <c r="A3952" s="3" t="str">
        <f t="shared" si="62"/>
        <v>ELC</v>
      </c>
      <c r="C3952" s="3" t="s">
        <v>850</v>
      </c>
      <c r="D3952" s="3" t="s">
        <v>771</v>
      </c>
      <c r="E3952" s="3" t="s">
        <v>1169</v>
      </c>
      <c r="F3952" s="3" t="s">
        <v>7</v>
      </c>
      <c r="G3952" s="3">
        <v>4.9354566053011098E-2</v>
      </c>
      <c r="I3952" s="3">
        <v>4.9354566053007302E-2</v>
      </c>
    </row>
    <row r="3953" spans="1:16" x14ac:dyDescent="0.3">
      <c r="A3953" s="3" t="str">
        <f t="shared" si="62"/>
        <v>ELC</v>
      </c>
      <c r="C3953" s="3" t="s">
        <v>850</v>
      </c>
      <c r="D3953" s="3" t="s">
        <v>771</v>
      </c>
      <c r="E3953" s="3" t="s">
        <v>1169</v>
      </c>
      <c r="F3953" s="3" t="s">
        <v>8</v>
      </c>
      <c r="G3953" s="3">
        <v>8.6738078482221995E-2</v>
      </c>
    </row>
    <row r="3954" spans="1:16" x14ac:dyDescent="0.3">
      <c r="A3954" s="3" t="str">
        <f t="shared" si="62"/>
        <v>NGA</v>
      </c>
      <c r="C3954" s="3" t="s">
        <v>850</v>
      </c>
      <c r="D3954" s="3" t="s">
        <v>771</v>
      </c>
      <c r="E3954" s="3" t="s">
        <v>1058</v>
      </c>
      <c r="F3954" s="3" t="s">
        <v>0</v>
      </c>
      <c r="G3954" s="3">
        <v>0.77145216287516405</v>
      </c>
    </row>
    <row r="3955" spans="1:16" x14ac:dyDescent="0.3">
      <c r="A3955" s="3" t="str">
        <f t="shared" si="62"/>
        <v>NGA</v>
      </c>
      <c r="C3955" s="3" t="s">
        <v>850</v>
      </c>
      <c r="D3955" s="3" t="s">
        <v>771</v>
      </c>
      <c r="E3955" s="3" t="s">
        <v>1058</v>
      </c>
      <c r="F3955" s="3" t="s">
        <v>2</v>
      </c>
      <c r="I3955" s="3">
        <v>1.2128667067822301</v>
      </c>
    </row>
    <row r="3956" spans="1:16" x14ac:dyDescent="0.3">
      <c r="A3956" s="3" t="str">
        <f t="shared" si="62"/>
        <v>NGA</v>
      </c>
      <c r="C3956" s="3" t="s">
        <v>850</v>
      </c>
      <c r="D3956" s="3" t="s">
        <v>771</v>
      </c>
      <c r="E3956" s="3" t="s">
        <v>1058</v>
      </c>
      <c r="F3956" s="3" t="s">
        <v>4</v>
      </c>
      <c r="G3956" s="3">
        <v>1.8029274367780601</v>
      </c>
      <c r="H3956" s="3">
        <v>1.8029274367780601</v>
      </c>
      <c r="I3956" s="3">
        <v>1.8029274367780601</v>
      </c>
    </row>
    <row r="3957" spans="1:16" x14ac:dyDescent="0.3">
      <c r="A3957" s="3" t="str">
        <f t="shared" si="62"/>
        <v>NGA</v>
      </c>
      <c r="C3957" s="3" t="s">
        <v>850</v>
      </c>
      <c r="D3957" s="3" t="s">
        <v>771</v>
      </c>
      <c r="E3957" s="3" t="s">
        <v>1058</v>
      </c>
      <c r="F3957" s="3" t="s">
        <v>6</v>
      </c>
      <c r="G3957" s="3">
        <v>2.1758354775311801</v>
      </c>
      <c r="H3957" s="3">
        <v>1.87704596881449</v>
      </c>
    </row>
    <row r="3958" spans="1:16" x14ac:dyDescent="0.3">
      <c r="A3958" s="3" t="str">
        <f t="shared" si="62"/>
        <v>NGA</v>
      </c>
      <c r="C3958" s="3" t="s">
        <v>850</v>
      </c>
      <c r="D3958" s="3" t="s">
        <v>771</v>
      </c>
      <c r="E3958" s="3" t="s">
        <v>1058</v>
      </c>
      <c r="F3958" s="3" t="s">
        <v>7</v>
      </c>
      <c r="G3958" s="3">
        <v>1.5338562970318801</v>
      </c>
      <c r="I3958" s="3">
        <v>1.5338562970318801</v>
      </c>
    </row>
    <row r="3959" spans="1:16" x14ac:dyDescent="0.3">
      <c r="A3959" s="3" t="str">
        <f t="shared" si="62"/>
        <v>NGA</v>
      </c>
      <c r="C3959" s="3" t="s">
        <v>850</v>
      </c>
      <c r="D3959" s="3" t="s">
        <v>771</v>
      </c>
      <c r="E3959" s="3" t="s">
        <v>1058</v>
      </c>
      <c r="F3959" s="3" t="s">
        <v>8</v>
      </c>
      <c r="G3959" s="3">
        <v>3.6278286575866399</v>
      </c>
      <c r="I3959" s="3">
        <v>2.7158094261092001</v>
      </c>
    </row>
    <row r="3960" spans="1:16" x14ac:dyDescent="0.3">
      <c r="A3960" s="3" t="str">
        <f t="shared" si="62"/>
        <v>COA</v>
      </c>
      <c r="C3960" s="3" t="s">
        <v>850</v>
      </c>
      <c r="D3960" s="3" t="s">
        <v>771</v>
      </c>
      <c r="E3960" s="3" t="s">
        <v>1059</v>
      </c>
      <c r="F3960" s="3" t="s">
        <v>4</v>
      </c>
      <c r="G3960" s="3">
        <v>0.65156033952444403</v>
      </c>
      <c r="H3960" s="3">
        <v>0.65156033952444403</v>
      </c>
      <c r="J3960" s="3">
        <v>0.65156033952444403</v>
      </c>
      <c r="K3960" s="3">
        <v>0.65156033952444403</v>
      </c>
      <c r="L3960" s="3">
        <v>0.65156033952444403</v>
      </c>
      <c r="M3960" s="3">
        <v>0.65156033952444403</v>
      </c>
      <c r="N3960" s="3">
        <v>0.65156033952444403</v>
      </c>
      <c r="O3960" s="3">
        <v>0.65156033952444403</v>
      </c>
      <c r="P3960" s="3">
        <v>0.65156033952444403</v>
      </c>
    </row>
    <row r="3961" spans="1:16" x14ac:dyDescent="0.3">
      <c r="A3961" s="3" t="str">
        <f t="shared" si="62"/>
        <v>COA</v>
      </c>
      <c r="C3961" s="3" t="s">
        <v>850</v>
      </c>
      <c r="D3961" s="3" t="s">
        <v>771</v>
      </c>
      <c r="E3961" s="3" t="s">
        <v>1063</v>
      </c>
      <c r="F3961" s="3" t="s">
        <v>2</v>
      </c>
      <c r="G3961" s="3">
        <v>9.5210131337042897E-2</v>
      </c>
      <c r="I3961" s="3">
        <v>9.5210131337042897E-2</v>
      </c>
    </row>
    <row r="3962" spans="1:16" x14ac:dyDescent="0.3">
      <c r="A3962" s="3" t="str">
        <f t="shared" si="62"/>
        <v>COA</v>
      </c>
      <c r="C3962" s="3" t="s">
        <v>850</v>
      </c>
      <c r="D3962" s="3" t="s">
        <v>771</v>
      </c>
      <c r="E3962" s="3" t="s">
        <v>1063</v>
      </c>
      <c r="F3962" s="3" t="s">
        <v>4</v>
      </c>
      <c r="G3962" s="3">
        <v>0.11670919325185899</v>
      </c>
      <c r="H3962" s="3">
        <v>0.11670919325185899</v>
      </c>
      <c r="J3962" s="3">
        <v>0.11670919325185899</v>
      </c>
      <c r="K3962" s="3">
        <v>0.11670919325185899</v>
      </c>
      <c r="L3962" s="3">
        <v>0.11670919325185899</v>
      </c>
      <c r="M3962" s="3">
        <v>0.11670919325185899</v>
      </c>
      <c r="N3962" s="3">
        <v>0.11670919325185899</v>
      </c>
      <c r="O3962" s="3">
        <v>0.11670919325185899</v>
      </c>
      <c r="P3962" s="3">
        <v>0.11670919325185899</v>
      </c>
    </row>
    <row r="3963" spans="1:16" x14ac:dyDescent="0.3">
      <c r="A3963" s="3" t="str">
        <f t="shared" si="62"/>
        <v>COA</v>
      </c>
      <c r="C3963" s="3" t="s">
        <v>850</v>
      </c>
      <c r="D3963" s="3" t="s">
        <v>771</v>
      </c>
      <c r="E3963" s="3" t="s">
        <v>1231</v>
      </c>
      <c r="F3963" s="3" t="s">
        <v>4</v>
      </c>
      <c r="P3963" s="3">
        <v>2.4626920536616002</v>
      </c>
    </row>
    <row r="3964" spans="1:16" x14ac:dyDescent="0.3">
      <c r="A3964" s="3" t="str">
        <f t="shared" si="62"/>
        <v>COA</v>
      </c>
      <c r="C3964" s="3" t="s">
        <v>850</v>
      </c>
      <c r="D3964" s="3" t="s">
        <v>771</v>
      </c>
      <c r="E3964" s="3" t="s">
        <v>1231</v>
      </c>
      <c r="F3964" s="3" t="s">
        <v>5</v>
      </c>
      <c r="O3964" s="3">
        <v>0.605424717238215</v>
      </c>
      <c r="P3964" s="3">
        <v>1.4890997225008289</v>
      </c>
    </row>
    <row r="3965" spans="1:16" x14ac:dyDescent="0.3">
      <c r="A3965" s="3" t="str">
        <f t="shared" si="62"/>
        <v>COA</v>
      </c>
      <c r="C3965" s="3" t="s">
        <v>850</v>
      </c>
      <c r="D3965" s="3" t="s">
        <v>771</v>
      </c>
      <c r="E3965" s="3" t="s">
        <v>1231</v>
      </c>
      <c r="F3965" s="3" t="s">
        <v>6</v>
      </c>
      <c r="P3965" s="3">
        <v>0.18417984905145199</v>
      </c>
    </row>
    <row r="3966" spans="1:16" x14ac:dyDescent="0.3">
      <c r="A3966" s="3" t="str">
        <f t="shared" si="62"/>
        <v>EXT</v>
      </c>
      <c r="C3966" s="3" t="s">
        <v>850</v>
      </c>
      <c r="D3966" s="3" t="s">
        <v>1170</v>
      </c>
      <c r="E3966" s="3" t="s">
        <v>1171</v>
      </c>
      <c r="F3966" s="3" t="s">
        <v>0</v>
      </c>
      <c r="G3966" s="3">
        <v>7.3643678189191304</v>
      </c>
      <c r="H3966" s="3">
        <v>7.3643678189191304</v>
      </c>
      <c r="I3966" s="3">
        <v>7.3643678189191304</v>
      </c>
      <c r="J3966" s="3">
        <v>7.3643678189191304</v>
      </c>
      <c r="K3966" s="3">
        <v>7.3643678189191304</v>
      </c>
      <c r="L3966" s="3">
        <v>7.3643678189191304</v>
      </c>
      <c r="M3966" s="3">
        <v>7.3643678189191304</v>
      </c>
      <c r="N3966" s="3">
        <v>7.3643678189191304</v>
      </c>
      <c r="O3966" s="3">
        <v>7.4235092756863601</v>
      </c>
      <c r="P3966" s="3">
        <v>7.8087306783085797</v>
      </c>
    </row>
    <row r="3967" spans="1:16" x14ac:dyDescent="0.3">
      <c r="A3967" s="3" t="str">
        <f t="shared" si="62"/>
        <v>EXT</v>
      </c>
      <c r="C3967" s="3" t="s">
        <v>850</v>
      </c>
      <c r="D3967" s="3" t="s">
        <v>1170</v>
      </c>
      <c r="E3967" s="3" t="s">
        <v>1171</v>
      </c>
      <c r="F3967" s="3" t="s">
        <v>1</v>
      </c>
      <c r="G3967" s="3">
        <v>6.1030137926704997</v>
      </c>
      <c r="H3967" s="3">
        <v>6.1030137926704997</v>
      </c>
      <c r="I3967" s="3">
        <v>6.1030137926704997</v>
      </c>
      <c r="J3967" s="3">
        <v>6.1030137926704997</v>
      </c>
      <c r="K3967" s="3">
        <v>6.1030137926704997</v>
      </c>
      <c r="L3967" s="3">
        <v>6.1030137926704997</v>
      </c>
      <c r="M3967" s="3">
        <v>6.1030137926704997</v>
      </c>
      <c r="N3967" s="3">
        <v>6.1030137926704997</v>
      </c>
      <c r="O3967" s="3">
        <v>6.1520256203309502</v>
      </c>
      <c r="P3967" s="3">
        <v>6.4712670801878902</v>
      </c>
    </row>
    <row r="3968" spans="1:16" x14ac:dyDescent="0.3">
      <c r="A3968" s="3" t="str">
        <f t="shared" si="62"/>
        <v>EXT</v>
      </c>
      <c r="C3968" s="3" t="s">
        <v>850</v>
      </c>
      <c r="D3968" s="3" t="s">
        <v>1170</v>
      </c>
      <c r="E3968" s="3" t="s">
        <v>1171</v>
      </c>
      <c r="F3968" s="3" t="s">
        <v>2</v>
      </c>
      <c r="G3968" s="3">
        <v>1.23413453853913</v>
      </c>
      <c r="H3968" s="3">
        <v>1.23413453853913</v>
      </c>
      <c r="I3968" s="3">
        <v>1.23413453853913</v>
      </c>
      <c r="J3968" s="3">
        <v>1.23413453853913</v>
      </c>
      <c r="K3968" s="3">
        <v>1.23413453853913</v>
      </c>
      <c r="L3968" s="3">
        <v>1.23413453853913</v>
      </c>
      <c r="M3968" s="3">
        <v>1.23413453853913</v>
      </c>
      <c r="N3968" s="3">
        <v>1.23413453853913</v>
      </c>
      <c r="O3968" s="3">
        <v>1.2440455745235699</v>
      </c>
      <c r="P3968" s="3">
        <v>1.30860169796152</v>
      </c>
    </row>
    <row r="3969" spans="1:16" x14ac:dyDescent="0.3">
      <c r="A3969" s="3" t="str">
        <f t="shared" si="62"/>
        <v>EXT</v>
      </c>
      <c r="C3969" s="3" t="s">
        <v>850</v>
      </c>
      <c r="D3969" s="3" t="s">
        <v>1170</v>
      </c>
      <c r="E3969" s="3" t="s">
        <v>1171</v>
      </c>
      <c r="F3969" s="3" t="s">
        <v>3</v>
      </c>
      <c r="G3969" s="3">
        <v>0.23632363503940901</v>
      </c>
      <c r="H3969" s="3">
        <v>0.23632363503940901</v>
      </c>
      <c r="I3969" s="3">
        <v>0.23632363503940901</v>
      </c>
      <c r="J3969" s="3">
        <v>0.23632363503940901</v>
      </c>
      <c r="K3969" s="3">
        <v>0.23632363503940901</v>
      </c>
      <c r="L3969" s="3">
        <v>0.23632363503940901</v>
      </c>
      <c r="M3969" s="3">
        <v>0.23632363503940901</v>
      </c>
      <c r="N3969" s="3">
        <v>0.23632363503940901</v>
      </c>
      <c r="O3969" s="3">
        <v>0.23822149299387599</v>
      </c>
      <c r="P3969" s="3">
        <v>0.25058330386497196</v>
      </c>
    </row>
    <row r="3970" spans="1:16" x14ac:dyDescent="0.3">
      <c r="A3970" s="3" t="str">
        <f t="shared" si="62"/>
        <v>EXT</v>
      </c>
      <c r="C3970" s="3" t="s">
        <v>850</v>
      </c>
      <c r="D3970" s="3" t="s">
        <v>1170</v>
      </c>
      <c r="E3970" s="3" t="s">
        <v>1171</v>
      </c>
      <c r="F3970" s="3" t="s">
        <v>4</v>
      </c>
      <c r="G3970" s="3">
        <v>89.386793276478599</v>
      </c>
      <c r="H3970" s="3">
        <v>89.386793276478599</v>
      </c>
      <c r="I3970" s="3">
        <v>89.386793276478599</v>
      </c>
      <c r="J3970" s="3">
        <v>89.386793276478599</v>
      </c>
      <c r="K3970" s="3">
        <v>89.386793276478599</v>
      </c>
      <c r="L3970" s="3">
        <v>89.386793276478599</v>
      </c>
      <c r="M3970" s="3">
        <v>89.386793276478599</v>
      </c>
      <c r="N3970" s="3">
        <v>89.386793276478599</v>
      </c>
      <c r="O3970" s="3">
        <v>90.104636993700495</v>
      </c>
      <c r="P3970" s="3">
        <v>94.780354818848593</v>
      </c>
    </row>
    <row r="3971" spans="1:16" x14ac:dyDescent="0.3">
      <c r="A3971" s="3" t="str">
        <f t="shared" si="62"/>
        <v>EXT</v>
      </c>
      <c r="C3971" s="3" t="s">
        <v>850</v>
      </c>
      <c r="D3971" s="3" t="s">
        <v>1170</v>
      </c>
      <c r="E3971" s="3" t="s">
        <v>1171</v>
      </c>
      <c r="F3971" s="3" t="s">
        <v>5</v>
      </c>
      <c r="G3971" s="3">
        <v>52.733868481521398</v>
      </c>
      <c r="H3971" s="3">
        <v>52.733868481521398</v>
      </c>
      <c r="I3971" s="3">
        <v>52.733868481521398</v>
      </c>
      <c r="J3971" s="3">
        <v>52.733868481521398</v>
      </c>
      <c r="K3971" s="3">
        <v>52.733868481521398</v>
      </c>
      <c r="L3971" s="3">
        <v>52.733868481521398</v>
      </c>
      <c r="M3971" s="3">
        <v>52.733868481521398</v>
      </c>
      <c r="N3971" s="3">
        <v>52.733868481521398</v>
      </c>
      <c r="O3971" s="3">
        <v>53.157361424793002</v>
      </c>
      <c r="P3971" s="3">
        <v>55.915807944799703</v>
      </c>
    </row>
    <row r="3972" spans="1:16" x14ac:dyDescent="0.3">
      <c r="A3972" s="3" t="str">
        <f t="shared" si="62"/>
        <v>EXT</v>
      </c>
      <c r="C3972" s="3" t="s">
        <v>850</v>
      </c>
      <c r="D3972" s="3" t="s">
        <v>1170</v>
      </c>
      <c r="E3972" s="3" t="s">
        <v>1171</v>
      </c>
      <c r="F3972" s="3" t="s">
        <v>6</v>
      </c>
      <c r="G3972" s="3">
        <v>38.200371737969</v>
      </c>
      <c r="H3972" s="3">
        <v>38.200371737969</v>
      </c>
      <c r="I3972" s="3">
        <v>38.200371737969</v>
      </c>
      <c r="J3972" s="3">
        <v>38.200371737969</v>
      </c>
      <c r="K3972" s="3">
        <v>38.200371737969</v>
      </c>
      <c r="L3972" s="3">
        <v>38.200371737969</v>
      </c>
      <c r="M3972" s="3">
        <v>38.200371737969</v>
      </c>
      <c r="N3972" s="3">
        <v>38.200371737969</v>
      </c>
      <c r="O3972" s="3">
        <v>38.507149684044599</v>
      </c>
      <c r="P3972" s="3">
        <v>40.505366115302401</v>
      </c>
    </row>
    <row r="3973" spans="1:16" x14ac:dyDescent="0.3">
      <c r="A3973" s="3" t="str">
        <f t="shared" si="62"/>
        <v>EXT</v>
      </c>
      <c r="C3973" s="3" t="s">
        <v>850</v>
      </c>
      <c r="D3973" s="3" t="s">
        <v>1170</v>
      </c>
      <c r="E3973" s="3" t="s">
        <v>1171</v>
      </c>
      <c r="F3973" s="3" t="s">
        <v>7</v>
      </c>
      <c r="G3973" s="3">
        <v>0.74672865094505603</v>
      </c>
      <c r="H3973" s="3">
        <v>0.74672865094505603</v>
      </c>
      <c r="I3973" s="3">
        <v>0.74672865094505603</v>
      </c>
      <c r="J3973" s="3">
        <v>0.74672865094505603</v>
      </c>
      <c r="K3973" s="3">
        <v>0.74672865094505603</v>
      </c>
      <c r="L3973" s="3">
        <v>0.74672865094505603</v>
      </c>
      <c r="M3973" s="3">
        <v>0.74672865094505603</v>
      </c>
      <c r="N3973" s="3">
        <v>0.74672865094505603</v>
      </c>
      <c r="O3973" s="3">
        <v>0.75272544813289699</v>
      </c>
      <c r="P3973" s="3">
        <v>0.79178594393760904</v>
      </c>
    </row>
    <row r="3974" spans="1:16" x14ac:dyDescent="0.3">
      <c r="A3974" s="3" t="str">
        <f t="shared" si="62"/>
        <v>EXT</v>
      </c>
      <c r="C3974" s="3" t="s">
        <v>850</v>
      </c>
      <c r="D3974" s="3" t="s">
        <v>1170</v>
      </c>
      <c r="E3974" s="3" t="s">
        <v>1171</v>
      </c>
      <c r="F3974" s="3" t="s">
        <v>8</v>
      </c>
      <c r="G3974" s="3">
        <v>6.68265166436339</v>
      </c>
      <c r="H3974" s="3">
        <v>6.7684088198963401</v>
      </c>
      <c r="I3974" s="3">
        <v>7.1114374420281399</v>
      </c>
      <c r="J3974" s="3">
        <v>7.1114374420281399</v>
      </c>
      <c r="K3974" s="3">
        <v>7.1114374420281399</v>
      </c>
      <c r="L3974" s="3">
        <v>7.2295533576472897</v>
      </c>
      <c r="M3974" s="3">
        <v>7.5177445074947711</v>
      </c>
      <c r="N3974" s="3">
        <v>7.9505462622914207</v>
      </c>
      <c r="O3974" s="3">
        <v>8.4203980294712508</v>
      </c>
      <c r="P3974" s="3">
        <v>8.8573500718394307</v>
      </c>
    </row>
    <row r="3975" spans="1:16" x14ac:dyDescent="0.3">
      <c r="A3975" s="3" t="str">
        <f t="shared" si="62"/>
        <v>DST</v>
      </c>
      <c r="C3975" s="3" t="s">
        <v>850</v>
      </c>
      <c r="D3975" s="3" t="s">
        <v>1172</v>
      </c>
      <c r="E3975" s="3" t="s">
        <v>1091</v>
      </c>
      <c r="F3975" s="3" t="s">
        <v>4</v>
      </c>
      <c r="G3975" s="3">
        <v>0.87346019331039504</v>
      </c>
    </row>
    <row r="3976" spans="1:16" x14ac:dyDescent="0.3">
      <c r="A3976" s="3" t="str">
        <f t="shared" si="62"/>
        <v>DST</v>
      </c>
      <c r="C3976" s="3" t="s">
        <v>850</v>
      </c>
      <c r="D3976" s="3" t="s">
        <v>1172</v>
      </c>
      <c r="E3976" s="3" t="s">
        <v>1091</v>
      </c>
      <c r="F3976" s="3" t="s">
        <v>5</v>
      </c>
      <c r="G3976" s="3">
        <v>0.44525069358937502</v>
      </c>
    </row>
    <row r="3977" spans="1:16" x14ac:dyDescent="0.3">
      <c r="A3977" s="3" t="str">
        <f t="shared" si="62"/>
        <v>DST</v>
      </c>
      <c r="C3977" s="3" t="s">
        <v>850</v>
      </c>
      <c r="D3977" s="3" t="s">
        <v>1172</v>
      </c>
      <c r="E3977" s="3" t="s">
        <v>1091</v>
      </c>
      <c r="F3977" s="3" t="s">
        <v>6</v>
      </c>
      <c r="G3977" s="3">
        <v>0.32156994537010603</v>
      </c>
    </row>
    <row r="3978" spans="1:16" x14ac:dyDescent="0.3">
      <c r="A3978" s="3" t="str">
        <f t="shared" si="62"/>
        <v>RFL</v>
      </c>
      <c r="C3978" s="3" t="s">
        <v>850</v>
      </c>
      <c r="D3978" s="3" t="s">
        <v>1172</v>
      </c>
      <c r="E3978" s="3" t="s">
        <v>1092</v>
      </c>
      <c r="F3978" s="3" t="s">
        <v>0</v>
      </c>
      <c r="G3978" s="3">
        <v>0.54502475914262005</v>
      </c>
      <c r="I3978" s="3">
        <v>0.59511366095606899</v>
      </c>
      <c r="N3978" s="3">
        <v>2.09613098858667E-2</v>
      </c>
      <c r="O3978" s="3">
        <v>5.4684138893238603E-3</v>
      </c>
    </row>
    <row r="3979" spans="1:16" x14ac:dyDescent="0.3">
      <c r="A3979" s="3" t="str">
        <f t="shared" si="62"/>
        <v>RFL</v>
      </c>
      <c r="C3979" s="3" t="s">
        <v>850</v>
      </c>
      <c r="D3979" s="3" t="s">
        <v>1172</v>
      </c>
      <c r="E3979" s="3" t="s">
        <v>1092</v>
      </c>
      <c r="F3979" s="3" t="s">
        <v>1</v>
      </c>
      <c r="G3979" s="3">
        <v>0.52510028453236102</v>
      </c>
    </row>
    <row r="3980" spans="1:16" x14ac:dyDescent="0.3">
      <c r="A3980" s="3" t="str">
        <f t="shared" si="62"/>
        <v>RFL</v>
      </c>
      <c r="C3980" s="3" t="s">
        <v>850</v>
      </c>
      <c r="D3980" s="3" t="s">
        <v>1172</v>
      </c>
      <c r="E3980" s="3" t="s">
        <v>1092</v>
      </c>
      <c r="F3980" s="3" t="s">
        <v>4</v>
      </c>
      <c r="G3980" s="3">
        <v>1.1202139500349499</v>
      </c>
    </row>
    <row r="3981" spans="1:16" x14ac:dyDescent="0.3">
      <c r="A3981" s="3" t="str">
        <f t="shared" si="62"/>
        <v>RFL</v>
      </c>
      <c r="C3981" s="3" t="s">
        <v>850</v>
      </c>
      <c r="D3981" s="3" t="s">
        <v>1172</v>
      </c>
      <c r="E3981" s="3" t="s">
        <v>1092</v>
      </c>
      <c r="F3981" s="3" t="s">
        <v>5</v>
      </c>
      <c r="G3981" s="3">
        <v>0.65044680969771496</v>
      </c>
    </row>
    <row r="3982" spans="1:16" x14ac:dyDescent="0.3">
      <c r="A3982" s="3" t="str">
        <f t="shared" si="62"/>
        <v>RFL</v>
      </c>
      <c r="C3982" s="3" t="s">
        <v>850</v>
      </c>
      <c r="D3982" s="3" t="s">
        <v>1172</v>
      </c>
      <c r="E3982" s="3" t="s">
        <v>1092</v>
      </c>
      <c r="F3982" s="3" t="s">
        <v>6</v>
      </c>
      <c r="G3982" s="3">
        <v>0.46976714033723799</v>
      </c>
    </row>
    <row r="3983" spans="1:16" x14ac:dyDescent="0.3">
      <c r="A3983" s="3" t="str">
        <f t="shared" si="62"/>
        <v>RFL</v>
      </c>
      <c r="C3983" s="3" t="s">
        <v>850</v>
      </c>
      <c r="D3983" s="3" t="s">
        <v>1172</v>
      </c>
      <c r="E3983" s="3" t="s">
        <v>1092</v>
      </c>
      <c r="F3983" s="3" t="s">
        <v>7</v>
      </c>
      <c r="G3983" s="3">
        <v>6.4012225162040096E-2</v>
      </c>
    </row>
    <row r="3984" spans="1:16" x14ac:dyDescent="0.3">
      <c r="A3984" s="3" t="str">
        <f t="shared" si="62"/>
        <v>RFL</v>
      </c>
      <c r="C3984" s="3" t="s">
        <v>850</v>
      </c>
      <c r="D3984" s="3" t="s">
        <v>1172</v>
      </c>
      <c r="E3984" s="3" t="s">
        <v>1092</v>
      </c>
      <c r="F3984" s="3" t="s">
        <v>8</v>
      </c>
      <c r="I3984" s="3">
        <v>0.19318835480475299</v>
      </c>
      <c r="J3984" s="3">
        <v>0.59531369916143195</v>
      </c>
      <c r="K3984" s="3">
        <v>0.35271844717578299</v>
      </c>
      <c r="L3984" s="3">
        <v>0.42801199914306598</v>
      </c>
      <c r="M3984" s="3">
        <v>0.26837395122517099</v>
      </c>
    </row>
    <row r="3985" spans="1:16" x14ac:dyDescent="0.3">
      <c r="A3985" s="3" t="str">
        <f t="shared" si="62"/>
        <v>NGA</v>
      </c>
      <c r="C3985" s="3" t="s">
        <v>850</v>
      </c>
      <c r="D3985" s="3" t="s">
        <v>1172</v>
      </c>
      <c r="E3985" s="3" t="s">
        <v>1093</v>
      </c>
      <c r="F3985" s="3" t="s">
        <v>0</v>
      </c>
      <c r="G3985" s="3">
        <v>0.13590894571314599</v>
      </c>
      <c r="H3985" s="3">
        <v>0.12589116638100201</v>
      </c>
    </row>
    <row r="3986" spans="1:16" x14ac:dyDescent="0.3">
      <c r="A3986" s="3" t="str">
        <f t="shared" si="62"/>
        <v>NGA</v>
      </c>
      <c r="C3986" s="3" t="s">
        <v>850</v>
      </c>
      <c r="D3986" s="3" t="s">
        <v>1172</v>
      </c>
      <c r="E3986" s="3" t="s">
        <v>1093</v>
      </c>
      <c r="F3986" s="3" t="s">
        <v>4</v>
      </c>
      <c r="G3986" s="3">
        <v>1.1788337543110501</v>
      </c>
      <c r="H3986" s="3">
        <v>1.2001616651812399</v>
      </c>
      <c r="I3986" s="3">
        <v>1.2001616651812099</v>
      </c>
    </row>
    <row r="3987" spans="1:16" x14ac:dyDescent="0.3">
      <c r="A3987" s="3" t="str">
        <f t="shared" si="62"/>
        <v>NGA</v>
      </c>
      <c r="C3987" s="3" t="s">
        <v>850</v>
      </c>
      <c r="D3987" s="3" t="s">
        <v>1172</v>
      </c>
      <c r="E3987" s="3" t="s">
        <v>1095</v>
      </c>
      <c r="F3987" s="3" t="s">
        <v>8</v>
      </c>
      <c r="G3987" s="3">
        <v>2.4498098245086899</v>
      </c>
      <c r="H3987" s="3">
        <v>0.51133337311131699</v>
      </c>
      <c r="I3987" s="3">
        <v>0.44389673047009498</v>
      </c>
      <c r="K3987" s="3">
        <v>0.15277546700181699</v>
      </c>
      <c r="L3987" s="3">
        <v>0.120782321078099</v>
      </c>
    </row>
    <row r="3988" spans="1:16" x14ac:dyDescent="0.3">
      <c r="A3988" s="3" t="str">
        <f t="shared" si="62"/>
        <v>NGA</v>
      </c>
      <c r="C3988" s="3" t="s">
        <v>850</v>
      </c>
      <c r="D3988" s="3" t="s">
        <v>1172</v>
      </c>
      <c r="E3988" s="3" t="s">
        <v>1232</v>
      </c>
      <c r="F3988" s="3" t="s">
        <v>7</v>
      </c>
      <c r="H3988" s="3">
        <v>6.4012225162040096E-2</v>
      </c>
      <c r="I3988" s="3">
        <v>6.4012225162040096E-2</v>
      </c>
      <c r="J3988" s="3">
        <v>6.4012225162040096E-2</v>
      </c>
      <c r="K3988" s="3">
        <v>6.4012225162040096E-2</v>
      </c>
      <c r="L3988" s="3">
        <v>6.4012225162040096E-2</v>
      </c>
      <c r="M3988" s="3">
        <v>4.8953250540889601E-2</v>
      </c>
      <c r="N3988" s="3">
        <v>2.29670553268587E-2</v>
      </c>
      <c r="O3988" s="3">
        <v>2.3328135593688799E-2</v>
      </c>
      <c r="P3988" s="3">
        <v>1.8891938933135399E-2</v>
      </c>
    </row>
    <row r="3989" spans="1:16" x14ac:dyDescent="0.3">
      <c r="A3989" s="3" t="str">
        <f t="shared" si="62"/>
        <v>NGA</v>
      </c>
      <c r="C3989" s="3" t="s">
        <v>850</v>
      </c>
      <c r="D3989" s="3" t="s">
        <v>1172</v>
      </c>
      <c r="E3989" s="3" t="s">
        <v>1232</v>
      </c>
      <c r="F3989" s="3" t="s">
        <v>8</v>
      </c>
      <c r="H3989" s="3">
        <v>1.9699143794382601</v>
      </c>
      <c r="I3989" s="3">
        <v>1.9699143794382601</v>
      </c>
    </row>
    <row r="3990" spans="1:16" x14ac:dyDescent="0.3">
      <c r="A3990" s="3" t="str">
        <f t="shared" si="62"/>
        <v>NGA</v>
      </c>
      <c r="C3990" s="3" t="s">
        <v>850</v>
      </c>
      <c r="D3990" s="3" t="s">
        <v>1172</v>
      </c>
      <c r="E3990" s="3" t="s">
        <v>1233</v>
      </c>
      <c r="F3990" s="3" t="s">
        <v>7</v>
      </c>
      <c r="M3990" s="3">
        <v>1.50589746211505E-2</v>
      </c>
      <c r="N3990" s="3">
        <v>1.50589746211505E-2</v>
      </c>
      <c r="O3990" s="3">
        <v>1.5211961052247864E-2</v>
      </c>
      <c r="P3990" s="3">
        <v>2.2996561780634653E-2</v>
      </c>
    </row>
    <row r="3991" spans="1:16" x14ac:dyDescent="0.3">
      <c r="A3991" s="3" t="str">
        <f t="shared" si="62"/>
        <v>NGA</v>
      </c>
      <c r="C3991" s="3" t="s">
        <v>850</v>
      </c>
      <c r="D3991" s="3" t="s">
        <v>1172</v>
      </c>
      <c r="E3991" s="3" t="s">
        <v>1233</v>
      </c>
      <c r="F3991" s="3" t="s">
        <v>8</v>
      </c>
      <c r="M3991" s="3">
        <v>0.13697966205200199</v>
      </c>
      <c r="N3991" s="3">
        <v>0.13697966205200199</v>
      </c>
      <c r="O3991" s="3">
        <v>0.14704543068475828</v>
      </c>
      <c r="P3991" s="3">
        <v>0.19631114973690778</v>
      </c>
    </row>
    <row r="3992" spans="1:16" x14ac:dyDescent="0.3">
      <c r="A3992" s="3" t="str">
        <f t="shared" si="62"/>
        <v>RFL</v>
      </c>
      <c r="C3992" s="3" t="s">
        <v>850</v>
      </c>
      <c r="D3992" s="3" t="s">
        <v>1172</v>
      </c>
      <c r="E3992" s="3" t="s">
        <v>1234</v>
      </c>
      <c r="F3992" s="3" t="s">
        <v>8</v>
      </c>
      <c r="J3992" s="3">
        <v>2.01168576555167</v>
      </c>
    </row>
    <row r="3993" spans="1:16" x14ac:dyDescent="0.3">
      <c r="A3993" s="3" t="str">
        <f t="shared" si="62"/>
        <v>ELC</v>
      </c>
      <c r="C3993" s="3" t="s">
        <v>850</v>
      </c>
      <c r="D3993" s="3" t="s">
        <v>1173</v>
      </c>
      <c r="E3993" s="3" t="s">
        <v>1174</v>
      </c>
      <c r="F3993" s="3" t="s">
        <v>0</v>
      </c>
      <c r="G3993" s="3">
        <v>0.46999567092311101</v>
      </c>
      <c r="H3993" s="3">
        <v>0.46999567092311162</v>
      </c>
      <c r="I3993" s="3">
        <v>0.46999567092311134</v>
      </c>
      <c r="J3993" s="3">
        <v>0.46999567092311101</v>
      </c>
      <c r="K3993" s="3">
        <v>0.46999567092311101</v>
      </c>
      <c r="L3993" s="3">
        <v>0.46999567092311101</v>
      </c>
      <c r="M3993" s="3">
        <v>0.46999567092311101</v>
      </c>
      <c r="N3993" s="3">
        <v>0.46999567092311101</v>
      </c>
      <c r="O3993" s="3">
        <v>0.47377009248055618</v>
      </c>
      <c r="P3993" s="3">
        <v>0.49835501219548917</v>
      </c>
    </row>
    <row r="3994" spans="1:16" x14ac:dyDescent="0.3">
      <c r="A3994" s="3" t="str">
        <f t="shared" si="62"/>
        <v>ELC</v>
      </c>
      <c r="C3994" s="3" t="s">
        <v>850</v>
      </c>
      <c r="D3994" s="3" t="s">
        <v>1173</v>
      </c>
      <c r="E3994" s="3" t="s">
        <v>1174</v>
      </c>
      <c r="F3994" s="3" t="s">
        <v>1</v>
      </c>
      <c r="G3994" s="3">
        <v>0.41470206257921499</v>
      </c>
      <c r="H3994" s="3">
        <v>0.4147020625792136</v>
      </c>
      <c r="I3994" s="3">
        <v>0.4147020625792151</v>
      </c>
      <c r="J3994" s="3">
        <v>0.41470206257921499</v>
      </c>
      <c r="K3994" s="3">
        <v>0.41470206257921499</v>
      </c>
      <c r="L3994" s="3">
        <v>0.41470206257921499</v>
      </c>
      <c r="M3994" s="3">
        <v>0.41470206257921499</v>
      </c>
      <c r="N3994" s="3">
        <v>0.41470206257921499</v>
      </c>
      <c r="O3994" s="3">
        <v>0.41803243454166666</v>
      </c>
      <c r="P3994" s="3">
        <v>0.43972501076072568</v>
      </c>
    </row>
    <row r="3995" spans="1:16" x14ac:dyDescent="0.3">
      <c r="A3995" s="3" t="str">
        <f t="shared" si="62"/>
        <v>ELC</v>
      </c>
      <c r="C3995" s="3" t="s">
        <v>850</v>
      </c>
      <c r="D3995" s="3" t="s">
        <v>1173</v>
      </c>
      <c r="E3995" s="3" t="s">
        <v>1174</v>
      </c>
      <c r="F3995" s="3" t="s">
        <v>2</v>
      </c>
      <c r="G3995" s="3">
        <v>0.74251416918944901</v>
      </c>
      <c r="H3995" s="3">
        <v>0.74251416918944924</v>
      </c>
      <c r="I3995" s="3">
        <v>0.74251416918944946</v>
      </c>
      <c r="J3995" s="3">
        <v>0.74251416918944901</v>
      </c>
      <c r="K3995" s="3">
        <v>0.74251416918944901</v>
      </c>
      <c r="L3995" s="3">
        <v>0.74251416918944901</v>
      </c>
      <c r="M3995" s="3">
        <v>0.74251416918944901</v>
      </c>
      <c r="N3995" s="3">
        <v>0.74251416918944901</v>
      </c>
      <c r="O3995" s="3">
        <v>0.74847712089364826</v>
      </c>
      <c r="P3995" s="3">
        <v>0.7873171621239673</v>
      </c>
    </row>
    <row r="3996" spans="1:16" x14ac:dyDescent="0.3">
      <c r="A3996" s="3" t="str">
        <f t="shared" si="62"/>
        <v>ELC</v>
      </c>
      <c r="C3996" s="3" t="s">
        <v>850</v>
      </c>
      <c r="D3996" s="3" t="s">
        <v>1173</v>
      </c>
      <c r="E3996" s="3" t="s">
        <v>1174</v>
      </c>
      <c r="F3996" s="3" t="s">
        <v>3</v>
      </c>
      <c r="G3996" s="3">
        <v>0.14218356431287399</v>
      </c>
      <c r="H3996" s="3">
        <v>0.14218356431287443</v>
      </c>
      <c r="I3996" s="3">
        <v>0.14218356431287421</v>
      </c>
      <c r="J3996" s="3">
        <v>0.14218356431287399</v>
      </c>
      <c r="K3996" s="3">
        <v>0.14218356431287399</v>
      </c>
      <c r="L3996" s="3">
        <v>0.14218356431287399</v>
      </c>
      <c r="M3996" s="3">
        <v>0.14218356431287399</v>
      </c>
      <c r="N3996" s="3">
        <v>0.14218356431287399</v>
      </c>
      <c r="O3996" s="3">
        <v>0.14332540612857159</v>
      </c>
      <c r="P3996" s="3">
        <v>0.1507628608322496</v>
      </c>
    </row>
    <row r="3997" spans="1:16" x14ac:dyDescent="0.3">
      <c r="A3997" s="3" t="str">
        <f t="shared" si="62"/>
        <v>ELC</v>
      </c>
      <c r="C3997" s="3" t="s">
        <v>850</v>
      </c>
      <c r="D3997" s="3" t="s">
        <v>1173</v>
      </c>
      <c r="E3997" s="3" t="s">
        <v>1174</v>
      </c>
      <c r="F3997" s="3" t="s">
        <v>4</v>
      </c>
      <c r="G3997" s="3">
        <v>1.7693954670046499</v>
      </c>
      <c r="H3997" s="3">
        <v>1.7693954670046452</v>
      </c>
      <c r="I3997" s="3">
        <v>1.7693954670046452</v>
      </c>
      <c r="J3997" s="3">
        <v>1.7693954670046521</v>
      </c>
      <c r="K3997" s="3">
        <v>1.7693954670046601</v>
      </c>
      <c r="L3997" s="3">
        <v>1.7693954670046541</v>
      </c>
      <c r="M3997" s="3">
        <v>1.7693954670046621</v>
      </c>
      <c r="N3997" s="3">
        <v>1.7693954670046557</v>
      </c>
      <c r="O3997" s="3">
        <v>1.7836050540444419</v>
      </c>
      <c r="P3997" s="3">
        <v>1.876160045912441</v>
      </c>
    </row>
    <row r="3998" spans="1:16" x14ac:dyDescent="0.3">
      <c r="A3998" s="3" t="str">
        <f t="shared" si="62"/>
        <v>ELC</v>
      </c>
      <c r="C3998" s="3" t="s">
        <v>850</v>
      </c>
      <c r="D3998" s="3" t="s">
        <v>1173</v>
      </c>
      <c r="E3998" s="3" t="s">
        <v>1174</v>
      </c>
      <c r="F3998" s="3" t="s">
        <v>5</v>
      </c>
      <c r="G3998" s="3">
        <v>1.0273909163252799</v>
      </c>
      <c r="H3998" s="3">
        <v>1.0273909163252821</v>
      </c>
      <c r="I3998" s="3">
        <v>1.027390916325281</v>
      </c>
      <c r="J3998" s="3">
        <v>1.027390916325289</v>
      </c>
      <c r="K3998" s="3">
        <v>1.0273909163252799</v>
      </c>
      <c r="L3998" s="3">
        <v>1.027390916325281</v>
      </c>
      <c r="M3998" s="3">
        <v>1.0273909163252841</v>
      </c>
      <c r="N3998" s="3">
        <v>1.027390916325281</v>
      </c>
      <c r="O3998" s="3">
        <v>1.0356416442838718</v>
      </c>
      <c r="P3998" s="3">
        <v>1.08938325246528</v>
      </c>
    </row>
    <row r="3999" spans="1:16" x14ac:dyDescent="0.3">
      <c r="A3999" s="3" t="str">
        <f t="shared" ref="A3999:A4062" si="63">RIGHT(E3999,3)</f>
        <v>ELC</v>
      </c>
      <c r="C3999" s="3" t="s">
        <v>850</v>
      </c>
      <c r="D3999" s="3" t="s">
        <v>1173</v>
      </c>
      <c r="E3999" s="3" t="s">
        <v>1174</v>
      </c>
      <c r="F3999" s="3" t="s">
        <v>6</v>
      </c>
      <c r="G3999" s="3">
        <v>0.74200455067936699</v>
      </c>
      <c r="H3999" s="3">
        <v>0.74200455067936988</v>
      </c>
      <c r="I3999" s="3">
        <v>0.74200455067937043</v>
      </c>
      <c r="J3999" s="3">
        <v>0.74200455067936943</v>
      </c>
      <c r="K3999" s="3">
        <v>0.74200455067936955</v>
      </c>
      <c r="L3999" s="3">
        <v>0.74200455067936955</v>
      </c>
      <c r="M3999" s="3">
        <v>0.74200455067936555</v>
      </c>
      <c r="N3999" s="3">
        <v>0.74200455067937043</v>
      </c>
      <c r="O3999" s="3">
        <v>0.74796340976057207</v>
      </c>
      <c r="P3999" s="3">
        <v>0.78677679344714901</v>
      </c>
    </row>
    <row r="4000" spans="1:16" x14ac:dyDescent="0.3">
      <c r="A4000" s="3" t="str">
        <f t="shared" si="63"/>
        <v>ELC</v>
      </c>
      <c r="C4000" s="3" t="s">
        <v>850</v>
      </c>
      <c r="D4000" s="3" t="s">
        <v>1173</v>
      </c>
      <c r="E4000" s="3" t="s">
        <v>1174</v>
      </c>
      <c r="F4000" s="3" t="s">
        <v>7</v>
      </c>
      <c r="G4000" s="3">
        <v>0.10110831240026601</v>
      </c>
      <c r="H4000" s="3">
        <v>0.10110831240026578</v>
      </c>
      <c r="I4000" s="3">
        <v>0.10110831240026569</v>
      </c>
      <c r="J4000" s="3">
        <v>0.10110831240026601</v>
      </c>
      <c r="K4000" s="3">
        <v>0.10110831240026601</v>
      </c>
      <c r="L4000" s="3">
        <v>0.10110831240026601</v>
      </c>
      <c r="M4000" s="3">
        <v>0.10110831240026601</v>
      </c>
      <c r="N4000" s="3">
        <v>0.10110831240026601</v>
      </c>
      <c r="O4000" s="3">
        <v>0.10192028880253985</v>
      </c>
      <c r="P4000" s="3">
        <v>0.10720914548070984</v>
      </c>
    </row>
    <row r="4001" spans="1:16" x14ac:dyDescent="0.3">
      <c r="A4001" s="3" t="str">
        <f t="shared" si="63"/>
        <v>ELC</v>
      </c>
      <c r="C4001" s="3" t="s">
        <v>850</v>
      </c>
      <c r="D4001" s="3" t="s">
        <v>1173</v>
      </c>
      <c r="E4001" s="3" t="s">
        <v>1174</v>
      </c>
      <c r="F4001" s="3" t="s">
        <v>8</v>
      </c>
      <c r="G4001" s="3">
        <v>0.78358942110205998</v>
      </c>
      <c r="H4001" s="3">
        <v>0.634916056121551</v>
      </c>
      <c r="I4001" s="3">
        <v>0.66709413308116194</v>
      </c>
      <c r="J4001" s="3">
        <v>0.66709413308116094</v>
      </c>
      <c r="K4001" s="3">
        <v>0.66709413308116094</v>
      </c>
      <c r="L4001" s="3">
        <v>0.67817409194677292</v>
      </c>
      <c r="M4001" s="3">
        <v>0.7052080955271145</v>
      </c>
      <c r="N4001" s="3">
        <v>0.7458074137051468</v>
      </c>
      <c r="O4001" s="3">
        <v>0.78988223821968251</v>
      </c>
      <c r="P4001" s="3">
        <v>0.83087087747550559</v>
      </c>
    </row>
    <row r="4002" spans="1:16" x14ac:dyDescent="0.3">
      <c r="A4002" s="3" t="str">
        <f t="shared" si="63"/>
        <v>TOM</v>
      </c>
      <c r="C4002" s="3" t="s">
        <v>850</v>
      </c>
      <c r="D4002" s="3" t="s">
        <v>753</v>
      </c>
      <c r="E4002" s="3" t="s">
        <v>1088</v>
      </c>
      <c r="F4002" s="3" t="s">
        <v>0</v>
      </c>
      <c r="G4002" s="3">
        <v>2.80152104207371</v>
      </c>
      <c r="H4002" s="3">
        <v>2.8579065720737171</v>
      </c>
      <c r="I4002" s="3">
        <v>1.3113618124030499</v>
      </c>
      <c r="J4002" s="3">
        <v>0.59471306015279601</v>
      </c>
      <c r="K4002" s="3">
        <v>3.4667326992343199E-2</v>
      </c>
    </row>
    <row r="4003" spans="1:16" x14ac:dyDescent="0.3">
      <c r="A4003" s="3" t="str">
        <f t="shared" si="63"/>
        <v>TOM</v>
      </c>
      <c r="C4003" s="3" t="s">
        <v>850</v>
      </c>
      <c r="D4003" s="3" t="s">
        <v>753</v>
      </c>
      <c r="E4003" s="3" t="s">
        <v>1088</v>
      </c>
      <c r="F4003" s="3" t="s">
        <v>1</v>
      </c>
      <c r="G4003" s="3">
        <v>4.6402930034413901</v>
      </c>
      <c r="H4003" s="3">
        <v>4.6402930034413883</v>
      </c>
      <c r="I4003" s="3">
        <v>4.2690695631660782</v>
      </c>
      <c r="J4003" s="3">
        <v>0.33747851459332701</v>
      </c>
    </row>
    <row r="4004" spans="1:16" x14ac:dyDescent="0.3">
      <c r="A4004" s="3" t="str">
        <f t="shared" si="63"/>
        <v>TOM</v>
      </c>
      <c r="C4004" s="3" t="s">
        <v>850</v>
      </c>
      <c r="D4004" s="3" t="s">
        <v>753</v>
      </c>
      <c r="E4004" s="3" t="s">
        <v>1088</v>
      </c>
      <c r="F4004" s="3" t="s">
        <v>4</v>
      </c>
      <c r="G4004" s="3">
        <v>58.022324166300386</v>
      </c>
      <c r="H4004" s="3">
        <v>58.455953497896779</v>
      </c>
      <c r="I4004" s="3">
        <v>54.565789428872982</v>
      </c>
      <c r="J4004" s="3">
        <v>49.703084342593179</v>
      </c>
      <c r="K4004" s="3">
        <v>44.943589234830995</v>
      </c>
      <c r="L4004" s="3">
        <v>40.766844120288077</v>
      </c>
      <c r="M4004" s="3">
        <v>36.44182671434961</v>
      </c>
      <c r="N4004" s="3">
        <v>32.129978430665417</v>
      </c>
      <c r="O4004" s="3">
        <v>33.374822848234054</v>
      </c>
      <c r="P4004" s="3">
        <v>35.290631049064771</v>
      </c>
    </row>
    <row r="4005" spans="1:16" x14ac:dyDescent="0.3">
      <c r="A4005" s="3" t="str">
        <f t="shared" si="63"/>
        <v>TOM</v>
      </c>
      <c r="C4005" s="3" t="s">
        <v>850</v>
      </c>
      <c r="D4005" s="3" t="s">
        <v>753</v>
      </c>
      <c r="E4005" s="3" t="s">
        <v>1088</v>
      </c>
      <c r="F4005" s="3" t="s">
        <v>5</v>
      </c>
      <c r="G4005" s="3">
        <v>40.34051253456299</v>
      </c>
      <c r="H4005" s="3">
        <v>40.48942514975198</v>
      </c>
      <c r="I4005" s="3">
        <v>41.085075610507914</v>
      </c>
      <c r="J4005" s="3">
        <v>33.422867089459928</v>
      </c>
      <c r="K4005" s="3">
        <v>31.410134539656802</v>
      </c>
      <c r="L4005" s="3">
        <v>29.298600159350972</v>
      </c>
      <c r="M4005" s="3">
        <v>27.944599703796197</v>
      </c>
      <c r="N4005" s="3">
        <v>24.826059124955904</v>
      </c>
      <c r="O4005" s="3">
        <v>22.098992150901299</v>
      </c>
      <c r="P4005" s="3">
        <v>22.75794808007895</v>
      </c>
    </row>
    <row r="4006" spans="1:16" x14ac:dyDescent="0.3">
      <c r="A4006" s="3" t="str">
        <f t="shared" si="63"/>
        <v>TOM</v>
      </c>
      <c r="C4006" s="3" t="s">
        <v>850</v>
      </c>
      <c r="D4006" s="3" t="s">
        <v>753</v>
      </c>
      <c r="E4006" s="3" t="s">
        <v>1088</v>
      </c>
      <c r="F4006" s="3" t="s">
        <v>6</v>
      </c>
      <c r="G4006" s="3">
        <v>34.294102435813571</v>
      </c>
      <c r="H4006" s="3">
        <v>34.294102435813578</v>
      </c>
      <c r="I4006" s="3">
        <v>31.969365536713177</v>
      </c>
      <c r="J4006" s="3">
        <v>25.90371416111233</v>
      </c>
      <c r="K4006" s="3">
        <v>23.986276417093769</v>
      </c>
      <c r="L4006" s="3">
        <v>21.969812124543537</v>
      </c>
      <c r="M4006" s="3">
        <v>19.891169129150015</v>
      </c>
      <c r="N4006" s="3">
        <v>17.638889822209848</v>
      </c>
      <c r="O4006" s="3">
        <v>15.667589846012635</v>
      </c>
      <c r="P4006" s="3">
        <v>16.251572390605169</v>
      </c>
    </row>
    <row r="4007" spans="1:16" x14ac:dyDescent="0.3">
      <c r="A4007" s="3" t="str">
        <f t="shared" si="63"/>
        <v>TOM</v>
      </c>
      <c r="C4007" s="3" t="s">
        <v>850</v>
      </c>
      <c r="D4007" s="3" t="s">
        <v>753</v>
      </c>
      <c r="E4007" s="3" t="s">
        <v>1088</v>
      </c>
      <c r="F4007" s="3" t="s">
        <v>7</v>
      </c>
      <c r="G4007" s="3">
        <v>0.53111222786796197</v>
      </c>
      <c r="H4007" s="3">
        <v>0.53111222786796186</v>
      </c>
      <c r="I4007" s="3">
        <v>0.49820029688597783</v>
      </c>
    </row>
    <row r="4008" spans="1:16" x14ac:dyDescent="0.3">
      <c r="A4008" s="3" t="str">
        <f t="shared" si="63"/>
        <v>TOM</v>
      </c>
      <c r="C4008" s="3" t="s">
        <v>850</v>
      </c>
      <c r="D4008" s="3" t="s">
        <v>753</v>
      </c>
      <c r="E4008" s="3" t="s">
        <v>1088</v>
      </c>
      <c r="F4008" s="3" t="s">
        <v>8</v>
      </c>
      <c r="G4008" s="3">
        <v>3.2928958127813659</v>
      </c>
      <c r="H4008" s="3">
        <v>3.3351528976263562</v>
      </c>
      <c r="I4008" s="3">
        <v>3.0800854325159763</v>
      </c>
      <c r="J4008" s="3">
        <v>0.255376789655759</v>
      </c>
    </row>
    <row r="4009" spans="1:16" x14ac:dyDescent="0.3">
      <c r="A4009" s="3" t="str">
        <f t="shared" si="63"/>
        <v>TOM</v>
      </c>
      <c r="C4009" s="3" t="s">
        <v>850</v>
      </c>
      <c r="D4009" s="3" t="s">
        <v>753</v>
      </c>
      <c r="E4009" s="3" t="s">
        <v>1089</v>
      </c>
      <c r="F4009" s="3" t="s">
        <v>0</v>
      </c>
      <c r="G4009" s="3">
        <v>2.8192765</v>
      </c>
      <c r="H4009" s="3">
        <v>2.7628909699999999</v>
      </c>
    </row>
    <row r="4010" spans="1:16" x14ac:dyDescent="0.3">
      <c r="A4010" s="3" t="str">
        <f t="shared" si="63"/>
        <v>TOM</v>
      </c>
      <c r="C4010" s="3" t="s">
        <v>850</v>
      </c>
      <c r="D4010" s="3" t="s">
        <v>753</v>
      </c>
      <c r="E4010" s="3" t="s">
        <v>1089</v>
      </c>
      <c r="F4010" s="3" t="s">
        <v>4</v>
      </c>
      <c r="G4010" s="3">
        <v>6.3174666000000004</v>
      </c>
      <c r="H4010" s="3">
        <v>6.1911172680000002</v>
      </c>
      <c r="J4010" s="3">
        <v>4.2350830556667702</v>
      </c>
      <c r="K4010" s="3">
        <v>4.42222662</v>
      </c>
      <c r="L4010" s="3">
        <v>3.7904799599999999</v>
      </c>
      <c r="M4010" s="3">
        <v>3.1587333000000002</v>
      </c>
      <c r="N4010" s="3">
        <v>2.5269866400000001</v>
      </c>
      <c r="O4010" s="3">
        <v>1.8952399799999999</v>
      </c>
      <c r="P4010" s="3">
        <v>1.26349332</v>
      </c>
    </row>
    <row r="4011" spans="1:16" x14ac:dyDescent="0.3">
      <c r="A4011" s="3" t="str">
        <f t="shared" si="63"/>
        <v>BIO</v>
      </c>
      <c r="C4011" s="3" t="s">
        <v>850</v>
      </c>
      <c r="D4011" s="3" t="s">
        <v>753</v>
      </c>
      <c r="E4011" s="3" t="s">
        <v>1096</v>
      </c>
      <c r="F4011" s="3" t="s">
        <v>5</v>
      </c>
      <c r="J4011" s="3">
        <v>3.04824122998021</v>
      </c>
      <c r="K4011" s="3">
        <v>2.2861809224851601</v>
      </c>
      <c r="L4011" s="3">
        <v>1.5241206149901101</v>
      </c>
    </row>
    <row r="4012" spans="1:16" x14ac:dyDescent="0.3">
      <c r="A4012" s="3" t="str">
        <f t="shared" si="63"/>
        <v>BIO</v>
      </c>
      <c r="C4012" s="3" t="s">
        <v>850</v>
      </c>
      <c r="D4012" s="3" t="s">
        <v>753</v>
      </c>
      <c r="E4012" s="3" t="s">
        <v>1096</v>
      </c>
      <c r="F4012" s="3" t="s">
        <v>8</v>
      </c>
      <c r="J4012" s="3">
        <v>0.57978110827072404</v>
      </c>
      <c r="L4012" s="3">
        <v>2.9382597523746E-3</v>
      </c>
      <c r="M4012" s="3">
        <v>0.14494527706768101</v>
      </c>
    </row>
    <row r="4013" spans="1:16" x14ac:dyDescent="0.3">
      <c r="A4013" s="3" t="str">
        <f t="shared" si="63"/>
        <v>STM</v>
      </c>
      <c r="C4013" s="3" t="s">
        <v>850</v>
      </c>
      <c r="D4013" s="3" t="s">
        <v>753</v>
      </c>
      <c r="E4013" s="3" t="s">
        <v>1235</v>
      </c>
      <c r="F4013" s="3" t="s">
        <v>0</v>
      </c>
      <c r="I4013" s="3">
        <v>4.3094357296706498</v>
      </c>
      <c r="J4013" s="3">
        <v>5.0260844819209103</v>
      </c>
      <c r="K4013" s="3">
        <v>5.5861302150813703</v>
      </c>
      <c r="L4013" s="3">
        <v>5.62079754207371</v>
      </c>
      <c r="M4013" s="3">
        <v>5.62079754207371</v>
      </c>
      <c r="N4013" s="3">
        <v>5.62079754207371</v>
      </c>
      <c r="O4013" s="3">
        <v>5.66593680765709</v>
      </c>
      <c r="P4013" s="3">
        <v>5.9599541036768002</v>
      </c>
    </row>
    <row r="4014" spans="1:16" x14ac:dyDescent="0.3">
      <c r="A4014" s="3" t="str">
        <f t="shared" si="63"/>
        <v>STM</v>
      </c>
      <c r="C4014" s="3" t="s">
        <v>850</v>
      </c>
      <c r="D4014" s="3" t="s">
        <v>753</v>
      </c>
      <c r="E4014" s="3" t="s">
        <v>1235</v>
      </c>
      <c r="F4014" s="3" t="s">
        <v>1</v>
      </c>
      <c r="I4014" s="3">
        <v>0.37122344027531001</v>
      </c>
      <c r="J4014" s="3">
        <v>4.3028144888480604</v>
      </c>
      <c r="K4014" s="3">
        <v>4.6402930034413901</v>
      </c>
      <c r="L4014" s="3">
        <v>4.6402930034413901</v>
      </c>
      <c r="M4014" s="3">
        <v>4.6402930034413901</v>
      </c>
      <c r="N4014" s="3">
        <v>4.6402930034413901</v>
      </c>
      <c r="O4014" s="3">
        <v>4.6775580742252298</v>
      </c>
      <c r="P4014" s="3">
        <v>4.9202863332309201</v>
      </c>
    </row>
    <row r="4015" spans="1:16" x14ac:dyDescent="0.3">
      <c r="A4015" s="3" t="str">
        <f t="shared" si="63"/>
        <v>STM</v>
      </c>
      <c r="C4015" s="3" t="s">
        <v>850</v>
      </c>
      <c r="D4015" s="3" t="s">
        <v>753</v>
      </c>
      <c r="E4015" s="3" t="s">
        <v>1235</v>
      </c>
      <c r="F4015" s="3" t="s">
        <v>4</v>
      </c>
      <c r="G4015" s="3">
        <v>15.3639999798168</v>
      </c>
      <c r="H4015" s="3">
        <v>15.0567199802205</v>
      </c>
      <c r="I4015" s="3">
        <v>25.138001317244299</v>
      </c>
      <c r="J4015" s="3">
        <v>25.765623347857201</v>
      </c>
      <c r="K4015" s="3">
        <v>30.337974891286201</v>
      </c>
      <c r="L4015" s="3">
        <v>35.146466665829102</v>
      </c>
      <c r="M4015" s="3">
        <v>40.103230731767503</v>
      </c>
      <c r="N4015" s="3">
        <v>45.046825675451799</v>
      </c>
      <c r="O4015" s="3">
        <v>45.073809783767999</v>
      </c>
      <c r="P4015" s="3">
        <v>47.9589596159283</v>
      </c>
    </row>
    <row r="4016" spans="1:16" x14ac:dyDescent="0.3">
      <c r="A4016" s="3" t="str">
        <f t="shared" si="63"/>
        <v>STM</v>
      </c>
      <c r="C4016" s="3" t="s">
        <v>850</v>
      </c>
      <c r="D4016" s="3" t="s">
        <v>753</v>
      </c>
      <c r="E4016" s="3" t="s">
        <v>1235</v>
      </c>
      <c r="F4016" s="3" t="s">
        <v>5</v>
      </c>
      <c r="G4016" s="3">
        <v>7.4456307594496698</v>
      </c>
      <c r="H4016" s="3">
        <v>7.2967181442606801</v>
      </c>
      <c r="I4016" s="3">
        <v>6.7010676835047098</v>
      </c>
      <c r="J4016" s="3">
        <v>11.3150349745725</v>
      </c>
      <c r="K4016" s="3">
        <v>14.0898278318707</v>
      </c>
      <c r="L4016" s="3">
        <v>16.9634225196716</v>
      </c>
      <c r="M4016" s="3">
        <v>19.841543590216499</v>
      </c>
      <c r="N4016" s="3">
        <v>22.960084169056699</v>
      </c>
      <c r="O4016" s="3">
        <v>26.070910102086099</v>
      </c>
      <c r="P4016" s="3">
        <v>27.911591018631199</v>
      </c>
    </row>
    <row r="4017" spans="1:16" x14ac:dyDescent="0.3">
      <c r="A4017" s="3" t="str">
        <f t="shared" si="63"/>
        <v>STM</v>
      </c>
      <c r="C4017" s="3" t="s">
        <v>850</v>
      </c>
      <c r="D4017" s="3" t="s">
        <v>753</v>
      </c>
      <c r="E4017" s="3" t="s">
        <v>1235</v>
      </c>
      <c r="F4017" s="3" t="s">
        <v>6</v>
      </c>
      <c r="I4017" s="3">
        <v>2.32473689910044</v>
      </c>
      <c r="J4017" s="3">
        <v>8.3903882747012304</v>
      </c>
      <c r="K4017" s="3">
        <v>10.3078260187197</v>
      </c>
      <c r="L4017" s="3">
        <v>12.32429031127</v>
      </c>
      <c r="M4017" s="3">
        <v>14.402933306663501</v>
      </c>
      <c r="N4017" s="3">
        <v>16.655212613603702</v>
      </c>
      <c r="O4017" s="3">
        <v>18.9019202319027</v>
      </c>
      <c r="P4017" s="3">
        <v>20.1118217744215</v>
      </c>
    </row>
    <row r="4018" spans="1:16" x14ac:dyDescent="0.3">
      <c r="A4018" s="3" t="str">
        <f t="shared" si="63"/>
        <v>STM</v>
      </c>
      <c r="C4018" s="3" t="s">
        <v>850</v>
      </c>
      <c r="D4018" s="3" t="s">
        <v>753</v>
      </c>
      <c r="E4018" s="3" t="s">
        <v>1235</v>
      </c>
      <c r="F4018" s="3" t="s">
        <v>7</v>
      </c>
      <c r="I4018" s="3">
        <v>3.2911930981984298E-2</v>
      </c>
      <c r="J4018" s="3">
        <v>0.53111222786796197</v>
      </c>
      <c r="K4018" s="3">
        <v>0.53111222786796197</v>
      </c>
      <c r="L4018" s="3">
        <v>0.53111222786796197</v>
      </c>
      <c r="M4018" s="3">
        <v>0.53111222786796197</v>
      </c>
      <c r="N4018" s="3">
        <v>0.53111222786796197</v>
      </c>
      <c r="O4018" s="3">
        <v>0.53537746171224498</v>
      </c>
      <c r="P4018" s="3">
        <v>0.56315931650275297</v>
      </c>
    </row>
    <row r="4019" spans="1:16" x14ac:dyDescent="0.3">
      <c r="A4019" s="3" t="str">
        <f t="shared" si="63"/>
        <v>STM</v>
      </c>
      <c r="C4019" s="3" t="s">
        <v>850</v>
      </c>
      <c r="D4019" s="3" t="s">
        <v>753</v>
      </c>
      <c r="E4019" s="3" t="s">
        <v>1235</v>
      </c>
      <c r="F4019" s="3" t="s">
        <v>8</v>
      </c>
      <c r="I4019" s="3">
        <v>0.42409580449032303</v>
      </c>
      <c r="J4019" s="3">
        <v>2.6690233390798102</v>
      </c>
      <c r="K4019" s="3">
        <v>3.5041812370062999</v>
      </c>
      <c r="L4019" s="3">
        <v>3.5594449341267098</v>
      </c>
      <c r="M4019" s="3">
        <v>3.5594449341267098</v>
      </c>
      <c r="N4019" s="3">
        <v>3.9176545196925199</v>
      </c>
      <c r="O4019" s="3">
        <v>4.1491753282698998</v>
      </c>
      <c r="P4019" s="3">
        <v>4.3644847028963403</v>
      </c>
    </row>
    <row r="4020" spans="1:16" x14ac:dyDescent="0.3">
      <c r="A4020" s="3" t="str">
        <f t="shared" si="63"/>
        <v>ELC</v>
      </c>
      <c r="C4020" s="3" t="s">
        <v>850</v>
      </c>
      <c r="D4020" s="3" t="s">
        <v>785</v>
      </c>
      <c r="E4020" s="3" t="s">
        <v>1175</v>
      </c>
      <c r="F4020" s="3" t="s">
        <v>0</v>
      </c>
      <c r="G4020" s="3">
        <v>9.3999134184621996E-2</v>
      </c>
      <c r="H4020" s="3">
        <v>0.11062052641401951</v>
      </c>
      <c r="I4020" s="3">
        <v>0.1771060953316087</v>
      </c>
      <c r="J4020" s="3">
        <v>0.26021305647859538</v>
      </c>
      <c r="K4020" s="3">
        <v>0.34332001762558184</v>
      </c>
      <c r="L4020" s="3">
        <v>0.34925838205485277</v>
      </c>
      <c r="M4020" s="3">
        <v>0.34998565683006133</v>
      </c>
      <c r="N4020" s="3">
        <v>0.35388105689764732</v>
      </c>
      <c r="O4020" s="3">
        <v>0.35864041263472435</v>
      </c>
      <c r="P4020" s="3">
        <v>0.33598624046934555</v>
      </c>
    </row>
    <row r="4021" spans="1:16" x14ac:dyDescent="0.3">
      <c r="A4021" s="3" t="str">
        <f t="shared" si="63"/>
        <v>ELC</v>
      </c>
      <c r="C4021" s="3" t="s">
        <v>850</v>
      </c>
      <c r="D4021" s="3" t="s">
        <v>785</v>
      </c>
      <c r="E4021" s="3" t="s">
        <v>1175</v>
      </c>
      <c r="F4021" s="3" t="s">
        <v>1</v>
      </c>
      <c r="G4021" s="3">
        <v>8.2940412515842998E-2</v>
      </c>
      <c r="H4021" s="3">
        <v>8.01757320986482E-2</v>
      </c>
      <c r="I4021" s="3">
        <v>0.13883946937887409</v>
      </c>
      <c r="J4021" s="3">
        <v>0.2121691409791564</v>
      </c>
      <c r="K4021" s="3">
        <v>0.26269523916728643</v>
      </c>
      <c r="L4021" s="3">
        <v>0.2636233926391699</v>
      </c>
      <c r="M4021" s="3">
        <v>0.26426510567611899</v>
      </c>
      <c r="N4021" s="3">
        <v>0.26488369573842585</v>
      </c>
      <c r="O4021" s="3">
        <v>0.27007501866039818</v>
      </c>
      <c r="P4021" s="3">
        <v>0.24842413572003891</v>
      </c>
    </row>
    <row r="4022" spans="1:16" x14ac:dyDescent="0.3">
      <c r="A4022" s="3" t="str">
        <f t="shared" si="63"/>
        <v>ELC</v>
      </c>
      <c r="C4022" s="3" t="s">
        <v>850</v>
      </c>
      <c r="D4022" s="3" t="s">
        <v>785</v>
      </c>
      <c r="E4022" s="3" t="s">
        <v>1175</v>
      </c>
      <c r="F4022" s="3" t="s">
        <v>2</v>
      </c>
      <c r="G4022" s="3">
        <v>0.14850283383789001</v>
      </c>
      <c r="H4022" s="3">
        <v>0.14355273937662699</v>
      </c>
      <c r="I4022" s="3">
        <v>0.123752361531575</v>
      </c>
      <c r="J4022" s="3">
        <v>9.9001889225260001E-2</v>
      </c>
      <c r="K4022" s="3">
        <v>7.4251416918945004E-2</v>
      </c>
      <c r="L4022" s="3">
        <v>4.950094461263E-2</v>
      </c>
      <c r="M4022" s="3">
        <v>2.4750472306315E-2</v>
      </c>
    </row>
    <row r="4023" spans="1:16" x14ac:dyDescent="0.3">
      <c r="A4023" s="3" t="str">
        <f t="shared" si="63"/>
        <v>ELC</v>
      </c>
      <c r="C4023" s="3" t="s">
        <v>850</v>
      </c>
      <c r="D4023" s="3" t="s">
        <v>785</v>
      </c>
      <c r="E4023" s="3" t="s">
        <v>1175</v>
      </c>
      <c r="F4023" s="3" t="s">
        <v>3</v>
      </c>
      <c r="G4023" s="3">
        <v>2.8436712862574699E-2</v>
      </c>
      <c r="H4023" s="3">
        <v>2.74888224338222E-2</v>
      </c>
      <c r="I4023" s="3">
        <v>2.3697260718812299E-2</v>
      </c>
      <c r="J4023" s="3">
        <v>1.8957808575049799E-2</v>
      </c>
      <c r="K4023" s="3">
        <v>1.4218356431287301E-2</v>
      </c>
      <c r="L4023" s="3">
        <v>9.4789042875248995E-3</v>
      </c>
      <c r="M4023" s="3">
        <v>4.7394521437624498E-3</v>
      </c>
    </row>
    <row r="4024" spans="1:16" x14ac:dyDescent="0.3">
      <c r="A4024" s="3" t="str">
        <f t="shared" si="63"/>
        <v>ELC</v>
      </c>
      <c r="C4024" s="3" t="s">
        <v>850</v>
      </c>
      <c r="D4024" s="3" t="s">
        <v>785</v>
      </c>
      <c r="E4024" s="3" t="s">
        <v>1175</v>
      </c>
      <c r="F4024" s="3" t="s">
        <v>4</v>
      </c>
      <c r="G4024" s="3">
        <v>0.35387909340092999</v>
      </c>
      <c r="H4024" s="3">
        <v>0.49418532485057298</v>
      </c>
      <c r="I4024" s="3">
        <v>1.055410250649196</v>
      </c>
      <c r="J4024" s="3">
        <v>1.7569414078974701</v>
      </c>
      <c r="K4024" s="3">
        <v>2.4584725651457431</v>
      </c>
      <c r="L4024" s="3">
        <v>3.1600037223940163</v>
      </c>
      <c r="M4024" s="3">
        <v>3.8615348796422904</v>
      </c>
      <c r="N4024" s="3">
        <v>4.5630660368905636</v>
      </c>
      <c r="O4024" s="3">
        <v>4.5997109165845806</v>
      </c>
      <c r="P4024" s="3">
        <v>4.8383995239723054</v>
      </c>
    </row>
    <row r="4025" spans="1:16" x14ac:dyDescent="0.3">
      <c r="A4025" s="3" t="str">
        <f t="shared" si="63"/>
        <v>ELC</v>
      </c>
      <c r="C4025" s="3" t="s">
        <v>850</v>
      </c>
      <c r="D4025" s="3" t="s">
        <v>785</v>
      </c>
      <c r="E4025" s="3" t="s">
        <v>1175</v>
      </c>
      <c r="F4025" s="3" t="s">
        <v>5</v>
      </c>
      <c r="G4025" s="3">
        <v>0.20547818326505601</v>
      </c>
      <c r="H4025" s="3">
        <v>0.198628910489554</v>
      </c>
      <c r="I4025" s="3">
        <v>0.171231819387547</v>
      </c>
      <c r="J4025" s="3">
        <v>0.57857249133815691</v>
      </c>
      <c r="K4025" s="3">
        <v>0.98591316328876699</v>
      </c>
      <c r="L4025" s="3">
        <v>1.3932538352393777</v>
      </c>
      <c r="M4025" s="3">
        <v>1.8005945071899871</v>
      </c>
      <c r="N4025" s="3">
        <v>2.2407007901551657</v>
      </c>
      <c r="O4025" s="3">
        <v>2.6707998870491108</v>
      </c>
      <c r="P4025" s="3">
        <v>2.8093932719839172</v>
      </c>
    </row>
    <row r="4026" spans="1:16" x14ac:dyDescent="0.3">
      <c r="A4026" s="3" t="str">
        <f t="shared" si="63"/>
        <v>ELC</v>
      </c>
      <c r="C4026" s="3" t="s">
        <v>850</v>
      </c>
      <c r="D4026" s="3" t="s">
        <v>785</v>
      </c>
      <c r="E4026" s="3" t="s">
        <v>1175</v>
      </c>
      <c r="F4026" s="3" t="s">
        <v>6</v>
      </c>
      <c r="G4026" s="3">
        <v>0.148400910135874</v>
      </c>
      <c r="H4026" s="3">
        <v>0.14345421313134499</v>
      </c>
      <c r="I4026" s="3">
        <v>0.12366742511322799</v>
      </c>
      <c r="J4026" s="3">
        <v>0.41785791041089171</v>
      </c>
      <c r="K4026" s="3">
        <v>0.71204839570855505</v>
      </c>
      <c r="L4026" s="3">
        <v>1.0062388810062184</v>
      </c>
      <c r="M4026" s="3">
        <v>1.3004293663038817</v>
      </c>
      <c r="N4026" s="3">
        <v>1.6182839040009549</v>
      </c>
      <c r="O4026" s="3">
        <v>1.928911029535469</v>
      </c>
      <c r="P4026" s="3">
        <v>2.0290062519883851</v>
      </c>
    </row>
    <row r="4027" spans="1:16" x14ac:dyDescent="0.3">
      <c r="A4027" s="3" t="str">
        <f t="shared" si="63"/>
        <v>ELC</v>
      </c>
      <c r="C4027" s="3" t="s">
        <v>850</v>
      </c>
      <c r="D4027" s="3" t="s">
        <v>785</v>
      </c>
      <c r="E4027" s="3" t="s">
        <v>1175</v>
      </c>
      <c r="F4027" s="3" t="s">
        <v>7</v>
      </c>
      <c r="G4027" s="3">
        <v>2.02216624800532E-2</v>
      </c>
      <c r="H4027" s="3">
        <v>1.9547607064051401E-2</v>
      </c>
      <c r="I4027" s="3">
        <v>1.68513854000443E-2</v>
      </c>
      <c r="J4027" s="3">
        <v>1.34811083200355E-2</v>
      </c>
      <c r="K4027" s="3">
        <v>1.01108312400266E-2</v>
      </c>
      <c r="L4027" s="3">
        <v>6.7405541600177301E-3</v>
      </c>
      <c r="M4027" s="3">
        <v>3.3702770800088698E-3</v>
      </c>
    </row>
    <row r="4028" spans="1:16" x14ac:dyDescent="0.3">
      <c r="A4028" s="3" t="str">
        <f t="shared" si="63"/>
        <v>ELC</v>
      </c>
      <c r="C4028" s="3" t="s">
        <v>850</v>
      </c>
      <c r="D4028" s="3" t="s">
        <v>785</v>
      </c>
      <c r="E4028" s="3" t="s">
        <v>1175</v>
      </c>
      <c r="F4028" s="3" t="s">
        <v>8</v>
      </c>
      <c r="G4028" s="3">
        <v>0.156717884220412</v>
      </c>
      <c r="H4028" s="3">
        <v>0.15149395474639801</v>
      </c>
      <c r="I4028" s="3">
        <v>0.130598236850343</v>
      </c>
      <c r="J4028" s="3">
        <v>0.104478589480275</v>
      </c>
      <c r="K4028" s="3">
        <v>7.8358942110205998E-2</v>
      </c>
      <c r="L4028" s="3">
        <v>5.2239294740137297E-2</v>
      </c>
      <c r="M4028" s="3">
        <v>2.6119647370068701E-2</v>
      </c>
    </row>
    <row r="4029" spans="1:16" x14ac:dyDescent="0.3">
      <c r="A4029" s="3" t="str">
        <f t="shared" si="63"/>
        <v>NGA</v>
      </c>
      <c r="C4029" s="3" t="s">
        <v>850</v>
      </c>
      <c r="D4029" s="3" t="s">
        <v>785</v>
      </c>
      <c r="E4029" s="3" t="s">
        <v>1097</v>
      </c>
      <c r="F4029" s="3" t="s">
        <v>0</v>
      </c>
      <c r="G4029" s="3">
        <v>0.21718609960586899</v>
      </c>
      <c r="H4029" s="3">
        <v>0.20994656295233999</v>
      </c>
      <c r="I4029" s="3">
        <v>0.18098841633822399</v>
      </c>
      <c r="J4029" s="3">
        <v>0.14479073307057899</v>
      </c>
      <c r="K4029" s="3">
        <v>0.10859304980293399</v>
      </c>
      <c r="L4029" s="3">
        <v>0.14956396325300561</v>
      </c>
      <c r="M4029" s="3">
        <v>0.19574596635713898</v>
      </c>
      <c r="N4029" s="3">
        <v>0.2387598441688947</v>
      </c>
      <c r="O4029" s="3">
        <v>0.2387598441688947</v>
      </c>
      <c r="P4029" s="3">
        <v>0.29241436351596217</v>
      </c>
    </row>
    <row r="4030" spans="1:16" x14ac:dyDescent="0.3">
      <c r="A4030" s="3" t="str">
        <f t="shared" si="63"/>
        <v>NGA</v>
      </c>
      <c r="C4030" s="3" t="s">
        <v>850</v>
      </c>
      <c r="D4030" s="3" t="s">
        <v>785</v>
      </c>
      <c r="E4030" s="3" t="s">
        <v>1097</v>
      </c>
      <c r="F4030" s="3" t="s">
        <v>1</v>
      </c>
      <c r="G4030" s="3">
        <v>0.19163479376988399</v>
      </c>
      <c r="H4030" s="3">
        <v>0.20267758204813929</v>
      </c>
      <c r="I4030" s="3">
        <v>0.17712627621215429</v>
      </c>
      <c r="J4030" s="3">
        <v>0.1451871439171743</v>
      </c>
      <c r="K4030" s="3">
        <v>0.1360515850343457</v>
      </c>
      <c r="L4030" s="3">
        <v>0.17651397086776391</v>
      </c>
      <c r="M4030" s="3">
        <v>0.2172627971361164</v>
      </c>
      <c r="N4030" s="3">
        <v>0.25803474637911117</v>
      </c>
      <c r="O4030" s="3">
        <v>0.25704285498985402</v>
      </c>
      <c r="P4030" s="3">
        <v>0.30604698544346731</v>
      </c>
    </row>
    <row r="4031" spans="1:16" x14ac:dyDescent="0.3">
      <c r="A4031" s="3" t="str">
        <f t="shared" si="63"/>
        <v>NGA</v>
      </c>
      <c r="C4031" s="3" t="s">
        <v>850</v>
      </c>
      <c r="D4031" s="3" t="s">
        <v>785</v>
      </c>
      <c r="E4031" s="3" t="s">
        <v>1097</v>
      </c>
      <c r="F4031" s="3" t="s">
        <v>2</v>
      </c>
      <c r="G4031" s="3">
        <v>0.34311753551179103</v>
      </c>
      <c r="H4031" s="3">
        <v>0.34806762997305429</v>
      </c>
      <c r="I4031" s="3">
        <v>0.36786800781810597</v>
      </c>
      <c r="J4031" s="3">
        <v>0.39261848012442119</v>
      </c>
      <c r="K4031" s="3">
        <v>0.41736895243073641</v>
      </c>
      <c r="L4031" s="3">
        <v>0.44211942473705068</v>
      </c>
      <c r="M4031" s="3">
        <v>0.46686989704336601</v>
      </c>
      <c r="N4031" s="3">
        <v>0.49162036934968101</v>
      </c>
      <c r="O4031" s="3">
        <v>0.49556845362992152</v>
      </c>
      <c r="P4031" s="3">
        <v>0.5212845358375523</v>
      </c>
    </row>
    <row r="4032" spans="1:16" x14ac:dyDescent="0.3">
      <c r="A4032" s="3" t="str">
        <f t="shared" si="63"/>
        <v>NGA</v>
      </c>
      <c r="C4032" s="3" t="s">
        <v>850</v>
      </c>
      <c r="D4032" s="3" t="s">
        <v>785</v>
      </c>
      <c r="E4032" s="3" t="s">
        <v>1097</v>
      </c>
      <c r="F4032" s="3" t="s">
        <v>3</v>
      </c>
      <c r="G4032" s="3">
        <v>6.5703357863960393E-2</v>
      </c>
      <c r="H4032" s="3">
        <v>6.6651248292712836E-2</v>
      </c>
      <c r="I4032" s="3">
        <v>7.0442810007722845E-2</v>
      </c>
      <c r="J4032" s="3">
        <v>7.5182262151485255E-2</v>
      </c>
      <c r="K4032" s="3">
        <v>7.9921714295247748E-2</v>
      </c>
      <c r="L4032" s="3">
        <v>8.4661166439010241E-2</v>
      </c>
      <c r="M4032" s="3">
        <v>8.9400618582772637E-2</v>
      </c>
      <c r="N4032" s="3">
        <v>9.4140070726535074E-2</v>
      </c>
      <c r="O4032" s="3">
        <v>9.4896086865304388E-2</v>
      </c>
      <c r="P4032" s="3">
        <v>9.9820443032722694E-2</v>
      </c>
    </row>
    <row r="4033" spans="1:16" x14ac:dyDescent="0.3">
      <c r="A4033" s="3" t="str">
        <f t="shared" si="63"/>
        <v>NGA</v>
      </c>
      <c r="C4033" s="3" t="s">
        <v>850</v>
      </c>
      <c r="D4033" s="3" t="s">
        <v>785</v>
      </c>
      <c r="E4033" s="3" t="s">
        <v>1097</v>
      </c>
      <c r="F4033" s="3" t="s">
        <v>4</v>
      </c>
      <c r="G4033" s="3">
        <v>3.67938804038178</v>
      </c>
      <c r="H4033" s="3">
        <v>3.5567417723690502</v>
      </c>
      <c r="I4033" s="3">
        <v>3.06615670031815</v>
      </c>
      <c r="J4033" s="3">
        <v>2.45292536025452</v>
      </c>
      <c r="K4033" s="3">
        <v>1.83969402019089</v>
      </c>
      <c r="L4033" s="3">
        <v>1.22646268012726</v>
      </c>
      <c r="M4033" s="3">
        <v>0.61323134006363</v>
      </c>
    </row>
    <row r="4034" spans="1:16" x14ac:dyDescent="0.3">
      <c r="A4034" s="3" t="str">
        <f t="shared" si="63"/>
        <v>NGA</v>
      </c>
      <c r="C4034" s="3" t="s">
        <v>850</v>
      </c>
      <c r="D4034" s="3" t="s">
        <v>785</v>
      </c>
      <c r="E4034" s="3" t="s">
        <v>1097</v>
      </c>
      <c r="F4034" s="3" t="s">
        <v>5</v>
      </c>
      <c r="G4034" s="3">
        <v>2.1364188621571598</v>
      </c>
      <c r="H4034" s="3">
        <v>2.1535223072508716</v>
      </c>
      <c r="I4034" s="3">
        <v>2.221936087625747</v>
      </c>
      <c r="J4034" s="3">
        <v>1.8658662772662269</v>
      </c>
      <c r="K4034" s="3">
        <v>1.5097964669066968</v>
      </c>
      <c r="L4034" s="3">
        <v>1.1537266565471698</v>
      </c>
      <c r="M4034" s="3">
        <v>0.79765684618764388</v>
      </c>
      <c r="N4034" s="3">
        <v>0.4088214248135475</v>
      </c>
    </row>
    <row r="4035" spans="1:16" x14ac:dyDescent="0.3">
      <c r="A4035" s="3" t="str">
        <f t="shared" si="63"/>
        <v>NGA</v>
      </c>
      <c r="C4035" s="3" t="s">
        <v>850</v>
      </c>
      <c r="D4035" s="3" t="s">
        <v>785</v>
      </c>
      <c r="E4035" s="3" t="s">
        <v>1097</v>
      </c>
      <c r="F4035" s="3" t="s">
        <v>6</v>
      </c>
      <c r="G4035" s="3">
        <v>1.54296917822462</v>
      </c>
      <c r="H4035" s="3">
        <v>1.5553216663478566</v>
      </c>
      <c r="I4035" s="3">
        <v>1.6047316188408236</v>
      </c>
      <c r="J4035" s="3">
        <v>1.3475700891367135</v>
      </c>
      <c r="K4035" s="3">
        <v>1.0904085594326136</v>
      </c>
      <c r="L4035" s="3">
        <v>0.83324702972851061</v>
      </c>
      <c r="M4035" s="3">
        <v>0.5760855000244065</v>
      </c>
      <c r="N4035" s="3">
        <v>0.29525991792089368</v>
      </c>
    </row>
    <row r="4036" spans="1:16" x14ac:dyDescent="0.3">
      <c r="A4036" s="3" t="str">
        <f t="shared" si="63"/>
        <v>NGA</v>
      </c>
      <c r="C4036" s="3" t="s">
        <v>850</v>
      </c>
      <c r="D4036" s="3" t="s">
        <v>785</v>
      </c>
      <c r="E4036" s="3" t="s">
        <v>1097</v>
      </c>
      <c r="F4036" s="3" t="s">
        <v>7</v>
      </c>
      <c r="H4036" s="3">
        <v>1.6831961838262399E-3</v>
      </c>
      <c r="I4036" s="3">
        <v>8.4159809191313092E-3</v>
      </c>
      <c r="J4036" s="3">
        <v>1.683196183826265E-2</v>
      </c>
      <c r="K4036" s="3">
        <v>2.5247942757394011E-2</v>
      </c>
      <c r="L4036" s="3">
        <v>3.3663923676525348E-2</v>
      </c>
      <c r="M4036" s="3">
        <v>4.2079904595656699E-2</v>
      </c>
      <c r="N4036" s="3">
        <v>5.049588551478805E-2</v>
      </c>
      <c r="O4036" s="3">
        <v>5.0901405758144697E-2</v>
      </c>
      <c r="P4036" s="3">
        <v>5.3542786026344352E-2</v>
      </c>
    </row>
    <row r="4037" spans="1:16" x14ac:dyDescent="0.3">
      <c r="A4037" s="3" t="str">
        <f t="shared" si="63"/>
        <v>NGA</v>
      </c>
      <c r="C4037" s="3" t="s">
        <v>850</v>
      </c>
      <c r="D4037" s="3" t="s">
        <v>785</v>
      </c>
      <c r="E4037" s="3" t="s">
        <v>1097</v>
      </c>
      <c r="F4037" s="3" t="s">
        <v>8</v>
      </c>
      <c r="I4037" s="3">
        <v>7.0433466112400896E-3</v>
      </c>
      <c r="J4037" s="3">
        <v>7.226719873450789E-2</v>
      </c>
      <c r="K4037" s="3">
        <v>0.1374910508577758</v>
      </c>
      <c r="L4037" s="3">
        <v>0.20824849681823071</v>
      </c>
      <c r="M4037" s="3">
        <v>0.2869737705100357</v>
      </c>
      <c r="N4037" s="3">
        <v>0.37247388354625899</v>
      </c>
      <c r="O4037" s="3">
        <v>0.39448589462562156</v>
      </c>
      <c r="P4037" s="3">
        <v>0.41495659170416893</v>
      </c>
    </row>
    <row r="4038" spans="1:16" x14ac:dyDescent="0.3">
      <c r="A4038" s="3" t="str">
        <f t="shared" si="63"/>
        <v>RFL</v>
      </c>
      <c r="C4038" s="3" t="s">
        <v>850</v>
      </c>
      <c r="D4038" s="3" t="s">
        <v>785</v>
      </c>
      <c r="E4038" s="3" t="s">
        <v>1098</v>
      </c>
      <c r="F4038" s="3" t="s">
        <v>0</v>
      </c>
      <c r="G4038" s="3">
        <v>0.28145566727605098</v>
      </c>
      <c r="H4038" s="3">
        <v>0.27207381170018302</v>
      </c>
      <c r="I4038" s="3">
        <v>0.23454638939670899</v>
      </c>
      <c r="J4038" s="3">
        <v>0.18763711151736701</v>
      </c>
      <c r="K4038" s="3">
        <v>0.14072783363802499</v>
      </c>
      <c r="L4038" s="3">
        <v>9.3818555758683697E-2</v>
      </c>
      <c r="M4038" s="3">
        <v>4.69092778793418E-2</v>
      </c>
    </row>
    <row r="4039" spans="1:16" x14ac:dyDescent="0.3">
      <c r="A4039" s="3" t="str">
        <f t="shared" si="63"/>
        <v>RFL</v>
      </c>
      <c r="C4039" s="3" t="s">
        <v>850</v>
      </c>
      <c r="D4039" s="3" t="s">
        <v>785</v>
      </c>
      <c r="E4039" s="3" t="s">
        <v>1098</v>
      </c>
      <c r="F4039" s="3" t="s">
        <v>1</v>
      </c>
      <c r="G4039" s="3">
        <v>0.24834323583181001</v>
      </c>
      <c r="H4039" s="3">
        <v>0.24006512797075</v>
      </c>
      <c r="I4039" s="3">
        <v>0.206952696526508</v>
      </c>
      <c r="J4039" s="3">
        <v>0.16556215722120701</v>
      </c>
      <c r="K4039" s="3">
        <v>0.124171617915905</v>
      </c>
      <c r="L4039" s="3">
        <v>8.2781078610603298E-2</v>
      </c>
      <c r="M4039" s="3">
        <v>4.1390539305301698E-2</v>
      </c>
    </row>
    <row r="4040" spans="1:16" x14ac:dyDescent="0.3">
      <c r="A4040" s="3" t="str">
        <f t="shared" si="63"/>
        <v>RFL</v>
      </c>
      <c r="C4040" s="3" t="s">
        <v>850</v>
      </c>
      <c r="D4040" s="3" t="s">
        <v>785</v>
      </c>
      <c r="E4040" s="3" t="s">
        <v>1098</v>
      </c>
      <c r="F4040" s="3" t="s">
        <v>4</v>
      </c>
      <c r="G4040" s="3">
        <v>0.52979890310785405</v>
      </c>
      <c r="H4040" s="3">
        <v>0.51213893967093205</v>
      </c>
      <c r="I4040" s="3">
        <v>0.44149908592321802</v>
      </c>
      <c r="J4040" s="3">
        <v>0.35319926873857399</v>
      </c>
      <c r="K4040" s="3">
        <v>0.26489945155393102</v>
      </c>
      <c r="L4040" s="3">
        <v>0.176599634369287</v>
      </c>
      <c r="M4040" s="3">
        <v>8.8299817184643498E-2</v>
      </c>
    </row>
    <row r="4041" spans="1:16" x14ac:dyDescent="0.3">
      <c r="A4041" s="3" t="str">
        <f t="shared" si="63"/>
        <v>RFL</v>
      </c>
      <c r="C4041" s="3" t="s">
        <v>850</v>
      </c>
      <c r="D4041" s="3" t="s">
        <v>785</v>
      </c>
      <c r="E4041" s="3" t="s">
        <v>1098</v>
      </c>
      <c r="F4041" s="3" t="s">
        <v>5</v>
      </c>
      <c r="G4041" s="3">
        <v>0.30762516954649799</v>
      </c>
      <c r="H4041" s="3">
        <v>0.29737099722828297</v>
      </c>
      <c r="I4041" s="3">
        <v>0.25635430795541703</v>
      </c>
      <c r="J4041" s="3">
        <v>0.20508344636433301</v>
      </c>
      <c r="K4041" s="3">
        <v>0.15381258477324999</v>
      </c>
      <c r="L4041" s="3">
        <v>0.102541723182167</v>
      </c>
      <c r="M4041" s="3">
        <v>5.1270861591083301E-2</v>
      </c>
    </row>
    <row r="4042" spans="1:16" x14ac:dyDescent="0.3">
      <c r="A4042" s="3" t="str">
        <f t="shared" si="63"/>
        <v>RFL</v>
      </c>
      <c r="C4042" s="3" t="s">
        <v>850</v>
      </c>
      <c r="D4042" s="3" t="s">
        <v>785</v>
      </c>
      <c r="E4042" s="3" t="s">
        <v>1098</v>
      </c>
      <c r="F4042" s="3" t="s">
        <v>6</v>
      </c>
      <c r="G4042" s="3">
        <v>0.222173733561356</v>
      </c>
      <c r="H4042" s="3">
        <v>0.21476794244264899</v>
      </c>
      <c r="I4042" s="3">
        <v>0.18514477796780099</v>
      </c>
      <c r="J4042" s="3">
        <v>0.14811582237424101</v>
      </c>
      <c r="K4042" s="3">
        <v>0.11108686678068</v>
      </c>
      <c r="L4042" s="3">
        <v>7.4057911187120296E-2</v>
      </c>
      <c r="M4042" s="3">
        <v>3.7028955593560203E-2</v>
      </c>
    </row>
    <row r="4043" spans="1:16" x14ac:dyDescent="0.3">
      <c r="A4043" s="3" t="str">
        <f t="shared" si="63"/>
        <v>RFL</v>
      </c>
      <c r="C4043" s="3" t="s">
        <v>850</v>
      </c>
      <c r="D4043" s="3" t="s">
        <v>785</v>
      </c>
      <c r="E4043" s="3" t="s">
        <v>1098</v>
      </c>
      <c r="F4043" s="3" t="s">
        <v>7</v>
      </c>
      <c r="G4043" s="3">
        <v>3.0274223034734898E-2</v>
      </c>
      <c r="H4043" s="3">
        <v>2.9265082266910401E-2</v>
      </c>
      <c r="I4043" s="3">
        <v>2.5228519195612399E-2</v>
      </c>
      <c r="J4043" s="3">
        <v>2.01828153564899E-2</v>
      </c>
      <c r="K4043" s="3">
        <v>1.5137111517367401E-2</v>
      </c>
      <c r="L4043" s="3">
        <v>1.0091407678245E-2</v>
      </c>
      <c r="M4043" s="3">
        <v>5.0457038391224802E-3</v>
      </c>
    </row>
    <row r="4044" spans="1:16" x14ac:dyDescent="0.3">
      <c r="A4044" s="3" t="str">
        <f t="shared" si="63"/>
        <v>RFL</v>
      </c>
      <c r="C4044" s="3" t="s">
        <v>850</v>
      </c>
      <c r="D4044" s="3" t="s">
        <v>785</v>
      </c>
      <c r="E4044" s="3" t="s">
        <v>1098</v>
      </c>
      <c r="F4044" s="3" t="s">
        <v>8</v>
      </c>
      <c r="G4044" s="3">
        <v>0.15635660597127399</v>
      </c>
      <c r="H4044" s="3">
        <v>0.16559815885246701</v>
      </c>
      <c r="I4044" s="3">
        <v>0.195521023765996</v>
      </c>
      <c r="J4044" s="3">
        <v>0.156416819012797</v>
      </c>
      <c r="K4044" s="3">
        <v>0.11731261425959701</v>
      </c>
      <c r="L4044" s="3">
        <v>7.8208409506398305E-2</v>
      </c>
      <c r="M4044" s="3">
        <v>3.9104204753199201E-2</v>
      </c>
    </row>
    <row r="4045" spans="1:16" x14ac:dyDescent="0.3">
      <c r="A4045" s="3" t="str">
        <f t="shared" si="63"/>
        <v>TOM</v>
      </c>
      <c r="C4045" s="3" t="s">
        <v>850</v>
      </c>
      <c r="D4045" s="3" t="s">
        <v>1176</v>
      </c>
      <c r="E4045" s="3" t="s">
        <v>1094</v>
      </c>
      <c r="F4045" s="3" t="s">
        <v>4</v>
      </c>
      <c r="G4045" s="3">
        <v>15.3639999798168</v>
      </c>
      <c r="H4045" s="3">
        <v>15.0567199802205</v>
      </c>
      <c r="I4045" s="3">
        <v>13.8275999818351</v>
      </c>
      <c r="J4045" s="3">
        <v>12.291199983853501</v>
      </c>
      <c r="K4045" s="3">
        <v>10.7547999858718</v>
      </c>
      <c r="L4045" s="3">
        <v>9.2183999878900895</v>
      </c>
      <c r="M4045" s="3">
        <v>7.6819999899084097</v>
      </c>
      <c r="N4045" s="3">
        <v>6.1455999919267299</v>
      </c>
      <c r="O4045" s="3">
        <v>4.6091999939450501</v>
      </c>
      <c r="P4045" s="3">
        <v>3.0727999959633601</v>
      </c>
    </row>
    <row r="4046" spans="1:16" x14ac:dyDescent="0.3">
      <c r="A4046" s="3" t="str">
        <f t="shared" si="63"/>
        <v>TOM</v>
      </c>
      <c r="C4046" s="3" t="s">
        <v>850</v>
      </c>
      <c r="D4046" s="3" t="s">
        <v>1176</v>
      </c>
      <c r="E4046" s="3" t="s">
        <v>1094</v>
      </c>
      <c r="F4046" s="3" t="s">
        <v>5</v>
      </c>
      <c r="G4046" s="3">
        <v>7.4456307594496698</v>
      </c>
      <c r="H4046" s="3">
        <v>7.2967181442606801</v>
      </c>
      <c r="I4046" s="3">
        <v>6.7010676835047098</v>
      </c>
      <c r="J4046" s="3">
        <v>5.9565046075597401</v>
      </c>
      <c r="K4046" s="3">
        <v>5.2119415316147704</v>
      </c>
      <c r="L4046" s="3">
        <v>4.4673784556698104</v>
      </c>
      <c r="M4046" s="3">
        <v>3.7228153797248398</v>
      </c>
      <c r="N4046" s="3">
        <v>2.97825230377987</v>
      </c>
      <c r="O4046" s="3">
        <v>2.2336892278348999</v>
      </c>
      <c r="P4046" s="3">
        <v>1.4891261518899299</v>
      </c>
    </row>
    <row r="4047" spans="1:16" x14ac:dyDescent="0.3">
      <c r="A4047" s="3" t="str">
        <f t="shared" si="63"/>
        <v>TOM</v>
      </c>
      <c r="C4047" s="3" t="s">
        <v>850</v>
      </c>
      <c r="D4047" s="3" t="s">
        <v>1176</v>
      </c>
      <c r="E4047" s="3" t="s">
        <v>1236</v>
      </c>
      <c r="F4047" s="3" t="s">
        <v>0</v>
      </c>
      <c r="I4047" s="3">
        <v>4.3094357296706498</v>
      </c>
      <c r="J4047" s="3">
        <v>5.0260844819209112</v>
      </c>
      <c r="K4047" s="3">
        <v>5.5861302150813632</v>
      </c>
      <c r="L4047" s="3">
        <v>5.6207975420737091</v>
      </c>
      <c r="M4047" s="3">
        <v>5.6207975420737091</v>
      </c>
      <c r="N4047" s="3">
        <v>5.6207975420737091</v>
      </c>
      <c r="O4047" s="3">
        <v>5.6659368076570908</v>
      </c>
      <c r="P4047" s="3">
        <v>5.9599541036767985</v>
      </c>
    </row>
    <row r="4048" spans="1:16" x14ac:dyDescent="0.3">
      <c r="A4048" s="3" t="str">
        <f t="shared" si="63"/>
        <v>TOM</v>
      </c>
      <c r="C4048" s="3" t="s">
        <v>850</v>
      </c>
      <c r="D4048" s="3" t="s">
        <v>1176</v>
      </c>
      <c r="E4048" s="3" t="s">
        <v>1236</v>
      </c>
      <c r="F4048" s="3" t="s">
        <v>1</v>
      </c>
      <c r="I4048" s="3">
        <v>0.37122344027531001</v>
      </c>
      <c r="J4048" s="3">
        <v>4.3028144888480595</v>
      </c>
      <c r="K4048" s="3">
        <v>4.6402930034413874</v>
      </c>
      <c r="L4048" s="3">
        <v>4.6402930034413874</v>
      </c>
      <c r="M4048" s="3">
        <v>4.6402930034413865</v>
      </c>
      <c r="N4048" s="3">
        <v>4.6402930034413874</v>
      </c>
      <c r="O4048" s="3">
        <v>4.6775580742252298</v>
      </c>
      <c r="P4048" s="3">
        <v>4.9202863332309157</v>
      </c>
    </row>
    <row r="4049" spans="1:16" x14ac:dyDescent="0.3">
      <c r="A4049" s="3" t="str">
        <f t="shared" si="63"/>
        <v>TOM</v>
      </c>
      <c r="C4049" s="3" t="s">
        <v>850</v>
      </c>
      <c r="D4049" s="3" t="s">
        <v>1176</v>
      </c>
      <c r="E4049" s="3" t="s">
        <v>1236</v>
      </c>
      <c r="F4049" s="3" t="s">
        <v>4</v>
      </c>
      <c r="I4049" s="3">
        <v>11.3104013354091</v>
      </c>
      <c r="J4049" s="3">
        <v>13.474423364003741</v>
      </c>
      <c r="K4049" s="3">
        <v>19.58317490541441</v>
      </c>
      <c r="L4049" s="3">
        <v>25.928066677939039</v>
      </c>
      <c r="M4049" s="3">
        <v>32.421230741859127</v>
      </c>
      <c r="N4049" s="3">
        <v>38.901225683525027</v>
      </c>
      <c r="O4049" s="3">
        <v>40.464609789822916</v>
      </c>
      <c r="P4049" s="3">
        <v>44.886159619964936</v>
      </c>
    </row>
    <row r="4050" spans="1:16" x14ac:dyDescent="0.3">
      <c r="A4050" s="3" t="str">
        <f t="shared" si="63"/>
        <v>TOM</v>
      </c>
      <c r="C4050" s="3" t="s">
        <v>850</v>
      </c>
      <c r="D4050" s="3" t="s">
        <v>1176</v>
      </c>
      <c r="E4050" s="3" t="s">
        <v>1236</v>
      </c>
      <c r="F4050" s="3" t="s">
        <v>5</v>
      </c>
      <c r="J4050" s="3">
        <v>5.35853036701279</v>
      </c>
      <c r="K4050" s="3">
        <v>8.8778863002559092</v>
      </c>
      <c r="L4050" s="3">
        <v>12.496044064001799</v>
      </c>
      <c r="M4050" s="3">
        <v>16.118728210491629</v>
      </c>
      <c r="N4050" s="3">
        <v>19.981831865276849</v>
      </c>
      <c r="O4050" s="3">
        <v>23.837220874251209</v>
      </c>
      <c r="P4050" s="3">
        <v>26.422464866741308</v>
      </c>
    </row>
    <row r="4051" spans="1:16" x14ac:dyDescent="0.3">
      <c r="A4051" s="3" t="str">
        <f t="shared" si="63"/>
        <v>TOM</v>
      </c>
      <c r="C4051" s="3" t="s">
        <v>850</v>
      </c>
      <c r="D4051" s="3" t="s">
        <v>1176</v>
      </c>
      <c r="E4051" s="3" t="s">
        <v>1236</v>
      </c>
      <c r="F4051" s="3" t="s">
        <v>6</v>
      </c>
      <c r="I4051" s="3">
        <v>2.32473689910044</v>
      </c>
      <c r="J4051" s="3">
        <v>8.3903882747012304</v>
      </c>
      <c r="K4051" s="3">
        <v>10.30782601871975</v>
      </c>
      <c r="L4051" s="3">
        <v>12.32429031127003</v>
      </c>
      <c r="M4051" s="3">
        <v>14.402933306663499</v>
      </c>
      <c r="N4051" s="3">
        <v>16.65521261360373</v>
      </c>
      <c r="O4051" s="3">
        <v>18.901920231902711</v>
      </c>
      <c r="P4051" s="3">
        <v>20.111821774421532</v>
      </c>
    </row>
    <row r="4052" spans="1:16" x14ac:dyDescent="0.3">
      <c r="A4052" s="3" t="str">
        <f t="shared" si="63"/>
        <v>TOM</v>
      </c>
      <c r="C4052" s="3" t="s">
        <v>850</v>
      </c>
      <c r="D4052" s="3" t="s">
        <v>1176</v>
      </c>
      <c r="E4052" s="3" t="s">
        <v>1236</v>
      </c>
      <c r="F4052" s="3" t="s">
        <v>7</v>
      </c>
      <c r="I4052" s="3">
        <v>3.2911930981984298E-2</v>
      </c>
      <c r="J4052" s="3">
        <v>0.53111222786796231</v>
      </c>
      <c r="K4052" s="3">
        <v>0.53111222786796231</v>
      </c>
      <c r="L4052" s="3">
        <v>0.53111222786796253</v>
      </c>
      <c r="M4052" s="3">
        <v>0.53111222786796253</v>
      </c>
      <c r="N4052" s="3">
        <v>0.53111222786796231</v>
      </c>
      <c r="O4052" s="3">
        <v>0.53537746171224554</v>
      </c>
      <c r="P4052" s="3">
        <v>0.56315931650275375</v>
      </c>
    </row>
    <row r="4053" spans="1:16" x14ac:dyDescent="0.3">
      <c r="A4053" s="3" t="str">
        <f t="shared" si="63"/>
        <v>TOM</v>
      </c>
      <c r="C4053" s="3" t="s">
        <v>850</v>
      </c>
      <c r="D4053" s="3" t="s">
        <v>1176</v>
      </c>
      <c r="E4053" s="3" t="s">
        <v>1236</v>
      </c>
      <c r="F4053" s="3" t="s">
        <v>8</v>
      </c>
      <c r="I4053" s="3">
        <v>0.42409580449032303</v>
      </c>
      <c r="J4053" s="3">
        <v>2.6690233390798133</v>
      </c>
      <c r="K4053" s="3">
        <v>3.5041812370062964</v>
      </c>
      <c r="L4053" s="3">
        <v>3.5594449341267098</v>
      </c>
      <c r="M4053" s="3">
        <v>3.5594449341267098</v>
      </c>
      <c r="N4053" s="3">
        <v>3.9176545196925177</v>
      </c>
      <c r="O4053" s="3">
        <v>4.1491753282698989</v>
      </c>
      <c r="P4053" s="3">
        <v>4.3644847028963429</v>
      </c>
    </row>
    <row r="4054" spans="1:16" x14ac:dyDescent="0.3">
      <c r="A4054" s="3" t="str">
        <f t="shared" si="63"/>
        <v>STM</v>
      </c>
      <c r="C4054" s="3" t="s">
        <v>850</v>
      </c>
      <c r="D4054" s="3" t="s">
        <v>769</v>
      </c>
      <c r="E4054" s="3" t="s">
        <v>1237</v>
      </c>
      <c r="F4054" s="3" t="s">
        <v>0</v>
      </c>
      <c r="G4054" s="3">
        <v>0.68093370485576599</v>
      </c>
      <c r="H4054" s="3">
        <v>0.12589116638100201</v>
      </c>
      <c r="I4054" s="3">
        <v>0.59511366095606899</v>
      </c>
      <c r="N4054" s="3">
        <v>2.09613098858667E-2</v>
      </c>
      <c r="O4054" s="3">
        <v>5.4684138893238404E-3</v>
      </c>
    </row>
    <row r="4055" spans="1:16" x14ac:dyDescent="0.3">
      <c r="A4055" s="3" t="str">
        <f t="shared" si="63"/>
        <v>STM</v>
      </c>
      <c r="C4055" s="3" t="s">
        <v>850</v>
      </c>
      <c r="D4055" s="3" t="s">
        <v>769</v>
      </c>
      <c r="E4055" s="3" t="s">
        <v>1237</v>
      </c>
      <c r="F4055" s="3" t="s">
        <v>1</v>
      </c>
      <c r="G4055" s="3">
        <v>0.52510028453236102</v>
      </c>
    </row>
    <row r="4056" spans="1:16" x14ac:dyDescent="0.3">
      <c r="A4056" s="3" t="str">
        <f t="shared" si="63"/>
        <v>STM</v>
      </c>
      <c r="C4056" s="3" t="s">
        <v>850</v>
      </c>
      <c r="D4056" s="3" t="s">
        <v>769</v>
      </c>
      <c r="E4056" s="3" t="s">
        <v>1237</v>
      </c>
      <c r="F4056" s="3" t="s">
        <v>4</v>
      </c>
      <c r="G4056" s="3">
        <v>3.1725078976563998</v>
      </c>
      <c r="H4056" s="3">
        <v>1.2001616651812399</v>
      </c>
      <c r="I4056" s="3">
        <v>1.2001616651812099</v>
      </c>
    </row>
    <row r="4057" spans="1:16" x14ac:dyDescent="0.3">
      <c r="A4057" s="3" t="str">
        <f t="shared" si="63"/>
        <v>STM</v>
      </c>
      <c r="C4057" s="3" t="s">
        <v>850</v>
      </c>
      <c r="D4057" s="3" t="s">
        <v>769</v>
      </c>
      <c r="E4057" s="3" t="s">
        <v>1237</v>
      </c>
      <c r="F4057" s="3" t="s">
        <v>5</v>
      </c>
      <c r="G4057" s="3">
        <v>1.0956975032870899</v>
      </c>
    </row>
    <row r="4058" spans="1:16" x14ac:dyDescent="0.3">
      <c r="A4058" s="3" t="str">
        <f t="shared" si="63"/>
        <v>STM</v>
      </c>
      <c r="C4058" s="3" t="s">
        <v>850</v>
      </c>
      <c r="D4058" s="3" t="s">
        <v>769</v>
      </c>
      <c r="E4058" s="3" t="s">
        <v>1237</v>
      </c>
      <c r="F4058" s="3" t="s">
        <v>6</v>
      </c>
      <c r="G4058" s="3">
        <v>0.79133708570734296</v>
      </c>
    </row>
    <row r="4059" spans="1:16" x14ac:dyDescent="0.3">
      <c r="A4059" s="3" t="str">
        <f t="shared" si="63"/>
        <v>STM</v>
      </c>
      <c r="C4059" s="3" t="s">
        <v>850</v>
      </c>
      <c r="D4059" s="3" t="s">
        <v>769</v>
      </c>
      <c r="E4059" s="3" t="s">
        <v>1237</v>
      </c>
      <c r="F4059" s="3" t="s">
        <v>7</v>
      </c>
      <c r="G4059" s="3">
        <v>6.4012225162040096E-2</v>
      </c>
      <c r="H4059" s="3">
        <v>6.4012225162040096E-2</v>
      </c>
      <c r="I4059" s="3">
        <v>6.4012225162040096E-2</v>
      </c>
      <c r="J4059" s="3">
        <v>6.4012225162040096E-2</v>
      </c>
      <c r="K4059" s="3">
        <v>6.4012225162040096E-2</v>
      </c>
      <c r="L4059" s="3">
        <v>6.4012225162040096E-2</v>
      </c>
      <c r="M4059" s="3">
        <v>6.4012225162040096E-2</v>
      </c>
      <c r="N4059" s="3">
        <v>3.8026029948009202E-2</v>
      </c>
      <c r="O4059" s="3">
        <v>3.8540096645936703E-2</v>
      </c>
      <c r="P4059" s="3">
        <v>4.1888500713769997E-2</v>
      </c>
    </row>
    <row r="4060" spans="1:16" x14ac:dyDescent="0.3">
      <c r="A4060" s="3" t="str">
        <f t="shared" si="63"/>
        <v>STM</v>
      </c>
      <c r="C4060" s="3" t="s">
        <v>850</v>
      </c>
      <c r="D4060" s="3" t="s">
        <v>769</v>
      </c>
      <c r="E4060" s="3" t="s">
        <v>1237</v>
      </c>
      <c r="F4060" s="3" t="s">
        <v>8</v>
      </c>
      <c r="G4060" s="3">
        <v>2.4498098245086899</v>
      </c>
      <c r="H4060" s="3">
        <v>2.48124775254957</v>
      </c>
      <c r="I4060" s="3">
        <v>2.6069994647131001</v>
      </c>
      <c r="J4060" s="3">
        <v>2.6069994647131001</v>
      </c>
      <c r="K4060" s="3">
        <v>0.50549391417760003</v>
      </c>
      <c r="L4060" s="3">
        <v>0.54879432022116403</v>
      </c>
      <c r="M4060" s="3">
        <v>0.40535361327717301</v>
      </c>
      <c r="N4060" s="3">
        <v>0.13697966205200199</v>
      </c>
      <c r="O4060" s="3">
        <v>0.147045430684759</v>
      </c>
      <c r="P4060" s="3">
        <v>0.196311149736908</v>
      </c>
    </row>
    <row r="4061" spans="1:16" x14ac:dyDescent="0.3">
      <c r="A4061" s="3" t="str">
        <f t="shared" si="63"/>
        <v>NGA</v>
      </c>
      <c r="C4061" s="3" t="s">
        <v>850</v>
      </c>
      <c r="D4061" s="3" t="s">
        <v>769</v>
      </c>
      <c r="E4061" s="3" t="s">
        <v>1090</v>
      </c>
      <c r="F4061" s="3" t="s">
        <v>4</v>
      </c>
      <c r="G4061" s="3">
        <v>0.17803312880978001</v>
      </c>
      <c r="H4061" s="3">
        <v>0.17803312880978001</v>
      </c>
      <c r="I4061" s="3">
        <v>0.17803312880978001</v>
      </c>
      <c r="J4061" s="3">
        <v>0.17803312880978001</v>
      </c>
      <c r="K4061" s="3">
        <v>0.17803312880978001</v>
      </c>
      <c r="L4061" s="3">
        <v>0.178033128809781</v>
      </c>
      <c r="M4061" s="3">
        <v>0.178033128809781</v>
      </c>
      <c r="N4061" s="3">
        <v>0.178033128809781</v>
      </c>
      <c r="O4061" s="3">
        <v>0.17803312880978001</v>
      </c>
      <c r="P4061" s="3">
        <v>0.17803312880978001</v>
      </c>
    </row>
    <row r="4062" spans="1:16" x14ac:dyDescent="0.3">
      <c r="A4062" s="3" t="str">
        <f t="shared" si="63"/>
        <v>NGA</v>
      </c>
      <c r="C4062" s="3" t="s">
        <v>850</v>
      </c>
      <c r="D4062" s="3" t="s">
        <v>769</v>
      </c>
      <c r="E4062" s="3" t="s">
        <v>1090</v>
      </c>
      <c r="F4062" s="3" t="s">
        <v>5</v>
      </c>
      <c r="G4062" s="3">
        <v>0.17511455292765299</v>
      </c>
      <c r="H4062" s="3">
        <v>0.17511455292765299</v>
      </c>
      <c r="I4062" s="3">
        <v>0.17511455292765299</v>
      </c>
      <c r="J4062" s="3">
        <v>0.17511455292765299</v>
      </c>
      <c r="K4062" s="3">
        <v>0.17511455292765299</v>
      </c>
      <c r="L4062" s="3">
        <v>0.17511455292765299</v>
      </c>
      <c r="M4062" s="3">
        <v>0.17511455292765299</v>
      </c>
      <c r="N4062" s="3">
        <v>0.17511455292765299</v>
      </c>
      <c r="O4062" s="3">
        <v>0.17511455292765299</v>
      </c>
      <c r="P4062" s="3">
        <v>0.17511455292765299</v>
      </c>
    </row>
    <row r="4063" spans="1:16" x14ac:dyDescent="0.3">
      <c r="A4063" s="3" t="str">
        <f t="shared" ref="A4063:A4126" si="64">RIGHT(E4063,3)</f>
        <v>NGA</v>
      </c>
      <c r="C4063" s="3" t="s">
        <v>850</v>
      </c>
      <c r="D4063" s="3" t="s">
        <v>769</v>
      </c>
      <c r="E4063" s="3" t="s">
        <v>1090</v>
      </c>
      <c r="F4063" s="3" t="s">
        <v>6</v>
      </c>
      <c r="G4063" s="3">
        <v>0.45938384384687603</v>
      </c>
      <c r="H4063" s="3">
        <v>0.45938384384687603</v>
      </c>
      <c r="I4063" s="3">
        <v>0.45938384384687603</v>
      </c>
      <c r="J4063" s="3">
        <v>0.45938384384687603</v>
      </c>
      <c r="K4063" s="3">
        <v>0.45938384384687603</v>
      </c>
      <c r="L4063" s="3">
        <v>0.45938384384687603</v>
      </c>
      <c r="M4063" s="3">
        <v>0.45938384384687603</v>
      </c>
      <c r="N4063" s="3">
        <v>0.45938384384687603</v>
      </c>
      <c r="O4063" s="3">
        <v>0.45938384384687603</v>
      </c>
      <c r="P4063" s="3">
        <v>0.45938384384687603</v>
      </c>
    </row>
    <row r="4064" spans="1:16" x14ac:dyDescent="0.3">
      <c r="A4064" s="3" t="str">
        <f t="shared" si="64"/>
        <v>NGA</v>
      </c>
      <c r="C4064" s="3" t="s">
        <v>850</v>
      </c>
      <c r="D4064" s="3" t="s">
        <v>769</v>
      </c>
      <c r="E4064" s="3" t="s">
        <v>1238</v>
      </c>
      <c r="F4064" s="3" t="s">
        <v>0</v>
      </c>
      <c r="H4064" s="3">
        <v>0.55504253847476503</v>
      </c>
      <c r="I4064" s="3">
        <v>8.5820043899700105E-2</v>
      </c>
      <c r="J4064" s="3">
        <v>0.6809337048557671</v>
      </c>
      <c r="K4064" s="3">
        <v>0.6809337048557671</v>
      </c>
      <c r="L4064" s="3">
        <v>0.6809337048557671</v>
      </c>
      <c r="M4064" s="3">
        <v>0.6809337048557671</v>
      </c>
      <c r="N4064" s="3">
        <v>0.6599723949698999</v>
      </c>
      <c r="O4064" s="3">
        <v>0.6809337048557671</v>
      </c>
      <c r="P4064" s="3">
        <v>0.72202095845098013</v>
      </c>
    </row>
    <row r="4065" spans="1:16" x14ac:dyDescent="0.3">
      <c r="A4065" s="3" t="str">
        <f t="shared" si="64"/>
        <v>NGA</v>
      </c>
      <c r="C4065" s="3" t="s">
        <v>850</v>
      </c>
      <c r="D4065" s="3" t="s">
        <v>769</v>
      </c>
      <c r="E4065" s="3" t="s">
        <v>1238</v>
      </c>
      <c r="F4065" s="3" t="s">
        <v>1</v>
      </c>
      <c r="H4065" s="3">
        <v>0.52510028453236102</v>
      </c>
      <c r="I4065" s="3">
        <v>0.52510028453236102</v>
      </c>
      <c r="J4065" s="3">
        <v>0.52510028453236102</v>
      </c>
      <c r="K4065" s="3">
        <v>0.52510028453236102</v>
      </c>
      <c r="L4065" s="3">
        <v>0.52510028453236102</v>
      </c>
      <c r="M4065" s="3">
        <v>0.52510028453236102</v>
      </c>
      <c r="N4065" s="3">
        <v>0.52510028453236102</v>
      </c>
      <c r="O4065" s="3">
        <v>0.52931723791379726</v>
      </c>
      <c r="P4065" s="3">
        <v>0.55678461503274257</v>
      </c>
    </row>
    <row r="4066" spans="1:16" x14ac:dyDescent="0.3">
      <c r="A4066" s="3" t="str">
        <f t="shared" si="64"/>
        <v>NGA</v>
      </c>
      <c r="C4066" s="3" t="s">
        <v>850</v>
      </c>
      <c r="D4066" s="3" t="s">
        <v>769</v>
      </c>
      <c r="E4066" s="3" t="s">
        <v>1238</v>
      </c>
      <c r="F4066" s="3" t="s">
        <v>4</v>
      </c>
      <c r="H4066" s="3">
        <v>1.9723462324751899</v>
      </c>
      <c r="I4066" s="3">
        <v>1.9723462324751899</v>
      </c>
      <c r="J4066" s="3">
        <v>3.1725078976563998</v>
      </c>
      <c r="K4066" s="3">
        <v>3.1725078976563998</v>
      </c>
      <c r="L4066" s="3">
        <v>3.1725078976563998</v>
      </c>
      <c r="M4066" s="3">
        <v>3.1725078976563998</v>
      </c>
      <c r="N4066" s="3">
        <v>3.1725078976563998</v>
      </c>
      <c r="O4066" s="3">
        <v>3.1994152822596678</v>
      </c>
      <c r="P4066" s="3">
        <v>3.3746781351610076</v>
      </c>
    </row>
    <row r="4067" spans="1:16" x14ac:dyDescent="0.3">
      <c r="A4067" s="3" t="str">
        <f t="shared" si="64"/>
        <v>NGA</v>
      </c>
      <c r="C4067" s="3" t="s">
        <v>850</v>
      </c>
      <c r="D4067" s="3" t="s">
        <v>769</v>
      </c>
      <c r="E4067" s="3" t="s">
        <v>1238</v>
      </c>
      <c r="F4067" s="3" t="s">
        <v>5</v>
      </c>
      <c r="H4067" s="3">
        <v>1.0956975032870899</v>
      </c>
      <c r="I4067" s="3">
        <v>1.0956975032870899</v>
      </c>
      <c r="J4067" s="3">
        <v>1.0956975032870899</v>
      </c>
      <c r="K4067" s="3">
        <v>1.0956975032870899</v>
      </c>
      <c r="L4067" s="3">
        <v>1.0956975032870899</v>
      </c>
      <c r="M4067" s="3">
        <v>1.0956975032870899</v>
      </c>
      <c r="N4067" s="3">
        <v>1.0956975032870899</v>
      </c>
      <c r="O4067" s="3">
        <v>1.1059030875449565</v>
      </c>
      <c r="P4067" s="3">
        <v>1.1723777687126482</v>
      </c>
    </row>
    <row r="4068" spans="1:16" x14ac:dyDescent="0.3">
      <c r="A4068" s="3" t="str">
        <f t="shared" si="64"/>
        <v>NGA</v>
      </c>
      <c r="C4068" s="3" t="s">
        <v>850</v>
      </c>
      <c r="D4068" s="3" t="s">
        <v>769</v>
      </c>
      <c r="E4068" s="3" t="s">
        <v>1238</v>
      </c>
      <c r="F4068" s="3" t="s">
        <v>6</v>
      </c>
      <c r="H4068" s="3">
        <v>0.79133708570734296</v>
      </c>
      <c r="I4068" s="3">
        <v>0.79133708570734296</v>
      </c>
      <c r="J4068" s="3">
        <v>0.79133708570734296</v>
      </c>
      <c r="K4068" s="3">
        <v>0.79133708570734296</v>
      </c>
      <c r="L4068" s="3">
        <v>0.79133708570734296</v>
      </c>
      <c r="M4068" s="3">
        <v>0.79133708570734296</v>
      </c>
      <c r="N4068" s="3">
        <v>0.79133708570734296</v>
      </c>
      <c r="O4068" s="3">
        <v>0.80138132298634923</v>
      </c>
      <c r="P4068" s="3">
        <v>0.86680506099330468</v>
      </c>
    </row>
    <row r="4069" spans="1:16" x14ac:dyDescent="0.3">
      <c r="A4069" s="3" t="str">
        <f t="shared" si="64"/>
        <v>NGA</v>
      </c>
      <c r="C4069" s="3" t="s">
        <v>850</v>
      </c>
      <c r="D4069" s="3" t="s">
        <v>769</v>
      </c>
      <c r="E4069" s="3" t="s">
        <v>1238</v>
      </c>
      <c r="F4069" s="3" t="s">
        <v>7</v>
      </c>
      <c r="N4069" s="3">
        <v>2.5986195214030901E-2</v>
      </c>
      <c r="O4069" s="3">
        <v>2.5986195214030901E-2</v>
      </c>
      <c r="P4069" s="3">
        <v>2.5986195214030901E-2</v>
      </c>
    </row>
    <row r="4070" spans="1:16" x14ac:dyDescent="0.3">
      <c r="A4070" s="3" t="str">
        <f t="shared" si="64"/>
        <v>NGA</v>
      </c>
      <c r="C4070" s="3" t="s">
        <v>850</v>
      </c>
      <c r="D4070" s="3" t="s">
        <v>769</v>
      </c>
      <c r="E4070" s="3" t="s">
        <v>1238</v>
      </c>
      <c r="F4070" s="3" t="s">
        <v>8</v>
      </c>
      <c r="K4070" s="3">
        <v>2.1015055505354998</v>
      </c>
      <c r="L4070" s="3">
        <v>2.1015055505354998</v>
      </c>
      <c r="M4070" s="3">
        <v>2.3505949648627857</v>
      </c>
      <c r="N4070" s="3">
        <v>2.7776307832954918</v>
      </c>
      <c r="O4070" s="3">
        <v>2.939809137671288</v>
      </c>
      <c r="P4070" s="3">
        <v>3.0507267500265041</v>
      </c>
    </row>
    <row r="4071" spans="1:16" x14ac:dyDescent="0.3">
      <c r="A4071" s="3" t="str">
        <f t="shared" si="64"/>
        <v>EXT</v>
      </c>
      <c r="C4071" s="3" t="s">
        <v>850</v>
      </c>
      <c r="D4071" s="3" t="s">
        <v>1177</v>
      </c>
      <c r="E4071" s="3" t="s">
        <v>1178</v>
      </c>
      <c r="F4071" s="3" t="s">
        <v>0</v>
      </c>
      <c r="G4071" s="3">
        <v>35.634367303667403</v>
      </c>
      <c r="H4071" s="3">
        <v>35.634367303667403</v>
      </c>
      <c r="I4071" s="3">
        <v>35.634367303667403</v>
      </c>
      <c r="J4071" s="3">
        <v>35.634367303667403</v>
      </c>
      <c r="K4071" s="3">
        <v>35.634367303667403</v>
      </c>
      <c r="L4071" s="3">
        <v>35.634367303667403</v>
      </c>
      <c r="M4071" s="3">
        <v>35.634367303667403</v>
      </c>
      <c r="N4071" s="3">
        <v>35.634367303667403</v>
      </c>
      <c r="O4071" s="3">
        <v>35.920538288759097</v>
      </c>
      <c r="P4071" s="3">
        <v>37.784530051773494</v>
      </c>
    </row>
    <row r="4072" spans="1:16" x14ac:dyDescent="0.3">
      <c r="A4072" s="3" t="str">
        <f t="shared" si="64"/>
        <v>EXT</v>
      </c>
      <c r="C4072" s="3" t="s">
        <v>850</v>
      </c>
      <c r="D4072" s="3" t="s">
        <v>1177</v>
      </c>
      <c r="E4072" s="3" t="s">
        <v>1178</v>
      </c>
      <c r="F4072" s="3" t="s">
        <v>1</v>
      </c>
      <c r="G4072" s="3">
        <v>25.308913099218199</v>
      </c>
      <c r="H4072" s="3">
        <v>25.308913099218199</v>
      </c>
      <c r="I4072" s="3">
        <v>25.308913099218199</v>
      </c>
      <c r="J4072" s="3">
        <v>25.308913099218199</v>
      </c>
      <c r="K4072" s="3">
        <v>25.308913099218199</v>
      </c>
      <c r="L4072" s="3">
        <v>25.308913099218199</v>
      </c>
      <c r="M4072" s="3">
        <v>25.308913099218199</v>
      </c>
      <c r="N4072" s="3">
        <v>25.308913099218199</v>
      </c>
      <c r="O4072" s="3">
        <v>25.512162858965102</v>
      </c>
      <c r="P4072" s="3">
        <v>26.836042279799802</v>
      </c>
    </row>
    <row r="4073" spans="1:16" x14ac:dyDescent="0.3">
      <c r="A4073" s="3" t="str">
        <f t="shared" si="64"/>
        <v>EXT</v>
      </c>
      <c r="C4073" s="3" t="s">
        <v>850</v>
      </c>
      <c r="D4073" s="3" t="s">
        <v>1177</v>
      </c>
      <c r="E4073" s="3" t="s">
        <v>1178</v>
      </c>
      <c r="F4073" s="3" t="s">
        <v>2</v>
      </c>
      <c r="G4073" s="3">
        <v>29.9335173135314</v>
      </c>
      <c r="H4073" s="3">
        <v>29.9335173135314</v>
      </c>
      <c r="I4073" s="3">
        <v>29.9335173135314</v>
      </c>
      <c r="J4073" s="3">
        <v>29.9335173135314</v>
      </c>
      <c r="K4073" s="3">
        <v>29.9335173135314</v>
      </c>
      <c r="L4073" s="3">
        <v>29.9335173135314</v>
      </c>
      <c r="M4073" s="3">
        <v>29.9335173135314</v>
      </c>
      <c r="N4073" s="3">
        <v>29.9335173135314</v>
      </c>
      <c r="O4073" s="3">
        <v>30.1739061511913</v>
      </c>
      <c r="P4073" s="3">
        <v>31.7396931689597</v>
      </c>
    </row>
    <row r="4074" spans="1:16" x14ac:dyDescent="0.3">
      <c r="A4074" s="3" t="str">
        <f t="shared" si="64"/>
        <v>EXT</v>
      </c>
      <c r="C4074" s="3" t="s">
        <v>850</v>
      </c>
      <c r="D4074" s="3" t="s">
        <v>1177</v>
      </c>
      <c r="E4074" s="3" t="s">
        <v>1178</v>
      </c>
      <c r="F4074" s="3" t="s">
        <v>3</v>
      </c>
      <c r="G4074" s="3">
        <v>5.7446507212596103</v>
      </c>
      <c r="H4074" s="3">
        <v>5.7446507212596103</v>
      </c>
      <c r="I4074" s="3">
        <v>5.7446507212596103</v>
      </c>
      <c r="J4074" s="3">
        <v>5.7446507212596103</v>
      </c>
      <c r="K4074" s="3">
        <v>5.7446507212596103</v>
      </c>
      <c r="L4074" s="3">
        <v>5.7446507212596103</v>
      </c>
      <c r="M4074" s="3">
        <v>5.7446507212596103</v>
      </c>
      <c r="N4074" s="3">
        <v>5.7446507212596103</v>
      </c>
      <c r="O4074" s="3">
        <v>5.7907846217692303</v>
      </c>
      <c r="P4074" s="3">
        <v>6.0912805316466798</v>
      </c>
    </row>
    <row r="4075" spans="1:16" x14ac:dyDescent="0.3">
      <c r="A4075" s="3" t="str">
        <f t="shared" si="64"/>
        <v>EXT</v>
      </c>
      <c r="C4075" s="3" t="s">
        <v>850</v>
      </c>
      <c r="D4075" s="3" t="s">
        <v>1177</v>
      </c>
      <c r="E4075" s="3" t="s">
        <v>1178</v>
      </c>
      <c r="F4075" s="3" t="s">
        <v>4</v>
      </c>
      <c r="G4075" s="3">
        <v>24.978390159523901</v>
      </c>
      <c r="H4075" s="3">
        <v>24.978390159523901</v>
      </c>
      <c r="I4075" s="3">
        <v>24.978390159523901</v>
      </c>
      <c r="J4075" s="3">
        <v>24.978390159523901</v>
      </c>
      <c r="K4075" s="3">
        <v>24.978390159523901</v>
      </c>
      <c r="L4075" s="3">
        <v>24.978390159523901</v>
      </c>
      <c r="M4075" s="3">
        <v>24.978390159523901</v>
      </c>
      <c r="N4075" s="3">
        <v>24.978390159523901</v>
      </c>
      <c r="O4075" s="3">
        <v>25.178985569484201</v>
      </c>
      <c r="P4075" s="3">
        <v>26.485575724823502</v>
      </c>
    </row>
    <row r="4076" spans="1:16" x14ac:dyDescent="0.3">
      <c r="A4076" s="3" t="str">
        <f t="shared" si="64"/>
        <v>EXT</v>
      </c>
      <c r="C4076" s="3" t="s">
        <v>850</v>
      </c>
      <c r="D4076" s="3" t="s">
        <v>1177</v>
      </c>
      <c r="E4076" s="3" t="s">
        <v>1178</v>
      </c>
      <c r="F4076" s="3" t="s">
        <v>5</v>
      </c>
      <c r="G4076" s="3">
        <v>16.111504970144701</v>
      </c>
      <c r="H4076" s="3">
        <v>16.111504970144701</v>
      </c>
      <c r="I4076" s="3">
        <v>16.111504970144701</v>
      </c>
      <c r="J4076" s="3">
        <v>16.111504970144701</v>
      </c>
      <c r="K4076" s="3">
        <v>16.111504970144701</v>
      </c>
      <c r="L4076" s="3">
        <v>16.111504970144701</v>
      </c>
      <c r="M4076" s="3">
        <v>16.111504970144701</v>
      </c>
      <c r="N4076" s="3">
        <v>16.111504970144701</v>
      </c>
      <c r="O4076" s="3">
        <v>16.240892569742702</v>
      </c>
      <c r="P4076" s="3">
        <v>17.0836664093396</v>
      </c>
    </row>
    <row r="4077" spans="1:16" x14ac:dyDescent="0.3">
      <c r="A4077" s="3" t="str">
        <f t="shared" si="64"/>
        <v>EXT</v>
      </c>
      <c r="C4077" s="3" t="s">
        <v>850</v>
      </c>
      <c r="D4077" s="3" t="s">
        <v>1177</v>
      </c>
      <c r="E4077" s="3" t="s">
        <v>1178</v>
      </c>
      <c r="F4077" s="3" t="s">
        <v>6</v>
      </c>
      <c r="G4077" s="3">
        <v>10.0888124864827</v>
      </c>
      <c r="H4077" s="3">
        <v>10.0888124864827</v>
      </c>
      <c r="I4077" s="3">
        <v>10.0888124864827</v>
      </c>
      <c r="J4077" s="3">
        <v>10.0888124864827</v>
      </c>
      <c r="K4077" s="3">
        <v>10.0888124864827</v>
      </c>
      <c r="L4077" s="3">
        <v>10.0888124864827</v>
      </c>
      <c r="M4077" s="3">
        <v>10.0888124864827</v>
      </c>
      <c r="N4077" s="3">
        <v>10.0888124864827</v>
      </c>
      <c r="O4077" s="3">
        <v>10.169833299425999</v>
      </c>
      <c r="P4077" s="3">
        <v>10.697567192191499</v>
      </c>
    </row>
    <row r="4078" spans="1:16" x14ac:dyDescent="0.3">
      <c r="A4078" s="3" t="str">
        <f t="shared" si="64"/>
        <v>EXT</v>
      </c>
      <c r="C4078" s="3" t="s">
        <v>850</v>
      </c>
      <c r="D4078" s="3" t="s">
        <v>1177</v>
      </c>
      <c r="E4078" s="3" t="s">
        <v>1178</v>
      </c>
      <c r="F4078" s="3" t="s">
        <v>7</v>
      </c>
      <c r="G4078" s="3">
        <v>1.0152882742504601</v>
      </c>
      <c r="H4078" s="3">
        <v>1.0152882742504601</v>
      </c>
      <c r="I4078" s="3">
        <v>1.0152882742504601</v>
      </c>
      <c r="J4078" s="3">
        <v>1.0152882742504601</v>
      </c>
      <c r="K4078" s="3">
        <v>1.0152882742504601</v>
      </c>
      <c r="L4078" s="3">
        <v>1.0152882742504601</v>
      </c>
      <c r="M4078" s="3">
        <v>1.0152882742504601</v>
      </c>
      <c r="N4078" s="3">
        <v>1.0152882742504601</v>
      </c>
      <c r="O4078" s="3">
        <v>1.0234418088177599</v>
      </c>
      <c r="P4078" s="3">
        <v>1.0765503420536799</v>
      </c>
    </row>
    <row r="4079" spans="1:16" x14ac:dyDescent="0.3">
      <c r="A4079" s="3" t="str">
        <f t="shared" si="64"/>
        <v>EXT</v>
      </c>
      <c r="C4079" s="3" t="s">
        <v>850</v>
      </c>
      <c r="D4079" s="3" t="s">
        <v>1177</v>
      </c>
      <c r="E4079" s="3" t="s">
        <v>1178</v>
      </c>
      <c r="F4079" s="3" t="s">
        <v>8</v>
      </c>
      <c r="G4079" s="3">
        <v>8.5074190442772597</v>
      </c>
      <c r="H4079" s="3">
        <v>8.5074190442772597</v>
      </c>
      <c r="I4079" s="3">
        <v>8.5074190442772597</v>
      </c>
      <c r="J4079" s="3">
        <v>8.5074190442772597</v>
      </c>
      <c r="K4079" s="3">
        <v>8.5074190442772597</v>
      </c>
      <c r="L4079" s="3">
        <v>8.5074190442772597</v>
      </c>
      <c r="M4079" s="3">
        <v>8.5074190442772597</v>
      </c>
      <c r="N4079" s="3">
        <v>8.5074190442772597</v>
      </c>
      <c r="O4079" s="3">
        <v>8.5757400689706795</v>
      </c>
      <c r="P4079" s="3">
        <v>9.0207531342486291</v>
      </c>
    </row>
    <row r="4080" spans="1:16" x14ac:dyDescent="0.3">
      <c r="A4080" s="3" t="str">
        <f t="shared" si="64"/>
        <v>ELC</v>
      </c>
      <c r="C4080" s="3" t="s">
        <v>850</v>
      </c>
      <c r="D4080" s="3" t="s">
        <v>725</v>
      </c>
      <c r="E4080" s="3" t="s">
        <v>1179</v>
      </c>
      <c r="F4080" s="3" t="s">
        <v>0</v>
      </c>
      <c r="G4080" s="3">
        <v>0.86566644504907797</v>
      </c>
      <c r="J4080" s="3">
        <v>0.50269446301615195</v>
      </c>
      <c r="K4080" s="3">
        <v>0.96073697218798504</v>
      </c>
      <c r="L4080" s="3">
        <v>0.99681777523451798</v>
      </c>
      <c r="M4080" s="3">
        <v>1.03289857828105</v>
      </c>
      <c r="N4080" s="3">
        <v>2.3348644997034902</v>
      </c>
      <c r="O4080" s="3">
        <v>2.3522886624216102</v>
      </c>
      <c r="P4080" s="3">
        <v>2.2556895696227</v>
      </c>
    </row>
    <row r="4081" spans="1:16" x14ac:dyDescent="0.3">
      <c r="A4081" s="3" t="str">
        <f t="shared" si="64"/>
        <v>ELC</v>
      </c>
      <c r="C4081" s="3" t="s">
        <v>850</v>
      </c>
      <c r="D4081" s="3" t="s">
        <v>725</v>
      </c>
      <c r="E4081" s="3" t="s">
        <v>1179</v>
      </c>
      <c r="F4081" s="3" t="s">
        <v>1</v>
      </c>
      <c r="G4081" s="3">
        <v>0.76382333386683399</v>
      </c>
      <c r="H4081" s="3">
        <v>2.32569464668574</v>
      </c>
      <c r="L4081" s="3">
        <v>2.2512483074300399E-2</v>
      </c>
      <c r="M4081" s="3">
        <v>5.11530998067629E-2</v>
      </c>
      <c r="N4081" s="3">
        <v>7.9793716539225706E-2</v>
      </c>
      <c r="O4081" s="3">
        <v>6.6673932040515596E-2</v>
      </c>
      <c r="P4081" s="3">
        <v>6.3989006511079097E-2</v>
      </c>
    </row>
    <row r="4082" spans="1:16" x14ac:dyDescent="0.3">
      <c r="A4082" s="3" t="str">
        <f t="shared" si="64"/>
        <v>ELC</v>
      </c>
      <c r="C4082" s="3" t="s">
        <v>850</v>
      </c>
      <c r="D4082" s="3" t="s">
        <v>725</v>
      </c>
      <c r="E4082" s="3" t="s">
        <v>1179</v>
      </c>
      <c r="F4082" s="3" t="s">
        <v>2</v>
      </c>
      <c r="G4082" s="3">
        <v>2.9631495682072102</v>
      </c>
      <c r="H4082" s="3">
        <v>8.2928153965429008</v>
      </c>
    </row>
    <row r="4083" spans="1:16" x14ac:dyDescent="0.3">
      <c r="A4083" s="3" t="str">
        <f t="shared" si="64"/>
        <v>ELC</v>
      </c>
      <c r="C4083" s="3" t="s">
        <v>850</v>
      </c>
      <c r="D4083" s="3" t="s">
        <v>725</v>
      </c>
      <c r="E4083" s="3" t="s">
        <v>1179</v>
      </c>
      <c r="F4083" s="3" t="s">
        <v>3</v>
      </c>
      <c r="G4083" s="3">
        <v>0.56741161944393304</v>
      </c>
      <c r="H4083" s="3">
        <v>1.58798592699758</v>
      </c>
    </row>
    <row r="4084" spans="1:16" x14ac:dyDescent="0.3">
      <c r="A4084" s="3" t="str">
        <f t="shared" si="64"/>
        <v>ELC</v>
      </c>
      <c r="C4084" s="3" t="s">
        <v>850</v>
      </c>
      <c r="D4084" s="3" t="s">
        <v>725</v>
      </c>
      <c r="E4084" s="3" t="s">
        <v>1179</v>
      </c>
      <c r="F4084" s="3" t="s">
        <v>4</v>
      </c>
      <c r="G4084" s="3">
        <v>2.4442346683738698</v>
      </c>
      <c r="H4084" s="3">
        <v>5.1163134026725903</v>
      </c>
    </row>
    <row r="4085" spans="1:16" x14ac:dyDescent="0.3">
      <c r="A4085" s="3" t="str">
        <f t="shared" si="64"/>
        <v>ELC</v>
      </c>
      <c r="C4085" s="3" t="s">
        <v>850</v>
      </c>
      <c r="D4085" s="3" t="s">
        <v>725</v>
      </c>
      <c r="E4085" s="3" t="s">
        <v>1179</v>
      </c>
      <c r="F4085" s="3" t="s">
        <v>5</v>
      </c>
      <c r="G4085" s="3">
        <v>1.4192330332493399</v>
      </c>
      <c r="H4085" s="3">
        <v>2.97076262090666</v>
      </c>
      <c r="I4085" s="3">
        <v>2.97076262090666</v>
      </c>
    </row>
    <row r="4086" spans="1:16" x14ac:dyDescent="0.3">
      <c r="A4086" s="3" t="str">
        <f t="shared" si="64"/>
        <v>ELC</v>
      </c>
      <c r="C4086" s="3" t="s">
        <v>850</v>
      </c>
      <c r="D4086" s="3" t="s">
        <v>725</v>
      </c>
      <c r="E4086" s="3" t="s">
        <v>1179</v>
      </c>
      <c r="F4086" s="3" t="s">
        <v>6</v>
      </c>
      <c r="G4086" s="3">
        <v>1.0250016351245299</v>
      </c>
    </row>
    <row r="4087" spans="1:16" x14ac:dyDescent="0.3">
      <c r="A4087" s="3" t="str">
        <f t="shared" si="64"/>
        <v>ELC</v>
      </c>
      <c r="C4087" s="3" t="s">
        <v>850</v>
      </c>
      <c r="D4087" s="3" t="s">
        <v>725</v>
      </c>
      <c r="E4087" s="3" t="s">
        <v>1179</v>
      </c>
      <c r="F4087" s="3" t="s">
        <v>7</v>
      </c>
      <c r="G4087" s="3">
        <v>9.3113701652337802E-2</v>
      </c>
    </row>
    <row r="4088" spans="1:16" x14ac:dyDescent="0.3">
      <c r="A4088" s="3" t="str">
        <f t="shared" si="64"/>
        <v>ELC</v>
      </c>
      <c r="C4088" s="3" t="s">
        <v>850</v>
      </c>
      <c r="D4088" s="3" t="s">
        <v>725</v>
      </c>
      <c r="E4088" s="3" t="s">
        <v>1179</v>
      </c>
      <c r="F4088" s="3" t="s">
        <v>8</v>
      </c>
      <c r="G4088" s="3">
        <v>0.72163118780561797</v>
      </c>
    </row>
    <row r="4089" spans="1:16" x14ac:dyDescent="0.3">
      <c r="A4089" s="3" t="str">
        <f t="shared" si="64"/>
        <v>LPG</v>
      </c>
      <c r="C4089" s="3" t="s">
        <v>850</v>
      </c>
      <c r="D4089" s="3" t="s">
        <v>725</v>
      </c>
      <c r="E4089" s="3" t="s">
        <v>1110</v>
      </c>
      <c r="F4089" s="3" t="s">
        <v>0</v>
      </c>
      <c r="G4089" s="3">
        <v>1.23563940419595</v>
      </c>
    </row>
    <row r="4090" spans="1:16" x14ac:dyDescent="0.3">
      <c r="A4090" s="3" t="str">
        <f t="shared" si="64"/>
        <v>LPG</v>
      </c>
      <c r="C4090" s="3" t="s">
        <v>850</v>
      </c>
      <c r="D4090" s="3" t="s">
        <v>725</v>
      </c>
      <c r="E4090" s="3" t="s">
        <v>1110</v>
      </c>
      <c r="F4090" s="3" t="s">
        <v>1</v>
      </c>
      <c r="G4090" s="3">
        <v>1.0902700625258299</v>
      </c>
    </row>
    <row r="4091" spans="1:16" x14ac:dyDescent="0.3">
      <c r="A4091" s="3" t="str">
        <f t="shared" si="64"/>
        <v>LPG</v>
      </c>
      <c r="C4091" s="3" t="s">
        <v>850</v>
      </c>
      <c r="D4091" s="3" t="s">
        <v>725</v>
      </c>
      <c r="E4091" s="3" t="s">
        <v>1110</v>
      </c>
      <c r="F4091" s="3" t="s">
        <v>2</v>
      </c>
      <c r="G4091" s="3">
        <v>1.95210258814148</v>
      </c>
    </row>
    <row r="4092" spans="1:16" x14ac:dyDescent="0.3">
      <c r="A4092" s="3" t="str">
        <f t="shared" si="64"/>
        <v>LPG</v>
      </c>
      <c r="C4092" s="3" t="s">
        <v>850</v>
      </c>
      <c r="D4092" s="3" t="s">
        <v>725</v>
      </c>
      <c r="E4092" s="3" t="s">
        <v>1110</v>
      </c>
      <c r="F4092" s="3" t="s">
        <v>3</v>
      </c>
      <c r="G4092" s="3">
        <v>0.37380687858028899</v>
      </c>
    </row>
    <row r="4093" spans="1:16" x14ac:dyDescent="0.3">
      <c r="A4093" s="3" t="str">
        <f t="shared" si="64"/>
        <v>LPG</v>
      </c>
      <c r="C4093" s="3" t="s">
        <v>850</v>
      </c>
      <c r="D4093" s="3" t="s">
        <v>725</v>
      </c>
      <c r="E4093" s="3" t="s">
        <v>1110</v>
      </c>
      <c r="F4093" s="3" t="s">
        <v>4</v>
      </c>
      <c r="G4093" s="3">
        <v>1.1629547333608801</v>
      </c>
    </row>
    <row r="4094" spans="1:16" x14ac:dyDescent="0.3">
      <c r="A4094" s="3" t="str">
        <f t="shared" si="64"/>
        <v>LPG</v>
      </c>
      <c r="C4094" s="3" t="s">
        <v>850</v>
      </c>
      <c r="D4094" s="3" t="s">
        <v>725</v>
      </c>
      <c r="E4094" s="3" t="s">
        <v>1110</v>
      </c>
      <c r="F4094" s="3" t="s">
        <v>5</v>
      </c>
      <c r="G4094" s="3">
        <v>0.67526403872566998</v>
      </c>
    </row>
    <row r="4095" spans="1:16" x14ac:dyDescent="0.3">
      <c r="A4095" s="3" t="str">
        <f t="shared" si="64"/>
        <v>LPG</v>
      </c>
      <c r="C4095" s="3" t="s">
        <v>850</v>
      </c>
      <c r="D4095" s="3" t="s">
        <v>725</v>
      </c>
      <c r="E4095" s="3" t="s">
        <v>1110</v>
      </c>
      <c r="F4095" s="3" t="s">
        <v>6</v>
      </c>
      <c r="G4095" s="3">
        <v>0.48769069463520198</v>
      </c>
    </row>
    <row r="4096" spans="1:16" x14ac:dyDescent="0.3">
      <c r="A4096" s="3" t="str">
        <f t="shared" si="64"/>
        <v>LPG</v>
      </c>
      <c r="C4096" s="3" t="s">
        <v>850</v>
      </c>
      <c r="D4096" s="3" t="s">
        <v>725</v>
      </c>
      <c r="E4096" s="3" t="s">
        <v>1110</v>
      </c>
      <c r="F4096" s="3" t="s">
        <v>7</v>
      </c>
      <c r="G4096" s="3">
        <v>0.26581822476820299</v>
      </c>
    </row>
    <row r="4097" spans="1:16" x14ac:dyDescent="0.3">
      <c r="A4097" s="3" t="str">
        <f t="shared" si="64"/>
        <v>LPG</v>
      </c>
      <c r="C4097" s="3" t="s">
        <v>850</v>
      </c>
      <c r="D4097" s="3" t="s">
        <v>725</v>
      </c>
      <c r="E4097" s="3" t="s">
        <v>1110</v>
      </c>
      <c r="F4097" s="3" t="s">
        <v>8</v>
      </c>
      <c r="G4097" s="3">
        <v>2.0600912419535802</v>
      </c>
    </row>
    <row r="4098" spans="1:16" x14ac:dyDescent="0.3">
      <c r="A4098" s="3" t="str">
        <f t="shared" si="64"/>
        <v>NGA</v>
      </c>
      <c r="C4098" s="3" t="s">
        <v>850</v>
      </c>
      <c r="D4098" s="3" t="s">
        <v>725</v>
      </c>
      <c r="E4098" s="3" t="s">
        <v>1111</v>
      </c>
      <c r="F4098" s="3" t="s">
        <v>0</v>
      </c>
      <c r="G4098" s="3">
        <v>0.53448141699881702</v>
      </c>
      <c r="H4098" s="3">
        <v>2.63578726624384</v>
      </c>
      <c r="I4098" s="3">
        <v>2.63578726624384</v>
      </c>
      <c r="J4098" s="3">
        <v>2.1330928032276799</v>
      </c>
      <c r="K4098" s="3">
        <v>1.67505029405586</v>
      </c>
      <c r="L4098" s="3">
        <v>1.63896949100932</v>
      </c>
      <c r="M4098" s="3">
        <v>1.6028886879627899</v>
      </c>
      <c r="N4098" s="3">
        <v>0.300922766540344</v>
      </c>
      <c r="O4098" s="3">
        <v>0.30466597385143102</v>
      </c>
      <c r="P4098" s="3">
        <v>0.53913999260225998</v>
      </c>
    </row>
    <row r="4099" spans="1:16" x14ac:dyDescent="0.3">
      <c r="A4099" s="3" t="str">
        <f t="shared" si="64"/>
        <v>NGA</v>
      </c>
      <c r="C4099" s="3" t="s">
        <v>850</v>
      </c>
      <c r="D4099" s="3" t="s">
        <v>725</v>
      </c>
      <c r="E4099" s="3" t="s">
        <v>1111</v>
      </c>
      <c r="F4099" s="3" t="s">
        <v>1</v>
      </c>
      <c r="G4099" s="3">
        <v>0.47160125029307398</v>
      </c>
      <c r="I4099" s="3">
        <v>2.32569464668574</v>
      </c>
      <c r="J4099" s="3">
        <v>2.32569464668574</v>
      </c>
      <c r="K4099" s="3">
        <v>2.32569464668574</v>
      </c>
      <c r="L4099" s="3">
        <v>2.30318216361144</v>
      </c>
      <c r="M4099" s="3">
        <v>2.27454154687898</v>
      </c>
      <c r="N4099" s="3">
        <v>2.24590093014652</v>
      </c>
      <c r="O4099" s="3">
        <v>2.2776978058474602</v>
      </c>
      <c r="P4099" s="3">
        <v>2.4020370778050699</v>
      </c>
    </row>
    <row r="4100" spans="1:16" x14ac:dyDescent="0.3">
      <c r="A4100" s="3" t="str">
        <f t="shared" si="64"/>
        <v>NGA</v>
      </c>
      <c r="C4100" s="3" t="s">
        <v>850</v>
      </c>
      <c r="D4100" s="3" t="s">
        <v>725</v>
      </c>
      <c r="E4100" s="3" t="s">
        <v>1111</v>
      </c>
      <c r="F4100" s="3" t="s">
        <v>2</v>
      </c>
      <c r="G4100" s="3">
        <v>3.3775632401942102</v>
      </c>
      <c r="I4100" s="3">
        <v>8.2928153965429008</v>
      </c>
      <c r="J4100" s="3">
        <v>8.2928153965429008</v>
      </c>
      <c r="K4100" s="3">
        <v>8.2928153965428901</v>
      </c>
      <c r="L4100" s="3">
        <v>8.2928153965429008</v>
      </c>
      <c r="M4100" s="3">
        <v>8.2928153965428901</v>
      </c>
      <c r="N4100" s="3">
        <v>8.2928153965428901</v>
      </c>
      <c r="O4100" s="3">
        <v>8.3594129912466002</v>
      </c>
      <c r="P4100" s="3">
        <v>8.7932003925950895</v>
      </c>
    </row>
    <row r="4101" spans="1:16" x14ac:dyDescent="0.3">
      <c r="A4101" s="3" t="str">
        <f t="shared" si="64"/>
        <v>NGA</v>
      </c>
      <c r="C4101" s="3" t="s">
        <v>850</v>
      </c>
      <c r="D4101" s="3" t="s">
        <v>725</v>
      </c>
      <c r="E4101" s="3" t="s">
        <v>1111</v>
      </c>
      <c r="F4101" s="3" t="s">
        <v>3</v>
      </c>
      <c r="G4101" s="3">
        <v>0.64676742897335904</v>
      </c>
      <c r="I4101" s="3">
        <v>1.58798592699758</v>
      </c>
      <c r="J4101" s="3">
        <v>1.58798592699758</v>
      </c>
      <c r="K4101" s="3">
        <v>1.58798592699758</v>
      </c>
      <c r="L4101" s="3">
        <v>1.58798592699758</v>
      </c>
      <c r="M4101" s="3">
        <v>1.58798592699758</v>
      </c>
      <c r="N4101" s="3">
        <v>1.58798592699758</v>
      </c>
      <c r="O4101" s="3">
        <v>1.6007386578982901</v>
      </c>
      <c r="P4101" s="3">
        <v>1.6838043304969299</v>
      </c>
    </row>
    <row r="4102" spans="1:16" x14ac:dyDescent="0.3">
      <c r="A4102" s="3" t="str">
        <f t="shared" si="64"/>
        <v>NGA</v>
      </c>
      <c r="C4102" s="3" t="s">
        <v>850</v>
      </c>
      <c r="D4102" s="3" t="s">
        <v>725</v>
      </c>
      <c r="E4102" s="3" t="s">
        <v>1111</v>
      </c>
      <c r="F4102" s="3" t="s">
        <v>4</v>
      </c>
      <c r="G4102" s="3">
        <v>1.5091240009378399</v>
      </c>
      <c r="I4102" s="3">
        <v>5.1163134026725903</v>
      </c>
      <c r="J4102" s="3">
        <v>5.1163134026725903</v>
      </c>
      <c r="K4102" s="3">
        <v>5.1163134026725903</v>
      </c>
      <c r="L4102" s="3">
        <v>5.1163134026725903</v>
      </c>
      <c r="M4102" s="3">
        <v>5.1163134026725903</v>
      </c>
      <c r="N4102" s="3">
        <v>5.1163134026725903</v>
      </c>
      <c r="O4102" s="3">
        <v>5.1574012781497496</v>
      </c>
      <c r="P4102" s="3">
        <v>5.4250296033087899</v>
      </c>
    </row>
    <row r="4103" spans="1:16" x14ac:dyDescent="0.3">
      <c r="A4103" s="3" t="str">
        <f t="shared" si="64"/>
        <v>NGA</v>
      </c>
      <c r="C4103" s="3" t="s">
        <v>850</v>
      </c>
      <c r="D4103" s="3" t="s">
        <v>725</v>
      </c>
      <c r="E4103" s="3" t="s">
        <v>1111</v>
      </c>
      <c r="F4103" s="3" t="s">
        <v>5</v>
      </c>
      <c r="G4103" s="3">
        <v>0.87626554893164799</v>
      </c>
      <c r="J4103" s="3">
        <v>2.97076262090666</v>
      </c>
      <c r="K4103" s="3">
        <v>2.97076262090666</v>
      </c>
      <c r="L4103" s="3">
        <v>2.97076262090666</v>
      </c>
      <c r="M4103" s="3">
        <v>2.97076262090666</v>
      </c>
      <c r="N4103" s="3">
        <v>2.97076262090666</v>
      </c>
      <c r="O4103" s="3">
        <v>2.99462009699017</v>
      </c>
      <c r="P4103" s="3">
        <v>3.150017189018</v>
      </c>
    </row>
    <row r="4104" spans="1:16" x14ac:dyDescent="0.3">
      <c r="A4104" s="3" t="str">
        <f t="shared" si="64"/>
        <v>NGA</v>
      </c>
      <c r="C4104" s="3" t="s">
        <v>850</v>
      </c>
      <c r="D4104" s="3" t="s">
        <v>725</v>
      </c>
      <c r="E4104" s="3" t="s">
        <v>1111</v>
      </c>
      <c r="F4104" s="3" t="s">
        <v>6</v>
      </c>
      <c r="G4104" s="3">
        <v>0.63285845200618995</v>
      </c>
      <c r="H4104" s="3">
        <v>2.1455507817659201</v>
      </c>
      <c r="I4104" s="3">
        <v>2.1455507817659201</v>
      </c>
      <c r="J4104" s="3">
        <v>2.1455507817659201</v>
      </c>
      <c r="K4104" s="3">
        <v>2.1455507817659201</v>
      </c>
      <c r="L4104" s="3">
        <v>2.1455507817659201</v>
      </c>
      <c r="M4104" s="3">
        <v>2.1455507817659201</v>
      </c>
      <c r="N4104" s="3">
        <v>2.1455507817659201</v>
      </c>
      <c r="O4104" s="3">
        <v>2.1627811811595801</v>
      </c>
      <c r="P4104" s="3">
        <v>2.2750124142907802</v>
      </c>
    </row>
    <row r="4105" spans="1:16" x14ac:dyDescent="0.3">
      <c r="A4105" s="3" t="str">
        <f t="shared" si="64"/>
        <v>NGA</v>
      </c>
      <c r="C4105" s="3" t="s">
        <v>850</v>
      </c>
      <c r="D4105" s="3" t="s">
        <v>725</v>
      </c>
      <c r="E4105" s="3" t="s">
        <v>1111</v>
      </c>
      <c r="F4105" s="3" t="s">
        <v>7</v>
      </c>
      <c r="G4105" s="3">
        <v>8.2129197329950304E-2</v>
      </c>
      <c r="H4105" s="3">
        <v>0.441061123750492</v>
      </c>
      <c r="I4105" s="3">
        <v>0.441061123750492</v>
      </c>
      <c r="J4105" s="3">
        <v>0.441061123750492</v>
      </c>
      <c r="K4105" s="3">
        <v>0.441061123750492</v>
      </c>
      <c r="L4105" s="3">
        <v>0.441061123750492</v>
      </c>
      <c r="M4105" s="3">
        <v>0.441061123750492</v>
      </c>
      <c r="N4105" s="3">
        <v>0.441061123750492</v>
      </c>
      <c r="O4105" s="3">
        <v>0.444603178957863</v>
      </c>
      <c r="P4105" s="3">
        <v>0.46767456660593598</v>
      </c>
    </row>
    <row r="4106" spans="1:16" x14ac:dyDescent="0.3">
      <c r="A4106" s="3" t="str">
        <f t="shared" si="64"/>
        <v>NGA</v>
      </c>
      <c r="C4106" s="3" t="s">
        <v>850</v>
      </c>
      <c r="D4106" s="3" t="s">
        <v>725</v>
      </c>
      <c r="E4106" s="3" t="s">
        <v>1111</v>
      </c>
      <c r="F4106" s="3" t="s">
        <v>8</v>
      </c>
      <c r="G4106" s="3">
        <v>0.63650127930711498</v>
      </c>
      <c r="H4106" s="3">
        <v>3.4182237090663099</v>
      </c>
      <c r="I4106" s="3">
        <v>3.4182237090663099</v>
      </c>
      <c r="J4106" s="3">
        <v>3.4182237090663099</v>
      </c>
      <c r="K4106" s="3">
        <v>3.4182237090663099</v>
      </c>
      <c r="L4106" s="3">
        <v>3.4182237090663099</v>
      </c>
      <c r="M4106" s="3">
        <v>3.4182237090663099</v>
      </c>
      <c r="N4106" s="3">
        <v>3.4182237090663099</v>
      </c>
      <c r="O4106" s="3">
        <v>3.4456746369234299</v>
      </c>
      <c r="P4106" s="3">
        <v>3.6244778911960198</v>
      </c>
    </row>
    <row r="4107" spans="1:16" x14ac:dyDescent="0.3">
      <c r="A4107" s="3" t="str">
        <f t="shared" si="64"/>
        <v>COA</v>
      </c>
      <c r="C4107" s="3" t="s">
        <v>850</v>
      </c>
      <c r="D4107" s="3" t="s">
        <v>1180</v>
      </c>
      <c r="E4107" s="3" t="s">
        <v>1104</v>
      </c>
      <c r="F4107" s="3" t="s">
        <v>1</v>
      </c>
      <c r="G4107" s="3">
        <v>2.59021981238002</v>
      </c>
      <c r="H4107" s="3">
        <v>2.59021981238002</v>
      </c>
      <c r="I4107" s="3">
        <v>2.59021981238002</v>
      </c>
      <c r="J4107" s="3">
        <v>2.59021981238002</v>
      </c>
      <c r="K4107" s="3">
        <v>2.59021981238002</v>
      </c>
      <c r="L4107" s="3">
        <v>2.59021981238002</v>
      </c>
      <c r="M4107" s="3">
        <v>2.59021981238002</v>
      </c>
      <c r="N4107" s="3">
        <v>2.59021981238002</v>
      </c>
      <c r="O4107" s="3">
        <v>2.59021981238002</v>
      </c>
      <c r="P4107" s="3">
        <v>2.59021981238002</v>
      </c>
    </row>
    <row r="4108" spans="1:16" x14ac:dyDescent="0.3">
      <c r="A4108" s="3" t="str">
        <f t="shared" si="64"/>
        <v>NGA</v>
      </c>
      <c r="C4108" s="3" t="s">
        <v>850</v>
      </c>
      <c r="D4108" s="3" t="s">
        <v>1180</v>
      </c>
      <c r="E4108" s="3" t="s">
        <v>1105</v>
      </c>
      <c r="F4108" s="3" t="s">
        <v>0</v>
      </c>
      <c r="G4108" s="3">
        <v>10.3358844277891</v>
      </c>
      <c r="I4108" s="3">
        <v>10.3358844277891</v>
      </c>
    </row>
    <row r="4109" spans="1:16" x14ac:dyDescent="0.3">
      <c r="A4109" s="3" t="str">
        <f t="shared" si="64"/>
        <v>NGA</v>
      </c>
      <c r="C4109" s="3" t="s">
        <v>850</v>
      </c>
      <c r="D4109" s="3" t="s">
        <v>1180</v>
      </c>
      <c r="E4109" s="3" t="s">
        <v>1105</v>
      </c>
      <c r="F4109" s="3" t="s">
        <v>1</v>
      </c>
      <c r="G4109" s="3">
        <v>0.20047887540392101</v>
      </c>
      <c r="I4109" s="3">
        <v>0.20047887540392101</v>
      </c>
    </row>
    <row r="4110" spans="1:16" x14ac:dyDescent="0.3">
      <c r="A4110" s="3" t="str">
        <f t="shared" si="64"/>
        <v>NGA</v>
      </c>
      <c r="C4110" s="3" t="s">
        <v>850</v>
      </c>
      <c r="D4110" s="3" t="s">
        <v>1180</v>
      </c>
      <c r="E4110" s="3" t="s">
        <v>1109</v>
      </c>
      <c r="F4110" s="3" t="s">
        <v>1</v>
      </c>
      <c r="G4110" s="3">
        <v>0.56206874572555598</v>
      </c>
    </row>
    <row r="4111" spans="1:16" x14ac:dyDescent="0.3">
      <c r="A4111" s="3" t="str">
        <f t="shared" si="64"/>
        <v>NGA</v>
      </c>
      <c r="C4111" s="3" t="s">
        <v>850</v>
      </c>
      <c r="D4111" s="3" t="s">
        <v>1180</v>
      </c>
      <c r="E4111" s="3" t="s">
        <v>1109</v>
      </c>
      <c r="F4111" s="3" t="s">
        <v>3</v>
      </c>
      <c r="G4111" s="3">
        <v>2.2939180796432101E-2</v>
      </c>
      <c r="I4111" s="3">
        <v>2.2939180796432E-2</v>
      </c>
      <c r="J4111" s="3">
        <v>2.2939180796432E-2</v>
      </c>
      <c r="K4111" s="3">
        <v>2.2939180796432E-2</v>
      </c>
      <c r="L4111" s="3">
        <v>2.2939180796432E-2</v>
      </c>
    </row>
    <row r="4112" spans="1:16" x14ac:dyDescent="0.3">
      <c r="A4112" s="3" t="str">
        <f t="shared" si="64"/>
        <v>NGA</v>
      </c>
      <c r="C4112" s="3" t="s">
        <v>850</v>
      </c>
      <c r="D4112" s="3" t="s">
        <v>1180</v>
      </c>
      <c r="E4112" s="3" t="s">
        <v>1109</v>
      </c>
      <c r="F4112" s="3" t="s">
        <v>4</v>
      </c>
      <c r="G4112" s="3">
        <v>0.135817146724341</v>
      </c>
      <c r="I4112" s="3">
        <v>0.135817146724342</v>
      </c>
      <c r="J4112" s="3">
        <v>0.135817146724342</v>
      </c>
      <c r="K4112" s="3">
        <v>0.135817146724342</v>
      </c>
      <c r="L4112" s="3">
        <v>0.135817146724342</v>
      </c>
    </row>
    <row r="4113" spans="1:16" x14ac:dyDescent="0.3">
      <c r="A4113" s="3" t="str">
        <f t="shared" si="64"/>
        <v>NGA</v>
      </c>
      <c r="C4113" s="3" t="s">
        <v>850</v>
      </c>
      <c r="D4113" s="3" t="s">
        <v>1180</v>
      </c>
      <c r="E4113" s="3" t="s">
        <v>1109</v>
      </c>
      <c r="F4113" s="3" t="s">
        <v>8</v>
      </c>
      <c r="G4113" s="3">
        <v>0.53389104766039397</v>
      </c>
      <c r="H4113" s="3">
        <v>0.53389104766039397</v>
      </c>
      <c r="I4113" s="3">
        <v>0.53389104766039397</v>
      </c>
    </row>
    <row r="4114" spans="1:16" x14ac:dyDescent="0.3">
      <c r="A4114" s="3" t="str">
        <f t="shared" si="64"/>
        <v>NGA</v>
      </c>
      <c r="C4114" s="3" t="s">
        <v>850</v>
      </c>
      <c r="D4114" s="3" t="s">
        <v>1180</v>
      </c>
      <c r="E4114" s="3" t="s">
        <v>1239</v>
      </c>
      <c r="F4114" s="3" t="s">
        <v>7</v>
      </c>
      <c r="I4114" s="3">
        <v>9.8027934186472293E-2</v>
      </c>
    </row>
    <row r="4115" spans="1:16" x14ac:dyDescent="0.3">
      <c r="A4115" s="3" t="str">
        <f t="shared" si="64"/>
        <v>NGA</v>
      </c>
      <c r="C4115" s="3" t="s">
        <v>850</v>
      </c>
      <c r="D4115" s="3" t="s">
        <v>1180</v>
      </c>
      <c r="E4115" s="3" t="s">
        <v>1239</v>
      </c>
      <c r="F4115" s="3" t="s">
        <v>8</v>
      </c>
      <c r="I4115" s="3">
        <v>0.825319325200216</v>
      </c>
    </row>
    <row r="4116" spans="1:16" x14ac:dyDescent="0.3">
      <c r="A4116" s="3" t="str">
        <f t="shared" si="64"/>
        <v>NGA</v>
      </c>
      <c r="C4116" s="3" t="s">
        <v>850</v>
      </c>
      <c r="D4116" s="3" t="s">
        <v>1180</v>
      </c>
      <c r="E4116" s="3" t="s">
        <v>1240</v>
      </c>
      <c r="F4116" s="3" t="s">
        <v>2</v>
      </c>
      <c r="M4116" s="3">
        <v>2.6267172425130498</v>
      </c>
      <c r="N4116" s="3">
        <v>2.6267172425130498</v>
      </c>
      <c r="O4116" s="3">
        <v>2.6478117733753979</v>
      </c>
      <c r="P4116" s="3">
        <v>2.7852122570738547</v>
      </c>
    </row>
    <row r="4117" spans="1:16" x14ac:dyDescent="0.3">
      <c r="A4117" s="3" t="str">
        <f t="shared" si="64"/>
        <v>NGA</v>
      </c>
      <c r="C4117" s="3" t="s">
        <v>850</v>
      </c>
      <c r="D4117" s="3" t="s">
        <v>1180</v>
      </c>
      <c r="E4117" s="3" t="s">
        <v>1240</v>
      </c>
      <c r="F4117" s="3" t="s">
        <v>3</v>
      </c>
      <c r="M4117" s="3">
        <v>0.49469753999458299</v>
      </c>
      <c r="N4117" s="3">
        <v>0.49469753999458299</v>
      </c>
      <c r="O4117" s="3">
        <v>0.49867033628801188</v>
      </c>
      <c r="P4117" s="3">
        <v>0.52454738166601422</v>
      </c>
    </row>
    <row r="4118" spans="1:16" x14ac:dyDescent="0.3">
      <c r="A4118" s="3" t="str">
        <f t="shared" si="64"/>
        <v>NGA</v>
      </c>
      <c r="C4118" s="3" t="s">
        <v>850</v>
      </c>
      <c r="D4118" s="3" t="s">
        <v>1180</v>
      </c>
      <c r="E4118" s="3" t="s">
        <v>1240</v>
      </c>
      <c r="F4118" s="3" t="s">
        <v>4</v>
      </c>
      <c r="M4118" s="3">
        <v>3.8734729851254599</v>
      </c>
      <c r="N4118" s="3">
        <v>3.8734729851254599</v>
      </c>
      <c r="O4118" s="3">
        <v>3.8734729851254599</v>
      </c>
      <c r="P4118" s="3">
        <v>3.8734729851254599</v>
      </c>
    </row>
    <row r="4119" spans="1:16" x14ac:dyDescent="0.3">
      <c r="A4119" s="3" t="str">
        <f t="shared" si="64"/>
        <v>NGA</v>
      </c>
      <c r="C4119" s="3" t="s">
        <v>850</v>
      </c>
      <c r="D4119" s="3" t="s">
        <v>1180</v>
      </c>
      <c r="E4119" s="3" t="s">
        <v>1240</v>
      </c>
      <c r="F4119" s="3" t="s">
        <v>5</v>
      </c>
      <c r="M4119" s="3">
        <v>2.0817447324507299</v>
      </c>
      <c r="N4119" s="3">
        <v>2.0817447324507299</v>
      </c>
      <c r="O4119" s="3">
        <v>2.0984627208948083</v>
      </c>
      <c r="P4119" s="3">
        <v>2.2073563347737832</v>
      </c>
    </row>
    <row r="4120" spans="1:16" x14ac:dyDescent="0.3">
      <c r="A4120" s="3" t="str">
        <f t="shared" si="64"/>
        <v>NGA</v>
      </c>
      <c r="C4120" s="3" t="s">
        <v>850</v>
      </c>
      <c r="D4120" s="3" t="s">
        <v>1180</v>
      </c>
      <c r="E4120" s="3" t="s">
        <v>1240</v>
      </c>
      <c r="F4120" s="3" t="s">
        <v>6</v>
      </c>
      <c r="M4120" s="3">
        <v>0.429322354592099</v>
      </c>
      <c r="N4120" s="3">
        <v>1.646919187071969</v>
      </c>
      <c r="O4120" s="3">
        <v>1.6609717285105832</v>
      </c>
      <c r="P4120" s="3">
        <v>1.8979633562329852</v>
      </c>
    </row>
    <row r="4121" spans="1:16" x14ac:dyDescent="0.3">
      <c r="A4121" s="3" t="str">
        <f t="shared" si="64"/>
        <v>NGA</v>
      </c>
      <c r="C4121" s="3" t="s">
        <v>850</v>
      </c>
      <c r="D4121" s="3" t="s">
        <v>1180</v>
      </c>
      <c r="E4121" s="3" t="s">
        <v>1240</v>
      </c>
      <c r="F4121" s="3" t="s">
        <v>7</v>
      </c>
      <c r="M4121" s="3">
        <v>0.106492816154867</v>
      </c>
      <c r="N4121" s="3">
        <v>0.106492816154867</v>
      </c>
      <c r="O4121" s="3">
        <v>0.10734803420446858</v>
      </c>
      <c r="P4121" s="3">
        <v>0.11291854792907825</v>
      </c>
    </row>
    <row r="4122" spans="1:16" x14ac:dyDescent="0.3">
      <c r="A4122" s="3" t="str">
        <f t="shared" si="64"/>
        <v>NGA</v>
      </c>
      <c r="C4122" s="3" t="s">
        <v>850</v>
      </c>
      <c r="D4122" s="3" t="s">
        <v>1180</v>
      </c>
      <c r="E4122" s="3" t="s">
        <v>1240</v>
      </c>
      <c r="F4122" s="3" t="s">
        <v>8</v>
      </c>
      <c r="M4122" s="3">
        <v>1.38319218344227</v>
      </c>
      <c r="N4122" s="3">
        <v>1.38319218344227</v>
      </c>
      <c r="O4122" s="3">
        <v>1.394815406686803</v>
      </c>
      <c r="P4122" s="3">
        <v>1.55260672978294</v>
      </c>
    </row>
    <row r="4123" spans="1:16" x14ac:dyDescent="0.3">
      <c r="A4123" s="3" t="str">
        <f t="shared" si="64"/>
        <v>COA</v>
      </c>
      <c r="C4123" s="3" t="s">
        <v>850</v>
      </c>
      <c r="D4123" s="3" t="s">
        <v>1180</v>
      </c>
      <c r="E4123" s="3" t="s">
        <v>1241</v>
      </c>
      <c r="F4123" s="3" t="s">
        <v>0</v>
      </c>
      <c r="H4123" s="3">
        <v>11.5169081736172</v>
      </c>
      <c r="I4123" s="3">
        <v>0.40241547665441102</v>
      </c>
      <c r="J4123" s="3">
        <v>11.5169081736172</v>
      </c>
      <c r="K4123" s="3">
        <v>11.5169081736172</v>
      </c>
      <c r="L4123" s="3">
        <v>11.5169081736172</v>
      </c>
      <c r="M4123" s="3">
        <v>11.5169081736172</v>
      </c>
      <c r="N4123" s="3">
        <v>11.5169081736172</v>
      </c>
      <c r="O4123" s="3">
        <v>11.6093976776168</v>
      </c>
      <c r="P4123" s="3">
        <v>12.2118335729443</v>
      </c>
    </row>
    <row r="4124" spans="1:16" x14ac:dyDescent="0.3">
      <c r="A4124" s="3" t="str">
        <f t="shared" si="64"/>
        <v>COA</v>
      </c>
      <c r="C4124" s="3" t="s">
        <v>850</v>
      </c>
      <c r="D4124" s="3" t="s">
        <v>1180</v>
      </c>
      <c r="E4124" s="3" t="s">
        <v>1241</v>
      </c>
      <c r="F4124" s="3" t="s">
        <v>1</v>
      </c>
      <c r="H4124" s="3">
        <v>1.21755743101379</v>
      </c>
      <c r="I4124" s="3">
        <v>0.56206874572555598</v>
      </c>
      <c r="J4124" s="3">
        <v>1.28699591591077</v>
      </c>
      <c r="K4124" s="3">
        <v>1.28699591591077</v>
      </c>
      <c r="L4124" s="3">
        <v>1.28699591591077</v>
      </c>
      <c r="M4124" s="3">
        <v>1.28699591591077</v>
      </c>
      <c r="N4124" s="3">
        <v>1.28699591591077</v>
      </c>
      <c r="O4124" s="3">
        <v>1.31813289765995</v>
      </c>
      <c r="P4124" s="3">
        <v>1.5209454835935401</v>
      </c>
    </row>
    <row r="4125" spans="1:16" x14ac:dyDescent="0.3">
      <c r="A4125" s="3" t="str">
        <f t="shared" si="64"/>
        <v>COA</v>
      </c>
      <c r="C4125" s="3" t="s">
        <v>850</v>
      </c>
      <c r="D4125" s="3" t="s">
        <v>1180</v>
      </c>
      <c r="E4125" s="3" t="s">
        <v>1241</v>
      </c>
      <c r="F4125" s="3" t="s">
        <v>2</v>
      </c>
      <c r="H4125" s="3">
        <v>2.6267172425130498</v>
      </c>
      <c r="J4125" s="3">
        <v>2.6267172425130498</v>
      </c>
      <c r="K4125" s="3">
        <v>2.6267172425130498</v>
      </c>
      <c r="L4125" s="3">
        <v>2.6267172425130498</v>
      </c>
    </row>
    <row r="4126" spans="1:16" x14ac:dyDescent="0.3">
      <c r="A4126" s="3" t="str">
        <f t="shared" si="64"/>
        <v>COA</v>
      </c>
      <c r="C4126" s="3" t="s">
        <v>850</v>
      </c>
      <c r="D4126" s="3" t="s">
        <v>1180</v>
      </c>
      <c r="E4126" s="3" t="s">
        <v>1241</v>
      </c>
      <c r="F4126" s="3" t="s">
        <v>3</v>
      </c>
      <c r="H4126" s="3">
        <v>0.44311466549967998</v>
      </c>
      <c r="J4126" s="3">
        <v>0.47175835919815101</v>
      </c>
      <c r="K4126" s="3">
        <v>0.47175835919815101</v>
      </c>
      <c r="L4126" s="3">
        <v>0.47175835919815101</v>
      </c>
    </row>
    <row r="4127" spans="1:16" x14ac:dyDescent="0.3">
      <c r="A4127" s="3" t="str">
        <f t="shared" ref="A4127:A4190" si="65">RIGHT(E4127,3)</f>
        <v>COA</v>
      </c>
      <c r="C4127" s="3" t="s">
        <v>850</v>
      </c>
      <c r="D4127" s="3" t="s">
        <v>1180</v>
      </c>
      <c r="E4127" s="3" t="s">
        <v>1241</v>
      </c>
      <c r="F4127" s="3" t="s">
        <v>4</v>
      </c>
      <c r="H4127" s="3">
        <v>1.28098442150881</v>
      </c>
      <c r="J4127" s="3">
        <v>1.3673704264548201</v>
      </c>
      <c r="K4127" s="3">
        <v>1.3673704264548201</v>
      </c>
      <c r="L4127" s="3">
        <v>1.3673704264548201</v>
      </c>
    </row>
    <row r="4128" spans="1:16" x14ac:dyDescent="0.3">
      <c r="A4128" s="3" t="str">
        <f t="shared" si="65"/>
        <v>COA</v>
      </c>
      <c r="C4128" s="3" t="s">
        <v>850</v>
      </c>
      <c r="D4128" s="3" t="s">
        <v>1180</v>
      </c>
      <c r="E4128" s="3" t="s">
        <v>1241</v>
      </c>
      <c r="F4128" s="3" t="s">
        <v>5</v>
      </c>
      <c r="H4128" s="3">
        <v>1.9527235476098801</v>
      </c>
      <c r="J4128" s="3">
        <v>2.0817447324507299</v>
      </c>
      <c r="K4128" s="3">
        <v>2.0817447324507299</v>
      </c>
      <c r="L4128" s="3">
        <v>2.0817447324507299</v>
      </c>
    </row>
    <row r="4129" spans="1:16" x14ac:dyDescent="0.3">
      <c r="A4129" s="3" t="str">
        <f t="shared" si="65"/>
        <v>COA</v>
      </c>
      <c r="C4129" s="3" t="s">
        <v>850</v>
      </c>
      <c r="D4129" s="3" t="s">
        <v>1180</v>
      </c>
      <c r="E4129" s="3" t="s">
        <v>1241</v>
      </c>
      <c r="F4129" s="3" t="s">
        <v>6</v>
      </c>
      <c r="J4129" s="3">
        <v>0.429322354592099</v>
      </c>
      <c r="K4129" s="3">
        <v>0.429322354592099</v>
      </c>
      <c r="L4129" s="3">
        <v>0.429322354592099</v>
      </c>
    </row>
    <row r="4130" spans="1:16" x14ac:dyDescent="0.3">
      <c r="A4130" s="3" t="str">
        <f t="shared" si="65"/>
        <v>COA</v>
      </c>
      <c r="C4130" s="3" t="s">
        <v>850</v>
      </c>
      <c r="D4130" s="3" t="s">
        <v>1180</v>
      </c>
      <c r="E4130" s="3" t="s">
        <v>1241</v>
      </c>
      <c r="F4130" s="3" t="s">
        <v>7</v>
      </c>
      <c r="H4130" s="3">
        <v>0.106492816154867</v>
      </c>
      <c r="J4130" s="3">
        <v>0.106492816154867</v>
      </c>
      <c r="K4130" s="3">
        <v>0.106492816154867</v>
      </c>
      <c r="L4130" s="3">
        <v>0.106492816154867</v>
      </c>
    </row>
    <row r="4131" spans="1:16" x14ac:dyDescent="0.3">
      <c r="A4131" s="3" t="str">
        <f t="shared" si="65"/>
        <v>COA</v>
      </c>
      <c r="C4131" s="3" t="s">
        <v>850</v>
      </c>
      <c r="D4131" s="3" t="s">
        <v>1180</v>
      </c>
      <c r="E4131" s="3" t="s">
        <v>1241</v>
      </c>
      <c r="F4131" s="3" t="s">
        <v>8</v>
      </c>
      <c r="H4131" s="3">
        <v>0.93036319637602805</v>
      </c>
      <c r="J4131" s="3">
        <v>1.4642542440364299</v>
      </c>
      <c r="K4131" s="3">
        <v>1.4642542440364199</v>
      </c>
      <c r="L4131" s="3">
        <v>1.4642542440364199</v>
      </c>
      <c r="M4131" s="3">
        <v>8.1062060594153898E-2</v>
      </c>
      <c r="N4131" s="3">
        <v>8.1062060594153898E-2</v>
      </c>
      <c r="O4131" s="3">
        <v>8.1197909030890303E-2</v>
      </c>
    </row>
    <row r="4132" spans="1:16" x14ac:dyDescent="0.3">
      <c r="A4132" s="3" t="str">
        <f t="shared" si="65"/>
        <v>ELC</v>
      </c>
      <c r="C4132" s="3" t="s">
        <v>850</v>
      </c>
      <c r="D4132" s="3" t="s">
        <v>741</v>
      </c>
      <c r="E4132" s="3" t="s">
        <v>1181</v>
      </c>
      <c r="F4132" s="3" t="s">
        <v>0</v>
      </c>
      <c r="G4132" s="3">
        <v>2.01228099999136</v>
      </c>
      <c r="H4132" s="3">
        <v>2.0140626047146792</v>
      </c>
      <c r="I4132" s="3">
        <v>2.0211890236079983</v>
      </c>
      <c r="J4132" s="3">
        <v>2.0657291416912398</v>
      </c>
      <c r="K4132" s="3">
        <v>2.0657291416912398</v>
      </c>
      <c r="L4132" s="3">
        <v>2.0657291416912398</v>
      </c>
      <c r="M4132" s="3">
        <v>2.0657291416912398</v>
      </c>
      <c r="N4132" s="3">
        <v>2.0657291416912398</v>
      </c>
      <c r="O4132" s="3">
        <v>2.0823185127995507</v>
      </c>
      <c r="P4132" s="3">
        <v>2.190374369998251</v>
      </c>
    </row>
    <row r="4133" spans="1:16" x14ac:dyDescent="0.3">
      <c r="A4133" s="3" t="str">
        <f t="shared" si="65"/>
        <v>ELC</v>
      </c>
      <c r="C4133" s="3" t="s">
        <v>850</v>
      </c>
      <c r="D4133" s="3" t="s">
        <v>741</v>
      </c>
      <c r="E4133" s="3" t="s">
        <v>1181</v>
      </c>
      <c r="F4133" s="3" t="s">
        <v>1</v>
      </c>
      <c r="G4133" s="3">
        <v>1.7755420588159001</v>
      </c>
      <c r="H4133" s="3">
        <v>1.8227021838452129</v>
      </c>
      <c r="I4133" s="3">
        <v>1.783402079654117</v>
      </c>
      <c r="J4133" s="3">
        <v>1.7912621004923399</v>
      </c>
      <c r="K4133" s="3">
        <v>1.7991221213305579</v>
      </c>
      <c r="L4133" s="3">
        <v>1.8227021838452118</v>
      </c>
      <c r="M4133" s="3">
        <v>1.8227021838452118</v>
      </c>
      <c r="N4133" s="3">
        <v>1.8227021838452118</v>
      </c>
      <c r="O4133" s="3">
        <v>1.8373398642348979</v>
      </c>
      <c r="P4133" s="3">
        <v>1.9326832676455179</v>
      </c>
    </row>
    <row r="4134" spans="1:16" x14ac:dyDescent="0.3">
      <c r="A4134" s="3" t="str">
        <f t="shared" si="65"/>
        <v>ELC</v>
      </c>
      <c r="C4134" s="3" t="s">
        <v>850</v>
      </c>
      <c r="D4134" s="3" t="s">
        <v>741</v>
      </c>
      <c r="E4134" s="3" t="s">
        <v>1181</v>
      </c>
      <c r="F4134" s="3" t="s">
        <v>2</v>
      </c>
      <c r="G4134" s="3">
        <v>6.8879758599143903</v>
      </c>
      <c r="H4134" s="3">
        <v>7.2257321839338013</v>
      </c>
      <c r="I4134" s="3">
        <v>6.944268580584283</v>
      </c>
      <c r="J4134" s="3">
        <v>7.0005613012541801</v>
      </c>
      <c r="K4134" s="3">
        <v>7.0568540219240896</v>
      </c>
      <c r="L4134" s="3">
        <v>7.1131467425939938</v>
      </c>
      <c r="M4134" s="3">
        <v>7.169439463263898</v>
      </c>
      <c r="N4134" s="3">
        <v>7.2257321839338005</v>
      </c>
      <c r="O4134" s="3">
        <v>7.2837602914476607</v>
      </c>
      <c r="P4134" s="3">
        <v>7.6617298273685313</v>
      </c>
    </row>
    <row r="4135" spans="1:16" x14ac:dyDescent="0.3">
      <c r="A4135" s="3" t="str">
        <f t="shared" si="65"/>
        <v>ELC</v>
      </c>
      <c r="C4135" s="3" t="s">
        <v>850</v>
      </c>
      <c r="D4135" s="3" t="s">
        <v>741</v>
      </c>
      <c r="E4135" s="3" t="s">
        <v>1181</v>
      </c>
      <c r="F4135" s="3" t="s">
        <v>3</v>
      </c>
      <c r="G4135" s="3">
        <v>1.31897410083467</v>
      </c>
      <c r="H4135" s="3">
        <v>1.3211299922645754</v>
      </c>
      <c r="I4135" s="3">
        <v>1.3297535579842226</v>
      </c>
      <c r="J4135" s="3">
        <v>1.34053301513378</v>
      </c>
      <c r="K4135" s="3">
        <v>1.3513124722833401</v>
      </c>
      <c r="L4135" s="3">
        <v>1.3620919294328961</v>
      </c>
      <c r="M4135" s="3">
        <v>1.372871386582452</v>
      </c>
      <c r="N4135" s="3">
        <v>1.3836508437320081</v>
      </c>
      <c r="O4135" s="3">
        <v>1.3947626090006173</v>
      </c>
      <c r="P4135" s="3">
        <v>1.4671397541769473</v>
      </c>
    </row>
    <row r="4136" spans="1:16" x14ac:dyDescent="0.3">
      <c r="A4136" s="3" t="str">
        <f t="shared" si="65"/>
        <v>ELC</v>
      </c>
      <c r="C4136" s="3" t="s">
        <v>850</v>
      </c>
      <c r="D4136" s="3" t="s">
        <v>741</v>
      </c>
      <c r="E4136" s="3" t="s">
        <v>1181</v>
      </c>
      <c r="F4136" s="3" t="s">
        <v>4</v>
      </c>
      <c r="G4136" s="3">
        <v>5.6817345882108903</v>
      </c>
      <c r="H4136" s="3">
        <v>5.6867650015473377</v>
      </c>
      <c r="I4136" s="3">
        <v>5.7068866548931778</v>
      </c>
      <c r="J4136" s="3">
        <v>5.7320387215754698</v>
      </c>
      <c r="K4136" s="3">
        <v>5.7571907882577698</v>
      </c>
      <c r="L4136" s="3">
        <v>5.7823428549400679</v>
      </c>
      <c r="M4136" s="3">
        <v>5.8074949216223644</v>
      </c>
      <c r="N4136" s="3">
        <v>5.8326469883046617</v>
      </c>
      <c r="O4136" s="3">
        <v>5.8422228654254651</v>
      </c>
      <c r="P4136" s="3">
        <v>5.5092568564317244</v>
      </c>
    </row>
    <row r="4137" spans="1:16" x14ac:dyDescent="0.3">
      <c r="A4137" s="3" t="str">
        <f t="shared" si="65"/>
        <v>ELC</v>
      </c>
      <c r="C4137" s="3" t="s">
        <v>850</v>
      </c>
      <c r="D4137" s="3" t="s">
        <v>741</v>
      </c>
      <c r="E4137" s="3" t="s">
        <v>1181</v>
      </c>
      <c r="F4137" s="3" t="s">
        <v>5</v>
      </c>
      <c r="G4137" s="3">
        <v>3.29907169638052</v>
      </c>
      <c r="H4137" s="3">
        <v>3.3866982512736681</v>
      </c>
      <c r="I4137" s="3">
        <v>3.313676122196028</v>
      </c>
      <c r="J4137" s="3">
        <v>3.32828054801156</v>
      </c>
      <c r="K4137" s="3">
        <v>3.3428849738270898</v>
      </c>
      <c r="L4137" s="3">
        <v>3.3574893996426169</v>
      </c>
      <c r="M4137" s="3">
        <v>3.3720938254581436</v>
      </c>
      <c r="N4137" s="3">
        <v>3.3866982512736707</v>
      </c>
      <c r="O4137" s="3">
        <v>3.4138960058041787</v>
      </c>
      <c r="P4137" s="3">
        <v>3.5910502005284388</v>
      </c>
    </row>
    <row r="4138" spans="1:16" x14ac:dyDescent="0.3">
      <c r="A4138" s="3" t="str">
        <f t="shared" si="65"/>
        <v>ELC</v>
      </c>
      <c r="C4138" s="3" t="s">
        <v>850</v>
      </c>
      <c r="D4138" s="3" t="s">
        <v>741</v>
      </c>
      <c r="E4138" s="3" t="s">
        <v>1181</v>
      </c>
      <c r="F4138" s="3" t="s">
        <v>6</v>
      </c>
      <c r="G4138" s="3">
        <v>2.3826628918303698</v>
      </c>
      <c r="H4138" s="3">
        <v>2.384772420003713</v>
      </c>
      <c r="I4138" s="3">
        <v>2.3932105326971307</v>
      </c>
      <c r="J4138" s="3">
        <v>2.4037581735639</v>
      </c>
      <c r="K4138" s="3">
        <v>2.4143058144306702</v>
      </c>
      <c r="L4138" s="3">
        <v>2.4248534552974399</v>
      </c>
      <c r="M4138" s="3">
        <v>2.4354010961642096</v>
      </c>
      <c r="N4138" s="3">
        <v>2.4459487370309794</v>
      </c>
      <c r="O4138" s="3">
        <v>2.4655915597474691</v>
      </c>
      <c r="P4138" s="3">
        <v>2.593536255937209</v>
      </c>
    </row>
    <row r="4139" spans="1:16" x14ac:dyDescent="0.3">
      <c r="A4139" s="3" t="str">
        <f t="shared" si="65"/>
        <v>ELC</v>
      </c>
      <c r="C4139" s="3" t="s">
        <v>850</v>
      </c>
      <c r="D4139" s="3" t="s">
        <v>741</v>
      </c>
      <c r="E4139" s="3" t="s">
        <v>1181</v>
      </c>
      <c r="F4139" s="3" t="s">
        <v>7</v>
      </c>
      <c r="G4139" s="3">
        <v>0.216447031931843</v>
      </c>
      <c r="H4139" s="3">
        <v>0.21672079592294374</v>
      </c>
      <c r="I4139" s="3">
        <v>0.21781585188734326</v>
      </c>
      <c r="J4139" s="3">
        <v>0.21918467184284199</v>
      </c>
      <c r="K4139" s="3">
        <v>0.22055349179834199</v>
      </c>
      <c r="L4139" s="3">
        <v>0.22192231175384114</v>
      </c>
      <c r="M4139" s="3">
        <v>0.22329113170934031</v>
      </c>
      <c r="N4139" s="3">
        <v>0.22465995166483949</v>
      </c>
      <c r="O4139" s="3">
        <v>0.22646414139916837</v>
      </c>
      <c r="P4139" s="3">
        <v>0.13435796528208438</v>
      </c>
    </row>
    <row r="4140" spans="1:16" x14ac:dyDescent="0.3">
      <c r="A4140" s="3" t="str">
        <f t="shared" si="65"/>
        <v>ELC</v>
      </c>
      <c r="C4140" s="3" t="s">
        <v>850</v>
      </c>
      <c r="D4140" s="3" t="s">
        <v>741</v>
      </c>
      <c r="E4140" s="3" t="s">
        <v>1181</v>
      </c>
      <c r="F4140" s="3" t="s">
        <v>8</v>
      </c>
      <c r="G4140" s="3">
        <v>1.6774644974717901</v>
      </c>
      <c r="H4140" s="3">
        <v>1.6795861684028097</v>
      </c>
      <c r="I4140" s="3">
        <v>1.6880728521269028</v>
      </c>
      <c r="J4140" s="3">
        <v>1.6986812067820201</v>
      </c>
      <c r="K4140" s="3">
        <v>1.7092895614371399</v>
      </c>
      <c r="L4140" s="3">
        <v>1.7198979160922585</v>
      </c>
      <c r="M4140" s="3">
        <v>1.7305062707473771</v>
      </c>
      <c r="N4140" s="3">
        <v>1.7411146254024956</v>
      </c>
      <c r="O4140" s="3">
        <v>1.7550970958435415</v>
      </c>
      <c r="P4140" s="3">
        <v>1.8100204809251814</v>
      </c>
    </row>
    <row r="4141" spans="1:16" x14ac:dyDescent="0.3">
      <c r="A4141" s="3" t="str">
        <f t="shared" si="65"/>
        <v>NGA</v>
      </c>
      <c r="C4141" s="3" t="s">
        <v>850</v>
      </c>
      <c r="D4141" s="3" t="s">
        <v>741</v>
      </c>
      <c r="E4141" s="3" t="s">
        <v>1112</v>
      </c>
      <c r="F4141" s="3" t="s">
        <v>0</v>
      </c>
      <c r="G4141" s="3">
        <v>5.3448141699881699E-2</v>
      </c>
      <c r="H4141" s="3">
        <v>5.1666536976552303E-2</v>
      </c>
      <c r="I4141" s="3">
        <v>4.45401180832347E-2</v>
      </c>
    </row>
    <row r="4142" spans="1:16" x14ac:dyDescent="0.3">
      <c r="A4142" s="3" t="str">
        <f t="shared" si="65"/>
        <v>NGA</v>
      </c>
      <c r="C4142" s="3" t="s">
        <v>850</v>
      </c>
      <c r="D4142" s="3" t="s">
        <v>741</v>
      </c>
      <c r="E4142" s="3" t="s">
        <v>1112</v>
      </c>
      <c r="F4142" s="3" t="s">
        <v>1</v>
      </c>
      <c r="G4142" s="3">
        <v>4.7160125029309399E-2</v>
      </c>
      <c r="I4142" s="3">
        <v>3.9300104191089501E-2</v>
      </c>
      <c r="J4142" s="3">
        <v>3.1440083352871601E-2</v>
      </c>
      <c r="K4142" s="3">
        <v>2.35800625146537E-2</v>
      </c>
    </row>
    <row r="4143" spans="1:16" x14ac:dyDescent="0.3">
      <c r="A4143" s="3" t="str">
        <f t="shared" si="65"/>
        <v>NGA</v>
      </c>
      <c r="C4143" s="3" t="s">
        <v>850</v>
      </c>
      <c r="D4143" s="3" t="s">
        <v>741</v>
      </c>
      <c r="E4143" s="3" t="s">
        <v>1112</v>
      </c>
      <c r="F4143" s="3" t="s">
        <v>2</v>
      </c>
      <c r="G4143" s="3">
        <v>0.33775632401941202</v>
      </c>
      <c r="I4143" s="3">
        <v>0.28146360334951798</v>
      </c>
      <c r="J4143" s="3">
        <v>0.22517088267961399</v>
      </c>
      <c r="K4143" s="3">
        <v>0.16887816200971101</v>
      </c>
      <c r="L4143" s="3">
        <v>0.112585441339807</v>
      </c>
      <c r="M4143" s="3">
        <v>5.6292720669903498E-2</v>
      </c>
    </row>
    <row r="4144" spans="1:16" x14ac:dyDescent="0.3">
      <c r="A4144" s="3" t="str">
        <f t="shared" si="65"/>
        <v>NGA</v>
      </c>
      <c r="C4144" s="3" t="s">
        <v>850</v>
      </c>
      <c r="D4144" s="3" t="s">
        <v>741</v>
      </c>
      <c r="E4144" s="3" t="s">
        <v>1112</v>
      </c>
      <c r="F4144" s="3" t="s">
        <v>3</v>
      </c>
      <c r="G4144" s="3">
        <v>6.4676742897334494E-2</v>
      </c>
      <c r="H4144" s="3">
        <v>6.2520851467424698E-2</v>
      </c>
      <c r="I4144" s="3">
        <v>5.3897285747779897E-2</v>
      </c>
      <c r="J4144" s="3">
        <v>4.3117828598223898E-2</v>
      </c>
      <c r="K4144" s="3">
        <v>3.2338371448667899E-2</v>
      </c>
      <c r="L4144" s="3">
        <v>2.1558914299112001E-2</v>
      </c>
      <c r="M4144" s="3">
        <v>1.0779457149556E-2</v>
      </c>
    </row>
    <row r="4145" spans="1:16" x14ac:dyDescent="0.3">
      <c r="A4145" s="3" t="str">
        <f t="shared" si="65"/>
        <v>NGA</v>
      </c>
      <c r="C4145" s="3" t="s">
        <v>850</v>
      </c>
      <c r="D4145" s="3" t="s">
        <v>741</v>
      </c>
      <c r="E4145" s="3" t="s">
        <v>1112</v>
      </c>
      <c r="F4145" s="3" t="s">
        <v>4</v>
      </c>
      <c r="G4145" s="3">
        <v>0.15091240009376999</v>
      </c>
      <c r="H4145" s="3">
        <v>0.145881986757325</v>
      </c>
      <c r="I4145" s="3">
        <v>0.12576033341148701</v>
      </c>
      <c r="J4145" s="3">
        <v>0.100608266729189</v>
      </c>
      <c r="K4145" s="3">
        <v>7.5456200046892005E-2</v>
      </c>
      <c r="L4145" s="3">
        <v>5.0304133364594703E-2</v>
      </c>
      <c r="M4145" s="3">
        <v>2.5152066682297299E-2</v>
      </c>
      <c r="O4145" s="3">
        <v>3.7264700126188897E-2</v>
      </c>
      <c r="P4145" s="3">
        <v>0.67532960003394482</v>
      </c>
    </row>
    <row r="4146" spans="1:16" x14ac:dyDescent="0.3">
      <c r="A4146" s="3" t="str">
        <f t="shared" si="65"/>
        <v>NGA</v>
      </c>
      <c r="C4146" s="3" t="s">
        <v>850</v>
      </c>
      <c r="D4146" s="3" t="s">
        <v>741</v>
      </c>
      <c r="E4146" s="3" t="s">
        <v>1112</v>
      </c>
      <c r="F4146" s="3" t="s">
        <v>5</v>
      </c>
      <c r="G4146" s="3">
        <v>8.7626554893148995E-2</v>
      </c>
      <c r="I4146" s="3">
        <v>7.3022129077637304E-2</v>
      </c>
      <c r="J4146" s="3">
        <v>5.8417703262109898E-2</v>
      </c>
      <c r="K4146" s="3">
        <v>4.3813277446582401E-2</v>
      </c>
      <c r="L4146" s="3">
        <v>2.92088516310549E-2</v>
      </c>
      <c r="M4146" s="3">
        <v>1.46044258155275E-2</v>
      </c>
    </row>
    <row r="4147" spans="1:16" x14ac:dyDescent="0.3">
      <c r="A4147" s="3" t="str">
        <f t="shared" si="65"/>
        <v>NGA</v>
      </c>
      <c r="C4147" s="3" t="s">
        <v>850</v>
      </c>
      <c r="D4147" s="3" t="s">
        <v>741</v>
      </c>
      <c r="E4147" s="3" t="s">
        <v>1112</v>
      </c>
      <c r="F4147" s="3" t="s">
        <v>6</v>
      </c>
      <c r="G4147" s="3">
        <v>6.3285845200612603E-2</v>
      </c>
      <c r="H4147" s="3">
        <v>6.1176317027264997E-2</v>
      </c>
      <c r="I4147" s="3">
        <v>5.2738204333849202E-2</v>
      </c>
      <c r="J4147" s="3">
        <v>4.2190563467079299E-2</v>
      </c>
      <c r="K4147" s="3">
        <v>3.16429226003095E-2</v>
      </c>
      <c r="L4147" s="3">
        <v>2.1095281733539702E-2</v>
      </c>
      <c r="M4147" s="3">
        <v>1.0547640866769801E-2</v>
      </c>
    </row>
    <row r="4148" spans="1:16" x14ac:dyDescent="0.3">
      <c r="A4148" s="3" t="str">
        <f t="shared" si="65"/>
        <v>NGA</v>
      </c>
      <c r="C4148" s="3" t="s">
        <v>850</v>
      </c>
      <c r="D4148" s="3" t="s">
        <v>741</v>
      </c>
      <c r="E4148" s="3" t="s">
        <v>1112</v>
      </c>
      <c r="F4148" s="3" t="s">
        <v>7</v>
      </c>
      <c r="G4148" s="3">
        <v>8.2129197329961802E-3</v>
      </c>
      <c r="H4148" s="3">
        <v>7.9391557418951892E-3</v>
      </c>
      <c r="I4148" s="3">
        <v>6.8440997774958604E-3</v>
      </c>
      <c r="J4148" s="3">
        <v>5.4752798219966899E-3</v>
      </c>
      <c r="K4148" s="3">
        <v>4.1064598664975202E-3</v>
      </c>
      <c r="L4148" s="3">
        <v>2.7376399109983402E-3</v>
      </c>
      <c r="M4148" s="3">
        <v>1.3688199554991701E-3</v>
      </c>
      <c r="P4148" s="3">
        <v>0.10385787345504501</v>
      </c>
    </row>
    <row r="4149" spans="1:16" x14ac:dyDescent="0.3">
      <c r="A4149" s="3" t="str">
        <f t="shared" si="65"/>
        <v>NGA</v>
      </c>
      <c r="C4149" s="3" t="s">
        <v>850</v>
      </c>
      <c r="D4149" s="3" t="s">
        <v>741</v>
      </c>
      <c r="E4149" s="3" t="s">
        <v>1112</v>
      </c>
      <c r="F4149" s="3" t="s">
        <v>8</v>
      </c>
      <c r="G4149" s="3">
        <v>6.3650127930711495E-2</v>
      </c>
      <c r="H4149" s="3">
        <v>6.15284569996878E-2</v>
      </c>
      <c r="I4149" s="3">
        <v>5.3041773275592903E-2</v>
      </c>
      <c r="J4149" s="3">
        <v>4.2433418620474297E-2</v>
      </c>
      <c r="K4149" s="3">
        <v>3.1825063965355699E-2</v>
      </c>
      <c r="L4149" s="3">
        <v>2.1216709310237201E-2</v>
      </c>
      <c r="M4149" s="3">
        <v>1.06083546551186E-2</v>
      </c>
      <c r="P4149" s="3">
        <v>3.6152269287577803E-2</v>
      </c>
    </row>
    <row r="4150" spans="1:16" x14ac:dyDescent="0.3">
      <c r="A4150" s="3" t="str">
        <f t="shared" si="65"/>
        <v>TOM</v>
      </c>
      <c r="C4150" s="3" t="s">
        <v>850</v>
      </c>
      <c r="D4150" s="3" t="s">
        <v>756</v>
      </c>
      <c r="E4150" s="3" t="s">
        <v>1100</v>
      </c>
      <c r="F4150" s="3" t="s">
        <v>0</v>
      </c>
      <c r="G4150" s="3">
        <v>9.5716350688277094E-2</v>
      </c>
      <c r="H4150" s="3">
        <v>9.3802023674511598E-2</v>
      </c>
    </row>
    <row r="4151" spans="1:16" x14ac:dyDescent="0.3">
      <c r="A4151" s="3" t="str">
        <f t="shared" si="65"/>
        <v>TOM</v>
      </c>
      <c r="C4151" s="3" t="s">
        <v>850</v>
      </c>
      <c r="D4151" s="3" t="s">
        <v>756</v>
      </c>
      <c r="E4151" s="3" t="s">
        <v>1100</v>
      </c>
      <c r="F4151" s="3" t="s">
        <v>1</v>
      </c>
      <c r="G4151" s="3">
        <v>0.20955579661090501</v>
      </c>
      <c r="H4151" s="3">
        <v>0.20536468067868699</v>
      </c>
      <c r="I4151" s="3">
        <v>0.18860021694981399</v>
      </c>
    </row>
    <row r="4152" spans="1:16" x14ac:dyDescent="0.3">
      <c r="A4152" s="3" t="str">
        <f t="shared" si="65"/>
        <v>TOM</v>
      </c>
      <c r="C4152" s="3" t="s">
        <v>850</v>
      </c>
      <c r="D4152" s="3" t="s">
        <v>756</v>
      </c>
      <c r="E4152" s="3" t="s">
        <v>1100</v>
      </c>
      <c r="F4152" s="3" t="s">
        <v>4</v>
      </c>
      <c r="G4152" s="3">
        <v>8.4318558903396595E-2</v>
      </c>
      <c r="H4152" s="3">
        <v>8.2632187725328696E-2</v>
      </c>
    </row>
    <row r="4153" spans="1:16" x14ac:dyDescent="0.3">
      <c r="A4153" s="3" t="str">
        <f t="shared" si="65"/>
        <v>TOM</v>
      </c>
      <c r="C4153" s="3" t="s">
        <v>850</v>
      </c>
      <c r="D4153" s="3" t="s">
        <v>756</v>
      </c>
      <c r="E4153" s="3" t="s">
        <v>1100</v>
      </c>
      <c r="F4153" s="3" t="s">
        <v>5</v>
      </c>
      <c r="G4153" s="3">
        <v>0.26127162951928001</v>
      </c>
      <c r="H4153" s="3">
        <v>0.25604619692889402</v>
      </c>
      <c r="I4153" s="3">
        <v>0.235144466567352</v>
      </c>
    </row>
    <row r="4154" spans="1:16" x14ac:dyDescent="0.3">
      <c r="A4154" s="3" t="str">
        <f t="shared" si="65"/>
        <v>TOM</v>
      </c>
      <c r="C4154" s="3" t="s">
        <v>850</v>
      </c>
      <c r="D4154" s="3" t="s">
        <v>756</v>
      </c>
      <c r="E4154" s="3" t="s">
        <v>1100</v>
      </c>
      <c r="F4154" s="3" t="s">
        <v>6</v>
      </c>
      <c r="G4154" s="3">
        <v>0.18869617687503601</v>
      </c>
      <c r="H4154" s="3">
        <v>0.18492225333753501</v>
      </c>
    </row>
    <row r="4155" spans="1:16" x14ac:dyDescent="0.3">
      <c r="A4155" s="3" t="str">
        <f t="shared" si="65"/>
        <v>TOM</v>
      </c>
      <c r="C4155" s="3" t="s">
        <v>850</v>
      </c>
      <c r="D4155" s="3" t="s">
        <v>756</v>
      </c>
      <c r="E4155" s="3" t="s">
        <v>1101</v>
      </c>
      <c r="F4155" s="3" t="s">
        <v>0</v>
      </c>
      <c r="G4155" s="3">
        <v>0.43866899999999998</v>
      </c>
      <c r="H4155" s="3">
        <v>0.42989561999999998</v>
      </c>
    </row>
    <row r="4156" spans="1:16" x14ac:dyDescent="0.3">
      <c r="A4156" s="3" t="str">
        <f t="shared" si="65"/>
        <v>WOD</v>
      </c>
      <c r="C4156" s="3" t="s">
        <v>850</v>
      </c>
      <c r="D4156" s="3" t="s">
        <v>756</v>
      </c>
      <c r="E4156" s="3" t="s">
        <v>1182</v>
      </c>
      <c r="F4156" s="3" t="s">
        <v>6</v>
      </c>
      <c r="G4156" s="3">
        <v>1.4516800000000001</v>
      </c>
    </row>
    <row r="4157" spans="1:16" x14ac:dyDescent="0.3">
      <c r="A4157" s="3" t="str">
        <f t="shared" si="65"/>
        <v>WOD</v>
      </c>
      <c r="C4157" s="3" t="s">
        <v>850</v>
      </c>
      <c r="D4157" s="3" t="s">
        <v>756</v>
      </c>
      <c r="E4157" s="3" t="s">
        <v>1108</v>
      </c>
      <c r="F4157" s="3" t="s">
        <v>4</v>
      </c>
      <c r="G4157" s="3">
        <v>1.8861627599999999</v>
      </c>
    </row>
    <row r="4158" spans="1:16" x14ac:dyDescent="0.3">
      <c r="A4158" s="3" t="str">
        <f t="shared" si="65"/>
        <v>BIO</v>
      </c>
      <c r="C4158" s="3" t="s">
        <v>850</v>
      </c>
      <c r="D4158" s="3" t="s">
        <v>756</v>
      </c>
      <c r="E4158" s="3" t="s">
        <v>1113</v>
      </c>
      <c r="F4158" s="3" t="s">
        <v>0</v>
      </c>
      <c r="G4158" s="3">
        <v>17.059953825328201</v>
      </c>
      <c r="H4158" s="3">
        <v>16.4912886978173</v>
      </c>
      <c r="J4158" s="3">
        <v>11.373302550218799</v>
      </c>
      <c r="K4158" s="3">
        <v>8.5299769126641003</v>
      </c>
    </row>
    <row r="4159" spans="1:16" x14ac:dyDescent="0.3">
      <c r="A4159" s="3" t="str">
        <f t="shared" si="65"/>
        <v>BIO</v>
      </c>
      <c r="C4159" s="3" t="s">
        <v>850</v>
      </c>
      <c r="D4159" s="3" t="s">
        <v>756</v>
      </c>
      <c r="E4159" s="3" t="s">
        <v>1113</v>
      </c>
      <c r="F4159" s="3" t="s">
        <v>1</v>
      </c>
      <c r="G4159" s="3">
        <v>15.041204227462799</v>
      </c>
      <c r="H4159" s="3">
        <v>5.7737876635024801</v>
      </c>
      <c r="K4159" s="3">
        <v>7.2154107676568797</v>
      </c>
      <c r="L4159" s="3">
        <v>5.0137347424875998</v>
      </c>
    </row>
    <row r="4160" spans="1:16" x14ac:dyDescent="0.3">
      <c r="A4160" s="3" t="str">
        <f t="shared" si="65"/>
        <v>BIO</v>
      </c>
      <c r="C4160" s="3" t="s">
        <v>850</v>
      </c>
      <c r="D4160" s="3" t="s">
        <v>756</v>
      </c>
      <c r="E4160" s="3" t="s">
        <v>1113</v>
      </c>
      <c r="F4160" s="3" t="s">
        <v>4</v>
      </c>
      <c r="G4160" s="3">
        <v>4.1766030774732101</v>
      </c>
    </row>
    <row r="4161" spans="1:16" x14ac:dyDescent="0.3">
      <c r="A4161" s="3" t="str">
        <f t="shared" si="65"/>
        <v>BIO</v>
      </c>
      <c r="C4161" s="3" t="s">
        <v>850</v>
      </c>
      <c r="D4161" s="3" t="s">
        <v>756</v>
      </c>
      <c r="E4161" s="3" t="s">
        <v>1113</v>
      </c>
      <c r="F4161" s="3" t="s">
        <v>5</v>
      </c>
      <c r="G4161" s="3">
        <v>3.9223406932800899</v>
      </c>
    </row>
    <row r="4162" spans="1:16" x14ac:dyDescent="0.3">
      <c r="A4162" s="3" t="str">
        <f t="shared" si="65"/>
        <v>BIO</v>
      </c>
      <c r="C4162" s="3" t="s">
        <v>850</v>
      </c>
      <c r="D4162" s="3" t="s">
        <v>756</v>
      </c>
      <c r="E4162" s="3" t="s">
        <v>1113</v>
      </c>
      <c r="F4162" s="3" t="s">
        <v>6</v>
      </c>
      <c r="G4162" s="3">
        <v>0.90800712759170699</v>
      </c>
    </row>
    <row r="4163" spans="1:16" x14ac:dyDescent="0.3">
      <c r="A4163" s="3" t="str">
        <f t="shared" si="65"/>
        <v>ELC</v>
      </c>
      <c r="C4163" s="3" t="s">
        <v>850</v>
      </c>
      <c r="D4163" s="3" t="s">
        <v>756</v>
      </c>
      <c r="E4163" s="3" t="s">
        <v>1183</v>
      </c>
      <c r="F4163" s="3" t="s">
        <v>0</v>
      </c>
      <c r="G4163" s="3">
        <v>0.236090848649745</v>
      </c>
    </row>
    <row r="4164" spans="1:16" x14ac:dyDescent="0.3">
      <c r="A4164" s="3" t="str">
        <f t="shared" si="65"/>
        <v>ELC</v>
      </c>
      <c r="C4164" s="3" t="s">
        <v>850</v>
      </c>
      <c r="D4164" s="3" t="s">
        <v>756</v>
      </c>
      <c r="E4164" s="3" t="s">
        <v>1183</v>
      </c>
      <c r="F4164" s="3" t="s">
        <v>1</v>
      </c>
      <c r="G4164" s="3">
        <v>0.208315454690955</v>
      </c>
      <c r="H4164" s="3">
        <v>9.8868799653678998</v>
      </c>
    </row>
    <row r="4165" spans="1:16" x14ac:dyDescent="0.3">
      <c r="A4165" s="3" t="str">
        <f t="shared" si="65"/>
        <v>ELC</v>
      </c>
      <c r="C4165" s="3" t="s">
        <v>850</v>
      </c>
      <c r="D4165" s="3" t="s">
        <v>756</v>
      </c>
      <c r="E4165" s="3" t="s">
        <v>1183</v>
      </c>
      <c r="F4165" s="3" t="s">
        <v>2</v>
      </c>
      <c r="G4165" s="3">
        <v>0.80813170042014804</v>
      </c>
      <c r="H4165" s="3">
        <v>1.8767567812082599</v>
      </c>
    </row>
    <row r="4166" spans="1:16" x14ac:dyDescent="0.3">
      <c r="A4166" s="3" t="str">
        <f t="shared" si="65"/>
        <v>ELC</v>
      </c>
      <c r="C4166" s="3" t="s">
        <v>850</v>
      </c>
      <c r="D4166" s="3" t="s">
        <v>756</v>
      </c>
      <c r="E4166" s="3" t="s">
        <v>1183</v>
      </c>
      <c r="F4166" s="3" t="s">
        <v>3</v>
      </c>
      <c r="G4166" s="3">
        <v>0.154748623484709</v>
      </c>
    </row>
    <row r="4167" spans="1:16" x14ac:dyDescent="0.3">
      <c r="A4167" s="3" t="str">
        <f t="shared" si="65"/>
        <v>ELC</v>
      </c>
      <c r="C4167" s="3" t="s">
        <v>850</v>
      </c>
      <c r="D4167" s="3" t="s">
        <v>756</v>
      </c>
      <c r="E4167" s="3" t="s">
        <v>1183</v>
      </c>
      <c r="F4167" s="3" t="s">
        <v>4</v>
      </c>
      <c r="G4167" s="3">
        <v>0.66660945501105495</v>
      </c>
    </row>
    <row r="4168" spans="1:16" x14ac:dyDescent="0.3">
      <c r="A4168" s="3" t="str">
        <f t="shared" si="65"/>
        <v>ELC</v>
      </c>
      <c r="C4168" s="3" t="s">
        <v>850</v>
      </c>
      <c r="D4168" s="3" t="s">
        <v>756</v>
      </c>
      <c r="E4168" s="3" t="s">
        <v>1183</v>
      </c>
      <c r="F4168" s="3" t="s">
        <v>5</v>
      </c>
      <c r="G4168" s="3">
        <v>0.38706355452254798</v>
      </c>
      <c r="H4168" s="3">
        <v>4.5432110154731804</v>
      </c>
    </row>
    <row r="4169" spans="1:16" x14ac:dyDescent="0.3">
      <c r="A4169" s="3" t="str">
        <f t="shared" si="65"/>
        <v>ELC</v>
      </c>
      <c r="C4169" s="3" t="s">
        <v>850</v>
      </c>
      <c r="D4169" s="3" t="s">
        <v>756</v>
      </c>
      <c r="E4169" s="3" t="s">
        <v>1183</v>
      </c>
      <c r="F4169" s="3" t="s">
        <v>6</v>
      </c>
      <c r="G4169" s="3">
        <v>0.27954590048850703</v>
      </c>
    </row>
    <row r="4170" spans="1:16" x14ac:dyDescent="0.3">
      <c r="A4170" s="3" t="str">
        <f t="shared" si="65"/>
        <v>ELC</v>
      </c>
      <c r="C4170" s="3" t="s">
        <v>850</v>
      </c>
      <c r="D4170" s="3" t="s">
        <v>756</v>
      </c>
      <c r="E4170" s="3" t="s">
        <v>1183</v>
      </c>
      <c r="F4170" s="3" t="s">
        <v>7</v>
      </c>
      <c r="G4170" s="3">
        <v>2.5394645905182998E-2</v>
      </c>
    </row>
    <row r="4171" spans="1:16" x14ac:dyDescent="0.3">
      <c r="A4171" s="3" t="str">
        <f t="shared" si="65"/>
        <v>ELC</v>
      </c>
      <c r="C4171" s="3" t="s">
        <v>850</v>
      </c>
      <c r="D4171" s="3" t="s">
        <v>756</v>
      </c>
      <c r="E4171" s="3" t="s">
        <v>1183</v>
      </c>
      <c r="F4171" s="3" t="s">
        <v>8</v>
      </c>
      <c r="G4171" s="3">
        <v>0.19680850576516801</v>
      </c>
    </row>
    <row r="4172" spans="1:16" x14ac:dyDescent="0.3">
      <c r="A4172" s="3" t="str">
        <f t="shared" si="65"/>
        <v>NGA</v>
      </c>
      <c r="C4172" s="3" t="s">
        <v>850</v>
      </c>
      <c r="D4172" s="3" t="s">
        <v>756</v>
      </c>
      <c r="E4172" s="3" t="s">
        <v>1114</v>
      </c>
      <c r="F4172" s="3" t="s">
        <v>0</v>
      </c>
      <c r="G4172" s="3">
        <v>0.106896283399763</v>
      </c>
      <c r="H4172" s="3">
        <v>1.03386367581964</v>
      </c>
      <c r="I4172" s="3">
        <v>12.171766978868201</v>
      </c>
      <c r="L4172" s="3">
        <v>8.5299769126641003</v>
      </c>
      <c r="M4172" s="3">
        <v>8.5299769126641003</v>
      </c>
    </row>
    <row r="4173" spans="1:16" x14ac:dyDescent="0.3">
      <c r="A4173" s="3" t="str">
        <f t="shared" si="65"/>
        <v>NGA</v>
      </c>
      <c r="C4173" s="3" t="s">
        <v>850</v>
      </c>
      <c r="D4173" s="3" t="s">
        <v>756</v>
      </c>
      <c r="E4173" s="3" t="s">
        <v>1114</v>
      </c>
      <c r="F4173" s="3" t="s">
        <v>1</v>
      </c>
      <c r="G4173" s="3">
        <v>9.4320250058614802E-2</v>
      </c>
      <c r="I4173" s="3">
        <v>9.9167081972690294</v>
      </c>
      <c r="J4173" s="3">
        <v>7.0553013839006997</v>
      </c>
      <c r="L4173" s="3">
        <v>2.0846298989443102</v>
      </c>
      <c r="M4173" s="3">
        <v>7.1198962701975201</v>
      </c>
      <c r="N4173" s="3">
        <v>7.1414278989631299</v>
      </c>
      <c r="O4173" s="3">
        <v>7.2920703657289003</v>
      </c>
      <c r="P4173" s="3">
        <v>6.7829842838898804</v>
      </c>
    </row>
    <row r="4174" spans="1:16" x14ac:dyDescent="0.3">
      <c r="A4174" s="3" t="str">
        <f t="shared" si="65"/>
        <v>NGA</v>
      </c>
      <c r="C4174" s="3" t="s">
        <v>850</v>
      </c>
      <c r="D4174" s="3" t="s">
        <v>756</v>
      </c>
      <c r="E4174" s="3" t="s">
        <v>1114</v>
      </c>
      <c r="F4174" s="3" t="s">
        <v>2</v>
      </c>
      <c r="G4174" s="3">
        <v>0.67551264803884103</v>
      </c>
    </row>
    <row r="4175" spans="1:16" x14ac:dyDescent="0.3">
      <c r="A4175" s="3" t="str">
        <f t="shared" si="65"/>
        <v>NGA</v>
      </c>
      <c r="C4175" s="3" t="s">
        <v>850</v>
      </c>
      <c r="D4175" s="3" t="s">
        <v>756</v>
      </c>
      <c r="E4175" s="3" t="s">
        <v>1114</v>
      </c>
      <c r="F4175" s="3" t="s">
        <v>3</v>
      </c>
      <c r="G4175" s="3">
        <v>0.12935348579467201</v>
      </c>
      <c r="H4175" s="3">
        <v>0.28809394429676499</v>
      </c>
    </row>
    <row r="4176" spans="1:16" x14ac:dyDescent="0.3">
      <c r="A4176" s="3" t="str">
        <f t="shared" si="65"/>
        <v>NGA</v>
      </c>
      <c r="C4176" s="3" t="s">
        <v>850</v>
      </c>
      <c r="D4176" s="3" t="s">
        <v>756</v>
      </c>
      <c r="E4176" s="3" t="s">
        <v>1114</v>
      </c>
      <c r="F4176" s="3" t="s">
        <v>4</v>
      </c>
      <c r="G4176" s="3">
        <v>0.30182480018756702</v>
      </c>
      <c r="H4176" s="3">
        <v>7.1321467874755999</v>
      </c>
    </row>
    <row r="4177" spans="1:9" x14ac:dyDescent="0.3">
      <c r="A4177" s="3" t="str">
        <f t="shared" si="65"/>
        <v>NGA</v>
      </c>
      <c r="C4177" s="3" t="s">
        <v>850</v>
      </c>
      <c r="D4177" s="3" t="s">
        <v>756</v>
      </c>
      <c r="E4177" s="3" t="s">
        <v>1114</v>
      </c>
      <c r="F4177" s="3" t="s">
        <v>5</v>
      </c>
      <c r="G4177" s="3">
        <v>0.17525310978632999</v>
      </c>
    </row>
    <row r="4178" spans="1:9" x14ac:dyDescent="0.3">
      <c r="A4178" s="3" t="str">
        <f t="shared" si="65"/>
        <v>NGA</v>
      </c>
      <c r="C4178" s="3" t="s">
        <v>850</v>
      </c>
      <c r="D4178" s="3" t="s">
        <v>756</v>
      </c>
      <c r="E4178" s="3" t="s">
        <v>1114</v>
      </c>
      <c r="F4178" s="3" t="s">
        <v>6</v>
      </c>
      <c r="G4178" s="3">
        <v>0.126571690401238</v>
      </c>
      <c r="H4178" s="3">
        <v>2.8080934713978198</v>
      </c>
      <c r="I4178" s="3">
        <v>2.9930157247353502</v>
      </c>
    </row>
    <row r="4179" spans="1:9" x14ac:dyDescent="0.3">
      <c r="A4179" s="3" t="str">
        <f t="shared" si="65"/>
        <v>NGA</v>
      </c>
      <c r="C4179" s="3" t="s">
        <v>850</v>
      </c>
      <c r="D4179" s="3" t="s">
        <v>756</v>
      </c>
      <c r="E4179" s="3" t="s">
        <v>1114</v>
      </c>
      <c r="F4179" s="3" t="s">
        <v>7</v>
      </c>
      <c r="G4179" s="3">
        <v>1.6425839465990098E-2</v>
      </c>
      <c r="H4179" s="3">
        <v>4.1820485371173097E-2</v>
      </c>
    </row>
    <row r="4180" spans="1:9" x14ac:dyDescent="0.3">
      <c r="A4180" s="3" t="str">
        <f t="shared" si="65"/>
        <v>NGA</v>
      </c>
      <c r="C4180" s="3" t="s">
        <v>850</v>
      </c>
      <c r="D4180" s="3" t="s">
        <v>756</v>
      </c>
      <c r="E4180" s="3" t="s">
        <v>1114</v>
      </c>
      <c r="F4180" s="3" t="s">
        <v>8</v>
      </c>
      <c r="G4180" s="3">
        <v>0.12730025586142299</v>
      </c>
      <c r="H4180" s="3">
        <v>0.32410876162659102</v>
      </c>
    </row>
    <row r="4181" spans="1:9" x14ac:dyDescent="0.3">
      <c r="A4181" s="3" t="str">
        <f t="shared" si="65"/>
        <v>OTP</v>
      </c>
      <c r="C4181" s="3" t="s">
        <v>850</v>
      </c>
      <c r="D4181" s="3" t="s">
        <v>756</v>
      </c>
      <c r="E4181" s="3" t="s">
        <v>1115</v>
      </c>
      <c r="F4181" s="3" t="s">
        <v>0</v>
      </c>
      <c r="G4181" s="3">
        <v>0.111523709245427</v>
      </c>
    </row>
    <row r="4182" spans="1:9" x14ac:dyDescent="0.3">
      <c r="A4182" s="3" t="str">
        <f t="shared" si="65"/>
        <v>OTP</v>
      </c>
      <c r="C4182" s="3" t="s">
        <v>850</v>
      </c>
      <c r="D4182" s="3" t="s">
        <v>756</v>
      </c>
      <c r="E4182" s="3" t="s">
        <v>1115</v>
      </c>
      <c r="F4182" s="3" t="s">
        <v>1</v>
      </c>
      <c r="G4182" s="3">
        <v>9.8403272863611696E-2</v>
      </c>
    </row>
    <row r="4183" spans="1:9" x14ac:dyDescent="0.3">
      <c r="A4183" s="3" t="str">
        <f t="shared" si="65"/>
        <v>OTP</v>
      </c>
      <c r="C4183" s="3" t="s">
        <v>850</v>
      </c>
      <c r="D4183" s="3" t="s">
        <v>756</v>
      </c>
      <c r="E4183" s="3" t="s">
        <v>1115</v>
      </c>
      <c r="F4183" s="3" t="s">
        <v>2</v>
      </c>
      <c r="G4183" s="3">
        <v>5.5058974102258898E-3</v>
      </c>
    </row>
    <row r="4184" spans="1:9" x14ac:dyDescent="0.3">
      <c r="A4184" s="3" t="str">
        <f t="shared" si="65"/>
        <v>OTP</v>
      </c>
      <c r="C4184" s="3" t="s">
        <v>850</v>
      </c>
      <c r="D4184" s="3" t="s">
        <v>756</v>
      </c>
      <c r="E4184" s="3" t="s">
        <v>1115</v>
      </c>
      <c r="F4184" s="3" t="s">
        <v>3</v>
      </c>
      <c r="G4184" s="3">
        <v>1.0543207806815501E-3</v>
      </c>
    </row>
    <row r="4185" spans="1:9" x14ac:dyDescent="0.3">
      <c r="A4185" s="3" t="str">
        <f t="shared" si="65"/>
        <v>OTP</v>
      </c>
      <c r="C4185" s="3" t="s">
        <v>850</v>
      </c>
      <c r="D4185" s="3" t="s">
        <v>756</v>
      </c>
      <c r="E4185" s="3" t="s">
        <v>1115</v>
      </c>
      <c r="F4185" s="3" t="s">
        <v>4</v>
      </c>
      <c r="G4185" s="3">
        <v>4.5921527336352103E-2</v>
      </c>
    </row>
    <row r="4186" spans="1:9" x14ac:dyDescent="0.3">
      <c r="A4186" s="3" t="str">
        <f t="shared" si="65"/>
        <v>OTP</v>
      </c>
      <c r="C4186" s="3" t="s">
        <v>850</v>
      </c>
      <c r="D4186" s="3" t="s">
        <v>756</v>
      </c>
      <c r="E4186" s="3" t="s">
        <v>1115</v>
      </c>
      <c r="F4186" s="3" t="s">
        <v>5</v>
      </c>
      <c r="G4186" s="3">
        <v>2.6664112646914099E-2</v>
      </c>
    </row>
    <row r="4187" spans="1:9" x14ac:dyDescent="0.3">
      <c r="A4187" s="3" t="str">
        <f t="shared" si="65"/>
        <v>OTP</v>
      </c>
      <c r="C4187" s="3" t="s">
        <v>850</v>
      </c>
      <c r="D4187" s="3" t="s">
        <v>756</v>
      </c>
      <c r="E4187" s="3" t="s">
        <v>1115</v>
      </c>
      <c r="F4187" s="3" t="s">
        <v>6</v>
      </c>
      <c r="G4187" s="3">
        <v>1.9257414689438E-2</v>
      </c>
    </row>
    <row r="4188" spans="1:9" x14ac:dyDescent="0.3">
      <c r="A4188" s="3" t="str">
        <f t="shared" si="65"/>
        <v>PTC</v>
      </c>
      <c r="C4188" s="3" t="s">
        <v>850</v>
      </c>
      <c r="D4188" s="3" t="s">
        <v>756</v>
      </c>
      <c r="E4188" s="3" t="s">
        <v>1116</v>
      </c>
      <c r="F4188" s="3" t="s">
        <v>1</v>
      </c>
      <c r="G4188" s="3">
        <v>0.209926982109054</v>
      </c>
    </row>
    <row r="4189" spans="1:9" x14ac:dyDescent="0.3">
      <c r="A4189" s="3" t="str">
        <f t="shared" si="65"/>
        <v>PTC</v>
      </c>
      <c r="C4189" s="3" t="s">
        <v>850</v>
      </c>
      <c r="D4189" s="3" t="s">
        <v>756</v>
      </c>
      <c r="E4189" s="3" t="s">
        <v>1116</v>
      </c>
      <c r="F4189" s="3" t="s">
        <v>2</v>
      </c>
      <c r="G4189" s="3">
        <v>5.5058974102236702E-3</v>
      </c>
    </row>
    <row r="4190" spans="1:9" x14ac:dyDescent="0.3">
      <c r="A4190" s="3" t="str">
        <f t="shared" si="65"/>
        <v>PTC</v>
      </c>
      <c r="C4190" s="3" t="s">
        <v>850</v>
      </c>
      <c r="D4190" s="3" t="s">
        <v>756</v>
      </c>
      <c r="E4190" s="3" t="s">
        <v>1116</v>
      </c>
      <c r="F4190" s="3" t="s">
        <v>3</v>
      </c>
      <c r="G4190" s="3">
        <v>1.05432078068098E-3</v>
      </c>
    </row>
    <row r="4191" spans="1:9" x14ac:dyDescent="0.3">
      <c r="A4191" s="3" t="str">
        <f t="shared" ref="A4191:A4254" si="66">RIGHT(E4191,3)</f>
        <v>PTC</v>
      </c>
      <c r="C4191" s="3" t="s">
        <v>850</v>
      </c>
      <c r="D4191" s="3" t="s">
        <v>756</v>
      </c>
      <c r="E4191" s="3" t="s">
        <v>1116</v>
      </c>
      <c r="F4191" s="3" t="s">
        <v>4</v>
      </c>
      <c r="G4191" s="3">
        <v>4.5921527336350298E-2</v>
      </c>
    </row>
    <row r="4192" spans="1:9" x14ac:dyDescent="0.3">
      <c r="A4192" s="3" t="str">
        <f t="shared" si="66"/>
        <v>PTC</v>
      </c>
      <c r="C4192" s="3" t="s">
        <v>850</v>
      </c>
      <c r="D4192" s="3" t="s">
        <v>756</v>
      </c>
      <c r="E4192" s="3" t="s">
        <v>1116</v>
      </c>
      <c r="F4192" s="3" t="s">
        <v>5</v>
      </c>
      <c r="G4192" s="3">
        <v>2.66641126469143E-2</v>
      </c>
    </row>
    <row r="4193" spans="1:16" x14ac:dyDescent="0.3">
      <c r="A4193" s="3" t="str">
        <f t="shared" si="66"/>
        <v>PTC</v>
      </c>
      <c r="C4193" s="3" t="s">
        <v>850</v>
      </c>
      <c r="D4193" s="3" t="s">
        <v>756</v>
      </c>
      <c r="E4193" s="3" t="s">
        <v>1116</v>
      </c>
      <c r="F4193" s="3" t="s">
        <v>6</v>
      </c>
      <c r="G4193" s="3">
        <v>1.92574146894255E-2</v>
      </c>
    </row>
    <row r="4194" spans="1:16" x14ac:dyDescent="0.3">
      <c r="A4194" s="3" t="str">
        <f t="shared" si="66"/>
        <v>STM</v>
      </c>
      <c r="C4194" s="3" t="s">
        <v>850</v>
      </c>
      <c r="D4194" s="3" t="s">
        <v>756</v>
      </c>
      <c r="E4194" s="3" t="s">
        <v>1242</v>
      </c>
      <c r="F4194" s="3" t="s">
        <v>0</v>
      </c>
      <c r="I4194" s="3">
        <v>5.8770830384431996</v>
      </c>
      <c r="J4194" s="3">
        <v>6.6755474670926196</v>
      </c>
      <c r="K4194" s="3">
        <v>9.5188731046473194</v>
      </c>
      <c r="L4194" s="3">
        <v>9.5188731046473194</v>
      </c>
      <c r="M4194" s="3">
        <v>9.5188731046473194</v>
      </c>
      <c r="N4194" s="3">
        <v>18.048850017311398</v>
      </c>
      <c r="O4194" s="3">
        <v>18.193795966406299</v>
      </c>
      <c r="P4194" s="3">
        <v>19.1379100425019</v>
      </c>
    </row>
    <row r="4195" spans="1:16" x14ac:dyDescent="0.3">
      <c r="A4195" s="3" t="str">
        <f t="shared" si="66"/>
        <v>STM</v>
      </c>
      <c r="C4195" s="3" t="s">
        <v>850</v>
      </c>
      <c r="D4195" s="3" t="s">
        <v>756</v>
      </c>
      <c r="E4195" s="3" t="s">
        <v>1242</v>
      </c>
      <c r="F4195" s="3" t="s">
        <v>1</v>
      </c>
      <c r="G4195" s="3">
        <v>0.21531628765608399</v>
      </c>
      <c r="H4195" s="3">
        <v>0.21100996190296201</v>
      </c>
      <c r="I4195" s="3">
        <v>5.97173385723318</v>
      </c>
      <c r="J4195" s="3">
        <v>9.0217408875513296</v>
      </c>
      <c r="K4195" s="3">
        <v>8.8616315037951505</v>
      </c>
      <c r="L4195" s="3">
        <v>8.9786776300201208</v>
      </c>
      <c r="M4195" s="3">
        <v>8.9571460012545092</v>
      </c>
      <c r="N4195" s="3">
        <v>8.9356143724888994</v>
      </c>
      <c r="O4195" s="3">
        <v>8.9140827437232897</v>
      </c>
      <c r="P4195" s="3">
        <v>10.264139962000501</v>
      </c>
    </row>
    <row r="4196" spans="1:16" x14ac:dyDescent="0.3">
      <c r="A4196" s="3" t="str">
        <f t="shared" si="66"/>
        <v>STM</v>
      </c>
      <c r="C4196" s="3" t="s">
        <v>850</v>
      </c>
      <c r="D4196" s="3" t="s">
        <v>756</v>
      </c>
      <c r="E4196" s="3" t="s">
        <v>1242</v>
      </c>
      <c r="F4196" s="3" t="s">
        <v>2</v>
      </c>
      <c r="G4196" s="3">
        <v>0.38210063792882298</v>
      </c>
      <c r="I4196" s="3">
        <v>1.8767567812082599</v>
      </c>
      <c r="J4196" s="3">
        <v>1.8767567812082599</v>
      </c>
      <c r="K4196" s="3">
        <v>1.8767567812082599</v>
      </c>
      <c r="L4196" s="3">
        <v>1.8767567812082599</v>
      </c>
      <c r="M4196" s="3">
        <v>1.8767567812082599</v>
      </c>
      <c r="N4196" s="3">
        <v>1.8767567812082599</v>
      </c>
      <c r="O4196" s="3">
        <v>1.89182856099543</v>
      </c>
      <c r="P4196" s="3">
        <v>1.9899994966975401</v>
      </c>
    </row>
    <row r="4197" spans="1:16" x14ac:dyDescent="0.3">
      <c r="A4197" s="3" t="str">
        <f t="shared" si="66"/>
        <v>STM</v>
      </c>
      <c r="C4197" s="3" t="s">
        <v>850</v>
      </c>
      <c r="D4197" s="3" t="s">
        <v>756</v>
      </c>
      <c r="E4197" s="3" t="s">
        <v>1242</v>
      </c>
      <c r="F4197" s="3" t="s">
        <v>3</v>
      </c>
      <c r="G4197" s="3">
        <v>9.4159672801072097E-2</v>
      </c>
      <c r="H4197" s="3">
        <v>9.2276479345050594E-2</v>
      </c>
      <c r="I4197" s="3">
        <v>0.380370423641816</v>
      </c>
      <c r="J4197" s="3">
        <v>0.380370423641816</v>
      </c>
      <c r="K4197" s="3">
        <v>0.380370423641816</v>
      </c>
      <c r="L4197" s="3">
        <v>0.380370423641816</v>
      </c>
      <c r="M4197" s="3">
        <v>0.380370423641816</v>
      </c>
      <c r="N4197" s="3">
        <v>0.380370423641816</v>
      </c>
      <c r="O4197" s="3">
        <v>0.38342508651560098</v>
      </c>
      <c r="P4197" s="3">
        <v>0.40332181515738202</v>
      </c>
    </row>
    <row r="4198" spans="1:16" x14ac:dyDescent="0.3">
      <c r="A4198" s="3" t="str">
        <f t="shared" si="66"/>
        <v>STM</v>
      </c>
      <c r="C4198" s="3" t="s">
        <v>850</v>
      </c>
      <c r="D4198" s="3" t="s">
        <v>756</v>
      </c>
      <c r="E4198" s="3" t="s">
        <v>1242</v>
      </c>
      <c r="F4198" s="3" t="s">
        <v>4</v>
      </c>
      <c r="G4198" s="3">
        <v>0.37086344764964901</v>
      </c>
      <c r="H4198" s="3">
        <v>0.36344617869665602</v>
      </c>
      <c r="I4198" s="3">
        <v>7.5782251538975798</v>
      </c>
      <c r="J4198" s="3">
        <v>7.5782251538975798</v>
      </c>
      <c r="K4198" s="3">
        <v>7.5782251538975798</v>
      </c>
      <c r="L4198" s="3">
        <v>7.5782251538975798</v>
      </c>
      <c r="M4198" s="3">
        <v>7.5782251538975798</v>
      </c>
      <c r="N4198" s="3">
        <v>7.5782251538975798</v>
      </c>
      <c r="O4198" s="3">
        <v>7.6390840471973096</v>
      </c>
      <c r="P4198" s="3">
        <v>8.0354920750081806</v>
      </c>
    </row>
    <row r="4199" spans="1:16" x14ac:dyDescent="0.3">
      <c r="A4199" s="3" t="str">
        <f t="shared" si="66"/>
        <v>STM</v>
      </c>
      <c r="C4199" s="3" t="s">
        <v>850</v>
      </c>
      <c r="D4199" s="3" t="s">
        <v>756</v>
      </c>
      <c r="E4199" s="3" t="s">
        <v>1242</v>
      </c>
      <c r="F4199" s="3" t="s">
        <v>5</v>
      </c>
      <c r="I4199" s="3">
        <v>4.5641127458347199</v>
      </c>
      <c r="J4199" s="3">
        <v>4.7992572124020798</v>
      </c>
      <c r="K4199" s="3">
        <v>4.7992572124020798</v>
      </c>
      <c r="L4199" s="3">
        <v>4.7992572124020798</v>
      </c>
      <c r="M4199" s="3">
        <v>4.7992572124020798</v>
      </c>
      <c r="N4199" s="3">
        <v>4.7992572124020798</v>
      </c>
      <c r="O4199" s="3">
        <v>4.8377988863001304</v>
      </c>
      <c r="P4199" s="3">
        <v>5.0888423757571397</v>
      </c>
    </row>
    <row r="4200" spans="1:16" x14ac:dyDescent="0.3">
      <c r="A4200" s="3" t="str">
        <f t="shared" si="66"/>
        <v>STM</v>
      </c>
      <c r="C4200" s="3" t="s">
        <v>850</v>
      </c>
      <c r="D4200" s="3" t="s">
        <v>756</v>
      </c>
      <c r="E4200" s="3" t="s">
        <v>1242</v>
      </c>
      <c r="F4200" s="3" t="s">
        <v>6</v>
      </c>
      <c r="J4200" s="3">
        <v>2.9930157247353502</v>
      </c>
      <c r="K4200" s="3">
        <v>2.9930157247353502</v>
      </c>
      <c r="L4200" s="3">
        <v>2.9930157247353502</v>
      </c>
      <c r="M4200" s="3">
        <v>2.9930157247353502</v>
      </c>
      <c r="N4200" s="3">
        <v>2.9930157247353502</v>
      </c>
      <c r="O4200" s="3">
        <v>3.0170519101134698</v>
      </c>
      <c r="P4200" s="3">
        <v>3.1736130357800598</v>
      </c>
    </row>
    <row r="4201" spans="1:16" x14ac:dyDescent="0.3">
      <c r="A4201" s="3" t="str">
        <f t="shared" si="66"/>
        <v>STM</v>
      </c>
      <c r="C4201" s="3" t="s">
        <v>850</v>
      </c>
      <c r="D4201" s="3" t="s">
        <v>756</v>
      </c>
      <c r="E4201" s="3" t="s">
        <v>1242</v>
      </c>
      <c r="F4201" s="3" t="s">
        <v>7</v>
      </c>
      <c r="I4201" s="3">
        <v>4.1820485371173097E-2</v>
      </c>
      <c r="J4201" s="3">
        <v>4.1820485371173097E-2</v>
      </c>
      <c r="K4201" s="3">
        <v>4.1820485371173097E-2</v>
      </c>
      <c r="L4201" s="3">
        <v>4.1820485371173097E-2</v>
      </c>
      <c r="M4201" s="3">
        <v>4.1820485371173097E-2</v>
      </c>
      <c r="N4201" s="3">
        <v>4.1820485371173097E-2</v>
      </c>
      <c r="O4201" s="3">
        <v>4.21563355742565E-2</v>
      </c>
      <c r="P4201" s="3">
        <v>4.4343915883816198E-2</v>
      </c>
    </row>
    <row r="4202" spans="1:16" x14ac:dyDescent="0.3">
      <c r="A4202" s="3" t="str">
        <f t="shared" si="66"/>
        <v>STM</v>
      </c>
      <c r="C4202" s="3" t="s">
        <v>850</v>
      </c>
      <c r="D4202" s="3" t="s">
        <v>756</v>
      </c>
      <c r="E4202" s="3" t="s">
        <v>1242</v>
      </c>
      <c r="F4202" s="3" t="s">
        <v>8</v>
      </c>
      <c r="I4202" s="3">
        <v>0.32410876162659102</v>
      </c>
      <c r="J4202" s="3">
        <v>0.32410876162659102</v>
      </c>
      <c r="K4202" s="3">
        <v>0.32410876162659102</v>
      </c>
      <c r="L4202" s="3">
        <v>0.32410876162659102</v>
      </c>
      <c r="M4202" s="3">
        <v>0.32410876162659102</v>
      </c>
      <c r="N4202" s="3">
        <v>0.32410876162659102</v>
      </c>
      <c r="O4202" s="3">
        <v>0.32671160070048599</v>
      </c>
      <c r="P4202" s="3">
        <v>0.34366534809957699</v>
      </c>
    </row>
    <row r="4203" spans="1:16" x14ac:dyDescent="0.3">
      <c r="A4203" s="3" t="str">
        <f t="shared" si="66"/>
        <v>DST</v>
      </c>
      <c r="C4203" s="3" t="s">
        <v>850</v>
      </c>
      <c r="D4203" s="3" t="s">
        <v>788</v>
      </c>
      <c r="E4203" s="3" t="s">
        <v>1117</v>
      </c>
      <c r="F4203" s="3" t="s">
        <v>2</v>
      </c>
      <c r="G4203" s="3">
        <v>1.8262699035658101</v>
      </c>
      <c r="H4203" s="3">
        <v>1.76539424011363</v>
      </c>
      <c r="I4203" s="3">
        <v>1.5218915863048501</v>
      </c>
      <c r="J4203" s="3">
        <v>1.2175132690438799</v>
      </c>
      <c r="K4203" s="3">
        <v>0.91313495178291004</v>
      </c>
      <c r="L4203" s="3">
        <v>0.60875663452193995</v>
      </c>
      <c r="M4203" s="3">
        <v>0.30437831726096998</v>
      </c>
    </row>
    <row r="4204" spans="1:16" x14ac:dyDescent="0.3">
      <c r="A4204" s="3" t="str">
        <f t="shared" si="66"/>
        <v>DST</v>
      </c>
      <c r="C4204" s="3" t="s">
        <v>850</v>
      </c>
      <c r="D4204" s="3" t="s">
        <v>788</v>
      </c>
      <c r="E4204" s="3" t="s">
        <v>1117</v>
      </c>
      <c r="F4204" s="3" t="s">
        <v>3</v>
      </c>
      <c r="G4204" s="3">
        <v>0.349711258129622</v>
      </c>
      <c r="H4204" s="3">
        <v>0.33805421619197201</v>
      </c>
      <c r="I4204" s="3">
        <v>0.291426048441355</v>
      </c>
      <c r="J4204" s="3">
        <v>0.233140838753084</v>
      </c>
      <c r="K4204" s="3">
        <v>0.174855629064813</v>
      </c>
      <c r="L4204" s="3">
        <v>0.116570419376542</v>
      </c>
      <c r="M4204" s="3">
        <v>5.8285209688271E-2</v>
      </c>
    </row>
    <row r="4205" spans="1:16" x14ac:dyDescent="0.3">
      <c r="A4205" s="3" t="str">
        <f t="shared" si="66"/>
        <v>DST</v>
      </c>
      <c r="C4205" s="3" t="s">
        <v>850</v>
      </c>
      <c r="D4205" s="3" t="s">
        <v>788</v>
      </c>
      <c r="E4205" s="3" t="s">
        <v>1117</v>
      </c>
      <c r="F4205" s="3" t="s">
        <v>4</v>
      </c>
      <c r="G4205" s="3">
        <v>1.0879905808477099</v>
      </c>
      <c r="H4205" s="3">
        <v>1.0517242281528001</v>
      </c>
      <c r="I4205" s="3">
        <v>0.90665881737309995</v>
      </c>
      <c r="J4205" s="3">
        <v>0.72532705389847996</v>
      </c>
      <c r="K4205" s="3">
        <v>0.54399529042385997</v>
      </c>
      <c r="L4205" s="3">
        <v>0.36266352694923998</v>
      </c>
      <c r="M4205" s="3">
        <v>0.18133176347461999</v>
      </c>
    </row>
    <row r="4206" spans="1:16" x14ac:dyDescent="0.3">
      <c r="A4206" s="3" t="str">
        <f t="shared" si="66"/>
        <v>DST</v>
      </c>
      <c r="C4206" s="3" t="s">
        <v>850</v>
      </c>
      <c r="D4206" s="3" t="s">
        <v>788</v>
      </c>
      <c r="E4206" s="3" t="s">
        <v>1117</v>
      </c>
      <c r="F4206" s="3" t="s">
        <v>5</v>
      </c>
      <c r="G4206" s="3">
        <v>0.63173646629868696</v>
      </c>
      <c r="H4206" s="3">
        <v>0.610678584088723</v>
      </c>
      <c r="I4206" s="3">
        <v>0.52644705524889901</v>
      </c>
      <c r="J4206" s="3">
        <v>0.421157644199119</v>
      </c>
      <c r="K4206" s="3">
        <v>0.31586823314933898</v>
      </c>
      <c r="L4206" s="3">
        <v>0.21057882209956</v>
      </c>
      <c r="M4206" s="3">
        <v>0.10528941104978</v>
      </c>
    </row>
    <row r="4207" spans="1:16" x14ac:dyDescent="0.3">
      <c r="A4207" s="3" t="str">
        <f t="shared" si="66"/>
        <v>DST</v>
      </c>
      <c r="C4207" s="3" t="s">
        <v>850</v>
      </c>
      <c r="D4207" s="3" t="s">
        <v>788</v>
      </c>
      <c r="E4207" s="3" t="s">
        <v>1117</v>
      </c>
      <c r="F4207" s="3" t="s">
        <v>6</v>
      </c>
      <c r="G4207" s="3">
        <v>0.45625411454903297</v>
      </c>
      <c r="H4207" s="3">
        <v>0.44104564406407798</v>
      </c>
      <c r="I4207" s="3">
        <v>0.38021176212420499</v>
      </c>
      <c r="J4207" s="3">
        <v>0.30416940969936401</v>
      </c>
      <c r="K4207" s="3">
        <v>0.22812705727452301</v>
      </c>
      <c r="L4207" s="3">
        <v>0.15208470484968201</v>
      </c>
      <c r="M4207" s="3">
        <v>7.6042352424841003E-2</v>
      </c>
    </row>
    <row r="4208" spans="1:16" x14ac:dyDescent="0.3">
      <c r="A4208" s="3" t="str">
        <f t="shared" si="66"/>
        <v>ELC</v>
      </c>
      <c r="C4208" s="3" t="s">
        <v>850</v>
      </c>
      <c r="D4208" s="3" t="s">
        <v>788</v>
      </c>
      <c r="E4208" s="3" t="s">
        <v>1184</v>
      </c>
      <c r="F4208" s="3" t="s">
        <v>0</v>
      </c>
      <c r="G4208" s="3">
        <v>0.19123358740629601</v>
      </c>
      <c r="H4208" s="3">
        <v>0.18485913449275301</v>
      </c>
      <c r="I4208" s="3">
        <v>0.15936132283858001</v>
      </c>
      <c r="J4208" s="3">
        <v>0.12748905827086399</v>
      </c>
      <c r="K4208" s="3">
        <v>9.5616793703148004E-2</v>
      </c>
      <c r="L4208" s="3">
        <v>6.3744529135431993E-2</v>
      </c>
      <c r="M4208" s="3">
        <v>3.1872264567715997E-2</v>
      </c>
    </row>
    <row r="4209" spans="1:16" x14ac:dyDescent="0.3">
      <c r="A4209" s="3" t="str">
        <f t="shared" si="66"/>
        <v>ELC</v>
      </c>
      <c r="C4209" s="3" t="s">
        <v>850</v>
      </c>
      <c r="D4209" s="3" t="s">
        <v>788</v>
      </c>
      <c r="E4209" s="3" t="s">
        <v>1184</v>
      </c>
      <c r="F4209" s="3" t="s">
        <v>1</v>
      </c>
      <c r="G4209" s="3">
        <v>0.16873551829967301</v>
      </c>
      <c r="H4209" s="3">
        <v>0.16311100102301701</v>
      </c>
      <c r="I4209" s="3">
        <v>0.14061293191639401</v>
      </c>
      <c r="J4209" s="3">
        <v>0.112490345533115</v>
      </c>
      <c r="K4209" s="3">
        <v>8.4367759149836505E-2</v>
      </c>
      <c r="L4209" s="3">
        <v>5.6245172766557702E-2</v>
      </c>
      <c r="M4209" s="3">
        <v>2.8122586383278799E-2</v>
      </c>
    </row>
    <row r="4210" spans="1:16" x14ac:dyDescent="0.3">
      <c r="A4210" s="3" t="str">
        <f t="shared" si="66"/>
        <v>ELC</v>
      </c>
      <c r="C4210" s="3" t="s">
        <v>850</v>
      </c>
      <c r="D4210" s="3" t="s">
        <v>788</v>
      </c>
      <c r="E4210" s="3" t="s">
        <v>1184</v>
      </c>
      <c r="F4210" s="3" t="s">
        <v>2</v>
      </c>
      <c r="G4210" s="3">
        <v>0.65458667734031994</v>
      </c>
      <c r="H4210" s="3">
        <v>0.63276712142897595</v>
      </c>
      <c r="I4210" s="3">
        <v>0.54548889778359999</v>
      </c>
      <c r="J4210" s="3">
        <v>0.43639111822687998</v>
      </c>
      <c r="K4210" s="3">
        <v>0.32729333867015997</v>
      </c>
      <c r="L4210" s="3">
        <v>0.21819555911343999</v>
      </c>
      <c r="M4210" s="3">
        <v>0.10909777955672</v>
      </c>
    </row>
    <row r="4211" spans="1:16" x14ac:dyDescent="0.3">
      <c r="A4211" s="3" t="str">
        <f t="shared" si="66"/>
        <v>ELC</v>
      </c>
      <c r="C4211" s="3" t="s">
        <v>850</v>
      </c>
      <c r="D4211" s="3" t="s">
        <v>788</v>
      </c>
      <c r="E4211" s="3" t="s">
        <v>1184</v>
      </c>
      <c r="F4211" s="3" t="s">
        <v>3</v>
      </c>
      <c r="G4211" s="3">
        <v>0.125346385022614</v>
      </c>
      <c r="H4211" s="3">
        <v>0.121168172188527</v>
      </c>
      <c r="I4211" s="3">
        <v>0.104455320852178</v>
      </c>
      <c r="J4211" s="3">
        <v>8.3564256681742693E-2</v>
      </c>
      <c r="K4211" s="3">
        <v>6.2673192511306999E-2</v>
      </c>
      <c r="L4211" s="3">
        <v>4.1782128340871298E-2</v>
      </c>
      <c r="M4211" s="3">
        <v>2.0891064170435701E-2</v>
      </c>
    </row>
    <row r="4212" spans="1:16" x14ac:dyDescent="0.3">
      <c r="A4212" s="3" t="str">
        <f t="shared" si="66"/>
        <v>ELC</v>
      </c>
      <c r="C4212" s="3" t="s">
        <v>850</v>
      </c>
      <c r="D4212" s="3" t="s">
        <v>788</v>
      </c>
      <c r="E4212" s="3" t="s">
        <v>1184</v>
      </c>
      <c r="F4212" s="3" t="s">
        <v>4</v>
      </c>
      <c r="G4212" s="3">
        <v>0.53995365855895405</v>
      </c>
      <c r="H4212" s="3">
        <v>0.52195520327365597</v>
      </c>
      <c r="I4212" s="3">
        <v>0.44996138213246201</v>
      </c>
      <c r="J4212" s="3">
        <v>0.35996910570596902</v>
      </c>
      <c r="K4212" s="3">
        <v>0.26997682927947703</v>
      </c>
      <c r="L4212" s="3">
        <v>0.17998455285298501</v>
      </c>
      <c r="M4212" s="3">
        <v>8.9992276426492407E-2</v>
      </c>
    </row>
    <row r="4213" spans="1:16" x14ac:dyDescent="0.3">
      <c r="A4213" s="3" t="str">
        <f t="shared" si="66"/>
        <v>ELC</v>
      </c>
      <c r="C4213" s="3" t="s">
        <v>850</v>
      </c>
      <c r="D4213" s="3" t="s">
        <v>788</v>
      </c>
      <c r="E4213" s="3" t="s">
        <v>1184</v>
      </c>
      <c r="F4213" s="3" t="s">
        <v>5</v>
      </c>
      <c r="G4213" s="3">
        <v>0.31352147916326401</v>
      </c>
      <c r="H4213" s="3">
        <v>0.303070763191155</v>
      </c>
      <c r="I4213" s="3">
        <v>0.26126789930271999</v>
      </c>
      <c r="J4213" s="3">
        <v>0.20901431944217599</v>
      </c>
      <c r="K4213" s="3">
        <v>0.156760739581632</v>
      </c>
      <c r="L4213" s="3">
        <v>0.104507159721088</v>
      </c>
      <c r="M4213" s="3">
        <v>5.2253579860543999E-2</v>
      </c>
    </row>
    <row r="4214" spans="1:16" x14ac:dyDescent="0.3">
      <c r="A4214" s="3" t="str">
        <f t="shared" si="66"/>
        <v>ELC</v>
      </c>
      <c r="C4214" s="3" t="s">
        <v>850</v>
      </c>
      <c r="D4214" s="3" t="s">
        <v>788</v>
      </c>
      <c r="E4214" s="3" t="s">
        <v>1184</v>
      </c>
      <c r="F4214" s="3" t="s">
        <v>6</v>
      </c>
      <c r="G4214" s="3">
        <v>0.22643217939569099</v>
      </c>
      <c r="H4214" s="3">
        <v>0.21888444008250099</v>
      </c>
      <c r="I4214" s="3">
        <v>0.18869348282974199</v>
      </c>
      <c r="J4214" s="3">
        <v>0.15095478626379399</v>
      </c>
      <c r="K4214" s="3">
        <v>0.113216089697845</v>
      </c>
      <c r="L4214" s="3">
        <v>7.5477393131896997E-2</v>
      </c>
      <c r="M4214" s="3">
        <v>3.7738696565948499E-2</v>
      </c>
    </row>
    <row r="4215" spans="1:16" x14ac:dyDescent="0.3">
      <c r="A4215" s="3" t="str">
        <f t="shared" si="66"/>
        <v>ELC</v>
      </c>
      <c r="C4215" s="3" t="s">
        <v>850</v>
      </c>
      <c r="D4215" s="3" t="s">
        <v>788</v>
      </c>
      <c r="E4215" s="3" t="s">
        <v>1184</v>
      </c>
      <c r="F4215" s="3" t="s">
        <v>7</v>
      </c>
      <c r="G4215" s="3">
        <v>2.0569663183198299E-2</v>
      </c>
      <c r="H4215" s="3">
        <v>1.9884007743758401E-2</v>
      </c>
      <c r="I4215" s="3">
        <v>1.7141385985998601E-2</v>
      </c>
      <c r="J4215" s="3">
        <v>1.3713108788798899E-2</v>
      </c>
      <c r="K4215" s="3">
        <v>1.0284831591599101E-2</v>
      </c>
      <c r="L4215" s="3">
        <v>6.8565543943994297E-3</v>
      </c>
      <c r="M4215" s="3">
        <v>3.4282771971997201E-3</v>
      </c>
    </row>
    <row r="4216" spans="1:16" x14ac:dyDescent="0.3">
      <c r="A4216" s="3" t="str">
        <f t="shared" si="66"/>
        <v>ELC</v>
      </c>
      <c r="C4216" s="3" t="s">
        <v>850</v>
      </c>
      <c r="D4216" s="3" t="s">
        <v>788</v>
      </c>
      <c r="E4216" s="3" t="s">
        <v>1184</v>
      </c>
      <c r="F4216" s="3" t="s">
        <v>8</v>
      </c>
      <c r="G4216" s="3">
        <v>0.15941488966978801</v>
      </c>
      <c r="H4216" s="3">
        <v>0.15410106001412699</v>
      </c>
      <c r="I4216" s="3">
        <v>0.132845741391489</v>
      </c>
      <c r="J4216" s="3">
        <v>0.106276593113191</v>
      </c>
      <c r="K4216" s="3">
        <v>7.9707444834893504E-2</v>
      </c>
      <c r="L4216" s="3">
        <v>5.3138296556595702E-2</v>
      </c>
      <c r="M4216" s="3">
        <v>2.6569148278297799E-2</v>
      </c>
    </row>
    <row r="4217" spans="1:16" x14ac:dyDescent="0.3">
      <c r="A4217" s="3" t="str">
        <f t="shared" si="66"/>
        <v>NGA</v>
      </c>
      <c r="C4217" s="3" t="s">
        <v>850</v>
      </c>
      <c r="D4217" s="3" t="s">
        <v>788</v>
      </c>
      <c r="E4217" s="3" t="s">
        <v>1118</v>
      </c>
      <c r="F4217" s="3" t="s">
        <v>0</v>
      </c>
      <c r="G4217" s="3">
        <v>1.1758591173974</v>
      </c>
      <c r="H4217" s="3">
        <v>1.1822335703109375</v>
      </c>
      <c r="I4217" s="3">
        <v>1.2077313819651143</v>
      </c>
      <c r="J4217" s="3">
        <v>1.2396036465328293</v>
      </c>
      <c r="K4217" s="3">
        <v>1.2714759111005454</v>
      </c>
      <c r="L4217" s="3">
        <v>1.3033481756682612</v>
      </c>
      <c r="M4217" s="3">
        <v>1.3352204402359762</v>
      </c>
      <c r="N4217" s="3">
        <v>1.3670927048036923</v>
      </c>
      <c r="O4217" s="3">
        <v>1.3780714956634099</v>
      </c>
      <c r="P4217" s="3">
        <v>1.4495825041040991</v>
      </c>
    </row>
    <row r="4218" spans="1:16" x14ac:dyDescent="0.3">
      <c r="A4218" s="3" t="str">
        <f t="shared" si="66"/>
        <v>NGA</v>
      </c>
      <c r="C4218" s="3" t="s">
        <v>850</v>
      </c>
      <c r="D4218" s="3" t="s">
        <v>788</v>
      </c>
      <c r="E4218" s="3" t="s">
        <v>1118</v>
      </c>
      <c r="F4218" s="3" t="s">
        <v>1</v>
      </c>
      <c r="G4218" s="3">
        <v>1.03752275064476</v>
      </c>
      <c r="H4218" s="3">
        <v>1.0431472679214171</v>
      </c>
      <c r="I4218" s="3">
        <v>1.0656453370280421</v>
      </c>
      <c r="J4218" s="3">
        <v>1.0937679234113202</v>
      </c>
      <c r="K4218" s="3">
        <v>1.121890509794599</v>
      </c>
      <c r="L4218" s="3">
        <v>1.1500130961778781</v>
      </c>
      <c r="M4218" s="3">
        <v>1.178135682561156</v>
      </c>
      <c r="N4218" s="3">
        <v>1.2062582689444357</v>
      </c>
      <c r="O4218" s="3">
        <v>1.2159454373500691</v>
      </c>
      <c r="P4218" s="3">
        <v>1.279043385974207</v>
      </c>
    </row>
    <row r="4219" spans="1:16" x14ac:dyDescent="0.3">
      <c r="A4219" s="3" t="str">
        <f t="shared" si="66"/>
        <v>NGA</v>
      </c>
      <c r="C4219" s="3" t="s">
        <v>850</v>
      </c>
      <c r="D4219" s="3" t="s">
        <v>788</v>
      </c>
      <c r="E4219" s="3" t="s">
        <v>1118</v>
      </c>
      <c r="F4219" s="3" t="s">
        <v>2</v>
      </c>
      <c r="G4219" s="3">
        <v>7.4306391284272602</v>
      </c>
      <c r="H4219" s="3">
        <v>7.5133343477907877</v>
      </c>
      <c r="I4219" s="3">
        <v>7.8441152252449378</v>
      </c>
      <c r="J4219" s="3">
        <v>8.2575913220626376</v>
      </c>
      <c r="K4219" s="3">
        <v>8.6710674188803178</v>
      </c>
      <c r="L4219" s="3">
        <v>9.084543515698007</v>
      </c>
      <c r="M4219" s="3">
        <v>9.4980196125157086</v>
      </c>
      <c r="N4219" s="3">
        <v>9.911495709333396</v>
      </c>
      <c r="O4219" s="3">
        <v>9.99109253412621</v>
      </c>
      <c r="P4219" s="3">
        <v>10.509551195224679</v>
      </c>
    </row>
    <row r="4220" spans="1:16" x14ac:dyDescent="0.3">
      <c r="A4220" s="3" t="str">
        <f t="shared" si="66"/>
        <v>NGA</v>
      </c>
      <c r="C4220" s="3" t="s">
        <v>850</v>
      </c>
      <c r="D4220" s="3" t="s">
        <v>788</v>
      </c>
      <c r="E4220" s="3" t="s">
        <v>1118</v>
      </c>
      <c r="F4220" s="3" t="s">
        <v>3</v>
      </c>
      <c r="G4220" s="3">
        <v>1.4228883437413899</v>
      </c>
      <c r="H4220" s="3">
        <v>1.4387235985131244</v>
      </c>
      <c r="I4220" s="3">
        <v>1.5020646176000942</v>
      </c>
      <c r="J4220" s="3">
        <v>1.5812408914587994</v>
      </c>
      <c r="K4220" s="3">
        <v>1.6604171653175053</v>
      </c>
      <c r="L4220" s="3">
        <v>1.7395934391762111</v>
      </c>
      <c r="M4220" s="3">
        <v>1.8187697130349183</v>
      </c>
      <c r="N4220" s="3">
        <v>1.8979459868936246</v>
      </c>
      <c r="O4220" s="3">
        <v>1.9131879320667138</v>
      </c>
      <c r="P4220" s="3">
        <v>2.0124672501493981</v>
      </c>
    </row>
    <row r="4221" spans="1:16" x14ac:dyDescent="0.3">
      <c r="A4221" s="3" t="str">
        <f t="shared" si="66"/>
        <v>NGA</v>
      </c>
      <c r="C4221" s="3" t="s">
        <v>850</v>
      </c>
      <c r="D4221" s="3" t="s">
        <v>788</v>
      </c>
      <c r="E4221" s="3" t="s">
        <v>1118</v>
      </c>
      <c r="F4221" s="3" t="s">
        <v>4</v>
      </c>
      <c r="G4221" s="3">
        <v>3.32007280206324</v>
      </c>
      <c r="H4221" s="3">
        <v>3.3743376100434577</v>
      </c>
      <c r="I4221" s="3">
        <v>3.5913968419643503</v>
      </c>
      <c r="J4221" s="3">
        <v>3.8627208818654628</v>
      </c>
      <c r="K4221" s="3">
        <v>4.1340449217665736</v>
      </c>
      <c r="L4221" s="3">
        <v>4.405368961667687</v>
      </c>
      <c r="M4221" s="3">
        <v>4.6766930015687986</v>
      </c>
      <c r="N4221" s="3">
        <v>4.9480170414699121</v>
      </c>
      <c r="O4221" s="3">
        <v>4.9877533695753389</v>
      </c>
      <c r="P4221" s="3">
        <v>5.2465783103960657</v>
      </c>
    </row>
    <row r="4222" spans="1:16" x14ac:dyDescent="0.3">
      <c r="A4222" s="3" t="str">
        <f t="shared" si="66"/>
        <v>NGA</v>
      </c>
      <c r="C4222" s="3" t="s">
        <v>850</v>
      </c>
      <c r="D4222" s="3" t="s">
        <v>788</v>
      </c>
      <c r="E4222" s="3" t="s">
        <v>1118</v>
      </c>
      <c r="F4222" s="3" t="s">
        <v>5</v>
      </c>
      <c r="G4222" s="3">
        <v>1.9277842076496201</v>
      </c>
      <c r="H4222" s="3">
        <v>1.9592928058316932</v>
      </c>
      <c r="I4222" s="3">
        <v>2.0853271985599555</v>
      </c>
      <c r="J4222" s="3">
        <v>2.2428701894702714</v>
      </c>
      <c r="K4222" s="3">
        <v>2.4004131803805979</v>
      </c>
      <c r="L4222" s="3">
        <v>2.5579561712909218</v>
      </c>
      <c r="M4222" s="3">
        <v>2.7154991622012457</v>
      </c>
      <c r="N4222" s="3">
        <v>2.87304215311157</v>
      </c>
      <c r="O4222" s="3">
        <v>2.8961148597534265</v>
      </c>
      <c r="P4222" s="3">
        <v>3.0464003092622352</v>
      </c>
    </row>
    <row r="4223" spans="1:16" x14ac:dyDescent="0.3">
      <c r="A4223" s="3" t="str">
        <f t="shared" si="66"/>
        <v>NGA</v>
      </c>
      <c r="C4223" s="3" t="s">
        <v>850</v>
      </c>
      <c r="D4223" s="3" t="s">
        <v>788</v>
      </c>
      <c r="E4223" s="3" t="s">
        <v>1118</v>
      </c>
      <c r="F4223" s="3" t="s">
        <v>6</v>
      </c>
      <c r="G4223" s="3">
        <v>1.3922885944136201</v>
      </c>
      <c r="H4223" s="3">
        <v>1.4150448042117627</v>
      </c>
      <c r="I4223" s="3">
        <v>1.5060696434043939</v>
      </c>
      <c r="J4223" s="3">
        <v>1.6198506923951865</v>
      </c>
      <c r="K4223" s="3">
        <v>1.7336317413859765</v>
      </c>
      <c r="L4223" s="3">
        <v>1.8474127903767656</v>
      </c>
      <c r="M4223" s="3">
        <v>1.9611938393675556</v>
      </c>
      <c r="N4223" s="3">
        <v>2.0749748883583443</v>
      </c>
      <c r="O4223" s="3">
        <v>2.0916385098219177</v>
      </c>
      <c r="P4223" s="3">
        <v>2.2001780011338208</v>
      </c>
    </row>
    <row r="4224" spans="1:16" x14ac:dyDescent="0.3">
      <c r="A4224" s="3" t="str">
        <f t="shared" si="66"/>
        <v>NGA</v>
      </c>
      <c r="C4224" s="3" t="s">
        <v>850</v>
      </c>
      <c r="D4224" s="3" t="s">
        <v>788</v>
      </c>
      <c r="E4224" s="3" t="s">
        <v>1118</v>
      </c>
      <c r="F4224" s="3" t="s">
        <v>7</v>
      </c>
      <c r="G4224" s="3">
        <v>0.18068423412589099</v>
      </c>
      <c r="H4224" s="3">
        <v>0.18136988956533154</v>
      </c>
      <c r="I4224" s="3">
        <v>0.18411251132309081</v>
      </c>
      <c r="J4224" s="3">
        <v>0.18754078852029032</v>
      </c>
      <c r="K4224" s="3">
        <v>0.19096906571749034</v>
      </c>
      <c r="L4224" s="3">
        <v>0.19439734291469002</v>
      </c>
      <c r="M4224" s="3">
        <v>0.19782562011188976</v>
      </c>
      <c r="N4224" s="3">
        <v>0.20125389730908949</v>
      </c>
      <c r="O4224" s="3">
        <v>0.20287011868200433</v>
      </c>
      <c r="P4224" s="3">
        <v>0.21339747289772093</v>
      </c>
    </row>
    <row r="4225" spans="1:16" x14ac:dyDescent="0.3">
      <c r="A4225" s="3" t="str">
        <f t="shared" si="66"/>
        <v>NGA</v>
      </c>
      <c r="C4225" s="3" t="s">
        <v>850</v>
      </c>
      <c r="D4225" s="3" t="s">
        <v>788</v>
      </c>
      <c r="E4225" s="3" t="s">
        <v>1118</v>
      </c>
      <c r="F4225" s="3" t="s">
        <v>8</v>
      </c>
      <c r="G4225" s="3">
        <v>1.40030281447565</v>
      </c>
      <c r="H4225" s="3">
        <v>1.4056166441313127</v>
      </c>
      <c r="I4225" s="3">
        <v>1.4268719627539477</v>
      </c>
      <c r="J4225" s="3">
        <v>1.4534411110322458</v>
      </c>
      <c r="K4225" s="3">
        <v>1.4800102593105458</v>
      </c>
      <c r="L4225" s="3">
        <v>1.5065794075888437</v>
      </c>
      <c r="M4225" s="3">
        <v>1.5331485558671407</v>
      </c>
      <c r="N4225" s="3">
        <v>1.5597177041454386</v>
      </c>
      <c r="O4225" s="3">
        <v>1.572243419785526</v>
      </c>
      <c r="P4225" s="3">
        <v>1.6538304149573402</v>
      </c>
    </row>
    <row r="4226" spans="1:16" x14ac:dyDescent="0.3">
      <c r="A4226" s="3" t="str">
        <f t="shared" si="66"/>
        <v>TOM</v>
      </c>
      <c r="C4226" s="3" t="s">
        <v>850</v>
      </c>
      <c r="D4226" s="3" t="s">
        <v>1185</v>
      </c>
      <c r="E4226" s="3" t="s">
        <v>1106</v>
      </c>
      <c r="F4226" s="3" t="s">
        <v>1</v>
      </c>
      <c r="G4226" s="3">
        <v>0.21531628765608399</v>
      </c>
      <c r="H4226" s="3">
        <v>0.21100996190296201</v>
      </c>
      <c r="I4226" s="3">
        <v>0.193784658890476</v>
      </c>
      <c r="J4226" s="3">
        <v>0.17225303012486701</v>
      </c>
      <c r="K4226" s="3">
        <v>0.15072140135925899</v>
      </c>
      <c r="L4226" s="3">
        <v>0.12918977259365</v>
      </c>
      <c r="M4226" s="3">
        <v>0.10765814382804199</v>
      </c>
      <c r="N4226" s="3">
        <v>8.6126515062433601E-2</v>
      </c>
      <c r="O4226" s="3">
        <v>6.4594886296825194E-2</v>
      </c>
      <c r="P4226" s="3">
        <v>4.30632575312168E-2</v>
      </c>
    </row>
    <row r="4227" spans="1:16" x14ac:dyDescent="0.3">
      <c r="A4227" s="3" t="str">
        <f t="shared" si="66"/>
        <v>TOM</v>
      </c>
      <c r="C4227" s="3" t="s">
        <v>850</v>
      </c>
      <c r="D4227" s="3" t="s">
        <v>1185</v>
      </c>
      <c r="E4227" s="3" t="s">
        <v>1106</v>
      </c>
      <c r="F4227" s="3" t="s">
        <v>4</v>
      </c>
      <c r="G4227" s="3">
        <v>0.37086344764964901</v>
      </c>
      <c r="H4227" s="3">
        <v>0.36344617869665602</v>
      </c>
      <c r="I4227" s="3">
        <v>0.33377710288468398</v>
      </c>
      <c r="J4227" s="3">
        <v>0.29669075811971901</v>
      </c>
      <c r="K4227" s="3">
        <v>0.25960441335475398</v>
      </c>
      <c r="L4227" s="3">
        <v>0.22251806858978901</v>
      </c>
      <c r="M4227" s="3">
        <v>0.18543172382482501</v>
      </c>
      <c r="N4227" s="3">
        <v>0.14834537905986001</v>
      </c>
      <c r="O4227" s="3">
        <v>0.111259034294895</v>
      </c>
      <c r="P4227" s="3">
        <v>7.4172689529929794E-2</v>
      </c>
    </row>
    <row r="4228" spans="1:16" x14ac:dyDescent="0.3">
      <c r="A4228" s="3" t="str">
        <f t="shared" si="66"/>
        <v>WOD</v>
      </c>
      <c r="C4228" s="3" t="s">
        <v>850</v>
      </c>
      <c r="D4228" s="3" t="s">
        <v>1185</v>
      </c>
      <c r="E4228" s="3" t="s">
        <v>1107</v>
      </c>
      <c r="F4228" s="3" t="s">
        <v>2</v>
      </c>
      <c r="G4228" s="3">
        <v>0.38210063792882298</v>
      </c>
    </row>
    <row r="4229" spans="1:16" x14ac:dyDescent="0.3">
      <c r="A4229" s="3" t="str">
        <f t="shared" si="66"/>
        <v>WOD</v>
      </c>
      <c r="C4229" s="3" t="s">
        <v>850</v>
      </c>
      <c r="D4229" s="3" t="s">
        <v>1185</v>
      </c>
      <c r="E4229" s="3" t="s">
        <v>1107</v>
      </c>
      <c r="F4229" s="3" t="s">
        <v>3</v>
      </c>
      <c r="G4229" s="3">
        <v>9.4159672801072097E-2</v>
      </c>
      <c r="H4229" s="3">
        <v>9.2276479345050594E-2</v>
      </c>
    </row>
    <row r="4230" spans="1:16" x14ac:dyDescent="0.3">
      <c r="A4230" s="3" t="str">
        <f t="shared" si="66"/>
        <v>TOM</v>
      </c>
      <c r="C4230" s="3" t="s">
        <v>850</v>
      </c>
      <c r="D4230" s="3" t="s">
        <v>1185</v>
      </c>
      <c r="E4230" s="3" t="s">
        <v>1243</v>
      </c>
      <c r="F4230" s="3" t="s">
        <v>0</v>
      </c>
      <c r="I4230" s="3">
        <v>5.8770830384431996</v>
      </c>
      <c r="J4230" s="3">
        <v>6.6755474670926249</v>
      </c>
      <c r="K4230" s="3">
        <v>9.5188731046473158</v>
      </c>
      <c r="L4230" s="3">
        <v>9.5188731046473158</v>
      </c>
      <c r="M4230" s="3">
        <v>9.5188731046473158</v>
      </c>
      <c r="N4230" s="3">
        <v>18.048850017311423</v>
      </c>
      <c r="O4230" s="3">
        <v>18.19379596640632</v>
      </c>
      <c r="P4230" s="3">
        <v>19.137910042501851</v>
      </c>
    </row>
    <row r="4231" spans="1:16" x14ac:dyDescent="0.3">
      <c r="A4231" s="3" t="str">
        <f t="shared" si="66"/>
        <v>TOM</v>
      </c>
      <c r="C4231" s="3" t="s">
        <v>850</v>
      </c>
      <c r="D4231" s="3" t="s">
        <v>1185</v>
      </c>
      <c r="E4231" s="3" t="s">
        <v>1243</v>
      </c>
      <c r="F4231" s="3" t="s">
        <v>1</v>
      </c>
      <c r="I4231" s="3">
        <v>5.7779491983427098</v>
      </c>
      <c r="J4231" s="3">
        <v>8.8494878574264693</v>
      </c>
      <c r="K4231" s="3">
        <v>8.7109101024358893</v>
      </c>
      <c r="L4231" s="3">
        <v>8.8494878574264693</v>
      </c>
      <c r="M4231" s="3">
        <v>8.8494878574264693</v>
      </c>
      <c r="N4231" s="3">
        <v>8.8494878574264693</v>
      </c>
      <c r="O4231" s="3">
        <v>8.8494878574264693</v>
      </c>
      <c r="P4231" s="3">
        <v>10.22107670446929</v>
      </c>
    </row>
    <row r="4232" spans="1:16" x14ac:dyDescent="0.3">
      <c r="A4232" s="3" t="str">
        <f t="shared" si="66"/>
        <v>TOM</v>
      </c>
      <c r="C4232" s="3" t="s">
        <v>850</v>
      </c>
      <c r="D4232" s="3" t="s">
        <v>1185</v>
      </c>
      <c r="E4232" s="3" t="s">
        <v>1243</v>
      </c>
      <c r="F4232" s="3" t="s">
        <v>2</v>
      </c>
      <c r="I4232" s="3">
        <v>1.8767567812082599</v>
      </c>
      <c r="J4232" s="3">
        <v>1.8767567812082599</v>
      </c>
      <c r="K4232" s="3">
        <v>1.8767567812082599</v>
      </c>
      <c r="L4232" s="3">
        <v>1.8767567812082599</v>
      </c>
      <c r="M4232" s="3">
        <v>1.8767567812082599</v>
      </c>
      <c r="N4232" s="3">
        <v>1.8767567812082599</v>
      </c>
      <c r="O4232" s="3">
        <v>1.89182856099543</v>
      </c>
      <c r="P4232" s="3">
        <v>1.9899994966975414</v>
      </c>
    </row>
    <row r="4233" spans="1:16" x14ac:dyDescent="0.3">
      <c r="A4233" s="3" t="str">
        <f t="shared" si="66"/>
        <v>TOM</v>
      </c>
      <c r="C4233" s="3" t="s">
        <v>850</v>
      </c>
      <c r="D4233" s="3" t="s">
        <v>1185</v>
      </c>
      <c r="E4233" s="3" t="s">
        <v>1243</v>
      </c>
      <c r="F4233" s="3" t="s">
        <v>3</v>
      </c>
      <c r="I4233" s="3">
        <v>0.380370423641816</v>
      </c>
      <c r="J4233" s="3">
        <v>0.380370423641816</v>
      </c>
      <c r="K4233" s="3">
        <v>0.380370423641816</v>
      </c>
      <c r="L4233" s="3">
        <v>0.380370423641816</v>
      </c>
      <c r="M4233" s="3">
        <v>0.380370423641816</v>
      </c>
      <c r="N4233" s="3">
        <v>0.380370423641816</v>
      </c>
      <c r="O4233" s="3">
        <v>0.38342508651560092</v>
      </c>
      <c r="P4233" s="3">
        <v>0.40332181515738252</v>
      </c>
    </row>
    <row r="4234" spans="1:16" x14ac:dyDescent="0.3">
      <c r="A4234" s="3" t="str">
        <f t="shared" si="66"/>
        <v>TOM</v>
      </c>
      <c r="C4234" s="3" t="s">
        <v>850</v>
      </c>
      <c r="D4234" s="3" t="s">
        <v>1185</v>
      </c>
      <c r="E4234" s="3" t="s">
        <v>1243</v>
      </c>
      <c r="F4234" s="3" t="s">
        <v>4</v>
      </c>
      <c r="I4234" s="3">
        <v>7.2444480510128999</v>
      </c>
      <c r="J4234" s="3">
        <v>7.2815343957778644</v>
      </c>
      <c r="K4234" s="3">
        <v>7.318620740542829</v>
      </c>
      <c r="L4234" s="3">
        <v>7.3557070853077962</v>
      </c>
      <c r="M4234" s="3">
        <v>7.3927934300727589</v>
      </c>
      <c r="N4234" s="3">
        <v>7.4298797748377252</v>
      </c>
      <c r="O4234" s="3">
        <v>7.5278250129024178</v>
      </c>
      <c r="P4234" s="3">
        <v>7.9613193854782551</v>
      </c>
    </row>
    <row r="4235" spans="1:16" x14ac:dyDescent="0.3">
      <c r="A4235" s="3" t="str">
        <f t="shared" si="66"/>
        <v>TOM</v>
      </c>
      <c r="C4235" s="3" t="s">
        <v>850</v>
      </c>
      <c r="D4235" s="3" t="s">
        <v>1185</v>
      </c>
      <c r="E4235" s="3" t="s">
        <v>1243</v>
      </c>
      <c r="F4235" s="3" t="s">
        <v>5</v>
      </c>
      <c r="I4235" s="3">
        <v>4.5641127458347199</v>
      </c>
      <c r="J4235" s="3">
        <v>4.7992572124020718</v>
      </c>
      <c r="K4235" s="3">
        <v>4.7992572124020718</v>
      </c>
      <c r="L4235" s="3">
        <v>4.7992572124020718</v>
      </c>
      <c r="M4235" s="3">
        <v>4.7992572124020718</v>
      </c>
      <c r="N4235" s="3">
        <v>4.7992572124020718</v>
      </c>
      <c r="O4235" s="3">
        <v>4.8377988863001198</v>
      </c>
      <c r="P4235" s="3">
        <v>5.0888423757571362</v>
      </c>
    </row>
    <row r="4236" spans="1:16" x14ac:dyDescent="0.3">
      <c r="A4236" s="3" t="str">
        <f t="shared" si="66"/>
        <v>TOM</v>
      </c>
      <c r="C4236" s="3" t="s">
        <v>850</v>
      </c>
      <c r="D4236" s="3" t="s">
        <v>1185</v>
      </c>
      <c r="E4236" s="3" t="s">
        <v>1243</v>
      </c>
      <c r="F4236" s="3" t="s">
        <v>6</v>
      </c>
      <c r="J4236" s="3">
        <v>2.9930157247353502</v>
      </c>
      <c r="K4236" s="3">
        <v>2.9930157247353502</v>
      </c>
      <c r="L4236" s="3">
        <v>2.9930157247353502</v>
      </c>
      <c r="M4236" s="3">
        <v>2.9930157247353502</v>
      </c>
      <c r="N4236" s="3">
        <v>2.9930157247353502</v>
      </c>
      <c r="O4236" s="3">
        <v>3.017051910113465</v>
      </c>
      <c r="P4236" s="3">
        <v>3.1736130357800612</v>
      </c>
    </row>
    <row r="4237" spans="1:16" x14ac:dyDescent="0.3">
      <c r="A4237" s="3" t="str">
        <f t="shared" si="66"/>
        <v>TOM</v>
      </c>
      <c r="C4237" s="3" t="s">
        <v>850</v>
      </c>
      <c r="D4237" s="3" t="s">
        <v>1185</v>
      </c>
      <c r="E4237" s="3" t="s">
        <v>1243</v>
      </c>
      <c r="F4237" s="3" t="s">
        <v>7</v>
      </c>
      <c r="I4237" s="3">
        <v>4.1820485371173097E-2</v>
      </c>
      <c r="J4237" s="3">
        <v>4.1820485371173097E-2</v>
      </c>
      <c r="K4237" s="3">
        <v>4.1820485371173097E-2</v>
      </c>
      <c r="L4237" s="3">
        <v>4.1820485371173097E-2</v>
      </c>
      <c r="M4237" s="3">
        <v>4.1820485371173097E-2</v>
      </c>
      <c r="N4237" s="3">
        <v>4.1820485371173097E-2</v>
      </c>
      <c r="O4237" s="3">
        <v>4.2156335574256437E-2</v>
      </c>
      <c r="P4237" s="3">
        <v>4.4343915883816226E-2</v>
      </c>
    </row>
    <row r="4238" spans="1:16" x14ac:dyDescent="0.3">
      <c r="A4238" s="3" t="str">
        <f t="shared" si="66"/>
        <v>TOM</v>
      </c>
      <c r="C4238" s="3" t="s">
        <v>850</v>
      </c>
      <c r="D4238" s="3" t="s">
        <v>1185</v>
      </c>
      <c r="E4238" s="3" t="s">
        <v>1243</v>
      </c>
      <c r="F4238" s="3" t="s">
        <v>8</v>
      </c>
      <c r="I4238" s="3">
        <v>0.32410876162659102</v>
      </c>
      <c r="J4238" s="3">
        <v>0.32410876162659102</v>
      </c>
      <c r="K4238" s="3">
        <v>0.32410876162659102</v>
      </c>
      <c r="L4238" s="3">
        <v>0.32410876162659102</v>
      </c>
      <c r="M4238" s="3">
        <v>0.32410876162659102</v>
      </c>
      <c r="N4238" s="3">
        <v>0.32410876162659102</v>
      </c>
      <c r="O4238" s="3">
        <v>0.32671160070048644</v>
      </c>
      <c r="P4238" s="3">
        <v>0.34366534809957705</v>
      </c>
    </row>
    <row r="4239" spans="1:16" x14ac:dyDescent="0.3">
      <c r="A4239" s="3" t="str">
        <f t="shared" si="66"/>
        <v>STM</v>
      </c>
      <c r="C4239" s="3" t="s">
        <v>850</v>
      </c>
      <c r="D4239" s="3" t="s">
        <v>772</v>
      </c>
      <c r="E4239" s="3" t="s">
        <v>1244</v>
      </c>
      <c r="F4239" s="3" t="s">
        <v>0</v>
      </c>
      <c r="G4239" s="3">
        <v>10.3358844277891</v>
      </c>
      <c r="H4239" s="3">
        <v>11.5169081736172</v>
      </c>
      <c r="I4239" s="3">
        <v>10.738299904443499</v>
      </c>
      <c r="J4239" s="3">
        <v>11.5169081736172</v>
      </c>
      <c r="K4239" s="3">
        <v>11.5169081736172</v>
      </c>
      <c r="L4239" s="3">
        <v>11.5169081736172</v>
      </c>
      <c r="M4239" s="3">
        <v>11.5169081736172</v>
      </c>
      <c r="N4239" s="3">
        <v>11.5169081736172</v>
      </c>
      <c r="O4239" s="3">
        <v>11.6093976776168</v>
      </c>
      <c r="P4239" s="3">
        <v>12.2118335729443</v>
      </c>
    </row>
    <row r="4240" spans="1:16" x14ac:dyDescent="0.3">
      <c r="A4240" s="3" t="str">
        <f t="shared" si="66"/>
        <v>STM</v>
      </c>
      <c r="C4240" s="3" t="s">
        <v>850</v>
      </c>
      <c r="D4240" s="3" t="s">
        <v>772</v>
      </c>
      <c r="E4240" s="3" t="s">
        <v>1244</v>
      </c>
      <c r="F4240" s="3" t="s">
        <v>1</v>
      </c>
      <c r="G4240" s="3">
        <v>3.3527674335094901</v>
      </c>
      <c r="H4240" s="3">
        <v>3.8077772433938</v>
      </c>
      <c r="I4240" s="3">
        <v>3.3527674335094901</v>
      </c>
      <c r="J4240" s="3">
        <v>3.8772157282907802</v>
      </c>
      <c r="K4240" s="3">
        <v>3.87721572829079</v>
      </c>
      <c r="L4240" s="3">
        <v>3.87721572829079</v>
      </c>
      <c r="M4240" s="3">
        <v>3.87721572829079</v>
      </c>
      <c r="N4240" s="3">
        <v>3.87721572829079</v>
      </c>
      <c r="O4240" s="3">
        <v>3.9083527100399702</v>
      </c>
      <c r="P4240" s="3">
        <v>4.1111652959735503</v>
      </c>
    </row>
    <row r="4241" spans="1:16" x14ac:dyDescent="0.3">
      <c r="A4241" s="3" t="str">
        <f t="shared" si="66"/>
        <v>STM</v>
      </c>
      <c r="C4241" s="3" t="s">
        <v>850</v>
      </c>
      <c r="D4241" s="3" t="s">
        <v>772</v>
      </c>
      <c r="E4241" s="3" t="s">
        <v>1244</v>
      </c>
      <c r="F4241" s="3" t="s">
        <v>2</v>
      </c>
      <c r="H4241" s="3">
        <v>2.6267172425130498</v>
      </c>
      <c r="J4241" s="3">
        <v>2.6267172425130498</v>
      </c>
      <c r="K4241" s="3">
        <v>2.6267172425130498</v>
      </c>
      <c r="L4241" s="3">
        <v>2.6267172425130498</v>
      </c>
      <c r="M4241" s="3">
        <v>2.6267172425130498</v>
      </c>
      <c r="N4241" s="3">
        <v>2.6267172425130498</v>
      </c>
      <c r="O4241" s="3">
        <v>2.6478117733754001</v>
      </c>
      <c r="P4241" s="3">
        <v>2.7852122570738498</v>
      </c>
    </row>
    <row r="4242" spans="1:16" x14ac:dyDescent="0.3">
      <c r="A4242" s="3" t="str">
        <f t="shared" si="66"/>
        <v>STM</v>
      </c>
      <c r="C4242" s="3" t="s">
        <v>850</v>
      </c>
      <c r="D4242" s="3" t="s">
        <v>772</v>
      </c>
      <c r="E4242" s="3" t="s">
        <v>1244</v>
      </c>
      <c r="F4242" s="3" t="s">
        <v>3</v>
      </c>
      <c r="G4242" s="3">
        <v>2.2939180796432101E-2</v>
      </c>
      <c r="H4242" s="3">
        <v>0.44311466549967998</v>
      </c>
      <c r="I4242" s="3">
        <v>2.2939180796432E-2</v>
      </c>
      <c r="J4242" s="3">
        <v>0.49469753999458299</v>
      </c>
      <c r="K4242" s="3">
        <v>0.49469753999458299</v>
      </c>
      <c r="L4242" s="3">
        <v>0.49469753999458299</v>
      </c>
      <c r="M4242" s="3">
        <v>0.49469753999458299</v>
      </c>
      <c r="N4242" s="3">
        <v>0.49469753999458299</v>
      </c>
      <c r="O4242" s="3">
        <v>0.49867033628801199</v>
      </c>
      <c r="P4242" s="3">
        <v>0.524547381666014</v>
      </c>
    </row>
    <row r="4243" spans="1:16" x14ac:dyDescent="0.3">
      <c r="A4243" s="3" t="str">
        <f t="shared" si="66"/>
        <v>STM</v>
      </c>
      <c r="C4243" s="3" t="s">
        <v>850</v>
      </c>
      <c r="D4243" s="3" t="s">
        <v>772</v>
      </c>
      <c r="E4243" s="3" t="s">
        <v>1244</v>
      </c>
      <c r="F4243" s="3" t="s">
        <v>4</v>
      </c>
      <c r="G4243" s="3">
        <v>0.135817146724341</v>
      </c>
      <c r="H4243" s="3">
        <v>1.28098442150881</v>
      </c>
      <c r="I4243" s="3">
        <v>0.135817146724342</v>
      </c>
      <c r="J4243" s="3">
        <v>1.50318757317916</v>
      </c>
      <c r="K4243" s="3">
        <v>1.50318757317916</v>
      </c>
      <c r="L4243" s="3">
        <v>1.50318757317916</v>
      </c>
      <c r="M4243" s="3">
        <v>3.8734729851254599</v>
      </c>
      <c r="N4243" s="3">
        <v>3.8734729851254599</v>
      </c>
      <c r="O4243" s="3">
        <v>3.8734729851254599</v>
      </c>
      <c r="P4243" s="3">
        <v>3.8734729851254599</v>
      </c>
    </row>
    <row r="4244" spans="1:16" x14ac:dyDescent="0.3">
      <c r="A4244" s="3" t="str">
        <f t="shared" si="66"/>
        <v>STM</v>
      </c>
      <c r="C4244" s="3" t="s">
        <v>850</v>
      </c>
      <c r="D4244" s="3" t="s">
        <v>772</v>
      </c>
      <c r="E4244" s="3" t="s">
        <v>1244</v>
      </c>
      <c r="F4244" s="3" t="s">
        <v>5</v>
      </c>
      <c r="H4244" s="3">
        <v>1.9527235476098801</v>
      </c>
      <c r="J4244" s="3">
        <v>2.0817447324507299</v>
      </c>
      <c r="K4244" s="3">
        <v>2.0817447324507299</v>
      </c>
      <c r="L4244" s="3">
        <v>2.0817447324507299</v>
      </c>
      <c r="M4244" s="3">
        <v>2.0817447324507299</v>
      </c>
      <c r="N4244" s="3">
        <v>2.0817447324507299</v>
      </c>
      <c r="O4244" s="3">
        <v>2.0984627208948101</v>
      </c>
      <c r="P4244" s="3">
        <v>2.2073563347737801</v>
      </c>
    </row>
    <row r="4245" spans="1:16" x14ac:dyDescent="0.3">
      <c r="A4245" s="3" t="str">
        <f t="shared" si="66"/>
        <v>STM</v>
      </c>
      <c r="C4245" s="3" t="s">
        <v>850</v>
      </c>
      <c r="D4245" s="3" t="s">
        <v>772</v>
      </c>
      <c r="E4245" s="3" t="s">
        <v>1244</v>
      </c>
      <c r="F4245" s="3" t="s">
        <v>6</v>
      </c>
      <c r="J4245" s="3">
        <v>0.429322354592099</v>
      </c>
      <c r="K4245" s="3">
        <v>0.429322354592099</v>
      </c>
      <c r="L4245" s="3">
        <v>0.429322354592099</v>
      </c>
      <c r="M4245" s="3">
        <v>0.429322354592099</v>
      </c>
      <c r="N4245" s="3">
        <v>1.6469191870719699</v>
      </c>
      <c r="O4245" s="3">
        <v>1.6609717285105901</v>
      </c>
      <c r="P4245" s="3">
        <v>1.8979633562329901</v>
      </c>
    </row>
    <row r="4246" spans="1:16" x14ac:dyDescent="0.3">
      <c r="A4246" s="3" t="str">
        <f t="shared" si="66"/>
        <v>STM</v>
      </c>
      <c r="C4246" s="3" t="s">
        <v>850</v>
      </c>
      <c r="D4246" s="3" t="s">
        <v>772</v>
      </c>
      <c r="E4246" s="3" t="s">
        <v>1244</v>
      </c>
      <c r="F4246" s="3" t="s">
        <v>7</v>
      </c>
      <c r="H4246" s="3">
        <v>0.106492816154867</v>
      </c>
      <c r="I4246" s="3">
        <v>9.8027934186472293E-2</v>
      </c>
      <c r="J4246" s="3">
        <v>0.106492816154867</v>
      </c>
      <c r="K4246" s="3">
        <v>0.106492816154867</v>
      </c>
      <c r="L4246" s="3">
        <v>0.106492816154867</v>
      </c>
      <c r="M4246" s="3">
        <v>0.106492816154867</v>
      </c>
      <c r="N4246" s="3">
        <v>0.106492816154867</v>
      </c>
      <c r="O4246" s="3">
        <v>0.10734803420446801</v>
      </c>
      <c r="P4246" s="3">
        <v>0.112918547929078</v>
      </c>
    </row>
    <row r="4247" spans="1:16" x14ac:dyDescent="0.3">
      <c r="A4247" s="3" t="str">
        <f t="shared" si="66"/>
        <v>STM</v>
      </c>
      <c r="C4247" s="3" t="s">
        <v>850</v>
      </c>
      <c r="D4247" s="3" t="s">
        <v>772</v>
      </c>
      <c r="E4247" s="3" t="s">
        <v>1244</v>
      </c>
      <c r="F4247" s="3" t="s">
        <v>8</v>
      </c>
      <c r="G4247" s="3">
        <v>0.53389104766039397</v>
      </c>
      <c r="H4247" s="3">
        <v>1.4642542440364199</v>
      </c>
      <c r="I4247" s="3">
        <v>1.35921037286061</v>
      </c>
      <c r="J4247" s="3">
        <v>1.4642542440364299</v>
      </c>
      <c r="K4247" s="3">
        <v>1.4642542440364199</v>
      </c>
      <c r="L4247" s="3">
        <v>1.4642542440364199</v>
      </c>
      <c r="M4247" s="3">
        <v>1.4642542440364199</v>
      </c>
      <c r="N4247" s="3">
        <v>1.4642542440364199</v>
      </c>
      <c r="O4247" s="3">
        <v>1.47601331571769</v>
      </c>
      <c r="P4247" s="3">
        <v>1.55260672978294</v>
      </c>
    </row>
    <row r="4248" spans="1:16" x14ac:dyDescent="0.3">
      <c r="A4248" s="3" t="str">
        <f t="shared" si="66"/>
        <v>RFL</v>
      </c>
      <c r="C4248" s="3" t="s">
        <v>850</v>
      </c>
      <c r="D4248" s="3" t="s">
        <v>772</v>
      </c>
      <c r="E4248" s="3" t="s">
        <v>1099</v>
      </c>
      <c r="F4248" s="3" t="s">
        <v>0</v>
      </c>
      <c r="G4248" s="3">
        <v>0.45567672531992698</v>
      </c>
      <c r="I4248" s="3">
        <v>0.45567672531992698</v>
      </c>
    </row>
    <row r="4249" spans="1:16" x14ac:dyDescent="0.3">
      <c r="A4249" s="3" t="str">
        <f t="shared" si="66"/>
        <v>RFL</v>
      </c>
      <c r="C4249" s="3" t="s">
        <v>850</v>
      </c>
      <c r="D4249" s="3" t="s">
        <v>772</v>
      </c>
      <c r="E4249" s="3" t="s">
        <v>1099</v>
      </c>
      <c r="F4249" s="3" t="s">
        <v>1</v>
      </c>
      <c r="G4249" s="3">
        <v>0.40206769881170001</v>
      </c>
      <c r="I4249" s="3">
        <v>0.40206769881170001</v>
      </c>
    </row>
    <row r="4250" spans="1:16" x14ac:dyDescent="0.3">
      <c r="A4250" s="3" t="str">
        <f t="shared" si="66"/>
        <v>RFL</v>
      </c>
      <c r="C4250" s="3" t="s">
        <v>850</v>
      </c>
      <c r="D4250" s="3" t="s">
        <v>772</v>
      </c>
      <c r="E4250" s="3" t="s">
        <v>1099</v>
      </c>
      <c r="F4250" s="3" t="s">
        <v>7</v>
      </c>
      <c r="G4250" s="3">
        <v>9.8027934186472293E-2</v>
      </c>
    </row>
    <row r="4251" spans="1:16" x14ac:dyDescent="0.3">
      <c r="A4251" s="3" t="str">
        <f t="shared" si="66"/>
        <v>RFL</v>
      </c>
      <c r="C4251" s="3" t="s">
        <v>850</v>
      </c>
      <c r="D4251" s="3" t="s">
        <v>772</v>
      </c>
      <c r="E4251" s="3" t="s">
        <v>1099</v>
      </c>
      <c r="F4251" s="3" t="s">
        <v>8</v>
      </c>
      <c r="G4251" s="3">
        <v>0.75971648994515995</v>
      </c>
    </row>
    <row r="4252" spans="1:16" x14ac:dyDescent="0.3">
      <c r="A4252" s="3" t="str">
        <f t="shared" si="66"/>
        <v>ELC</v>
      </c>
      <c r="C4252" s="3" t="s">
        <v>850</v>
      </c>
      <c r="D4252" s="3" t="s">
        <v>772</v>
      </c>
      <c r="E4252" s="3" t="s">
        <v>1186</v>
      </c>
      <c r="F4252" s="3" t="s">
        <v>0</v>
      </c>
      <c r="G4252" s="3">
        <v>7.8696949549888401E-2</v>
      </c>
    </row>
    <row r="4253" spans="1:16" x14ac:dyDescent="0.3">
      <c r="A4253" s="3" t="str">
        <f t="shared" si="66"/>
        <v>ELC</v>
      </c>
      <c r="C4253" s="3" t="s">
        <v>850</v>
      </c>
      <c r="D4253" s="3" t="s">
        <v>772</v>
      </c>
      <c r="E4253" s="3" t="s">
        <v>1186</v>
      </c>
      <c r="F4253" s="3" t="s">
        <v>1</v>
      </c>
      <c r="G4253" s="3">
        <v>6.9438484896984898E-2</v>
      </c>
      <c r="H4253" s="3">
        <v>6.9438484896984898E-2</v>
      </c>
      <c r="I4253" s="3">
        <v>6.9438484896984898E-2</v>
      </c>
    </row>
    <row r="4254" spans="1:16" x14ac:dyDescent="0.3">
      <c r="A4254" s="3" t="str">
        <f t="shared" si="66"/>
        <v>ELC</v>
      </c>
      <c r="C4254" s="3" t="s">
        <v>850</v>
      </c>
      <c r="D4254" s="3" t="s">
        <v>772</v>
      </c>
      <c r="E4254" s="3" t="s">
        <v>1186</v>
      </c>
      <c r="F4254" s="3" t="s">
        <v>2</v>
      </c>
      <c r="G4254" s="3">
        <v>0.26937723347338299</v>
      </c>
      <c r="I4254" s="3">
        <v>0.26937723347338299</v>
      </c>
    </row>
    <row r="4255" spans="1:16" x14ac:dyDescent="0.3">
      <c r="A4255" s="3" t="str">
        <f t="shared" ref="A4255:A4318" si="67">RIGHT(E4255,3)</f>
        <v>ELC</v>
      </c>
      <c r="C4255" s="3" t="s">
        <v>850</v>
      </c>
      <c r="D4255" s="3" t="s">
        <v>772</v>
      </c>
      <c r="E4255" s="3" t="s">
        <v>1186</v>
      </c>
      <c r="F4255" s="3" t="s">
        <v>3</v>
      </c>
      <c r="G4255" s="3">
        <v>5.1582874494903001E-2</v>
      </c>
      <c r="H4255" s="3">
        <v>5.1582874494903001E-2</v>
      </c>
      <c r="I4255" s="3">
        <v>5.1582874494903098E-2</v>
      </c>
    </row>
    <row r="4256" spans="1:16" x14ac:dyDescent="0.3">
      <c r="A4256" s="3" t="str">
        <f t="shared" si="67"/>
        <v>ELC</v>
      </c>
      <c r="C4256" s="3" t="s">
        <v>850</v>
      </c>
      <c r="D4256" s="3" t="s">
        <v>772</v>
      </c>
      <c r="E4256" s="3" t="s">
        <v>1186</v>
      </c>
      <c r="F4256" s="3" t="s">
        <v>4</v>
      </c>
      <c r="G4256" s="3">
        <v>0.22220315167035201</v>
      </c>
      <c r="H4256" s="3">
        <v>0.22220315167035201</v>
      </c>
      <c r="I4256" s="3">
        <v>0.22220315167035501</v>
      </c>
    </row>
    <row r="4257" spans="1:13" x14ac:dyDescent="0.3">
      <c r="A4257" s="3" t="str">
        <f t="shared" si="67"/>
        <v>ELC</v>
      </c>
      <c r="C4257" s="3" t="s">
        <v>850</v>
      </c>
      <c r="D4257" s="3" t="s">
        <v>772</v>
      </c>
      <c r="E4257" s="3" t="s">
        <v>1186</v>
      </c>
      <c r="F4257" s="3" t="s">
        <v>5</v>
      </c>
      <c r="G4257" s="3">
        <v>0.12902118484084901</v>
      </c>
      <c r="H4257" s="3">
        <v>0.12902118484084901</v>
      </c>
      <c r="I4257" s="3">
        <v>0.12902118484084901</v>
      </c>
    </row>
    <row r="4258" spans="1:13" x14ac:dyDescent="0.3">
      <c r="A4258" s="3" t="str">
        <f t="shared" si="67"/>
        <v>ELC</v>
      </c>
      <c r="C4258" s="3" t="s">
        <v>850</v>
      </c>
      <c r="D4258" s="3" t="s">
        <v>772</v>
      </c>
      <c r="E4258" s="3" t="s">
        <v>1186</v>
      </c>
      <c r="F4258" s="3" t="s">
        <v>6</v>
      </c>
      <c r="G4258" s="3">
        <v>9.3181966829502305E-2</v>
      </c>
      <c r="H4258" s="3">
        <v>9.3181966829502305E-2</v>
      </c>
      <c r="I4258" s="3">
        <v>9.3181966829500404E-2</v>
      </c>
    </row>
    <row r="4259" spans="1:13" x14ac:dyDescent="0.3">
      <c r="A4259" s="3" t="str">
        <f t="shared" si="67"/>
        <v>ELC</v>
      </c>
      <c r="C4259" s="3" t="s">
        <v>850</v>
      </c>
      <c r="D4259" s="3" t="s">
        <v>772</v>
      </c>
      <c r="E4259" s="3" t="s">
        <v>1186</v>
      </c>
      <c r="F4259" s="3" t="s">
        <v>7</v>
      </c>
      <c r="G4259" s="3">
        <v>8.4648819683943496E-3</v>
      </c>
      <c r="I4259" s="3">
        <v>8.4648819683943496E-3</v>
      </c>
    </row>
    <row r="4260" spans="1:13" x14ac:dyDescent="0.3">
      <c r="A4260" s="3" t="str">
        <f t="shared" si="67"/>
        <v>ELC</v>
      </c>
      <c r="C4260" s="3" t="s">
        <v>850</v>
      </c>
      <c r="D4260" s="3" t="s">
        <v>772</v>
      </c>
      <c r="E4260" s="3" t="s">
        <v>1186</v>
      </c>
      <c r="F4260" s="3" t="s">
        <v>8</v>
      </c>
      <c r="G4260" s="3">
        <v>6.5602835255056197E-2</v>
      </c>
    </row>
    <row r="4261" spans="1:13" x14ac:dyDescent="0.3">
      <c r="A4261" s="3" t="str">
        <f t="shared" si="67"/>
        <v>NGA</v>
      </c>
      <c r="C4261" s="3" t="s">
        <v>850</v>
      </c>
      <c r="D4261" s="3" t="s">
        <v>772</v>
      </c>
      <c r="E4261" s="3" t="s">
        <v>1102</v>
      </c>
      <c r="F4261" s="3" t="s">
        <v>0</v>
      </c>
      <c r="G4261" s="3">
        <v>0.64665007095829896</v>
      </c>
      <c r="I4261" s="3">
        <v>0.32293154385377498</v>
      </c>
    </row>
    <row r="4262" spans="1:13" x14ac:dyDescent="0.3">
      <c r="A4262" s="3" t="str">
        <f t="shared" si="67"/>
        <v>NGA</v>
      </c>
      <c r="C4262" s="3" t="s">
        <v>850</v>
      </c>
      <c r="D4262" s="3" t="s">
        <v>772</v>
      </c>
      <c r="E4262" s="3" t="s">
        <v>1102</v>
      </c>
      <c r="F4262" s="3" t="s">
        <v>1</v>
      </c>
      <c r="G4262" s="3">
        <v>5.2942111072609203E-2</v>
      </c>
      <c r="I4262" s="3">
        <v>5.2942111072609203E-2</v>
      </c>
    </row>
    <row r="4263" spans="1:13" x14ac:dyDescent="0.3">
      <c r="A4263" s="3" t="str">
        <f t="shared" si="67"/>
        <v>NGA</v>
      </c>
      <c r="C4263" s="3" t="s">
        <v>850</v>
      </c>
      <c r="D4263" s="3" t="s">
        <v>772</v>
      </c>
      <c r="E4263" s="3" t="s">
        <v>1102</v>
      </c>
      <c r="F4263" s="3" t="s">
        <v>2</v>
      </c>
      <c r="G4263" s="3">
        <v>0.91715484625539601</v>
      </c>
      <c r="I4263" s="3">
        <v>0.917154846255403</v>
      </c>
    </row>
    <row r="4264" spans="1:13" x14ac:dyDescent="0.3">
      <c r="A4264" s="3" t="str">
        <f t="shared" si="67"/>
        <v>NGA</v>
      </c>
      <c r="C4264" s="3" t="s">
        <v>850</v>
      </c>
      <c r="D4264" s="3" t="s">
        <v>772</v>
      </c>
      <c r="E4264" s="3" t="s">
        <v>1102</v>
      </c>
      <c r="F4264" s="3" t="s">
        <v>3</v>
      </c>
      <c r="G4264" s="3">
        <v>0.420175484703248</v>
      </c>
      <c r="I4264" s="3">
        <v>0.420175484703248</v>
      </c>
    </row>
    <row r="4265" spans="1:13" x14ac:dyDescent="0.3">
      <c r="A4265" s="3" t="str">
        <f t="shared" si="67"/>
        <v>NGA</v>
      </c>
      <c r="C4265" s="3" t="s">
        <v>850</v>
      </c>
      <c r="D4265" s="3" t="s">
        <v>772</v>
      </c>
      <c r="E4265" s="3" t="s">
        <v>1102</v>
      </c>
      <c r="F4265" s="3" t="s">
        <v>4</v>
      </c>
      <c r="G4265" s="3">
        <v>1.1451672747844699</v>
      </c>
      <c r="I4265" s="3">
        <v>1.1451672747844699</v>
      </c>
    </row>
    <row r="4266" spans="1:13" x14ac:dyDescent="0.3">
      <c r="A4266" s="3" t="str">
        <f t="shared" si="67"/>
        <v>NGA</v>
      </c>
      <c r="C4266" s="3" t="s">
        <v>850</v>
      </c>
      <c r="D4266" s="3" t="s">
        <v>772</v>
      </c>
      <c r="E4266" s="3" t="s">
        <v>1102</v>
      </c>
      <c r="F4266" s="3" t="s">
        <v>5</v>
      </c>
      <c r="G4266" s="3">
        <v>1.9527235476098801</v>
      </c>
      <c r="I4266" s="3">
        <v>1.9527235476098701</v>
      </c>
    </row>
    <row r="4267" spans="1:13" x14ac:dyDescent="0.3">
      <c r="A4267" s="3" t="str">
        <f t="shared" si="67"/>
        <v>NGA</v>
      </c>
      <c r="C4267" s="3" t="s">
        <v>850</v>
      </c>
      <c r="D4267" s="3" t="s">
        <v>772</v>
      </c>
      <c r="E4267" s="3" t="s">
        <v>1102</v>
      </c>
      <c r="F4267" s="3" t="s">
        <v>6</v>
      </c>
      <c r="G4267" s="3">
        <v>0.33614038776259603</v>
      </c>
      <c r="H4267" s="3">
        <v>0.33614038776259803</v>
      </c>
      <c r="I4267" s="3">
        <v>0.33614038776259803</v>
      </c>
    </row>
    <row r="4268" spans="1:13" x14ac:dyDescent="0.3">
      <c r="A4268" s="3" t="str">
        <f t="shared" si="67"/>
        <v>NGA</v>
      </c>
      <c r="C4268" s="3" t="s">
        <v>850</v>
      </c>
      <c r="D4268" s="3" t="s">
        <v>772</v>
      </c>
      <c r="E4268" s="3" t="s">
        <v>1102</v>
      </c>
      <c r="F4268" s="3" t="s">
        <v>8</v>
      </c>
      <c r="G4268" s="3">
        <v>0.105043871175812</v>
      </c>
      <c r="I4268" s="3">
        <v>0.105043871175812</v>
      </c>
    </row>
    <row r="4269" spans="1:13" x14ac:dyDescent="0.3">
      <c r="A4269" s="3" t="str">
        <f t="shared" si="67"/>
        <v>COA</v>
      </c>
      <c r="C4269" s="3" t="s">
        <v>850</v>
      </c>
      <c r="D4269" s="3" t="s">
        <v>772</v>
      </c>
      <c r="E4269" s="3" t="s">
        <v>1103</v>
      </c>
      <c r="F4269" s="3" t="s">
        <v>2</v>
      </c>
      <c r="G4269" s="3">
        <v>1.4401851627842699</v>
      </c>
      <c r="I4269" s="3">
        <v>1.4401851627842599</v>
      </c>
    </row>
    <row r="4270" spans="1:13" x14ac:dyDescent="0.3">
      <c r="A4270" s="3" t="str">
        <f t="shared" si="67"/>
        <v>ASP</v>
      </c>
      <c r="C4270" s="3" t="s">
        <v>850</v>
      </c>
      <c r="D4270" s="3" t="s">
        <v>1517</v>
      </c>
      <c r="E4270" s="3" t="s">
        <v>1516</v>
      </c>
      <c r="F4270" s="3" t="s">
        <v>0</v>
      </c>
      <c r="G4270" s="3">
        <v>17.022881033573299</v>
      </c>
      <c r="H4270" s="3">
        <v>16.4554516657875</v>
      </c>
      <c r="I4270" s="3">
        <v>14.1857341946444</v>
      </c>
      <c r="J4270" s="3">
        <v>11.3485873557155</v>
      </c>
      <c r="K4270" s="3">
        <v>8.5114405167866494</v>
      </c>
      <c r="L4270" s="3">
        <v>5.6742936778577704</v>
      </c>
      <c r="M4270" s="3">
        <v>2.8371468389288799</v>
      </c>
    </row>
    <row r="4271" spans="1:13" x14ac:dyDescent="0.3">
      <c r="A4271" s="3" t="str">
        <f t="shared" si="67"/>
        <v>ASP</v>
      </c>
      <c r="C4271" s="3" t="s">
        <v>850</v>
      </c>
      <c r="D4271" s="3" t="s">
        <v>1517</v>
      </c>
      <c r="E4271" s="3" t="s">
        <v>1516</v>
      </c>
      <c r="F4271" s="3" t="s">
        <v>1</v>
      </c>
      <c r="G4271" s="3">
        <v>72.011619766630304</v>
      </c>
      <c r="H4271" s="3">
        <v>69.611232441075998</v>
      </c>
      <c r="I4271" s="3">
        <v>60.009683138858598</v>
      </c>
      <c r="J4271" s="3">
        <v>48.0077465110869</v>
      </c>
      <c r="K4271" s="3">
        <v>36.005809883315202</v>
      </c>
      <c r="L4271" s="3">
        <v>24.0038732555434</v>
      </c>
      <c r="M4271" s="3">
        <v>12.0019366277717</v>
      </c>
    </row>
    <row r="4272" spans="1:13" x14ac:dyDescent="0.3">
      <c r="A4272" s="3" t="str">
        <f t="shared" si="67"/>
        <v>ASP</v>
      </c>
      <c r="C4272" s="3" t="s">
        <v>850</v>
      </c>
      <c r="D4272" s="3" t="s">
        <v>1517</v>
      </c>
      <c r="E4272" s="3" t="s">
        <v>1516</v>
      </c>
      <c r="F4272" s="3" t="s">
        <v>2</v>
      </c>
      <c r="G4272" s="3">
        <v>165.519134652698</v>
      </c>
      <c r="H4272" s="3">
        <v>160.00183016427499</v>
      </c>
      <c r="I4272" s="3">
        <v>137.93261221058199</v>
      </c>
      <c r="J4272" s="3">
        <v>110.34608976846501</v>
      </c>
      <c r="K4272" s="3">
        <v>82.759567326349</v>
      </c>
      <c r="L4272" s="3">
        <v>55.173044884232702</v>
      </c>
      <c r="M4272" s="3">
        <v>27.586522442116301</v>
      </c>
    </row>
    <row r="4273" spans="1:16" x14ac:dyDescent="0.3">
      <c r="A4273" s="3" t="str">
        <f t="shared" si="67"/>
        <v>ASP</v>
      </c>
      <c r="C4273" s="3" t="s">
        <v>850</v>
      </c>
      <c r="D4273" s="3" t="s">
        <v>1517</v>
      </c>
      <c r="E4273" s="3" t="s">
        <v>1516</v>
      </c>
      <c r="F4273" s="3" t="s">
        <v>3</v>
      </c>
      <c r="G4273" s="3">
        <v>72.3832050889024</v>
      </c>
      <c r="H4273" s="3">
        <v>69.970431585938996</v>
      </c>
      <c r="I4273" s="3">
        <v>60.319337574085303</v>
      </c>
      <c r="J4273" s="3">
        <v>48.255470059268298</v>
      </c>
      <c r="K4273" s="3">
        <v>36.1916025444512</v>
      </c>
      <c r="L4273" s="3">
        <v>24.127735029634099</v>
      </c>
      <c r="M4273" s="3">
        <v>12.063867514817099</v>
      </c>
    </row>
    <row r="4274" spans="1:16" x14ac:dyDescent="0.3">
      <c r="A4274" s="3" t="str">
        <f t="shared" si="67"/>
        <v>ASP</v>
      </c>
      <c r="C4274" s="3" t="s">
        <v>850</v>
      </c>
      <c r="D4274" s="3" t="s">
        <v>1517</v>
      </c>
      <c r="E4274" s="3" t="s">
        <v>1516</v>
      </c>
      <c r="F4274" s="3" t="s">
        <v>4</v>
      </c>
      <c r="G4274" s="3">
        <v>88.486267475764805</v>
      </c>
      <c r="H4274" s="3">
        <v>85.536725226572699</v>
      </c>
      <c r="I4274" s="3">
        <v>73.738556229804004</v>
      </c>
      <c r="J4274" s="3">
        <v>58.990844983843203</v>
      </c>
      <c r="K4274" s="3">
        <v>44.243133737882403</v>
      </c>
      <c r="L4274" s="3">
        <v>29.495422491921602</v>
      </c>
      <c r="M4274" s="3">
        <v>14.747711245960801</v>
      </c>
    </row>
    <row r="4275" spans="1:16" x14ac:dyDescent="0.3">
      <c r="A4275" s="3" t="str">
        <f t="shared" si="67"/>
        <v>ASP</v>
      </c>
      <c r="C4275" s="3" t="s">
        <v>850</v>
      </c>
      <c r="D4275" s="3" t="s">
        <v>1517</v>
      </c>
      <c r="E4275" s="3" t="s">
        <v>1516</v>
      </c>
      <c r="F4275" s="3" t="s">
        <v>5</v>
      </c>
      <c r="G4275" s="3">
        <v>62.471780712647799</v>
      </c>
      <c r="H4275" s="3">
        <v>60.3893880222262</v>
      </c>
      <c r="I4275" s="3">
        <v>52.059817260539802</v>
      </c>
      <c r="J4275" s="3">
        <v>41.647853808431897</v>
      </c>
      <c r="K4275" s="3">
        <v>31.2358903563239</v>
      </c>
      <c r="L4275" s="3">
        <v>20.823926904215899</v>
      </c>
      <c r="M4275" s="3">
        <v>10.411963452107999</v>
      </c>
    </row>
    <row r="4276" spans="1:16" x14ac:dyDescent="0.3">
      <c r="A4276" s="3" t="str">
        <f t="shared" si="67"/>
        <v>ASP</v>
      </c>
      <c r="C4276" s="3" t="s">
        <v>850</v>
      </c>
      <c r="D4276" s="3" t="s">
        <v>1517</v>
      </c>
      <c r="E4276" s="3" t="s">
        <v>1516</v>
      </c>
      <c r="F4276" s="3" t="s">
        <v>6</v>
      </c>
      <c r="G4276" s="3">
        <v>253.01262126025199</v>
      </c>
      <c r="H4276" s="3">
        <v>244.578867218244</v>
      </c>
      <c r="I4276" s="3">
        <v>210.84385105020999</v>
      </c>
      <c r="J4276" s="3">
        <v>168.67508084016799</v>
      </c>
      <c r="K4276" s="3">
        <v>126.50631063012599</v>
      </c>
      <c r="L4276" s="3">
        <v>84.337540420083997</v>
      </c>
      <c r="M4276" s="3">
        <v>42.168770210041998</v>
      </c>
    </row>
    <row r="4277" spans="1:16" x14ac:dyDescent="0.3">
      <c r="A4277" s="3" t="str">
        <f t="shared" si="67"/>
        <v>ASP</v>
      </c>
      <c r="C4277" s="3" t="s">
        <v>850</v>
      </c>
      <c r="D4277" s="3" t="s">
        <v>1517</v>
      </c>
      <c r="E4277" s="3" t="s">
        <v>1516</v>
      </c>
      <c r="F4277" s="3" t="s">
        <v>7</v>
      </c>
      <c r="G4277" s="3">
        <v>108.139992650035</v>
      </c>
      <c r="H4277" s="3">
        <v>104.535326228367</v>
      </c>
      <c r="I4277" s="3">
        <v>90.116660541695794</v>
      </c>
      <c r="J4277" s="3">
        <v>72.093328433356703</v>
      </c>
      <c r="K4277" s="3">
        <v>54.069996325017499</v>
      </c>
      <c r="L4277" s="3">
        <v>36.046664216678302</v>
      </c>
      <c r="M4277" s="3">
        <v>18.023332108339201</v>
      </c>
    </row>
    <row r="4278" spans="1:16" x14ac:dyDescent="0.3">
      <c r="A4278" s="3" t="str">
        <f t="shared" si="67"/>
        <v>ASP</v>
      </c>
      <c r="C4278" s="3" t="s">
        <v>850</v>
      </c>
      <c r="D4278" s="3" t="s">
        <v>1517</v>
      </c>
      <c r="E4278" s="3" t="s">
        <v>1516</v>
      </c>
      <c r="F4278" s="3" t="s">
        <v>8</v>
      </c>
      <c r="G4278" s="3">
        <v>230.64166690338101</v>
      </c>
      <c r="H4278" s="3">
        <v>222.95361133993501</v>
      </c>
      <c r="I4278" s="3">
        <v>192.20138908615101</v>
      </c>
      <c r="J4278" s="3">
        <v>196.08280855631142</v>
      </c>
      <c r="K4278" s="3">
        <v>249.08280855631148</v>
      </c>
      <c r="L4278" s="3">
        <v>302.08280855631097</v>
      </c>
      <c r="M4278" s="3">
        <v>355.08280855631097</v>
      </c>
      <c r="N4278" s="3">
        <v>408.08280855631097</v>
      </c>
      <c r="O4278" s="3">
        <v>461.08280855631097</v>
      </c>
      <c r="P4278" s="3">
        <v>514.08280855631085</v>
      </c>
    </row>
    <row r="4279" spans="1:16" x14ac:dyDescent="0.3">
      <c r="A4279" s="3" t="str">
        <f t="shared" si="67"/>
        <v>BIO</v>
      </c>
      <c r="C4279" s="3" t="s">
        <v>850</v>
      </c>
      <c r="D4279" s="3" t="s">
        <v>1517</v>
      </c>
      <c r="E4279" s="3" t="s">
        <v>1521</v>
      </c>
      <c r="F4279" s="3" t="s">
        <v>0</v>
      </c>
      <c r="G4279" s="3">
        <v>0.42573658820659499</v>
      </c>
      <c r="H4279" s="3">
        <v>2.4775407882010581</v>
      </c>
      <c r="I4279" s="3">
        <v>10.684757588178693</v>
      </c>
      <c r="J4279" s="3">
        <v>13.73742276697079</v>
      </c>
      <c r="K4279" s="3">
        <v>22.232677754659086</v>
      </c>
      <c r="L4279" s="3">
        <v>30.341215751260396</v>
      </c>
      <c r="M4279" s="3">
        <v>38.605696366071896</v>
      </c>
      <c r="N4279" s="3">
        <v>47.00527884969619</v>
      </c>
      <c r="O4279" s="3">
        <v>50.723316281310645</v>
      </c>
      <c r="P4279" s="3">
        <v>54.84254220283205</v>
      </c>
    </row>
    <row r="4280" spans="1:16" x14ac:dyDescent="0.3">
      <c r="A4280" s="3" t="str">
        <f t="shared" si="67"/>
        <v>BIO</v>
      </c>
      <c r="C4280" s="3" t="s">
        <v>850</v>
      </c>
      <c r="D4280" s="3" t="s">
        <v>1517</v>
      </c>
      <c r="E4280" s="3" t="s">
        <v>1521</v>
      </c>
      <c r="F4280" s="3" t="s">
        <v>1</v>
      </c>
      <c r="G4280" s="3">
        <v>1.8009866397004499</v>
      </c>
      <c r="H4280" s="3">
        <v>10.48070093683752</v>
      </c>
      <c r="I4280" s="3">
        <v>18.929479198806867</v>
      </c>
      <c r="J4280" s="3">
        <v>31.84311959237159</v>
      </c>
      <c r="K4280" s="3">
        <v>58.88992497430911</v>
      </c>
      <c r="L4280" s="3">
        <v>58.589760534359044</v>
      </c>
      <c r="M4280" s="3">
        <v>58.289596094408964</v>
      </c>
      <c r="N4280" s="3">
        <v>54.74699999999995</v>
      </c>
      <c r="O4280" s="3">
        <v>40.7483396784205</v>
      </c>
      <c r="P4280" s="3">
        <v>27.534534844905703</v>
      </c>
    </row>
    <row r="4281" spans="1:16" x14ac:dyDescent="0.3">
      <c r="A4281" s="3" t="str">
        <f t="shared" si="67"/>
        <v>BIO</v>
      </c>
      <c r="C4281" s="3" t="s">
        <v>850</v>
      </c>
      <c r="D4281" s="3" t="s">
        <v>1517</v>
      </c>
      <c r="E4281" s="3" t="s">
        <v>1521</v>
      </c>
      <c r="F4281" s="3" t="s">
        <v>2</v>
      </c>
      <c r="G4281" s="3">
        <v>4.1395784609531399</v>
      </c>
      <c r="H4281" s="3">
        <v>4.0015925122546996</v>
      </c>
      <c r="I4281" s="3">
        <v>3.44964871746095</v>
      </c>
      <c r="J4281" s="3">
        <v>33.131727666469359</v>
      </c>
      <c r="K4281" s="3">
        <v>115.73391770956188</v>
      </c>
      <c r="L4281" s="3">
        <v>194.57592981368128</v>
      </c>
      <c r="M4281" s="3">
        <v>251.15634020393298</v>
      </c>
      <c r="N4281" s="3">
        <v>340.28102303317053</v>
      </c>
      <c r="O4281" s="3">
        <v>366.88412587094535</v>
      </c>
      <c r="P4281" s="3">
        <v>336.51211717844467</v>
      </c>
    </row>
    <row r="4282" spans="1:16" x14ac:dyDescent="0.3">
      <c r="A4282" s="3" t="str">
        <f t="shared" si="67"/>
        <v>BIO</v>
      </c>
      <c r="C4282" s="3" t="s">
        <v>850</v>
      </c>
      <c r="D4282" s="3" t="s">
        <v>1517</v>
      </c>
      <c r="E4282" s="3" t="s">
        <v>1521</v>
      </c>
      <c r="F4282" s="3" t="s">
        <v>3</v>
      </c>
      <c r="G4282" s="3">
        <v>1.81027986492007</v>
      </c>
      <c r="H4282" s="3">
        <v>1.74993720275607</v>
      </c>
      <c r="I4282" s="3">
        <v>1.5085665541000599</v>
      </c>
      <c r="J4282" s="3">
        <v>3.7775902321937003</v>
      </c>
      <c r="K4282" s="3">
        <v>39.900370086180182</v>
      </c>
      <c r="L4282" s="3">
        <v>39.598656775360169</v>
      </c>
      <c r="M4282" s="3">
        <v>39.296943464540163</v>
      </c>
      <c r="N4282" s="3">
        <v>38.995230153720151</v>
      </c>
      <c r="O4282" s="3">
        <v>39.697565571515355</v>
      </c>
      <c r="P4282" s="3">
        <v>67.924229630734104</v>
      </c>
    </row>
    <row r="4283" spans="1:16" x14ac:dyDescent="0.3">
      <c r="A4283" s="3" t="str">
        <f t="shared" si="67"/>
        <v>BIO</v>
      </c>
      <c r="C4283" s="3" t="s">
        <v>850</v>
      </c>
      <c r="D4283" s="3" t="s">
        <v>1517</v>
      </c>
      <c r="E4283" s="3" t="s">
        <v>1521</v>
      </c>
      <c r="F4283" s="3" t="s">
        <v>4</v>
      </c>
      <c r="G4283" s="3">
        <v>2.2130120949544398</v>
      </c>
      <c r="H4283" s="3">
        <v>12.878450858846429</v>
      </c>
      <c r="I4283" s="3">
        <v>20.673965885037578</v>
      </c>
      <c r="J4283" s="3">
        <v>36.541958323674798</v>
      </c>
      <c r="K4283" s="3">
        <v>80.70095841495403</v>
      </c>
      <c r="L4283" s="3">
        <v>122.84977332998426</v>
      </c>
      <c r="M4283" s="3">
        <v>165.80919017535848</v>
      </c>
      <c r="N4283" s="3">
        <v>164.51591079817646</v>
      </c>
      <c r="O4283" s="3">
        <v>154.09770187840783</v>
      </c>
      <c r="P4283" s="3">
        <v>137.86087409061153</v>
      </c>
    </row>
    <row r="4284" spans="1:16" x14ac:dyDescent="0.3">
      <c r="A4284" s="3" t="str">
        <f t="shared" si="67"/>
        <v>BIO</v>
      </c>
      <c r="C4284" s="3" t="s">
        <v>850</v>
      </c>
      <c r="D4284" s="3" t="s">
        <v>1517</v>
      </c>
      <c r="E4284" s="3" t="s">
        <v>1521</v>
      </c>
      <c r="F4284" s="3" t="s">
        <v>5</v>
      </c>
      <c r="G4284" s="3">
        <v>1.5623984405071201</v>
      </c>
      <c r="H4284" s="3">
        <v>1.51031849249022</v>
      </c>
      <c r="I4284" s="3">
        <v>1.3019987004225999</v>
      </c>
      <c r="J4284" s="3">
        <v>12.50488669937598</v>
      </c>
      <c r="K4284" s="3">
        <v>43.681378248732358</v>
      </c>
      <c r="L4284" s="3">
        <v>73.438668252979738</v>
      </c>
      <c r="M4284" s="3">
        <v>103.76824757942711</v>
      </c>
      <c r="N4284" s="3">
        <v>113.21503935772941</v>
      </c>
      <c r="O4284" s="3">
        <v>116.97975684886644</v>
      </c>
      <c r="P4284" s="3">
        <v>105.51646910982852</v>
      </c>
    </row>
    <row r="4285" spans="1:16" x14ac:dyDescent="0.3">
      <c r="A4285" s="3" t="str">
        <f t="shared" si="67"/>
        <v>BIO</v>
      </c>
      <c r="C4285" s="3" t="s">
        <v>850</v>
      </c>
      <c r="D4285" s="3" t="s">
        <v>1517</v>
      </c>
      <c r="E4285" s="3" t="s">
        <v>1521</v>
      </c>
      <c r="F4285" s="3" t="s">
        <v>6</v>
      </c>
      <c r="G4285" s="3">
        <v>6.32776143686272</v>
      </c>
      <c r="H4285" s="3">
        <v>6.1168360556339598</v>
      </c>
      <c r="I4285" s="3">
        <v>5.2731345307189299</v>
      </c>
      <c r="J4285" s="3">
        <v>8.9031790371866695</v>
      </c>
      <c r="K4285" s="3">
        <v>7.8485521310428794</v>
      </c>
      <c r="L4285" s="3">
        <v>6.7939252248990893</v>
      </c>
      <c r="M4285" s="3">
        <v>5.7392983187553099</v>
      </c>
      <c r="N4285" s="3">
        <v>4.6846714126115199</v>
      </c>
      <c r="O4285" s="3">
        <v>4.6846714126115199</v>
      </c>
    </row>
    <row r="4286" spans="1:16" x14ac:dyDescent="0.3">
      <c r="A4286" s="3" t="str">
        <f t="shared" si="67"/>
        <v>BIO</v>
      </c>
      <c r="C4286" s="3" t="s">
        <v>850</v>
      </c>
      <c r="D4286" s="3" t="s">
        <v>1517</v>
      </c>
      <c r="E4286" s="3" t="s">
        <v>1521</v>
      </c>
      <c r="F4286" s="3" t="s">
        <v>7</v>
      </c>
      <c r="G4286" s="3">
        <v>2.7045452193851101</v>
      </c>
      <c r="H4286" s="3">
        <v>2.6143937120722698</v>
      </c>
      <c r="I4286" s="3">
        <v>2.25378768282093</v>
      </c>
      <c r="J4286" s="3">
        <v>21.646227149825542</v>
      </c>
      <c r="K4286" s="3">
        <v>41.932330216408062</v>
      </c>
      <c r="L4286" s="3">
        <v>41.481572679843865</v>
      </c>
      <c r="M4286" s="3">
        <v>41.030815143279682</v>
      </c>
      <c r="N4286" s="3">
        <v>40.580057606715499</v>
      </c>
      <c r="O4286" s="3">
        <v>40.580057606715499</v>
      </c>
      <c r="P4286" s="3">
        <v>20.736860603146699</v>
      </c>
    </row>
    <row r="4287" spans="1:16" x14ac:dyDescent="0.3">
      <c r="A4287" s="3" t="str">
        <f t="shared" si="67"/>
        <v>BIO</v>
      </c>
      <c r="C4287" s="3" t="s">
        <v>850</v>
      </c>
      <c r="D4287" s="3" t="s">
        <v>1517</v>
      </c>
      <c r="E4287" s="3" t="s">
        <v>1521</v>
      </c>
      <c r="F4287" s="3" t="s">
        <v>8</v>
      </c>
      <c r="G4287" s="3">
        <v>5.7682713150651503</v>
      </c>
      <c r="H4287" s="3">
        <v>33.568003916893581</v>
      </c>
      <c r="I4287" s="3">
        <v>144.76693432420589</v>
      </c>
      <c r="J4287" s="3">
        <v>143.80555577169503</v>
      </c>
      <c r="K4287" s="3">
        <v>167.4668149543034</v>
      </c>
      <c r="L4287" s="3">
        <v>177.91403980739619</v>
      </c>
      <c r="M4287" s="3">
        <v>176.95266125488536</v>
      </c>
      <c r="N4287" s="3">
        <v>165.60629422373358</v>
      </c>
      <c r="O4287" s="3">
        <v>160.3023587786569</v>
      </c>
      <c r="P4287" s="3">
        <v>160.3023587786569</v>
      </c>
    </row>
    <row r="4288" spans="1:16" x14ac:dyDescent="0.3">
      <c r="A4288" s="3" t="str">
        <f t="shared" si="67"/>
        <v>LPG</v>
      </c>
      <c r="C4288" s="3" t="s">
        <v>850</v>
      </c>
      <c r="D4288" s="3" t="s">
        <v>1517</v>
      </c>
      <c r="E4288" s="3" t="s">
        <v>1519</v>
      </c>
      <c r="F4288" s="3" t="s">
        <v>0</v>
      </c>
      <c r="G4288" s="3">
        <v>1.97149274512661</v>
      </c>
      <c r="H4288" s="3">
        <v>1.9057763202890601</v>
      </c>
      <c r="I4288" s="3">
        <v>1.64291062093884</v>
      </c>
      <c r="J4288" s="3">
        <v>1.31432849675107</v>
      </c>
      <c r="K4288" s="3">
        <v>0.985746372563305</v>
      </c>
      <c r="L4288" s="3">
        <v>0.657164248375537</v>
      </c>
      <c r="M4288" s="3">
        <v>0.328582124187768</v>
      </c>
    </row>
    <row r="4289" spans="1:13" x14ac:dyDescent="0.3">
      <c r="A4289" s="3" t="str">
        <f t="shared" si="67"/>
        <v>LPG</v>
      </c>
      <c r="C4289" s="3" t="s">
        <v>850</v>
      </c>
      <c r="D4289" s="3" t="s">
        <v>1517</v>
      </c>
      <c r="E4289" s="3" t="s">
        <v>1519</v>
      </c>
      <c r="F4289" s="3" t="s">
        <v>1</v>
      </c>
      <c r="G4289" s="3">
        <v>8.3399740416870092</v>
      </c>
      <c r="H4289" s="3">
        <v>8.0619749069641102</v>
      </c>
      <c r="I4289" s="3">
        <v>6.94997836807251</v>
      </c>
      <c r="J4289" s="3">
        <v>5.55998269445801</v>
      </c>
      <c r="K4289" s="3">
        <v>4.1699870208435001</v>
      </c>
      <c r="L4289" s="3">
        <v>2.7799913472290001</v>
      </c>
      <c r="M4289" s="3">
        <v>1.3899956736145</v>
      </c>
    </row>
    <row r="4290" spans="1:13" x14ac:dyDescent="0.3">
      <c r="A4290" s="3" t="str">
        <f t="shared" si="67"/>
        <v>LPG</v>
      </c>
      <c r="C4290" s="3" t="s">
        <v>850</v>
      </c>
      <c r="D4290" s="3" t="s">
        <v>1517</v>
      </c>
      <c r="E4290" s="3" t="s">
        <v>1519</v>
      </c>
      <c r="F4290" s="3" t="s">
        <v>2</v>
      </c>
      <c r="G4290" s="3">
        <v>19.169479743402199</v>
      </c>
      <c r="H4290" s="3">
        <v>18.5304970852888</v>
      </c>
      <c r="I4290" s="3">
        <v>15.9745664528352</v>
      </c>
      <c r="J4290" s="3">
        <v>12.779653162268101</v>
      </c>
      <c r="K4290" s="3">
        <v>9.5847398717010996</v>
      </c>
      <c r="L4290" s="3">
        <v>6.38982658113407</v>
      </c>
      <c r="M4290" s="3">
        <v>3.1949132905670301</v>
      </c>
    </row>
    <row r="4291" spans="1:13" x14ac:dyDescent="0.3">
      <c r="A4291" s="3" t="str">
        <f t="shared" si="67"/>
        <v>LPG</v>
      </c>
      <c r="C4291" s="3" t="s">
        <v>850</v>
      </c>
      <c r="D4291" s="3" t="s">
        <v>1517</v>
      </c>
      <c r="E4291" s="3" t="s">
        <v>1519</v>
      </c>
      <c r="F4291" s="3" t="s">
        <v>3</v>
      </c>
      <c r="G4291" s="3">
        <v>8.3830089290019192</v>
      </c>
      <c r="H4291" s="3">
        <v>8.1035752980351905</v>
      </c>
      <c r="I4291" s="3">
        <v>6.9858407741682704</v>
      </c>
      <c r="J4291" s="3">
        <v>5.5886726193346101</v>
      </c>
      <c r="K4291" s="3">
        <v>4.1915044645009596</v>
      </c>
      <c r="L4291" s="3">
        <v>2.7943363096673099</v>
      </c>
      <c r="M4291" s="3">
        <v>1.3971681548336501</v>
      </c>
    </row>
    <row r="4292" spans="1:13" x14ac:dyDescent="0.3">
      <c r="A4292" s="3" t="str">
        <f t="shared" si="67"/>
        <v>LPG</v>
      </c>
      <c r="C4292" s="3" t="s">
        <v>850</v>
      </c>
      <c r="D4292" s="3" t="s">
        <v>1517</v>
      </c>
      <c r="E4292" s="3" t="s">
        <v>1519</v>
      </c>
      <c r="F4292" s="3" t="s">
        <v>4</v>
      </c>
      <c r="G4292" s="3">
        <v>10.2479735379543</v>
      </c>
      <c r="H4292" s="3">
        <v>9.9063744200224892</v>
      </c>
      <c r="I4292" s="3">
        <v>8.5399779482952507</v>
      </c>
      <c r="J4292" s="3">
        <v>6.8319823586361998</v>
      </c>
      <c r="K4292" s="3">
        <v>5.1239867689771499</v>
      </c>
      <c r="L4292" s="3">
        <v>3.4159911793180999</v>
      </c>
      <c r="M4292" s="3">
        <v>1.70799558965905</v>
      </c>
    </row>
    <row r="4293" spans="1:13" x14ac:dyDescent="0.3">
      <c r="A4293" s="3" t="str">
        <f t="shared" si="67"/>
        <v>LPG</v>
      </c>
      <c r="C4293" s="3" t="s">
        <v>850</v>
      </c>
      <c r="D4293" s="3" t="s">
        <v>1517</v>
      </c>
      <c r="E4293" s="3" t="s">
        <v>1519</v>
      </c>
      <c r="F4293" s="3" t="s">
        <v>5</v>
      </c>
      <c r="G4293" s="3">
        <v>7.2351244308891198</v>
      </c>
      <c r="H4293" s="3">
        <v>6.9939536165261504</v>
      </c>
      <c r="I4293" s="3">
        <v>6.0292703590742702</v>
      </c>
      <c r="J4293" s="3">
        <v>4.82341628725941</v>
      </c>
      <c r="K4293" s="3">
        <v>3.6175622154445599</v>
      </c>
      <c r="L4293" s="3">
        <v>2.4117081436297099</v>
      </c>
      <c r="M4293" s="3">
        <v>1.20585407181485</v>
      </c>
    </row>
    <row r="4294" spans="1:13" x14ac:dyDescent="0.3">
      <c r="A4294" s="3" t="str">
        <f t="shared" si="67"/>
        <v>LPG</v>
      </c>
      <c r="C4294" s="3" t="s">
        <v>850</v>
      </c>
      <c r="D4294" s="3" t="s">
        <v>1517</v>
      </c>
      <c r="E4294" s="3" t="s">
        <v>1519</v>
      </c>
      <c r="F4294" s="3" t="s">
        <v>6</v>
      </c>
      <c r="G4294" s="3">
        <v>29.302475077883201</v>
      </c>
      <c r="H4294" s="3">
        <v>28.325725908620399</v>
      </c>
      <c r="I4294" s="3">
        <v>24.418729231569301</v>
      </c>
      <c r="J4294" s="3">
        <v>19.534983385255501</v>
      </c>
      <c r="K4294" s="3">
        <v>14.651237538941601</v>
      </c>
      <c r="L4294" s="3">
        <v>9.7674916926277309</v>
      </c>
      <c r="M4294" s="3">
        <v>4.8837458463138699</v>
      </c>
    </row>
    <row r="4295" spans="1:13" x14ac:dyDescent="0.3">
      <c r="A4295" s="3" t="str">
        <f t="shared" si="67"/>
        <v>LPG</v>
      </c>
      <c r="C4295" s="3" t="s">
        <v>850</v>
      </c>
      <c r="D4295" s="3" t="s">
        <v>1517</v>
      </c>
      <c r="E4295" s="3" t="s">
        <v>1519</v>
      </c>
      <c r="F4295" s="3" t="s">
        <v>7</v>
      </c>
      <c r="G4295" s="3">
        <v>12.5241556083904</v>
      </c>
      <c r="H4295" s="3">
        <v>12.1066837547774</v>
      </c>
      <c r="I4295" s="3">
        <v>10.4367963403253</v>
      </c>
      <c r="J4295" s="3">
        <v>8.3494370722602707</v>
      </c>
      <c r="K4295" s="3">
        <v>6.2620778041951999</v>
      </c>
      <c r="L4295" s="3">
        <v>4.17471853613013</v>
      </c>
      <c r="M4295" s="3">
        <v>2.0873592680650699</v>
      </c>
    </row>
    <row r="4296" spans="1:13" x14ac:dyDescent="0.3">
      <c r="A4296" s="3" t="str">
        <f t="shared" si="67"/>
        <v>LPG</v>
      </c>
      <c r="C4296" s="3" t="s">
        <v>850</v>
      </c>
      <c r="D4296" s="3" t="s">
        <v>1517</v>
      </c>
      <c r="E4296" s="3" t="s">
        <v>1519</v>
      </c>
      <c r="F4296" s="3" t="s">
        <v>8</v>
      </c>
      <c r="G4296" s="3">
        <v>26.711599060530801</v>
      </c>
      <c r="H4296" s="3">
        <v>25.821212425179802</v>
      </c>
      <c r="I4296" s="3">
        <v>22.2596658837757</v>
      </c>
      <c r="J4296" s="3">
        <v>17.807732707020499</v>
      </c>
      <c r="K4296" s="3">
        <v>13.355799530265401</v>
      </c>
      <c r="L4296" s="3">
        <v>8.9038663535102707</v>
      </c>
      <c r="M4296" s="3">
        <v>4.45193317675513</v>
      </c>
    </row>
    <row r="4297" spans="1:13" x14ac:dyDescent="0.3">
      <c r="A4297" s="3" t="str">
        <f t="shared" si="67"/>
        <v>ELC</v>
      </c>
      <c r="C4297" s="3" t="s">
        <v>850</v>
      </c>
      <c r="D4297" s="3" t="s">
        <v>1517</v>
      </c>
      <c r="E4297" s="3" t="s">
        <v>1518</v>
      </c>
      <c r="F4297" s="3" t="s">
        <v>0</v>
      </c>
      <c r="G4297" s="3">
        <v>3.94408727837398</v>
      </c>
      <c r="H4297" s="3">
        <v>3.81261770242818</v>
      </c>
      <c r="I4297" s="3">
        <v>3.28673939864498</v>
      </c>
      <c r="J4297" s="3">
        <v>2.6293915189159902</v>
      </c>
      <c r="K4297" s="3">
        <v>1.97204363918699</v>
      </c>
      <c r="L4297" s="3">
        <v>1.31469575945799</v>
      </c>
      <c r="M4297" s="3">
        <v>0.657347879728997</v>
      </c>
    </row>
    <row r="4298" spans="1:13" x14ac:dyDescent="0.3">
      <c r="A4298" s="3" t="str">
        <f t="shared" si="67"/>
        <v>ELC</v>
      </c>
      <c r="C4298" s="3" t="s">
        <v>850</v>
      </c>
      <c r="D4298" s="3" t="s">
        <v>1517</v>
      </c>
      <c r="E4298" s="3" t="s">
        <v>1518</v>
      </c>
      <c r="F4298" s="3" t="s">
        <v>1</v>
      </c>
      <c r="G4298" s="3">
        <v>16.6846089599353</v>
      </c>
      <c r="H4298" s="3">
        <v>16.128455327937498</v>
      </c>
      <c r="I4298" s="3">
        <v>13.903840799946099</v>
      </c>
      <c r="J4298" s="3">
        <v>11.1230726399569</v>
      </c>
      <c r="K4298" s="3">
        <v>8.34230447996765</v>
      </c>
      <c r="L4298" s="3">
        <v>5.5615363199784298</v>
      </c>
      <c r="M4298" s="3">
        <v>2.7807681599892198</v>
      </c>
    </row>
    <row r="4299" spans="1:13" x14ac:dyDescent="0.3">
      <c r="A4299" s="3" t="str">
        <f t="shared" si="67"/>
        <v>ELC</v>
      </c>
      <c r="C4299" s="3" t="s">
        <v>850</v>
      </c>
      <c r="D4299" s="3" t="s">
        <v>1517</v>
      </c>
      <c r="E4299" s="3" t="s">
        <v>1518</v>
      </c>
      <c r="F4299" s="3" t="s">
        <v>2</v>
      </c>
      <c r="G4299" s="3">
        <v>38.349672539193101</v>
      </c>
      <c r="H4299" s="3">
        <v>37.07135012122</v>
      </c>
      <c r="I4299" s="3">
        <v>31.958060449327601</v>
      </c>
      <c r="J4299" s="3">
        <v>25.5664483594621</v>
      </c>
      <c r="K4299" s="3">
        <v>19.1748362695966</v>
      </c>
      <c r="L4299" s="3">
        <v>12.783224179731</v>
      </c>
      <c r="M4299" s="3">
        <v>6.3916120898655198</v>
      </c>
    </row>
    <row r="4300" spans="1:13" x14ac:dyDescent="0.3">
      <c r="A4300" s="3" t="str">
        <f t="shared" si="67"/>
        <v>ELC</v>
      </c>
      <c r="C4300" s="3" t="s">
        <v>850</v>
      </c>
      <c r="D4300" s="3" t="s">
        <v>1517</v>
      </c>
      <c r="E4300" s="3" t="s">
        <v>1518</v>
      </c>
      <c r="F4300" s="3" t="s">
        <v>3</v>
      </c>
      <c r="G4300" s="3">
        <v>16.7707027850354</v>
      </c>
      <c r="H4300" s="3">
        <v>16.211679358867599</v>
      </c>
      <c r="I4300" s="3">
        <v>13.9755856541962</v>
      </c>
      <c r="J4300" s="3">
        <v>11.1804685233569</v>
      </c>
      <c r="K4300" s="3">
        <v>8.3853513925177001</v>
      </c>
      <c r="L4300" s="3">
        <v>5.5902342616784697</v>
      </c>
      <c r="M4300" s="3">
        <v>2.79511713083923</v>
      </c>
    </row>
    <row r="4301" spans="1:13" x14ac:dyDescent="0.3">
      <c r="A4301" s="3" t="str">
        <f t="shared" si="67"/>
        <v>ELC</v>
      </c>
      <c r="C4301" s="3" t="s">
        <v>850</v>
      </c>
      <c r="D4301" s="3" t="s">
        <v>1517</v>
      </c>
      <c r="E4301" s="3" t="s">
        <v>1518</v>
      </c>
      <c r="F4301" s="3" t="s">
        <v>4</v>
      </c>
      <c r="G4301" s="3">
        <v>20.5016742567637</v>
      </c>
      <c r="H4301" s="3">
        <v>19.8182851148716</v>
      </c>
      <c r="I4301" s="3">
        <v>17.084728547303101</v>
      </c>
      <c r="J4301" s="3">
        <v>13.6677828378425</v>
      </c>
      <c r="K4301" s="3">
        <v>10.2508371283818</v>
      </c>
      <c r="L4301" s="3">
        <v>6.8338914189212296</v>
      </c>
      <c r="M4301" s="3">
        <v>3.4169457094606202</v>
      </c>
    </row>
    <row r="4302" spans="1:13" x14ac:dyDescent="0.3">
      <c r="A4302" s="3" t="str">
        <f t="shared" si="67"/>
        <v>ELC</v>
      </c>
      <c r="C4302" s="3" t="s">
        <v>850</v>
      </c>
      <c r="D4302" s="3" t="s">
        <v>1517</v>
      </c>
      <c r="E4302" s="3" t="s">
        <v>1518</v>
      </c>
      <c r="F4302" s="3" t="s">
        <v>5</v>
      </c>
      <c r="G4302" s="3">
        <v>14.4742922822625</v>
      </c>
      <c r="H4302" s="3">
        <v>13.991815872853699</v>
      </c>
      <c r="I4302" s="3">
        <v>12.061910235218701</v>
      </c>
      <c r="J4302" s="3">
        <v>9.6495281881749992</v>
      </c>
      <c r="K4302" s="3">
        <v>7.2371461411312499</v>
      </c>
      <c r="L4302" s="3">
        <v>4.8247640940874996</v>
      </c>
      <c r="M4302" s="3">
        <v>2.4123820470437498</v>
      </c>
    </row>
    <row r="4303" spans="1:13" x14ac:dyDescent="0.3">
      <c r="A4303" s="3" t="str">
        <f t="shared" si="67"/>
        <v>ELC</v>
      </c>
      <c r="C4303" s="3" t="s">
        <v>850</v>
      </c>
      <c r="D4303" s="3" t="s">
        <v>1517</v>
      </c>
      <c r="E4303" s="3" t="s">
        <v>1518</v>
      </c>
      <c r="F4303" s="3" t="s">
        <v>6</v>
      </c>
      <c r="G4303" s="3">
        <v>58.621326132309797</v>
      </c>
      <c r="H4303" s="3">
        <v>56.667281927899502</v>
      </c>
      <c r="I4303" s="3">
        <v>48.851105110258203</v>
      </c>
      <c r="J4303" s="3">
        <v>39.080884088206503</v>
      </c>
      <c r="K4303" s="3">
        <v>29.310663066154898</v>
      </c>
      <c r="L4303" s="3">
        <v>19.540442044103301</v>
      </c>
      <c r="M4303" s="3">
        <v>9.7702210220516292</v>
      </c>
    </row>
    <row r="4304" spans="1:13" x14ac:dyDescent="0.3">
      <c r="A4304" s="3" t="str">
        <f t="shared" si="67"/>
        <v>ELC</v>
      </c>
      <c r="C4304" s="3" t="s">
        <v>850</v>
      </c>
      <c r="D4304" s="3" t="s">
        <v>1517</v>
      </c>
      <c r="E4304" s="3" t="s">
        <v>1518</v>
      </c>
      <c r="F4304" s="3" t="s">
        <v>7</v>
      </c>
      <c r="G4304" s="3">
        <v>25.055310464384299</v>
      </c>
      <c r="H4304" s="3">
        <v>24.2201334489048</v>
      </c>
      <c r="I4304" s="3">
        <v>20.879425386986899</v>
      </c>
      <c r="J4304" s="3">
        <v>16.703540309589499</v>
      </c>
      <c r="K4304" s="3">
        <v>12.5276552321921</v>
      </c>
      <c r="L4304" s="3">
        <v>8.3517701547947691</v>
      </c>
      <c r="M4304" s="3">
        <v>4.1758850773973801</v>
      </c>
    </row>
    <row r="4305" spans="1:16" x14ac:dyDescent="0.3">
      <c r="A4305" s="3" t="str">
        <f t="shared" si="67"/>
        <v>ELC</v>
      </c>
      <c r="C4305" s="3" t="s">
        <v>850</v>
      </c>
      <c r="D4305" s="3" t="s">
        <v>1517</v>
      </c>
      <c r="E4305" s="3" t="s">
        <v>1518</v>
      </c>
      <c r="F4305" s="3" t="s">
        <v>8</v>
      </c>
      <c r="G4305" s="3">
        <v>53.438126161047599</v>
      </c>
      <c r="H4305" s="3">
        <v>51.656855289012697</v>
      </c>
      <c r="I4305" s="3">
        <v>44.531771800873003</v>
      </c>
      <c r="J4305" s="3">
        <v>35.625417440698399</v>
      </c>
      <c r="K4305" s="3">
        <v>26.719063080523799</v>
      </c>
      <c r="L4305" s="3">
        <v>17.8127087203492</v>
      </c>
      <c r="M4305" s="3">
        <v>8.9063543601745998</v>
      </c>
    </row>
    <row r="4306" spans="1:16" x14ac:dyDescent="0.3">
      <c r="A4306" s="3" t="str">
        <f t="shared" si="67"/>
        <v>NGA</v>
      </c>
      <c r="C4306" s="3" t="s">
        <v>850</v>
      </c>
      <c r="D4306" s="3" t="s">
        <v>1517</v>
      </c>
      <c r="E4306" s="3" t="s">
        <v>1520</v>
      </c>
      <c r="F4306" s="3" t="s">
        <v>0</v>
      </c>
      <c r="G4306" s="3">
        <v>8.1147048671409099</v>
      </c>
      <c r="H4306" s="3">
        <v>7.8442147049028801</v>
      </c>
      <c r="I4306" s="3">
        <v>6.76225405595076</v>
      </c>
      <c r="J4306" s="3">
        <v>5.4098032447606101</v>
      </c>
      <c r="K4306" s="3">
        <v>4.0573524335704496</v>
      </c>
      <c r="L4306" s="3">
        <v>2.7049016223803002</v>
      </c>
      <c r="M4306" s="3">
        <v>1.3524508111901501</v>
      </c>
    </row>
    <row r="4307" spans="1:16" x14ac:dyDescent="0.3">
      <c r="A4307" s="3" t="str">
        <f t="shared" si="67"/>
        <v>NGA</v>
      </c>
      <c r="C4307" s="3" t="s">
        <v>850</v>
      </c>
      <c r="D4307" s="3" t="s">
        <v>1517</v>
      </c>
      <c r="E4307" s="3" t="s">
        <v>1520</v>
      </c>
      <c r="F4307" s="3" t="s">
        <v>1</v>
      </c>
      <c r="G4307" s="3">
        <v>34.327505447432003</v>
      </c>
      <c r="H4307" s="3">
        <v>33.183255265850903</v>
      </c>
      <c r="I4307" s="3">
        <v>54.876333466106999</v>
      </c>
      <c r="J4307" s="3">
        <v>49.155082558201599</v>
      </c>
      <c r="K4307" s="3">
        <v>52.324366768327501</v>
      </c>
      <c r="L4307" s="3">
        <v>81.204698134574997</v>
      </c>
      <c r="M4307" s="3">
        <v>110.74471104978153</v>
      </c>
      <c r="N4307" s="3">
        <v>144.09867488152202</v>
      </c>
      <c r="O4307" s="3">
        <v>173.82568913305451</v>
      </c>
      <c r="P4307" s="3">
        <v>204.4649891109234</v>
      </c>
    </row>
    <row r="4308" spans="1:16" x14ac:dyDescent="0.3">
      <c r="A4308" s="3" t="str">
        <f t="shared" si="67"/>
        <v>NGA</v>
      </c>
      <c r="C4308" s="3" t="s">
        <v>850</v>
      </c>
      <c r="D4308" s="3" t="s">
        <v>1517</v>
      </c>
      <c r="E4308" s="3" t="s">
        <v>1520</v>
      </c>
      <c r="F4308" s="3" t="s">
        <v>2</v>
      </c>
      <c r="G4308" s="3">
        <v>78.901974637677498</v>
      </c>
      <c r="H4308" s="3">
        <v>96.360269498401806</v>
      </c>
      <c r="I4308" s="3">
        <v>166.19344894129472</v>
      </c>
      <c r="J4308" s="3">
        <v>153.04311983501509</v>
      </c>
      <c r="K4308" s="3">
        <v>139.89279072873549</v>
      </c>
      <c r="L4308" s="3">
        <v>126.74246162245601</v>
      </c>
      <c r="M4308" s="3">
        <v>137.37001617848301</v>
      </c>
      <c r="N4308" s="3">
        <v>116.76693870526151</v>
      </c>
      <c r="O4308" s="3">
        <v>126.31555055511461</v>
      </c>
      <c r="P4308" s="3">
        <v>196.74016307093319</v>
      </c>
    </row>
    <row r="4309" spans="1:16" x14ac:dyDescent="0.3">
      <c r="A4309" s="3" t="str">
        <f t="shared" si="67"/>
        <v>NGA</v>
      </c>
      <c r="C4309" s="3" t="s">
        <v>850</v>
      </c>
      <c r="D4309" s="3" t="s">
        <v>1517</v>
      </c>
      <c r="E4309" s="3" t="s">
        <v>1520</v>
      </c>
      <c r="F4309" s="3" t="s">
        <v>3</v>
      </c>
      <c r="G4309" s="3">
        <v>34.504637932659001</v>
      </c>
      <c r="H4309" s="3">
        <v>42.139328266546201</v>
      </c>
      <c r="I4309" s="3">
        <v>72.678089602093195</v>
      </c>
      <c r="J4309" s="3">
        <v>77.638568675179499</v>
      </c>
      <c r="K4309" s="3">
        <v>71.887795686402995</v>
      </c>
      <c r="L4309" s="3">
        <v>100.91715171384899</v>
      </c>
      <c r="M4309" s="3">
        <v>130.60959329618692</v>
      </c>
      <c r="N4309" s="3">
        <v>160.87650322256587</v>
      </c>
      <c r="O4309" s="3">
        <v>175.98368121263562</v>
      </c>
      <c r="P4309" s="3">
        <v>165.27242915077281</v>
      </c>
    </row>
    <row r="4310" spans="1:16" x14ac:dyDescent="0.3">
      <c r="A4310" s="3" t="str">
        <f t="shared" si="67"/>
        <v>NGA</v>
      </c>
      <c r="C4310" s="3" t="s">
        <v>850</v>
      </c>
      <c r="D4310" s="3" t="s">
        <v>1517</v>
      </c>
      <c r="E4310" s="3" t="s">
        <v>1520</v>
      </c>
      <c r="F4310" s="3" t="s">
        <v>4</v>
      </c>
      <c r="G4310" s="3">
        <v>42.180870790588799</v>
      </c>
      <c r="H4310" s="3">
        <v>40.774841764235802</v>
      </c>
      <c r="I4310" s="3">
        <v>70.016965688203101</v>
      </c>
      <c r="J4310" s="3">
        <v>62.986820556438303</v>
      </c>
      <c r="K4310" s="3">
        <v>55.956675424673499</v>
      </c>
      <c r="L4310" s="3">
        <v>48.926530292908701</v>
      </c>
      <c r="M4310" s="3">
        <v>41.896385161143897</v>
      </c>
      <c r="N4310" s="3">
        <v>79.821206336338406</v>
      </c>
      <c r="O4310" s="3">
        <v>109.56606472336799</v>
      </c>
      <c r="P4310" s="3">
        <v>147.21495113778329</v>
      </c>
    </row>
    <row r="4311" spans="1:16" x14ac:dyDescent="0.3">
      <c r="A4311" s="3" t="str">
        <f t="shared" si="67"/>
        <v>NGA</v>
      </c>
      <c r="C4311" s="3" t="s">
        <v>850</v>
      </c>
      <c r="D4311" s="3" t="s">
        <v>1517</v>
      </c>
      <c r="E4311" s="3" t="s">
        <v>1520</v>
      </c>
      <c r="F4311" s="3" t="s">
        <v>5</v>
      </c>
      <c r="G4311" s="3">
        <v>29.779921624786699</v>
      </c>
      <c r="H4311" s="3">
        <v>36.369194644152643</v>
      </c>
      <c r="I4311" s="3">
        <v>62.726286721617541</v>
      </c>
      <c r="J4311" s="3">
        <v>57.762966450819739</v>
      </c>
      <c r="K4311" s="3">
        <v>52.799646180021938</v>
      </c>
      <c r="L4311" s="3">
        <v>47.836325909224207</v>
      </c>
      <c r="M4311" s="3">
        <v>42.87300563842642</v>
      </c>
      <c r="N4311" s="3">
        <v>59.288279372135733</v>
      </c>
      <c r="O4311" s="3">
        <v>69.168280342647705</v>
      </c>
      <c r="P4311" s="3">
        <v>95.748596625067606</v>
      </c>
    </row>
    <row r="4312" spans="1:16" x14ac:dyDescent="0.3">
      <c r="A4312" s="3" t="str">
        <f t="shared" si="67"/>
        <v>NGA</v>
      </c>
      <c r="C4312" s="3" t="s">
        <v>850</v>
      </c>
      <c r="D4312" s="3" t="s">
        <v>1517</v>
      </c>
      <c r="E4312" s="3" t="s">
        <v>1520</v>
      </c>
      <c r="F4312" s="3" t="s">
        <v>6</v>
      </c>
      <c r="G4312" s="3">
        <v>120.60959276748601</v>
      </c>
      <c r="H4312" s="3">
        <v>147.29634988903871</v>
      </c>
      <c r="I4312" s="3">
        <v>254.04337837524571</v>
      </c>
      <c r="J4312" s="3">
        <v>275.68377387261251</v>
      </c>
      <c r="K4312" s="3">
        <v>382.90254563062751</v>
      </c>
      <c r="L4312" s="3">
        <v>484.37350775478552</v>
      </c>
      <c r="M4312" s="3">
        <v>588.16225912517848</v>
      </c>
      <c r="N4312" s="3">
        <v>693.95904179756201</v>
      </c>
      <c r="O4312" s="3">
        <v>749.2205686014679</v>
      </c>
      <c r="P4312" s="3">
        <v>815.12966764837893</v>
      </c>
    </row>
    <row r="4313" spans="1:16" x14ac:dyDescent="0.3">
      <c r="A4313" s="3" t="str">
        <f t="shared" si="67"/>
        <v>NGA</v>
      </c>
      <c r="C4313" s="3" t="s">
        <v>850</v>
      </c>
      <c r="D4313" s="3" t="s">
        <v>1517</v>
      </c>
      <c r="E4313" s="3" t="s">
        <v>1520</v>
      </c>
      <c r="F4313" s="3" t="s">
        <v>7</v>
      </c>
      <c r="G4313" s="3">
        <v>51.549683215145997</v>
      </c>
      <c r="H4313" s="3">
        <v>62.955856174436398</v>
      </c>
      <c r="I4313" s="3">
        <v>108.58054801159901</v>
      </c>
      <c r="J4313" s="3">
        <v>99.988934142407999</v>
      </c>
      <c r="K4313" s="3">
        <v>125.07839292248009</v>
      </c>
      <c r="L4313" s="3">
        <v>168.44804398431899</v>
      </c>
      <c r="M4313" s="3">
        <v>212.8083401404777</v>
      </c>
      <c r="N4313" s="3">
        <v>258.02688790936747</v>
      </c>
      <c r="O4313" s="3">
        <v>281.64618829303248</v>
      </c>
      <c r="P4313" s="3">
        <v>327.65728601790727</v>
      </c>
    </row>
    <row r="4314" spans="1:16" x14ac:dyDescent="0.3">
      <c r="A4314" s="3" t="str">
        <f t="shared" si="67"/>
        <v>NGA</v>
      </c>
      <c r="C4314" s="3" t="s">
        <v>850</v>
      </c>
      <c r="D4314" s="3" t="s">
        <v>1517</v>
      </c>
      <c r="E4314" s="3" t="s">
        <v>1520</v>
      </c>
      <c r="F4314" s="3" t="s">
        <v>8</v>
      </c>
      <c r="G4314" s="3">
        <v>109.945493556298</v>
      </c>
      <c r="H4314" s="3">
        <v>106.28064377108799</v>
      </c>
      <c r="I4314" s="3">
        <v>91.621244630248299</v>
      </c>
      <c r="J4314" s="3">
        <v>73.296995704198693</v>
      </c>
      <c r="K4314" s="3">
        <v>54.972746778149002</v>
      </c>
      <c r="L4314" s="3">
        <v>44.622934297551964</v>
      </c>
      <c r="M4314" s="3">
        <v>47.794579405957677</v>
      </c>
      <c r="N4314" s="3">
        <v>63.181697513413972</v>
      </c>
      <c r="O4314" s="3">
        <v>65.861027649053057</v>
      </c>
      <c r="P4314" s="3">
        <v>68.6720934150392</v>
      </c>
    </row>
    <row r="4315" spans="1:16" x14ac:dyDescent="0.3">
      <c r="A4315" s="3" t="str">
        <f t="shared" si="67"/>
        <v>NGA</v>
      </c>
      <c r="C4315" s="3" t="s">
        <v>850</v>
      </c>
      <c r="D4315" s="3" t="s">
        <v>1578</v>
      </c>
      <c r="E4315" s="3" t="s">
        <v>1274</v>
      </c>
      <c r="F4315" s="3" t="s">
        <v>2</v>
      </c>
      <c r="G4315" s="3">
        <v>2.211004364868565E-3</v>
      </c>
      <c r="H4315" s="3">
        <v>3.4323210616531027E-3</v>
      </c>
      <c r="I4315" s="3">
        <v>7.7322626380064491E-3</v>
      </c>
      <c r="J4315" s="3">
        <v>7.8466056888584143E-3</v>
      </c>
      <c r="K4315" s="3">
        <v>8.1766684698086848E-3</v>
      </c>
      <c r="L4315" s="3">
        <v>8.3175878487912469E-3</v>
      </c>
      <c r="M4315" s="3">
        <v>8.3175878487912469E-3</v>
      </c>
      <c r="N4315" s="3">
        <v>8.3175878487912469E-3</v>
      </c>
      <c r="O4315" s="3">
        <v>8.3175878487912469E-3</v>
      </c>
      <c r="P4315" s="3">
        <v>8.3175878487912469E-3</v>
      </c>
    </row>
    <row r="4316" spans="1:16" x14ac:dyDescent="0.3">
      <c r="A4316" s="3" t="str">
        <f t="shared" si="67"/>
        <v>NGA</v>
      </c>
      <c r="C4316" s="3" t="s">
        <v>850</v>
      </c>
      <c r="D4316" s="3" t="s">
        <v>1578</v>
      </c>
      <c r="E4316" s="3" t="s">
        <v>1274</v>
      </c>
      <c r="F4316" s="3" t="s">
        <v>6</v>
      </c>
      <c r="G4316" s="3">
        <v>0.27714152509260298</v>
      </c>
      <c r="H4316" s="3">
        <v>0.27404743219050653</v>
      </c>
      <c r="I4316" s="3">
        <v>0.32080921004321156</v>
      </c>
      <c r="J4316" s="3">
        <v>0.32555326822321229</v>
      </c>
      <c r="K4316" s="3">
        <v>0.33453504338917917</v>
      </c>
      <c r="L4316" s="3">
        <v>0.33453504338917917</v>
      </c>
      <c r="M4316" s="3">
        <v>0.33453504338917917</v>
      </c>
      <c r="N4316" s="3">
        <v>0.33453504338917917</v>
      </c>
      <c r="O4316" s="3">
        <v>0.33453504338917917</v>
      </c>
      <c r="P4316" s="3">
        <v>0.33453504338917917</v>
      </c>
    </row>
    <row r="4317" spans="1:16" x14ac:dyDescent="0.3">
      <c r="A4317" s="3" t="str">
        <f t="shared" si="67"/>
        <v>NGA</v>
      </c>
      <c r="C4317" s="3" t="s">
        <v>850</v>
      </c>
      <c r="D4317" s="3" t="s">
        <v>1578</v>
      </c>
      <c r="E4317" s="3" t="s">
        <v>1275</v>
      </c>
      <c r="F4317" s="3" t="s">
        <v>1</v>
      </c>
      <c r="G4317" s="3">
        <v>1.8033072309158511</v>
      </c>
      <c r="H4317" s="3">
        <v>3.3761831404766731</v>
      </c>
      <c r="I4317" s="3">
        <v>3.7504964273119414</v>
      </c>
      <c r="J4317" s="3">
        <v>3.3147806526745653</v>
      </c>
      <c r="K4317" s="3">
        <v>3.1608947980868622</v>
      </c>
      <c r="L4317" s="3">
        <v>3.1004122255974056</v>
      </c>
      <c r="M4317" s="3">
        <v>2.9885490373849324</v>
      </c>
      <c r="N4317" s="3">
        <v>0.69861105121006672</v>
      </c>
    </row>
    <row r="4318" spans="1:16" x14ac:dyDescent="0.3">
      <c r="A4318" s="3" t="str">
        <f t="shared" si="67"/>
        <v>NGA</v>
      </c>
      <c r="C4318" s="3" t="s">
        <v>850</v>
      </c>
      <c r="D4318" s="3" t="s">
        <v>1578</v>
      </c>
      <c r="E4318" s="3" t="s">
        <v>1275</v>
      </c>
      <c r="F4318" s="3" t="s">
        <v>6</v>
      </c>
      <c r="H4318" s="3">
        <v>9.3408732594375182E-2</v>
      </c>
    </row>
    <row r="4319" spans="1:16" x14ac:dyDescent="0.3">
      <c r="A4319" s="3" t="str">
        <f t="shared" ref="A4319:A4382" si="68">RIGHT(E4319,3)</f>
        <v>NGA</v>
      </c>
      <c r="C4319" s="3" t="s">
        <v>850</v>
      </c>
      <c r="D4319" s="3" t="s">
        <v>1578</v>
      </c>
      <c r="E4319" s="3" t="s">
        <v>1276</v>
      </c>
      <c r="F4319" s="3" t="s">
        <v>1</v>
      </c>
      <c r="H4319" s="3">
        <v>0.26766437537157844</v>
      </c>
      <c r="I4319" s="3">
        <v>0.23340186442614841</v>
      </c>
      <c r="J4319" s="3">
        <v>0.29904736987228575</v>
      </c>
      <c r="K4319" s="3">
        <v>0.34876749158033149</v>
      </c>
      <c r="L4319" s="3">
        <v>0.43010488578057254</v>
      </c>
      <c r="M4319" s="3">
        <v>0.50455340826559847</v>
      </c>
      <c r="N4319" s="3">
        <v>0.84329744013215924</v>
      </c>
      <c r="O4319" s="3">
        <v>0.97006367764012957</v>
      </c>
      <c r="P4319" s="3">
        <v>0.98069478821543765</v>
      </c>
    </row>
    <row r="4320" spans="1:16" x14ac:dyDescent="0.3">
      <c r="A4320" s="3" t="str">
        <f t="shared" si="68"/>
        <v>NGA</v>
      </c>
      <c r="C4320" s="3" t="s">
        <v>850</v>
      </c>
      <c r="D4320" s="3" t="s">
        <v>1578</v>
      </c>
      <c r="E4320" s="3" t="s">
        <v>1276</v>
      </c>
      <c r="F4320" s="3" t="s">
        <v>2</v>
      </c>
      <c r="H4320" s="3">
        <v>3.1494911055206776E-3</v>
      </c>
      <c r="L4320" s="3">
        <v>6.6340969748253755E-4</v>
      </c>
      <c r="M4320" s="3">
        <v>1.3215120653900982E-3</v>
      </c>
      <c r="N4320" s="3">
        <v>1.854101480642668E-3</v>
      </c>
      <c r="O4320" s="3">
        <v>2.2722809321733587E-3</v>
      </c>
      <c r="P4320" s="3">
        <v>2.388337298970135E-3</v>
      </c>
    </row>
    <row r="4321" spans="1:16" x14ac:dyDescent="0.3">
      <c r="A4321" s="3" t="str">
        <f t="shared" si="68"/>
        <v>NGA</v>
      </c>
      <c r="C4321" s="3" t="s">
        <v>850</v>
      </c>
      <c r="D4321" s="3" t="s">
        <v>1578</v>
      </c>
      <c r="E4321" s="3" t="s">
        <v>1276</v>
      </c>
      <c r="F4321" s="3" t="s">
        <v>5</v>
      </c>
      <c r="H4321" s="3">
        <v>5.4010776373223154E-3</v>
      </c>
      <c r="I4321" s="3">
        <v>5.4010776373223154E-3</v>
      </c>
      <c r="J4321" s="3">
        <v>5.4010776373223154E-3</v>
      </c>
      <c r="K4321" s="3">
        <v>5.4010776373223154E-3</v>
      </c>
      <c r="L4321" s="3">
        <v>5.779972253836212E-3</v>
      </c>
      <c r="M4321" s="3">
        <v>6.2035124460131661E-3</v>
      </c>
      <c r="N4321" s="3">
        <v>6.5462752657317724E-3</v>
      </c>
      <c r="O4321" s="3">
        <v>6.8154063521749025E-3</v>
      </c>
      <c r="P4321" s="3">
        <v>6.8900976742145865E-3</v>
      </c>
    </row>
    <row r="4322" spans="1:16" x14ac:dyDescent="0.3">
      <c r="A4322" s="3" t="str">
        <f t="shared" si="68"/>
        <v>NGA</v>
      </c>
      <c r="C4322" s="3" t="s">
        <v>850</v>
      </c>
      <c r="D4322" s="3" t="s">
        <v>1578</v>
      </c>
      <c r="E4322" s="3" t="s">
        <v>1276</v>
      </c>
      <c r="F4322" s="3" t="s">
        <v>6</v>
      </c>
      <c r="K4322" s="3">
        <v>4.7124285850610424E-3</v>
      </c>
      <c r="L4322" s="3">
        <v>3.8083795766412736E-2</v>
      </c>
      <c r="M4322" s="3">
        <v>6.5388261568989664E-2</v>
      </c>
      <c r="N4322" s="3">
        <v>8.7485233384809305E-2</v>
      </c>
      <c r="O4322" s="3">
        <v>0.10483537082613817</v>
      </c>
      <c r="P4322" s="3">
        <v>0.1096505139602523</v>
      </c>
    </row>
    <row r="4323" spans="1:16" x14ac:dyDescent="0.3">
      <c r="A4323" s="3" t="str">
        <f t="shared" si="68"/>
        <v>NGA</v>
      </c>
      <c r="C4323" s="3" t="s">
        <v>850</v>
      </c>
      <c r="D4323" s="3" t="s">
        <v>1579</v>
      </c>
      <c r="E4323" s="3" t="s">
        <v>1278</v>
      </c>
      <c r="F4323" s="3" t="s">
        <v>1</v>
      </c>
      <c r="G4323" s="3">
        <v>0.27782455148257662</v>
      </c>
      <c r="H4323" s="3">
        <v>0.28625345353861975</v>
      </c>
      <c r="I4323" s="3">
        <v>0.31996906176278939</v>
      </c>
      <c r="J4323" s="3">
        <v>0.48166531116951739</v>
      </c>
      <c r="K4323" s="3">
        <v>0.48166531116951739</v>
      </c>
      <c r="L4323" s="3">
        <v>0.48166531116951739</v>
      </c>
      <c r="M4323" s="3">
        <v>0.48166531116951739</v>
      </c>
      <c r="N4323" s="3">
        <v>8.0277551861586291E-2</v>
      </c>
    </row>
    <row r="4324" spans="1:16" x14ac:dyDescent="0.3">
      <c r="A4324" s="3" t="str">
        <f t="shared" si="68"/>
        <v>NGA</v>
      </c>
      <c r="C4324" s="3" t="s">
        <v>850</v>
      </c>
      <c r="D4324" s="3" t="s">
        <v>1579</v>
      </c>
      <c r="E4324" s="3" t="s">
        <v>1279</v>
      </c>
      <c r="F4324" s="3" t="s">
        <v>8</v>
      </c>
      <c r="H4324" s="3">
        <v>2.7284523602899907E-3</v>
      </c>
      <c r="I4324" s="3">
        <v>2.7284523602899907E-3</v>
      </c>
      <c r="J4324" s="3">
        <v>2.7284523602899907E-3</v>
      </c>
      <c r="K4324" s="3">
        <v>2.7284523602899907E-3</v>
      </c>
      <c r="L4324" s="3">
        <v>2.7284523602899907E-3</v>
      </c>
      <c r="M4324" s="3">
        <v>2.7284523602899907E-3</v>
      </c>
      <c r="N4324" s="3">
        <v>4.5474206004833193E-4</v>
      </c>
    </row>
    <row r="4325" spans="1:16" x14ac:dyDescent="0.3">
      <c r="A4325" s="3" t="str">
        <f t="shared" si="68"/>
        <v>NGA</v>
      </c>
      <c r="C4325" s="3" t="s">
        <v>850</v>
      </c>
      <c r="D4325" s="3" t="s">
        <v>1579</v>
      </c>
      <c r="E4325" s="3" t="s">
        <v>1280</v>
      </c>
      <c r="F4325" s="3" t="s">
        <v>2</v>
      </c>
      <c r="G4325" s="3">
        <v>7.3279632683289093E-3</v>
      </c>
      <c r="H4325" s="3">
        <v>7.5502858972300562E-3</v>
      </c>
      <c r="I4325" s="3">
        <v>8.4395764128364793E-3</v>
      </c>
      <c r="J4325" s="3">
        <v>1.2294811700986291E-2</v>
      </c>
      <c r="K4325" s="3">
        <v>1.2294811700986291E-2</v>
      </c>
      <c r="L4325" s="3">
        <v>1.2294811700986291E-2</v>
      </c>
      <c r="M4325" s="3">
        <v>1.2294811700986291E-2</v>
      </c>
      <c r="N4325" s="3">
        <v>2.0491352834977163E-3</v>
      </c>
    </row>
    <row r="4326" spans="1:16" x14ac:dyDescent="0.3">
      <c r="A4326" s="3" t="str">
        <f t="shared" si="68"/>
        <v>NGA</v>
      </c>
      <c r="C4326" s="3" t="s">
        <v>850</v>
      </c>
      <c r="D4326" s="3" t="s">
        <v>1579</v>
      </c>
      <c r="E4326" s="3" t="s">
        <v>1280</v>
      </c>
      <c r="F4326" s="3" t="s">
        <v>8</v>
      </c>
      <c r="G4326" s="3">
        <v>3.6778334890528973E-2</v>
      </c>
      <c r="H4326" s="3">
        <v>3.6603905235406152E-2</v>
      </c>
      <c r="I4326" s="3">
        <v>4.1067167836530812E-2</v>
      </c>
      <c r="J4326" s="3">
        <v>4.1693540228622032E-2</v>
      </c>
      <c r="K4326" s="3">
        <v>4.3501627489751338E-2</v>
      </c>
      <c r="L4326" s="3">
        <v>4.7907750327126665E-2</v>
      </c>
      <c r="M4326" s="3">
        <v>5.1512841772175265E-2</v>
      </c>
      <c r="N4326" s="3">
        <v>1.010545671966139E-2</v>
      </c>
    </row>
    <row r="4327" spans="1:16" x14ac:dyDescent="0.3">
      <c r="A4327" s="3" t="str">
        <f t="shared" si="68"/>
        <v>NGA</v>
      </c>
      <c r="C4327" s="3" t="s">
        <v>850</v>
      </c>
      <c r="D4327" s="3" t="s">
        <v>1579</v>
      </c>
      <c r="E4327" s="3" t="s">
        <v>1281</v>
      </c>
      <c r="F4327" s="3" t="s">
        <v>1</v>
      </c>
      <c r="N4327" s="3">
        <v>0.3525916998795407</v>
      </c>
      <c r="O4327" s="3">
        <v>0.45359845930381892</v>
      </c>
      <c r="P4327" s="3">
        <v>0.45856953026420932</v>
      </c>
    </row>
    <row r="4328" spans="1:16" x14ac:dyDescent="0.3">
      <c r="A4328" s="3" t="str">
        <f t="shared" si="68"/>
        <v>NGA</v>
      </c>
      <c r="C4328" s="3" t="s">
        <v>850</v>
      </c>
      <c r="D4328" s="3" t="s">
        <v>1579</v>
      </c>
      <c r="E4328" s="3" t="s">
        <v>1281</v>
      </c>
      <c r="F4328" s="3" t="s">
        <v>2</v>
      </c>
      <c r="N4328" s="3">
        <v>9.6429019690370162E-3</v>
      </c>
      <c r="O4328" s="3">
        <v>1.2311730393010449E-2</v>
      </c>
      <c r="P4328" s="3">
        <v>1.2446656965562764E-2</v>
      </c>
    </row>
    <row r="4329" spans="1:16" x14ac:dyDescent="0.3">
      <c r="A4329" s="3" t="str">
        <f t="shared" si="68"/>
        <v>NGA</v>
      </c>
      <c r="C4329" s="3" t="s">
        <v>850</v>
      </c>
      <c r="D4329" s="3" t="s">
        <v>1579</v>
      </c>
      <c r="E4329" s="3" t="s">
        <v>1281</v>
      </c>
      <c r="F4329" s="3" t="s">
        <v>8</v>
      </c>
      <c r="N4329" s="3">
        <v>4.8358348752330575E-2</v>
      </c>
      <c r="O4329" s="3">
        <v>6.1791377343971034E-2</v>
      </c>
      <c r="P4329" s="3">
        <v>6.2468560687998942E-2</v>
      </c>
    </row>
    <row r="4330" spans="1:16" x14ac:dyDescent="0.3">
      <c r="A4330" s="3" t="str">
        <f t="shared" si="68"/>
        <v>NGA</v>
      </c>
      <c r="C4330" s="3" t="s">
        <v>850</v>
      </c>
      <c r="D4330" s="3" t="s">
        <v>1580</v>
      </c>
      <c r="E4330" s="3" t="s">
        <v>1283</v>
      </c>
      <c r="F4330" s="3" t="s">
        <v>1</v>
      </c>
      <c r="G4330" s="3">
        <v>7.6553235789476766E-3</v>
      </c>
      <c r="H4330" s="3">
        <v>1.1883978508271152E-2</v>
      </c>
      <c r="I4330" s="3">
        <v>2.879859822556503E-2</v>
      </c>
    </row>
    <row r="4331" spans="1:16" x14ac:dyDescent="0.3">
      <c r="A4331" s="3" t="str">
        <f t="shared" si="68"/>
        <v>NGA</v>
      </c>
      <c r="C4331" s="3" t="s">
        <v>850</v>
      </c>
      <c r="D4331" s="3" t="s">
        <v>1580</v>
      </c>
      <c r="E4331" s="3" t="s">
        <v>1283</v>
      </c>
      <c r="F4331" s="3" t="s">
        <v>7</v>
      </c>
      <c r="G4331" s="3">
        <v>0.98569192980473197</v>
      </c>
      <c r="H4331" s="3">
        <v>0.98948048949655043</v>
      </c>
      <c r="I4331" s="3">
        <v>1.1620739392712596</v>
      </c>
      <c r="J4331" s="3">
        <v>0.23782116629181335</v>
      </c>
      <c r="K4331" s="3">
        <v>0.27088921907087882</v>
      </c>
      <c r="L4331" s="3">
        <v>0.35073661392711231</v>
      </c>
      <c r="M4331" s="3">
        <v>0.46716548938425562</v>
      </c>
      <c r="N4331" s="3">
        <v>0.57446177871093196</v>
      </c>
      <c r="O4331" s="3">
        <v>1.1620739392712596</v>
      </c>
      <c r="P4331" s="3">
        <v>1.1620739392712596</v>
      </c>
    </row>
    <row r="4332" spans="1:16" x14ac:dyDescent="0.3">
      <c r="A4332" s="3" t="str">
        <f t="shared" si="68"/>
        <v>NGA</v>
      </c>
      <c r="C4332" s="3" t="s">
        <v>850</v>
      </c>
      <c r="D4332" s="3" t="s">
        <v>1580</v>
      </c>
      <c r="E4332" s="3" t="s">
        <v>1284</v>
      </c>
      <c r="F4332" s="3" t="s">
        <v>0</v>
      </c>
      <c r="G4332" s="3">
        <v>0.21547430209734961</v>
      </c>
      <c r="H4332" s="3">
        <v>0.14913227294104967</v>
      </c>
      <c r="I4332" s="3">
        <v>0.48341284955913816</v>
      </c>
      <c r="J4332" s="3">
        <v>0.48341284955913816</v>
      </c>
      <c r="K4332" s="3">
        <v>0.48341284955913816</v>
      </c>
      <c r="L4332" s="3">
        <v>0.48341284955913816</v>
      </c>
      <c r="M4332" s="3">
        <v>0.48341284955913816</v>
      </c>
      <c r="N4332" s="3">
        <v>0.48341284955913816</v>
      </c>
      <c r="O4332" s="3">
        <v>0.48341284955913816</v>
      </c>
      <c r="P4332" s="3">
        <v>0.48341284955913816</v>
      </c>
    </row>
    <row r="4333" spans="1:16" x14ac:dyDescent="0.3">
      <c r="A4333" s="3" t="str">
        <f t="shared" si="68"/>
        <v>NGA</v>
      </c>
      <c r="C4333" s="3" t="s">
        <v>850</v>
      </c>
      <c r="D4333" s="3" t="s">
        <v>1580</v>
      </c>
      <c r="E4333" s="3" t="s">
        <v>1284</v>
      </c>
      <c r="F4333" s="3" t="s">
        <v>1</v>
      </c>
      <c r="J4333" s="3">
        <v>1.1815772406786593</v>
      </c>
      <c r="K4333" s="3">
        <v>1.2119942077580383</v>
      </c>
      <c r="L4333" s="3">
        <v>1.2854401888970839</v>
      </c>
      <c r="M4333" s="3">
        <v>1.3925348913136395</v>
      </c>
      <c r="N4333" s="3">
        <v>1.4912291725280193</v>
      </c>
      <c r="O4333" s="3">
        <v>2.0517507768836025</v>
      </c>
      <c r="P4333" s="3">
        <v>2.1735282239576481</v>
      </c>
    </row>
    <row r="4334" spans="1:16" x14ac:dyDescent="0.3">
      <c r="A4334" s="3" t="str">
        <f t="shared" si="68"/>
        <v>NGA</v>
      </c>
      <c r="C4334" s="3" t="s">
        <v>850</v>
      </c>
      <c r="D4334" s="3" t="s">
        <v>1580</v>
      </c>
      <c r="E4334" s="3" t="s">
        <v>1284</v>
      </c>
      <c r="F4334" s="3" t="s">
        <v>2</v>
      </c>
      <c r="G4334" s="3">
        <v>6.3677931381137268E-2</v>
      </c>
      <c r="H4334" s="3">
        <v>0.11158799403932623</v>
      </c>
      <c r="I4334" s="3">
        <v>0.30322824467208165</v>
      </c>
      <c r="J4334" s="3">
        <v>2.0829622865443973</v>
      </c>
      <c r="K4334" s="3">
        <v>2.1397872510121352</v>
      </c>
      <c r="L4334" s="3">
        <v>2.276999000547602</v>
      </c>
      <c r="M4334" s="3">
        <v>2.4770732763168444</v>
      </c>
      <c r="N4334" s="3">
        <v>2.7651703828980501</v>
      </c>
      <c r="O4334" s="3">
        <v>3.833079895467443</v>
      </c>
      <c r="P4334" s="3">
        <v>4.0605844683229488</v>
      </c>
    </row>
    <row r="4335" spans="1:16" x14ac:dyDescent="0.3">
      <c r="A4335" s="3" t="str">
        <f t="shared" si="68"/>
        <v>NGA</v>
      </c>
      <c r="C4335" s="3" t="s">
        <v>850</v>
      </c>
      <c r="D4335" s="3" t="s">
        <v>1580</v>
      </c>
      <c r="E4335" s="3" t="s">
        <v>1284</v>
      </c>
      <c r="F4335" s="3" t="s">
        <v>3</v>
      </c>
      <c r="J4335" s="3">
        <v>0.15570042930891248</v>
      </c>
      <c r="K4335" s="3">
        <v>0.15970857593656276</v>
      </c>
      <c r="L4335" s="3">
        <v>0.16938680127864486</v>
      </c>
      <c r="M4335" s="3">
        <v>0.18349903242943311</v>
      </c>
      <c r="N4335" s="3">
        <v>0.19650431166668986</v>
      </c>
      <c r="O4335" s="3">
        <v>0.28641316533049244</v>
      </c>
      <c r="P4335" s="3">
        <v>0.28641316533049244</v>
      </c>
    </row>
    <row r="4336" spans="1:16" x14ac:dyDescent="0.3">
      <c r="A4336" s="3" t="str">
        <f t="shared" si="68"/>
        <v>NGA</v>
      </c>
      <c r="C4336" s="3" t="s">
        <v>850</v>
      </c>
      <c r="D4336" s="3" t="s">
        <v>1580</v>
      </c>
      <c r="E4336" s="3" t="s">
        <v>1284</v>
      </c>
      <c r="F4336" s="3" t="s">
        <v>4</v>
      </c>
      <c r="J4336" s="3">
        <v>0.1859995557785917</v>
      </c>
      <c r="K4336" s="3">
        <v>0.19078768318162664</v>
      </c>
      <c r="L4336" s="3">
        <v>0.20234928016849793</v>
      </c>
      <c r="M4336" s="3">
        <v>3.7399987386922184</v>
      </c>
      <c r="N4336" s="3">
        <v>3.9487084157624235</v>
      </c>
      <c r="O4336" s="3">
        <v>4.2979374609052909</v>
      </c>
      <c r="P4336" s="3">
        <v>4.5398091282668922</v>
      </c>
    </row>
    <row r="4337" spans="1:16" x14ac:dyDescent="0.3">
      <c r="A4337" s="3" t="str">
        <f t="shared" si="68"/>
        <v>NGA</v>
      </c>
      <c r="C4337" s="3" t="s">
        <v>850</v>
      </c>
      <c r="D4337" s="3" t="s">
        <v>1580</v>
      </c>
      <c r="E4337" s="3" t="s">
        <v>1284</v>
      </c>
      <c r="F4337" s="3" t="s">
        <v>5</v>
      </c>
      <c r="J4337" s="3">
        <v>5.1079553799776925E-2</v>
      </c>
      <c r="K4337" s="3">
        <v>5.2394478506235138E-2</v>
      </c>
      <c r="L4337" s="3">
        <v>5.5569546386532512E-2</v>
      </c>
      <c r="M4337" s="3">
        <v>6.0199247624359069E-2</v>
      </c>
      <c r="N4337" s="3">
        <v>6.4465798869137947E-2</v>
      </c>
      <c r="O4337" s="3">
        <v>8.8697133444585116E-2</v>
      </c>
      <c r="P4337" s="3">
        <v>9.396156935725182E-2</v>
      </c>
    </row>
    <row r="4338" spans="1:16" x14ac:dyDescent="0.3">
      <c r="A4338" s="3" t="str">
        <f t="shared" si="68"/>
        <v>NGA</v>
      </c>
      <c r="C4338" s="3" t="s">
        <v>850</v>
      </c>
      <c r="D4338" s="3" t="s">
        <v>1580</v>
      </c>
      <c r="E4338" s="3" t="s">
        <v>1284</v>
      </c>
      <c r="F4338" s="3" t="s">
        <v>6</v>
      </c>
      <c r="G4338" s="3">
        <v>0.68900743421471455</v>
      </c>
      <c r="H4338" s="3">
        <v>0.94721436920198621</v>
      </c>
      <c r="I4338" s="3">
        <v>1.1504263859291366</v>
      </c>
      <c r="J4338" s="3">
        <v>1.3559406235935116</v>
      </c>
      <c r="K4338" s="3">
        <v>1.3559406235935116</v>
      </c>
      <c r="L4338" s="3">
        <v>1.3559406235935116</v>
      </c>
      <c r="M4338" s="3">
        <v>1.3559406235935116</v>
      </c>
      <c r="N4338" s="3">
        <v>12.126474820374662</v>
      </c>
      <c r="O4338" s="3">
        <v>13.014580475486818</v>
      </c>
      <c r="P4338" s="3">
        <v>13.746991849140123</v>
      </c>
    </row>
    <row r="4339" spans="1:16" x14ac:dyDescent="0.3">
      <c r="A4339" s="3" t="str">
        <f t="shared" si="68"/>
        <v>NGA</v>
      </c>
      <c r="C4339" s="3" t="s">
        <v>850</v>
      </c>
      <c r="D4339" s="3" t="s">
        <v>1580</v>
      </c>
      <c r="E4339" s="3" t="s">
        <v>1284</v>
      </c>
      <c r="F4339" s="3" t="s">
        <v>7</v>
      </c>
      <c r="H4339" s="3">
        <v>0.39551510174619392</v>
      </c>
      <c r="I4339" s="3">
        <v>0.39551510174619392</v>
      </c>
      <c r="J4339" s="3">
        <v>6.0726194169586263</v>
      </c>
      <c r="K4339" s="3">
        <v>6.0726194169586263</v>
      </c>
      <c r="L4339" s="3">
        <v>6.0726194169586263</v>
      </c>
      <c r="M4339" s="3">
        <v>6.0726194169586263</v>
      </c>
      <c r="N4339" s="3">
        <v>6.0726194169586263</v>
      </c>
      <c r="O4339" s="3">
        <v>6.0726194169586263</v>
      </c>
      <c r="P4339" s="3">
        <v>6.0726194169586263</v>
      </c>
    </row>
    <row r="4340" spans="1:16" x14ac:dyDescent="0.3">
      <c r="A4340" s="3" t="str">
        <f t="shared" si="68"/>
        <v>NGA</v>
      </c>
      <c r="C4340" s="3" t="s">
        <v>850</v>
      </c>
      <c r="D4340" s="3" t="s">
        <v>1580</v>
      </c>
      <c r="E4340" s="3" t="s">
        <v>1284</v>
      </c>
      <c r="F4340" s="3" t="s">
        <v>8</v>
      </c>
      <c r="H4340" s="3">
        <v>0.28321935781681079</v>
      </c>
      <c r="I4340" s="3">
        <v>0.30319122424235789</v>
      </c>
      <c r="J4340" s="3">
        <v>0.30319122424235789</v>
      </c>
      <c r="K4340" s="3">
        <v>0.31147694278329657</v>
      </c>
      <c r="L4340" s="3">
        <v>0.33148395814722498</v>
      </c>
      <c r="M4340" s="3">
        <v>0.36065703642072133</v>
      </c>
      <c r="N4340" s="3">
        <v>0.40310490778347446</v>
      </c>
      <c r="O4340" s="3">
        <v>0.55890613318033311</v>
      </c>
      <c r="P4340" s="3">
        <v>0.59207885708986419</v>
      </c>
    </row>
    <row r="4341" spans="1:16" x14ac:dyDescent="0.3">
      <c r="A4341" s="3" t="str">
        <f t="shared" si="68"/>
        <v>NGA</v>
      </c>
      <c r="C4341" s="3" t="s">
        <v>850</v>
      </c>
      <c r="D4341" s="3" t="s">
        <v>1580</v>
      </c>
      <c r="E4341" s="3" t="s">
        <v>1285</v>
      </c>
      <c r="F4341" s="3" t="s">
        <v>8</v>
      </c>
      <c r="G4341" s="3">
        <v>1.1103310958823678E-3</v>
      </c>
      <c r="H4341" s="3">
        <v>1.9457230632605328E-3</v>
      </c>
      <c r="I4341" s="3">
        <v>5.2872909327731869E-3</v>
      </c>
      <c r="J4341" s="3">
        <v>5.2872909327731869E-3</v>
      </c>
      <c r="K4341" s="3">
        <v>5.2872909327731869E-3</v>
      </c>
      <c r="L4341" s="3">
        <v>5.2872909327731869E-3</v>
      </c>
      <c r="M4341" s="3">
        <v>5.2872909327731869E-3</v>
      </c>
      <c r="N4341" s="3">
        <v>8.8121515546219658E-4</v>
      </c>
    </row>
    <row r="4342" spans="1:16" x14ac:dyDescent="0.3">
      <c r="A4342" s="3" t="str">
        <f t="shared" si="68"/>
        <v>NGA</v>
      </c>
      <c r="C4342" s="3" t="s">
        <v>850</v>
      </c>
      <c r="D4342" s="3" t="s">
        <v>1580</v>
      </c>
      <c r="E4342" s="3" t="s">
        <v>1286</v>
      </c>
      <c r="F4342" s="3" t="s">
        <v>2</v>
      </c>
      <c r="G4342" s="3">
        <v>2.0751069184289029E-2</v>
      </c>
      <c r="H4342" s="3">
        <v>6.3819631852479991E-2</v>
      </c>
      <c r="J4342" s="3">
        <v>0.17342291264260859</v>
      </c>
      <c r="K4342" s="3">
        <v>0.17342291264260859</v>
      </c>
      <c r="L4342" s="3">
        <v>0.17342291264260859</v>
      </c>
      <c r="M4342" s="3">
        <v>0.17342291264260859</v>
      </c>
      <c r="N4342" s="3">
        <v>2.8903818773768089E-2</v>
      </c>
    </row>
    <row r="4343" spans="1:16" x14ac:dyDescent="0.3">
      <c r="A4343" s="3" t="str">
        <f t="shared" si="68"/>
        <v>NGA</v>
      </c>
      <c r="C4343" s="3" t="s">
        <v>850</v>
      </c>
      <c r="D4343" s="3" t="s">
        <v>1580</v>
      </c>
      <c r="E4343" s="3" t="s">
        <v>1286</v>
      </c>
      <c r="F4343" s="3" t="s">
        <v>8</v>
      </c>
      <c r="G4343" s="3">
        <v>3.3038306120942071E-3</v>
      </c>
      <c r="H4343" s="3">
        <v>5.7895698345269931E-3</v>
      </c>
      <c r="I4343" s="3">
        <v>1.5732526724258129E-2</v>
      </c>
      <c r="J4343" s="3">
        <v>1.5732526724258129E-2</v>
      </c>
      <c r="K4343" s="3">
        <v>1.5732526724258129E-2</v>
      </c>
      <c r="L4343" s="3">
        <v>1.5732526724258129E-2</v>
      </c>
      <c r="M4343" s="3">
        <v>1.5732526724258129E-2</v>
      </c>
      <c r="N4343" s="3">
        <v>2.6220877873763568E-3</v>
      </c>
    </row>
    <row r="4344" spans="1:16" x14ac:dyDescent="0.3">
      <c r="A4344" s="3" t="str">
        <f t="shared" si="68"/>
        <v>NGA</v>
      </c>
      <c r="C4344" s="3" t="s">
        <v>850</v>
      </c>
      <c r="D4344" s="3" t="s">
        <v>1580</v>
      </c>
      <c r="E4344" s="3" t="s">
        <v>1287</v>
      </c>
      <c r="F4344" s="3" t="s">
        <v>1</v>
      </c>
      <c r="H4344" s="3">
        <v>0.14166470042560089</v>
      </c>
      <c r="I4344" s="3">
        <v>0.14166470042560089</v>
      </c>
    </row>
    <row r="4345" spans="1:16" x14ac:dyDescent="0.3">
      <c r="A4345" s="3" t="str">
        <f t="shared" si="68"/>
        <v>NGA</v>
      </c>
      <c r="C4345" s="3" t="s">
        <v>850</v>
      </c>
      <c r="D4345" s="3" t="s">
        <v>1580</v>
      </c>
      <c r="E4345" s="3" t="s">
        <v>1287</v>
      </c>
      <c r="F4345" s="3" t="s">
        <v>2</v>
      </c>
      <c r="H4345" s="3">
        <v>0.27569982816896832</v>
      </c>
      <c r="I4345" s="3">
        <v>0.27569982816896832</v>
      </c>
    </row>
    <row r="4346" spans="1:16" x14ac:dyDescent="0.3">
      <c r="A4346" s="3" t="str">
        <f t="shared" si="68"/>
        <v>NGA</v>
      </c>
      <c r="C4346" s="3" t="s">
        <v>850</v>
      </c>
      <c r="D4346" s="3" t="s">
        <v>1580</v>
      </c>
      <c r="E4346" s="3" t="s">
        <v>1287</v>
      </c>
      <c r="F4346" s="3" t="s">
        <v>3</v>
      </c>
      <c r="H4346" s="3">
        <v>6.9781748262503921E-4</v>
      </c>
      <c r="I4346" s="3">
        <v>6.9781748262503921E-4</v>
      </c>
    </row>
    <row r="4347" spans="1:16" x14ac:dyDescent="0.3">
      <c r="A4347" s="3" t="str">
        <f t="shared" si="68"/>
        <v>NGA</v>
      </c>
      <c r="C4347" s="3" t="s">
        <v>850</v>
      </c>
      <c r="D4347" s="3" t="s">
        <v>1580</v>
      </c>
      <c r="E4347" s="3" t="s">
        <v>1287</v>
      </c>
      <c r="F4347" s="3" t="s">
        <v>4</v>
      </c>
      <c r="H4347" s="3">
        <v>1.0672102339999535E-2</v>
      </c>
      <c r="I4347" s="3">
        <v>1.0672102339999535E-2</v>
      </c>
    </row>
    <row r="4348" spans="1:16" x14ac:dyDescent="0.3">
      <c r="A4348" s="3" t="str">
        <f t="shared" si="68"/>
        <v>NGA</v>
      </c>
      <c r="C4348" s="3" t="s">
        <v>850</v>
      </c>
      <c r="D4348" s="3" t="s">
        <v>1580</v>
      </c>
      <c r="E4348" s="3" t="s">
        <v>1287</v>
      </c>
      <c r="F4348" s="3" t="s">
        <v>5</v>
      </c>
      <c r="I4348" s="3">
        <v>2.2892811409933535E-4</v>
      </c>
    </row>
    <row r="4349" spans="1:16" x14ac:dyDescent="0.3">
      <c r="A4349" s="3" t="str">
        <f t="shared" si="68"/>
        <v>NGA</v>
      </c>
      <c r="C4349" s="3" t="s">
        <v>850</v>
      </c>
      <c r="D4349" s="3" t="s">
        <v>1580</v>
      </c>
      <c r="E4349" s="3" t="s">
        <v>1287</v>
      </c>
      <c r="F4349" s="3" t="s">
        <v>7</v>
      </c>
      <c r="I4349" s="3">
        <v>3.242460489910845E-2</v>
      </c>
      <c r="O4349" s="3">
        <v>2.1763453657411443E-2</v>
      </c>
      <c r="P4349" s="3">
        <v>0.15415479420873232</v>
      </c>
    </row>
    <row r="4350" spans="1:16" x14ac:dyDescent="0.3">
      <c r="A4350" s="3" t="str">
        <f t="shared" si="68"/>
        <v>NGA</v>
      </c>
      <c r="C4350" s="3" t="s">
        <v>850</v>
      </c>
      <c r="D4350" s="3" t="s">
        <v>1581</v>
      </c>
      <c r="E4350" s="3" t="s">
        <v>1289</v>
      </c>
      <c r="F4350" s="3" t="s">
        <v>1</v>
      </c>
      <c r="G4350" s="3">
        <v>0.2812050712329473</v>
      </c>
      <c r="H4350" s="3">
        <v>0.22581357923048509</v>
      </c>
      <c r="I4350" s="3">
        <v>4.2476112206354171E-3</v>
      </c>
      <c r="J4350" s="3">
        <v>4.2476112206354171E-3</v>
      </c>
      <c r="K4350" s="3">
        <v>4.2476112206354171E-3</v>
      </c>
      <c r="L4350" s="3">
        <v>4.2476112206354171E-3</v>
      </c>
      <c r="M4350" s="3">
        <v>4.2476112206354171E-3</v>
      </c>
      <c r="N4350" s="3">
        <v>4.2476112206354171E-3</v>
      </c>
      <c r="O4350" s="3">
        <v>4.2476112206354171E-3</v>
      </c>
      <c r="P4350" s="3">
        <v>4.2476112206354171E-3</v>
      </c>
    </row>
    <row r="4351" spans="1:16" x14ac:dyDescent="0.3">
      <c r="A4351" s="3" t="str">
        <f t="shared" si="68"/>
        <v>NGA</v>
      </c>
      <c r="C4351" s="3" t="s">
        <v>850</v>
      </c>
      <c r="D4351" s="3" t="s">
        <v>1581</v>
      </c>
      <c r="E4351" s="3" t="s">
        <v>1289</v>
      </c>
      <c r="F4351" s="3" t="s">
        <v>2</v>
      </c>
      <c r="G4351" s="3">
        <v>0.13660392363332785</v>
      </c>
      <c r="H4351" s="3">
        <v>0.18536329008108901</v>
      </c>
      <c r="I4351" s="3">
        <v>0.38040075587213412</v>
      </c>
      <c r="J4351" s="3">
        <v>0.38040075587213412</v>
      </c>
      <c r="K4351" s="3">
        <v>0.38040075587213412</v>
      </c>
      <c r="L4351" s="3">
        <v>0.38040075587213412</v>
      </c>
      <c r="M4351" s="3">
        <v>0.38040075587213412</v>
      </c>
      <c r="N4351" s="3">
        <v>0.38040075587213412</v>
      </c>
      <c r="O4351" s="3">
        <v>0.38040075587213412</v>
      </c>
      <c r="P4351" s="3">
        <v>0.38040075587213412</v>
      </c>
    </row>
    <row r="4352" spans="1:16" x14ac:dyDescent="0.3">
      <c r="A4352" s="3" t="str">
        <f t="shared" si="68"/>
        <v>NGA</v>
      </c>
      <c r="C4352" s="3" t="s">
        <v>850</v>
      </c>
      <c r="D4352" s="3" t="s">
        <v>1581</v>
      </c>
      <c r="E4352" s="3" t="s">
        <v>1290</v>
      </c>
      <c r="F4352" s="3" t="s">
        <v>2</v>
      </c>
      <c r="G4352" s="3">
        <v>2.6035000989306393E-2</v>
      </c>
      <c r="H4352" s="3">
        <v>0.7828541733329395</v>
      </c>
      <c r="I4352" s="3">
        <v>0.51361964633815638</v>
      </c>
      <c r="J4352" s="3">
        <v>0.51361964633815638</v>
      </c>
      <c r="K4352" s="3">
        <v>0.51361964633815638</v>
      </c>
      <c r="L4352" s="3">
        <v>0.51361964633815638</v>
      </c>
      <c r="M4352" s="3">
        <v>0.51361964633815638</v>
      </c>
      <c r="N4352" s="3">
        <v>8.5603274389692757E-2</v>
      </c>
    </row>
    <row r="4353" spans="1:16" x14ac:dyDescent="0.3">
      <c r="A4353" s="3" t="str">
        <f t="shared" si="68"/>
        <v>NGA</v>
      </c>
      <c r="C4353" s="3" t="s">
        <v>850</v>
      </c>
      <c r="D4353" s="3" t="s">
        <v>1581</v>
      </c>
      <c r="E4353" s="3" t="s">
        <v>1290</v>
      </c>
      <c r="F4353" s="3" t="s">
        <v>4</v>
      </c>
      <c r="H4353" s="3">
        <v>6.2006213004242937E-2</v>
      </c>
      <c r="I4353" s="3">
        <v>7.4526698322407423E-2</v>
      </c>
      <c r="J4353" s="3">
        <v>7.4526698322407423E-2</v>
      </c>
      <c r="K4353" s="3">
        <v>7.4526698322407423E-2</v>
      </c>
      <c r="L4353" s="3">
        <v>7.4526698322407423E-2</v>
      </c>
      <c r="M4353" s="3">
        <v>7.4526698322407423E-2</v>
      </c>
      <c r="N4353" s="3">
        <v>1.2421116387067895E-2</v>
      </c>
    </row>
    <row r="4354" spans="1:16" x14ac:dyDescent="0.3">
      <c r="A4354" s="3" t="str">
        <f t="shared" si="68"/>
        <v>NGA</v>
      </c>
      <c r="C4354" s="3" t="s">
        <v>850</v>
      </c>
      <c r="D4354" s="3" t="s">
        <v>1581</v>
      </c>
      <c r="E4354" s="3" t="s">
        <v>1290</v>
      </c>
      <c r="F4354" s="3" t="s">
        <v>8</v>
      </c>
      <c r="G4354" s="3">
        <v>2.570759631196033</v>
      </c>
      <c r="H4354" s="3">
        <v>2.8712476106237999</v>
      </c>
      <c r="I4354" s="3">
        <v>2.6229719257254556</v>
      </c>
      <c r="J4354" s="3">
        <v>1.7199841663821143</v>
      </c>
      <c r="K4354" s="3">
        <v>1.4851344140388858</v>
      </c>
      <c r="L4354" s="3">
        <v>1.4231558788822596</v>
      </c>
      <c r="M4354" s="3">
        <v>1.2554353831208818</v>
      </c>
      <c r="N4354" s="3">
        <v>0.77042946950723445</v>
      </c>
    </row>
    <row r="4355" spans="1:16" x14ac:dyDescent="0.3">
      <c r="A4355" s="3" t="str">
        <f t="shared" si="68"/>
        <v>NGA</v>
      </c>
      <c r="C4355" s="3" t="s">
        <v>850</v>
      </c>
      <c r="D4355" s="3" t="s">
        <v>1581</v>
      </c>
      <c r="E4355" s="3" t="s">
        <v>1291</v>
      </c>
      <c r="F4355" s="3" t="s">
        <v>2</v>
      </c>
      <c r="G4355" s="3">
        <v>2.6954252060065167E-4</v>
      </c>
      <c r="H4355" s="3">
        <v>3.5211124210110474E-4</v>
      </c>
      <c r="I4355" s="3">
        <v>6.8238612810291629E-4</v>
      </c>
      <c r="J4355" s="3">
        <v>6.8238612810291629E-4</v>
      </c>
      <c r="K4355" s="3">
        <v>6.8238612810291629E-4</v>
      </c>
      <c r="L4355" s="3">
        <v>6.8238612810291629E-4</v>
      </c>
      <c r="M4355" s="3">
        <v>6.8238612810291629E-4</v>
      </c>
      <c r="N4355" s="3">
        <v>1.1373102135048595E-4</v>
      </c>
    </row>
    <row r="4356" spans="1:16" x14ac:dyDescent="0.3">
      <c r="A4356" s="3" t="str">
        <f t="shared" si="68"/>
        <v>NGA</v>
      </c>
      <c r="C4356" s="3" t="s">
        <v>850</v>
      </c>
      <c r="D4356" s="3" t="s">
        <v>1581</v>
      </c>
      <c r="E4356" s="3" t="s">
        <v>1292</v>
      </c>
      <c r="F4356" s="3" t="s">
        <v>0</v>
      </c>
      <c r="G4356" s="3">
        <v>4.6591757079985623E-3</v>
      </c>
      <c r="H4356" s="3">
        <v>3.7037330070309347E-3</v>
      </c>
      <c r="I4356" s="3">
        <v>5.8976907696184347E-3</v>
      </c>
      <c r="J4356" s="3">
        <v>4.0232175463432752E-3</v>
      </c>
      <c r="K4356" s="3">
        <v>4.0233322853573941E-3</v>
      </c>
      <c r="L4356" s="3">
        <v>4.1807253936712013E-3</v>
      </c>
      <c r="M4356" s="3">
        <v>4.581247793331902E-3</v>
      </c>
      <c r="N4356" s="3">
        <v>9.8294846160307194E-4</v>
      </c>
    </row>
    <row r="4357" spans="1:16" x14ac:dyDescent="0.3">
      <c r="A4357" s="3" t="str">
        <f t="shared" si="68"/>
        <v>NGA</v>
      </c>
      <c r="C4357" s="3" t="s">
        <v>850</v>
      </c>
      <c r="D4357" s="3" t="s">
        <v>1581</v>
      </c>
      <c r="E4357" s="3" t="s">
        <v>1292</v>
      </c>
      <c r="F4357" s="3" t="s">
        <v>2</v>
      </c>
      <c r="H4357" s="3">
        <v>1.0013335601671015E-2</v>
      </c>
      <c r="J4357" s="3">
        <v>4.9786435012085101E-3</v>
      </c>
      <c r="K4357" s="3">
        <v>4.9786435012085101E-3</v>
      </c>
      <c r="L4357" s="3">
        <v>4.9786435012085101E-3</v>
      </c>
      <c r="M4357" s="3">
        <v>4.9786435012085101E-3</v>
      </c>
      <c r="N4357" s="3">
        <v>8.2977391686808418E-4</v>
      </c>
    </row>
    <row r="4358" spans="1:16" x14ac:dyDescent="0.3">
      <c r="A4358" s="3" t="str">
        <f t="shared" si="68"/>
        <v>NGA</v>
      </c>
      <c r="C4358" s="3" t="s">
        <v>850</v>
      </c>
      <c r="D4358" s="3" t="s">
        <v>1581</v>
      </c>
      <c r="E4358" s="3" t="s">
        <v>1293</v>
      </c>
      <c r="F4358" s="3" t="s">
        <v>0</v>
      </c>
      <c r="N4358" s="3">
        <v>7.5306680236457738E-4</v>
      </c>
      <c r="O4358" s="3">
        <v>9.5784836009899497E-4</v>
      </c>
      <c r="P4358" s="3">
        <v>9.642211110927984E-4</v>
      </c>
    </row>
    <row r="4359" spans="1:16" x14ac:dyDescent="0.3">
      <c r="A4359" s="3" t="str">
        <f t="shared" si="68"/>
        <v>NGA</v>
      </c>
      <c r="C4359" s="3" t="s">
        <v>850</v>
      </c>
      <c r="D4359" s="3" t="s">
        <v>1581</v>
      </c>
      <c r="E4359" s="3" t="s">
        <v>1293</v>
      </c>
      <c r="F4359" s="3" t="s">
        <v>1</v>
      </c>
      <c r="H4359" s="3">
        <v>7.4387102983318451E-2</v>
      </c>
      <c r="I4359" s="3">
        <v>0.30578233145510481</v>
      </c>
      <c r="J4359" s="3">
        <v>0.32436840959267016</v>
      </c>
      <c r="K4359" s="3">
        <v>0.32437778146424356</v>
      </c>
      <c r="L4359" s="3">
        <v>0.33723363535782908</v>
      </c>
      <c r="M4359" s="3">
        <v>0.3699482662986181</v>
      </c>
      <c r="N4359" s="3">
        <v>0.38209950112319035</v>
      </c>
      <c r="O4359" s="3">
        <v>0.38503674820934092</v>
      </c>
      <c r="P4359" s="3">
        <v>0.387626670233709</v>
      </c>
    </row>
    <row r="4360" spans="1:16" x14ac:dyDescent="0.3">
      <c r="A4360" s="3" t="str">
        <f t="shared" si="68"/>
        <v>NGA</v>
      </c>
      <c r="C4360" s="3" t="s">
        <v>850</v>
      </c>
      <c r="D4360" s="3" t="s">
        <v>1581</v>
      </c>
      <c r="E4360" s="3" t="s">
        <v>1293</v>
      </c>
      <c r="F4360" s="3" t="s">
        <v>2</v>
      </c>
      <c r="H4360" s="3">
        <v>0.74020945372171743</v>
      </c>
      <c r="I4360" s="3">
        <v>0.674141529085308</v>
      </c>
      <c r="J4360" s="3">
        <v>0.7401756520267283</v>
      </c>
      <c r="K4360" s="3">
        <v>0.74020945372171743</v>
      </c>
      <c r="L4360" s="3">
        <v>0.78657688936289305</v>
      </c>
      <c r="M4360" s="3">
        <v>0.90456932745591101</v>
      </c>
      <c r="N4360" s="3">
        <v>1.0022694069991573</v>
      </c>
      <c r="O4360" s="3">
        <v>1.0236380292132357</v>
      </c>
      <c r="P4360" s="3">
        <v>1.0329791467908422</v>
      </c>
    </row>
    <row r="4361" spans="1:16" x14ac:dyDescent="0.3">
      <c r="A4361" s="3" t="str">
        <f t="shared" si="68"/>
        <v>NGA</v>
      </c>
      <c r="C4361" s="3" t="s">
        <v>850</v>
      </c>
      <c r="D4361" s="3" t="s">
        <v>1581</v>
      </c>
      <c r="E4361" s="3" t="s">
        <v>1293</v>
      </c>
      <c r="F4361" s="3" t="s">
        <v>4</v>
      </c>
      <c r="H4361" s="3">
        <v>6.1768088805701192E-2</v>
      </c>
      <c r="I4361" s="3">
        <v>6.1943947134558641E-2</v>
      </c>
      <c r="J4361" s="3">
        <v>6.6209708457736993E-2</v>
      </c>
      <c r="K4361" s="3">
        <v>6.6211859431546435E-2</v>
      </c>
      <c r="L4361" s="3">
        <v>6.916245524362713E-2</v>
      </c>
      <c r="M4361" s="3">
        <v>7.667091433523307E-2</v>
      </c>
      <c r="N4361" s="3">
        <v>8.7136624934413168E-2</v>
      </c>
      <c r="O4361" s="3">
        <v>8.934613057602131E-2</v>
      </c>
      <c r="P4361" s="3">
        <v>8.9940553407983487E-2</v>
      </c>
    </row>
    <row r="4362" spans="1:16" x14ac:dyDescent="0.3">
      <c r="A4362" s="3" t="str">
        <f t="shared" si="68"/>
        <v>NGA</v>
      </c>
      <c r="C4362" s="3" t="s">
        <v>850</v>
      </c>
      <c r="D4362" s="3" t="s">
        <v>1581</v>
      </c>
      <c r="E4362" s="3" t="s">
        <v>1293</v>
      </c>
      <c r="F4362" s="3" t="s">
        <v>5</v>
      </c>
      <c r="H4362" s="3">
        <v>9.81196933909559E-2</v>
      </c>
      <c r="I4362" s="3">
        <v>9.81196933909559E-2</v>
      </c>
      <c r="J4362" s="3">
        <v>0.10658351218750471</v>
      </c>
      <c r="K4362" s="3">
        <v>0.10658652420484301</v>
      </c>
      <c r="L4362" s="3">
        <v>0.11075619936784298</v>
      </c>
      <c r="M4362" s="3">
        <v>0.12136688188101162</v>
      </c>
      <c r="N4362" s="3">
        <v>0.12530802048348771</v>
      </c>
      <c r="O4362" s="3">
        <v>0.12626068891952427</v>
      </c>
      <c r="P4362" s="3">
        <v>0.12710070574209426</v>
      </c>
    </row>
    <row r="4363" spans="1:16" x14ac:dyDescent="0.3">
      <c r="A4363" s="3" t="str">
        <f t="shared" si="68"/>
        <v>NGA</v>
      </c>
      <c r="C4363" s="3" t="s">
        <v>850</v>
      </c>
      <c r="D4363" s="3" t="s">
        <v>1581</v>
      </c>
      <c r="E4363" s="3" t="s">
        <v>1293</v>
      </c>
      <c r="F4363" s="3" t="s">
        <v>7</v>
      </c>
      <c r="H4363" s="3">
        <v>2.7926374272810684E-2</v>
      </c>
      <c r="I4363" s="3">
        <v>2.8619583319840224E-2</v>
      </c>
      <c r="J4363" s="3">
        <v>3.0335307314936444E-2</v>
      </c>
      <c r="K4363" s="3">
        <v>3.0336172454145549E-2</v>
      </c>
      <c r="L4363" s="3">
        <v>3.152292615438413E-2</v>
      </c>
      <c r="M4363" s="3">
        <v>3.4542889638901335E-2</v>
      </c>
      <c r="N4363" s="3">
        <v>3.5664598318067481E-2</v>
      </c>
      <c r="O4363" s="3">
        <v>3.5935742411401059E-2</v>
      </c>
      <c r="P4363" s="3">
        <v>3.6174824122440226E-2</v>
      </c>
    </row>
    <row r="4364" spans="1:16" x14ac:dyDescent="0.3">
      <c r="A4364" s="3" t="str">
        <f t="shared" si="68"/>
        <v>NGA</v>
      </c>
      <c r="C4364" s="3" t="s">
        <v>850</v>
      </c>
      <c r="D4364" s="3" t="s">
        <v>1581</v>
      </c>
      <c r="E4364" s="3" t="s">
        <v>1293</v>
      </c>
      <c r="F4364" s="3" t="s">
        <v>8</v>
      </c>
      <c r="H4364" s="3">
        <v>9.5531347763574254E-4</v>
      </c>
      <c r="I4364" s="3">
        <v>4.0478156784089919E-2</v>
      </c>
      <c r="J4364" s="3">
        <v>0.17395958494809904</v>
      </c>
      <c r="K4364" s="3">
        <v>0.20300024974633768</v>
      </c>
      <c r="L4364" s="3">
        <v>0.22578429986189111</v>
      </c>
      <c r="M4364" s="3">
        <v>0.28499982524284706</v>
      </c>
      <c r="N4364" s="3">
        <v>0.35924516654378663</v>
      </c>
      <c r="O4364" s="3">
        <v>0.45793271771095861</v>
      </c>
      <c r="P4364" s="3">
        <v>0.46097935958738839</v>
      </c>
    </row>
    <row r="4365" spans="1:16" x14ac:dyDescent="0.3">
      <c r="A4365" s="3" t="str">
        <f t="shared" si="68"/>
        <v>NGA</v>
      </c>
      <c r="C4365" s="3" t="s">
        <v>850</v>
      </c>
      <c r="D4365" s="3" t="s">
        <v>1581</v>
      </c>
      <c r="E4365" s="3" t="s">
        <v>1295</v>
      </c>
      <c r="F4365" s="3" t="s">
        <v>1</v>
      </c>
      <c r="P4365" s="3">
        <v>0.11433088463473763</v>
      </c>
    </row>
    <row r="4366" spans="1:16" x14ac:dyDescent="0.3">
      <c r="A4366" s="3" t="str">
        <f t="shared" si="68"/>
        <v>NGA</v>
      </c>
      <c r="C4366" s="3" t="s">
        <v>850</v>
      </c>
      <c r="D4366" s="3" t="s">
        <v>1581</v>
      </c>
      <c r="E4366" s="3" t="s">
        <v>1295</v>
      </c>
      <c r="F4366" s="3" t="s">
        <v>2</v>
      </c>
      <c r="P4366" s="3">
        <v>12.251245423624487</v>
      </c>
    </row>
    <row r="4367" spans="1:16" x14ac:dyDescent="0.3">
      <c r="A4367" s="3" t="str">
        <f t="shared" si="68"/>
        <v>NGA</v>
      </c>
      <c r="C4367" s="3" t="s">
        <v>850</v>
      </c>
      <c r="D4367" s="3" t="s">
        <v>1581</v>
      </c>
      <c r="E4367" s="3" t="s">
        <v>1295</v>
      </c>
      <c r="F4367" s="3" t="s">
        <v>3</v>
      </c>
      <c r="N4367" s="3">
        <v>9.2546749368228021</v>
      </c>
      <c r="O4367" s="3">
        <v>9.2904754535153948</v>
      </c>
      <c r="P4367" s="3">
        <v>9.2904754535153948</v>
      </c>
    </row>
    <row r="4368" spans="1:16" x14ac:dyDescent="0.3">
      <c r="A4368" s="3" t="str">
        <f t="shared" si="68"/>
        <v>NGA</v>
      </c>
      <c r="C4368" s="3" t="s">
        <v>850</v>
      </c>
      <c r="D4368" s="3" t="s">
        <v>1581</v>
      </c>
      <c r="E4368" s="3" t="s">
        <v>1295</v>
      </c>
      <c r="F4368" s="3" t="s">
        <v>4</v>
      </c>
      <c r="M4368" s="3">
        <v>1.1455290106521604E-2</v>
      </c>
      <c r="N4368" s="3">
        <v>0.86704016124923666</v>
      </c>
      <c r="O4368" s="3">
        <v>0.87363193094503044</v>
      </c>
      <c r="P4368" s="3">
        <v>0.87944423376258896</v>
      </c>
    </row>
    <row r="4369" spans="1:16" x14ac:dyDescent="0.3">
      <c r="A4369" s="3" t="str">
        <f t="shared" si="68"/>
        <v>NGA</v>
      </c>
      <c r="C4369" s="3" t="s">
        <v>850</v>
      </c>
      <c r="D4369" s="3" t="s">
        <v>1581</v>
      </c>
      <c r="E4369" s="3" t="s">
        <v>1295</v>
      </c>
      <c r="F4369" s="3" t="s">
        <v>5</v>
      </c>
      <c r="O4369" s="3">
        <v>0.76149748132837347</v>
      </c>
      <c r="P4369" s="3">
        <v>0.76656374985578479</v>
      </c>
    </row>
    <row r="4370" spans="1:16" x14ac:dyDescent="0.3">
      <c r="A4370" s="3" t="str">
        <f t="shared" si="68"/>
        <v>NGA</v>
      </c>
      <c r="C4370" s="3" t="s">
        <v>850</v>
      </c>
      <c r="D4370" s="3" t="s">
        <v>1581</v>
      </c>
      <c r="E4370" s="3" t="s">
        <v>1295</v>
      </c>
      <c r="F4370" s="3" t="s">
        <v>6</v>
      </c>
      <c r="N4370" s="3">
        <v>2.6254835154535874</v>
      </c>
      <c r="O4370" s="3">
        <v>2.6454440472114675</v>
      </c>
      <c r="P4370" s="3">
        <v>2.6630442760317075</v>
      </c>
    </row>
    <row r="4371" spans="1:16" x14ac:dyDescent="0.3">
      <c r="A4371" s="3" t="str">
        <f t="shared" si="68"/>
        <v>NGA</v>
      </c>
      <c r="C4371" s="3" t="s">
        <v>850</v>
      </c>
      <c r="D4371" s="3" t="s">
        <v>1581</v>
      </c>
      <c r="E4371" s="3" t="s">
        <v>1295</v>
      </c>
      <c r="F4371" s="3" t="s">
        <v>7</v>
      </c>
      <c r="N4371" s="3">
        <v>0.16141493493458595</v>
      </c>
      <c r="O4371" s="3">
        <v>0.16264211001147894</v>
      </c>
      <c r="P4371" s="3">
        <v>0.16372417347641033</v>
      </c>
    </row>
    <row r="4372" spans="1:16" x14ac:dyDescent="0.3">
      <c r="A4372" s="3" t="str">
        <f t="shared" si="68"/>
        <v>NGA</v>
      </c>
      <c r="C4372" s="3" t="s">
        <v>850</v>
      </c>
      <c r="D4372" s="3" t="s">
        <v>1582</v>
      </c>
      <c r="E4372" s="3" t="s">
        <v>1299</v>
      </c>
      <c r="F4372" s="3" t="s">
        <v>1</v>
      </c>
      <c r="G4372" s="3">
        <v>7.4750715137872334E-2</v>
      </c>
      <c r="H4372" s="3">
        <v>6.0650094354424894E-2</v>
      </c>
      <c r="I4372" s="3">
        <v>4.2476112206354171E-3</v>
      </c>
      <c r="J4372" s="3">
        <v>4.2476112206354171E-3</v>
      </c>
      <c r="K4372" s="3">
        <v>4.2476112206354171E-3</v>
      </c>
      <c r="L4372" s="3">
        <v>4.2476112206354171E-3</v>
      </c>
      <c r="M4372" s="3">
        <v>4.2476112206354171E-3</v>
      </c>
      <c r="N4372" s="3">
        <v>4.2476112206354171E-3</v>
      </c>
      <c r="O4372" s="3">
        <v>4.2476112206354171E-3</v>
      </c>
      <c r="P4372" s="3">
        <v>4.2476112206354171E-3</v>
      </c>
    </row>
    <row r="4373" spans="1:16" x14ac:dyDescent="0.3">
      <c r="A4373" s="3" t="str">
        <f t="shared" si="68"/>
        <v>NGA</v>
      </c>
      <c r="C4373" s="3" t="s">
        <v>850</v>
      </c>
      <c r="D4373" s="3" t="s">
        <v>1582</v>
      </c>
      <c r="E4373" s="3" t="s">
        <v>1299</v>
      </c>
      <c r="F4373" s="3" t="s">
        <v>2</v>
      </c>
      <c r="G4373" s="3">
        <v>3.631243539620109E-2</v>
      </c>
      <c r="H4373" s="3">
        <v>0.10513009949138757</v>
      </c>
      <c r="I4373" s="3">
        <v>0.24695843416430929</v>
      </c>
      <c r="J4373" s="3">
        <v>0.26398730964061901</v>
      </c>
      <c r="K4373" s="3">
        <v>0.26399629490131243</v>
      </c>
      <c r="L4373" s="3">
        <v>0.2763218157679535</v>
      </c>
      <c r="M4373" s="3">
        <v>0.30768689424837559</v>
      </c>
      <c r="N4373" s="3">
        <v>0.36189732788505352</v>
      </c>
      <c r="O4373" s="3">
        <v>0.37322549983281977</v>
      </c>
      <c r="P4373" s="3">
        <v>0.37570858172053939</v>
      </c>
    </row>
    <row r="4374" spans="1:16" x14ac:dyDescent="0.3">
      <c r="A4374" s="3" t="str">
        <f t="shared" si="68"/>
        <v>NGA</v>
      </c>
      <c r="C4374" s="3" t="s">
        <v>850</v>
      </c>
      <c r="D4374" s="3" t="s">
        <v>1582</v>
      </c>
      <c r="E4374" s="3" t="s">
        <v>1301</v>
      </c>
      <c r="F4374" s="3" t="s">
        <v>2</v>
      </c>
      <c r="H4374" s="3">
        <v>0.16744000470623918</v>
      </c>
      <c r="I4374" s="3">
        <v>0.40575952060714515</v>
      </c>
      <c r="J4374" s="3">
        <v>0.40575952060714515</v>
      </c>
      <c r="K4374" s="3">
        <v>0.40575952060714515</v>
      </c>
      <c r="L4374" s="3">
        <v>0.40575952060714515</v>
      </c>
      <c r="M4374" s="3">
        <v>0.40575952060714515</v>
      </c>
      <c r="N4374" s="3">
        <v>6.7626586767857516E-2</v>
      </c>
    </row>
    <row r="4375" spans="1:16" x14ac:dyDescent="0.3">
      <c r="A4375" s="3" t="str">
        <f t="shared" si="68"/>
        <v>NGA</v>
      </c>
      <c r="C4375" s="3" t="s">
        <v>850</v>
      </c>
      <c r="D4375" s="3" t="s">
        <v>1582</v>
      </c>
      <c r="E4375" s="3" t="s">
        <v>1301</v>
      </c>
      <c r="F4375" s="3" t="s">
        <v>4</v>
      </c>
      <c r="G4375" s="3">
        <v>1.1278771844238132E-2</v>
      </c>
      <c r="H4375" s="3">
        <v>2.4295703653104791E-2</v>
      </c>
      <c r="I4375" s="3">
        <v>5.8876091674701814E-2</v>
      </c>
      <c r="J4375" s="3">
        <v>5.8876091674701814E-2</v>
      </c>
      <c r="K4375" s="3">
        <v>5.8876091674701814E-2</v>
      </c>
      <c r="L4375" s="3">
        <v>5.8876091674701814E-2</v>
      </c>
      <c r="M4375" s="3">
        <v>5.8876091674701814E-2</v>
      </c>
      <c r="N4375" s="3">
        <v>9.8126819457836321E-3</v>
      </c>
    </row>
    <row r="4376" spans="1:16" x14ac:dyDescent="0.3">
      <c r="A4376" s="3" t="str">
        <f t="shared" si="68"/>
        <v>NGA</v>
      </c>
      <c r="C4376" s="3" t="s">
        <v>850</v>
      </c>
      <c r="D4376" s="3" t="s">
        <v>1582</v>
      </c>
      <c r="E4376" s="3" t="s">
        <v>1301</v>
      </c>
      <c r="F4376" s="3" t="s">
        <v>8</v>
      </c>
      <c r="G4376" s="3">
        <v>0.69957465479483794</v>
      </c>
      <c r="H4376" s="3">
        <v>0.76324303573544272</v>
      </c>
      <c r="I4376" s="3">
        <v>0.69724570177512302</v>
      </c>
      <c r="J4376" s="3">
        <v>0.4572109809370194</v>
      </c>
      <c r="K4376" s="3">
        <v>0.39478134279709348</v>
      </c>
      <c r="L4376" s="3">
        <v>0.37830603598330564</v>
      </c>
      <c r="M4376" s="3">
        <v>0.33372374641198516</v>
      </c>
      <c r="N4376" s="3">
        <v>0.27855128528225098</v>
      </c>
    </row>
    <row r="4377" spans="1:16" x14ac:dyDescent="0.3">
      <c r="A4377" s="3" t="str">
        <f t="shared" si="68"/>
        <v>NGA</v>
      </c>
      <c r="C4377" s="3" t="s">
        <v>850</v>
      </c>
      <c r="D4377" s="3" t="s">
        <v>1582</v>
      </c>
      <c r="E4377" s="3" t="s">
        <v>1303</v>
      </c>
      <c r="F4377" s="3" t="s">
        <v>2</v>
      </c>
      <c r="G4377" s="3">
        <v>1.433010869016124E-4</v>
      </c>
      <c r="H4377" s="3">
        <v>2.2245787776155058E-4</v>
      </c>
      <c r="I4377" s="3">
        <v>5.3908504120130346E-4</v>
      </c>
      <c r="J4377" s="3">
        <v>5.3908504120130346E-4</v>
      </c>
      <c r="K4377" s="3">
        <v>5.3908504120130346E-4</v>
      </c>
      <c r="L4377" s="3">
        <v>5.3908504120130346E-4</v>
      </c>
      <c r="M4377" s="3">
        <v>5.3908504120130346E-4</v>
      </c>
      <c r="N4377" s="3">
        <v>8.9847506866883991E-5</v>
      </c>
    </row>
    <row r="4378" spans="1:16" x14ac:dyDescent="0.3">
      <c r="A4378" s="3" t="str">
        <f t="shared" si="68"/>
        <v>NGA</v>
      </c>
      <c r="C4378" s="3" t="s">
        <v>850</v>
      </c>
      <c r="D4378" s="3" t="s">
        <v>1582</v>
      </c>
      <c r="E4378" s="3" t="s">
        <v>1306</v>
      </c>
      <c r="F4378" s="3" t="s">
        <v>0</v>
      </c>
      <c r="G4378" s="3">
        <v>1.2385150616198699E-3</v>
      </c>
      <c r="H4378" s="3">
        <v>9.8453662211636737E-4</v>
      </c>
      <c r="I4378" s="3">
        <v>4.6591757079985623E-3</v>
      </c>
      <c r="J4378" s="3">
        <v>1.0694628920659859E-3</v>
      </c>
      <c r="K4378" s="3">
        <v>1.0694933923100852E-3</v>
      </c>
      <c r="L4378" s="3">
        <v>1.1113320666720937E-3</v>
      </c>
      <c r="M4378" s="3">
        <v>1.2178000463287384E-3</v>
      </c>
      <c r="N4378" s="3">
        <v>7.7652928466642713E-4</v>
      </c>
    </row>
    <row r="4379" spans="1:16" x14ac:dyDescent="0.3">
      <c r="A4379" s="3" t="str">
        <f t="shared" si="68"/>
        <v>NGA</v>
      </c>
      <c r="C4379" s="3" t="s">
        <v>850</v>
      </c>
      <c r="D4379" s="3" t="s">
        <v>1582</v>
      </c>
      <c r="E4379" s="3" t="s">
        <v>1306</v>
      </c>
      <c r="F4379" s="3" t="s">
        <v>2</v>
      </c>
      <c r="H4379" s="3">
        <v>1.6230377813939733E-3</v>
      </c>
      <c r="J4379" s="3">
        <v>3.9331283659547215E-3</v>
      </c>
      <c r="K4379" s="3">
        <v>3.9331283659547215E-3</v>
      </c>
      <c r="L4379" s="3">
        <v>3.9331283659547215E-3</v>
      </c>
      <c r="M4379" s="3">
        <v>3.9331283659547215E-3</v>
      </c>
      <c r="N4379" s="3">
        <v>6.5552139432578671E-4</v>
      </c>
    </row>
    <row r="4380" spans="1:16" x14ac:dyDescent="0.3">
      <c r="A4380" s="3" t="str">
        <f t="shared" si="68"/>
        <v>NGA</v>
      </c>
      <c r="C4380" s="3" t="s">
        <v>850</v>
      </c>
      <c r="D4380" s="3" t="s">
        <v>1582</v>
      </c>
      <c r="E4380" s="3" t="s">
        <v>1307</v>
      </c>
      <c r="F4380" s="3" t="s">
        <v>0</v>
      </c>
      <c r="N4380" s="3">
        <v>9.6628914532770704E-5</v>
      </c>
      <c r="O4380" s="3">
        <v>2.5461791850732901E-4</v>
      </c>
      <c r="P4380" s="3">
        <v>2.562965253194161E-4</v>
      </c>
    </row>
    <row r="4381" spans="1:16" x14ac:dyDescent="0.3">
      <c r="A4381" s="3" t="str">
        <f t="shared" si="68"/>
        <v>NGA</v>
      </c>
      <c r="C4381" s="3" t="s">
        <v>850</v>
      </c>
      <c r="D4381" s="3" t="s">
        <v>1582</v>
      </c>
      <c r="E4381" s="3" t="s">
        <v>1307</v>
      </c>
      <c r="F4381" s="3" t="s">
        <v>1</v>
      </c>
      <c r="H4381" s="3">
        <v>1.9766761900087901E-2</v>
      </c>
      <c r="I4381" s="3">
        <v>7.8165411515953701E-2</v>
      </c>
      <c r="J4381" s="3">
        <v>8.3106014565179104E-2</v>
      </c>
      <c r="K4381" s="3">
        <v>8.310848315174281E-2</v>
      </c>
      <c r="L4381" s="3">
        <v>8.6525862034847037E-2</v>
      </c>
      <c r="M4381" s="3">
        <v>9.5222156335562844E-2</v>
      </c>
      <c r="N4381" s="3">
        <v>9.8452231415512487E-2</v>
      </c>
      <c r="O4381" s="3">
        <v>9.9233018615628402E-2</v>
      </c>
      <c r="P4381" s="3">
        <v>9.9921478900587252E-2</v>
      </c>
    </row>
    <row r="4382" spans="1:16" x14ac:dyDescent="0.3">
      <c r="A4382" s="3" t="str">
        <f t="shared" si="68"/>
        <v>NGA</v>
      </c>
      <c r="C4382" s="3" t="s">
        <v>850</v>
      </c>
      <c r="D4382" s="3" t="s">
        <v>1582</v>
      </c>
      <c r="E4382" s="3" t="s">
        <v>1307</v>
      </c>
      <c r="F4382" s="3" t="s">
        <v>4</v>
      </c>
      <c r="H4382" s="3">
        <v>1.2771222955563453E-2</v>
      </c>
      <c r="I4382" s="3">
        <v>1.1637286401300533E-2</v>
      </c>
      <c r="J4382" s="3">
        <v>1.2771222955563453E-2</v>
      </c>
      <c r="K4382" s="3">
        <v>1.2771794733411503E-2</v>
      </c>
      <c r="L4382" s="3">
        <v>1.3556130329027936E-2</v>
      </c>
      <c r="M4382" s="3">
        <v>1.5552049834391433E-2</v>
      </c>
      <c r="N4382" s="3">
        <v>2.2358095944331493E-2</v>
      </c>
      <c r="O4382" s="3">
        <v>2.3750237241727243E-2</v>
      </c>
      <c r="P4382" s="3">
        <v>2.390824837427416E-2</v>
      </c>
    </row>
    <row r="4383" spans="1:16" x14ac:dyDescent="0.3">
      <c r="A4383" s="3" t="str">
        <f t="shared" ref="A4383:A4446" si="69">RIGHT(E4383,3)</f>
        <v>NGA</v>
      </c>
      <c r="C4383" s="3" t="s">
        <v>850</v>
      </c>
      <c r="D4383" s="3" t="s">
        <v>1582</v>
      </c>
      <c r="E4383" s="3" t="s">
        <v>1307</v>
      </c>
      <c r="F4383" s="3" t="s">
        <v>5</v>
      </c>
      <c r="H4383" s="3">
        <v>2.6082450141899711E-2</v>
      </c>
      <c r="I4383" s="3">
        <v>2.6082450141899711E-2</v>
      </c>
      <c r="J4383" s="3">
        <v>2.8332326024555547E-2</v>
      </c>
      <c r="K4383" s="3">
        <v>2.8333126687363524E-2</v>
      </c>
      <c r="L4383" s="3">
        <v>2.9441521350945982E-2</v>
      </c>
      <c r="M4383" s="3">
        <v>3.2262082525332761E-2</v>
      </c>
      <c r="N4383" s="3">
        <v>3.3309726963965322E-2</v>
      </c>
      <c r="O4383" s="3">
        <v>3.3562967940633306E-2</v>
      </c>
      <c r="P4383" s="3">
        <v>3.3786263551696206E-2</v>
      </c>
    </row>
    <row r="4384" spans="1:16" x14ac:dyDescent="0.3">
      <c r="A4384" s="3" t="str">
        <f t="shared" si="69"/>
        <v>NGA</v>
      </c>
      <c r="C4384" s="3" t="s">
        <v>850</v>
      </c>
      <c r="D4384" s="3" t="s">
        <v>1582</v>
      </c>
      <c r="E4384" s="3" t="s">
        <v>1307</v>
      </c>
      <c r="F4384" s="3" t="s">
        <v>7</v>
      </c>
      <c r="H4384" s="3">
        <v>7.4234665788483921E-3</v>
      </c>
      <c r="I4384" s="3">
        <v>7.6077373381853606E-3</v>
      </c>
      <c r="J4384" s="3">
        <v>8.0638158685260412E-3</v>
      </c>
      <c r="K4384" s="3">
        <v>8.0640248456409699E-3</v>
      </c>
      <c r="L4384" s="3">
        <v>8.3794910191221615E-3</v>
      </c>
      <c r="M4384" s="3">
        <v>9.1822661226014235E-3</v>
      </c>
      <c r="N4384" s="3">
        <v>9.4804418474430715E-3</v>
      </c>
      <c r="O4384" s="3">
        <v>9.5525181254178058E-3</v>
      </c>
      <c r="P4384" s="3">
        <v>9.6160714916434138E-3</v>
      </c>
    </row>
    <row r="4385" spans="1:16" x14ac:dyDescent="0.3">
      <c r="A4385" s="3" t="str">
        <f t="shared" si="69"/>
        <v>NGA</v>
      </c>
      <c r="C4385" s="3" t="s">
        <v>850</v>
      </c>
      <c r="D4385" s="3" t="s">
        <v>1582</v>
      </c>
      <c r="E4385" s="3" t="s">
        <v>1307</v>
      </c>
      <c r="F4385" s="3" t="s">
        <v>8</v>
      </c>
      <c r="H4385" s="3">
        <v>2.5394408899173719E-4</v>
      </c>
      <c r="I4385" s="3">
        <v>1.0760016360327723E-2</v>
      </c>
      <c r="J4385" s="3">
        <v>4.6242421315317687E-2</v>
      </c>
      <c r="K4385" s="3">
        <v>5.3962242874101639E-2</v>
      </c>
      <c r="L4385" s="3">
        <v>6.0018762525071018E-2</v>
      </c>
      <c r="M4385" s="3">
        <v>7.5759395705737087E-2</v>
      </c>
      <c r="N4385" s="3">
        <v>8.6378914025507875E-2</v>
      </c>
      <c r="O4385" s="3">
        <v>0.12172895027759621</v>
      </c>
      <c r="P4385" s="3">
        <v>0.12253881710550793</v>
      </c>
    </row>
    <row r="4386" spans="1:16" x14ac:dyDescent="0.3">
      <c r="A4386" s="3" t="str">
        <f t="shared" si="69"/>
        <v>NGA</v>
      </c>
      <c r="C4386" s="3" t="s">
        <v>850</v>
      </c>
      <c r="D4386" s="3" t="s">
        <v>1582</v>
      </c>
      <c r="E4386" s="3" t="s">
        <v>1313</v>
      </c>
      <c r="F4386" s="3" t="s">
        <v>4</v>
      </c>
      <c r="N4386" s="3">
        <v>0.23047903020549387</v>
      </c>
      <c r="O4386" s="3">
        <v>0.23223127278285641</v>
      </c>
      <c r="P4386" s="3">
        <v>0.23377631530397969</v>
      </c>
    </row>
    <row r="4387" spans="1:16" x14ac:dyDescent="0.3">
      <c r="A4387" s="3" t="str">
        <f t="shared" si="69"/>
        <v>NGA</v>
      </c>
      <c r="C4387" s="3" t="s">
        <v>850</v>
      </c>
      <c r="D4387" s="3" t="s">
        <v>1583</v>
      </c>
      <c r="E4387" s="3" t="s">
        <v>1314</v>
      </c>
      <c r="F4387" s="3" t="s">
        <v>6</v>
      </c>
      <c r="G4387" s="3">
        <v>1.0863695687195301</v>
      </c>
      <c r="H4387" s="3">
        <v>1.0863695687195301</v>
      </c>
      <c r="I4387" s="3">
        <v>1.0863695687195301</v>
      </c>
      <c r="J4387" s="3">
        <v>1.0863695687195301</v>
      </c>
      <c r="K4387" s="3">
        <v>1.0863695687195301</v>
      </c>
      <c r="L4387" s="3">
        <v>1.0863695687195301</v>
      </c>
    </row>
    <row r="4388" spans="1:16" x14ac:dyDescent="0.3">
      <c r="A4388" s="3" t="str">
        <f t="shared" si="69"/>
        <v>NGA</v>
      </c>
      <c r="C4388" s="3" t="s">
        <v>850</v>
      </c>
      <c r="D4388" s="3" t="s">
        <v>1583</v>
      </c>
      <c r="E4388" s="3" t="s">
        <v>1316</v>
      </c>
      <c r="F4388" s="3" t="s">
        <v>6</v>
      </c>
      <c r="G4388" s="3">
        <v>4.9221509432572797E-3</v>
      </c>
      <c r="H4388" s="3">
        <v>4.9221509432572797E-3</v>
      </c>
      <c r="I4388" s="3">
        <v>4.9221509432572797E-3</v>
      </c>
      <c r="J4388" s="3">
        <v>4.9221509432572797E-3</v>
      </c>
      <c r="K4388" s="3">
        <v>2.2963923779165181E-2</v>
      </c>
      <c r="L4388" s="3">
        <v>6.8686572361975784E-2</v>
      </c>
    </row>
    <row r="4389" spans="1:16" x14ac:dyDescent="0.3">
      <c r="A4389" s="3" t="str">
        <f t="shared" si="69"/>
        <v>NGA</v>
      </c>
      <c r="C4389" s="3" t="s">
        <v>850</v>
      </c>
      <c r="D4389" s="3" t="s">
        <v>1583</v>
      </c>
      <c r="E4389" s="3" t="s">
        <v>1317</v>
      </c>
      <c r="F4389" s="3" t="s">
        <v>4</v>
      </c>
      <c r="M4389" s="3">
        <v>1.7587049168300899</v>
      </c>
      <c r="N4389" s="3">
        <v>1.7587049168300899</v>
      </c>
      <c r="O4389" s="3">
        <v>1.7587049168300899</v>
      </c>
      <c r="P4389" s="3">
        <v>1.7587049168300899</v>
      </c>
    </row>
    <row r="4390" spans="1:16" x14ac:dyDescent="0.3">
      <c r="A4390" s="3" t="str">
        <f t="shared" si="69"/>
        <v>NGA</v>
      </c>
      <c r="C4390" s="3" t="s">
        <v>850</v>
      </c>
      <c r="D4390" s="3" t="s">
        <v>1583</v>
      </c>
      <c r="E4390" s="3" t="s">
        <v>1317</v>
      </c>
      <c r="F4390" s="3" t="s">
        <v>6</v>
      </c>
      <c r="M4390" s="3">
        <v>1.40206230640667</v>
      </c>
      <c r="N4390" s="3">
        <v>5.3255327423722898</v>
      </c>
      <c r="O4390" s="3">
        <v>5.3255327423722898</v>
      </c>
      <c r="P4390" s="3">
        <v>5.3255327423722898</v>
      </c>
    </row>
    <row r="4391" spans="1:16" x14ac:dyDescent="0.3">
      <c r="A4391" s="3" t="str">
        <f t="shared" si="69"/>
        <v>NGA</v>
      </c>
      <c r="C4391" s="3" t="s">
        <v>850</v>
      </c>
      <c r="D4391" s="3" t="s">
        <v>1583</v>
      </c>
      <c r="E4391" s="3" t="s">
        <v>1317</v>
      </c>
      <c r="F4391" s="3" t="s">
        <v>8</v>
      </c>
      <c r="O4391" s="3">
        <v>1.29149088559065</v>
      </c>
      <c r="P4391" s="3">
        <v>1.29149088559065</v>
      </c>
    </row>
    <row r="4392" spans="1:16" x14ac:dyDescent="0.3">
      <c r="A4392" s="3" t="str">
        <f t="shared" si="69"/>
        <v>NGA</v>
      </c>
      <c r="C4392" s="3" t="s">
        <v>850</v>
      </c>
      <c r="D4392" s="3" t="s">
        <v>1584</v>
      </c>
      <c r="E4392" s="3" t="s">
        <v>1327</v>
      </c>
      <c r="F4392" s="3" t="s">
        <v>7</v>
      </c>
      <c r="G4392" s="3">
        <v>2.08529886344134E-2</v>
      </c>
      <c r="H4392" s="3">
        <v>2.08529886344134E-2</v>
      </c>
      <c r="I4392" s="3">
        <v>2.08529886344134E-2</v>
      </c>
      <c r="J4392" s="3">
        <v>2.08529886344134E-2</v>
      </c>
      <c r="K4392" s="3">
        <v>2.08529886344134E-2</v>
      </c>
      <c r="L4392" s="3">
        <v>2.08529886344134E-2</v>
      </c>
      <c r="M4392" s="3">
        <v>2.08529886344134E-2</v>
      </c>
      <c r="N4392" s="3">
        <v>2.08529886344134E-2</v>
      </c>
      <c r="O4392" s="3">
        <v>2.08529886344134E-2</v>
      </c>
      <c r="P4392" s="3">
        <v>2.08529886344134E-2</v>
      </c>
    </row>
    <row r="4393" spans="1:16" x14ac:dyDescent="0.3">
      <c r="A4393" s="3" t="str">
        <f t="shared" si="69"/>
        <v>NGA</v>
      </c>
      <c r="C4393" s="3" t="s">
        <v>850</v>
      </c>
      <c r="D4393" s="3" t="s">
        <v>1584</v>
      </c>
      <c r="E4393" s="3" t="s">
        <v>1329</v>
      </c>
      <c r="F4393" s="3" t="s">
        <v>1</v>
      </c>
      <c r="G4393" s="3">
        <v>0.45373123859437497</v>
      </c>
      <c r="K4393" s="3">
        <v>0.456550623708318</v>
      </c>
      <c r="L4393" s="3">
        <v>0.456550623708318</v>
      </c>
    </row>
    <row r="4394" spans="1:16" x14ac:dyDescent="0.3">
      <c r="A4394" s="3" t="str">
        <f t="shared" si="69"/>
        <v>NGA</v>
      </c>
      <c r="C4394" s="3" t="s">
        <v>850</v>
      </c>
      <c r="D4394" s="3" t="s">
        <v>1584</v>
      </c>
      <c r="E4394" s="3" t="s">
        <v>1329</v>
      </c>
      <c r="F4394" s="3" t="s">
        <v>4</v>
      </c>
      <c r="J4394" s="3">
        <v>0.19756647444925199</v>
      </c>
      <c r="K4394" s="3">
        <v>0.19756647444925199</v>
      </c>
      <c r="L4394" s="3">
        <v>0.19756647444925199</v>
      </c>
      <c r="M4394" s="3">
        <v>0.19756647444925199</v>
      </c>
    </row>
    <row r="4395" spans="1:16" x14ac:dyDescent="0.3">
      <c r="A4395" s="3" t="str">
        <f t="shared" si="69"/>
        <v>NGA</v>
      </c>
      <c r="C4395" s="3" t="s">
        <v>850</v>
      </c>
      <c r="D4395" s="3" t="s">
        <v>1584</v>
      </c>
      <c r="E4395" s="3" t="s">
        <v>1329</v>
      </c>
      <c r="F4395" s="3" t="s">
        <v>5</v>
      </c>
      <c r="G4395" s="3">
        <v>8.6102167083658504E-2</v>
      </c>
      <c r="I4395" s="3">
        <v>4.1792487646661897E-3</v>
      </c>
      <c r="J4395" s="3">
        <v>8.6102167083658407E-2</v>
      </c>
      <c r="K4395" s="3">
        <v>8.6102167083658407E-2</v>
      </c>
      <c r="L4395" s="3">
        <v>8.6102167083658407E-2</v>
      </c>
    </row>
    <row r="4396" spans="1:16" x14ac:dyDescent="0.3">
      <c r="A4396" s="3" t="str">
        <f t="shared" si="69"/>
        <v>NGA</v>
      </c>
      <c r="C4396" s="3" t="s">
        <v>850</v>
      </c>
      <c r="D4396" s="3" t="s">
        <v>1584</v>
      </c>
      <c r="E4396" s="3" t="s">
        <v>1329</v>
      </c>
      <c r="F4396" s="3" t="s">
        <v>7</v>
      </c>
      <c r="G4396" s="3">
        <v>1.33626246904277</v>
      </c>
      <c r="I4396" s="3">
        <v>7.4802497836850307E-2</v>
      </c>
      <c r="J4396" s="3">
        <v>1.33626246904277</v>
      </c>
      <c r="K4396" s="3">
        <v>1.33626246904277</v>
      </c>
      <c r="L4396" s="3">
        <v>1.10096571250783</v>
      </c>
      <c r="M4396" s="3">
        <v>0.37787358700829099</v>
      </c>
    </row>
    <row r="4397" spans="1:16" x14ac:dyDescent="0.3">
      <c r="A4397" s="3" t="str">
        <f t="shared" si="69"/>
        <v>NGA</v>
      </c>
      <c r="C4397" s="3" t="s">
        <v>850</v>
      </c>
      <c r="D4397" s="3" t="s">
        <v>1584</v>
      </c>
      <c r="E4397" s="3" t="s">
        <v>1330</v>
      </c>
      <c r="F4397" s="3" t="s">
        <v>1</v>
      </c>
      <c r="G4397" s="3">
        <v>1.1724208729112401E-2</v>
      </c>
      <c r="L4397" s="3">
        <v>1.1724208729112401E-2</v>
      </c>
    </row>
    <row r="4398" spans="1:16" x14ac:dyDescent="0.3">
      <c r="A4398" s="3" t="str">
        <f t="shared" si="69"/>
        <v>NGA</v>
      </c>
      <c r="C4398" s="3" t="s">
        <v>850</v>
      </c>
      <c r="D4398" s="3" t="s">
        <v>1584</v>
      </c>
      <c r="E4398" s="3" t="s">
        <v>1330</v>
      </c>
      <c r="F4398" s="3" t="s">
        <v>8</v>
      </c>
      <c r="G4398" s="3">
        <v>3.2791663254750601E-2</v>
      </c>
      <c r="H4398" s="3">
        <v>3.12905537810328E-3</v>
      </c>
      <c r="I4398" s="3">
        <v>3.2791663254750601E-2</v>
      </c>
      <c r="K4398" s="3">
        <v>3.2791663254750601E-2</v>
      </c>
      <c r="L4398" s="3">
        <v>3.2791663254750601E-2</v>
      </c>
    </row>
    <row r="4399" spans="1:16" x14ac:dyDescent="0.3">
      <c r="A4399" s="3" t="str">
        <f t="shared" si="69"/>
        <v>NGA</v>
      </c>
      <c r="C4399" s="3" t="s">
        <v>850</v>
      </c>
      <c r="D4399" s="3" t="s">
        <v>1584</v>
      </c>
      <c r="E4399" s="3" t="s">
        <v>1331</v>
      </c>
      <c r="F4399" s="3" t="s">
        <v>1</v>
      </c>
      <c r="H4399" s="3">
        <v>3.8870609369261101E-2</v>
      </c>
      <c r="I4399" s="3">
        <v>4.1256483127330323E-2</v>
      </c>
      <c r="J4399" s="3">
        <v>4.1256483127330323E-2</v>
      </c>
      <c r="L4399" s="3">
        <v>2.1209105687625398E-3</v>
      </c>
      <c r="M4399" s="3">
        <v>2.40794926208549E-4</v>
      </c>
    </row>
    <row r="4400" spans="1:16" x14ac:dyDescent="0.3">
      <c r="A4400" s="3" t="str">
        <f t="shared" si="69"/>
        <v>NGA</v>
      </c>
      <c r="C4400" s="3" t="s">
        <v>850</v>
      </c>
      <c r="D4400" s="3" t="s">
        <v>1584</v>
      </c>
      <c r="E4400" s="3" t="s">
        <v>1331</v>
      </c>
      <c r="F4400" s="3" t="s">
        <v>4</v>
      </c>
      <c r="I4400" s="3">
        <v>8.6247722264609696E-5</v>
      </c>
      <c r="J4400" s="3">
        <v>8.6247722264609696E-5</v>
      </c>
      <c r="K4400" s="3">
        <v>8.6247722264609696E-5</v>
      </c>
      <c r="L4400" s="3">
        <v>8.6247722264609696E-5</v>
      </c>
      <c r="M4400" s="3">
        <v>8.6247722264609696E-5</v>
      </c>
    </row>
    <row r="4401" spans="1:16" x14ac:dyDescent="0.3">
      <c r="A4401" s="3" t="str">
        <f t="shared" si="69"/>
        <v>NGA</v>
      </c>
      <c r="C4401" s="3" t="s">
        <v>850</v>
      </c>
      <c r="D4401" s="3" t="s">
        <v>1584</v>
      </c>
      <c r="E4401" s="3" t="s">
        <v>1331</v>
      </c>
      <c r="F4401" s="3" t="s">
        <v>5</v>
      </c>
      <c r="H4401" s="3">
        <v>8.8716120226881197E-3</v>
      </c>
      <c r="I4401" s="3">
        <v>8.8716120226881197E-3</v>
      </c>
      <c r="J4401" s="3">
        <v>7.0421805486618402E-4</v>
      </c>
      <c r="K4401" s="3">
        <v>1.4342557047323299E-3</v>
      </c>
      <c r="L4401" s="3">
        <v>2.1401642772614902E-3</v>
      </c>
      <c r="N4401" s="3">
        <v>1.03634426209467E-3</v>
      </c>
    </row>
    <row r="4402" spans="1:16" x14ac:dyDescent="0.3">
      <c r="A4402" s="3" t="str">
        <f t="shared" si="69"/>
        <v>NGA</v>
      </c>
      <c r="C4402" s="3" t="s">
        <v>850</v>
      </c>
      <c r="D4402" s="3" t="s">
        <v>1584</v>
      </c>
      <c r="E4402" s="3" t="s">
        <v>1331</v>
      </c>
      <c r="F4402" s="3" t="s">
        <v>7</v>
      </c>
      <c r="H4402" s="3">
        <v>0.137936013051039</v>
      </c>
      <c r="I4402" s="3">
        <v>0.137936013051039</v>
      </c>
      <c r="J4402" s="3">
        <v>1.2604482884858201E-2</v>
      </c>
      <c r="K4402" s="3">
        <v>2.56710991118284E-2</v>
      </c>
      <c r="L4402" s="3">
        <v>6.2259183366555497E-2</v>
      </c>
      <c r="M4402" s="3">
        <v>0.137936013051039</v>
      </c>
      <c r="N4402" s="3">
        <v>8.6761981865370597E-2</v>
      </c>
    </row>
    <row r="4403" spans="1:16" x14ac:dyDescent="0.3">
      <c r="A4403" s="3" t="str">
        <f t="shared" si="69"/>
        <v>NGA</v>
      </c>
      <c r="C4403" s="3" t="s">
        <v>850</v>
      </c>
      <c r="D4403" s="3" t="s">
        <v>1584</v>
      </c>
      <c r="E4403" s="3" t="s">
        <v>1331</v>
      </c>
      <c r="F4403" s="3" t="s">
        <v>8</v>
      </c>
      <c r="H4403" s="3">
        <v>4.7119179167915996E-3</v>
      </c>
      <c r="I4403" s="3">
        <v>3.1185938689007802E-4</v>
      </c>
      <c r="J4403" s="3">
        <v>4.7119179167915996E-3</v>
      </c>
      <c r="L4403" s="3">
        <v>4.1395090668129499E-4</v>
      </c>
    </row>
    <row r="4404" spans="1:16" x14ac:dyDescent="0.3">
      <c r="A4404" s="3" t="str">
        <f t="shared" si="69"/>
        <v>NGA</v>
      </c>
      <c r="C4404" s="3" t="s">
        <v>850</v>
      </c>
      <c r="D4404" s="3" t="s">
        <v>1584</v>
      </c>
      <c r="E4404" s="3" t="s">
        <v>1332</v>
      </c>
      <c r="F4404" s="3" t="s">
        <v>1</v>
      </c>
      <c r="M4404" s="3">
        <v>0.62584854362772402</v>
      </c>
      <c r="N4404" s="3">
        <v>0.62584854362772402</v>
      </c>
      <c r="O4404" s="3">
        <v>0.62584854362772402</v>
      </c>
      <c r="P4404" s="3">
        <v>0.62584854362772402</v>
      </c>
    </row>
    <row r="4405" spans="1:16" x14ac:dyDescent="0.3">
      <c r="A4405" s="3" t="str">
        <f t="shared" si="69"/>
        <v>NGA</v>
      </c>
      <c r="C4405" s="3" t="s">
        <v>850</v>
      </c>
      <c r="D4405" s="3" t="s">
        <v>1584</v>
      </c>
      <c r="E4405" s="3" t="s">
        <v>1332</v>
      </c>
      <c r="F4405" s="3" t="s">
        <v>2</v>
      </c>
      <c r="M4405" s="3">
        <v>0.763303335773719</v>
      </c>
      <c r="N4405" s="3">
        <v>0.763303335773719</v>
      </c>
      <c r="O4405" s="3">
        <v>0.763303335773719</v>
      </c>
      <c r="P4405" s="3">
        <v>0.763303335773719</v>
      </c>
    </row>
    <row r="4406" spans="1:16" x14ac:dyDescent="0.3">
      <c r="A4406" s="3" t="str">
        <f t="shared" si="69"/>
        <v>NGA</v>
      </c>
      <c r="C4406" s="3" t="s">
        <v>850</v>
      </c>
      <c r="D4406" s="3" t="s">
        <v>1584</v>
      </c>
      <c r="E4406" s="3" t="s">
        <v>1332</v>
      </c>
      <c r="F4406" s="3" t="s">
        <v>3</v>
      </c>
      <c r="M4406" s="3">
        <v>0.114277357152092</v>
      </c>
      <c r="N4406" s="3">
        <v>0.114277357152092</v>
      </c>
      <c r="O4406" s="3">
        <v>0.114277357152092</v>
      </c>
      <c r="P4406" s="3">
        <v>0.114277357152092</v>
      </c>
    </row>
    <row r="4407" spans="1:16" x14ac:dyDescent="0.3">
      <c r="A4407" s="3" t="str">
        <f t="shared" si="69"/>
        <v>NGA</v>
      </c>
      <c r="C4407" s="3" t="s">
        <v>850</v>
      </c>
      <c r="D4407" s="3" t="s">
        <v>1584</v>
      </c>
      <c r="E4407" s="3" t="s">
        <v>1332</v>
      </c>
      <c r="F4407" s="3" t="s">
        <v>4</v>
      </c>
      <c r="M4407" s="3">
        <v>0.54269932129161702</v>
      </c>
      <c r="N4407" s="3">
        <v>0.54269932129161702</v>
      </c>
      <c r="O4407" s="3">
        <v>0.54269932129161702</v>
      </c>
      <c r="P4407" s="3">
        <v>0.54269932129161702</v>
      </c>
    </row>
    <row r="4408" spans="1:16" x14ac:dyDescent="0.3">
      <c r="A4408" s="3" t="str">
        <f t="shared" si="69"/>
        <v>NGA</v>
      </c>
      <c r="C4408" s="3" t="s">
        <v>850</v>
      </c>
      <c r="D4408" s="3" t="s">
        <v>1584</v>
      </c>
      <c r="E4408" s="3" t="s">
        <v>1332</v>
      </c>
      <c r="F4408" s="3" t="s">
        <v>5</v>
      </c>
      <c r="M4408" s="3">
        <v>0.13651991308547501</v>
      </c>
      <c r="N4408" s="3">
        <v>0.13651991308547501</v>
      </c>
      <c r="O4408" s="3">
        <v>0.13770950754167927</v>
      </c>
      <c r="P4408" s="3">
        <v>0.1426411913627032</v>
      </c>
    </row>
    <row r="4409" spans="1:16" x14ac:dyDescent="0.3">
      <c r="A4409" s="3" t="str">
        <f t="shared" si="69"/>
        <v>NGA</v>
      </c>
      <c r="C4409" s="3" t="s">
        <v>850</v>
      </c>
      <c r="D4409" s="3" t="s">
        <v>1584</v>
      </c>
      <c r="E4409" s="3" t="s">
        <v>1332</v>
      </c>
      <c r="F4409" s="3" t="s">
        <v>7</v>
      </c>
      <c r="M4409" s="3">
        <v>0.119079571796442</v>
      </c>
      <c r="N4409" s="3">
        <v>0.119079571796442</v>
      </c>
      <c r="O4409" s="3">
        <v>0.119079571796442</v>
      </c>
      <c r="P4409" s="3">
        <v>0.12409086808694687</v>
      </c>
    </row>
    <row r="4410" spans="1:16" x14ac:dyDescent="0.3">
      <c r="A4410" s="3" t="str">
        <f t="shared" si="69"/>
        <v>NGA</v>
      </c>
      <c r="C4410" s="3" t="s">
        <v>850</v>
      </c>
      <c r="D4410" s="3" t="s">
        <v>1584</v>
      </c>
      <c r="E4410" s="3" t="s">
        <v>1332</v>
      </c>
      <c r="F4410" s="3" t="s">
        <v>8</v>
      </c>
      <c r="M4410" s="3">
        <v>8.0056460568693505E-2</v>
      </c>
      <c r="N4410" s="3">
        <v>8.4244700383500917E-2</v>
      </c>
      <c r="O4410" s="3">
        <v>0.10704507809239161</v>
      </c>
      <c r="P4410" s="3">
        <v>0.11562756958470023</v>
      </c>
    </row>
    <row r="4411" spans="1:16" x14ac:dyDescent="0.3">
      <c r="A4411" s="3" t="str">
        <f t="shared" si="69"/>
        <v>NGA</v>
      </c>
      <c r="C4411" s="3" t="s">
        <v>850</v>
      </c>
      <c r="D4411" s="3" t="s">
        <v>1584</v>
      </c>
      <c r="E4411" s="3" t="s">
        <v>1333</v>
      </c>
      <c r="F4411" s="3" t="s">
        <v>6</v>
      </c>
      <c r="M4411" s="3">
        <v>1.24747246661546E-2</v>
      </c>
      <c r="N4411" s="3">
        <v>0.45932359532905964</v>
      </c>
      <c r="O4411" s="3">
        <v>0.47840315418385276</v>
      </c>
      <c r="P4411" s="3">
        <v>0.49553583541649265</v>
      </c>
    </row>
    <row r="4412" spans="1:16" x14ac:dyDescent="0.3">
      <c r="A4412" s="3" t="str">
        <f t="shared" si="69"/>
        <v>COA</v>
      </c>
      <c r="C4412" s="3" t="s">
        <v>850</v>
      </c>
      <c r="D4412" s="3" t="s">
        <v>1585</v>
      </c>
      <c r="E4412" s="3" t="s">
        <v>1339</v>
      </c>
      <c r="F4412" s="3" t="s">
        <v>0</v>
      </c>
      <c r="G4412" s="3">
        <v>3.601160050995833E-2</v>
      </c>
      <c r="I4412" s="3">
        <v>2.1223642188800348E-2</v>
      </c>
      <c r="J4412" s="3">
        <v>2.1223642188800348E-2</v>
      </c>
      <c r="K4412" s="3">
        <v>2.1223642188800348E-2</v>
      </c>
      <c r="L4412" s="3">
        <v>2.1223642188800348E-2</v>
      </c>
      <c r="M4412" s="3">
        <v>2.1223642188800348E-2</v>
      </c>
      <c r="N4412" s="3">
        <v>2.1223642188800348E-2</v>
      </c>
      <c r="O4412" s="3">
        <v>2.1223642188800348E-2</v>
      </c>
      <c r="P4412" s="3">
        <v>2.1223642188800348E-2</v>
      </c>
    </row>
    <row r="4413" spans="1:16" x14ac:dyDescent="0.3">
      <c r="A4413" s="3" t="str">
        <f t="shared" si="69"/>
        <v>COA</v>
      </c>
      <c r="C4413" s="3" t="s">
        <v>850</v>
      </c>
      <c r="D4413" s="3" t="s">
        <v>1585</v>
      </c>
      <c r="E4413" s="3" t="s">
        <v>1339</v>
      </c>
      <c r="F4413" s="3" t="s">
        <v>1</v>
      </c>
      <c r="G4413" s="3">
        <v>9.717677115400089E-2</v>
      </c>
      <c r="H4413" s="3">
        <v>9.3534819358271723E-2</v>
      </c>
      <c r="I4413" s="3">
        <v>7.8967012175355067E-2</v>
      </c>
      <c r="J4413" s="3">
        <v>7.8967012175355067E-2</v>
      </c>
      <c r="K4413" s="3">
        <v>7.8967012175355067E-2</v>
      </c>
      <c r="L4413" s="3">
        <v>7.8967012175355067E-2</v>
      </c>
      <c r="M4413" s="3">
        <v>7.8967012175355067E-2</v>
      </c>
      <c r="N4413" s="3">
        <v>7.8967012175355067E-2</v>
      </c>
      <c r="O4413" s="3">
        <v>7.8967012175355067E-2</v>
      </c>
      <c r="P4413" s="3">
        <v>7.8967012175355067E-2</v>
      </c>
    </row>
    <row r="4414" spans="1:16" x14ac:dyDescent="0.3">
      <c r="A4414" s="3" t="str">
        <f t="shared" si="69"/>
        <v>COA</v>
      </c>
      <c r="C4414" s="3" t="s">
        <v>850</v>
      </c>
      <c r="D4414" s="3" t="s">
        <v>1585</v>
      </c>
      <c r="E4414" s="3" t="s">
        <v>1339</v>
      </c>
      <c r="F4414" s="3" t="s">
        <v>2</v>
      </c>
      <c r="G4414" s="3">
        <v>1.0051620398668717</v>
      </c>
      <c r="H4414" s="3">
        <v>0.84079288754634041</v>
      </c>
      <c r="I4414" s="3">
        <v>0.18331627826421709</v>
      </c>
      <c r="J4414" s="3">
        <v>0.18331627826421709</v>
      </c>
      <c r="K4414" s="3">
        <v>0.18331627826421709</v>
      </c>
      <c r="L4414" s="3">
        <v>0.18331627826421709</v>
      </c>
      <c r="M4414" s="3">
        <v>0.18331627826421709</v>
      </c>
      <c r="N4414" s="3">
        <v>0.18331627826421709</v>
      </c>
      <c r="O4414" s="3">
        <v>0.18331627826421709</v>
      </c>
      <c r="P4414" s="3">
        <v>0.18331627826421709</v>
      </c>
    </row>
    <row r="4415" spans="1:16" x14ac:dyDescent="0.3">
      <c r="A4415" s="3" t="str">
        <f t="shared" si="69"/>
        <v>COA</v>
      </c>
      <c r="C4415" s="3" t="s">
        <v>850</v>
      </c>
      <c r="D4415" s="3" t="s">
        <v>1585</v>
      </c>
      <c r="E4415" s="3" t="s">
        <v>1339</v>
      </c>
      <c r="F4415" s="3" t="s">
        <v>3</v>
      </c>
      <c r="G4415" s="3">
        <v>0.14437691714308729</v>
      </c>
      <c r="H4415" s="3">
        <v>0.12339823493200529</v>
      </c>
      <c r="I4415" s="3">
        <v>3.9483506087677395E-2</v>
      </c>
      <c r="J4415" s="3">
        <v>3.9483506087677395E-2</v>
      </c>
      <c r="K4415" s="3">
        <v>3.9483506087677395E-2</v>
      </c>
      <c r="L4415" s="3">
        <v>3.9483506087677395E-2</v>
      </c>
      <c r="M4415" s="3">
        <v>3.9483506087677395E-2</v>
      </c>
      <c r="N4415" s="3">
        <v>3.9483506087677395E-2</v>
      </c>
      <c r="O4415" s="3">
        <v>3.9483506087677395E-2</v>
      </c>
      <c r="P4415" s="3">
        <v>3.9483506087677395E-2</v>
      </c>
    </row>
    <row r="4416" spans="1:16" x14ac:dyDescent="0.3">
      <c r="A4416" s="3" t="str">
        <f t="shared" si="69"/>
        <v>COA</v>
      </c>
      <c r="C4416" s="3" t="s">
        <v>850</v>
      </c>
      <c r="D4416" s="3" t="s">
        <v>1585</v>
      </c>
      <c r="E4416" s="3" t="s">
        <v>1339</v>
      </c>
      <c r="F4416" s="3" t="s">
        <v>4</v>
      </c>
      <c r="G4416" s="3">
        <v>2.8319823221109757</v>
      </c>
      <c r="H4416" s="3">
        <v>2.5765187924995328</v>
      </c>
      <c r="I4416" s="3">
        <v>1.5546646740537566</v>
      </c>
      <c r="J4416" s="3">
        <v>1.5546646740537566</v>
      </c>
      <c r="K4416" s="3">
        <v>1.5546646740537566</v>
      </c>
      <c r="L4416" s="3">
        <v>1.5546646740537566</v>
      </c>
      <c r="M4416" s="3">
        <v>1.5546646740537566</v>
      </c>
      <c r="N4416" s="3">
        <v>1.5546646740537566</v>
      </c>
      <c r="O4416" s="3">
        <v>1.5546646740537566</v>
      </c>
      <c r="P4416" s="3">
        <v>1.5546646740537566</v>
      </c>
    </row>
    <row r="4417" spans="1:16" x14ac:dyDescent="0.3">
      <c r="A4417" s="3" t="str">
        <f t="shared" si="69"/>
        <v>COA</v>
      </c>
      <c r="C4417" s="3" t="s">
        <v>850</v>
      </c>
      <c r="D4417" s="3" t="s">
        <v>1585</v>
      </c>
      <c r="E4417" s="3" t="s">
        <v>1339</v>
      </c>
      <c r="F4417" s="3" t="s">
        <v>7</v>
      </c>
      <c r="G4417" s="3">
        <v>0.19747708138080944</v>
      </c>
      <c r="I4417" s="3">
        <v>0.16047224974206073</v>
      </c>
      <c r="J4417" s="3">
        <v>0.16047224974206073</v>
      </c>
      <c r="K4417" s="3">
        <v>0.16047224974206073</v>
      </c>
      <c r="L4417" s="3">
        <v>0.16047224974206073</v>
      </c>
      <c r="M4417" s="3">
        <v>0.16047224974206073</v>
      </c>
      <c r="N4417" s="3">
        <v>0.16047224974206073</v>
      </c>
      <c r="O4417" s="3">
        <v>0.16047224974206073</v>
      </c>
      <c r="P4417" s="3">
        <v>0.16047224974206073</v>
      </c>
    </row>
    <row r="4418" spans="1:16" x14ac:dyDescent="0.3">
      <c r="A4418" s="3" t="str">
        <f t="shared" si="69"/>
        <v>COA</v>
      </c>
      <c r="C4418" s="3" t="s">
        <v>850</v>
      </c>
      <c r="D4418" s="3" t="s">
        <v>1585</v>
      </c>
      <c r="E4418" s="3" t="s">
        <v>1339</v>
      </c>
      <c r="F4418" s="3" t="s">
        <v>8</v>
      </c>
      <c r="G4418" s="3">
        <v>0.23947132891521675</v>
      </c>
      <c r="H4418" s="3">
        <v>0.23049651913288408</v>
      </c>
      <c r="I4418" s="3">
        <v>0.1945972800035537</v>
      </c>
      <c r="J4418" s="3">
        <v>0.1945972800035537</v>
      </c>
      <c r="K4418" s="3">
        <v>0.1945972800035537</v>
      </c>
      <c r="L4418" s="3">
        <v>0.1945972800035537</v>
      </c>
      <c r="M4418" s="3">
        <v>0.1945972800035537</v>
      </c>
      <c r="N4418" s="3">
        <v>0.1945972800035537</v>
      </c>
      <c r="O4418" s="3">
        <v>0.1945972800035537</v>
      </c>
      <c r="P4418" s="3">
        <v>0.1945972800035537</v>
      </c>
    </row>
    <row r="4419" spans="1:16" x14ac:dyDescent="0.3">
      <c r="A4419" s="3" t="str">
        <f t="shared" si="69"/>
        <v>NGA</v>
      </c>
      <c r="C4419" s="3" t="s">
        <v>850</v>
      </c>
      <c r="D4419" s="3" t="s">
        <v>1585</v>
      </c>
      <c r="E4419" s="3" t="s">
        <v>1342</v>
      </c>
      <c r="F4419" s="3" t="s">
        <v>0</v>
      </c>
      <c r="I4419" s="3">
        <v>0.19853914600999698</v>
      </c>
      <c r="J4419" s="3">
        <v>0.19853914600999698</v>
      </c>
      <c r="K4419" s="3">
        <v>0.19853914600999698</v>
      </c>
      <c r="L4419" s="3">
        <v>0.19853914600999698</v>
      </c>
      <c r="M4419" s="3">
        <v>0.19853914600999698</v>
      </c>
      <c r="N4419" s="3">
        <v>0.19853914600999698</v>
      </c>
      <c r="O4419" s="3">
        <v>0.19853914600999698</v>
      </c>
      <c r="P4419" s="3">
        <v>0.19853914600999698</v>
      </c>
    </row>
    <row r="4420" spans="1:16" x14ac:dyDescent="0.3">
      <c r="A4420" s="3" t="str">
        <f t="shared" si="69"/>
        <v>NGA</v>
      </c>
      <c r="C4420" s="3" t="s">
        <v>850</v>
      </c>
      <c r="D4420" s="3" t="s">
        <v>1585</v>
      </c>
      <c r="E4420" s="3" t="s">
        <v>1342</v>
      </c>
      <c r="F4420" s="3" t="s">
        <v>1</v>
      </c>
      <c r="G4420" s="3">
        <v>4.5147837610215305E-2</v>
      </c>
      <c r="H4420" s="3">
        <v>4.1820013439926987E-2</v>
      </c>
      <c r="I4420" s="3">
        <v>2.8508716758773499E-2</v>
      </c>
      <c r="J4420" s="3">
        <v>2.8508716758773499E-2</v>
      </c>
      <c r="K4420" s="3">
        <v>2.8508716758773499E-2</v>
      </c>
      <c r="L4420" s="3">
        <v>2.8508716758773499E-2</v>
      </c>
      <c r="M4420" s="3">
        <v>2.8508716758773499E-2</v>
      </c>
      <c r="N4420" s="3">
        <v>2.8508716758773499E-2</v>
      </c>
      <c r="O4420" s="3">
        <v>2.8508716758773499E-2</v>
      </c>
      <c r="P4420" s="3">
        <v>2.8508716758773499E-2</v>
      </c>
    </row>
    <row r="4421" spans="1:16" x14ac:dyDescent="0.3">
      <c r="A4421" s="3" t="str">
        <f t="shared" si="69"/>
        <v>NGA</v>
      </c>
      <c r="C4421" s="3" t="s">
        <v>850</v>
      </c>
      <c r="D4421" s="3" t="s">
        <v>1585</v>
      </c>
      <c r="E4421" s="3" t="s">
        <v>1342</v>
      </c>
      <c r="F4421" s="3" t="s">
        <v>2</v>
      </c>
      <c r="G4421" s="3">
        <v>0.2491993059354834</v>
      </c>
      <c r="H4421" s="3">
        <v>0.19935944474838649</v>
      </c>
    </row>
    <row r="4422" spans="1:16" x14ac:dyDescent="0.3">
      <c r="A4422" s="3" t="str">
        <f t="shared" si="69"/>
        <v>NGA</v>
      </c>
      <c r="C4422" s="3" t="s">
        <v>850</v>
      </c>
      <c r="D4422" s="3" t="s">
        <v>1585</v>
      </c>
      <c r="E4422" s="3" t="s">
        <v>1342</v>
      </c>
      <c r="F4422" s="3" t="s">
        <v>4</v>
      </c>
      <c r="G4422" s="3">
        <v>0.16326608806472695</v>
      </c>
      <c r="H4422" s="3">
        <v>0.17116597921436813</v>
      </c>
      <c r="I4422" s="3">
        <v>0.20276554381293344</v>
      </c>
      <c r="J4422" s="3">
        <v>0.20276554381293344</v>
      </c>
      <c r="K4422" s="3">
        <v>0.20276554381293344</v>
      </c>
      <c r="L4422" s="3">
        <v>0.20276554381293344</v>
      </c>
      <c r="M4422" s="3">
        <v>0.20276554381293344</v>
      </c>
      <c r="N4422" s="3">
        <v>0.20276554381293344</v>
      </c>
      <c r="O4422" s="3">
        <v>0.20276554381293344</v>
      </c>
      <c r="P4422" s="3">
        <v>0.20276554381293344</v>
      </c>
    </row>
    <row r="4423" spans="1:16" x14ac:dyDescent="0.3">
      <c r="A4423" s="3" t="str">
        <f t="shared" si="69"/>
        <v>NGA</v>
      </c>
      <c r="C4423" s="3" t="s">
        <v>850</v>
      </c>
      <c r="D4423" s="3" t="s">
        <v>1585</v>
      </c>
      <c r="E4423" s="3" t="s">
        <v>1342</v>
      </c>
      <c r="F4423" s="3" t="s">
        <v>6</v>
      </c>
      <c r="G4423" s="3">
        <v>0.1305329697757299</v>
      </c>
      <c r="H4423" s="3">
        <v>0.12564090783509177</v>
      </c>
      <c r="I4423" s="3">
        <v>0.10607266007253882</v>
      </c>
      <c r="J4423" s="3">
        <v>0.10607266007253882</v>
      </c>
      <c r="K4423" s="3">
        <v>0.10607266007253882</v>
      </c>
      <c r="L4423" s="3">
        <v>0.10607266007253882</v>
      </c>
      <c r="M4423" s="3">
        <v>0.10607266007253882</v>
      </c>
      <c r="N4423" s="3">
        <v>0.10607266007253882</v>
      </c>
      <c r="O4423" s="3">
        <v>0.10607266007253882</v>
      </c>
      <c r="P4423" s="3">
        <v>0.10607266007253882</v>
      </c>
    </row>
    <row r="4424" spans="1:16" x14ac:dyDescent="0.3">
      <c r="A4424" s="3" t="str">
        <f t="shared" si="69"/>
        <v>NGA</v>
      </c>
      <c r="C4424" s="3" t="s">
        <v>850</v>
      </c>
      <c r="D4424" s="3" t="s">
        <v>1585</v>
      </c>
      <c r="E4424" s="3" t="s">
        <v>1342</v>
      </c>
      <c r="F4424" s="3" t="s">
        <v>8</v>
      </c>
      <c r="G4424" s="3">
        <v>4.0135621855048709E-2</v>
      </c>
      <c r="H4424" s="3">
        <v>3.6314443070787482E-2</v>
      </c>
      <c r="I4424" s="3">
        <v>2.1029727933742477E-2</v>
      </c>
      <c r="L4424" s="3">
        <v>2.1029727933742477E-2</v>
      </c>
      <c r="M4424" s="3">
        <v>2.1029727933742477E-2</v>
      </c>
      <c r="N4424" s="3">
        <v>2.1029727933742477E-2</v>
      </c>
      <c r="O4424" s="3">
        <v>2.1029727933742477E-2</v>
      </c>
      <c r="P4424" s="3">
        <v>2.1029727933742477E-2</v>
      </c>
    </row>
    <row r="4425" spans="1:16" x14ac:dyDescent="0.3">
      <c r="A4425" s="3" t="str">
        <f t="shared" si="69"/>
        <v>RFL</v>
      </c>
      <c r="C4425" s="3" t="s">
        <v>850</v>
      </c>
      <c r="D4425" s="3" t="s">
        <v>1585</v>
      </c>
      <c r="E4425" s="3" t="s">
        <v>1344</v>
      </c>
      <c r="F4425" s="3" t="s">
        <v>0</v>
      </c>
      <c r="I4425" s="3">
        <v>2.9960238255724156E-3</v>
      </c>
      <c r="J4425" s="3">
        <v>2.9960238255724156E-3</v>
      </c>
      <c r="N4425" s="3">
        <v>2.9960238255724156E-3</v>
      </c>
      <c r="O4425" s="3">
        <v>2.9960238255724156E-3</v>
      </c>
    </row>
    <row r="4426" spans="1:16" x14ac:dyDescent="0.3">
      <c r="A4426" s="3" t="str">
        <f t="shared" si="69"/>
        <v>RFL</v>
      </c>
      <c r="C4426" s="3" t="s">
        <v>850</v>
      </c>
      <c r="D4426" s="3" t="s">
        <v>1585</v>
      </c>
      <c r="E4426" s="3" t="s">
        <v>1344</v>
      </c>
      <c r="F4426" s="3" t="s">
        <v>1</v>
      </c>
      <c r="I4426" s="3">
        <v>2.3447142982740629E-3</v>
      </c>
      <c r="N4426" s="3">
        <v>2.3447142982740629E-3</v>
      </c>
      <c r="O4426" s="3">
        <v>2.3447142982740629E-3</v>
      </c>
    </row>
    <row r="4427" spans="1:16" x14ac:dyDescent="0.3">
      <c r="A4427" s="3" t="str">
        <f t="shared" si="69"/>
        <v>WOD</v>
      </c>
      <c r="C4427" s="3" t="s">
        <v>850</v>
      </c>
      <c r="D4427" s="3" t="s">
        <v>1585</v>
      </c>
      <c r="E4427" s="3" t="s">
        <v>1391</v>
      </c>
      <c r="F4427" s="3" t="s">
        <v>0</v>
      </c>
      <c r="G4427" s="3">
        <v>0.74435081476759601</v>
      </c>
      <c r="H4427" s="3">
        <v>0.74430375950371641</v>
      </c>
      <c r="I4427" s="3">
        <v>0.61114422920297684</v>
      </c>
      <c r="J4427" s="3">
        <v>0.61114422920297684</v>
      </c>
      <c r="K4427" s="3">
        <v>0.61114422920297684</v>
      </c>
      <c r="L4427" s="3">
        <v>0.61114422920297684</v>
      </c>
      <c r="M4427" s="3">
        <v>0.61114422920297684</v>
      </c>
      <c r="N4427" s="3">
        <v>0.61114422920297684</v>
      </c>
      <c r="O4427" s="3">
        <v>0.61114422920297684</v>
      </c>
      <c r="P4427" s="3">
        <v>0.61114422920297684</v>
      </c>
    </row>
    <row r="4428" spans="1:16" x14ac:dyDescent="0.3">
      <c r="A4428" s="3" t="str">
        <f t="shared" si="69"/>
        <v>WOD</v>
      </c>
      <c r="C4428" s="3" t="s">
        <v>850</v>
      </c>
      <c r="D4428" s="3" t="s">
        <v>1585</v>
      </c>
      <c r="E4428" s="3" t="s">
        <v>1391</v>
      </c>
      <c r="F4428" s="3" t="s">
        <v>1</v>
      </c>
      <c r="G4428" s="3">
        <v>0.50479777261024839</v>
      </c>
      <c r="H4428" s="3">
        <v>0.47701426278131887</v>
      </c>
      <c r="I4428" s="3">
        <v>0.36588022346560084</v>
      </c>
      <c r="J4428" s="3">
        <v>0.36588022346560084</v>
      </c>
      <c r="K4428" s="3">
        <v>0.36588022346560084</v>
      </c>
      <c r="L4428" s="3">
        <v>0.36588022346560084</v>
      </c>
      <c r="M4428" s="3">
        <v>0.36588022346560084</v>
      </c>
      <c r="O4428" s="3">
        <v>0.36588022346560084</v>
      </c>
      <c r="P4428" s="3">
        <v>0.36588022346560084</v>
      </c>
    </row>
    <row r="4429" spans="1:16" x14ac:dyDescent="0.3">
      <c r="A4429" s="3" t="str">
        <f t="shared" si="69"/>
        <v>WOD</v>
      </c>
      <c r="C4429" s="3" t="s">
        <v>850</v>
      </c>
      <c r="D4429" s="3" t="s">
        <v>1585</v>
      </c>
      <c r="E4429" s="3" t="s">
        <v>1391</v>
      </c>
      <c r="F4429" s="3" t="s">
        <v>2</v>
      </c>
      <c r="G4429" s="3">
        <v>0.67122202999669023</v>
      </c>
      <c r="H4429" s="3">
        <v>1.3823769906492829</v>
      </c>
      <c r="I4429" s="3">
        <v>0.81251895811894725</v>
      </c>
      <c r="J4429" s="3">
        <v>0.81251895811894725</v>
      </c>
      <c r="K4429" s="3">
        <v>0.81251895811894792</v>
      </c>
      <c r="L4429" s="3">
        <v>0.4841767320229991</v>
      </c>
      <c r="M4429" s="3">
        <v>0.81251895811894725</v>
      </c>
    </row>
    <row r="4430" spans="1:16" x14ac:dyDescent="0.3">
      <c r="A4430" s="3" t="str">
        <f t="shared" si="69"/>
        <v>WOD</v>
      </c>
      <c r="C4430" s="3" t="s">
        <v>850</v>
      </c>
      <c r="D4430" s="3" t="s">
        <v>1585</v>
      </c>
      <c r="E4430" s="3" t="s">
        <v>1391</v>
      </c>
      <c r="F4430" s="3" t="s">
        <v>3</v>
      </c>
      <c r="G4430" s="3">
        <v>0.24392701260018881</v>
      </c>
      <c r="H4430" s="3">
        <v>0.22434770818200003</v>
      </c>
      <c r="J4430" s="3">
        <v>0.14603049050924649</v>
      </c>
      <c r="K4430" s="3">
        <v>0.14603049050924649</v>
      </c>
      <c r="L4430" s="3">
        <v>0.14603049050924649</v>
      </c>
      <c r="M4430" s="3">
        <v>0.14603049050924649</v>
      </c>
      <c r="N4430" s="3">
        <v>0.14603049050924649</v>
      </c>
      <c r="O4430" s="3">
        <v>0.14603049050924649</v>
      </c>
      <c r="P4430" s="3">
        <v>0.14603049050924649</v>
      </c>
    </row>
    <row r="4431" spans="1:16" x14ac:dyDescent="0.3">
      <c r="A4431" s="3" t="str">
        <f t="shared" si="69"/>
        <v>WOD</v>
      </c>
      <c r="C4431" s="3" t="s">
        <v>850</v>
      </c>
      <c r="D4431" s="3" t="s">
        <v>1585</v>
      </c>
      <c r="E4431" s="3" t="s">
        <v>1391</v>
      </c>
      <c r="F4431" s="3" t="s">
        <v>4</v>
      </c>
      <c r="H4431" s="3">
        <v>0.9341969261066172</v>
      </c>
      <c r="J4431" s="3">
        <v>0.56655194526127028</v>
      </c>
    </row>
    <row r="4432" spans="1:16" x14ac:dyDescent="0.3">
      <c r="A4432" s="3" t="str">
        <f t="shared" si="69"/>
        <v>WOD</v>
      </c>
      <c r="C4432" s="3" t="s">
        <v>850</v>
      </c>
      <c r="D4432" s="3" t="s">
        <v>1585</v>
      </c>
      <c r="E4432" s="3" t="s">
        <v>1391</v>
      </c>
      <c r="F4432" s="3" t="s">
        <v>5</v>
      </c>
      <c r="G4432" s="3">
        <v>1.005030979855962</v>
      </c>
      <c r="H4432" s="3">
        <v>0.32032167129801725</v>
      </c>
      <c r="J4432" s="3">
        <v>0.60635512767458222</v>
      </c>
      <c r="K4432" s="3">
        <v>0.60635512767458222</v>
      </c>
      <c r="L4432" s="3">
        <v>0.60635512767458222</v>
      </c>
      <c r="M4432" s="3">
        <v>0.60635512767458222</v>
      </c>
      <c r="N4432" s="3">
        <v>0.60635512767458222</v>
      </c>
      <c r="O4432" s="3">
        <v>0.60635512767458222</v>
      </c>
      <c r="P4432" s="3">
        <v>0.60635512767458222</v>
      </c>
    </row>
    <row r="4433" spans="1:16" x14ac:dyDescent="0.3">
      <c r="A4433" s="3" t="str">
        <f t="shared" si="69"/>
        <v>WOD</v>
      </c>
      <c r="C4433" s="3" t="s">
        <v>850</v>
      </c>
      <c r="D4433" s="3" t="s">
        <v>1585</v>
      </c>
      <c r="E4433" s="3" t="s">
        <v>1391</v>
      </c>
      <c r="F4433" s="3" t="s">
        <v>6</v>
      </c>
      <c r="G4433" s="3">
        <v>1.1934339896025103</v>
      </c>
      <c r="H4433" s="3">
        <v>1.0257031741481624</v>
      </c>
      <c r="J4433" s="3">
        <v>0.35477991233077549</v>
      </c>
      <c r="K4433" s="3">
        <v>0.35477991233077549</v>
      </c>
      <c r="L4433" s="3">
        <v>0.35477991233077549</v>
      </c>
      <c r="M4433" s="3">
        <v>0.35477991233077549</v>
      </c>
      <c r="N4433" s="3">
        <v>0.35477991233077549</v>
      </c>
      <c r="O4433" s="3">
        <v>0.35477991233077549</v>
      </c>
      <c r="P4433" s="3">
        <v>0.35477991233077549</v>
      </c>
    </row>
    <row r="4434" spans="1:16" x14ac:dyDescent="0.3">
      <c r="A4434" s="3" t="str">
        <f t="shared" si="69"/>
        <v>WOD</v>
      </c>
      <c r="C4434" s="3" t="s">
        <v>850</v>
      </c>
      <c r="D4434" s="3" t="s">
        <v>1585</v>
      </c>
      <c r="E4434" s="3" t="s">
        <v>1391</v>
      </c>
      <c r="F4434" s="3" t="s">
        <v>7</v>
      </c>
      <c r="G4434" s="3">
        <v>1.2643917865000533</v>
      </c>
      <c r="H4434" s="3">
        <v>1.5280374119377718</v>
      </c>
      <c r="J4434" s="3">
        <v>1.2650682682600283</v>
      </c>
      <c r="K4434" s="3">
        <v>1.2650682682600283</v>
      </c>
      <c r="L4434" s="3">
        <v>1.2650682682600283</v>
      </c>
      <c r="M4434" s="3">
        <v>1.2650682682600283</v>
      </c>
      <c r="N4434" s="3">
        <v>1.2650682682600283</v>
      </c>
      <c r="O4434" s="3">
        <v>1.2650682682600283</v>
      </c>
      <c r="P4434" s="3">
        <v>1.2650682682600283</v>
      </c>
    </row>
    <row r="4435" spans="1:16" x14ac:dyDescent="0.3">
      <c r="A4435" s="3" t="str">
        <f t="shared" si="69"/>
        <v>WOD</v>
      </c>
      <c r="C4435" s="3" t="s">
        <v>850</v>
      </c>
      <c r="D4435" s="3" t="s">
        <v>1585</v>
      </c>
      <c r="E4435" s="3" t="s">
        <v>1391</v>
      </c>
      <c r="F4435" s="3" t="s">
        <v>8</v>
      </c>
      <c r="G4435" s="3">
        <v>8.6024879155795784</v>
      </c>
      <c r="H4435" s="3">
        <v>1.0494745346119339</v>
      </c>
      <c r="I4435" s="3">
        <v>1.0489412416213053</v>
      </c>
      <c r="J4435" s="3">
        <v>1.0489412416213053</v>
      </c>
      <c r="K4435" s="3">
        <v>1.0489412416213053</v>
      </c>
      <c r="L4435" s="3">
        <v>1.171900949062505</v>
      </c>
      <c r="M4435" s="3">
        <v>1.3134287785393726</v>
      </c>
      <c r="N4435" s="3">
        <v>1.4629269237802998</v>
      </c>
      <c r="O4435" s="3">
        <v>1.6512957306925671</v>
      </c>
      <c r="P4435" s="3">
        <v>1.7974119741464742</v>
      </c>
    </row>
    <row r="4436" spans="1:16" x14ac:dyDescent="0.3">
      <c r="A4436" s="3" t="str">
        <f t="shared" si="69"/>
        <v>DST</v>
      </c>
      <c r="C4436" s="3" t="s">
        <v>850</v>
      </c>
      <c r="D4436" s="3" t="s">
        <v>1585</v>
      </c>
      <c r="E4436" s="3" t="s">
        <v>1346</v>
      </c>
      <c r="F4436" s="3" t="s">
        <v>0</v>
      </c>
      <c r="G4436" s="3">
        <v>0.4128429683515249</v>
      </c>
      <c r="I4436" s="3">
        <v>0.4128429683515249</v>
      </c>
    </row>
    <row r="4437" spans="1:16" x14ac:dyDescent="0.3">
      <c r="A4437" s="3" t="str">
        <f t="shared" si="69"/>
        <v>LPG</v>
      </c>
      <c r="C4437" s="3" t="s">
        <v>850</v>
      </c>
      <c r="D4437" s="3" t="s">
        <v>1585</v>
      </c>
      <c r="E4437" s="3" t="s">
        <v>1348</v>
      </c>
      <c r="F4437" s="3" t="s">
        <v>0</v>
      </c>
      <c r="M4437" s="3">
        <v>8.5279807684867703E-2</v>
      </c>
      <c r="N4437" s="3">
        <v>8.5279807684867703E-2</v>
      </c>
      <c r="O4437" s="3">
        <v>8.5279807684867703E-2</v>
      </c>
      <c r="P4437" s="3">
        <v>8.5279807684867703E-2</v>
      </c>
    </row>
    <row r="4438" spans="1:16" x14ac:dyDescent="0.3">
      <c r="A4438" s="3" t="str">
        <f t="shared" si="69"/>
        <v>LPG</v>
      </c>
      <c r="C4438" s="3" t="s">
        <v>850</v>
      </c>
      <c r="D4438" s="3" t="s">
        <v>1585</v>
      </c>
      <c r="E4438" s="3" t="s">
        <v>1348</v>
      </c>
      <c r="F4438" s="3" t="s">
        <v>1</v>
      </c>
      <c r="M4438" s="3">
        <v>0.26814745699573878</v>
      </c>
      <c r="N4438" s="3">
        <v>0.26814745699573878</v>
      </c>
      <c r="O4438" s="3">
        <v>0.26814745699573878</v>
      </c>
      <c r="P4438" s="3">
        <v>0.26814745699573878</v>
      </c>
    </row>
    <row r="4439" spans="1:16" x14ac:dyDescent="0.3">
      <c r="A4439" s="3" t="str">
        <f t="shared" si="69"/>
        <v>LPG</v>
      </c>
      <c r="C4439" s="3" t="s">
        <v>850</v>
      </c>
      <c r="D4439" s="3" t="s">
        <v>1585</v>
      </c>
      <c r="E4439" s="3" t="s">
        <v>1348</v>
      </c>
      <c r="F4439" s="3" t="s">
        <v>2</v>
      </c>
      <c r="N4439" s="3">
        <v>0.26446524365531582</v>
      </c>
    </row>
    <row r="4440" spans="1:16" x14ac:dyDescent="0.3">
      <c r="A4440" s="3" t="str">
        <f t="shared" si="69"/>
        <v>LPG</v>
      </c>
      <c r="C4440" s="3" t="s">
        <v>850</v>
      </c>
      <c r="D4440" s="3" t="s">
        <v>1585</v>
      </c>
      <c r="E4440" s="3" t="s">
        <v>1348</v>
      </c>
      <c r="F4440" s="3" t="s">
        <v>3</v>
      </c>
      <c r="M4440" s="3">
        <v>5.455100548200629E-4</v>
      </c>
      <c r="N4440" s="3">
        <v>5.455100548200629E-4</v>
      </c>
    </row>
    <row r="4441" spans="1:16" x14ac:dyDescent="0.3">
      <c r="A4441" s="3" t="str">
        <f t="shared" si="69"/>
        <v>LPG</v>
      </c>
      <c r="C4441" s="3" t="s">
        <v>850</v>
      </c>
      <c r="D4441" s="3" t="s">
        <v>1585</v>
      </c>
      <c r="E4441" s="3" t="s">
        <v>1348</v>
      </c>
      <c r="F4441" s="3" t="s">
        <v>4</v>
      </c>
      <c r="M4441" s="3">
        <v>0.12547088413764304</v>
      </c>
      <c r="N4441" s="3">
        <v>0.12547088413764304</v>
      </c>
    </row>
    <row r="4442" spans="1:16" x14ac:dyDescent="0.3">
      <c r="A4442" s="3" t="str">
        <f t="shared" si="69"/>
        <v>LPG</v>
      </c>
      <c r="C4442" s="3" t="s">
        <v>850</v>
      </c>
      <c r="D4442" s="3" t="s">
        <v>1585</v>
      </c>
      <c r="E4442" s="3" t="s">
        <v>1348</v>
      </c>
      <c r="F4442" s="3" t="s">
        <v>6</v>
      </c>
      <c r="M4442" s="3">
        <v>7.0651194761457869E-2</v>
      </c>
      <c r="N4442" s="3">
        <v>7.0651194761457869E-2</v>
      </c>
    </row>
    <row r="4443" spans="1:16" x14ac:dyDescent="0.3">
      <c r="A4443" s="3" t="str">
        <f t="shared" si="69"/>
        <v>LPG</v>
      </c>
      <c r="C4443" s="3" t="s">
        <v>850</v>
      </c>
      <c r="D4443" s="3" t="s">
        <v>1585</v>
      </c>
      <c r="E4443" s="3" t="s">
        <v>1348</v>
      </c>
      <c r="F4443" s="3" t="s">
        <v>7</v>
      </c>
      <c r="M4443" s="3">
        <v>1.6017240930876864E-2</v>
      </c>
      <c r="N4443" s="3">
        <v>1.6017240930876864E-2</v>
      </c>
      <c r="O4443" s="3">
        <v>1.6017240930876864E-2</v>
      </c>
      <c r="P4443" s="3">
        <v>1.6017240930876864E-2</v>
      </c>
    </row>
    <row r="4444" spans="1:16" x14ac:dyDescent="0.3">
      <c r="A4444" s="3" t="str">
        <f t="shared" si="69"/>
        <v>LPG</v>
      </c>
      <c r="C4444" s="3" t="s">
        <v>850</v>
      </c>
      <c r="D4444" s="3" t="s">
        <v>1585</v>
      </c>
      <c r="E4444" s="3" t="s">
        <v>1348</v>
      </c>
      <c r="F4444" s="3" t="s">
        <v>8</v>
      </c>
      <c r="G4444" s="3">
        <v>8.4890768195305735E-2</v>
      </c>
      <c r="M4444" s="3">
        <v>8.1418056627159743E-2</v>
      </c>
      <c r="N4444" s="3">
        <v>8.1418056627159743E-2</v>
      </c>
      <c r="O4444" s="3">
        <v>8.1418056627159743E-2</v>
      </c>
      <c r="P4444" s="3">
        <v>8.1418056627159743E-2</v>
      </c>
    </row>
    <row r="4445" spans="1:16" x14ac:dyDescent="0.3">
      <c r="A4445" s="3" t="str">
        <f t="shared" si="69"/>
        <v>NGA</v>
      </c>
      <c r="C4445" s="3" t="s">
        <v>850</v>
      </c>
      <c r="D4445" s="3" t="s">
        <v>1585</v>
      </c>
      <c r="E4445" s="3" t="s">
        <v>1350</v>
      </c>
      <c r="F4445" s="3" t="s">
        <v>0</v>
      </c>
      <c r="G4445" s="3">
        <v>10.547722374290997</v>
      </c>
      <c r="H4445" s="3">
        <v>8.7568505384588207</v>
      </c>
      <c r="I4445" s="3">
        <v>6.0177617086235982</v>
      </c>
      <c r="J4445" s="3">
        <v>6.0177617086235982</v>
      </c>
      <c r="K4445" s="3">
        <v>6.0177617086235982</v>
      </c>
      <c r="L4445" s="3">
        <v>6.0177617086235982</v>
      </c>
      <c r="M4445" s="3">
        <v>6.0177617086235982</v>
      </c>
      <c r="N4445" s="3">
        <v>6.0177617086235982</v>
      </c>
      <c r="O4445" s="3">
        <v>6.0177617086235982</v>
      </c>
      <c r="P4445" s="3">
        <v>6.0177617086235982</v>
      </c>
    </row>
    <row r="4446" spans="1:16" x14ac:dyDescent="0.3">
      <c r="A4446" s="3" t="str">
        <f t="shared" si="69"/>
        <v>NGA</v>
      </c>
      <c r="C4446" s="3" t="s">
        <v>850</v>
      </c>
      <c r="D4446" s="3" t="s">
        <v>1585</v>
      </c>
      <c r="E4446" s="3" t="s">
        <v>1350</v>
      </c>
      <c r="F4446" s="3" t="s">
        <v>1</v>
      </c>
      <c r="G4446" s="3">
        <v>17.457024927542381</v>
      </c>
      <c r="H4446" s="3">
        <v>18.723496653739829</v>
      </c>
      <c r="I4446" s="3">
        <v>18.012570070625298</v>
      </c>
      <c r="J4446" s="3">
        <v>18.012570070625298</v>
      </c>
      <c r="K4446" s="3">
        <v>18.012570070625298</v>
      </c>
      <c r="L4446" s="3">
        <v>18.012570070625298</v>
      </c>
      <c r="M4446" s="3">
        <v>18.012570070625298</v>
      </c>
      <c r="N4446" s="3">
        <v>18.012570070625298</v>
      </c>
      <c r="O4446" s="3">
        <v>18.012570070625298</v>
      </c>
      <c r="P4446" s="3">
        <v>18.012570070625298</v>
      </c>
    </row>
    <row r="4447" spans="1:16" x14ac:dyDescent="0.3">
      <c r="A4447" s="3" t="str">
        <f t="shared" ref="A4447:A4510" si="70">RIGHT(E4447,3)</f>
        <v>NGA</v>
      </c>
      <c r="C4447" s="3" t="s">
        <v>850</v>
      </c>
      <c r="D4447" s="3" t="s">
        <v>1585</v>
      </c>
      <c r="E4447" s="3" t="s">
        <v>1350</v>
      </c>
      <c r="F4447" s="3" t="s">
        <v>2</v>
      </c>
      <c r="G4447" s="3">
        <v>4.3439766696019566</v>
      </c>
      <c r="H4447" s="3">
        <v>18.127777028192341</v>
      </c>
      <c r="I4447" s="3">
        <v>17.765220621361483</v>
      </c>
      <c r="J4447" s="3">
        <v>17.765220621361483</v>
      </c>
      <c r="K4447" s="3">
        <v>17.765220621361483</v>
      </c>
      <c r="L4447" s="3">
        <v>17.765220621361483</v>
      </c>
      <c r="M4447" s="3">
        <v>17.765220621361483</v>
      </c>
      <c r="N4447" s="3">
        <v>17.765220621361483</v>
      </c>
      <c r="O4447" s="3">
        <v>17.765220621361483</v>
      </c>
      <c r="P4447" s="3">
        <v>17.765220621361483</v>
      </c>
    </row>
    <row r="4448" spans="1:16" x14ac:dyDescent="0.3">
      <c r="A4448" s="3" t="str">
        <f t="shared" si="70"/>
        <v>NGA</v>
      </c>
      <c r="C4448" s="3" t="s">
        <v>850</v>
      </c>
      <c r="D4448" s="3" t="s">
        <v>1585</v>
      </c>
      <c r="E4448" s="3" t="s">
        <v>1350</v>
      </c>
      <c r="F4448" s="3" t="s">
        <v>3</v>
      </c>
      <c r="H4448" s="3">
        <v>3.6644159138280244E-2</v>
      </c>
      <c r="I4448" s="3">
        <v>3.6644159138280244E-2</v>
      </c>
      <c r="J4448" s="3">
        <v>3.6644159138280244E-2</v>
      </c>
      <c r="K4448" s="3">
        <v>3.6644159138280244E-2</v>
      </c>
      <c r="L4448" s="3">
        <v>3.6644159138280244E-2</v>
      </c>
      <c r="M4448" s="3">
        <v>3.6644159138280244E-2</v>
      </c>
      <c r="N4448" s="3">
        <v>3.6644159138280244E-2</v>
      </c>
      <c r="O4448" s="3">
        <v>3.6644159138280244E-2</v>
      </c>
      <c r="P4448" s="3">
        <v>3.6644159138280244E-2</v>
      </c>
    </row>
    <row r="4449" spans="1:16" x14ac:dyDescent="0.3">
      <c r="A4449" s="3" t="str">
        <f t="shared" si="70"/>
        <v>NGA</v>
      </c>
      <c r="C4449" s="3" t="s">
        <v>850</v>
      </c>
      <c r="D4449" s="3" t="s">
        <v>1585</v>
      </c>
      <c r="E4449" s="3" t="s">
        <v>1350</v>
      </c>
      <c r="F4449" s="3" t="s">
        <v>4</v>
      </c>
      <c r="H4449" s="3">
        <v>8.4610781516330213</v>
      </c>
      <c r="I4449" s="3">
        <v>8.4283965161321603</v>
      </c>
      <c r="J4449" s="3">
        <v>8.4283965161321603</v>
      </c>
      <c r="K4449" s="3">
        <v>8.4283965161321603</v>
      </c>
      <c r="L4449" s="3">
        <v>8.4283965161321603</v>
      </c>
      <c r="M4449" s="3">
        <v>8.4283965161321603</v>
      </c>
      <c r="N4449" s="3">
        <v>8.4283965161321603</v>
      </c>
      <c r="O4449" s="3">
        <v>8.4283965161321603</v>
      </c>
      <c r="P4449" s="3">
        <v>8.4283965161321603</v>
      </c>
    </row>
    <row r="4450" spans="1:16" x14ac:dyDescent="0.3">
      <c r="A4450" s="3" t="str">
        <f t="shared" si="70"/>
        <v>NGA</v>
      </c>
      <c r="C4450" s="3" t="s">
        <v>850</v>
      </c>
      <c r="D4450" s="3" t="s">
        <v>1585</v>
      </c>
      <c r="E4450" s="3" t="s">
        <v>1350</v>
      </c>
      <c r="F4450" s="3" t="s">
        <v>6</v>
      </c>
      <c r="G4450" s="3">
        <v>15.160318225753196</v>
      </c>
      <c r="H4450" s="3">
        <v>13.184709261825784</v>
      </c>
      <c r="I4450" s="3">
        <v>4.745931997536621</v>
      </c>
      <c r="J4450" s="3">
        <v>4.745931997536621</v>
      </c>
      <c r="K4450" s="3">
        <v>4.745931997536621</v>
      </c>
      <c r="L4450" s="3">
        <v>4.745931997536621</v>
      </c>
      <c r="M4450" s="3">
        <v>4.745931997536621</v>
      </c>
      <c r="N4450" s="3">
        <v>4.745931997536621</v>
      </c>
      <c r="O4450" s="3">
        <v>4.745931997536621</v>
      </c>
      <c r="P4450" s="3">
        <v>4.745931997536621</v>
      </c>
    </row>
    <row r="4451" spans="1:16" x14ac:dyDescent="0.3">
      <c r="A4451" s="3" t="str">
        <f t="shared" si="70"/>
        <v>NGA</v>
      </c>
      <c r="C4451" s="3" t="s">
        <v>850</v>
      </c>
      <c r="D4451" s="3" t="s">
        <v>1585</v>
      </c>
      <c r="E4451" s="3" t="s">
        <v>1350</v>
      </c>
      <c r="F4451" s="3" t="s">
        <v>7</v>
      </c>
      <c r="G4451" s="3">
        <v>0.81002187819078875</v>
      </c>
      <c r="H4451" s="3">
        <v>3.7869803762334988</v>
      </c>
      <c r="I4451" s="3">
        <v>1.8607503867757618</v>
      </c>
      <c r="J4451" s="3">
        <v>1.8607503867757618</v>
      </c>
      <c r="K4451" s="3">
        <v>1.8607503867757618</v>
      </c>
      <c r="L4451" s="3">
        <v>1.8607503867757618</v>
      </c>
      <c r="M4451" s="3">
        <v>1.8607503867757618</v>
      </c>
      <c r="N4451" s="3">
        <v>1.8607503867757618</v>
      </c>
      <c r="O4451" s="3">
        <v>1.8607503867757618</v>
      </c>
      <c r="P4451" s="3">
        <v>1.8607503867757618</v>
      </c>
    </row>
    <row r="4452" spans="1:16" x14ac:dyDescent="0.3">
      <c r="A4452" s="3" t="str">
        <f t="shared" si="70"/>
        <v>NGA</v>
      </c>
      <c r="C4452" s="3" t="s">
        <v>850</v>
      </c>
      <c r="D4452" s="3" t="s">
        <v>1585</v>
      </c>
      <c r="E4452" s="3" t="s">
        <v>1350</v>
      </c>
      <c r="F4452" s="3" t="s">
        <v>8</v>
      </c>
      <c r="G4452" s="3">
        <v>5.6729271244545654</v>
      </c>
      <c r="H4452" s="3">
        <v>5.6788342685395667</v>
      </c>
      <c r="I4452" s="3">
        <v>5.7024628448795802</v>
      </c>
      <c r="J4452" s="3">
        <v>2.9787443397296185</v>
      </c>
      <c r="K4452" s="3">
        <v>2.9823908760420146</v>
      </c>
      <c r="L4452" s="3">
        <v>5.7024628448795802</v>
      </c>
      <c r="M4452" s="3">
        <v>5.7024628448795802</v>
      </c>
      <c r="N4452" s="3">
        <v>5.7024628448795802</v>
      </c>
      <c r="O4452" s="3">
        <v>5.7024628448795802</v>
      </c>
      <c r="P4452" s="3">
        <v>5.7024628448795802</v>
      </c>
    </row>
    <row r="4453" spans="1:16" x14ac:dyDescent="0.3">
      <c r="A4453" s="3" t="str">
        <f t="shared" si="70"/>
        <v>RFL</v>
      </c>
      <c r="C4453" s="3" t="s">
        <v>850</v>
      </c>
      <c r="D4453" s="3" t="s">
        <v>1585</v>
      </c>
      <c r="E4453" s="3" t="s">
        <v>1352</v>
      </c>
      <c r="F4453" s="3" t="s">
        <v>0</v>
      </c>
      <c r="G4453" s="3">
        <v>0.11147515133784847</v>
      </c>
      <c r="I4453" s="3">
        <v>0.11147515133784847</v>
      </c>
      <c r="J4453" s="3">
        <v>0.11147515133784847</v>
      </c>
      <c r="K4453" s="3">
        <v>0.11147515133784847</v>
      </c>
      <c r="L4453" s="3">
        <v>0.11147515133784847</v>
      </c>
      <c r="M4453" s="3">
        <v>0.11147515133784847</v>
      </c>
      <c r="N4453" s="3">
        <v>0.11147515133784847</v>
      </c>
      <c r="O4453" s="3">
        <v>0.11147515133784847</v>
      </c>
      <c r="P4453" s="3">
        <v>0.11147515133784847</v>
      </c>
    </row>
    <row r="4454" spans="1:16" x14ac:dyDescent="0.3">
      <c r="A4454" s="3" t="str">
        <f t="shared" si="70"/>
        <v>WOD</v>
      </c>
      <c r="C4454" s="3" t="s">
        <v>850</v>
      </c>
      <c r="D4454" s="3" t="s">
        <v>1585</v>
      </c>
      <c r="E4454" s="3" t="s">
        <v>1393</v>
      </c>
      <c r="F4454" s="3" t="s">
        <v>2</v>
      </c>
      <c r="H4454" s="3">
        <v>0.56689847000324767</v>
      </c>
      <c r="I4454" s="3">
        <v>0.56689847000324767</v>
      </c>
      <c r="J4454" s="3">
        <v>9.7607834506825899</v>
      </c>
      <c r="K4454" s="3">
        <v>9.7607834506825899</v>
      </c>
      <c r="L4454" s="3">
        <v>13.45339059385625</v>
      </c>
      <c r="M4454" s="3">
        <v>13.45339059385625</v>
      </c>
      <c r="N4454" s="3">
        <v>20.425418519697001</v>
      </c>
      <c r="O4454" s="3">
        <v>23.054343057897164</v>
      </c>
      <c r="P4454" s="3">
        <v>25.094325321706961</v>
      </c>
    </row>
    <row r="4455" spans="1:16" x14ac:dyDescent="0.3">
      <c r="A4455" s="3" t="str">
        <f t="shared" si="70"/>
        <v>WOD</v>
      </c>
      <c r="C4455" s="3" t="s">
        <v>850</v>
      </c>
      <c r="D4455" s="3" t="s">
        <v>1585</v>
      </c>
      <c r="E4455" s="3" t="s">
        <v>1393</v>
      </c>
      <c r="F4455" s="3" t="s">
        <v>4</v>
      </c>
      <c r="H4455" s="3">
        <v>0.47883044663358143</v>
      </c>
      <c r="J4455" s="3">
        <v>9.0031246894790904</v>
      </c>
      <c r="K4455" s="3">
        <v>12.412562210320914</v>
      </c>
      <c r="L4455" s="3">
        <v>13.881282506641538</v>
      </c>
      <c r="M4455" s="3">
        <v>15.564571997952042</v>
      </c>
      <c r="N4455" s="3">
        <v>17.390120833264163</v>
      </c>
      <c r="O4455" s="3">
        <v>19.64001540046948</v>
      </c>
      <c r="P4455" s="3">
        <v>21.377878109343577</v>
      </c>
    </row>
    <row r="4456" spans="1:16" x14ac:dyDescent="0.3">
      <c r="A4456" s="3" t="str">
        <f t="shared" si="70"/>
        <v>COA</v>
      </c>
      <c r="C4456" s="3" t="s">
        <v>850</v>
      </c>
      <c r="D4456" s="3" t="s">
        <v>1585</v>
      </c>
      <c r="E4456" s="3" t="s">
        <v>1354</v>
      </c>
      <c r="F4456" s="3" t="s">
        <v>4</v>
      </c>
      <c r="G4456" s="3">
        <v>1.80610230158736E-2</v>
      </c>
      <c r="P4456" s="3">
        <v>1.80610230158736E-2</v>
      </c>
    </row>
    <row r="4457" spans="1:16" x14ac:dyDescent="0.3">
      <c r="A4457" s="3" t="str">
        <f t="shared" si="70"/>
        <v>WOD</v>
      </c>
      <c r="C4457" s="3" t="s">
        <v>850</v>
      </c>
      <c r="D4457" s="3" t="s">
        <v>1585</v>
      </c>
      <c r="E4457" s="3" t="s">
        <v>1396</v>
      </c>
      <c r="F4457" s="3" t="s">
        <v>6</v>
      </c>
      <c r="G4457" s="3">
        <v>0.40394650755813699</v>
      </c>
      <c r="K4457" s="3">
        <v>1.58738529621444E-2</v>
      </c>
      <c r="L4457" s="3">
        <v>4.1283230656139203E-2</v>
      </c>
      <c r="M4457" s="3">
        <v>6.5335412450361702E-2</v>
      </c>
      <c r="N4457" s="3">
        <v>9.1396757020807101E-2</v>
      </c>
      <c r="O4457" s="3">
        <v>0.114206862220939</v>
      </c>
    </row>
    <row r="4458" spans="1:16" x14ac:dyDescent="0.3">
      <c r="A4458" s="3" t="str">
        <f t="shared" si="70"/>
        <v>COA</v>
      </c>
      <c r="C4458" s="3" t="s">
        <v>850</v>
      </c>
      <c r="D4458" s="3" t="s">
        <v>1585</v>
      </c>
      <c r="E4458" s="3" t="s">
        <v>1356</v>
      </c>
      <c r="F4458" s="3" t="s">
        <v>2</v>
      </c>
      <c r="G4458" s="3">
        <v>3.7632156804134398E-2</v>
      </c>
      <c r="J4458" s="3">
        <v>3.7632156804134398E-2</v>
      </c>
      <c r="K4458" s="3">
        <v>3.7632156804134398E-2</v>
      </c>
      <c r="L4458" s="3">
        <v>3.7632156804134398E-2</v>
      </c>
      <c r="M4458" s="3">
        <v>3.7632156804134398E-2</v>
      </c>
      <c r="N4458" s="3">
        <v>3.7632156804134398E-2</v>
      </c>
      <c r="O4458" s="3">
        <v>3.7632156804134398E-2</v>
      </c>
      <c r="P4458" s="3">
        <v>3.7632156804134398E-2</v>
      </c>
    </row>
    <row r="4459" spans="1:16" x14ac:dyDescent="0.3">
      <c r="A4459" s="3" t="str">
        <f t="shared" si="70"/>
        <v>WOD</v>
      </c>
      <c r="C4459" s="3" t="s">
        <v>850</v>
      </c>
      <c r="D4459" s="3" t="s">
        <v>1585</v>
      </c>
      <c r="E4459" s="3" t="s">
        <v>1398</v>
      </c>
      <c r="F4459" s="3" t="s">
        <v>5</v>
      </c>
      <c r="J4459" s="3">
        <v>4.8625321735208497E-2</v>
      </c>
      <c r="K4459" s="3">
        <v>4.8625321735208497E-2</v>
      </c>
      <c r="L4459" s="3">
        <v>4.8625321735208497E-2</v>
      </c>
    </row>
    <row r="4460" spans="1:16" x14ac:dyDescent="0.3">
      <c r="A4460" s="3" t="str">
        <f t="shared" si="70"/>
        <v>WOD</v>
      </c>
      <c r="C4460" s="3" t="s">
        <v>850</v>
      </c>
      <c r="D4460" s="3" t="s">
        <v>1585</v>
      </c>
      <c r="E4460" s="3" t="s">
        <v>1398</v>
      </c>
      <c r="F4460" s="3" t="s">
        <v>6</v>
      </c>
      <c r="G4460" s="3">
        <v>9.6985030236360195E-2</v>
      </c>
    </row>
    <row r="4461" spans="1:16" x14ac:dyDescent="0.3">
      <c r="A4461" s="3" t="str">
        <f t="shared" si="70"/>
        <v>LPG</v>
      </c>
      <c r="C4461" s="3" t="s">
        <v>850</v>
      </c>
      <c r="D4461" s="3" t="s">
        <v>1585</v>
      </c>
      <c r="E4461" s="3" t="s">
        <v>1358</v>
      </c>
      <c r="F4461" s="3" t="s">
        <v>1</v>
      </c>
      <c r="K4461" s="3">
        <v>1.8300860225439717E-4</v>
      </c>
      <c r="M4461" s="3">
        <v>1.8300860225439717E-4</v>
      </c>
      <c r="N4461" s="3">
        <v>1.8300860225439717E-4</v>
      </c>
      <c r="O4461" s="3">
        <v>1.8300860225439717E-4</v>
      </c>
      <c r="P4461" s="3">
        <v>1.8300860225439717E-4</v>
      </c>
    </row>
    <row r="4462" spans="1:16" x14ac:dyDescent="0.3">
      <c r="A4462" s="3" t="str">
        <f t="shared" si="70"/>
        <v>LPG</v>
      </c>
      <c r="C4462" s="3" t="s">
        <v>850</v>
      </c>
      <c r="D4462" s="3" t="s">
        <v>1585</v>
      </c>
      <c r="E4462" s="3" t="s">
        <v>1358</v>
      </c>
      <c r="F4462" s="3" t="s">
        <v>8</v>
      </c>
      <c r="G4462" s="3">
        <v>2.9761165805505064E-4</v>
      </c>
      <c r="I4462" s="3">
        <v>2.9761165805505064E-4</v>
      </c>
      <c r="J4462" s="3">
        <v>2.9761165805505064E-4</v>
      </c>
      <c r="K4462" s="3">
        <v>2.9761165805505064E-4</v>
      </c>
      <c r="L4462" s="3">
        <v>2.9761165805505064E-4</v>
      </c>
      <c r="M4462" s="3">
        <v>2.9761165805505064E-4</v>
      </c>
      <c r="N4462" s="3">
        <v>2.9761165805505064E-4</v>
      </c>
      <c r="O4462" s="3">
        <v>2.9761165805505064E-4</v>
      </c>
      <c r="P4462" s="3">
        <v>2.9761165805505064E-4</v>
      </c>
    </row>
    <row r="4463" spans="1:16" x14ac:dyDescent="0.3">
      <c r="A4463" s="3" t="str">
        <f t="shared" si="70"/>
        <v>NGA</v>
      </c>
      <c r="C4463" s="3" t="s">
        <v>850</v>
      </c>
      <c r="D4463" s="3" t="s">
        <v>1585</v>
      </c>
      <c r="E4463" s="3" t="s">
        <v>1360</v>
      </c>
      <c r="F4463" s="3" t="s">
        <v>1</v>
      </c>
      <c r="H4463" s="3">
        <v>2.4586884459522544E-3</v>
      </c>
      <c r="I4463" s="3">
        <v>1.229344222976126E-2</v>
      </c>
      <c r="J4463" s="3">
        <v>1.229344222976126E-2</v>
      </c>
      <c r="K4463" s="3">
        <v>1.229344222976126E-2</v>
      </c>
      <c r="L4463" s="3">
        <v>1.229344222976126E-2</v>
      </c>
      <c r="M4463" s="3">
        <v>1.229344222976126E-2</v>
      </c>
      <c r="N4463" s="3">
        <v>1.229344222976126E-2</v>
      </c>
      <c r="O4463" s="3">
        <v>1.229344222976126E-2</v>
      </c>
      <c r="P4463" s="3">
        <v>1.229344222976126E-2</v>
      </c>
    </row>
    <row r="4464" spans="1:16" x14ac:dyDescent="0.3">
      <c r="A4464" s="3" t="str">
        <f t="shared" si="70"/>
        <v>NGA</v>
      </c>
      <c r="C4464" s="3" t="s">
        <v>850</v>
      </c>
      <c r="D4464" s="3" t="s">
        <v>1585</v>
      </c>
      <c r="E4464" s="3" t="s">
        <v>1360</v>
      </c>
      <c r="F4464" s="3" t="s">
        <v>6</v>
      </c>
      <c r="G4464" s="3">
        <v>4.71317432785577E-3</v>
      </c>
      <c r="H4464" s="3">
        <v>3.7705394622846193E-3</v>
      </c>
    </row>
    <row r="4465" spans="1:16" x14ac:dyDescent="0.3">
      <c r="A4465" s="3" t="str">
        <f t="shared" si="70"/>
        <v>NGA</v>
      </c>
      <c r="C4465" s="3" t="s">
        <v>850</v>
      </c>
      <c r="D4465" s="3" t="s">
        <v>1585</v>
      </c>
      <c r="E4465" s="3" t="s">
        <v>1360</v>
      </c>
      <c r="F4465" s="3" t="s">
        <v>8</v>
      </c>
      <c r="G4465" s="3">
        <v>1.5366802787201671E-2</v>
      </c>
      <c r="H4465" s="3">
        <v>1.6291802612971498E-2</v>
      </c>
      <c r="I4465" s="3">
        <v>1.9991801916050773E-2</v>
      </c>
      <c r="J4465" s="3">
        <v>1.9991801916050773E-2</v>
      </c>
      <c r="K4465" s="3">
        <v>1.9991801916050773E-2</v>
      </c>
      <c r="L4465" s="3">
        <v>1.9991801916050773E-2</v>
      </c>
      <c r="M4465" s="3">
        <v>1.9991801916050773E-2</v>
      </c>
      <c r="N4465" s="3">
        <v>1.9991801916050773E-2</v>
      </c>
      <c r="O4465" s="3">
        <v>1.9991801916050773E-2</v>
      </c>
      <c r="P4465" s="3">
        <v>1.9991801916050773E-2</v>
      </c>
    </row>
    <row r="4466" spans="1:16" x14ac:dyDescent="0.3">
      <c r="A4466" s="3" t="str">
        <f t="shared" si="70"/>
        <v>LPG</v>
      </c>
      <c r="C4466" s="3" t="s">
        <v>850</v>
      </c>
      <c r="D4466" s="3" t="s">
        <v>1585</v>
      </c>
      <c r="E4466" s="3" t="s">
        <v>1362</v>
      </c>
      <c r="F4466" s="3" t="s">
        <v>0</v>
      </c>
      <c r="M4466" s="3">
        <v>6.6904099779180668E-5</v>
      </c>
      <c r="N4466" s="3">
        <v>6.6904099779180668E-5</v>
      </c>
      <c r="O4466" s="3">
        <v>6.6904099779180668E-5</v>
      </c>
      <c r="P4466" s="3">
        <v>6.6904099779180668E-5</v>
      </c>
    </row>
    <row r="4467" spans="1:16" x14ac:dyDescent="0.3">
      <c r="A4467" s="3" t="str">
        <f t="shared" si="70"/>
        <v>LPG</v>
      </c>
      <c r="C4467" s="3" t="s">
        <v>850</v>
      </c>
      <c r="D4467" s="3" t="s">
        <v>1585</v>
      </c>
      <c r="E4467" s="3" t="s">
        <v>1362</v>
      </c>
      <c r="F4467" s="3" t="s">
        <v>1</v>
      </c>
      <c r="M4467" s="3">
        <v>1.1262190129495401E-4</v>
      </c>
      <c r="N4467" s="3">
        <v>1.1262190129495401E-4</v>
      </c>
      <c r="O4467" s="3">
        <v>1.1262190129495401E-4</v>
      </c>
      <c r="P4467" s="3">
        <v>1.1262190129495401E-4</v>
      </c>
    </row>
    <row r="4468" spans="1:16" x14ac:dyDescent="0.3">
      <c r="A4468" s="3" t="str">
        <f t="shared" si="70"/>
        <v>LPG</v>
      </c>
      <c r="C4468" s="3" t="s">
        <v>850</v>
      </c>
      <c r="D4468" s="3" t="s">
        <v>1585</v>
      </c>
      <c r="E4468" s="3" t="s">
        <v>1362</v>
      </c>
      <c r="F4468" s="3" t="s">
        <v>2</v>
      </c>
      <c r="N4468" s="3">
        <v>7.3655418767740576E-5</v>
      </c>
    </row>
    <row r="4469" spans="1:16" x14ac:dyDescent="0.3">
      <c r="A4469" s="3" t="str">
        <f t="shared" si="70"/>
        <v>LPG</v>
      </c>
      <c r="C4469" s="3" t="s">
        <v>850</v>
      </c>
      <c r="D4469" s="3" t="s">
        <v>1585</v>
      </c>
      <c r="E4469" s="3" t="s">
        <v>1362</v>
      </c>
      <c r="F4469" s="3" t="s">
        <v>3</v>
      </c>
      <c r="M4469" s="3">
        <v>2.3674956032488005E-5</v>
      </c>
      <c r="N4469" s="3">
        <v>2.3674956032488005E-5</v>
      </c>
    </row>
    <row r="4470" spans="1:16" x14ac:dyDescent="0.3">
      <c r="A4470" s="3" t="str">
        <f t="shared" si="70"/>
        <v>LPG</v>
      </c>
      <c r="C4470" s="3" t="s">
        <v>850</v>
      </c>
      <c r="D4470" s="3" t="s">
        <v>1585</v>
      </c>
      <c r="E4470" s="3" t="s">
        <v>1362</v>
      </c>
      <c r="F4470" s="3" t="s">
        <v>8</v>
      </c>
      <c r="G4470" s="3">
        <v>3.1057313472733684E-4</v>
      </c>
      <c r="M4470" s="3">
        <v>3.1057313472733684E-4</v>
      </c>
      <c r="N4470" s="3">
        <v>3.1057313472733684E-4</v>
      </c>
      <c r="O4470" s="3">
        <v>3.1057313472733684E-4</v>
      </c>
      <c r="P4470" s="3">
        <v>3.1057313472733684E-4</v>
      </c>
    </row>
    <row r="4471" spans="1:16" x14ac:dyDescent="0.3">
      <c r="A4471" s="3" t="str">
        <f t="shared" si="70"/>
        <v>NGA</v>
      </c>
      <c r="C4471" s="3" t="s">
        <v>850</v>
      </c>
      <c r="D4471" s="3" t="s">
        <v>1585</v>
      </c>
      <c r="E4471" s="3" t="s">
        <v>1364</v>
      </c>
      <c r="F4471" s="3" t="s">
        <v>0</v>
      </c>
      <c r="I4471" s="3">
        <v>4.4942241809279712E-3</v>
      </c>
      <c r="J4471" s="3">
        <v>4.4942241809279712E-3</v>
      </c>
      <c r="K4471" s="3">
        <v>4.4942241809279712E-3</v>
      </c>
      <c r="L4471" s="3">
        <v>4.4942241809279712E-3</v>
      </c>
      <c r="M4471" s="3">
        <v>4.4942241809279712E-3</v>
      </c>
      <c r="N4471" s="3">
        <v>4.4942241809279712E-3</v>
      </c>
      <c r="O4471" s="3">
        <v>4.4942241809279712E-3</v>
      </c>
      <c r="P4471" s="3">
        <v>4.4942241809279712E-3</v>
      </c>
    </row>
    <row r="4472" spans="1:16" x14ac:dyDescent="0.3">
      <c r="A4472" s="3" t="str">
        <f t="shared" si="70"/>
        <v>NGA</v>
      </c>
      <c r="C4472" s="3" t="s">
        <v>850</v>
      </c>
      <c r="D4472" s="3" t="s">
        <v>1585</v>
      </c>
      <c r="E4472" s="3" t="s">
        <v>1364</v>
      </c>
      <c r="F4472" s="3" t="s">
        <v>1</v>
      </c>
      <c r="G4472" s="3">
        <v>2.6965345085567835E-3</v>
      </c>
      <c r="H4472" s="3">
        <v>3.6702830810911758E-3</v>
      </c>
      <c r="I4472" s="3">
        <v>7.5652773712287496E-3</v>
      </c>
      <c r="J4472" s="3">
        <v>7.5652773712287496E-3</v>
      </c>
      <c r="K4472" s="3">
        <v>7.5652773712287496E-3</v>
      </c>
      <c r="L4472" s="3">
        <v>7.5652773712287496E-3</v>
      </c>
      <c r="M4472" s="3">
        <v>7.5652773712287496E-3</v>
      </c>
      <c r="N4472" s="3">
        <v>7.5652773712287496E-3</v>
      </c>
      <c r="O4472" s="3">
        <v>7.5652773712287496E-3</v>
      </c>
      <c r="P4472" s="3">
        <v>7.5652773712287496E-3</v>
      </c>
    </row>
    <row r="4473" spans="1:16" x14ac:dyDescent="0.3">
      <c r="A4473" s="3" t="str">
        <f t="shared" si="70"/>
        <v>NGA</v>
      </c>
      <c r="C4473" s="3" t="s">
        <v>850</v>
      </c>
      <c r="D4473" s="3" t="s">
        <v>1585</v>
      </c>
      <c r="E4473" s="3" t="s">
        <v>1364</v>
      </c>
      <c r="F4473" s="3" t="s">
        <v>2</v>
      </c>
      <c r="G4473" s="3">
        <v>4.7003512029332459E-3</v>
      </c>
      <c r="H4473" s="3">
        <v>4.7498285840167553E-3</v>
      </c>
      <c r="I4473" s="3">
        <v>4.9477381083507868E-3</v>
      </c>
      <c r="J4473" s="3">
        <v>4.9477381083507868E-3</v>
      </c>
      <c r="K4473" s="3">
        <v>4.9477381083507868E-3</v>
      </c>
      <c r="L4473" s="3">
        <v>4.9477381083507868E-3</v>
      </c>
      <c r="M4473" s="3">
        <v>4.9477381083507868E-3</v>
      </c>
      <c r="N4473" s="3">
        <v>4.9477381083507868E-3</v>
      </c>
      <c r="O4473" s="3">
        <v>4.9477381083507868E-3</v>
      </c>
      <c r="P4473" s="3">
        <v>4.9477381083507868E-3</v>
      </c>
    </row>
    <row r="4474" spans="1:16" x14ac:dyDescent="0.3">
      <c r="A4474" s="3" t="str">
        <f t="shared" si="70"/>
        <v>NGA</v>
      </c>
      <c r="C4474" s="3" t="s">
        <v>850</v>
      </c>
      <c r="D4474" s="3" t="s">
        <v>1585</v>
      </c>
      <c r="E4474" s="3" t="s">
        <v>1364</v>
      </c>
      <c r="F4474" s="3" t="s">
        <v>3</v>
      </c>
      <c r="G4474" s="3">
        <v>1.5903443919698978E-3</v>
      </c>
      <c r="H4474" s="3">
        <v>1.5903443919698978E-3</v>
      </c>
      <c r="I4474" s="3">
        <v>1.5903443919698978E-3</v>
      </c>
      <c r="J4474" s="3">
        <v>1.5903443919698978E-3</v>
      </c>
      <c r="K4474" s="3">
        <v>1.5903443919698978E-3</v>
      </c>
      <c r="L4474" s="3">
        <v>1.5903443919698978E-3</v>
      </c>
      <c r="M4474" s="3">
        <v>1.5903443919698978E-3</v>
      </c>
      <c r="N4474" s="3">
        <v>1.5903443919698978E-3</v>
      </c>
      <c r="O4474" s="3">
        <v>1.5903443919698978E-3</v>
      </c>
      <c r="P4474" s="3">
        <v>1.5903443919698978E-3</v>
      </c>
    </row>
    <row r="4475" spans="1:16" x14ac:dyDescent="0.3">
      <c r="A4475" s="3" t="str">
        <f t="shared" si="70"/>
        <v>NGA</v>
      </c>
      <c r="C4475" s="3" t="s">
        <v>850</v>
      </c>
      <c r="D4475" s="3" t="s">
        <v>1585</v>
      </c>
      <c r="E4475" s="3" t="s">
        <v>1364</v>
      </c>
      <c r="F4475" s="3" t="s">
        <v>8</v>
      </c>
      <c r="G4475" s="3">
        <v>1.4055769258579227E-2</v>
      </c>
      <c r="H4475" s="3">
        <v>1.5417110953907713E-2</v>
      </c>
      <c r="I4475" s="3">
        <v>2.0862477735221634E-2</v>
      </c>
      <c r="J4475" s="3">
        <v>2.0862477735221634E-2</v>
      </c>
      <c r="K4475" s="3">
        <v>2.0862477735221634E-2</v>
      </c>
      <c r="L4475" s="3">
        <v>2.0862477735221634E-2</v>
      </c>
      <c r="M4475" s="3">
        <v>2.0862477735221634E-2</v>
      </c>
      <c r="N4475" s="3">
        <v>2.0862477735221634E-2</v>
      </c>
      <c r="O4475" s="3">
        <v>2.0862477735221634E-2</v>
      </c>
      <c r="P4475" s="3">
        <v>2.0862477735221634E-2</v>
      </c>
    </row>
    <row r="4476" spans="1:16" x14ac:dyDescent="0.3">
      <c r="A4476" s="3" t="str">
        <f t="shared" si="70"/>
        <v>COA</v>
      </c>
      <c r="C4476" s="3" t="s">
        <v>850</v>
      </c>
      <c r="D4476" s="3" t="s">
        <v>1585</v>
      </c>
      <c r="E4476" s="3" t="s">
        <v>1366</v>
      </c>
      <c r="F4476" s="3" t="s">
        <v>1</v>
      </c>
      <c r="G4476" s="3">
        <v>6.0654722686234643E-4</v>
      </c>
      <c r="H4476" s="3">
        <v>6.0654722686234643E-4</v>
      </c>
      <c r="I4476" s="3">
        <v>6.0654722686234643E-4</v>
      </c>
      <c r="J4476" s="3">
        <v>6.0654722686234643E-4</v>
      </c>
      <c r="K4476" s="3">
        <v>6.0654722686234643E-4</v>
      </c>
      <c r="L4476" s="3">
        <v>6.0654722686234643E-4</v>
      </c>
      <c r="M4476" s="3">
        <v>6.0654722686234643E-4</v>
      </c>
      <c r="N4476" s="3">
        <v>1.0109120447705776E-4</v>
      </c>
    </row>
    <row r="4477" spans="1:16" x14ac:dyDescent="0.3">
      <c r="A4477" s="3" t="str">
        <f t="shared" si="70"/>
        <v>COA</v>
      </c>
      <c r="C4477" s="3" t="s">
        <v>850</v>
      </c>
      <c r="D4477" s="3" t="s">
        <v>1585</v>
      </c>
      <c r="E4477" s="3" t="s">
        <v>1366</v>
      </c>
      <c r="F4477" s="3" t="s">
        <v>3</v>
      </c>
      <c r="G4477" s="3">
        <v>2.4687124334616721E-2</v>
      </c>
      <c r="H4477" s="3">
        <v>2.4687124334616721E-2</v>
      </c>
      <c r="J4477" s="3">
        <v>2.4687124334616721E-2</v>
      </c>
      <c r="K4477" s="3">
        <v>2.4687124334616721E-2</v>
      </c>
      <c r="L4477" s="3">
        <v>2.4687124334616721E-2</v>
      </c>
      <c r="M4477" s="3">
        <v>2.4687124334616721E-2</v>
      </c>
      <c r="N4477" s="3">
        <v>4.114520722436117E-3</v>
      </c>
    </row>
    <row r="4478" spans="1:16" x14ac:dyDescent="0.3">
      <c r="A4478" s="3" t="str">
        <f t="shared" si="70"/>
        <v>COA</v>
      </c>
      <c r="C4478" s="3" t="s">
        <v>850</v>
      </c>
      <c r="D4478" s="3" t="s">
        <v>1585</v>
      </c>
      <c r="E4478" s="3" t="s">
        <v>1366</v>
      </c>
      <c r="F4478" s="3" t="s">
        <v>7</v>
      </c>
      <c r="H4478" s="3">
        <v>5.5980613231919091E-4</v>
      </c>
      <c r="J4478" s="3">
        <v>2.7990306615959522E-3</v>
      </c>
      <c r="K4478" s="3">
        <v>2.7990306615959522E-3</v>
      </c>
      <c r="L4478" s="3">
        <v>2.7990306615959522E-3</v>
      </c>
      <c r="M4478" s="3">
        <v>2.7990306615959522E-3</v>
      </c>
      <c r="N4478" s="3">
        <v>4.6650511026599228E-4</v>
      </c>
    </row>
    <row r="4479" spans="1:16" x14ac:dyDescent="0.3">
      <c r="A4479" s="3" t="str">
        <f t="shared" si="70"/>
        <v>LPG</v>
      </c>
      <c r="C4479" s="3" t="s">
        <v>850</v>
      </c>
      <c r="D4479" s="3" t="s">
        <v>1585</v>
      </c>
      <c r="E4479" s="3" t="s">
        <v>1368</v>
      </c>
      <c r="F4479" s="3" t="s">
        <v>0</v>
      </c>
      <c r="M4479" s="3">
        <v>2.8221364599915564E-3</v>
      </c>
      <c r="N4479" s="3">
        <v>4.7035607666525851E-4</v>
      </c>
    </row>
    <row r="4480" spans="1:16" x14ac:dyDescent="0.3">
      <c r="A4480" s="3" t="str">
        <f t="shared" si="70"/>
        <v>LPG</v>
      </c>
      <c r="C4480" s="3" t="s">
        <v>850</v>
      </c>
      <c r="D4480" s="3" t="s">
        <v>1585</v>
      </c>
      <c r="E4480" s="3" t="s">
        <v>1368</v>
      </c>
      <c r="F4480" s="3" t="s">
        <v>1</v>
      </c>
      <c r="M4480" s="3">
        <v>5.7692407033430263E-3</v>
      </c>
      <c r="N4480" s="3">
        <v>9.6154011722383707E-4</v>
      </c>
    </row>
    <row r="4481" spans="1:14" x14ac:dyDescent="0.3">
      <c r="A4481" s="3" t="str">
        <f t="shared" si="70"/>
        <v>LPG</v>
      </c>
      <c r="C4481" s="3" t="s">
        <v>850</v>
      </c>
      <c r="D4481" s="3" t="s">
        <v>1585</v>
      </c>
      <c r="E4481" s="3" t="s">
        <v>1368</v>
      </c>
      <c r="F4481" s="3" t="s">
        <v>7</v>
      </c>
      <c r="N4481" s="3">
        <v>3.8098580698268991E-5</v>
      </c>
    </row>
    <row r="4482" spans="1:14" x14ac:dyDescent="0.3">
      <c r="A4482" s="3" t="str">
        <f t="shared" si="70"/>
        <v>LPG</v>
      </c>
      <c r="C4482" s="3" t="s">
        <v>850</v>
      </c>
      <c r="D4482" s="3" t="s">
        <v>1585</v>
      </c>
      <c r="E4482" s="3" t="s">
        <v>1368</v>
      </c>
      <c r="F4482" s="3" t="s">
        <v>8</v>
      </c>
      <c r="M4482" s="3">
        <v>5.4425291727113441E-3</v>
      </c>
      <c r="N4482" s="3">
        <v>9.0708819545189036E-4</v>
      </c>
    </row>
    <row r="4483" spans="1:14" x14ac:dyDescent="0.3">
      <c r="A4483" s="3" t="str">
        <f t="shared" si="70"/>
        <v>NGA</v>
      </c>
      <c r="C4483" s="3" t="s">
        <v>850</v>
      </c>
      <c r="D4483" s="3" t="s">
        <v>1585</v>
      </c>
      <c r="E4483" s="3" t="s">
        <v>1370</v>
      </c>
      <c r="F4483" s="3" t="s">
        <v>0</v>
      </c>
      <c r="G4483" s="3">
        <v>0.1323187541431316</v>
      </c>
      <c r="I4483" s="3">
        <v>0.18957453971033553</v>
      </c>
      <c r="J4483" s="3">
        <v>0.18957453971033564</v>
      </c>
      <c r="K4483" s="3">
        <v>0.18957453971033564</v>
      </c>
      <c r="L4483" s="3">
        <v>0.18957453971033564</v>
      </c>
      <c r="M4483" s="3">
        <v>0.18957453971033564</v>
      </c>
      <c r="N4483" s="3">
        <v>3.1595756618389273E-2</v>
      </c>
    </row>
    <row r="4484" spans="1:14" x14ac:dyDescent="0.3">
      <c r="A4484" s="3" t="str">
        <f t="shared" si="70"/>
        <v>NGA</v>
      </c>
      <c r="C4484" s="3" t="s">
        <v>850</v>
      </c>
      <c r="D4484" s="3" t="s">
        <v>1585</v>
      </c>
      <c r="E4484" s="3" t="s">
        <v>1370</v>
      </c>
      <c r="F4484" s="3" t="s">
        <v>1</v>
      </c>
      <c r="J4484" s="3">
        <v>0.40535598206979329</v>
      </c>
      <c r="K4484" s="3">
        <v>0.40535598206979329</v>
      </c>
      <c r="L4484" s="3">
        <v>0.40535598206979329</v>
      </c>
      <c r="M4484" s="3">
        <v>0.40535598206979329</v>
      </c>
      <c r="N4484" s="3">
        <v>6.7559330344965529E-2</v>
      </c>
    </row>
    <row r="4485" spans="1:14" x14ac:dyDescent="0.3">
      <c r="A4485" s="3" t="str">
        <f t="shared" si="70"/>
        <v>NGA</v>
      </c>
      <c r="C4485" s="3" t="s">
        <v>850</v>
      </c>
      <c r="D4485" s="3" t="s">
        <v>1585</v>
      </c>
      <c r="E4485" s="3" t="s">
        <v>1370</v>
      </c>
      <c r="F4485" s="3" t="s">
        <v>2</v>
      </c>
      <c r="J4485" s="3">
        <v>0.37013043150064401</v>
      </c>
      <c r="K4485" s="3">
        <v>0.37013043150064401</v>
      </c>
      <c r="L4485" s="3">
        <v>0.37013043150064401</v>
      </c>
      <c r="M4485" s="3">
        <v>0.37013043150064401</v>
      </c>
      <c r="N4485" s="3">
        <v>6.1688405250107298E-2</v>
      </c>
    </row>
    <row r="4486" spans="1:14" x14ac:dyDescent="0.3">
      <c r="A4486" s="3" t="str">
        <f t="shared" si="70"/>
        <v>NGA</v>
      </c>
      <c r="C4486" s="3" t="s">
        <v>850</v>
      </c>
      <c r="D4486" s="3" t="s">
        <v>1585</v>
      </c>
      <c r="E4486" s="3" t="s">
        <v>1370</v>
      </c>
      <c r="F4486" s="3" t="s">
        <v>3</v>
      </c>
      <c r="J4486" s="3">
        <v>4.9912609119242678E-4</v>
      </c>
      <c r="K4486" s="3">
        <v>4.9912609119242678E-4</v>
      </c>
      <c r="L4486" s="3">
        <v>4.9912609119242678E-4</v>
      </c>
      <c r="M4486" s="3">
        <v>4.9912609119242678E-4</v>
      </c>
      <c r="N4486" s="3">
        <v>8.3187681865404514E-5</v>
      </c>
    </row>
    <row r="4487" spans="1:14" x14ac:dyDescent="0.3">
      <c r="A4487" s="3" t="str">
        <f t="shared" si="70"/>
        <v>NGA</v>
      </c>
      <c r="C4487" s="3" t="s">
        <v>850</v>
      </c>
      <c r="D4487" s="3" t="s">
        <v>1585</v>
      </c>
      <c r="E4487" s="3" t="s">
        <v>1370</v>
      </c>
      <c r="F4487" s="3" t="s">
        <v>4</v>
      </c>
      <c r="J4487" s="3">
        <v>0.11855618604307724</v>
      </c>
      <c r="K4487" s="3">
        <v>0.11855618604307724</v>
      </c>
      <c r="L4487" s="3">
        <v>0.11855618604307724</v>
      </c>
      <c r="M4487" s="3">
        <v>0.11855618604307724</v>
      </c>
      <c r="N4487" s="3">
        <v>1.9759364340512876E-2</v>
      </c>
    </row>
    <row r="4488" spans="1:14" x14ac:dyDescent="0.3">
      <c r="A4488" s="3" t="str">
        <f t="shared" si="70"/>
        <v>NGA</v>
      </c>
      <c r="C4488" s="3" t="s">
        <v>850</v>
      </c>
      <c r="D4488" s="3" t="s">
        <v>1585</v>
      </c>
      <c r="E4488" s="3" t="s">
        <v>1370</v>
      </c>
      <c r="F4488" s="3" t="s">
        <v>6</v>
      </c>
      <c r="H4488" s="3">
        <v>2.4956304559621352E-3</v>
      </c>
      <c r="J4488" s="3">
        <v>2.4956304559621352E-3</v>
      </c>
      <c r="K4488" s="3">
        <v>2.4956304559621352E-3</v>
      </c>
      <c r="L4488" s="3">
        <v>2.4956304559621352E-3</v>
      </c>
      <c r="M4488" s="3">
        <v>2.4956304559621352E-3</v>
      </c>
      <c r="N4488" s="3">
        <v>4.1593840932702223E-4</v>
      </c>
    </row>
    <row r="4489" spans="1:14" x14ac:dyDescent="0.3">
      <c r="A4489" s="3" t="str">
        <f t="shared" si="70"/>
        <v>NGA</v>
      </c>
      <c r="C4489" s="3" t="s">
        <v>850</v>
      </c>
      <c r="D4489" s="3" t="s">
        <v>1585</v>
      </c>
      <c r="E4489" s="3" t="s">
        <v>1370</v>
      </c>
      <c r="F4489" s="3" t="s">
        <v>7</v>
      </c>
      <c r="J4489" s="3">
        <v>1.53554323156571E-2</v>
      </c>
      <c r="K4489" s="3">
        <v>1.53554323156571E-2</v>
      </c>
      <c r="L4489" s="3">
        <v>1.53554323156571E-2</v>
      </c>
      <c r="M4489" s="3">
        <v>1.53554323156571E-2</v>
      </c>
      <c r="N4489" s="3">
        <v>2.5592387192761835E-3</v>
      </c>
    </row>
    <row r="4490" spans="1:14" x14ac:dyDescent="0.3">
      <c r="A4490" s="3" t="str">
        <f t="shared" si="70"/>
        <v>NGA</v>
      </c>
      <c r="C4490" s="3" t="s">
        <v>850</v>
      </c>
      <c r="D4490" s="3" t="s">
        <v>1585</v>
      </c>
      <c r="E4490" s="3" t="s">
        <v>1370</v>
      </c>
      <c r="F4490" s="3" t="s">
        <v>8</v>
      </c>
      <c r="G4490" s="3">
        <v>0.34319354451966355</v>
      </c>
      <c r="H4490" s="3">
        <v>0.34767425966937238</v>
      </c>
      <c r="I4490" s="3">
        <v>0.36559712026820723</v>
      </c>
      <c r="L4490" s="3">
        <v>0.36559712026820723</v>
      </c>
      <c r="M4490" s="3">
        <v>0.36559712026820723</v>
      </c>
      <c r="N4490" s="3">
        <v>6.0932853378034571E-2</v>
      </c>
    </row>
    <row r="4491" spans="1:14" x14ac:dyDescent="0.3">
      <c r="A4491" s="3" t="str">
        <f t="shared" si="70"/>
        <v>RFL</v>
      </c>
      <c r="C4491" s="3" t="s">
        <v>850</v>
      </c>
      <c r="D4491" s="3" t="s">
        <v>1585</v>
      </c>
      <c r="E4491" s="3" t="s">
        <v>1372</v>
      </c>
      <c r="F4491" s="3" t="s">
        <v>0</v>
      </c>
      <c r="G4491" s="3">
        <v>2.127068721294438E-3</v>
      </c>
      <c r="I4491" s="3">
        <v>1.6662038316806369E-3</v>
      </c>
      <c r="J4491" s="3">
        <v>1.6662038316806369E-3</v>
      </c>
      <c r="N4491" s="3">
        <v>2.7770063861343918E-4</v>
      </c>
    </row>
    <row r="4492" spans="1:14" x14ac:dyDescent="0.3">
      <c r="A4492" s="3" t="str">
        <f t="shared" si="70"/>
        <v>RFL</v>
      </c>
      <c r="C4492" s="3" t="s">
        <v>850</v>
      </c>
      <c r="D4492" s="3" t="s">
        <v>1585</v>
      </c>
      <c r="E4492" s="3" t="s">
        <v>1372</v>
      </c>
      <c r="F4492" s="3" t="s">
        <v>1</v>
      </c>
      <c r="J4492" s="3">
        <v>1.6258276169384439E-2</v>
      </c>
      <c r="N4492" s="3">
        <v>2.7097126948974052E-3</v>
      </c>
    </row>
    <row r="4493" spans="1:14" x14ac:dyDescent="0.3">
      <c r="A4493" s="3" t="str">
        <f t="shared" si="70"/>
        <v>RFL</v>
      </c>
      <c r="C4493" s="3" t="s">
        <v>850</v>
      </c>
      <c r="D4493" s="3" t="s">
        <v>1585</v>
      </c>
      <c r="E4493" s="3" t="s">
        <v>1372</v>
      </c>
      <c r="F4493" s="3" t="s">
        <v>4</v>
      </c>
      <c r="N4493" s="3">
        <v>8.8627863387267974E-5</v>
      </c>
    </row>
    <row r="4494" spans="1:14" x14ac:dyDescent="0.3">
      <c r="A4494" s="3" t="str">
        <f t="shared" si="70"/>
        <v>RFL</v>
      </c>
      <c r="C4494" s="3" t="s">
        <v>850</v>
      </c>
      <c r="D4494" s="3" t="s">
        <v>1585</v>
      </c>
      <c r="E4494" s="3" t="s">
        <v>1372</v>
      </c>
      <c r="F4494" s="3" t="s">
        <v>6</v>
      </c>
      <c r="N4494" s="3">
        <v>4.4076196008582244E-4</v>
      </c>
    </row>
    <row r="4495" spans="1:14" x14ac:dyDescent="0.3">
      <c r="A4495" s="3" t="str">
        <f t="shared" si="70"/>
        <v>RFL</v>
      </c>
      <c r="C4495" s="3" t="s">
        <v>850</v>
      </c>
      <c r="D4495" s="3" t="s">
        <v>1585</v>
      </c>
      <c r="E4495" s="3" t="s">
        <v>1372</v>
      </c>
      <c r="F4495" s="3" t="s">
        <v>8</v>
      </c>
      <c r="I4495" s="3">
        <v>2.9206066644284438E-3</v>
      </c>
      <c r="J4495" s="3">
        <v>2.9206066644284438E-3</v>
      </c>
      <c r="L4495" s="3">
        <v>2.9206066644284438E-3</v>
      </c>
      <c r="M4495" s="3">
        <v>2.9206066644284438E-3</v>
      </c>
      <c r="N4495" s="3">
        <v>4.867677774047405E-4</v>
      </c>
    </row>
    <row r="4496" spans="1:14" x14ac:dyDescent="0.3">
      <c r="A4496" s="3" t="str">
        <f t="shared" si="70"/>
        <v>WOD</v>
      </c>
      <c r="C4496" s="3" t="s">
        <v>850</v>
      </c>
      <c r="D4496" s="3" t="s">
        <v>1585</v>
      </c>
      <c r="E4496" s="3" t="s">
        <v>1400</v>
      </c>
      <c r="F4496" s="3" t="s">
        <v>0</v>
      </c>
      <c r="G4496" s="3">
        <v>1.2691879548818473E-2</v>
      </c>
      <c r="H4496" s="3">
        <v>1.3082674270425858E-2</v>
      </c>
      <c r="I4496" s="3">
        <v>1.4645853156855472E-2</v>
      </c>
      <c r="J4496" s="3">
        <v>1.4645853156855472E-2</v>
      </c>
      <c r="K4496" s="3">
        <v>1.4645853156855472E-2</v>
      </c>
      <c r="L4496" s="3">
        <v>1.4645853156855472E-2</v>
      </c>
      <c r="M4496" s="3">
        <v>1.4645853156855472E-2</v>
      </c>
      <c r="N4496" s="3">
        <v>2.4409755261425754E-3</v>
      </c>
    </row>
    <row r="4497" spans="1:16" x14ac:dyDescent="0.3">
      <c r="A4497" s="3" t="str">
        <f t="shared" si="70"/>
        <v>WOD</v>
      </c>
      <c r="C4497" s="3" t="s">
        <v>850</v>
      </c>
      <c r="D4497" s="3" t="s">
        <v>1585</v>
      </c>
      <c r="E4497" s="3" t="s">
        <v>1400</v>
      </c>
      <c r="F4497" s="3" t="s">
        <v>1</v>
      </c>
      <c r="G4497" s="3">
        <v>1.5810754945830556E-2</v>
      </c>
      <c r="H4497" s="3">
        <v>4.149610671448202E-2</v>
      </c>
      <c r="I4497" s="3">
        <v>0.14423751378908792</v>
      </c>
      <c r="J4497" s="3">
        <v>0.14423751378908783</v>
      </c>
      <c r="K4497" s="3">
        <v>0.14423751378908792</v>
      </c>
      <c r="L4497" s="3">
        <v>0.14423751378908792</v>
      </c>
      <c r="M4497" s="3">
        <v>0.14423751378908783</v>
      </c>
      <c r="N4497" s="3">
        <v>2.4039585631514634E-2</v>
      </c>
    </row>
    <row r="4498" spans="1:16" x14ac:dyDescent="0.3">
      <c r="A4498" s="3" t="str">
        <f t="shared" si="70"/>
        <v>WOD</v>
      </c>
      <c r="C4498" s="3" t="s">
        <v>850</v>
      </c>
      <c r="D4498" s="3" t="s">
        <v>1585</v>
      </c>
      <c r="E4498" s="3" t="s">
        <v>1400</v>
      </c>
      <c r="F4498" s="3" t="s">
        <v>2</v>
      </c>
      <c r="J4498" s="3">
        <v>4.8849340200924707E-3</v>
      </c>
      <c r="K4498" s="3">
        <v>4.8849340200924716E-3</v>
      </c>
      <c r="L4498" s="3">
        <v>4.8849340200924725E-3</v>
      </c>
      <c r="M4498" s="3">
        <v>4.8849340200924725E-3</v>
      </c>
      <c r="N4498" s="3">
        <v>8.141556700154111E-4</v>
      </c>
    </row>
    <row r="4499" spans="1:16" x14ac:dyDescent="0.3">
      <c r="A4499" s="3" t="str">
        <f t="shared" si="70"/>
        <v>WOD</v>
      </c>
      <c r="C4499" s="3" t="s">
        <v>850</v>
      </c>
      <c r="D4499" s="3" t="s">
        <v>1585</v>
      </c>
      <c r="E4499" s="3" t="s">
        <v>1400</v>
      </c>
      <c r="F4499" s="3" t="s">
        <v>4</v>
      </c>
      <c r="J4499" s="3">
        <v>8.9543568058424866E-2</v>
      </c>
      <c r="K4499" s="3">
        <v>8.9543568058424866E-2</v>
      </c>
      <c r="L4499" s="3">
        <v>8.9543568058424866E-2</v>
      </c>
      <c r="M4499" s="3">
        <v>8.9543568058424866E-2</v>
      </c>
      <c r="N4499" s="3">
        <v>1.4923928009737467E-2</v>
      </c>
    </row>
    <row r="4500" spans="1:16" x14ac:dyDescent="0.3">
      <c r="A4500" s="3" t="str">
        <f t="shared" si="70"/>
        <v>WOD</v>
      </c>
      <c r="C4500" s="3" t="s">
        <v>850</v>
      </c>
      <c r="D4500" s="3" t="s">
        <v>1585</v>
      </c>
      <c r="E4500" s="3" t="s">
        <v>1400</v>
      </c>
      <c r="F4500" s="3" t="s">
        <v>7</v>
      </c>
      <c r="H4500" s="3">
        <v>2.8840214681937554E-2</v>
      </c>
      <c r="J4500" s="3">
        <v>1.0516128769021056E-2</v>
      </c>
      <c r="K4500" s="3">
        <v>1.0516128769021056E-2</v>
      </c>
      <c r="L4500" s="3">
        <v>1.0516128769021056E-2</v>
      </c>
      <c r="M4500" s="3">
        <v>1.0516128769021056E-2</v>
      </c>
      <c r="N4500" s="3">
        <v>1.7526881281701733E-3</v>
      </c>
    </row>
    <row r="4501" spans="1:16" x14ac:dyDescent="0.3">
      <c r="A4501" s="3" t="str">
        <f t="shared" si="70"/>
        <v>WOD</v>
      </c>
      <c r="C4501" s="3" t="s">
        <v>850</v>
      </c>
      <c r="D4501" s="3" t="s">
        <v>1585</v>
      </c>
      <c r="E4501" s="3" t="s">
        <v>1400</v>
      </c>
      <c r="F4501" s="3" t="s">
        <v>8</v>
      </c>
      <c r="H4501" s="3">
        <v>1.1072517112209598E-3</v>
      </c>
      <c r="I4501" s="3">
        <v>5.5362585561048016E-3</v>
      </c>
      <c r="J4501" s="3">
        <v>5.5362585561048016E-3</v>
      </c>
      <c r="K4501" s="3">
        <v>5.5362585561048016E-3</v>
      </c>
      <c r="L4501" s="3">
        <v>5.5362585561048016E-3</v>
      </c>
      <c r="M4501" s="3">
        <v>5.5362585561048016E-3</v>
      </c>
      <c r="N4501" s="3">
        <v>9.2270975935079954E-4</v>
      </c>
    </row>
    <row r="4502" spans="1:16" x14ac:dyDescent="0.3">
      <c r="A4502" s="3" t="str">
        <f t="shared" si="70"/>
        <v>NGA</v>
      </c>
      <c r="C4502" s="3" t="s">
        <v>850</v>
      </c>
      <c r="D4502" s="3" t="s">
        <v>1585</v>
      </c>
      <c r="E4502" s="3" t="s">
        <v>1374</v>
      </c>
      <c r="F4502" s="3" t="s">
        <v>0</v>
      </c>
      <c r="I4502" s="3">
        <v>3.7939501211975927E-3</v>
      </c>
      <c r="J4502" s="3">
        <v>3.7939501211975927E-3</v>
      </c>
      <c r="L4502" s="3">
        <v>3.7939501211975927E-3</v>
      </c>
      <c r="M4502" s="3">
        <v>0.13470150714131815</v>
      </c>
      <c r="N4502" s="3">
        <v>0.3012942285295232</v>
      </c>
      <c r="O4502" s="3">
        <v>0.49318478257410181</v>
      </c>
      <c r="P4502" s="3">
        <v>0.64228878225101016</v>
      </c>
    </row>
    <row r="4503" spans="1:16" x14ac:dyDescent="0.3">
      <c r="A4503" s="3" t="str">
        <f t="shared" si="70"/>
        <v>NGA</v>
      </c>
      <c r="C4503" s="3" t="s">
        <v>850</v>
      </c>
      <c r="D4503" s="3" t="s">
        <v>1585</v>
      </c>
      <c r="E4503" s="3" t="s">
        <v>1374</v>
      </c>
      <c r="F4503" s="3" t="s">
        <v>1</v>
      </c>
      <c r="H4503" s="3">
        <v>8.1335494469414085E-2</v>
      </c>
      <c r="I4503" s="3">
        <v>0.24480648469211644</v>
      </c>
      <c r="J4503" s="3">
        <v>0.24252406297842391</v>
      </c>
      <c r="K4503" s="3">
        <v>0.24480648469211644</v>
      </c>
      <c r="L4503" s="3">
        <v>0.52999788627153965</v>
      </c>
      <c r="M4503" s="3">
        <v>0.82714827304405858</v>
      </c>
      <c r="N4503" s="3">
        <v>1.216274666006643</v>
      </c>
      <c r="O4503" s="3">
        <v>1.6626610356581311</v>
      </c>
      <c r="P4503" s="3">
        <v>2.0043674303019197</v>
      </c>
    </row>
    <row r="4504" spans="1:16" x14ac:dyDescent="0.3">
      <c r="A4504" s="3" t="str">
        <f t="shared" si="70"/>
        <v>NGA</v>
      </c>
      <c r="C4504" s="3" t="s">
        <v>850</v>
      </c>
      <c r="D4504" s="3" t="s">
        <v>1585</v>
      </c>
      <c r="E4504" s="3" t="s">
        <v>1374</v>
      </c>
      <c r="F4504" s="3" t="s">
        <v>2</v>
      </c>
      <c r="H4504" s="3">
        <v>1.0616624050347854</v>
      </c>
      <c r="I4504" s="3">
        <v>1.0616624050347854</v>
      </c>
      <c r="J4504" s="3">
        <v>1.0616624050347854</v>
      </c>
      <c r="M4504" s="3">
        <v>1.0616624050347854</v>
      </c>
      <c r="N4504" s="3">
        <v>1.0616624050347854</v>
      </c>
      <c r="O4504" s="3">
        <v>2.0999895884873405</v>
      </c>
      <c r="P4504" s="3">
        <v>2.8761553540963187</v>
      </c>
    </row>
    <row r="4505" spans="1:16" x14ac:dyDescent="0.3">
      <c r="A4505" s="3" t="str">
        <f t="shared" si="70"/>
        <v>NGA</v>
      </c>
      <c r="C4505" s="3" t="s">
        <v>850</v>
      </c>
      <c r="D4505" s="3" t="s">
        <v>1585</v>
      </c>
      <c r="E4505" s="3" t="s">
        <v>1374</v>
      </c>
      <c r="F4505" s="3" t="s">
        <v>3</v>
      </c>
      <c r="H4505" s="3">
        <v>1.9612169276274578</v>
      </c>
      <c r="I4505" s="3">
        <v>1.9612169276274578</v>
      </c>
      <c r="J4505" s="3">
        <v>2.0351710584043423</v>
      </c>
      <c r="K4505" s="3">
        <v>2.0351710584043432</v>
      </c>
      <c r="L4505" s="3">
        <v>2.2930512983956226</v>
      </c>
      <c r="M4505" s="3">
        <v>2.57482627356339</v>
      </c>
      <c r="N4505" s="3">
        <v>2.873741262448227</v>
      </c>
      <c r="O4505" s="3">
        <v>3.2491680889449865</v>
      </c>
      <c r="P4505" s="3">
        <v>3.5401462962494787</v>
      </c>
    </row>
    <row r="4506" spans="1:16" x14ac:dyDescent="0.3">
      <c r="A4506" s="3" t="str">
        <f t="shared" si="70"/>
        <v>NGA</v>
      </c>
      <c r="C4506" s="3" t="s">
        <v>850</v>
      </c>
      <c r="D4506" s="3" t="s">
        <v>1585</v>
      </c>
      <c r="E4506" s="3" t="s">
        <v>1374</v>
      </c>
      <c r="F4506" s="3" t="s">
        <v>4</v>
      </c>
      <c r="H4506" s="3">
        <v>1.1445448877416535</v>
      </c>
      <c r="I4506" s="3">
        <v>2.000119127505648</v>
      </c>
      <c r="J4506" s="3">
        <v>2.000119127505648</v>
      </c>
      <c r="K4506" s="3">
        <v>2.000119127505648</v>
      </c>
      <c r="L4506" s="3">
        <v>2.5349806214357837</v>
      </c>
      <c r="M4506" s="3">
        <v>3.1338136681107027</v>
      </c>
      <c r="N4506" s="3">
        <v>3.7924211367510789</v>
      </c>
      <c r="O4506" s="3">
        <v>4.6247044193937237</v>
      </c>
      <c r="P4506" s="3">
        <v>5.2358760887687898</v>
      </c>
    </row>
    <row r="4507" spans="1:16" x14ac:dyDescent="0.3">
      <c r="A4507" s="3" t="str">
        <f t="shared" si="70"/>
        <v>NGA</v>
      </c>
      <c r="C4507" s="3" t="s">
        <v>850</v>
      </c>
      <c r="D4507" s="3" t="s">
        <v>1585</v>
      </c>
      <c r="E4507" s="3" t="s">
        <v>1374</v>
      </c>
      <c r="F4507" s="3" t="s">
        <v>5</v>
      </c>
      <c r="H4507" s="3">
        <v>1.5198171318862941</v>
      </c>
      <c r="I4507" s="3">
        <v>1.5198171318862941</v>
      </c>
      <c r="J4507" s="3">
        <v>1.6164333880467754</v>
      </c>
      <c r="K4507" s="3">
        <v>1.6164333880467747</v>
      </c>
      <c r="L4507" s="3">
        <v>1.8057957056057756</v>
      </c>
      <c r="M4507" s="3">
        <v>2.0237535907255744</v>
      </c>
      <c r="N4507" s="3">
        <v>2.2531305346910804</v>
      </c>
      <c r="O4507" s="3">
        <v>2.5430540869556153</v>
      </c>
      <c r="P4507" s="3">
        <v>2.7680782926018228</v>
      </c>
    </row>
    <row r="4508" spans="1:16" x14ac:dyDescent="0.3">
      <c r="A4508" s="3" t="str">
        <f t="shared" si="70"/>
        <v>NGA</v>
      </c>
      <c r="C4508" s="3" t="s">
        <v>850</v>
      </c>
      <c r="D4508" s="3" t="s">
        <v>1585</v>
      </c>
      <c r="E4508" s="3" t="s">
        <v>1374</v>
      </c>
      <c r="F4508" s="3" t="s">
        <v>6</v>
      </c>
      <c r="H4508" s="3">
        <v>0.5633254338742012</v>
      </c>
      <c r="I4508" s="3">
        <v>0.5633254338742012</v>
      </c>
      <c r="J4508" s="3">
        <v>1.5359730787862682</v>
      </c>
      <c r="K4508" s="3">
        <v>1.5359730787862698</v>
      </c>
      <c r="L4508" s="3">
        <v>1.7911549727385054</v>
      </c>
      <c r="M4508" s="3">
        <v>2.0768941330254527</v>
      </c>
      <c r="N4508" s="3">
        <v>2.3862212615201419</v>
      </c>
      <c r="O4508" s="3">
        <v>2.7850146992773919</v>
      </c>
      <c r="P4508" s="3">
        <v>3.0882540328581451</v>
      </c>
    </row>
    <row r="4509" spans="1:16" x14ac:dyDescent="0.3">
      <c r="A4509" s="3" t="str">
        <f t="shared" si="70"/>
        <v>NGA</v>
      </c>
      <c r="C4509" s="3" t="s">
        <v>850</v>
      </c>
      <c r="D4509" s="3" t="s">
        <v>1585</v>
      </c>
      <c r="E4509" s="3" t="s">
        <v>1374</v>
      </c>
      <c r="F4509" s="3" t="s">
        <v>7</v>
      </c>
      <c r="I4509" s="3">
        <v>7.3605010221924561E-2</v>
      </c>
      <c r="J4509" s="3">
        <v>7.3605010221924561E-2</v>
      </c>
      <c r="K4509" s="3">
        <v>7.3605010221924561E-2</v>
      </c>
      <c r="L4509" s="3">
        <v>0.12370635342076416</v>
      </c>
      <c r="M4509" s="3">
        <v>0.17956487621855186</v>
      </c>
      <c r="N4509" s="3">
        <v>0.24225227684660222</v>
      </c>
      <c r="O4509" s="3">
        <v>0.31936608988897608</v>
      </c>
      <c r="P4509" s="3">
        <v>0.37890282930184793</v>
      </c>
    </row>
    <row r="4510" spans="1:16" x14ac:dyDescent="0.3">
      <c r="A4510" s="3" t="str">
        <f t="shared" si="70"/>
        <v>NGA</v>
      </c>
      <c r="C4510" s="3" t="s">
        <v>850</v>
      </c>
      <c r="D4510" s="3" t="s">
        <v>1585</v>
      </c>
      <c r="E4510" s="3" t="s">
        <v>1374</v>
      </c>
      <c r="F4510" s="3" t="s">
        <v>8</v>
      </c>
      <c r="H4510" s="3">
        <v>0.97695844222633321</v>
      </c>
      <c r="I4510" s="3">
        <v>1.0172039587545794</v>
      </c>
      <c r="M4510" s="3">
        <v>9.2485528439879616E-2</v>
      </c>
      <c r="N4510" s="3">
        <v>0.40597515536162088</v>
      </c>
      <c r="O4510" s="3">
        <v>0.7568849527999868</v>
      </c>
      <c r="P4510" s="3">
        <v>1.0226302329292913</v>
      </c>
    </row>
    <row r="4511" spans="1:16" x14ac:dyDescent="0.3">
      <c r="A4511" s="3" t="str">
        <f t="shared" ref="A4511:A4574" si="71">RIGHT(E4511,3)</f>
        <v>WOD</v>
      </c>
      <c r="C4511" s="3" t="s">
        <v>850</v>
      </c>
      <c r="D4511" s="3" t="s">
        <v>1585</v>
      </c>
      <c r="E4511" s="3" t="s">
        <v>1402</v>
      </c>
      <c r="F4511" s="3" t="s">
        <v>3</v>
      </c>
      <c r="J4511" s="3">
        <v>5.1076295559790298E-2</v>
      </c>
      <c r="K4511" s="3">
        <v>5.1076295559790298E-2</v>
      </c>
      <c r="L4511" s="3">
        <v>5.1076295559790298E-2</v>
      </c>
      <c r="M4511" s="3">
        <v>5.1076295559790298E-2</v>
      </c>
      <c r="N4511" s="3">
        <v>5.1076295559790298E-2</v>
      </c>
      <c r="O4511" s="3">
        <v>4.5662552184995701E-2</v>
      </c>
    </row>
    <row r="4512" spans="1:16" x14ac:dyDescent="0.3">
      <c r="A4512" s="3" t="str">
        <f t="shared" si="71"/>
        <v>WOD</v>
      </c>
      <c r="C4512" s="3" t="s">
        <v>850</v>
      </c>
      <c r="D4512" s="3" t="s">
        <v>1585</v>
      </c>
      <c r="E4512" s="3" t="s">
        <v>1402</v>
      </c>
      <c r="F4512" s="3" t="s">
        <v>7</v>
      </c>
      <c r="H4512" s="3">
        <v>4.5425634361320098E-2</v>
      </c>
      <c r="J4512" s="3">
        <v>4.5425634361320098E-2</v>
      </c>
      <c r="K4512" s="3">
        <v>4.5425634361320098E-2</v>
      </c>
      <c r="L4512" s="3">
        <v>6.8147124836388795E-2</v>
      </c>
      <c r="M4512" s="3">
        <v>7.6605696315228164E-2</v>
      </c>
      <c r="N4512" s="3">
        <v>7.6605696315228164E-2</v>
      </c>
      <c r="O4512" s="3">
        <v>7.6605696315228164E-2</v>
      </c>
      <c r="P4512" s="3">
        <v>3.1180061953908073E-2</v>
      </c>
    </row>
    <row r="4513" spans="1:16" x14ac:dyDescent="0.3">
      <c r="A4513" s="3" t="str">
        <f t="shared" si="71"/>
        <v>COA</v>
      </c>
      <c r="C4513" s="3" t="s">
        <v>850</v>
      </c>
      <c r="D4513" s="3" t="s">
        <v>1585</v>
      </c>
      <c r="E4513" s="3" t="s">
        <v>1375</v>
      </c>
      <c r="F4513" s="3" t="s">
        <v>0</v>
      </c>
      <c r="J4513" s="3">
        <v>3.7803367041490198E-2</v>
      </c>
      <c r="K4513" s="3">
        <v>8.0164533016642794E-2</v>
      </c>
      <c r="L4513" s="3">
        <v>0.153246890155466</v>
      </c>
      <c r="M4513" s="3">
        <v>0.153246890155466</v>
      </c>
      <c r="N4513" s="3">
        <v>0.153246890155466</v>
      </c>
      <c r="O4513" s="3">
        <v>0.153246890155466</v>
      </c>
      <c r="P4513" s="3">
        <v>0.153246890155466</v>
      </c>
    </row>
    <row r="4514" spans="1:16" x14ac:dyDescent="0.3">
      <c r="A4514" s="3" t="str">
        <f t="shared" si="71"/>
        <v>COA</v>
      </c>
      <c r="C4514" s="3" t="s">
        <v>850</v>
      </c>
      <c r="D4514" s="3" t="s">
        <v>1585</v>
      </c>
      <c r="E4514" s="3" t="s">
        <v>1375</v>
      </c>
      <c r="F4514" s="3" t="s">
        <v>2</v>
      </c>
      <c r="H4514" s="3">
        <v>1.2661471932625299</v>
      </c>
      <c r="J4514" s="3">
        <v>1.8690054597955601</v>
      </c>
      <c r="K4514" s="3">
        <v>2.75251121979483</v>
      </c>
      <c r="L4514" s="3">
        <v>3.2960640393002798</v>
      </c>
      <c r="M4514" s="3">
        <v>3.0381929067047899</v>
      </c>
      <c r="N4514" s="3">
        <v>3.2960640393002798</v>
      </c>
      <c r="O4514" s="3">
        <v>3.2960640393002798</v>
      </c>
      <c r="P4514" s="3">
        <v>3.2960640393002798</v>
      </c>
    </row>
    <row r="4515" spans="1:16" x14ac:dyDescent="0.3">
      <c r="A4515" s="3" t="str">
        <f t="shared" si="71"/>
        <v>COA</v>
      </c>
      <c r="C4515" s="3" t="s">
        <v>850</v>
      </c>
      <c r="D4515" s="3" t="s">
        <v>1585</v>
      </c>
      <c r="E4515" s="3" t="s">
        <v>1375</v>
      </c>
      <c r="F4515" s="3" t="s">
        <v>8</v>
      </c>
      <c r="J4515" s="3">
        <v>1.1615355605117601</v>
      </c>
      <c r="K4515" s="3">
        <v>1.1615355605117601</v>
      </c>
      <c r="L4515" s="3">
        <v>1.0326106134852899</v>
      </c>
      <c r="M4515" s="3">
        <v>1.1615355605117601</v>
      </c>
      <c r="N4515" s="3">
        <v>1.1615355605117601</v>
      </c>
      <c r="O4515" s="3">
        <v>1.1615355605117601</v>
      </c>
      <c r="P4515" s="3">
        <v>1.1615355605117601</v>
      </c>
    </row>
    <row r="4516" spans="1:16" x14ac:dyDescent="0.3">
      <c r="A4516" s="3" t="str">
        <f t="shared" si="71"/>
        <v>WOD</v>
      </c>
      <c r="C4516" s="3" t="s">
        <v>850</v>
      </c>
      <c r="D4516" s="3" t="s">
        <v>1585</v>
      </c>
      <c r="E4516" s="3" t="s">
        <v>1405</v>
      </c>
      <c r="F4516" s="3" t="s">
        <v>3</v>
      </c>
      <c r="J4516" s="3">
        <v>9.3467454441152703E-2</v>
      </c>
      <c r="K4516" s="3">
        <v>0.10406631420683621</v>
      </c>
      <c r="L4516" s="3">
        <v>0.11371567406153377</v>
      </c>
      <c r="M4516" s="3">
        <v>0.11942438071612926</v>
      </c>
      <c r="N4516" s="3">
        <v>0.12349260266217144</v>
      </c>
      <c r="O4516" s="3">
        <v>0.12349260266217144</v>
      </c>
      <c r="P4516" s="3">
        <v>0.11384324280747388</v>
      </c>
    </row>
    <row r="4517" spans="1:16" x14ac:dyDescent="0.3">
      <c r="A4517" s="3" t="str">
        <f t="shared" si="71"/>
        <v>WOD</v>
      </c>
      <c r="C4517" s="3" t="s">
        <v>850</v>
      </c>
      <c r="D4517" s="3" t="s">
        <v>1585</v>
      </c>
      <c r="E4517" s="3" t="s">
        <v>1405</v>
      </c>
      <c r="F4517" s="3" t="s">
        <v>7</v>
      </c>
      <c r="H4517" s="3">
        <v>6.9398388616961695E-2</v>
      </c>
      <c r="J4517" s="3">
        <v>0.3345739200740227</v>
      </c>
      <c r="K4517" s="3">
        <v>0.3345739200740227</v>
      </c>
      <c r="L4517" s="3">
        <v>0.3345739200740227</v>
      </c>
      <c r="M4517" s="3">
        <v>0.3345739200740227</v>
      </c>
      <c r="N4517" s="3">
        <v>0.34423669151783171</v>
      </c>
      <c r="O4517" s="3">
        <v>0.34423669151783171</v>
      </c>
      <c r="P4517" s="3">
        <v>0.34423669151783171</v>
      </c>
    </row>
    <row r="4518" spans="1:16" x14ac:dyDescent="0.3">
      <c r="A4518" s="3" t="str">
        <f t="shared" si="71"/>
        <v>COA</v>
      </c>
      <c r="C4518" s="3" t="s">
        <v>850</v>
      </c>
      <c r="D4518" s="3" t="s">
        <v>1187</v>
      </c>
      <c r="E4518" s="3" t="s">
        <v>1024</v>
      </c>
      <c r="F4518" s="3" t="s">
        <v>0</v>
      </c>
      <c r="G4518" s="3">
        <v>2.6816193077923498</v>
      </c>
      <c r="H4518" s="3">
        <v>2.5978629518961101</v>
      </c>
      <c r="I4518" s="3">
        <v>2.2628375283111399</v>
      </c>
      <c r="J4518" s="3">
        <v>2.2628375283111399</v>
      </c>
      <c r="K4518" s="3">
        <v>2.2628375283111399</v>
      </c>
      <c r="L4518" s="3">
        <v>2.2628375283111399</v>
      </c>
      <c r="M4518" s="3">
        <v>2.2628375283111399</v>
      </c>
      <c r="N4518" s="3">
        <v>2.2628375283111399</v>
      </c>
      <c r="O4518" s="3">
        <v>2.2628375283111399</v>
      </c>
      <c r="P4518" s="3">
        <v>2.2628375283111399</v>
      </c>
    </row>
    <row r="4519" spans="1:16" x14ac:dyDescent="0.3">
      <c r="A4519" s="3" t="str">
        <f t="shared" si="71"/>
        <v>COA</v>
      </c>
      <c r="C4519" s="3" t="s">
        <v>850</v>
      </c>
      <c r="D4519" s="3" t="s">
        <v>1187</v>
      </c>
      <c r="E4519" s="3" t="s">
        <v>1024</v>
      </c>
      <c r="F4519" s="3" t="s">
        <v>1</v>
      </c>
      <c r="G4519" s="3">
        <v>0.24334387980070099</v>
      </c>
      <c r="H4519" s="3">
        <v>0.211800715428069</v>
      </c>
      <c r="I4519" s="3">
        <v>8.5628057937539095E-2</v>
      </c>
      <c r="J4519" s="3">
        <v>8.5628057937539095E-2</v>
      </c>
      <c r="K4519" s="3">
        <v>8.5628057937539095E-2</v>
      </c>
      <c r="L4519" s="3">
        <v>8.5628057937539095E-2</v>
      </c>
      <c r="M4519" s="3">
        <v>8.5628057937539095E-2</v>
      </c>
      <c r="N4519" s="3">
        <v>8.5628057937539095E-2</v>
      </c>
      <c r="O4519" s="3">
        <v>8.5628057937539095E-2</v>
      </c>
      <c r="P4519" s="3">
        <v>8.5628057937539095E-2</v>
      </c>
    </row>
    <row r="4520" spans="1:16" x14ac:dyDescent="0.3">
      <c r="A4520" s="3" t="str">
        <f t="shared" si="71"/>
        <v>COA</v>
      </c>
      <c r="C4520" s="3" t="s">
        <v>850</v>
      </c>
      <c r="D4520" s="3" t="s">
        <v>1187</v>
      </c>
      <c r="E4520" s="3" t="s">
        <v>1024</v>
      </c>
      <c r="F4520" s="3" t="s">
        <v>2</v>
      </c>
      <c r="G4520" s="3">
        <v>4.1017759564584599</v>
      </c>
      <c r="H4520" s="3">
        <v>3.4214391221059399</v>
      </c>
      <c r="I4520" s="3">
        <v>0.70009178469584699</v>
      </c>
      <c r="J4520" s="3">
        <v>0.70009178469584699</v>
      </c>
      <c r="K4520" s="3">
        <v>0.70009178469584699</v>
      </c>
      <c r="L4520" s="3">
        <v>0.70009178469584699</v>
      </c>
      <c r="M4520" s="3">
        <v>0.70009178469584699</v>
      </c>
      <c r="N4520" s="3">
        <v>0.70009178469584699</v>
      </c>
      <c r="O4520" s="3">
        <v>0.70009178469584699</v>
      </c>
      <c r="P4520" s="3">
        <v>0.70009178469584699</v>
      </c>
    </row>
    <row r="4521" spans="1:16" x14ac:dyDescent="0.3">
      <c r="A4521" s="3" t="str">
        <f t="shared" si="71"/>
        <v>COA</v>
      </c>
      <c r="C4521" s="3" t="s">
        <v>850</v>
      </c>
      <c r="D4521" s="3" t="s">
        <v>1187</v>
      </c>
      <c r="E4521" s="3" t="s">
        <v>1024</v>
      </c>
      <c r="F4521" s="3" t="s">
        <v>3</v>
      </c>
      <c r="G4521" s="3">
        <v>0.113276508298728</v>
      </c>
      <c r="H4521" s="3">
        <v>0.28125655838770602</v>
      </c>
      <c r="I4521" s="3">
        <v>0.95317675874361696</v>
      </c>
      <c r="J4521" s="3">
        <v>0.95317675874361696</v>
      </c>
      <c r="K4521" s="3">
        <v>0.95317675874361696</v>
      </c>
      <c r="L4521" s="3">
        <v>0.95317675874361696</v>
      </c>
      <c r="M4521" s="3">
        <v>0.95317675874361696</v>
      </c>
      <c r="N4521" s="3">
        <v>0.95317675874361696</v>
      </c>
      <c r="O4521" s="3">
        <v>0.95317675874361696</v>
      </c>
      <c r="P4521" s="3">
        <v>0.95317675874361696</v>
      </c>
    </row>
    <row r="4522" spans="1:16" x14ac:dyDescent="0.3">
      <c r="A4522" s="3" t="str">
        <f t="shared" si="71"/>
        <v>COA</v>
      </c>
      <c r="C4522" s="3" t="s">
        <v>850</v>
      </c>
      <c r="D4522" s="3" t="s">
        <v>1187</v>
      </c>
      <c r="E4522" s="3" t="s">
        <v>1024</v>
      </c>
      <c r="F4522" s="3" t="s">
        <v>4</v>
      </c>
      <c r="G4522" s="3">
        <v>6.48933821815291</v>
      </c>
      <c r="H4522" s="3">
        <v>6.48933821815291</v>
      </c>
      <c r="I4522" s="3">
        <v>4.04229711986945</v>
      </c>
      <c r="J4522" s="3">
        <v>4.04229711986945</v>
      </c>
      <c r="K4522" s="3">
        <v>4.04229711986945</v>
      </c>
      <c r="L4522" s="3">
        <v>4.04229711986945</v>
      </c>
      <c r="M4522" s="3">
        <v>4.04229711986945</v>
      </c>
      <c r="N4522" s="3">
        <v>4.04229711986945</v>
      </c>
      <c r="O4522" s="3">
        <v>4.04229711986945</v>
      </c>
      <c r="P4522" s="3">
        <v>4.04229711986945</v>
      </c>
    </row>
    <row r="4523" spans="1:16" x14ac:dyDescent="0.3">
      <c r="A4523" s="3" t="str">
        <f t="shared" si="71"/>
        <v>COA</v>
      </c>
      <c r="C4523" s="3" t="s">
        <v>850</v>
      </c>
      <c r="D4523" s="3" t="s">
        <v>1187</v>
      </c>
      <c r="E4523" s="3" t="s">
        <v>1024</v>
      </c>
      <c r="F4523" s="3" t="s">
        <v>5</v>
      </c>
      <c r="G4523" s="3">
        <v>0.81035387210119703</v>
      </c>
      <c r="H4523" s="3">
        <v>0.78504368466468</v>
      </c>
      <c r="I4523" s="3">
        <v>0.68380293491861399</v>
      </c>
      <c r="J4523" s="3">
        <v>0.68380293491861399</v>
      </c>
      <c r="K4523" s="3">
        <v>0.68380293491861399</v>
      </c>
      <c r="L4523" s="3">
        <v>0.68380293491861399</v>
      </c>
      <c r="M4523" s="3">
        <v>0.68380293491861399</v>
      </c>
      <c r="N4523" s="3">
        <v>0.68380293491861399</v>
      </c>
      <c r="O4523" s="3">
        <v>0.68380293491861399</v>
      </c>
      <c r="P4523" s="3">
        <v>0.68380293491861399</v>
      </c>
    </row>
    <row r="4524" spans="1:16" x14ac:dyDescent="0.3">
      <c r="A4524" s="3" t="str">
        <f t="shared" si="71"/>
        <v>COA</v>
      </c>
      <c r="C4524" s="3" t="s">
        <v>850</v>
      </c>
      <c r="D4524" s="3" t="s">
        <v>1187</v>
      </c>
      <c r="E4524" s="3" t="s">
        <v>1024</v>
      </c>
      <c r="F4524" s="3" t="s">
        <v>6</v>
      </c>
      <c r="G4524" s="3">
        <v>1.06184300482225</v>
      </c>
      <c r="H4524" s="3">
        <v>0.84947440385780304</v>
      </c>
    </row>
    <row r="4525" spans="1:16" x14ac:dyDescent="0.3">
      <c r="A4525" s="3" t="str">
        <f t="shared" si="71"/>
        <v>COA</v>
      </c>
      <c r="C4525" s="3" t="s">
        <v>850</v>
      </c>
      <c r="D4525" s="3" t="s">
        <v>1187</v>
      </c>
      <c r="E4525" s="3" t="s">
        <v>1024</v>
      </c>
      <c r="F4525" s="3" t="s">
        <v>7</v>
      </c>
      <c r="G4525" s="3">
        <v>0.50643777945621804</v>
      </c>
      <c r="H4525" s="3">
        <v>0.51094523578817597</v>
      </c>
    </row>
    <row r="4526" spans="1:16" x14ac:dyDescent="0.3">
      <c r="A4526" s="3" t="str">
        <f t="shared" si="71"/>
        <v>NGA</v>
      </c>
      <c r="C4526" s="3" t="s">
        <v>850</v>
      </c>
      <c r="D4526" s="3" t="s">
        <v>1187</v>
      </c>
      <c r="E4526" s="3" t="s">
        <v>1025</v>
      </c>
      <c r="F4526" s="3" t="s">
        <v>0</v>
      </c>
      <c r="G4526" s="3">
        <v>4.20321548184832E-2</v>
      </c>
      <c r="I4526" s="3">
        <v>6.1400966632974098E-2</v>
      </c>
    </row>
    <row r="4527" spans="1:16" x14ac:dyDescent="0.3">
      <c r="A4527" s="3" t="str">
        <f t="shared" si="71"/>
        <v>NGA</v>
      </c>
      <c r="C4527" s="3" t="s">
        <v>850</v>
      </c>
      <c r="D4527" s="3" t="s">
        <v>1187</v>
      </c>
      <c r="E4527" s="3" t="s">
        <v>1025</v>
      </c>
      <c r="F4527" s="3" t="s">
        <v>1</v>
      </c>
      <c r="G4527" s="3">
        <v>7.8438337908270594E-2</v>
      </c>
      <c r="I4527" s="3">
        <v>3.8553305836635403E-2</v>
      </c>
    </row>
    <row r="4528" spans="1:16" x14ac:dyDescent="0.3">
      <c r="A4528" s="3" t="str">
        <f t="shared" si="71"/>
        <v>NGA</v>
      </c>
      <c r="C4528" s="3" t="s">
        <v>850</v>
      </c>
      <c r="D4528" s="3" t="s">
        <v>1187</v>
      </c>
      <c r="E4528" s="3" t="s">
        <v>1025</v>
      </c>
      <c r="F4528" s="3" t="s">
        <v>2</v>
      </c>
      <c r="I4528" s="3">
        <v>0.45434759645817002</v>
      </c>
    </row>
    <row r="4529" spans="1:16" x14ac:dyDescent="0.3">
      <c r="A4529" s="3" t="str">
        <f t="shared" si="71"/>
        <v>NGA</v>
      </c>
      <c r="C4529" s="3" t="s">
        <v>850</v>
      </c>
      <c r="D4529" s="3" t="s">
        <v>1187</v>
      </c>
      <c r="E4529" s="3" t="s">
        <v>1025</v>
      </c>
      <c r="F4529" s="3" t="s">
        <v>3</v>
      </c>
      <c r="G4529" s="3">
        <v>8.7078845132274901E-2</v>
      </c>
      <c r="H4529" s="3">
        <v>9.3636448204988801E-2</v>
      </c>
      <c r="I4529" s="3">
        <v>0.119866860495845</v>
      </c>
    </row>
    <row r="4530" spans="1:16" x14ac:dyDescent="0.3">
      <c r="A4530" s="3" t="str">
        <f t="shared" si="71"/>
        <v>NGA</v>
      </c>
      <c r="C4530" s="3" t="s">
        <v>850</v>
      </c>
      <c r="D4530" s="3" t="s">
        <v>1187</v>
      </c>
      <c r="E4530" s="3" t="s">
        <v>1025</v>
      </c>
      <c r="F4530" s="3" t="s">
        <v>4</v>
      </c>
      <c r="I4530" s="3">
        <v>0.74596199792852302</v>
      </c>
    </row>
    <row r="4531" spans="1:16" x14ac:dyDescent="0.3">
      <c r="A4531" s="3" t="str">
        <f t="shared" si="71"/>
        <v>NGA</v>
      </c>
      <c r="C4531" s="3" t="s">
        <v>850</v>
      </c>
      <c r="D4531" s="3" t="s">
        <v>1187</v>
      </c>
      <c r="E4531" s="3" t="s">
        <v>1025</v>
      </c>
      <c r="F4531" s="3" t="s">
        <v>5</v>
      </c>
      <c r="G4531" s="3">
        <v>1.1206668764849299</v>
      </c>
      <c r="I4531" s="3">
        <v>1.0514303595736001</v>
      </c>
    </row>
    <row r="4532" spans="1:16" x14ac:dyDescent="0.3">
      <c r="A4532" s="3" t="str">
        <f t="shared" si="71"/>
        <v>NGA</v>
      </c>
      <c r="C4532" s="3" t="s">
        <v>850</v>
      </c>
      <c r="D4532" s="3" t="s">
        <v>1187</v>
      </c>
      <c r="E4532" s="3" t="s">
        <v>1025</v>
      </c>
      <c r="F4532" s="3" t="s">
        <v>6</v>
      </c>
      <c r="H4532" s="3">
        <v>0.64189989060856401</v>
      </c>
      <c r="I4532" s="3">
        <v>0.64256654001314695</v>
      </c>
    </row>
    <row r="4533" spans="1:16" x14ac:dyDescent="0.3">
      <c r="A4533" s="3" t="str">
        <f t="shared" si="71"/>
        <v>NGA</v>
      </c>
      <c r="C4533" s="3" t="s">
        <v>850</v>
      </c>
      <c r="D4533" s="3" t="s">
        <v>1187</v>
      </c>
      <c r="E4533" s="3" t="s">
        <v>1025</v>
      </c>
      <c r="F4533" s="3" t="s">
        <v>7</v>
      </c>
      <c r="I4533" s="3">
        <v>6.4676040458145706E-2</v>
      </c>
    </row>
    <row r="4534" spans="1:16" x14ac:dyDescent="0.3">
      <c r="A4534" s="3" t="str">
        <f t="shared" si="71"/>
        <v>NGA</v>
      </c>
      <c r="C4534" s="3" t="s">
        <v>850</v>
      </c>
      <c r="D4534" s="3" t="s">
        <v>1187</v>
      </c>
      <c r="E4534" s="3" t="s">
        <v>1025</v>
      </c>
      <c r="F4534" s="3" t="s">
        <v>8</v>
      </c>
      <c r="G4534" s="3">
        <v>0.42965728716211499</v>
      </c>
      <c r="I4534" s="3">
        <v>0.13022879579124799</v>
      </c>
    </row>
    <row r="4535" spans="1:16" x14ac:dyDescent="0.3">
      <c r="A4535" s="3" t="str">
        <f t="shared" si="71"/>
        <v>RFL</v>
      </c>
      <c r="C4535" s="3" t="s">
        <v>850</v>
      </c>
      <c r="D4535" s="3" t="s">
        <v>1187</v>
      </c>
      <c r="E4535" s="3" t="s">
        <v>1026</v>
      </c>
      <c r="F4535" s="3" t="s">
        <v>0</v>
      </c>
      <c r="I4535" s="3">
        <v>6.5041812172097896E-2</v>
      </c>
    </row>
    <row r="4536" spans="1:16" x14ac:dyDescent="0.3">
      <c r="A4536" s="3" t="str">
        <f t="shared" si="71"/>
        <v>RFL</v>
      </c>
      <c r="C4536" s="3" t="s">
        <v>850</v>
      </c>
      <c r="D4536" s="3" t="s">
        <v>1187</v>
      </c>
      <c r="E4536" s="3" t="s">
        <v>1026</v>
      </c>
      <c r="F4536" s="3" t="s">
        <v>1</v>
      </c>
      <c r="G4536" s="3">
        <v>0.76036844470025999</v>
      </c>
      <c r="I4536" s="3">
        <v>0.45051794156179897</v>
      </c>
    </row>
    <row r="4537" spans="1:16" x14ac:dyDescent="0.3">
      <c r="A4537" s="3" t="str">
        <f t="shared" si="71"/>
        <v>TOM</v>
      </c>
      <c r="C4537" s="3" t="s">
        <v>850</v>
      </c>
      <c r="D4537" s="3" t="s">
        <v>1187</v>
      </c>
      <c r="E4537" s="3" t="s">
        <v>1027</v>
      </c>
      <c r="F4537" s="3" t="s">
        <v>0</v>
      </c>
      <c r="G4537" s="3">
        <v>2.1796625650775501</v>
      </c>
      <c r="H4537" s="3">
        <v>2.1360693137759998</v>
      </c>
      <c r="I4537" s="3">
        <v>1.9616963085698</v>
      </c>
      <c r="J4537" s="3">
        <v>1.74373005206204</v>
      </c>
      <c r="K4537" s="3">
        <v>1.52576379555429</v>
      </c>
      <c r="L4537" s="3">
        <v>1.30779753904653</v>
      </c>
      <c r="M4537" s="3">
        <v>1.0898312825387799</v>
      </c>
      <c r="N4537" s="3">
        <v>0.87186502603102201</v>
      </c>
      <c r="O4537" s="3">
        <v>0.65389876952326598</v>
      </c>
      <c r="P4537" s="3">
        <v>0.435932513015511</v>
      </c>
    </row>
    <row r="4538" spans="1:16" x14ac:dyDescent="0.3">
      <c r="A4538" s="3" t="str">
        <f t="shared" si="71"/>
        <v>TOM</v>
      </c>
      <c r="C4538" s="3" t="s">
        <v>850</v>
      </c>
      <c r="D4538" s="3" t="s">
        <v>1187</v>
      </c>
      <c r="E4538" s="3" t="s">
        <v>1027</v>
      </c>
      <c r="F4538" s="3" t="s">
        <v>1</v>
      </c>
      <c r="G4538" s="3">
        <v>1.86095852425944</v>
      </c>
      <c r="H4538" s="3">
        <v>1.8237393537742499</v>
      </c>
      <c r="I4538" s="3">
        <v>1.6748626718335</v>
      </c>
      <c r="J4538" s="3">
        <v>1.4887668194075501</v>
      </c>
      <c r="K4538" s="3">
        <v>1.3026709669816099</v>
      </c>
      <c r="L4538" s="3">
        <v>1.1165751145556699</v>
      </c>
      <c r="M4538" s="3">
        <v>0.93047926212972099</v>
      </c>
      <c r="N4538" s="3">
        <v>0.74438340970377703</v>
      </c>
      <c r="O4538" s="3">
        <v>0.55828755727783297</v>
      </c>
      <c r="P4538" s="3">
        <v>0.37219170485188902</v>
      </c>
    </row>
    <row r="4539" spans="1:16" x14ac:dyDescent="0.3">
      <c r="A4539" s="3" t="str">
        <f t="shared" si="71"/>
        <v>TOM</v>
      </c>
      <c r="C4539" s="3" t="s">
        <v>850</v>
      </c>
      <c r="D4539" s="3" t="s">
        <v>1187</v>
      </c>
      <c r="E4539" s="3" t="s">
        <v>1027</v>
      </c>
      <c r="F4539" s="3" t="s">
        <v>2</v>
      </c>
      <c r="G4539" s="3">
        <v>2.7533633337458001</v>
      </c>
      <c r="H4539" s="3">
        <v>2.6982960670708902</v>
      </c>
      <c r="I4539" s="3">
        <v>2.4780270003712199</v>
      </c>
      <c r="J4539" s="3">
        <v>2.2026906669966402</v>
      </c>
      <c r="K4539" s="3">
        <v>1.92735433362206</v>
      </c>
      <c r="L4539" s="3">
        <v>1.65201800024748</v>
      </c>
      <c r="M4539" s="3">
        <v>1.3766816668729001</v>
      </c>
      <c r="N4539" s="3">
        <v>1.1013453334983201</v>
      </c>
      <c r="O4539" s="3">
        <v>0.82600900012374101</v>
      </c>
      <c r="P4539" s="3">
        <v>0.55067266674916004</v>
      </c>
    </row>
    <row r="4540" spans="1:16" x14ac:dyDescent="0.3">
      <c r="A4540" s="3" t="str">
        <f t="shared" si="71"/>
        <v>TOM</v>
      </c>
      <c r="C4540" s="3" t="s">
        <v>850</v>
      </c>
      <c r="D4540" s="3" t="s">
        <v>1187</v>
      </c>
      <c r="E4540" s="3" t="s">
        <v>1027</v>
      </c>
      <c r="F4540" s="3" t="s">
        <v>4</v>
      </c>
      <c r="G4540" s="3">
        <v>4.3577445443075096</v>
      </c>
      <c r="H4540" s="3">
        <v>4.2705896534213599</v>
      </c>
      <c r="I4540" s="3">
        <v>3.9219700898767602</v>
      </c>
      <c r="J4540" s="3">
        <v>3.48619563544601</v>
      </c>
      <c r="K4540" s="3">
        <v>3.0504211810152602</v>
      </c>
      <c r="L4540" s="3">
        <v>2.6146467265845099</v>
      </c>
      <c r="M4540" s="3">
        <v>2.1788722721537601</v>
      </c>
      <c r="N4540" s="3">
        <v>1.7430978177230101</v>
      </c>
      <c r="O4540" s="3">
        <v>1.3073233632922501</v>
      </c>
      <c r="P4540" s="3">
        <v>0.87154890886150305</v>
      </c>
    </row>
    <row r="4541" spans="1:16" x14ac:dyDescent="0.3">
      <c r="A4541" s="3" t="str">
        <f t="shared" si="71"/>
        <v>TOM</v>
      </c>
      <c r="C4541" s="3" t="s">
        <v>850</v>
      </c>
      <c r="D4541" s="3" t="s">
        <v>1187</v>
      </c>
      <c r="E4541" s="3" t="s">
        <v>1027</v>
      </c>
      <c r="F4541" s="3" t="s">
        <v>5</v>
      </c>
      <c r="G4541" s="3">
        <v>4.9058347659731103</v>
      </c>
      <c r="H4541" s="3">
        <v>4.8077180706536504</v>
      </c>
      <c r="I4541" s="3">
        <v>4.4152512893758002</v>
      </c>
      <c r="J4541" s="3">
        <v>3.9246678127784902</v>
      </c>
      <c r="K4541" s="3">
        <v>3.4340843361811801</v>
      </c>
      <c r="L4541" s="3">
        <v>2.9435008595838701</v>
      </c>
      <c r="M4541" s="3">
        <v>2.45291738298656</v>
      </c>
      <c r="N4541" s="3">
        <v>1.96233390638924</v>
      </c>
      <c r="O4541" s="3">
        <v>1.4717504297919299</v>
      </c>
      <c r="P4541" s="3">
        <v>0.98116695319462199</v>
      </c>
    </row>
    <row r="4542" spans="1:16" x14ac:dyDescent="0.3">
      <c r="A4542" s="3" t="str">
        <f t="shared" si="71"/>
        <v>TOM</v>
      </c>
      <c r="C4542" s="3" t="s">
        <v>850</v>
      </c>
      <c r="D4542" s="3" t="s">
        <v>1187</v>
      </c>
      <c r="E4542" s="3" t="s">
        <v>1027</v>
      </c>
      <c r="F4542" s="3" t="s">
        <v>6</v>
      </c>
      <c r="G4542" s="3">
        <v>3.5325213887677398</v>
      </c>
      <c r="H4542" s="3">
        <v>3.4618709609923801</v>
      </c>
      <c r="I4542" s="3">
        <v>3.17926924989096</v>
      </c>
      <c r="J4542" s="3">
        <v>2.8260171110141901</v>
      </c>
      <c r="K4542" s="3">
        <v>2.4727649721374201</v>
      </c>
      <c r="L4542" s="3">
        <v>2.1195128332606399</v>
      </c>
      <c r="M4542" s="3">
        <v>1.7662606943838699</v>
      </c>
      <c r="N4542" s="3">
        <v>1.4130085555070999</v>
      </c>
      <c r="O4542" s="3">
        <v>1.0597564166303199</v>
      </c>
      <c r="P4542" s="3">
        <v>0.70650427775354796</v>
      </c>
    </row>
    <row r="4543" spans="1:16" x14ac:dyDescent="0.3">
      <c r="A4543" s="3" t="str">
        <f t="shared" si="71"/>
        <v>TOM</v>
      </c>
      <c r="C4543" s="3" t="s">
        <v>850</v>
      </c>
      <c r="D4543" s="3" t="s">
        <v>1187</v>
      </c>
      <c r="E4543" s="3" t="s">
        <v>1027</v>
      </c>
      <c r="F4543" s="3" t="s">
        <v>7</v>
      </c>
      <c r="G4543" s="3">
        <v>0.26672377500940703</v>
      </c>
      <c r="H4543" s="3">
        <v>0.26138929950921902</v>
      </c>
      <c r="I4543" s="3">
        <v>0.24005139750846599</v>
      </c>
      <c r="J4543" s="3">
        <v>0.21337902000752501</v>
      </c>
      <c r="K4543" s="3">
        <v>0.186706642506585</v>
      </c>
      <c r="L4543" s="3">
        <v>0.16003426500564399</v>
      </c>
      <c r="M4543" s="3">
        <v>0.13336188750470299</v>
      </c>
      <c r="N4543" s="3">
        <v>0.10668951000376301</v>
      </c>
      <c r="O4543" s="3">
        <v>8.0017132502821997E-2</v>
      </c>
      <c r="P4543" s="3">
        <v>5.3344755001881301E-2</v>
      </c>
    </row>
    <row r="4544" spans="1:16" x14ac:dyDescent="0.3">
      <c r="A4544" s="3" t="str">
        <f t="shared" si="71"/>
        <v>TOM</v>
      </c>
      <c r="C4544" s="3" t="s">
        <v>850</v>
      </c>
      <c r="D4544" s="3" t="s">
        <v>1187</v>
      </c>
      <c r="E4544" s="3" t="s">
        <v>1027</v>
      </c>
      <c r="F4544" s="3" t="s">
        <v>8</v>
      </c>
      <c r="G4544" s="3">
        <v>0.449731643362698</v>
      </c>
      <c r="H4544" s="3">
        <v>0.440737010495444</v>
      </c>
      <c r="I4544" s="3">
        <v>0.40475847902642798</v>
      </c>
      <c r="J4544" s="3">
        <v>0.35978531469015801</v>
      </c>
      <c r="K4544" s="3">
        <v>0.31481215035388799</v>
      </c>
      <c r="L4544" s="3">
        <v>0.26983898601761902</v>
      </c>
      <c r="M4544" s="3">
        <v>0.224865821681349</v>
      </c>
      <c r="N4544" s="3">
        <v>0.179892657345079</v>
      </c>
      <c r="O4544" s="3">
        <v>0.13491949300880901</v>
      </c>
      <c r="P4544" s="3">
        <v>8.9946328672539502E-2</v>
      </c>
    </row>
    <row r="4545" spans="1:16" x14ac:dyDescent="0.3">
      <c r="A4545" s="3" t="str">
        <f t="shared" si="71"/>
        <v>WOD</v>
      </c>
      <c r="C4545" s="3" t="s">
        <v>850</v>
      </c>
      <c r="D4545" s="3" t="s">
        <v>1187</v>
      </c>
      <c r="E4545" s="3" t="s">
        <v>1028</v>
      </c>
      <c r="F4545" s="3" t="s">
        <v>0</v>
      </c>
      <c r="G4545" s="3">
        <v>6.6437764909215297E-2</v>
      </c>
      <c r="H4545" s="3">
        <v>6.5109009611030999E-2</v>
      </c>
    </row>
    <row r="4546" spans="1:16" x14ac:dyDescent="0.3">
      <c r="A4546" s="3" t="str">
        <f t="shared" si="71"/>
        <v>WOD</v>
      </c>
      <c r="C4546" s="3" t="s">
        <v>850</v>
      </c>
      <c r="D4546" s="3" t="s">
        <v>1187</v>
      </c>
      <c r="E4546" s="3" t="s">
        <v>1028</v>
      </c>
      <c r="F4546" s="3" t="s">
        <v>1</v>
      </c>
      <c r="G4546" s="3">
        <v>0.82003541433294502</v>
      </c>
      <c r="H4546" s="3">
        <v>0.145018912400387</v>
      </c>
    </row>
    <row r="4547" spans="1:16" x14ac:dyDescent="0.3">
      <c r="A4547" s="3" t="str">
        <f t="shared" si="71"/>
        <v>WOD</v>
      </c>
      <c r="C4547" s="3" t="s">
        <v>850</v>
      </c>
      <c r="D4547" s="3" t="s">
        <v>1187</v>
      </c>
      <c r="E4547" s="3" t="s">
        <v>1028</v>
      </c>
      <c r="F4547" s="3" t="s">
        <v>3</v>
      </c>
      <c r="G4547" s="3">
        <v>0.255339801846662</v>
      </c>
      <c r="H4547" s="3">
        <v>0.25023300580972802</v>
      </c>
    </row>
    <row r="4548" spans="1:16" x14ac:dyDescent="0.3">
      <c r="A4548" s="3" t="str">
        <f t="shared" si="71"/>
        <v>WOD</v>
      </c>
      <c r="C4548" s="3" t="s">
        <v>850</v>
      </c>
      <c r="D4548" s="3" t="s">
        <v>1187</v>
      </c>
      <c r="E4548" s="3" t="s">
        <v>1028</v>
      </c>
      <c r="F4548" s="3" t="s">
        <v>4</v>
      </c>
      <c r="G4548" s="3">
        <v>0.11864984478738699</v>
      </c>
    </row>
    <row r="4549" spans="1:16" x14ac:dyDescent="0.3">
      <c r="A4549" s="3" t="str">
        <f t="shared" si="71"/>
        <v>WOD</v>
      </c>
      <c r="C4549" s="3" t="s">
        <v>850</v>
      </c>
      <c r="D4549" s="3" t="s">
        <v>1187</v>
      </c>
      <c r="E4549" s="3" t="s">
        <v>1028</v>
      </c>
      <c r="F4549" s="3" t="s">
        <v>5</v>
      </c>
      <c r="G4549" s="3">
        <v>0.31169744944092398</v>
      </c>
    </row>
    <row r="4550" spans="1:16" x14ac:dyDescent="0.3">
      <c r="A4550" s="3" t="str">
        <f t="shared" si="71"/>
        <v>WOD</v>
      </c>
      <c r="C4550" s="3" t="s">
        <v>850</v>
      </c>
      <c r="D4550" s="3" t="s">
        <v>1187</v>
      </c>
      <c r="E4550" s="3" t="s">
        <v>1028</v>
      </c>
      <c r="F4550" s="3" t="s">
        <v>8</v>
      </c>
      <c r="G4550" s="3">
        <v>0.58249951082783502</v>
      </c>
      <c r="H4550" s="3">
        <v>0.169271072153481</v>
      </c>
      <c r="I4550" s="3">
        <v>0.24708627276546</v>
      </c>
    </row>
    <row r="4551" spans="1:16" x14ac:dyDescent="0.3">
      <c r="A4551" s="3" t="str">
        <f t="shared" si="71"/>
        <v>BLQ</v>
      </c>
      <c r="C4551" s="3" t="s">
        <v>850</v>
      </c>
      <c r="D4551" s="3" t="s">
        <v>1187</v>
      </c>
      <c r="E4551" s="3" t="s">
        <v>1030</v>
      </c>
      <c r="F4551" s="3" t="s">
        <v>8</v>
      </c>
      <c r="G4551" s="3">
        <v>4.2054912188386497</v>
      </c>
      <c r="H4551" s="3">
        <v>4.0653081782107003</v>
      </c>
      <c r="I4551" s="3">
        <v>3.5045760156988801</v>
      </c>
      <c r="J4551" s="3">
        <v>2.8036608125590998</v>
      </c>
      <c r="K4551" s="3">
        <v>2.1027456094193302</v>
      </c>
      <c r="L4551" s="3">
        <v>1.4018304062795499</v>
      </c>
      <c r="M4551" s="3">
        <v>0.70091520313977596</v>
      </c>
    </row>
    <row r="4552" spans="1:16" x14ac:dyDescent="0.3">
      <c r="A4552" s="3" t="str">
        <f t="shared" si="71"/>
        <v>NGA</v>
      </c>
      <c r="C4552" s="3" t="s">
        <v>850</v>
      </c>
      <c r="D4552" s="3" t="s">
        <v>1187</v>
      </c>
      <c r="E4552" s="3" t="s">
        <v>1031</v>
      </c>
      <c r="F4552" s="3" t="s">
        <v>1</v>
      </c>
      <c r="G4552" s="3">
        <v>0.23140577646763799</v>
      </c>
    </row>
    <row r="4553" spans="1:16" x14ac:dyDescent="0.3">
      <c r="A4553" s="3" t="str">
        <f t="shared" si="71"/>
        <v>NGA</v>
      </c>
      <c r="C4553" s="3" t="s">
        <v>850</v>
      </c>
      <c r="D4553" s="3" t="s">
        <v>1187</v>
      </c>
      <c r="E4553" s="3" t="s">
        <v>1031</v>
      </c>
      <c r="F4553" s="3" t="s">
        <v>5</v>
      </c>
      <c r="I4553" s="3">
        <v>0.77943644684767899</v>
      </c>
    </row>
    <row r="4554" spans="1:16" x14ac:dyDescent="0.3">
      <c r="A4554" s="3" t="str">
        <f t="shared" si="71"/>
        <v>NGA</v>
      </c>
      <c r="C4554" s="3" t="s">
        <v>850</v>
      </c>
      <c r="D4554" s="3" t="s">
        <v>1187</v>
      </c>
      <c r="E4554" s="3" t="s">
        <v>1031</v>
      </c>
      <c r="F4554" s="3" t="s">
        <v>6</v>
      </c>
      <c r="I4554" s="3">
        <v>1.3062152885803</v>
      </c>
    </row>
    <row r="4555" spans="1:16" x14ac:dyDescent="0.3">
      <c r="A4555" s="3" t="str">
        <f t="shared" si="71"/>
        <v>NGA</v>
      </c>
      <c r="C4555" s="3" t="s">
        <v>850</v>
      </c>
      <c r="D4555" s="3" t="s">
        <v>1187</v>
      </c>
      <c r="E4555" s="3" t="s">
        <v>1031</v>
      </c>
      <c r="F4555" s="3" t="s">
        <v>7</v>
      </c>
      <c r="I4555" s="3">
        <v>0.52125962220340505</v>
      </c>
    </row>
    <row r="4556" spans="1:16" x14ac:dyDescent="0.3">
      <c r="A4556" s="3" t="str">
        <f t="shared" si="71"/>
        <v>NGA</v>
      </c>
      <c r="C4556" s="3" t="s">
        <v>850</v>
      </c>
      <c r="D4556" s="3" t="s">
        <v>1187</v>
      </c>
      <c r="E4556" s="3" t="s">
        <v>1031</v>
      </c>
      <c r="F4556" s="3" t="s">
        <v>8</v>
      </c>
      <c r="G4556" s="3">
        <v>3.6629674994854402</v>
      </c>
      <c r="I4556" s="3">
        <v>2.7573666443251201</v>
      </c>
    </row>
    <row r="4557" spans="1:16" x14ac:dyDescent="0.3">
      <c r="A4557" s="3" t="str">
        <f t="shared" si="71"/>
        <v>WOD</v>
      </c>
      <c r="C4557" s="3" t="s">
        <v>850</v>
      </c>
      <c r="D4557" s="3" t="s">
        <v>1187</v>
      </c>
      <c r="E4557" s="3" t="s">
        <v>1032</v>
      </c>
      <c r="F4557" s="3" t="s">
        <v>8</v>
      </c>
      <c r="G4557" s="3">
        <v>3.7937236314825998E-2</v>
      </c>
    </row>
    <row r="4558" spans="1:16" x14ac:dyDescent="0.3">
      <c r="A4558" s="3" t="str">
        <f t="shared" si="71"/>
        <v>COA</v>
      </c>
      <c r="C4558" s="3" t="s">
        <v>850</v>
      </c>
      <c r="D4558" s="3" t="s">
        <v>1187</v>
      </c>
      <c r="E4558" s="3" t="s">
        <v>1033</v>
      </c>
      <c r="F4558" s="3" t="s">
        <v>2</v>
      </c>
      <c r="I4558" s="3">
        <v>0.14074148723438401</v>
      </c>
      <c r="J4558" s="3">
        <v>0.14074148723438401</v>
      </c>
      <c r="K4558" s="3">
        <v>0.14074148723438401</v>
      </c>
      <c r="L4558" s="3">
        <v>0.14074148723438401</v>
      </c>
      <c r="M4558" s="3">
        <v>0.14074148723438401</v>
      </c>
      <c r="N4558" s="3">
        <v>0.14074148723438401</v>
      </c>
      <c r="O4558" s="3">
        <v>0.14074148723438401</v>
      </c>
      <c r="P4558" s="3">
        <v>0.14074148723438401</v>
      </c>
    </row>
    <row r="4559" spans="1:16" x14ac:dyDescent="0.3">
      <c r="A4559" s="3" t="str">
        <f t="shared" si="71"/>
        <v>COA</v>
      </c>
      <c r="C4559" s="3" t="s">
        <v>850</v>
      </c>
      <c r="D4559" s="3" t="s">
        <v>1187</v>
      </c>
      <c r="E4559" s="3" t="s">
        <v>1033</v>
      </c>
      <c r="F4559" s="3" t="s">
        <v>4</v>
      </c>
      <c r="J4559" s="3">
        <v>0.15927578482657601</v>
      </c>
      <c r="K4559" s="3">
        <v>0.15927578482657601</v>
      </c>
      <c r="L4559" s="3">
        <v>0.15927578482657601</v>
      </c>
      <c r="M4559" s="3">
        <v>0.15927578482657601</v>
      </c>
      <c r="N4559" s="3">
        <v>0.15927578482657601</v>
      </c>
      <c r="O4559" s="3">
        <v>0.15927578482657601</v>
      </c>
      <c r="P4559" s="3">
        <v>0.15927578482657601</v>
      </c>
    </row>
    <row r="4560" spans="1:16" x14ac:dyDescent="0.3">
      <c r="A4560" s="3" t="str">
        <f t="shared" si="71"/>
        <v>WOD</v>
      </c>
      <c r="C4560" s="3" t="s">
        <v>850</v>
      </c>
      <c r="D4560" s="3" t="s">
        <v>1187</v>
      </c>
      <c r="E4560" s="3" t="s">
        <v>1034</v>
      </c>
      <c r="F4560" s="3" t="s">
        <v>1</v>
      </c>
      <c r="G4560" s="3">
        <v>0.341325845858858</v>
      </c>
    </row>
    <row r="4561" spans="1:16" x14ac:dyDescent="0.3">
      <c r="A4561" s="3" t="str">
        <f t="shared" si="71"/>
        <v>WOD</v>
      </c>
      <c r="C4561" s="3" t="s">
        <v>850</v>
      </c>
      <c r="D4561" s="3" t="s">
        <v>1187</v>
      </c>
      <c r="E4561" s="3" t="s">
        <v>1034</v>
      </c>
      <c r="F4561" s="3" t="s">
        <v>2</v>
      </c>
      <c r="G4561" s="3">
        <v>5.77345290383839E-2</v>
      </c>
    </row>
    <row r="4562" spans="1:16" x14ac:dyDescent="0.3">
      <c r="A4562" s="3" t="str">
        <f t="shared" si="71"/>
        <v>WOD</v>
      </c>
      <c r="C4562" s="3" t="s">
        <v>850</v>
      </c>
      <c r="D4562" s="3" t="s">
        <v>1187</v>
      </c>
      <c r="E4562" s="3" t="s">
        <v>1034</v>
      </c>
      <c r="F4562" s="3" t="s">
        <v>5</v>
      </c>
      <c r="G4562" s="3">
        <v>0.146379697670797</v>
      </c>
    </row>
    <row r="4563" spans="1:16" x14ac:dyDescent="0.3">
      <c r="A4563" s="3" t="str">
        <f t="shared" si="71"/>
        <v>TOM</v>
      </c>
      <c r="C4563" s="3" t="s">
        <v>850</v>
      </c>
      <c r="D4563" s="3" t="s">
        <v>1187</v>
      </c>
      <c r="E4563" s="3" t="s">
        <v>1035</v>
      </c>
      <c r="F4563" s="3" t="s">
        <v>0</v>
      </c>
      <c r="G4563" s="3">
        <v>0.15405394406702699</v>
      </c>
      <c r="H4563" s="3">
        <v>0.15097286518568601</v>
      </c>
      <c r="I4563" s="3">
        <v>0.138648549660324</v>
      </c>
      <c r="J4563" s="3">
        <v>0.12324315525362101</v>
      </c>
      <c r="K4563" s="3">
        <v>0.107837760846919</v>
      </c>
      <c r="L4563" s="3">
        <v>9.2432366440215893E-2</v>
      </c>
      <c r="M4563" s="3">
        <v>7.7026972033513302E-2</v>
      </c>
      <c r="N4563" s="3">
        <v>6.16215776268106E-2</v>
      </c>
      <c r="O4563" s="3">
        <v>4.6216183220108002E-2</v>
      </c>
      <c r="P4563" s="3">
        <v>3.08107888134053E-2</v>
      </c>
    </row>
    <row r="4564" spans="1:16" x14ac:dyDescent="0.3">
      <c r="A4564" s="3" t="str">
        <f t="shared" si="71"/>
        <v>TOM</v>
      </c>
      <c r="C4564" s="3" t="s">
        <v>850</v>
      </c>
      <c r="D4564" s="3" t="s">
        <v>1187</v>
      </c>
      <c r="E4564" s="3" t="s">
        <v>1035</v>
      </c>
      <c r="F4564" s="3" t="s">
        <v>2</v>
      </c>
      <c r="G4564" s="3">
        <v>0.73927473358623397</v>
      </c>
      <c r="H4564" s="3">
        <v>0.72448923891451</v>
      </c>
      <c r="I4564" s="3">
        <v>0.66534726022761104</v>
      </c>
      <c r="J4564" s="3">
        <v>0.591419786868987</v>
      </c>
      <c r="K4564" s="3">
        <v>0.51749231351036395</v>
      </c>
      <c r="L4564" s="3">
        <v>0.44356484015174003</v>
      </c>
      <c r="M4564" s="3">
        <v>0.36963736679311698</v>
      </c>
      <c r="N4564" s="3">
        <v>0.295709893434494</v>
      </c>
      <c r="O4564" s="3">
        <v>0.22178242007587001</v>
      </c>
      <c r="P4564" s="3">
        <v>0.147854946717247</v>
      </c>
    </row>
    <row r="4565" spans="1:16" x14ac:dyDescent="0.3">
      <c r="A4565" s="3" t="str">
        <f t="shared" si="71"/>
        <v>TOM</v>
      </c>
      <c r="C4565" s="3" t="s">
        <v>850</v>
      </c>
      <c r="D4565" s="3" t="s">
        <v>1187</v>
      </c>
      <c r="E4565" s="3" t="s">
        <v>1035</v>
      </c>
      <c r="F4565" s="3" t="s">
        <v>4</v>
      </c>
      <c r="G4565" s="3">
        <v>0.14816752324767299</v>
      </c>
      <c r="H4565" s="3">
        <v>0.14520417278271999</v>
      </c>
      <c r="I4565" s="3">
        <v>0.13335077092290601</v>
      </c>
      <c r="J4565" s="3">
        <v>0.118534018598138</v>
      </c>
      <c r="K4565" s="3">
        <v>0.10371726627337099</v>
      </c>
      <c r="L4565" s="3">
        <v>8.8900513948603793E-2</v>
      </c>
      <c r="M4565" s="3">
        <v>7.4083761623836494E-2</v>
      </c>
      <c r="N4565" s="3">
        <v>5.9267009299069202E-2</v>
      </c>
      <c r="O4565" s="3">
        <v>4.4450256974301897E-2</v>
      </c>
      <c r="P4565" s="3">
        <v>2.9633504649534601E-2</v>
      </c>
    </row>
    <row r="4566" spans="1:16" x14ac:dyDescent="0.3">
      <c r="A4566" s="3" t="str">
        <f t="shared" si="71"/>
        <v>COA</v>
      </c>
      <c r="C4566" s="3" t="s">
        <v>850</v>
      </c>
      <c r="D4566" s="3" t="s">
        <v>1187</v>
      </c>
      <c r="E4566" s="3" t="s">
        <v>1036</v>
      </c>
      <c r="F4566" s="3" t="s">
        <v>1</v>
      </c>
      <c r="G4566" s="3">
        <v>0.21759121021365699</v>
      </c>
      <c r="H4566" s="3">
        <v>7.7740129853827902E-2</v>
      </c>
      <c r="I4566" s="3">
        <v>0.21759121021365699</v>
      </c>
      <c r="J4566" s="3">
        <v>0.21759121021365699</v>
      </c>
      <c r="K4566" s="3">
        <v>0.21759121021365699</v>
      </c>
      <c r="L4566" s="3">
        <v>0.21759121021365699</v>
      </c>
      <c r="M4566" s="3">
        <v>0.21759121021365699</v>
      </c>
      <c r="N4566" s="3">
        <v>0.21759121021365699</v>
      </c>
      <c r="O4566" s="3">
        <v>0.21759121021365699</v>
      </c>
      <c r="P4566" s="3">
        <v>0.21759121021365699</v>
      </c>
    </row>
    <row r="4567" spans="1:16" x14ac:dyDescent="0.3">
      <c r="A4567" s="3" t="str">
        <f t="shared" si="71"/>
        <v>COA</v>
      </c>
      <c r="C4567" s="3" t="s">
        <v>850</v>
      </c>
      <c r="D4567" s="3" t="s">
        <v>1187</v>
      </c>
      <c r="E4567" s="3" t="s">
        <v>1036</v>
      </c>
      <c r="F4567" s="3" t="s">
        <v>2</v>
      </c>
      <c r="I4567" s="3">
        <v>0.68160194077660896</v>
      </c>
      <c r="J4567" s="3">
        <v>0.68160194077660896</v>
      </c>
      <c r="K4567" s="3">
        <v>0.68160194077660896</v>
      </c>
      <c r="L4567" s="3">
        <v>0.68160194077660896</v>
      </c>
      <c r="M4567" s="3">
        <v>0.68160194077660896</v>
      </c>
      <c r="N4567" s="3">
        <v>0.68160194077660896</v>
      </c>
      <c r="O4567" s="3">
        <v>0.68160194077660896</v>
      </c>
      <c r="P4567" s="3">
        <v>0.68160194077660896</v>
      </c>
    </row>
    <row r="4568" spans="1:16" x14ac:dyDescent="0.3">
      <c r="A4568" s="3" t="str">
        <f t="shared" si="71"/>
        <v>COA</v>
      </c>
      <c r="C4568" s="3" t="s">
        <v>850</v>
      </c>
      <c r="D4568" s="3" t="s">
        <v>1187</v>
      </c>
      <c r="E4568" s="3" t="s">
        <v>1036</v>
      </c>
      <c r="F4568" s="3" t="s">
        <v>4</v>
      </c>
      <c r="J4568" s="3">
        <v>0.86959334377827502</v>
      </c>
      <c r="K4568" s="3">
        <v>0.86959334377827502</v>
      </c>
      <c r="L4568" s="3">
        <v>0.86959334377827502</v>
      </c>
      <c r="M4568" s="3">
        <v>0.86959334377827502</v>
      </c>
      <c r="N4568" s="3">
        <v>0.86959334377827502</v>
      </c>
      <c r="O4568" s="3">
        <v>0.86959334377827502</v>
      </c>
      <c r="P4568" s="3">
        <v>0.86959334377827502</v>
      </c>
    </row>
    <row r="4569" spans="1:16" x14ac:dyDescent="0.3">
      <c r="A4569" s="3" t="str">
        <f t="shared" si="71"/>
        <v>COA</v>
      </c>
      <c r="C4569" s="3" t="s">
        <v>850</v>
      </c>
      <c r="D4569" s="3" t="s">
        <v>1187</v>
      </c>
      <c r="E4569" s="3" t="s">
        <v>1036</v>
      </c>
      <c r="F4569" s="3" t="s">
        <v>5</v>
      </c>
      <c r="G4569" s="3">
        <v>0.190609332446118</v>
      </c>
      <c r="J4569" s="3">
        <v>0.190609332446118</v>
      </c>
      <c r="K4569" s="3">
        <v>0.190609332446118</v>
      </c>
      <c r="L4569" s="3">
        <v>0.190609332446118</v>
      </c>
      <c r="M4569" s="3">
        <v>0.190609332446118</v>
      </c>
      <c r="N4569" s="3">
        <v>0.190609332446118</v>
      </c>
      <c r="O4569" s="3">
        <v>0.190609332446118</v>
      </c>
      <c r="P4569" s="3">
        <v>0.190609332446118</v>
      </c>
    </row>
    <row r="4570" spans="1:16" x14ac:dyDescent="0.3">
      <c r="A4570" s="3" t="str">
        <f t="shared" si="71"/>
        <v>COA</v>
      </c>
      <c r="C4570" s="3" t="s">
        <v>850</v>
      </c>
      <c r="D4570" s="3" t="s">
        <v>1187</v>
      </c>
      <c r="E4570" s="3" t="s">
        <v>1036</v>
      </c>
      <c r="F4570" s="3" t="s">
        <v>6</v>
      </c>
      <c r="G4570" s="3">
        <v>0.36149779542673399</v>
      </c>
      <c r="J4570" s="3">
        <v>0.36149779542673399</v>
      </c>
      <c r="K4570" s="3">
        <v>0.36149779542673399</v>
      </c>
      <c r="L4570" s="3">
        <v>0.36149779542673399</v>
      </c>
      <c r="M4570" s="3">
        <v>0.36149779542673399</v>
      </c>
      <c r="N4570" s="3">
        <v>0.36149779542673399</v>
      </c>
      <c r="O4570" s="3">
        <v>0.36149779542673399</v>
      </c>
      <c r="P4570" s="3">
        <v>0.36149779542673399</v>
      </c>
    </row>
    <row r="4571" spans="1:16" x14ac:dyDescent="0.3">
      <c r="A4571" s="3" t="str">
        <f t="shared" si="71"/>
        <v>COA</v>
      </c>
      <c r="C4571" s="3" t="s">
        <v>850</v>
      </c>
      <c r="D4571" s="3" t="s">
        <v>1187</v>
      </c>
      <c r="E4571" s="3" t="s">
        <v>1036</v>
      </c>
      <c r="F4571" s="3" t="s">
        <v>7</v>
      </c>
      <c r="J4571" s="3">
        <v>0.32348999546032398</v>
      </c>
      <c r="K4571" s="3">
        <v>0.32348999546032398</v>
      </c>
      <c r="L4571" s="3">
        <v>0.32348999546032398</v>
      </c>
      <c r="M4571" s="3">
        <v>0.32348999546032398</v>
      </c>
      <c r="N4571" s="3">
        <v>0.32348999546032398</v>
      </c>
      <c r="O4571" s="3">
        <v>0.32348999546032398</v>
      </c>
      <c r="P4571" s="3">
        <v>0.32317962007962597</v>
      </c>
    </row>
    <row r="4572" spans="1:16" x14ac:dyDescent="0.3">
      <c r="A4572" s="3" t="str">
        <f t="shared" si="71"/>
        <v>WOD</v>
      </c>
      <c r="C4572" s="3" t="s">
        <v>850</v>
      </c>
      <c r="D4572" s="3" t="s">
        <v>1187</v>
      </c>
      <c r="E4572" s="3" t="s">
        <v>1037</v>
      </c>
      <c r="F4572" s="3" t="s">
        <v>0</v>
      </c>
      <c r="G4572" s="3">
        <v>0.46726650028990102</v>
      </c>
      <c r="H4572" s="3">
        <v>0.45792117028410301</v>
      </c>
    </row>
    <row r="4573" spans="1:16" x14ac:dyDescent="0.3">
      <c r="A4573" s="3" t="str">
        <f t="shared" si="71"/>
        <v>WOD</v>
      </c>
      <c r="C4573" s="3" t="s">
        <v>850</v>
      </c>
      <c r="D4573" s="3" t="s">
        <v>1187</v>
      </c>
      <c r="E4573" s="3" t="s">
        <v>1037</v>
      </c>
      <c r="F4573" s="3" t="s">
        <v>4</v>
      </c>
      <c r="G4573" s="3">
        <v>0.45873505434031098</v>
      </c>
    </row>
    <row r="4574" spans="1:16" x14ac:dyDescent="0.3">
      <c r="A4574" s="3" t="str">
        <f t="shared" si="71"/>
        <v>WOD</v>
      </c>
      <c r="C4574" s="3" t="s">
        <v>850</v>
      </c>
      <c r="D4574" s="3" t="s">
        <v>1187</v>
      </c>
      <c r="E4574" s="3" t="s">
        <v>1037</v>
      </c>
      <c r="F4574" s="3" t="s">
        <v>5</v>
      </c>
      <c r="G4574" s="3">
        <v>0.15771746362598901</v>
      </c>
    </row>
    <row r="4575" spans="1:16" x14ac:dyDescent="0.3">
      <c r="A4575" s="3" t="str">
        <f t="shared" ref="A4575:A4638" si="72">RIGHT(E4575,3)</f>
        <v>WOD</v>
      </c>
      <c r="C4575" s="3" t="s">
        <v>850</v>
      </c>
      <c r="D4575" s="3" t="s">
        <v>1187</v>
      </c>
      <c r="E4575" s="3" t="s">
        <v>1037</v>
      </c>
      <c r="F4575" s="3" t="s">
        <v>8</v>
      </c>
      <c r="G4575" s="3">
        <v>0.28049498182143701</v>
      </c>
    </row>
    <row r="4576" spans="1:16" x14ac:dyDescent="0.3">
      <c r="A4576" s="3" t="str">
        <f t="shared" si="72"/>
        <v>COA</v>
      </c>
      <c r="C4576" s="3" t="s">
        <v>850</v>
      </c>
      <c r="D4576" s="3" t="s">
        <v>1187</v>
      </c>
      <c r="E4576" s="3" t="s">
        <v>1038</v>
      </c>
      <c r="F4576" s="3" t="s">
        <v>1</v>
      </c>
      <c r="G4576" s="3">
        <v>5.9695569441768098E-2</v>
      </c>
      <c r="H4576" s="3">
        <v>5.9695569441768098E-2</v>
      </c>
      <c r="I4576" s="3">
        <v>5.9695569441768098E-2</v>
      </c>
      <c r="J4576" s="3">
        <v>5.9695569441768098E-2</v>
      </c>
      <c r="K4576" s="3">
        <v>5.9695569441768098E-2</v>
      </c>
      <c r="L4576" s="3">
        <v>5.9695569441768098E-2</v>
      </c>
      <c r="M4576" s="3">
        <v>5.9695569441768098E-2</v>
      </c>
      <c r="N4576" s="3">
        <v>5.9695569441768098E-2</v>
      </c>
      <c r="O4576" s="3">
        <v>5.9695569441768098E-2</v>
      </c>
      <c r="P4576" s="3">
        <v>5.9695569441768098E-2</v>
      </c>
    </row>
    <row r="4577" spans="1:16" x14ac:dyDescent="0.3">
      <c r="A4577" s="3" t="str">
        <f t="shared" si="72"/>
        <v>COA</v>
      </c>
      <c r="C4577" s="3" t="s">
        <v>850</v>
      </c>
      <c r="D4577" s="3" t="s">
        <v>1187</v>
      </c>
      <c r="E4577" s="3" t="s">
        <v>1038</v>
      </c>
      <c r="F4577" s="3" t="s">
        <v>2</v>
      </c>
      <c r="G4577" s="3">
        <v>4.6036429931038902E-2</v>
      </c>
      <c r="I4577" s="3">
        <v>0.80044317963616096</v>
      </c>
      <c r="J4577" s="3">
        <v>0.80044317963616096</v>
      </c>
      <c r="K4577" s="3">
        <v>0.80044317963616096</v>
      </c>
      <c r="L4577" s="3">
        <v>0.80044317963616196</v>
      </c>
      <c r="M4577" s="3">
        <v>0.80044317963616096</v>
      </c>
      <c r="N4577" s="3">
        <v>0.80044317963616096</v>
      </c>
      <c r="O4577" s="3">
        <v>0.80044317963616096</v>
      </c>
      <c r="P4577" s="3">
        <v>0.80044317963616096</v>
      </c>
    </row>
    <row r="4578" spans="1:16" x14ac:dyDescent="0.3">
      <c r="A4578" s="3" t="str">
        <f t="shared" si="72"/>
        <v>COA</v>
      </c>
      <c r="C4578" s="3" t="s">
        <v>850</v>
      </c>
      <c r="D4578" s="3" t="s">
        <v>1187</v>
      </c>
      <c r="E4578" s="3" t="s">
        <v>1038</v>
      </c>
      <c r="F4578" s="3" t="s">
        <v>4</v>
      </c>
      <c r="J4578" s="3">
        <v>0.15428287013820299</v>
      </c>
      <c r="K4578" s="3">
        <v>0.15428287013820299</v>
      </c>
      <c r="L4578" s="3">
        <v>0.15428287013820299</v>
      </c>
      <c r="M4578" s="3">
        <v>0.15428287013820299</v>
      </c>
      <c r="N4578" s="3">
        <v>0.15428287013820299</v>
      </c>
      <c r="O4578" s="3">
        <v>0.15428287013820299</v>
      </c>
      <c r="P4578" s="3">
        <v>0.15428287013820299</v>
      </c>
    </row>
    <row r="4579" spans="1:16" x14ac:dyDescent="0.3">
      <c r="A4579" s="3" t="str">
        <f t="shared" si="72"/>
        <v>WOD</v>
      </c>
      <c r="C4579" s="3" t="s">
        <v>850</v>
      </c>
      <c r="D4579" s="3" t="s">
        <v>1187</v>
      </c>
      <c r="E4579" s="3" t="s">
        <v>1039</v>
      </c>
      <c r="F4579" s="3" t="s">
        <v>2</v>
      </c>
      <c r="G4579" s="3">
        <v>1.36628523055636</v>
      </c>
    </row>
    <row r="4580" spans="1:16" x14ac:dyDescent="0.3">
      <c r="A4580" s="3" t="str">
        <f t="shared" si="72"/>
        <v>WOD</v>
      </c>
      <c r="C4580" s="3" t="s">
        <v>850</v>
      </c>
      <c r="D4580" s="3" t="s">
        <v>1187</v>
      </c>
      <c r="E4580" s="3" t="s">
        <v>1039</v>
      </c>
      <c r="F4580" s="3" t="s">
        <v>4</v>
      </c>
      <c r="G4580" s="3">
        <v>1.35467439829787</v>
      </c>
    </row>
    <row r="4581" spans="1:16" x14ac:dyDescent="0.3">
      <c r="A4581" s="3" t="str">
        <f t="shared" si="72"/>
        <v>WOD</v>
      </c>
      <c r="C4581" s="3" t="s">
        <v>850</v>
      </c>
      <c r="D4581" s="3" t="s">
        <v>1187</v>
      </c>
      <c r="E4581" s="3" t="s">
        <v>1039</v>
      </c>
      <c r="F4581" s="3" t="s">
        <v>5</v>
      </c>
      <c r="G4581" s="3">
        <v>0.13443246536746001</v>
      </c>
    </row>
    <row r="4582" spans="1:16" x14ac:dyDescent="0.3">
      <c r="A4582" s="3" t="str">
        <f t="shared" si="72"/>
        <v>WOD</v>
      </c>
      <c r="C4582" s="3" t="s">
        <v>850</v>
      </c>
      <c r="D4582" s="3" t="s">
        <v>1187</v>
      </c>
      <c r="E4582" s="3" t="s">
        <v>1039</v>
      </c>
      <c r="F4582" s="3" t="s">
        <v>6</v>
      </c>
      <c r="G4582" s="3">
        <v>0.51918267705619903</v>
      </c>
    </row>
    <row r="4583" spans="1:16" x14ac:dyDescent="0.3">
      <c r="A4583" s="3" t="str">
        <f t="shared" si="72"/>
        <v>WOD</v>
      </c>
      <c r="C4583" s="3" t="s">
        <v>850</v>
      </c>
      <c r="D4583" s="3" t="s">
        <v>1187</v>
      </c>
      <c r="E4583" s="3" t="s">
        <v>1039</v>
      </c>
      <c r="F4583" s="3" t="s">
        <v>8</v>
      </c>
      <c r="G4583" s="3">
        <v>0.15999461563490799</v>
      </c>
    </row>
    <row r="4584" spans="1:16" x14ac:dyDescent="0.3">
      <c r="A4584" s="3" t="str">
        <f t="shared" si="72"/>
        <v>NGA</v>
      </c>
      <c r="C4584" s="3" t="s">
        <v>850</v>
      </c>
      <c r="D4584" s="3" t="s">
        <v>1187</v>
      </c>
      <c r="E4584" s="3" t="s">
        <v>1051</v>
      </c>
      <c r="F4584" s="3" t="s">
        <v>1</v>
      </c>
      <c r="G4584" s="3">
        <v>2.7343372008772999E-3</v>
      </c>
    </row>
    <row r="4585" spans="1:16" x14ac:dyDescent="0.3">
      <c r="A4585" s="3" t="str">
        <f t="shared" si="72"/>
        <v>WOD</v>
      </c>
      <c r="C4585" s="3" t="s">
        <v>850</v>
      </c>
      <c r="D4585" s="3" t="s">
        <v>1187</v>
      </c>
      <c r="E4585" s="3" t="s">
        <v>1052</v>
      </c>
      <c r="F4585" s="3" t="s">
        <v>0</v>
      </c>
      <c r="G4585" s="3">
        <v>6.6146033166329804E-3</v>
      </c>
    </row>
    <row r="4586" spans="1:16" x14ac:dyDescent="0.3">
      <c r="A4586" s="3" t="str">
        <f t="shared" si="72"/>
        <v>NGA</v>
      </c>
      <c r="C4586" s="3" t="s">
        <v>850</v>
      </c>
      <c r="D4586" s="3" t="s">
        <v>1187</v>
      </c>
      <c r="E4586" s="3" t="s">
        <v>1218</v>
      </c>
      <c r="F4586" s="3" t="s">
        <v>3</v>
      </c>
      <c r="H4586" s="3">
        <v>7.6156763792768799E-3</v>
      </c>
      <c r="I4586" s="3">
        <v>7.6156763792768799E-3</v>
      </c>
    </row>
    <row r="4587" spans="1:16" x14ac:dyDescent="0.3">
      <c r="A4587" s="3" t="str">
        <f t="shared" si="72"/>
        <v>NGA</v>
      </c>
      <c r="C4587" s="3" t="s">
        <v>850</v>
      </c>
      <c r="D4587" s="3" t="s">
        <v>1187</v>
      </c>
      <c r="E4587" s="3" t="s">
        <v>1218</v>
      </c>
      <c r="F4587" s="3" t="s">
        <v>4</v>
      </c>
      <c r="I4587" s="3">
        <v>1.3287708693157501</v>
      </c>
    </row>
    <row r="4588" spans="1:16" x14ac:dyDescent="0.3">
      <c r="A4588" s="3" t="str">
        <f t="shared" si="72"/>
        <v>NGA</v>
      </c>
      <c r="C4588" s="3" t="s">
        <v>850</v>
      </c>
      <c r="D4588" s="3" t="s">
        <v>1187</v>
      </c>
      <c r="E4588" s="3" t="s">
        <v>1218</v>
      </c>
      <c r="F4588" s="3" t="s">
        <v>5</v>
      </c>
      <c r="I4588" s="3">
        <v>0.36009449126686999</v>
      </c>
    </row>
    <row r="4589" spans="1:16" x14ac:dyDescent="0.3">
      <c r="A4589" s="3" t="str">
        <f t="shared" si="72"/>
        <v>NGA</v>
      </c>
      <c r="C4589" s="3" t="s">
        <v>850</v>
      </c>
      <c r="D4589" s="3" t="s">
        <v>1187</v>
      </c>
      <c r="E4589" s="3" t="s">
        <v>1218</v>
      </c>
      <c r="F4589" s="3" t="s">
        <v>6</v>
      </c>
      <c r="I4589" s="3">
        <v>0.35235140249693397</v>
      </c>
    </row>
    <row r="4590" spans="1:16" x14ac:dyDescent="0.3">
      <c r="A4590" s="3" t="str">
        <f t="shared" si="72"/>
        <v>NGA</v>
      </c>
      <c r="C4590" s="3" t="s">
        <v>850</v>
      </c>
      <c r="D4590" s="3" t="s">
        <v>1187</v>
      </c>
      <c r="E4590" s="3" t="s">
        <v>1218</v>
      </c>
      <c r="F4590" s="3" t="s">
        <v>7</v>
      </c>
      <c r="I4590" s="3">
        <v>0.35198431989151802</v>
      </c>
    </row>
    <row r="4591" spans="1:16" x14ac:dyDescent="0.3">
      <c r="A4591" s="3" t="str">
        <f t="shared" si="72"/>
        <v>NGA</v>
      </c>
      <c r="C4591" s="3" t="s">
        <v>850</v>
      </c>
      <c r="D4591" s="3" t="s">
        <v>1187</v>
      </c>
      <c r="E4591" s="3" t="s">
        <v>1218</v>
      </c>
      <c r="F4591" s="3" t="s">
        <v>8</v>
      </c>
      <c r="I4591" s="3">
        <v>3.30795829900523E-2</v>
      </c>
    </row>
    <row r="4592" spans="1:16" x14ac:dyDescent="0.3">
      <c r="A4592" s="3" t="str">
        <f t="shared" si="72"/>
        <v>NGA</v>
      </c>
      <c r="C4592" s="3" t="s">
        <v>850</v>
      </c>
      <c r="D4592" s="3" t="s">
        <v>1187</v>
      </c>
      <c r="E4592" s="3" t="s">
        <v>1219</v>
      </c>
      <c r="F4592" s="3" t="s">
        <v>2</v>
      </c>
      <c r="M4592" s="3">
        <v>10.2401905732317</v>
      </c>
      <c r="N4592" s="3">
        <v>10.2401905732317</v>
      </c>
      <c r="O4592" s="3">
        <v>10.2401905732317</v>
      </c>
      <c r="P4592" s="3">
        <v>10.2401905732317</v>
      </c>
    </row>
    <row r="4593" spans="1:16" x14ac:dyDescent="0.3">
      <c r="A4593" s="3" t="str">
        <f t="shared" si="72"/>
        <v>NGA</v>
      </c>
      <c r="C4593" s="3" t="s">
        <v>850</v>
      </c>
      <c r="D4593" s="3" t="s">
        <v>1187</v>
      </c>
      <c r="E4593" s="3" t="s">
        <v>1219</v>
      </c>
      <c r="F4593" s="3" t="s">
        <v>3</v>
      </c>
      <c r="M4593" s="3">
        <v>0.85703966979263102</v>
      </c>
      <c r="N4593" s="3">
        <v>0.85703966979263102</v>
      </c>
      <c r="O4593" s="3">
        <v>0.85703966979263102</v>
      </c>
      <c r="P4593" s="3">
        <v>1.1902738623064131</v>
      </c>
    </row>
    <row r="4594" spans="1:16" x14ac:dyDescent="0.3">
      <c r="A4594" s="3" t="str">
        <f t="shared" si="72"/>
        <v>NGA</v>
      </c>
      <c r="C4594" s="3" t="s">
        <v>850</v>
      </c>
      <c r="D4594" s="3" t="s">
        <v>1187</v>
      </c>
      <c r="E4594" s="3" t="s">
        <v>1219</v>
      </c>
      <c r="F4594" s="3" t="s">
        <v>7</v>
      </c>
      <c r="M4594" s="3">
        <v>1.42132551639927</v>
      </c>
      <c r="N4594" s="3">
        <v>1.42132551639927</v>
      </c>
      <c r="O4594" s="3">
        <v>1.432996277275709</v>
      </c>
      <c r="P4594" s="3">
        <v>1.7110891583204491</v>
      </c>
    </row>
    <row r="4595" spans="1:16" x14ac:dyDescent="0.3">
      <c r="A4595" s="3" t="str">
        <f t="shared" si="72"/>
        <v>NGA</v>
      </c>
      <c r="C4595" s="3" t="s">
        <v>850</v>
      </c>
      <c r="D4595" s="3" t="s">
        <v>1187</v>
      </c>
      <c r="E4595" s="3" t="s">
        <v>1219</v>
      </c>
      <c r="F4595" s="3" t="s">
        <v>8</v>
      </c>
      <c r="M4595" s="3">
        <v>7.53226505272292</v>
      </c>
      <c r="N4595" s="3">
        <v>7.53226505272292</v>
      </c>
      <c r="O4595" s="3">
        <v>7.7290697102138308</v>
      </c>
      <c r="P4595" s="3">
        <v>7.9867587606429034</v>
      </c>
    </row>
    <row r="4596" spans="1:16" x14ac:dyDescent="0.3">
      <c r="A4596" s="3" t="str">
        <f t="shared" si="72"/>
        <v>COA</v>
      </c>
      <c r="C4596" s="3" t="s">
        <v>850</v>
      </c>
      <c r="D4596" s="3" t="s">
        <v>1187</v>
      </c>
      <c r="E4596" s="3" t="s">
        <v>1220</v>
      </c>
      <c r="F4596" s="3" t="s">
        <v>0</v>
      </c>
      <c r="H4596" s="3">
        <v>0.13261877935618899</v>
      </c>
      <c r="I4596" s="3">
        <v>0.20963503306152401</v>
      </c>
      <c r="J4596" s="3">
        <v>0.46950871866661398</v>
      </c>
      <c r="K4596" s="3">
        <v>0.46950871866661398</v>
      </c>
      <c r="L4596" s="3">
        <v>0.46950871866661398</v>
      </c>
      <c r="M4596" s="3">
        <v>0.46950871866661398</v>
      </c>
      <c r="N4596" s="3">
        <v>0.46950871866661398</v>
      </c>
      <c r="O4596" s="3">
        <v>0.46950871866661398</v>
      </c>
      <c r="P4596" s="3">
        <v>0.46950871866661298</v>
      </c>
    </row>
    <row r="4597" spans="1:16" x14ac:dyDescent="0.3">
      <c r="A4597" s="3" t="str">
        <f t="shared" si="72"/>
        <v>COA</v>
      </c>
      <c r="C4597" s="3" t="s">
        <v>850</v>
      </c>
      <c r="D4597" s="3" t="s">
        <v>1187</v>
      </c>
      <c r="E4597" s="3" t="s">
        <v>1220</v>
      </c>
      <c r="F4597" s="3" t="s">
        <v>1</v>
      </c>
      <c r="H4597" s="3">
        <v>1.4260162342196101</v>
      </c>
      <c r="I4597" s="3">
        <v>0.56718913912450397</v>
      </c>
      <c r="J4597" s="3">
        <v>1.4114604507030999</v>
      </c>
      <c r="K4597" s="3">
        <v>1.4114604507030999</v>
      </c>
      <c r="L4597" s="3">
        <v>1.4114604507030999</v>
      </c>
      <c r="M4597" s="3">
        <v>1.4114604507030999</v>
      </c>
      <c r="N4597" s="3">
        <v>1.4114604507030999</v>
      </c>
      <c r="O4597" s="3">
        <v>1.4260162342196101</v>
      </c>
      <c r="P4597" s="3">
        <v>1.4260162342196101</v>
      </c>
    </row>
    <row r="4598" spans="1:16" x14ac:dyDescent="0.3">
      <c r="A4598" s="3" t="str">
        <f t="shared" si="72"/>
        <v>COA</v>
      </c>
      <c r="C4598" s="3" t="s">
        <v>850</v>
      </c>
      <c r="D4598" s="3" t="s">
        <v>1187</v>
      </c>
      <c r="E4598" s="3" t="s">
        <v>1220</v>
      </c>
      <c r="F4598" s="3" t="s">
        <v>2</v>
      </c>
      <c r="H4598" s="3">
        <v>0.76916882284821897</v>
      </c>
      <c r="I4598" s="3">
        <v>0.24025920461015199</v>
      </c>
      <c r="J4598" s="3">
        <v>1.5543781838378801</v>
      </c>
      <c r="K4598" s="3">
        <v>1.5543781838378801</v>
      </c>
      <c r="L4598" s="3">
        <v>1.5543781838378801</v>
      </c>
      <c r="M4598" s="3">
        <v>0.500984280182588</v>
      </c>
      <c r="N4598" s="3">
        <v>0.500984280182588</v>
      </c>
      <c r="O4598" s="3">
        <v>0.53479337266698102</v>
      </c>
      <c r="P4598" s="3">
        <v>0.75501091109305396</v>
      </c>
    </row>
    <row r="4599" spans="1:16" x14ac:dyDescent="0.3">
      <c r="A4599" s="3" t="str">
        <f t="shared" si="72"/>
        <v>COA</v>
      </c>
      <c r="C4599" s="3" t="s">
        <v>850</v>
      </c>
      <c r="D4599" s="3" t="s">
        <v>1187</v>
      </c>
      <c r="E4599" s="3" t="s">
        <v>1220</v>
      </c>
      <c r="F4599" s="3" t="s">
        <v>3</v>
      </c>
      <c r="H4599" s="3">
        <v>0.21338906853116499</v>
      </c>
      <c r="J4599" s="3">
        <v>0.21338906853116499</v>
      </c>
      <c r="K4599" s="3">
        <v>0.21338906853116499</v>
      </c>
      <c r="L4599" s="3">
        <v>0.21338906853116499</v>
      </c>
      <c r="M4599" s="3">
        <v>0.108060671859741</v>
      </c>
      <c r="N4599" s="3">
        <v>0.10250439330613</v>
      </c>
      <c r="O4599" s="3">
        <v>0.11747168071771499</v>
      </c>
      <c r="P4599" s="3">
        <v>0.137817057025275</v>
      </c>
    </row>
    <row r="4600" spans="1:16" x14ac:dyDescent="0.3">
      <c r="A4600" s="3" t="str">
        <f t="shared" si="72"/>
        <v>COA</v>
      </c>
      <c r="C4600" s="3" t="s">
        <v>850</v>
      </c>
      <c r="D4600" s="3" t="s">
        <v>1187</v>
      </c>
      <c r="E4600" s="3" t="s">
        <v>1220</v>
      </c>
      <c r="F4600" s="3" t="s">
        <v>4</v>
      </c>
      <c r="J4600" s="3">
        <v>1.12455062593163</v>
      </c>
      <c r="K4600" s="3">
        <v>1.12455062593163</v>
      </c>
      <c r="L4600" s="3">
        <v>1.12455062593163</v>
      </c>
      <c r="M4600" s="3">
        <v>1.12455062593163</v>
      </c>
      <c r="N4600" s="3">
        <v>1.12455062593163</v>
      </c>
      <c r="O4600" s="3">
        <v>1.12455062593163</v>
      </c>
      <c r="P4600" s="3">
        <v>1.12455062593162</v>
      </c>
    </row>
    <row r="4601" spans="1:16" x14ac:dyDescent="0.3">
      <c r="A4601" s="3" t="str">
        <f t="shared" si="72"/>
        <v>COA</v>
      </c>
      <c r="C4601" s="3" t="s">
        <v>850</v>
      </c>
      <c r="D4601" s="3" t="s">
        <v>1187</v>
      </c>
      <c r="E4601" s="3" t="s">
        <v>1220</v>
      </c>
      <c r="F4601" s="3" t="s">
        <v>5</v>
      </c>
      <c r="H4601" s="3">
        <v>1.86223809543084</v>
      </c>
      <c r="J4601" s="3">
        <v>1.8457893555296101</v>
      </c>
      <c r="K4601" s="3">
        <v>1.86223809543084</v>
      </c>
      <c r="L4601" s="3">
        <v>1.86223809543084</v>
      </c>
      <c r="M4601" s="3">
        <v>1.86223809543084</v>
      </c>
      <c r="N4601" s="3">
        <v>1.86223809543084</v>
      </c>
      <c r="O4601" s="3">
        <v>1.86223809543084</v>
      </c>
      <c r="P4601" s="3">
        <v>1.86223809543084</v>
      </c>
    </row>
    <row r="4602" spans="1:16" x14ac:dyDescent="0.3">
      <c r="A4602" s="3" t="str">
        <f t="shared" si="72"/>
        <v>COA</v>
      </c>
      <c r="C4602" s="3" t="s">
        <v>850</v>
      </c>
      <c r="D4602" s="3" t="s">
        <v>1187</v>
      </c>
      <c r="E4602" s="3" t="s">
        <v>1220</v>
      </c>
      <c r="F4602" s="3" t="s">
        <v>6</v>
      </c>
      <c r="J4602" s="3">
        <v>1.18469261033937</v>
      </c>
      <c r="K4602" s="3">
        <v>1.18469261033937</v>
      </c>
      <c r="L4602" s="3">
        <v>1.18469261033936</v>
      </c>
      <c r="M4602" s="3">
        <v>1.18469261033937</v>
      </c>
      <c r="N4602" s="3">
        <v>1.18469261033937</v>
      </c>
      <c r="O4602" s="3">
        <v>1.18469261033937</v>
      </c>
      <c r="P4602" s="3">
        <v>1.18469261033937</v>
      </c>
    </row>
    <row r="4603" spans="1:16" x14ac:dyDescent="0.3">
      <c r="A4603" s="3" t="str">
        <f t="shared" si="72"/>
        <v>COA</v>
      </c>
      <c r="C4603" s="3" t="s">
        <v>850</v>
      </c>
      <c r="D4603" s="3" t="s">
        <v>1187</v>
      </c>
      <c r="E4603" s="3" t="s">
        <v>1220</v>
      </c>
      <c r="F4603" s="3" t="s">
        <v>7</v>
      </c>
      <c r="J4603" s="3">
        <v>0.178966257660161</v>
      </c>
      <c r="K4603" s="3">
        <v>0.178966257660161</v>
      </c>
      <c r="L4603" s="3">
        <v>0.17896625766016</v>
      </c>
      <c r="M4603" s="3">
        <v>4.2883015898875299E-3</v>
      </c>
      <c r="N4603" s="3">
        <v>4.2883015898875299E-3</v>
      </c>
      <c r="O4603" s="3">
        <v>6.98010286427477E-3</v>
      </c>
    </row>
    <row r="4604" spans="1:16" x14ac:dyDescent="0.3">
      <c r="A4604" s="3" t="str">
        <f t="shared" si="72"/>
        <v>COA</v>
      </c>
      <c r="C4604" s="3" t="s">
        <v>850</v>
      </c>
      <c r="D4604" s="3" t="s">
        <v>1187</v>
      </c>
      <c r="E4604" s="3" t="s">
        <v>1220</v>
      </c>
      <c r="F4604" s="3" t="s">
        <v>8</v>
      </c>
      <c r="H4604" s="3">
        <v>0.92569974211282602</v>
      </c>
      <c r="J4604" s="3">
        <v>0.92569974211282602</v>
      </c>
      <c r="K4604" s="3">
        <v>0.92569974211282602</v>
      </c>
      <c r="L4604" s="3">
        <v>0.92569974211282602</v>
      </c>
    </row>
    <row r="4605" spans="1:16" x14ac:dyDescent="0.3">
      <c r="A4605" s="3" t="str">
        <f t="shared" si="72"/>
        <v>TOM</v>
      </c>
      <c r="C4605" s="3" t="s">
        <v>850</v>
      </c>
      <c r="D4605" s="3" t="s">
        <v>1187</v>
      </c>
      <c r="E4605" s="3" t="s">
        <v>1223</v>
      </c>
      <c r="F4605" s="3" t="s">
        <v>0</v>
      </c>
      <c r="J4605" s="3">
        <v>0.84149533205216198</v>
      </c>
      <c r="K4605" s="3">
        <v>0.88886323363086295</v>
      </c>
      <c r="L4605" s="3">
        <v>0.60572732014381792</v>
      </c>
      <c r="M4605" s="3">
        <v>0.88886323363086295</v>
      </c>
      <c r="N4605" s="3">
        <v>3.167706465439323</v>
      </c>
      <c r="O4605" s="3">
        <v>3.5679082925799328</v>
      </c>
      <c r="P4605" s="3">
        <v>4.0030975680441649</v>
      </c>
    </row>
    <row r="4606" spans="1:16" x14ac:dyDescent="0.3">
      <c r="A4606" s="3" t="str">
        <f t="shared" si="72"/>
        <v>TOM</v>
      </c>
      <c r="C4606" s="3" t="s">
        <v>850</v>
      </c>
      <c r="D4606" s="3" t="s">
        <v>1187</v>
      </c>
      <c r="E4606" s="3" t="s">
        <v>1223</v>
      </c>
      <c r="F4606" s="3" t="s">
        <v>1</v>
      </c>
      <c r="J4606" s="3">
        <v>0.33872518873434898</v>
      </c>
      <c r="K4606" s="3">
        <v>1.511683525345469</v>
      </c>
      <c r="L4606" s="3">
        <v>1.511683525345469</v>
      </c>
      <c r="M4606" s="3">
        <v>1.0322845912416401</v>
      </c>
      <c r="N4606" s="3">
        <v>0.79924048973970496</v>
      </c>
      <c r="O4606" s="3">
        <v>1.511683525345469</v>
      </c>
      <c r="P4606" s="3">
        <v>1.511683525345469</v>
      </c>
    </row>
    <row r="4607" spans="1:16" x14ac:dyDescent="0.3">
      <c r="A4607" s="3" t="str">
        <f t="shared" si="72"/>
        <v>TOM</v>
      </c>
      <c r="C4607" s="3" t="s">
        <v>850</v>
      </c>
      <c r="D4607" s="3" t="s">
        <v>1187</v>
      </c>
      <c r="E4607" s="3" t="s">
        <v>1223</v>
      </c>
      <c r="F4607" s="3" t="s">
        <v>2</v>
      </c>
      <c r="I4607" s="3">
        <v>0.56314371026075605</v>
      </c>
      <c r="J4607" s="3">
        <v>1.676699837517786</v>
      </c>
      <c r="K4607" s="3">
        <v>3.3809902380660057</v>
      </c>
      <c r="L4607" s="3">
        <v>3.3809902380660057</v>
      </c>
      <c r="M4607" s="3">
        <v>2.9537912734022642</v>
      </c>
      <c r="N4607" s="3">
        <v>3.3809902380660057</v>
      </c>
      <c r="O4607" s="3">
        <v>3.8069847497799119</v>
      </c>
      <c r="P4607" s="3">
        <v>4.2228926201929076</v>
      </c>
    </row>
    <row r="4608" spans="1:16" x14ac:dyDescent="0.3">
      <c r="A4608" s="3" t="str">
        <f t="shared" si="72"/>
        <v>TOM</v>
      </c>
      <c r="C4608" s="3" t="s">
        <v>850</v>
      </c>
      <c r="D4608" s="3" t="s">
        <v>1187</v>
      </c>
      <c r="E4608" s="3" t="s">
        <v>1223</v>
      </c>
      <c r="F4608" s="3" t="s">
        <v>3</v>
      </c>
      <c r="I4608" s="3">
        <v>0.18569300652999299</v>
      </c>
      <c r="J4608" s="3">
        <v>1.503851271706663</v>
      </c>
      <c r="K4608" s="3">
        <v>1.503851271706663</v>
      </c>
      <c r="L4608" s="3">
        <v>1.503851271706663</v>
      </c>
      <c r="M4608" s="3">
        <v>1.503851271706663</v>
      </c>
      <c r="N4608" s="3">
        <v>1.503851271706663</v>
      </c>
      <c r="O4608" s="3">
        <v>1.5159283375399952</v>
      </c>
      <c r="P4608" s="3">
        <v>1.5945930254625353</v>
      </c>
    </row>
    <row r="4609" spans="1:16" x14ac:dyDescent="0.3">
      <c r="A4609" s="3" t="str">
        <f t="shared" si="72"/>
        <v>TOM</v>
      </c>
      <c r="C4609" s="3" t="s">
        <v>850</v>
      </c>
      <c r="D4609" s="3" t="s">
        <v>1187</v>
      </c>
      <c r="E4609" s="3" t="s">
        <v>1223</v>
      </c>
      <c r="F4609" s="3" t="s">
        <v>4</v>
      </c>
      <c r="I4609" s="3">
        <v>9.2918188645020301</v>
      </c>
      <c r="J4609" s="3">
        <v>9.9100817900492686</v>
      </c>
      <c r="K4609" s="3">
        <v>9.9959498721682589</v>
      </c>
      <c r="L4609" s="3">
        <v>9.9959498721682589</v>
      </c>
      <c r="M4609" s="3">
        <v>9.9959498721682589</v>
      </c>
      <c r="N4609" s="3">
        <v>9.9959498721682589</v>
      </c>
      <c r="O4609" s="3">
        <v>9.9959498721682589</v>
      </c>
      <c r="P4609" s="3">
        <v>9.9959498721682589</v>
      </c>
    </row>
    <row r="4610" spans="1:16" x14ac:dyDescent="0.3">
      <c r="A4610" s="3" t="str">
        <f t="shared" si="72"/>
        <v>TOM</v>
      </c>
      <c r="C4610" s="3" t="s">
        <v>850</v>
      </c>
      <c r="D4610" s="3" t="s">
        <v>1187</v>
      </c>
      <c r="E4610" s="3" t="s">
        <v>1223</v>
      </c>
      <c r="F4610" s="3" t="s">
        <v>5</v>
      </c>
      <c r="I4610" s="3">
        <v>2.0450913418252501</v>
      </c>
      <c r="J4610" s="3">
        <v>3.71863646048156</v>
      </c>
      <c r="K4610" s="3">
        <v>4.2075033616856521</v>
      </c>
      <c r="L4610" s="3">
        <v>4.696370262889741</v>
      </c>
      <c r="M4610" s="3">
        <v>5.1749990465766338</v>
      </c>
      <c r="N4610" s="3">
        <v>5.6361956387160816</v>
      </c>
      <c r="O4610" s="3">
        <v>6.20586289813658</v>
      </c>
      <c r="P4610" s="3">
        <v>6.2960968433812186</v>
      </c>
    </row>
    <row r="4611" spans="1:16" x14ac:dyDescent="0.3">
      <c r="A4611" s="3" t="str">
        <f t="shared" si="72"/>
        <v>TOM</v>
      </c>
      <c r="C4611" s="3" t="s">
        <v>850</v>
      </c>
      <c r="D4611" s="3" t="s">
        <v>1187</v>
      </c>
      <c r="E4611" s="3" t="s">
        <v>1223</v>
      </c>
      <c r="F4611" s="3" t="s">
        <v>6</v>
      </c>
      <c r="J4611" s="3">
        <v>2.7615816783031701</v>
      </c>
      <c r="K4611" s="3">
        <v>3.113597770802262</v>
      </c>
      <c r="L4611" s="3">
        <v>3.465613863301356</v>
      </c>
      <c r="M4611" s="3">
        <v>3.8176299558004501</v>
      </c>
      <c r="N4611" s="3">
        <v>4.1696460482995423</v>
      </c>
      <c r="O4611" s="3">
        <v>4.5664553841122482</v>
      </c>
      <c r="P4611" s="3">
        <v>5.0695165993410161</v>
      </c>
    </row>
    <row r="4612" spans="1:16" x14ac:dyDescent="0.3">
      <c r="A4612" s="3" t="str">
        <f t="shared" si="72"/>
        <v>TOM</v>
      </c>
      <c r="C4612" s="3" t="s">
        <v>850</v>
      </c>
      <c r="D4612" s="3" t="s">
        <v>1187</v>
      </c>
      <c r="E4612" s="3" t="s">
        <v>1223</v>
      </c>
      <c r="F4612" s="3" t="s">
        <v>7</v>
      </c>
      <c r="I4612" s="3">
        <v>0.10844738904434199</v>
      </c>
      <c r="J4612" s="3">
        <v>0.43684954745719495</v>
      </c>
      <c r="K4612" s="3">
        <v>0.46342859701481748</v>
      </c>
      <c r="L4612" s="3">
        <v>0.49000764657243967</v>
      </c>
      <c r="M4612" s="3">
        <v>0.51658669613006192</v>
      </c>
      <c r="N4612" s="3">
        <v>0.54316574568768416</v>
      </c>
      <c r="O4612" s="3">
        <v>0.57496062764963785</v>
      </c>
      <c r="P4612" s="3">
        <v>0.63551331236046393</v>
      </c>
    </row>
    <row r="4613" spans="1:16" x14ac:dyDescent="0.3">
      <c r="A4613" s="3" t="str">
        <f t="shared" si="72"/>
        <v>TOM</v>
      </c>
      <c r="C4613" s="3" t="s">
        <v>850</v>
      </c>
      <c r="D4613" s="3" t="s">
        <v>1187</v>
      </c>
      <c r="E4613" s="3" t="s">
        <v>1223</v>
      </c>
      <c r="F4613" s="3" t="s">
        <v>8</v>
      </c>
      <c r="I4613" s="3">
        <v>0.74211883953367996</v>
      </c>
      <c r="J4613" s="3">
        <v>3.0388657653729698</v>
      </c>
      <c r="K4613" s="3">
        <v>3.1718747684456527</v>
      </c>
      <c r="L4613" s="3">
        <v>3.1718747684456527</v>
      </c>
      <c r="M4613" s="3">
        <v>3.1718747684456527</v>
      </c>
      <c r="N4613" s="3">
        <v>1.8217444289534028</v>
      </c>
      <c r="O4613" s="3">
        <v>1.896676897938923</v>
      </c>
      <c r="P4613" s="3">
        <v>1.6618751837097629</v>
      </c>
    </row>
    <row r="4614" spans="1:16" x14ac:dyDescent="0.3">
      <c r="A4614" s="3" t="str">
        <f t="shared" si="72"/>
        <v>COA</v>
      </c>
      <c r="C4614" s="3" t="s">
        <v>850</v>
      </c>
      <c r="D4614" s="3" t="s">
        <v>1187</v>
      </c>
      <c r="E4614" s="3" t="s">
        <v>1221</v>
      </c>
      <c r="F4614" s="3" t="s">
        <v>3</v>
      </c>
      <c r="H4614" s="3">
        <v>0.45436218686019803</v>
      </c>
    </row>
    <row r="4615" spans="1:16" x14ac:dyDescent="0.3">
      <c r="A4615" s="3" t="str">
        <f t="shared" si="72"/>
        <v>NGA</v>
      </c>
      <c r="C4615" s="3" t="s">
        <v>850</v>
      </c>
      <c r="D4615" s="3" t="s">
        <v>1187</v>
      </c>
      <c r="E4615" s="3" t="s">
        <v>1053</v>
      </c>
      <c r="F4615" s="3" t="s">
        <v>2</v>
      </c>
      <c r="O4615" s="3">
        <v>3.0691825036289099E-2</v>
      </c>
      <c r="P4615" s="3">
        <v>2.001105785926089</v>
      </c>
    </row>
    <row r="4616" spans="1:16" x14ac:dyDescent="0.3">
      <c r="A4616" s="3" t="str">
        <f t="shared" si="72"/>
        <v>NGA</v>
      </c>
      <c r="C4616" s="3" t="s">
        <v>850</v>
      </c>
      <c r="D4616" s="3" t="s">
        <v>1187</v>
      </c>
      <c r="E4616" s="3" t="s">
        <v>1053</v>
      </c>
      <c r="F4616" s="3" t="s">
        <v>8</v>
      </c>
      <c r="M4616" s="3">
        <v>1.24747246661546E-2</v>
      </c>
      <c r="N4616" s="3">
        <v>8.7621675268242534</v>
      </c>
      <c r="O4616" s="3">
        <v>8.7621675268242534</v>
      </c>
      <c r="P4616" s="3">
        <v>11.145544357535464</v>
      </c>
    </row>
    <row r="4617" spans="1:16" x14ac:dyDescent="0.3">
      <c r="A4617" s="3" t="str">
        <f t="shared" si="72"/>
        <v>DST</v>
      </c>
      <c r="C4617" s="3" t="s">
        <v>850</v>
      </c>
      <c r="D4617" s="3" t="s">
        <v>1188</v>
      </c>
      <c r="E4617" s="3" t="s">
        <v>1060</v>
      </c>
      <c r="F4617" s="3" t="s">
        <v>5</v>
      </c>
      <c r="G4617" s="3">
        <v>1.8775143134422299E-3</v>
      </c>
    </row>
    <row r="4618" spans="1:16" x14ac:dyDescent="0.3">
      <c r="A4618" s="3" t="str">
        <f t="shared" si="72"/>
        <v>RFL</v>
      </c>
      <c r="C4618" s="3" t="s">
        <v>850</v>
      </c>
      <c r="D4618" s="3" t="s">
        <v>1188</v>
      </c>
      <c r="E4618" s="3" t="s">
        <v>1061</v>
      </c>
      <c r="F4618" s="3" t="s">
        <v>0</v>
      </c>
      <c r="G4618" s="3">
        <v>0.333731353846073</v>
      </c>
      <c r="I4618" s="3">
        <v>0.37939442302101001</v>
      </c>
    </row>
    <row r="4619" spans="1:16" x14ac:dyDescent="0.3">
      <c r="A4619" s="3" t="str">
        <f t="shared" si="72"/>
        <v>RFL</v>
      </c>
      <c r="C4619" s="3" t="s">
        <v>850</v>
      </c>
      <c r="D4619" s="3" t="s">
        <v>1188</v>
      </c>
      <c r="E4619" s="3" t="s">
        <v>1061</v>
      </c>
      <c r="F4619" s="3" t="s">
        <v>1</v>
      </c>
      <c r="G4619" s="3">
        <v>2.0253594229689999E-2</v>
      </c>
      <c r="I4619" s="3">
        <v>3.2064452430707303E-2</v>
      </c>
    </row>
    <row r="4620" spans="1:16" x14ac:dyDescent="0.3">
      <c r="A4620" s="3" t="str">
        <f t="shared" si="72"/>
        <v>COA</v>
      </c>
      <c r="C4620" s="3" t="s">
        <v>850</v>
      </c>
      <c r="D4620" s="3" t="s">
        <v>1188</v>
      </c>
      <c r="E4620" s="3" t="s">
        <v>1064</v>
      </c>
      <c r="F4620" s="3" t="s">
        <v>2</v>
      </c>
      <c r="G4620" s="3">
        <v>0.99748386419798396</v>
      </c>
      <c r="H4620" s="3">
        <v>1.0417798756009899</v>
      </c>
      <c r="I4620" s="3">
        <v>0.45574880808881602</v>
      </c>
      <c r="J4620" s="3">
        <v>0.45574880808881602</v>
      </c>
      <c r="K4620" s="3">
        <v>0.45574880808881602</v>
      </c>
      <c r="L4620" s="3">
        <v>0.45574880808881602</v>
      </c>
      <c r="M4620" s="3">
        <v>0.45574880808881602</v>
      </c>
      <c r="N4620" s="3">
        <v>0.45574880808881602</v>
      </c>
      <c r="O4620" s="3">
        <v>0.45574880808881602</v>
      </c>
      <c r="P4620" s="3">
        <v>0.45574880808881602</v>
      </c>
    </row>
    <row r="4621" spans="1:16" x14ac:dyDescent="0.3">
      <c r="A4621" s="3" t="str">
        <f t="shared" si="72"/>
        <v>NGA</v>
      </c>
      <c r="C4621" s="3" t="s">
        <v>850</v>
      </c>
      <c r="D4621" s="3" t="s">
        <v>1188</v>
      </c>
      <c r="E4621" s="3" t="s">
        <v>1065</v>
      </c>
      <c r="F4621" s="3" t="s">
        <v>0</v>
      </c>
      <c r="G4621" s="3">
        <v>0.136247425547044</v>
      </c>
    </row>
    <row r="4622" spans="1:16" x14ac:dyDescent="0.3">
      <c r="A4622" s="3" t="str">
        <f t="shared" si="72"/>
        <v>NGA</v>
      </c>
      <c r="C4622" s="3" t="s">
        <v>850</v>
      </c>
      <c r="D4622" s="3" t="s">
        <v>1188</v>
      </c>
      <c r="E4622" s="3" t="s">
        <v>1065</v>
      </c>
      <c r="F4622" s="3" t="s">
        <v>2</v>
      </c>
      <c r="I4622" s="3">
        <v>0.356431963520569</v>
      </c>
    </row>
    <row r="4623" spans="1:16" x14ac:dyDescent="0.3">
      <c r="A4623" s="3" t="str">
        <f t="shared" si="72"/>
        <v>NGA</v>
      </c>
      <c r="C4623" s="3" t="s">
        <v>850</v>
      </c>
      <c r="D4623" s="3" t="s">
        <v>1188</v>
      </c>
      <c r="E4623" s="3" t="s">
        <v>1065</v>
      </c>
      <c r="F4623" s="3" t="s">
        <v>3</v>
      </c>
      <c r="G4623" s="3">
        <v>9.0142102959909098E-2</v>
      </c>
      <c r="I4623" s="3">
        <v>0.244897372827864</v>
      </c>
    </row>
    <row r="4624" spans="1:16" x14ac:dyDescent="0.3">
      <c r="A4624" s="3" t="str">
        <f t="shared" si="72"/>
        <v>NGA</v>
      </c>
      <c r="C4624" s="3" t="s">
        <v>850</v>
      </c>
      <c r="D4624" s="3" t="s">
        <v>1188</v>
      </c>
      <c r="E4624" s="3" t="s">
        <v>1065</v>
      </c>
      <c r="F4624" s="3" t="s">
        <v>4</v>
      </c>
      <c r="H4624" s="3">
        <v>0.38675992587889702</v>
      </c>
      <c r="I4624" s="3">
        <v>0.98585168222679298</v>
      </c>
    </row>
    <row r="4625" spans="1:16" x14ac:dyDescent="0.3">
      <c r="A4625" s="3" t="str">
        <f t="shared" si="72"/>
        <v>NGA</v>
      </c>
      <c r="C4625" s="3" t="s">
        <v>850</v>
      </c>
      <c r="D4625" s="3" t="s">
        <v>1188</v>
      </c>
      <c r="E4625" s="3" t="s">
        <v>1065</v>
      </c>
      <c r="F4625" s="3" t="s">
        <v>5</v>
      </c>
      <c r="H4625" s="3">
        <v>5.7663797163782803E-2</v>
      </c>
      <c r="I4625" s="3">
        <v>0.28831898581891402</v>
      </c>
    </row>
    <row r="4626" spans="1:16" x14ac:dyDescent="0.3">
      <c r="A4626" s="3" t="str">
        <f t="shared" si="72"/>
        <v>NGA</v>
      </c>
      <c r="C4626" s="3" t="s">
        <v>850</v>
      </c>
      <c r="D4626" s="3" t="s">
        <v>1188</v>
      </c>
      <c r="E4626" s="3" t="s">
        <v>1065</v>
      </c>
      <c r="F4626" s="3" t="s">
        <v>6</v>
      </c>
      <c r="G4626" s="3">
        <v>1.99119697368774</v>
      </c>
      <c r="H4626" s="3">
        <v>2.0994843445720699</v>
      </c>
      <c r="I4626" s="3">
        <v>2.4523028301320702</v>
      </c>
    </row>
    <row r="4627" spans="1:16" x14ac:dyDescent="0.3">
      <c r="A4627" s="3" t="str">
        <f t="shared" si="72"/>
        <v>NGA</v>
      </c>
      <c r="C4627" s="3" t="s">
        <v>850</v>
      </c>
      <c r="D4627" s="3" t="s">
        <v>1188</v>
      </c>
      <c r="E4627" s="3" t="s">
        <v>1065</v>
      </c>
      <c r="F4627" s="3" t="s">
        <v>8</v>
      </c>
      <c r="I4627" s="3">
        <v>0.35023394109119599</v>
      </c>
    </row>
    <row r="4628" spans="1:16" x14ac:dyDescent="0.3">
      <c r="A4628" s="3" t="str">
        <f t="shared" si="72"/>
        <v>RFL</v>
      </c>
      <c r="C4628" s="3" t="s">
        <v>850</v>
      </c>
      <c r="D4628" s="3" t="s">
        <v>1188</v>
      </c>
      <c r="E4628" s="3" t="s">
        <v>1066</v>
      </c>
      <c r="F4628" s="3" t="s">
        <v>0</v>
      </c>
      <c r="G4628" s="3">
        <v>9.0774650392016598E-2</v>
      </c>
    </row>
    <row r="4629" spans="1:16" x14ac:dyDescent="0.3">
      <c r="A4629" s="3" t="str">
        <f t="shared" si="72"/>
        <v>TOM</v>
      </c>
      <c r="C4629" s="3" t="s">
        <v>850</v>
      </c>
      <c r="D4629" s="3" t="s">
        <v>1188</v>
      </c>
      <c r="E4629" s="3" t="s">
        <v>1067</v>
      </c>
      <c r="F4629" s="3" t="s">
        <v>6</v>
      </c>
      <c r="G4629" s="3">
        <v>1.78216528709132</v>
      </c>
      <c r="H4629" s="3">
        <v>1.7465219813495001</v>
      </c>
      <c r="I4629" s="3">
        <v>1.6039487583821901</v>
      </c>
      <c r="J4629" s="3">
        <v>1.4257322296730599</v>
      </c>
      <c r="K4629" s="3">
        <v>1.2475157009639299</v>
      </c>
      <c r="L4629" s="3">
        <v>1.06929917225479</v>
      </c>
      <c r="M4629" s="3">
        <v>0.89108264354566102</v>
      </c>
      <c r="N4629" s="3">
        <v>0.71286611483652895</v>
      </c>
      <c r="O4629" s="3">
        <v>0.53464958612739699</v>
      </c>
      <c r="P4629" s="3">
        <v>0.35643305741826398</v>
      </c>
    </row>
    <row r="4630" spans="1:16" x14ac:dyDescent="0.3">
      <c r="A4630" s="3" t="str">
        <f t="shared" si="72"/>
        <v>TOM</v>
      </c>
      <c r="C4630" s="3" t="s">
        <v>850</v>
      </c>
      <c r="D4630" s="3" t="s">
        <v>1188</v>
      </c>
      <c r="E4630" s="3" t="s">
        <v>1067</v>
      </c>
      <c r="F4630" s="3" t="s">
        <v>7</v>
      </c>
      <c r="G4630" s="3">
        <v>0.46482181418016899</v>
      </c>
      <c r="H4630" s="3">
        <v>0.455525377896565</v>
      </c>
      <c r="I4630" s="3">
        <v>0.41833963276215202</v>
      </c>
      <c r="J4630" s="3">
        <v>0.371857451344135</v>
      </c>
      <c r="K4630" s="3">
        <v>0.32537526992611798</v>
      </c>
      <c r="L4630" s="3">
        <v>0.27889308850810102</v>
      </c>
      <c r="M4630" s="3">
        <v>0.232410907090084</v>
      </c>
      <c r="N4630" s="3">
        <v>0.185928725672068</v>
      </c>
      <c r="O4630" s="3">
        <v>0.13944654425405101</v>
      </c>
      <c r="P4630" s="3">
        <v>9.2964362836033806E-2</v>
      </c>
    </row>
    <row r="4631" spans="1:16" x14ac:dyDescent="0.3">
      <c r="A4631" s="3" t="str">
        <f t="shared" si="72"/>
        <v>WOD</v>
      </c>
      <c r="C4631" s="3" t="s">
        <v>850</v>
      </c>
      <c r="D4631" s="3" t="s">
        <v>1188</v>
      </c>
      <c r="E4631" s="3" t="s">
        <v>1068</v>
      </c>
      <c r="F4631" s="3" t="s">
        <v>5</v>
      </c>
      <c r="G4631" s="3">
        <v>0.233904033705716</v>
      </c>
    </row>
    <row r="4632" spans="1:16" x14ac:dyDescent="0.3">
      <c r="A4632" s="3" t="str">
        <f t="shared" si="72"/>
        <v>NGA</v>
      </c>
      <c r="C4632" s="3" t="s">
        <v>850</v>
      </c>
      <c r="D4632" s="3" t="s">
        <v>1188</v>
      </c>
      <c r="E4632" s="3" t="s">
        <v>1070</v>
      </c>
      <c r="F4632" s="3" t="s">
        <v>0</v>
      </c>
      <c r="G4632" s="3">
        <v>0.79285498962694401</v>
      </c>
      <c r="I4632" s="3">
        <v>0.267413148960779</v>
      </c>
    </row>
    <row r="4633" spans="1:16" x14ac:dyDescent="0.3">
      <c r="A4633" s="3" t="str">
        <f t="shared" si="72"/>
        <v>NGA</v>
      </c>
      <c r="C4633" s="3" t="s">
        <v>850</v>
      </c>
      <c r="D4633" s="3" t="s">
        <v>1188</v>
      </c>
      <c r="E4633" s="3" t="s">
        <v>1070</v>
      </c>
      <c r="F4633" s="3" t="s">
        <v>1</v>
      </c>
      <c r="G4633" s="3">
        <v>4.0697258125406703</v>
      </c>
    </row>
    <row r="4634" spans="1:16" x14ac:dyDescent="0.3">
      <c r="A4634" s="3" t="str">
        <f t="shared" si="72"/>
        <v>NGA</v>
      </c>
      <c r="C4634" s="3" t="s">
        <v>850</v>
      </c>
      <c r="D4634" s="3" t="s">
        <v>1188</v>
      </c>
      <c r="E4634" s="3" t="s">
        <v>1070</v>
      </c>
      <c r="F4634" s="3" t="s">
        <v>8</v>
      </c>
      <c r="G4634" s="3">
        <v>3.16285073129812</v>
      </c>
      <c r="I4634" s="3">
        <v>1.8105943257966901</v>
      </c>
    </row>
    <row r="4635" spans="1:16" x14ac:dyDescent="0.3">
      <c r="A4635" s="3" t="str">
        <f t="shared" si="72"/>
        <v>COA</v>
      </c>
      <c r="C4635" s="3" t="s">
        <v>850</v>
      </c>
      <c r="D4635" s="3" t="s">
        <v>1188</v>
      </c>
      <c r="E4635" s="3" t="s">
        <v>1071</v>
      </c>
      <c r="F4635" s="3" t="s">
        <v>4</v>
      </c>
      <c r="G4635" s="3">
        <v>0.95374469778053905</v>
      </c>
      <c r="J4635" s="3">
        <v>1.0501014797836401</v>
      </c>
      <c r="K4635" s="3">
        <v>1.0501014797836401</v>
      </c>
      <c r="L4635" s="3">
        <v>1.0501014797836401</v>
      </c>
      <c r="M4635" s="3">
        <v>1.0501014797836401</v>
      </c>
      <c r="N4635" s="3">
        <v>1.0501014797836401</v>
      </c>
      <c r="O4635" s="3">
        <v>1.0501014797836401</v>
      </c>
      <c r="P4635" s="3">
        <v>1.0501014797836401</v>
      </c>
    </row>
    <row r="4636" spans="1:16" x14ac:dyDescent="0.3">
      <c r="A4636" s="3" t="str">
        <f t="shared" si="72"/>
        <v>TOM</v>
      </c>
      <c r="C4636" s="3" t="s">
        <v>850</v>
      </c>
      <c r="D4636" s="3" t="s">
        <v>1188</v>
      </c>
      <c r="E4636" s="3" t="s">
        <v>1072</v>
      </c>
      <c r="F4636" s="3" t="s">
        <v>4</v>
      </c>
      <c r="G4636" s="3">
        <v>5.2255889687559003E-2</v>
      </c>
      <c r="H4636" s="3">
        <v>5.1210771893807898E-2</v>
      </c>
      <c r="I4636" s="3">
        <v>4.7030300718803097E-2</v>
      </c>
      <c r="J4636" s="3">
        <v>4.1804711750047199E-2</v>
      </c>
      <c r="K4636" s="3">
        <v>3.6579122781291301E-2</v>
      </c>
      <c r="L4636" s="3">
        <v>3.1353533812535403E-2</v>
      </c>
      <c r="M4636" s="3">
        <v>2.6127944843779501E-2</v>
      </c>
      <c r="N4636" s="3">
        <v>2.09023558750236E-2</v>
      </c>
      <c r="O4636" s="3">
        <v>1.5676766906267701E-2</v>
      </c>
      <c r="P4636" s="3">
        <v>1.04511779375118E-2</v>
      </c>
    </row>
    <row r="4637" spans="1:16" x14ac:dyDescent="0.3">
      <c r="A4637" s="3" t="str">
        <f t="shared" si="72"/>
        <v>TOM</v>
      </c>
      <c r="C4637" s="3" t="s">
        <v>850</v>
      </c>
      <c r="D4637" s="3" t="s">
        <v>1188</v>
      </c>
      <c r="E4637" s="3" t="s">
        <v>1072</v>
      </c>
      <c r="F4637" s="3" t="s">
        <v>6</v>
      </c>
      <c r="G4637" s="3">
        <v>1.13801662411927</v>
      </c>
      <c r="H4637" s="3">
        <v>1.11525629163688</v>
      </c>
      <c r="I4637" s="3">
        <v>1.0242149617073399</v>
      </c>
      <c r="J4637" s="3">
        <v>0.91041329929541104</v>
      </c>
      <c r="K4637" s="3">
        <v>0.79661163688348502</v>
      </c>
      <c r="L4637" s="3">
        <v>0.682809974471558</v>
      </c>
      <c r="M4637" s="3">
        <v>0.56900831205963198</v>
      </c>
      <c r="N4637" s="3">
        <v>0.45520664964770602</v>
      </c>
      <c r="O4637" s="3">
        <v>0.341404987235779</v>
      </c>
      <c r="P4637" s="3">
        <v>0.22760332482385301</v>
      </c>
    </row>
    <row r="4638" spans="1:16" x14ac:dyDescent="0.3">
      <c r="A4638" s="3" t="str">
        <f t="shared" si="72"/>
        <v>TOM</v>
      </c>
      <c r="C4638" s="3" t="s">
        <v>850</v>
      </c>
      <c r="D4638" s="3" t="s">
        <v>1188</v>
      </c>
      <c r="E4638" s="3" t="s">
        <v>1072</v>
      </c>
      <c r="F4638" s="3" t="s">
        <v>8</v>
      </c>
      <c r="G4638" s="3">
        <v>0.36957113516873602</v>
      </c>
      <c r="H4638" s="3">
        <v>0.36217971246536101</v>
      </c>
      <c r="I4638" s="3">
        <v>0.33261402165186199</v>
      </c>
      <c r="J4638" s="3">
        <v>0.29565690813498802</v>
      </c>
      <c r="K4638" s="3">
        <v>0.25869979461811499</v>
      </c>
      <c r="L4638" s="3">
        <v>0.22174268110124101</v>
      </c>
      <c r="M4638" s="3">
        <v>0.18478556758436801</v>
      </c>
      <c r="N4638" s="3">
        <v>0.14782845406749401</v>
      </c>
      <c r="O4638" s="3">
        <v>0.11087134055062101</v>
      </c>
      <c r="P4638" s="3">
        <v>7.3914227033747101E-2</v>
      </c>
    </row>
    <row r="4639" spans="1:16" x14ac:dyDescent="0.3">
      <c r="A4639" s="3" t="str">
        <f t="shared" ref="A4639:A4702" si="73">RIGHT(E4639,3)</f>
        <v>COA</v>
      </c>
      <c r="C4639" s="3" t="s">
        <v>850</v>
      </c>
      <c r="D4639" s="3" t="s">
        <v>1188</v>
      </c>
      <c r="E4639" s="3" t="s">
        <v>1073</v>
      </c>
      <c r="F4639" s="3" t="s">
        <v>4</v>
      </c>
      <c r="G4639" s="3">
        <v>3.1114674247465199</v>
      </c>
      <c r="H4639" s="3">
        <v>3.1114674247465199</v>
      </c>
      <c r="J4639" s="3">
        <v>3.1114674247465199</v>
      </c>
      <c r="K4639" s="3">
        <v>3.1114674247465199</v>
      </c>
      <c r="L4639" s="3">
        <v>3.1114674247465199</v>
      </c>
      <c r="M4639" s="3">
        <v>3.1114674247465199</v>
      </c>
      <c r="N4639" s="3">
        <v>3.1114674247465199</v>
      </c>
      <c r="O4639" s="3">
        <v>3.1114674247465199</v>
      </c>
      <c r="P4639" s="3">
        <v>3.1114674247465199</v>
      </c>
    </row>
    <row r="4640" spans="1:16" x14ac:dyDescent="0.3">
      <c r="A4640" s="3" t="str">
        <f t="shared" si="73"/>
        <v>COA</v>
      </c>
      <c r="C4640" s="3" t="s">
        <v>850</v>
      </c>
      <c r="D4640" s="3" t="s">
        <v>1188</v>
      </c>
      <c r="E4640" s="3" t="s">
        <v>1073</v>
      </c>
      <c r="F4640" s="3" t="s">
        <v>5</v>
      </c>
      <c r="G4640" s="3">
        <v>1.4284377287755401</v>
      </c>
      <c r="H4640" s="3">
        <v>1.2055752241905899</v>
      </c>
      <c r="J4640" s="3">
        <v>1.4284377287755401</v>
      </c>
      <c r="K4640" s="3">
        <v>1.4284377287755401</v>
      </c>
      <c r="L4640" s="3">
        <v>1.4284377287755401</v>
      </c>
      <c r="M4640" s="3">
        <v>1.4284377287755401</v>
      </c>
      <c r="N4640" s="3">
        <v>1.4284377287755401</v>
      </c>
      <c r="O4640" s="3">
        <v>1.4284377287755401</v>
      </c>
      <c r="P4640" s="3">
        <v>1.4284377287755401</v>
      </c>
    </row>
    <row r="4641" spans="1:16" x14ac:dyDescent="0.3">
      <c r="A4641" s="3" t="str">
        <f t="shared" si="73"/>
        <v>WOD</v>
      </c>
      <c r="C4641" s="3" t="s">
        <v>850</v>
      </c>
      <c r="D4641" s="3" t="s">
        <v>1188</v>
      </c>
      <c r="E4641" s="3" t="s">
        <v>1074</v>
      </c>
      <c r="F4641" s="3" t="s">
        <v>4</v>
      </c>
      <c r="G4641" s="3">
        <v>0.191455228048481</v>
      </c>
    </row>
    <row r="4642" spans="1:16" x14ac:dyDescent="0.3">
      <c r="A4642" s="3" t="str">
        <f t="shared" si="73"/>
        <v>WOD</v>
      </c>
      <c r="C4642" s="3" t="s">
        <v>850</v>
      </c>
      <c r="D4642" s="3" t="s">
        <v>1188</v>
      </c>
      <c r="E4642" s="3" t="s">
        <v>1074</v>
      </c>
      <c r="F4642" s="3" t="s">
        <v>8</v>
      </c>
      <c r="G4642" s="3">
        <v>6.3985833624318894E-2</v>
      </c>
    </row>
    <row r="4643" spans="1:16" x14ac:dyDescent="0.3">
      <c r="A4643" s="3" t="str">
        <f t="shared" si="73"/>
        <v>COA</v>
      </c>
      <c r="C4643" s="3" t="s">
        <v>850</v>
      </c>
      <c r="D4643" s="3" t="s">
        <v>1188</v>
      </c>
      <c r="E4643" s="3" t="s">
        <v>1075</v>
      </c>
      <c r="F4643" s="3" t="s">
        <v>4</v>
      </c>
      <c r="G4643" s="3">
        <v>0.43350183357016198</v>
      </c>
      <c r="J4643" s="3">
        <v>0.43350183357016198</v>
      </c>
      <c r="K4643" s="3">
        <v>0.43350183357016198</v>
      </c>
      <c r="L4643" s="3">
        <v>0.43350183357016198</v>
      </c>
      <c r="M4643" s="3">
        <v>0.43350183357016198</v>
      </c>
      <c r="N4643" s="3">
        <v>0.43350183357016198</v>
      </c>
      <c r="O4643" s="3">
        <v>0.43350183357016198</v>
      </c>
      <c r="P4643" s="3">
        <v>0.43350183357016198</v>
      </c>
    </row>
    <row r="4644" spans="1:16" x14ac:dyDescent="0.3">
      <c r="A4644" s="3" t="str">
        <f t="shared" si="73"/>
        <v>COA</v>
      </c>
      <c r="C4644" s="3" t="s">
        <v>850</v>
      </c>
      <c r="D4644" s="3" t="s">
        <v>1188</v>
      </c>
      <c r="E4644" s="3" t="s">
        <v>1075</v>
      </c>
      <c r="F4644" s="3" t="s">
        <v>5</v>
      </c>
      <c r="G4644" s="3">
        <v>0.19885469952530699</v>
      </c>
      <c r="J4644" s="3">
        <v>0.19885469952530699</v>
      </c>
      <c r="K4644" s="3">
        <v>0.19885469952530699</v>
      </c>
      <c r="L4644" s="3">
        <v>0.19885469952530699</v>
      </c>
      <c r="M4644" s="3">
        <v>0.19885469952530699</v>
      </c>
      <c r="N4644" s="3">
        <v>0.19885469952530699</v>
      </c>
      <c r="O4644" s="3">
        <v>0.19885469952530699</v>
      </c>
      <c r="P4644" s="3">
        <v>0.19885469952530699</v>
      </c>
    </row>
    <row r="4645" spans="1:16" x14ac:dyDescent="0.3">
      <c r="A4645" s="3" t="str">
        <f t="shared" si="73"/>
        <v>WOD</v>
      </c>
      <c r="C4645" s="3" t="s">
        <v>850</v>
      </c>
      <c r="D4645" s="3" t="s">
        <v>1188</v>
      </c>
      <c r="E4645" s="3" t="s">
        <v>1076</v>
      </c>
      <c r="F4645" s="3" t="s">
        <v>0</v>
      </c>
      <c r="G4645" s="3">
        <v>0.35638386789717702</v>
      </c>
      <c r="H4645" s="3">
        <v>0.34925619053923301</v>
      </c>
    </row>
    <row r="4646" spans="1:16" x14ac:dyDescent="0.3">
      <c r="A4646" s="3" t="str">
        <f t="shared" si="73"/>
        <v>WOD</v>
      </c>
      <c r="C4646" s="3" t="s">
        <v>850</v>
      </c>
      <c r="D4646" s="3" t="s">
        <v>1188</v>
      </c>
      <c r="E4646" s="3" t="s">
        <v>1076</v>
      </c>
      <c r="F4646" s="3" t="s">
        <v>3</v>
      </c>
      <c r="G4646" s="3">
        <v>6.8524792463253201E-2</v>
      </c>
      <c r="H4646" s="3">
        <v>8.1951364974483396E-2</v>
      </c>
    </row>
    <row r="4647" spans="1:16" x14ac:dyDescent="0.3">
      <c r="A4647" s="3" t="str">
        <f t="shared" si="73"/>
        <v>NGA</v>
      </c>
      <c r="C4647" s="3" t="s">
        <v>850</v>
      </c>
      <c r="D4647" s="3" t="s">
        <v>1188</v>
      </c>
      <c r="E4647" s="3" t="s">
        <v>1086</v>
      </c>
      <c r="F4647" s="3" t="s">
        <v>8</v>
      </c>
      <c r="G4647" s="3">
        <v>1.8971017801751099E-2</v>
      </c>
      <c r="I4647" s="3">
        <v>4.2688736867629702E-2</v>
      </c>
    </row>
    <row r="4648" spans="1:16" x14ac:dyDescent="0.3">
      <c r="A4648" s="3" t="str">
        <f t="shared" si="73"/>
        <v>NGA</v>
      </c>
      <c r="C4648" s="3" t="s">
        <v>850</v>
      </c>
      <c r="D4648" s="3" t="s">
        <v>1188</v>
      </c>
      <c r="E4648" s="3" t="s">
        <v>1225</v>
      </c>
      <c r="F4648" s="3" t="s">
        <v>4</v>
      </c>
      <c r="I4648" s="3">
        <v>3.7159792161377299</v>
      </c>
    </row>
    <row r="4649" spans="1:16" x14ac:dyDescent="0.3">
      <c r="A4649" s="3" t="str">
        <f t="shared" si="73"/>
        <v>NGA</v>
      </c>
      <c r="C4649" s="3" t="s">
        <v>850</v>
      </c>
      <c r="D4649" s="3" t="s">
        <v>1188</v>
      </c>
      <c r="E4649" s="3" t="s">
        <v>1225</v>
      </c>
      <c r="F4649" s="3" t="s">
        <v>5</v>
      </c>
      <c r="I4649" s="3">
        <v>1.4033286884259899</v>
      </c>
    </row>
    <row r="4650" spans="1:16" x14ac:dyDescent="0.3">
      <c r="A4650" s="3" t="str">
        <f t="shared" si="73"/>
        <v>NGA</v>
      </c>
      <c r="C4650" s="3" t="s">
        <v>850</v>
      </c>
      <c r="D4650" s="3" t="s">
        <v>1188</v>
      </c>
      <c r="E4650" s="3" t="s">
        <v>1226</v>
      </c>
      <c r="F4650" s="3" t="s">
        <v>0</v>
      </c>
      <c r="M4650" s="3">
        <v>6.2149847782335902E-3</v>
      </c>
      <c r="N4650" s="3">
        <v>4.8203432439813586E-2</v>
      </c>
      <c r="O4650" s="3">
        <v>1.1963513284925935</v>
      </c>
      <c r="P4650" s="3">
        <v>1.3643450510664354</v>
      </c>
    </row>
    <row r="4651" spans="1:16" x14ac:dyDescent="0.3">
      <c r="A4651" s="3" t="str">
        <f t="shared" si="73"/>
        <v>NGA</v>
      </c>
      <c r="C4651" s="3" t="s">
        <v>850</v>
      </c>
      <c r="D4651" s="3" t="s">
        <v>1188</v>
      </c>
      <c r="E4651" s="3" t="s">
        <v>1226</v>
      </c>
      <c r="F4651" s="3" t="s">
        <v>1</v>
      </c>
      <c r="M4651" s="3">
        <v>1.1510929866500601</v>
      </c>
      <c r="N4651" s="3">
        <v>1.1591428029588091</v>
      </c>
      <c r="O4651" s="3">
        <v>1.1669388858617431</v>
      </c>
      <c r="P4651" s="3">
        <v>1.3936558261485081</v>
      </c>
    </row>
    <row r="4652" spans="1:16" x14ac:dyDescent="0.3">
      <c r="A4652" s="3" t="str">
        <f t="shared" si="73"/>
        <v>NGA</v>
      </c>
      <c r="C4652" s="3" t="s">
        <v>850</v>
      </c>
      <c r="D4652" s="3" t="s">
        <v>1188</v>
      </c>
      <c r="E4652" s="3" t="s">
        <v>1226</v>
      </c>
      <c r="F4652" s="3" t="s">
        <v>2</v>
      </c>
      <c r="M4652" s="3">
        <v>5.21894380185031</v>
      </c>
      <c r="N4652" s="3">
        <v>5.21894380185031</v>
      </c>
      <c r="O4652" s="3">
        <v>5.2636094340952138</v>
      </c>
      <c r="P4652" s="3">
        <v>5.7787532516157274</v>
      </c>
    </row>
    <row r="4653" spans="1:16" x14ac:dyDescent="0.3">
      <c r="A4653" s="3" t="str">
        <f t="shared" si="73"/>
        <v>NGA</v>
      </c>
      <c r="C4653" s="3" t="s">
        <v>850</v>
      </c>
      <c r="D4653" s="3" t="s">
        <v>1188</v>
      </c>
      <c r="E4653" s="3" t="s">
        <v>1226</v>
      </c>
      <c r="F4653" s="3" t="s">
        <v>3</v>
      </c>
      <c r="M4653" s="3">
        <v>0.82280881869451805</v>
      </c>
      <c r="N4653" s="3">
        <v>0.87702928020508597</v>
      </c>
      <c r="O4653" s="3">
        <v>0.9329431993366375</v>
      </c>
      <c r="P4653" s="3">
        <v>1.0679596914700655</v>
      </c>
    </row>
    <row r="4654" spans="1:16" x14ac:dyDescent="0.3">
      <c r="A4654" s="3" t="str">
        <f t="shared" si="73"/>
        <v>NGA</v>
      </c>
      <c r="C4654" s="3" t="s">
        <v>850</v>
      </c>
      <c r="D4654" s="3" t="s">
        <v>1188</v>
      </c>
      <c r="E4654" s="3" t="s">
        <v>1226</v>
      </c>
      <c r="F4654" s="3" t="s">
        <v>7</v>
      </c>
      <c r="M4654" s="3">
        <v>0.28891525042712901</v>
      </c>
      <c r="N4654" s="3">
        <v>0.29025686100283693</v>
      </c>
      <c r="O4654" s="3">
        <v>0.29127993657784595</v>
      </c>
      <c r="P4654" s="3">
        <v>0.40232275424272795</v>
      </c>
    </row>
    <row r="4655" spans="1:16" x14ac:dyDescent="0.3">
      <c r="A4655" s="3" t="str">
        <f t="shared" si="73"/>
        <v>NGA</v>
      </c>
      <c r="C4655" s="3" t="s">
        <v>850</v>
      </c>
      <c r="D4655" s="3" t="s">
        <v>1188</v>
      </c>
      <c r="E4655" s="3" t="s">
        <v>1226</v>
      </c>
      <c r="F4655" s="3" t="s">
        <v>8</v>
      </c>
      <c r="M4655" s="3">
        <v>2.4508668039836801</v>
      </c>
      <c r="N4655" s="3">
        <v>2.4508668039836801</v>
      </c>
      <c r="O4655" s="3">
        <v>2.62711330742719</v>
      </c>
      <c r="P4655" s="3">
        <v>3.3994412673822492</v>
      </c>
    </row>
    <row r="4656" spans="1:16" x14ac:dyDescent="0.3">
      <c r="A4656" s="3" t="str">
        <f t="shared" si="73"/>
        <v>COA</v>
      </c>
      <c r="C4656" s="3" t="s">
        <v>850</v>
      </c>
      <c r="D4656" s="3" t="s">
        <v>1188</v>
      </c>
      <c r="E4656" s="3" t="s">
        <v>1227</v>
      </c>
      <c r="F4656" s="3" t="s">
        <v>0</v>
      </c>
      <c r="H4656" s="3">
        <v>0.94309544209084295</v>
      </c>
      <c r="I4656" s="3">
        <v>0.37993245883529198</v>
      </c>
      <c r="J4656" s="3">
        <v>0.94309544209084295</v>
      </c>
      <c r="K4656" s="3">
        <v>0.94309544209084295</v>
      </c>
      <c r="L4656" s="3">
        <v>0.94309544209084295</v>
      </c>
      <c r="M4656" s="3">
        <v>0.94233163336051096</v>
      </c>
      <c r="N4656" s="3">
        <v>0.93717134028797899</v>
      </c>
      <c r="O4656" s="3">
        <v>0.80364011818398395</v>
      </c>
      <c r="P4656" s="3">
        <v>0.83232624959871104</v>
      </c>
    </row>
    <row r="4657" spans="1:16" x14ac:dyDescent="0.3">
      <c r="A4657" s="3" t="str">
        <f t="shared" si="73"/>
        <v>COA</v>
      </c>
      <c r="C4657" s="3" t="s">
        <v>850</v>
      </c>
      <c r="D4657" s="3" t="s">
        <v>1188</v>
      </c>
      <c r="E4657" s="3" t="s">
        <v>1227</v>
      </c>
      <c r="F4657" s="3" t="s">
        <v>1</v>
      </c>
      <c r="H4657" s="3">
        <v>0.58803070740030206</v>
      </c>
      <c r="I4657" s="3">
        <v>0.53286399842853904</v>
      </c>
      <c r="J4657" s="3">
        <v>0.59917150514855</v>
      </c>
      <c r="K4657" s="3">
        <v>0.59917150514855</v>
      </c>
      <c r="L4657" s="3">
        <v>0.59917150514855</v>
      </c>
      <c r="M4657" s="3">
        <v>0.45770456612937099</v>
      </c>
      <c r="N4657" s="3">
        <v>0.45671526041204602</v>
      </c>
      <c r="O4657" s="3">
        <v>0.46056893944261701</v>
      </c>
      <c r="P4657" s="3">
        <v>0.46404785340758797</v>
      </c>
    </row>
    <row r="4658" spans="1:16" x14ac:dyDescent="0.3">
      <c r="A4658" s="3" t="str">
        <f t="shared" si="73"/>
        <v>COA</v>
      </c>
      <c r="C4658" s="3" t="s">
        <v>850</v>
      </c>
      <c r="D4658" s="3" t="s">
        <v>1188</v>
      </c>
      <c r="E4658" s="3" t="s">
        <v>1227</v>
      </c>
      <c r="F4658" s="3" t="s">
        <v>2</v>
      </c>
      <c r="I4658" s="3">
        <v>5.5919847630597999E-2</v>
      </c>
      <c r="J4658" s="3">
        <v>0.64139736157156202</v>
      </c>
      <c r="K4658" s="3">
        <v>0.64139736157156202</v>
      </c>
      <c r="L4658" s="3">
        <v>0.64139736157156202</v>
      </c>
      <c r="O4658" s="3">
        <v>3.66738762474752E-3</v>
      </c>
    </row>
    <row r="4659" spans="1:16" x14ac:dyDescent="0.3">
      <c r="A4659" s="3" t="str">
        <f t="shared" si="73"/>
        <v>COA</v>
      </c>
      <c r="C4659" s="3" t="s">
        <v>850</v>
      </c>
      <c r="D4659" s="3" t="s">
        <v>1188</v>
      </c>
      <c r="E4659" s="3" t="s">
        <v>1227</v>
      </c>
      <c r="F4659" s="3" t="s">
        <v>3</v>
      </c>
      <c r="H4659" s="3">
        <v>0.21382281002071299</v>
      </c>
      <c r="J4659" s="3">
        <v>0.25888912512481999</v>
      </c>
      <c r="K4659" s="3">
        <v>0.25888912512481999</v>
      </c>
      <c r="L4659" s="3">
        <v>0.26318908927513901</v>
      </c>
      <c r="M4659" s="3">
        <v>0.172559080324832</v>
      </c>
      <c r="N4659" s="3">
        <v>0.181651478354343</v>
      </c>
      <c r="O4659" s="3">
        <v>0.19188454530466101</v>
      </c>
      <c r="P4659" s="3">
        <v>0.19119836847027</v>
      </c>
    </row>
    <row r="4660" spans="1:16" x14ac:dyDescent="0.3">
      <c r="A4660" s="3" t="str">
        <f t="shared" si="73"/>
        <v>COA</v>
      </c>
      <c r="C4660" s="3" t="s">
        <v>850</v>
      </c>
      <c r="D4660" s="3" t="s">
        <v>1188</v>
      </c>
      <c r="E4660" s="3" t="s">
        <v>1227</v>
      </c>
      <c r="F4660" s="3" t="s">
        <v>4</v>
      </c>
      <c r="H4660" s="3">
        <v>1.09377405869414</v>
      </c>
      <c r="J4660" s="3">
        <v>0.469111491265568</v>
      </c>
      <c r="K4660" s="3">
        <v>0.469111491265568</v>
      </c>
      <c r="L4660" s="3">
        <v>0.63547241250402597</v>
      </c>
      <c r="M4660" s="3">
        <v>0.77158097859514596</v>
      </c>
      <c r="N4660" s="3">
        <v>1.09377405869414</v>
      </c>
      <c r="O4660" s="3">
        <v>1.09377405869414</v>
      </c>
      <c r="P4660" s="3">
        <v>1.09377405869414</v>
      </c>
    </row>
    <row r="4661" spans="1:16" x14ac:dyDescent="0.3">
      <c r="A4661" s="3" t="str">
        <f t="shared" si="73"/>
        <v>COA</v>
      </c>
      <c r="C4661" s="3" t="s">
        <v>850</v>
      </c>
      <c r="D4661" s="3" t="s">
        <v>1188</v>
      </c>
      <c r="E4661" s="3" t="s">
        <v>1227</v>
      </c>
      <c r="F4661" s="3" t="s">
        <v>5</v>
      </c>
      <c r="H4661" s="3">
        <v>0.476775656127776</v>
      </c>
      <c r="J4661" s="3">
        <v>0.207090523661982</v>
      </c>
      <c r="K4661" s="3">
        <v>0.25263122981223701</v>
      </c>
      <c r="L4661" s="3">
        <v>0.28418258942836599</v>
      </c>
      <c r="M4661" s="3">
        <v>0.36116478576794703</v>
      </c>
      <c r="N4661" s="3">
        <v>0.476775656127776</v>
      </c>
      <c r="O4661" s="3">
        <v>0.476775656127776</v>
      </c>
      <c r="P4661" s="3">
        <v>0.476775656127776</v>
      </c>
    </row>
    <row r="4662" spans="1:16" x14ac:dyDescent="0.3">
      <c r="A4662" s="3" t="str">
        <f t="shared" si="73"/>
        <v>COA</v>
      </c>
      <c r="C4662" s="3" t="s">
        <v>850</v>
      </c>
      <c r="D4662" s="3" t="s">
        <v>1188</v>
      </c>
      <c r="E4662" s="3" t="s">
        <v>1227</v>
      </c>
      <c r="F4662" s="3" t="s">
        <v>6</v>
      </c>
      <c r="J4662" s="3">
        <v>2.5595200450976798</v>
      </c>
      <c r="K4662" s="3">
        <v>2.5595200450976798</v>
      </c>
      <c r="L4662" s="3">
        <v>2.6354686497309499</v>
      </c>
      <c r="M4662" s="3">
        <v>2.7076356312519598</v>
      </c>
      <c r="N4662" s="3">
        <v>2.8069261200093401</v>
      </c>
      <c r="O4662" s="3">
        <v>2.8069261200093401</v>
      </c>
      <c r="P4662" s="3">
        <v>2.8069261200093401</v>
      </c>
    </row>
    <row r="4663" spans="1:16" x14ac:dyDescent="0.3">
      <c r="A4663" s="3" t="str">
        <f t="shared" si="73"/>
        <v>COA</v>
      </c>
      <c r="C4663" s="3" t="s">
        <v>850</v>
      </c>
      <c r="D4663" s="3" t="s">
        <v>1188</v>
      </c>
      <c r="E4663" s="3" t="s">
        <v>1227</v>
      </c>
      <c r="F4663" s="3" t="s">
        <v>7</v>
      </c>
      <c r="H4663" s="3">
        <v>0.20911713552790501</v>
      </c>
      <c r="J4663" s="3">
        <v>0.20911713552790501</v>
      </c>
      <c r="K4663" s="3">
        <v>0.20911713552790501</v>
      </c>
      <c r="L4663" s="3">
        <v>0.20911713552790501</v>
      </c>
      <c r="M4663" s="3">
        <v>0.17361005088061501</v>
      </c>
      <c r="N4663" s="3">
        <v>0.17344516972531099</v>
      </c>
      <c r="O4663" s="3">
        <v>0.17499880499769199</v>
      </c>
      <c r="P4663" s="3">
        <v>0.17229054411199901</v>
      </c>
    </row>
    <row r="4664" spans="1:16" x14ac:dyDescent="0.3">
      <c r="A4664" s="3" t="str">
        <f t="shared" si="73"/>
        <v>COA</v>
      </c>
      <c r="C4664" s="3" t="s">
        <v>850</v>
      </c>
      <c r="D4664" s="3" t="s">
        <v>1188</v>
      </c>
      <c r="E4664" s="3" t="s">
        <v>1227</v>
      </c>
      <c r="F4664" s="3" t="s">
        <v>8</v>
      </c>
      <c r="H4664" s="3">
        <v>0.93189419950534103</v>
      </c>
      <c r="J4664" s="3">
        <v>0.97912337725377296</v>
      </c>
      <c r="K4664" s="3">
        <v>0.97912337725377196</v>
      </c>
      <c r="L4664" s="3">
        <v>0.99538591983411895</v>
      </c>
      <c r="M4664" s="3">
        <v>0.73385847145763705</v>
      </c>
      <c r="N4664" s="3">
        <v>0.79344787504760905</v>
      </c>
      <c r="O4664" s="3">
        <v>0.83647810255098598</v>
      </c>
      <c r="P4664" s="3">
        <v>0.80172142644949695</v>
      </c>
    </row>
    <row r="4665" spans="1:16" x14ac:dyDescent="0.3">
      <c r="A4665" s="3" t="str">
        <f t="shared" si="73"/>
        <v>TOM</v>
      </c>
      <c r="C4665" s="3" t="s">
        <v>850</v>
      </c>
      <c r="D4665" s="3" t="s">
        <v>1188</v>
      </c>
      <c r="E4665" s="3" t="s">
        <v>1229</v>
      </c>
      <c r="F4665" s="3" t="s">
        <v>0</v>
      </c>
      <c r="I4665" s="3">
        <v>0.38063874169811801</v>
      </c>
      <c r="J4665" s="3">
        <v>0.38063874169811801</v>
      </c>
      <c r="K4665" s="3">
        <v>0.38063874169811801</v>
      </c>
      <c r="L4665" s="3">
        <v>0.38063874169811801</v>
      </c>
      <c r="M4665" s="3">
        <v>0.38063874169811801</v>
      </c>
      <c r="N4665" s="3">
        <v>0.38063874169811801</v>
      </c>
      <c r="O4665" s="3">
        <v>0.38369555936931427</v>
      </c>
      <c r="P4665" s="3">
        <v>0.40360632341244279</v>
      </c>
    </row>
    <row r="4666" spans="1:16" x14ac:dyDescent="0.3">
      <c r="A4666" s="3" t="str">
        <f t="shared" si="73"/>
        <v>TOM</v>
      </c>
      <c r="C4666" s="3" t="s">
        <v>850</v>
      </c>
      <c r="D4666" s="3" t="s">
        <v>1188</v>
      </c>
      <c r="E4666" s="3" t="s">
        <v>1229</v>
      </c>
      <c r="F4666" s="3" t="s">
        <v>1</v>
      </c>
      <c r="J4666" s="3">
        <v>0.40640658530471702</v>
      </c>
      <c r="K4666" s="3">
        <v>0.40640658530471702</v>
      </c>
      <c r="L4666" s="3">
        <v>0.40640658530471702</v>
      </c>
      <c r="M4666" s="3">
        <v>0.40640658530471702</v>
      </c>
      <c r="N4666" s="3">
        <v>0.40640658530471702</v>
      </c>
      <c r="O4666" s="3">
        <v>0.40967033829556737</v>
      </c>
      <c r="P4666" s="3">
        <v>0.43092898787357875</v>
      </c>
    </row>
    <row r="4667" spans="1:16" x14ac:dyDescent="0.3">
      <c r="A4667" s="3" t="str">
        <f t="shared" si="73"/>
        <v>TOM</v>
      </c>
      <c r="C4667" s="3" t="s">
        <v>850</v>
      </c>
      <c r="D4667" s="3" t="s">
        <v>1188</v>
      </c>
      <c r="E4667" s="3" t="s">
        <v>1229</v>
      </c>
      <c r="F4667" s="3" t="s">
        <v>2</v>
      </c>
      <c r="J4667" s="3">
        <v>0.73777748149685796</v>
      </c>
      <c r="K4667" s="3">
        <v>0.73777748149685796</v>
      </c>
      <c r="L4667" s="3">
        <v>0.73777748149685796</v>
      </c>
      <c r="M4667" s="3">
        <v>0.73777748149685796</v>
      </c>
      <c r="N4667" s="3">
        <v>0.73777748149685796</v>
      </c>
      <c r="O4667" s="3">
        <v>0.73777748149685796</v>
      </c>
      <c r="P4667" s="3">
        <v>0.73777748149685796</v>
      </c>
    </row>
    <row r="4668" spans="1:16" x14ac:dyDescent="0.3">
      <c r="A4668" s="3" t="str">
        <f t="shared" si="73"/>
        <v>TOM</v>
      </c>
      <c r="C4668" s="3" t="s">
        <v>850</v>
      </c>
      <c r="D4668" s="3" t="s">
        <v>1188</v>
      </c>
      <c r="E4668" s="3" t="s">
        <v>1229</v>
      </c>
      <c r="F4668" s="3" t="s">
        <v>3</v>
      </c>
      <c r="J4668" s="3">
        <v>0.118363443522157</v>
      </c>
      <c r="K4668" s="3">
        <v>0.118363443522157</v>
      </c>
      <c r="L4668" s="3">
        <v>0.12032937609506152</v>
      </c>
      <c r="M4668" s="3">
        <v>0.12512605709895558</v>
      </c>
      <c r="N4668" s="3">
        <v>0.13232965081369588</v>
      </c>
      <c r="O4668" s="3">
        <v>0.14014990847070685</v>
      </c>
      <c r="P4668" s="3">
        <v>0.14742257996790387</v>
      </c>
    </row>
    <row r="4669" spans="1:16" x14ac:dyDescent="0.3">
      <c r="A4669" s="3" t="str">
        <f t="shared" si="73"/>
        <v>TOM</v>
      </c>
      <c r="C4669" s="3" t="s">
        <v>850</v>
      </c>
      <c r="D4669" s="3" t="s">
        <v>1188</v>
      </c>
      <c r="E4669" s="3" t="s">
        <v>1229</v>
      </c>
      <c r="F4669" s="3" t="s">
        <v>4</v>
      </c>
      <c r="I4669" s="3">
        <v>9.2486087232978598</v>
      </c>
      <c r="J4669" s="3">
        <v>14.90585937953054</v>
      </c>
      <c r="K4669" s="3">
        <v>16.51360932062558</v>
      </c>
      <c r="L4669" s="3">
        <v>16.51360932062558</v>
      </c>
      <c r="M4669" s="3">
        <v>17.36470703540985</v>
      </c>
      <c r="N4669" s="3">
        <v>18.221374658783493</v>
      </c>
      <c r="O4669" s="3">
        <v>19.075605224121787</v>
      </c>
      <c r="P4669" s="3">
        <v>19.435133884511039</v>
      </c>
    </row>
    <row r="4670" spans="1:16" x14ac:dyDescent="0.3">
      <c r="A4670" s="3" t="str">
        <f t="shared" si="73"/>
        <v>TOM</v>
      </c>
      <c r="C4670" s="3" t="s">
        <v>850</v>
      </c>
      <c r="D4670" s="3" t="s">
        <v>1188</v>
      </c>
      <c r="E4670" s="3" t="s">
        <v>1229</v>
      </c>
      <c r="F4670" s="3" t="s">
        <v>5</v>
      </c>
      <c r="I4670" s="3">
        <v>0.27629615766316101</v>
      </c>
      <c r="J4670" s="3">
        <v>10.43431403326306</v>
      </c>
      <c r="K4670" s="3">
        <v>10.630521644967272</v>
      </c>
      <c r="L4670" s="3">
        <v>10.827911288312267</v>
      </c>
      <c r="M4670" s="3">
        <v>10.99183184930919</v>
      </c>
      <c r="N4670" s="3">
        <v>11.299746488579892</v>
      </c>
      <c r="O4670" s="3">
        <v>11.44474832187734</v>
      </c>
      <c r="P4670" s="3">
        <v>11.762890231544567</v>
      </c>
    </row>
    <row r="4671" spans="1:16" x14ac:dyDescent="0.3">
      <c r="A4671" s="3" t="str">
        <f t="shared" si="73"/>
        <v>TOM</v>
      </c>
      <c r="C4671" s="3" t="s">
        <v>850</v>
      </c>
      <c r="D4671" s="3" t="s">
        <v>1188</v>
      </c>
      <c r="E4671" s="3" t="s">
        <v>1229</v>
      </c>
      <c r="F4671" s="3" t="s">
        <v>6</v>
      </c>
      <c r="J4671" s="3">
        <v>3.96761942704314</v>
      </c>
      <c r="K4671" s="3">
        <v>4.4234503420022842</v>
      </c>
      <c r="L4671" s="3">
        <v>4.8799721095971895</v>
      </c>
      <c r="M4671" s="3">
        <v>5.3377718714410403</v>
      </c>
      <c r="N4671" s="3">
        <v>5.7951762490983354</v>
      </c>
      <c r="O4671" s="3">
        <v>6.174363743453271</v>
      </c>
      <c r="P4671" s="3">
        <v>6.4292022349362092</v>
      </c>
    </row>
    <row r="4672" spans="1:16" x14ac:dyDescent="0.3">
      <c r="A4672" s="3" t="str">
        <f t="shared" si="73"/>
        <v>TOM</v>
      </c>
      <c r="C4672" s="3" t="s">
        <v>850</v>
      </c>
      <c r="D4672" s="3" t="s">
        <v>1188</v>
      </c>
      <c r="E4672" s="3" t="s">
        <v>1229</v>
      </c>
      <c r="F4672" s="3" t="s">
        <v>7</v>
      </c>
      <c r="J4672" s="3">
        <v>0.33221935636065603</v>
      </c>
      <c r="K4672" s="3">
        <v>0.37927039164001652</v>
      </c>
      <c r="L4672" s="3">
        <v>0.42632142691937674</v>
      </c>
      <c r="M4672" s="3">
        <v>0.47337246219873713</v>
      </c>
      <c r="N4672" s="3">
        <v>0.52042349747809757</v>
      </c>
      <c r="O4672" s="3">
        <v>0.57316534993043988</v>
      </c>
      <c r="P4672" s="3">
        <v>0.65728386195578214</v>
      </c>
    </row>
    <row r="4673" spans="1:16" x14ac:dyDescent="0.3">
      <c r="A4673" s="3" t="str">
        <f t="shared" si="73"/>
        <v>TOM</v>
      </c>
      <c r="C4673" s="3" t="s">
        <v>850</v>
      </c>
      <c r="D4673" s="3" t="s">
        <v>1188</v>
      </c>
      <c r="E4673" s="3" t="s">
        <v>1229</v>
      </c>
      <c r="F4673" s="3" t="s">
        <v>8</v>
      </c>
      <c r="I4673" s="3">
        <v>4.5257170148809402</v>
      </c>
      <c r="J4673" s="3">
        <v>4.5626741283978127</v>
      </c>
      <c r="K4673" s="3">
        <v>4.5996312419146861</v>
      </c>
      <c r="L4673" s="3">
        <v>4.5996312419146861</v>
      </c>
      <c r="M4673" s="3">
        <v>4.7818411601968025</v>
      </c>
      <c r="N4673" s="3">
        <v>5.2837577728183378</v>
      </c>
      <c r="O4673" s="3">
        <v>5.6417041999118132</v>
      </c>
      <c r="P4673" s="3">
        <v>5.977174474265583</v>
      </c>
    </row>
    <row r="4674" spans="1:16" x14ac:dyDescent="0.3">
      <c r="A4674" s="3" t="str">
        <f t="shared" si="73"/>
        <v>NGA</v>
      </c>
      <c r="C4674" s="3" t="s">
        <v>850</v>
      </c>
      <c r="D4674" s="3" t="s">
        <v>1188</v>
      </c>
      <c r="E4674" s="3" t="s">
        <v>1087</v>
      </c>
      <c r="F4674" s="3" t="s">
        <v>2</v>
      </c>
      <c r="N4674" s="3">
        <v>7.2541921832251305E-2</v>
      </c>
      <c r="O4674" s="3">
        <v>7.2541921832251305E-2</v>
      </c>
      <c r="P4674" s="3">
        <v>0.36861336211321927</v>
      </c>
    </row>
    <row r="4675" spans="1:16" x14ac:dyDescent="0.3">
      <c r="A4675" s="3" t="str">
        <f t="shared" si="73"/>
        <v>DST</v>
      </c>
      <c r="C4675" s="3" t="s">
        <v>850</v>
      </c>
      <c r="D4675" s="3" t="s">
        <v>1189</v>
      </c>
      <c r="E4675" s="3" t="s">
        <v>1091</v>
      </c>
      <c r="F4675" s="3" t="s">
        <v>4</v>
      </c>
      <c r="G4675" s="3">
        <v>0.11432570954684899</v>
      </c>
    </row>
    <row r="4676" spans="1:16" x14ac:dyDescent="0.3">
      <c r="A4676" s="3" t="str">
        <f t="shared" si="73"/>
        <v>DST</v>
      </c>
      <c r="C4676" s="3" t="s">
        <v>850</v>
      </c>
      <c r="D4676" s="3" t="s">
        <v>1189</v>
      </c>
      <c r="E4676" s="3" t="s">
        <v>1091</v>
      </c>
      <c r="F4676" s="3" t="s">
        <v>5</v>
      </c>
      <c r="G4676" s="3">
        <v>5.8278101120909198E-2</v>
      </c>
    </row>
    <row r="4677" spans="1:16" x14ac:dyDescent="0.3">
      <c r="A4677" s="3" t="str">
        <f t="shared" si="73"/>
        <v>DST</v>
      </c>
      <c r="C4677" s="3" t="s">
        <v>850</v>
      </c>
      <c r="D4677" s="3" t="s">
        <v>1189</v>
      </c>
      <c r="E4677" s="3" t="s">
        <v>1091</v>
      </c>
      <c r="F4677" s="3" t="s">
        <v>6</v>
      </c>
      <c r="G4677" s="3">
        <v>4.2089739698434603E-2</v>
      </c>
    </row>
    <row r="4678" spans="1:16" x14ac:dyDescent="0.3">
      <c r="A4678" s="3" t="str">
        <f t="shared" si="73"/>
        <v>RFL</v>
      </c>
      <c r="C4678" s="3" t="s">
        <v>850</v>
      </c>
      <c r="D4678" s="3" t="s">
        <v>1189</v>
      </c>
      <c r="E4678" s="3" t="s">
        <v>1092</v>
      </c>
      <c r="F4678" s="3" t="s">
        <v>0</v>
      </c>
      <c r="G4678" s="3">
        <v>7.1337357771767307E-2</v>
      </c>
      <c r="I4678" s="3">
        <v>7.7893408389874894E-2</v>
      </c>
      <c r="N4678" s="3">
        <v>2.7435899701974101E-3</v>
      </c>
      <c r="O4678" s="3">
        <v>7.1575133335312802E-4</v>
      </c>
    </row>
    <row r="4679" spans="1:16" x14ac:dyDescent="0.3">
      <c r="A4679" s="3" t="str">
        <f t="shared" si="73"/>
        <v>RFL</v>
      </c>
      <c r="C4679" s="3" t="s">
        <v>850</v>
      </c>
      <c r="D4679" s="3" t="s">
        <v>1189</v>
      </c>
      <c r="E4679" s="3" t="s">
        <v>1092</v>
      </c>
      <c r="F4679" s="3" t="s">
        <v>1</v>
      </c>
      <c r="G4679" s="3">
        <v>6.8729477395979399E-2</v>
      </c>
    </row>
    <row r="4680" spans="1:16" x14ac:dyDescent="0.3">
      <c r="A4680" s="3" t="str">
        <f t="shared" si="73"/>
        <v>RFL</v>
      </c>
      <c r="C4680" s="3" t="s">
        <v>850</v>
      </c>
      <c r="D4680" s="3" t="s">
        <v>1189</v>
      </c>
      <c r="E4680" s="3" t="s">
        <v>1092</v>
      </c>
      <c r="F4680" s="3" t="s">
        <v>4</v>
      </c>
      <c r="G4680" s="3">
        <v>0.14662288638094101</v>
      </c>
    </row>
    <row r="4681" spans="1:16" x14ac:dyDescent="0.3">
      <c r="A4681" s="3" t="str">
        <f t="shared" si="73"/>
        <v>RFL</v>
      </c>
      <c r="C4681" s="3" t="s">
        <v>850</v>
      </c>
      <c r="D4681" s="3" t="s">
        <v>1189</v>
      </c>
      <c r="E4681" s="3" t="s">
        <v>1092</v>
      </c>
      <c r="F4681" s="3" t="s">
        <v>5</v>
      </c>
      <c r="G4681" s="3">
        <v>8.5135869511514195E-2</v>
      </c>
    </row>
    <row r="4682" spans="1:16" x14ac:dyDescent="0.3">
      <c r="A4682" s="3" t="str">
        <f t="shared" si="73"/>
        <v>RFL</v>
      </c>
      <c r="C4682" s="3" t="s">
        <v>850</v>
      </c>
      <c r="D4682" s="3" t="s">
        <v>1189</v>
      </c>
      <c r="E4682" s="3" t="s">
        <v>1092</v>
      </c>
      <c r="F4682" s="3" t="s">
        <v>6</v>
      </c>
      <c r="G4682" s="3">
        <v>6.14870168694268E-2</v>
      </c>
    </row>
    <row r="4683" spans="1:16" x14ac:dyDescent="0.3">
      <c r="A4683" s="3" t="str">
        <f t="shared" si="73"/>
        <v>RFL</v>
      </c>
      <c r="C4683" s="3" t="s">
        <v>850</v>
      </c>
      <c r="D4683" s="3" t="s">
        <v>1189</v>
      </c>
      <c r="E4683" s="3" t="s">
        <v>1092</v>
      </c>
      <c r="F4683" s="3" t="s">
        <v>7</v>
      </c>
      <c r="G4683" s="3">
        <v>8.3784505777955692E-3</v>
      </c>
    </row>
    <row r="4684" spans="1:16" x14ac:dyDescent="0.3">
      <c r="A4684" s="3" t="str">
        <f t="shared" si="73"/>
        <v>RFL</v>
      </c>
      <c r="C4684" s="3" t="s">
        <v>850</v>
      </c>
      <c r="D4684" s="3" t="s">
        <v>1189</v>
      </c>
      <c r="E4684" s="3" t="s">
        <v>1092</v>
      </c>
      <c r="F4684" s="3" t="s">
        <v>8</v>
      </c>
      <c r="I4684" s="3">
        <v>2.5286093068002301E-2</v>
      </c>
      <c r="J4684" s="3">
        <v>7.7919591048157197E-2</v>
      </c>
      <c r="K4684" s="3">
        <v>4.6166713780972903E-2</v>
      </c>
      <c r="L4684" s="3">
        <v>5.6021757913365597E-2</v>
      </c>
      <c r="M4684" s="3">
        <v>3.51270070836599E-2</v>
      </c>
    </row>
    <row r="4685" spans="1:16" x14ac:dyDescent="0.3">
      <c r="A4685" s="3" t="str">
        <f t="shared" si="73"/>
        <v>NGA</v>
      </c>
      <c r="C4685" s="3" t="s">
        <v>850</v>
      </c>
      <c r="D4685" s="3" t="s">
        <v>1189</v>
      </c>
      <c r="E4685" s="3" t="s">
        <v>1093</v>
      </c>
      <c r="F4685" s="3" t="s">
        <v>0</v>
      </c>
      <c r="G4685" s="3">
        <v>1.76266975958785E-2</v>
      </c>
      <c r="H4685" s="3">
        <v>1.6327442672345701E-2</v>
      </c>
    </row>
    <row r="4686" spans="1:16" x14ac:dyDescent="0.3">
      <c r="A4686" s="3" t="str">
        <f t="shared" si="73"/>
        <v>NGA</v>
      </c>
      <c r="C4686" s="3" t="s">
        <v>850</v>
      </c>
      <c r="D4686" s="3" t="s">
        <v>1189</v>
      </c>
      <c r="E4686" s="3" t="s">
        <v>1093</v>
      </c>
      <c r="F4686" s="3" t="s">
        <v>4</v>
      </c>
      <c r="G4686" s="3">
        <v>0.152888729980378</v>
      </c>
      <c r="H4686" s="3">
        <v>0.15565485132204501</v>
      </c>
      <c r="I4686" s="3">
        <v>0.15565485132204099</v>
      </c>
    </row>
    <row r="4687" spans="1:16" x14ac:dyDescent="0.3">
      <c r="A4687" s="3" t="str">
        <f t="shared" si="73"/>
        <v>TOM</v>
      </c>
      <c r="C4687" s="3" t="s">
        <v>850</v>
      </c>
      <c r="D4687" s="3" t="s">
        <v>1189</v>
      </c>
      <c r="E4687" s="3" t="s">
        <v>1094</v>
      </c>
      <c r="F4687" s="3" t="s">
        <v>4</v>
      </c>
      <c r="G4687" s="3">
        <v>2.0293416000000102</v>
      </c>
      <c r="H4687" s="3">
        <v>1.988754768</v>
      </c>
      <c r="I4687" s="3">
        <v>1.8264074400000101</v>
      </c>
      <c r="J4687" s="3">
        <v>1.62347328</v>
      </c>
      <c r="K4687" s="3">
        <v>1.4205391199999999</v>
      </c>
      <c r="L4687" s="3">
        <v>1.2176049600000001</v>
      </c>
      <c r="M4687" s="3">
        <v>1.0146708</v>
      </c>
      <c r="N4687" s="3">
        <v>0.81173664000000201</v>
      </c>
      <c r="O4687" s="3">
        <v>0.60880248000000103</v>
      </c>
      <c r="P4687" s="3">
        <v>0.405868320000001</v>
      </c>
    </row>
    <row r="4688" spans="1:16" x14ac:dyDescent="0.3">
      <c r="A4688" s="3" t="str">
        <f t="shared" si="73"/>
        <v>TOM</v>
      </c>
      <c r="C4688" s="3" t="s">
        <v>850</v>
      </c>
      <c r="D4688" s="3" t="s">
        <v>1189</v>
      </c>
      <c r="E4688" s="3" t="s">
        <v>1094</v>
      </c>
      <c r="F4688" s="3" t="s">
        <v>5</v>
      </c>
      <c r="G4688" s="3">
        <v>0.98345015999999996</v>
      </c>
      <c r="H4688" s="3">
        <v>0.96378115679999998</v>
      </c>
      <c r="I4688" s="3">
        <v>0.88510514399999995</v>
      </c>
      <c r="J4688" s="3">
        <v>0.78676012799999995</v>
      </c>
      <c r="K4688" s="3">
        <v>0.68841511200000005</v>
      </c>
      <c r="L4688" s="3">
        <v>0.59007009600000004</v>
      </c>
      <c r="M4688" s="3">
        <v>0.49172507999999998</v>
      </c>
      <c r="N4688" s="3">
        <v>0.39338006399999997</v>
      </c>
      <c r="O4688" s="3">
        <v>0.29503504800000002</v>
      </c>
      <c r="P4688" s="3">
        <v>0.19669003199999999</v>
      </c>
    </row>
    <row r="4689" spans="1:16" x14ac:dyDescent="0.3">
      <c r="A4689" s="3" t="str">
        <f t="shared" si="73"/>
        <v>NGA</v>
      </c>
      <c r="C4689" s="3" t="s">
        <v>850</v>
      </c>
      <c r="D4689" s="3" t="s">
        <v>1189</v>
      </c>
      <c r="E4689" s="3" t="s">
        <v>1095</v>
      </c>
      <c r="F4689" s="3" t="s">
        <v>8</v>
      </c>
      <c r="G4689" s="3">
        <v>2.5436601269525099</v>
      </c>
      <c r="H4689" s="3">
        <v>0.53092215556945799</v>
      </c>
      <c r="I4689" s="3">
        <v>0.460902067779001</v>
      </c>
      <c r="K4689" s="3">
        <v>0.158628175910352</v>
      </c>
      <c r="L4689" s="3">
        <v>0.12540939753507299</v>
      </c>
    </row>
    <row r="4690" spans="1:16" x14ac:dyDescent="0.3">
      <c r="A4690" s="3" t="str">
        <f t="shared" si="73"/>
        <v>NGA</v>
      </c>
      <c r="C4690" s="3" t="s">
        <v>850</v>
      </c>
      <c r="D4690" s="3" t="s">
        <v>1189</v>
      </c>
      <c r="E4690" s="3" t="s">
        <v>1232</v>
      </c>
      <c r="F4690" s="3" t="s">
        <v>7</v>
      </c>
      <c r="H4690" s="3">
        <v>8.3020593637157594E-3</v>
      </c>
      <c r="I4690" s="3">
        <v>8.3020593637157594E-3</v>
      </c>
      <c r="J4690" s="3">
        <v>8.3020593637157594E-3</v>
      </c>
      <c r="K4690" s="3">
        <v>8.3020593637157594E-3</v>
      </c>
      <c r="L4690" s="3">
        <v>8.3020593637157594E-3</v>
      </c>
      <c r="M4690" s="3">
        <v>6.3489871037684699E-3</v>
      </c>
      <c r="N4690" s="3">
        <v>2.9787100237596001E-3</v>
      </c>
      <c r="O4690" s="3">
        <v>3.0255402941134499E-3</v>
      </c>
      <c r="P4690" s="3">
        <v>2.4501881964195801E-3</v>
      </c>
    </row>
    <row r="4691" spans="1:16" x14ac:dyDescent="0.3">
      <c r="A4691" s="3" t="str">
        <f t="shared" si="73"/>
        <v>NGA</v>
      </c>
      <c r="C4691" s="3" t="s">
        <v>850</v>
      </c>
      <c r="D4691" s="3" t="s">
        <v>1189</v>
      </c>
      <c r="E4691" s="3" t="s">
        <v>1232</v>
      </c>
      <c r="F4691" s="3" t="s">
        <v>8</v>
      </c>
      <c r="H4691" s="3">
        <v>0.255487855298491</v>
      </c>
      <c r="I4691" s="3">
        <v>0.255487855298491</v>
      </c>
    </row>
    <row r="4692" spans="1:16" x14ac:dyDescent="0.3">
      <c r="A4692" s="3" t="str">
        <f t="shared" si="73"/>
        <v>NGA</v>
      </c>
      <c r="C4692" s="3" t="s">
        <v>850</v>
      </c>
      <c r="D4692" s="3" t="s">
        <v>1189</v>
      </c>
      <c r="E4692" s="3" t="s">
        <v>1233</v>
      </c>
      <c r="F4692" s="3" t="s">
        <v>7</v>
      </c>
      <c r="M4692" s="3">
        <v>1.6184590405236898E-2</v>
      </c>
      <c r="N4692" s="3">
        <v>1.6184590405236898E-2</v>
      </c>
      <c r="O4692" s="3">
        <v>1.6349012139595373E-2</v>
      </c>
      <c r="P4692" s="3">
        <v>2.4715489766849882E-2</v>
      </c>
    </row>
    <row r="4693" spans="1:16" x14ac:dyDescent="0.3">
      <c r="A4693" s="3" t="str">
        <f t="shared" si="73"/>
        <v>NGA</v>
      </c>
      <c r="C4693" s="3" t="s">
        <v>850</v>
      </c>
      <c r="D4693" s="3" t="s">
        <v>1189</v>
      </c>
      <c r="E4693" s="3" t="s">
        <v>1233</v>
      </c>
      <c r="F4693" s="3" t="s">
        <v>8</v>
      </c>
      <c r="M4693" s="3">
        <v>0.14721850457505201</v>
      </c>
      <c r="N4693" s="3">
        <v>0.14721850457505201</v>
      </c>
      <c r="O4693" s="3">
        <v>0.15803666095910171</v>
      </c>
      <c r="P4693" s="3">
        <v>0.21098485324562272</v>
      </c>
    </row>
    <row r="4694" spans="1:16" x14ac:dyDescent="0.3">
      <c r="A4694" s="3" t="str">
        <f t="shared" si="73"/>
        <v>RFL</v>
      </c>
      <c r="C4694" s="3" t="s">
        <v>850</v>
      </c>
      <c r="D4694" s="3" t="s">
        <v>1189</v>
      </c>
      <c r="E4694" s="3" t="s">
        <v>1234</v>
      </c>
      <c r="F4694" s="3" t="s">
        <v>8</v>
      </c>
      <c r="J4694" s="3">
        <v>0.26330610632677398</v>
      </c>
    </row>
    <row r="4695" spans="1:16" x14ac:dyDescent="0.3">
      <c r="A4695" s="3" t="str">
        <f t="shared" si="73"/>
        <v>TOM</v>
      </c>
      <c r="C4695" s="3" t="s">
        <v>850</v>
      </c>
      <c r="D4695" s="3" t="s">
        <v>1189</v>
      </c>
      <c r="E4695" s="3" t="s">
        <v>1236</v>
      </c>
      <c r="F4695" s="3" t="s">
        <v>0</v>
      </c>
      <c r="I4695" s="3">
        <v>0.56920835786484403</v>
      </c>
      <c r="J4695" s="3">
        <v>0.66386633283490726</v>
      </c>
      <c r="K4695" s="3">
        <v>0.73783952378114659</v>
      </c>
      <c r="L4695" s="3">
        <v>0.74241852982897194</v>
      </c>
      <c r="M4695" s="3">
        <v>0.74241852982897194</v>
      </c>
      <c r="N4695" s="3">
        <v>0.74241852982897194</v>
      </c>
      <c r="O4695" s="3">
        <v>0.74838071347659896</v>
      </c>
      <c r="P4695" s="3">
        <v>0.78721575192466742</v>
      </c>
    </row>
    <row r="4696" spans="1:16" x14ac:dyDescent="0.3">
      <c r="A4696" s="3" t="str">
        <f t="shared" si="73"/>
        <v>TOM</v>
      </c>
      <c r="C4696" s="3" t="s">
        <v>850</v>
      </c>
      <c r="D4696" s="3" t="s">
        <v>1189</v>
      </c>
      <c r="E4696" s="3" t="s">
        <v>1236</v>
      </c>
      <c r="F4696" s="3" t="s">
        <v>1</v>
      </c>
      <c r="I4696" s="3">
        <v>4.9032750015324103E-2</v>
      </c>
      <c r="J4696" s="3">
        <v>0.56833379658766614</v>
      </c>
      <c r="K4696" s="3">
        <v>0.61290937519155353</v>
      </c>
      <c r="L4696" s="3">
        <v>0.61290937519155353</v>
      </c>
      <c r="M4696" s="3">
        <v>0.61290937519155353</v>
      </c>
      <c r="N4696" s="3">
        <v>0.61290937519155353</v>
      </c>
      <c r="O4696" s="3">
        <v>0.61783150214208338</v>
      </c>
      <c r="P4696" s="3">
        <v>0.6498920693213921</v>
      </c>
    </row>
    <row r="4697" spans="1:16" x14ac:dyDescent="0.3">
      <c r="A4697" s="3" t="str">
        <f t="shared" si="73"/>
        <v>TOM</v>
      </c>
      <c r="C4697" s="3" t="s">
        <v>850</v>
      </c>
      <c r="D4697" s="3" t="s">
        <v>1189</v>
      </c>
      <c r="E4697" s="3" t="s">
        <v>1236</v>
      </c>
      <c r="F4697" s="3" t="s">
        <v>4</v>
      </c>
      <c r="I4697" s="3">
        <v>1.49392527810424</v>
      </c>
      <c r="J4697" s="3">
        <v>1.779758390035542</v>
      </c>
      <c r="K4697" s="3">
        <v>2.586627932038537</v>
      </c>
      <c r="L4697" s="3">
        <v>3.4246878668469662</v>
      </c>
      <c r="M4697" s="3">
        <v>4.2823322282013079</v>
      </c>
      <c r="N4697" s="3">
        <v>5.1382371566175467</v>
      </c>
      <c r="O4697" s="3">
        <v>5.3447354908961806</v>
      </c>
      <c r="P4697" s="3">
        <v>5.9287523496938555</v>
      </c>
    </row>
    <row r="4698" spans="1:16" x14ac:dyDescent="0.3">
      <c r="A4698" s="3" t="str">
        <f t="shared" si="73"/>
        <v>TOM</v>
      </c>
      <c r="C4698" s="3" t="s">
        <v>850</v>
      </c>
      <c r="D4698" s="3" t="s">
        <v>1189</v>
      </c>
      <c r="E4698" s="3" t="s">
        <v>1236</v>
      </c>
      <c r="F4698" s="3" t="s">
        <v>5</v>
      </c>
      <c r="J4698" s="3">
        <v>0.70777718061231099</v>
      </c>
      <c r="K4698" s="3">
        <v>1.1726284830022671</v>
      </c>
      <c r="L4698" s="3">
        <v>1.6505299458360412</v>
      </c>
      <c r="M4698" s="3">
        <v>2.1290292722998503</v>
      </c>
      <c r="N4698" s="3">
        <v>2.6392842164593313</v>
      </c>
      <c r="O4698" s="3">
        <v>3.1485201778217675</v>
      </c>
      <c r="P4698" s="3">
        <v>3.4899900546118094</v>
      </c>
    </row>
    <row r="4699" spans="1:16" x14ac:dyDescent="0.3">
      <c r="A4699" s="3" t="str">
        <f t="shared" si="73"/>
        <v>TOM</v>
      </c>
      <c r="C4699" s="3" t="s">
        <v>850</v>
      </c>
      <c r="D4699" s="3" t="s">
        <v>1189</v>
      </c>
      <c r="E4699" s="3" t="s">
        <v>1236</v>
      </c>
      <c r="F4699" s="3" t="s">
        <v>6</v>
      </c>
      <c r="I4699" s="3">
        <v>0.30706100654757901</v>
      </c>
      <c r="J4699" s="3">
        <v>1.1082376977591271</v>
      </c>
      <c r="K4699" s="3">
        <v>1.3615009224700492</v>
      </c>
      <c r="L4699" s="3">
        <v>1.6278439893251981</v>
      </c>
      <c r="M4699" s="3">
        <v>1.9023998802157212</v>
      </c>
      <c r="N4699" s="3">
        <v>2.1998903838864643</v>
      </c>
      <c r="O4699" s="3">
        <v>2.4966449555371084</v>
      </c>
      <c r="P4699" s="3">
        <v>2.6564538292264515</v>
      </c>
    </row>
    <row r="4700" spans="1:16" x14ac:dyDescent="0.3">
      <c r="A4700" s="3" t="str">
        <f t="shared" si="73"/>
        <v>TOM</v>
      </c>
      <c r="C4700" s="3" t="s">
        <v>850</v>
      </c>
      <c r="D4700" s="3" t="s">
        <v>1189</v>
      </c>
      <c r="E4700" s="3" t="s">
        <v>1236</v>
      </c>
      <c r="F4700" s="3" t="s">
        <v>7</v>
      </c>
      <c r="I4700" s="3">
        <v>4.3471459753845997E-3</v>
      </c>
      <c r="J4700" s="3">
        <v>7.0151532133364905E-2</v>
      </c>
      <c r="K4700" s="3">
        <v>7.0151532133364905E-2</v>
      </c>
      <c r="L4700" s="3">
        <v>7.0151532133364919E-2</v>
      </c>
      <c r="M4700" s="3">
        <v>7.0151532133364919E-2</v>
      </c>
      <c r="N4700" s="3">
        <v>7.0151532133364905E-2</v>
      </c>
      <c r="O4700" s="3">
        <v>7.0714902120692591E-2</v>
      </c>
      <c r="P4700" s="3">
        <v>7.4384446101791304E-2</v>
      </c>
    </row>
    <row r="4701" spans="1:16" x14ac:dyDescent="0.3">
      <c r="A4701" s="3" t="str">
        <f t="shared" si="73"/>
        <v>TOM</v>
      </c>
      <c r="C4701" s="3" t="s">
        <v>850</v>
      </c>
      <c r="D4701" s="3" t="s">
        <v>1189</v>
      </c>
      <c r="E4701" s="3" t="s">
        <v>1236</v>
      </c>
      <c r="F4701" s="3" t="s">
        <v>8</v>
      </c>
      <c r="I4701" s="3">
        <v>5.6016353786010699E-2</v>
      </c>
      <c r="J4701" s="3">
        <v>0.35253580450929972</v>
      </c>
      <c r="K4701" s="3">
        <v>0.46284696482283771</v>
      </c>
      <c r="L4701" s="3">
        <v>0.47014642588008726</v>
      </c>
      <c r="M4701" s="3">
        <v>0.47014642588008726</v>
      </c>
      <c r="N4701" s="3">
        <v>0.51746025134626783</v>
      </c>
      <c r="O4701" s="3">
        <v>0.54804049143536726</v>
      </c>
      <c r="P4701" s="3">
        <v>0.57647945728888306</v>
      </c>
    </row>
    <row r="4702" spans="1:16" x14ac:dyDescent="0.3">
      <c r="A4702" s="3" t="str">
        <f t="shared" si="73"/>
        <v>COA</v>
      </c>
      <c r="C4702" s="3" t="s">
        <v>850</v>
      </c>
      <c r="D4702" s="3" t="s">
        <v>1190</v>
      </c>
      <c r="E4702" s="3" t="s">
        <v>1104</v>
      </c>
      <c r="F4702" s="3" t="s">
        <v>1</v>
      </c>
      <c r="G4702" s="3">
        <v>0.34212710396460499</v>
      </c>
      <c r="H4702" s="3">
        <v>0.34212710396460499</v>
      </c>
      <c r="I4702" s="3">
        <v>0.34212710396460499</v>
      </c>
      <c r="J4702" s="3">
        <v>0.34212710396460499</v>
      </c>
      <c r="K4702" s="3">
        <v>0.34212710396460499</v>
      </c>
      <c r="L4702" s="3">
        <v>0.34212710396460499</v>
      </c>
      <c r="M4702" s="3">
        <v>0.34212710396460499</v>
      </c>
      <c r="N4702" s="3">
        <v>0.34212710396460499</v>
      </c>
      <c r="O4702" s="3">
        <v>0.34212710396460499</v>
      </c>
      <c r="P4702" s="3">
        <v>0.34212710396460499</v>
      </c>
    </row>
    <row r="4703" spans="1:16" x14ac:dyDescent="0.3">
      <c r="A4703" s="3" t="str">
        <f t="shared" ref="A4703:A4739" si="74">RIGHT(E4703,3)</f>
        <v>NGA</v>
      </c>
      <c r="C4703" s="3" t="s">
        <v>850</v>
      </c>
      <c r="D4703" s="3" t="s">
        <v>1190</v>
      </c>
      <c r="E4703" s="3" t="s">
        <v>1105</v>
      </c>
      <c r="F4703" s="3" t="s">
        <v>0</v>
      </c>
      <c r="G4703" s="3">
        <v>1.3569466759437701</v>
      </c>
      <c r="I4703" s="3">
        <v>1.3569466759437701</v>
      </c>
    </row>
    <row r="4704" spans="1:16" x14ac:dyDescent="0.3">
      <c r="A4704" s="3" t="str">
        <f t="shared" si="74"/>
        <v>NGA</v>
      </c>
      <c r="C4704" s="3" t="s">
        <v>850</v>
      </c>
      <c r="D4704" s="3" t="s">
        <v>1190</v>
      </c>
      <c r="E4704" s="3" t="s">
        <v>1105</v>
      </c>
      <c r="F4704" s="3" t="s">
        <v>1</v>
      </c>
      <c r="G4704" s="3">
        <v>2.6319870880607998E-2</v>
      </c>
      <c r="I4704" s="3">
        <v>2.6319870880607998E-2</v>
      </c>
    </row>
    <row r="4705" spans="1:16" x14ac:dyDescent="0.3">
      <c r="A4705" s="3" t="str">
        <f t="shared" si="74"/>
        <v>TOM</v>
      </c>
      <c r="C4705" s="3" t="s">
        <v>850</v>
      </c>
      <c r="D4705" s="3" t="s">
        <v>1190</v>
      </c>
      <c r="E4705" s="3" t="s">
        <v>1106</v>
      </c>
      <c r="F4705" s="3" t="s">
        <v>1</v>
      </c>
      <c r="G4705" s="3">
        <v>2.82266961861182E-2</v>
      </c>
      <c r="H4705" s="3">
        <v>2.7662162262395901E-2</v>
      </c>
      <c r="I4705" s="3">
        <v>2.5404026567506399E-2</v>
      </c>
      <c r="J4705" s="3">
        <v>2.2581356948894599E-2</v>
      </c>
      <c r="K4705" s="3">
        <v>1.9758687330282802E-2</v>
      </c>
      <c r="L4705" s="3">
        <v>1.69360177116709E-2</v>
      </c>
      <c r="M4705" s="3">
        <v>1.41133480930591E-2</v>
      </c>
      <c r="N4705" s="3">
        <v>1.1290678474447299E-2</v>
      </c>
      <c r="O4705" s="3">
        <v>8.4680088558354693E-3</v>
      </c>
      <c r="P4705" s="3">
        <v>5.6453392372236497E-3</v>
      </c>
    </row>
    <row r="4706" spans="1:16" x14ac:dyDescent="0.3">
      <c r="A4706" s="3" t="str">
        <f t="shared" si="74"/>
        <v>TOM</v>
      </c>
      <c r="C4706" s="3" t="s">
        <v>850</v>
      </c>
      <c r="D4706" s="3" t="s">
        <v>1190</v>
      </c>
      <c r="E4706" s="3" t="s">
        <v>1106</v>
      </c>
      <c r="F4706" s="3" t="s">
        <v>4</v>
      </c>
      <c r="G4706" s="3">
        <v>4.8618012029185302E-2</v>
      </c>
      <c r="H4706" s="3">
        <v>4.7645651788601598E-2</v>
      </c>
      <c r="I4706" s="3">
        <v>4.3756210826266698E-2</v>
      </c>
      <c r="J4706" s="3">
        <v>3.8894409623348197E-2</v>
      </c>
      <c r="K4706" s="3">
        <v>3.4032608420429697E-2</v>
      </c>
      <c r="L4706" s="3">
        <v>2.91708072175112E-2</v>
      </c>
      <c r="M4706" s="3">
        <v>2.4309006014592599E-2</v>
      </c>
      <c r="N4706" s="3">
        <v>1.9447204811674099E-2</v>
      </c>
      <c r="O4706" s="3">
        <v>1.45854036087556E-2</v>
      </c>
      <c r="P4706" s="3">
        <v>9.7236024058370493E-3</v>
      </c>
    </row>
    <row r="4707" spans="1:16" x14ac:dyDescent="0.3">
      <c r="A4707" s="3" t="str">
        <f t="shared" si="74"/>
        <v>WOD</v>
      </c>
      <c r="C4707" s="3" t="s">
        <v>850</v>
      </c>
      <c r="D4707" s="3" t="s">
        <v>1190</v>
      </c>
      <c r="E4707" s="3" t="s">
        <v>1107</v>
      </c>
      <c r="F4707" s="3" t="s">
        <v>2</v>
      </c>
      <c r="G4707" s="3">
        <v>4.3964538402373902E-2</v>
      </c>
    </row>
    <row r="4708" spans="1:16" x14ac:dyDescent="0.3">
      <c r="A4708" s="3" t="str">
        <f t="shared" si="74"/>
        <v>WOD</v>
      </c>
      <c r="C4708" s="3" t="s">
        <v>850</v>
      </c>
      <c r="D4708" s="3" t="s">
        <v>1190</v>
      </c>
      <c r="E4708" s="3" t="s">
        <v>1107</v>
      </c>
      <c r="F4708" s="3" t="s">
        <v>3</v>
      </c>
      <c r="G4708" s="3">
        <v>1.08340215636824E-2</v>
      </c>
      <c r="H4708" s="3">
        <v>1.06173411324088E-2</v>
      </c>
    </row>
    <row r="4709" spans="1:16" x14ac:dyDescent="0.3">
      <c r="A4709" s="3" t="str">
        <f t="shared" si="74"/>
        <v>NGA</v>
      </c>
      <c r="C4709" s="3" t="s">
        <v>850</v>
      </c>
      <c r="D4709" s="3" t="s">
        <v>1190</v>
      </c>
      <c r="E4709" s="3" t="s">
        <v>1109</v>
      </c>
      <c r="F4709" s="3" t="s">
        <v>1</v>
      </c>
      <c r="G4709" s="3">
        <v>0.54292410485028197</v>
      </c>
    </row>
    <row r="4710" spans="1:16" x14ac:dyDescent="0.3">
      <c r="A4710" s="3" t="str">
        <f t="shared" si="74"/>
        <v>NGA</v>
      </c>
      <c r="C4710" s="3" t="s">
        <v>850</v>
      </c>
      <c r="D4710" s="3" t="s">
        <v>1190</v>
      </c>
      <c r="E4710" s="3" t="s">
        <v>1109</v>
      </c>
      <c r="F4710" s="3" t="s">
        <v>3</v>
      </c>
      <c r="G4710" s="3">
        <v>2.2157848652169701E-2</v>
      </c>
      <c r="I4710" s="3">
        <v>2.21578486521695E-2</v>
      </c>
      <c r="J4710" s="3">
        <v>2.21578486521695E-2</v>
      </c>
      <c r="K4710" s="3">
        <v>2.21578486521695E-2</v>
      </c>
      <c r="L4710" s="3">
        <v>2.21578486521695E-2</v>
      </c>
    </row>
    <row r="4711" spans="1:16" x14ac:dyDescent="0.3">
      <c r="A4711" s="3" t="str">
        <f t="shared" si="74"/>
        <v>NGA</v>
      </c>
      <c r="C4711" s="3" t="s">
        <v>850</v>
      </c>
      <c r="D4711" s="3" t="s">
        <v>1190</v>
      </c>
      <c r="E4711" s="3" t="s">
        <v>1109</v>
      </c>
      <c r="F4711" s="3" t="s">
        <v>4</v>
      </c>
      <c r="G4711" s="3">
        <v>0.131191074702874</v>
      </c>
      <c r="I4711" s="3">
        <v>0.131191074702875</v>
      </c>
      <c r="J4711" s="3">
        <v>0.131191074702875</v>
      </c>
      <c r="K4711" s="3">
        <v>0.131191074702875</v>
      </c>
      <c r="L4711" s="3">
        <v>0.131191074702875</v>
      </c>
    </row>
    <row r="4712" spans="1:16" x14ac:dyDescent="0.3">
      <c r="A4712" s="3" t="str">
        <f t="shared" si="74"/>
        <v>NGA</v>
      </c>
      <c r="C4712" s="3" t="s">
        <v>850</v>
      </c>
      <c r="D4712" s="3" t="s">
        <v>1190</v>
      </c>
      <c r="E4712" s="3" t="s">
        <v>1109</v>
      </c>
      <c r="F4712" s="3" t="s">
        <v>8</v>
      </c>
      <c r="G4712" s="3">
        <v>0.51570616822756299</v>
      </c>
      <c r="H4712" s="3">
        <v>0.51570616822756299</v>
      </c>
      <c r="I4712" s="3">
        <v>0.51570616822756299</v>
      </c>
    </row>
    <row r="4713" spans="1:16" x14ac:dyDescent="0.3">
      <c r="A4713" s="3" t="str">
        <f t="shared" si="74"/>
        <v>NGA</v>
      </c>
      <c r="C4713" s="3" t="s">
        <v>850</v>
      </c>
      <c r="D4713" s="3" t="s">
        <v>1190</v>
      </c>
      <c r="E4713" s="3" t="s">
        <v>1239</v>
      </c>
      <c r="F4713" s="3" t="s">
        <v>7</v>
      </c>
      <c r="I4713" s="3">
        <v>1.28695981822643E-2</v>
      </c>
    </row>
    <row r="4714" spans="1:16" x14ac:dyDescent="0.3">
      <c r="A4714" s="3" t="str">
        <f t="shared" si="74"/>
        <v>NGA</v>
      </c>
      <c r="C4714" s="3" t="s">
        <v>850</v>
      </c>
      <c r="D4714" s="3" t="s">
        <v>1190</v>
      </c>
      <c r="E4714" s="3" t="s">
        <v>1239</v>
      </c>
      <c r="F4714" s="3" t="s">
        <v>8</v>
      </c>
      <c r="I4714" s="3">
        <v>0.108352054702893</v>
      </c>
    </row>
    <row r="4715" spans="1:16" x14ac:dyDescent="0.3">
      <c r="A4715" s="3" t="str">
        <f t="shared" si="74"/>
        <v>NGA</v>
      </c>
      <c r="C4715" s="3" t="s">
        <v>850</v>
      </c>
      <c r="D4715" s="3" t="s">
        <v>1190</v>
      </c>
      <c r="E4715" s="3" t="s">
        <v>1240</v>
      </c>
      <c r="F4715" s="3" t="s">
        <v>2</v>
      </c>
      <c r="M4715" s="3">
        <v>2.82305693116303</v>
      </c>
      <c r="N4715" s="3">
        <v>2.82305693116303</v>
      </c>
      <c r="O4715" s="3">
        <v>2.8457282185771295</v>
      </c>
      <c r="P4715" s="3">
        <v>2.9933990000271264</v>
      </c>
    </row>
    <row r="4716" spans="1:16" x14ac:dyDescent="0.3">
      <c r="A4716" s="3" t="str">
        <f t="shared" si="74"/>
        <v>NGA</v>
      </c>
      <c r="C4716" s="3" t="s">
        <v>850</v>
      </c>
      <c r="D4716" s="3" t="s">
        <v>1190</v>
      </c>
      <c r="E4716" s="3" t="s">
        <v>1240</v>
      </c>
      <c r="F4716" s="3" t="s">
        <v>3</v>
      </c>
      <c r="M4716" s="3">
        <v>0.53167478269373303</v>
      </c>
      <c r="N4716" s="3">
        <v>0.53167478269373303</v>
      </c>
      <c r="O4716" s="3">
        <v>0.53594453427975952</v>
      </c>
      <c r="P4716" s="3">
        <v>0.56375581565030342</v>
      </c>
    </row>
    <row r="4717" spans="1:16" x14ac:dyDescent="0.3">
      <c r="A4717" s="3" t="str">
        <f t="shared" si="74"/>
        <v>NGA</v>
      </c>
      <c r="C4717" s="3" t="s">
        <v>850</v>
      </c>
      <c r="D4717" s="3" t="s">
        <v>1190</v>
      </c>
      <c r="E4717" s="3" t="s">
        <v>1240</v>
      </c>
      <c r="F4717" s="3" t="s">
        <v>4</v>
      </c>
      <c r="M4717" s="3">
        <v>4.1630041411954002</v>
      </c>
      <c r="N4717" s="3">
        <v>4.1630041411954002</v>
      </c>
      <c r="O4717" s="3">
        <v>4.1630041411954002</v>
      </c>
      <c r="P4717" s="3">
        <v>4.1630041411954002</v>
      </c>
    </row>
    <row r="4718" spans="1:16" x14ac:dyDescent="0.3">
      <c r="A4718" s="3" t="str">
        <f t="shared" si="74"/>
        <v>NGA</v>
      </c>
      <c r="C4718" s="3" t="s">
        <v>850</v>
      </c>
      <c r="D4718" s="3" t="s">
        <v>1190</v>
      </c>
      <c r="E4718" s="3" t="s">
        <v>1240</v>
      </c>
      <c r="F4718" s="3" t="s">
        <v>5</v>
      </c>
      <c r="M4718" s="3">
        <v>2.23734926650673</v>
      </c>
      <c r="N4718" s="3">
        <v>2.23734926650673</v>
      </c>
      <c r="O4718" s="3">
        <v>2.2553168773284433</v>
      </c>
      <c r="P4718" s="3">
        <v>2.3723499810234272</v>
      </c>
    </row>
    <row r="4719" spans="1:16" x14ac:dyDescent="0.3">
      <c r="A4719" s="3" t="str">
        <f t="shared" si="74"/>
        <v>NGA</v>
      </c>
      <c r="C4719" s="3" t="s">
        <v>850</v>
      </c>
      <c r="D4719" s="3" t="s">
        <v>1190</v>
      </c>
      <c r="E4719" s="3" t="s">
        <v>1240</v>
      </c>
      <c r="F4719" s="3" t="s">
        <v>6</v>
      </c>
      <c r="M4719" s="3">
        <v>0.46141298698557498</v>
      </c>
      <c r="N4719" s="3">
        <v>1.770021740779665</v>
      </c>
      <c r="O4719" s="3">
        <v>1.7851246699669654</v>
      </c>
      <c r="P4719" s="3">
        <v>2.0398307519315573</v>
      </c>
    </row>
    <row r="4720" spans="1:16" x14ac:dyDescent="0.3">
      <c r="A4720" s="3" t="str">
        <f t="shared" si="74"/>
        <v>NGA</v>
      </c>
      <c r="C4720" s="3" t="s">
        <v>850</v>
      </c>
      <c r="D4720" s="3" t="s">
        <v>1190</v>
      </c>
      <c r="E4720" s="3" t="s">
        <v>1240</v>
      </c>
      <c r="F4720" s="3" t="s">
        <v>7</v>
      </c>
      <c r="M4720" s="3">
        <v>0.114452853127595</v>
      </c>
      <c r="N4720" s="3">
        <v>0.114452853127595</v>
      </c>
      <c r="O4720" s="3">
        <v>0.11537199630886623</v>
      </c>
      <c r="P4720" s="3">
        <v>0.1213588901876123</v>
      </c>
    </row>
    <row r="4721" spans="1:16" x14ac:dyDescent="0.3">
      <c r="A4721" s="3" t="str">
        <f t="shared" si="74"/>
        <v>NGA</v>
      </c>
      <c r="C4721" s="3" t="s">
        <v>850</v>
      </c>
      <c r="D4721" s="3" t="s">
        <v>1190</v>
      </c>
      <c r="E4721" s="3" t="s">
        <v>1240</v>
      </c>
      <c r="F4721" s="3" t="s">
        <v>8</v>
      </c>
      <c r="M4721" s="3">
        <v>1.4865818891345</v>
      </c>
      <c r="N4721" s="3">
        <v>1.4865818891345</v>
      </c>
      <c r="O4721" s="3">
        <v>1.4990739154599302</v>
      </c>
      <c r="P4721" s="3">
        <v>1.6686596939115752</v>
      </c>
    </row>
    <row r="4722" spans="1:16" x14ac:dyDescent="0.3">
      <c r="A4722" s="3" t="str">
        <f t="shared" si="74"/>
        <v>COA</v>
      </c>
      <c r="C4722" s="3" t="s">
        <v>850</v>
      </c>
      <c r="D4722" s="3" t="s">
        <v>1190</v>
      </c>
      <c r="E4722" s="3" t="s">
        <v>1241</v>
      </c>
      <c r="F4722" s="3" t="s">
        <v>0</v>
      </c>
      <c r="H4722" s="3">
        <v>1.5212015680033999</v>
      </c>
      <c r="I4722" s="3">
        <v>5.3152725093167097E-2</v>
      </c>
      <c r="J4722" s="3">
        <v>1.5212015680033999</v>
      </c>
      <c r="K4722" s="3">
        <v>1.5212015680033999</v>
      </c>
      <c r="L4722" s="3">
        <v>1.5212015680033999</v>
      </c>
      <c r="M4722" s="3">
        <v>1.5212015680033999</v>
      </c>
      <c r="N4722" s="3">
        <v>1.5212015680033999</v>
      </c>
      <c r="O4722" s="3">
        <v>1.53341796986985</v>
      </c>
      <c r="P4722" s="3">
        <v>1.6129902313465201</v>
      </c>
    </row>
    <row r="4723" spans="1:16" x14ac:dyDescent="0.3">
      <c r="A4723" s="3" t="str">
        <f t="shared" si="74"/>
        <v>COA</v>
      </c>
      <c r="C4723" s="3" t="s">
        <v>850</v>
      </c>
      <c r="D4723" s="3" t="s">
        <v>1190</v>
      </c>
      <c r="E4723" s="3" t="s">
        <v>1241</v>
      </c>
      <c r="F4723" s="3" t="s">
        <v>1</v>
      </c>
      <c r="H4723" s="3">
        <v>0.16082009557350099</v>
      </c>
      <c r="I4723" s="3">
        <v>7.4240398936416402E-2</v>
      </c>
      <c r="J4723" s="3">
        <v>0.16999182209182601</v>
      </c>
      <c r="K4723" s="3">
        <v>0.16999182209182601</v>
      </c>
      <c r="L4723" s="3">
        <v>0.16999182209182601</v>
      </c>
      <c r="M4723" s="3">
        <v>0.16999182209182601</v>
      </c>
      <c r="N4723" s="3">
        <v>0.16999182209182601</v>
      </c>
      <c r="O4723" s="3">
        <v>0.17410452532308501</v>
      </c>
      <c r="P4723" s="3">
        <v>0.20089286287706001</v>
      </c>
    </row>
    <row r="4724" spans="1:16" x14ac:dyDescent="0.3">
      <c r="A4724" s="3" t="str">
        <f t="shared" si="74"/>
        <v>COA</v>
      </c>
      <c r="C4724" s="3" t="s">
        <v>850</v>
      </c>
      <c r="D4724" s="3" t="s">
        <v>1190</v>
      </c>
      <c r="E4724" s="3" t="s">
        <v>1241</v>
      </c>
      <c r="F4724" s="3" t="s">
        <v>2</v>
      </c>
      <c r="H4724" s="3">
        <v>0.34694783771618998</v>
      </c>
      <c r="J4724" s="3">
        <v>0.34694783771618998</v>
      </c>
      <c r="K4724" s="3">
        <v>0.34694783771618998</v>
      </c>
      <c r="L4724" s="3">
        <v>0.34694783771618998</v>
      </c>
    </row>
    <row r="4725" spans="1:16" x14ac:dyDescent="0.3">
      <c r="A4725" s="3" t="str">
        <f t="shared" si="74"/>
        <v>COA</v>
      </c>
      <c r="C4725" s="3" t="s">
        <v>850</v>
      </c>
      <c r="D4725" s="3" t="s">
        <v>1190</v>
      </c>
      <c r="E4725" s="3" t="s">
        <v>1241</v>
      </c>
      <c r="F4725" s="3" t="s">
        <v>3</v>
      </c>
      <c r="H4725" s="3">
        <v>5.8528444770234202E-2</v>
      </c>
      <c r="J4725" s="3">
        <v>6.2311824051432201E-2</v>
      </c>
      <c r="K4725" s="3">
        <v>6.2311824051432201E-2</v>
      </c>
      <c r="L4725" s="3">
        <v>6.2311824051432201E-2</v>
      </c>
    </row>
    <row r="4726" spans="1:16" x14ac:dyDescent="0.3">
      <c r="A4726" s="3" t="str">
        <f t="shared" si="74"/>
        <v>COA</v>
      </c>
      <c r="C4726" s="3" t="s">
        <v>850</v>
      </c>
      <c r="D4726" s="3" t="s">
        <v>1190</v>
      </c>
      <c r="E4726" s="3" t="s">
        <v>1241</v>
      </c>
      <c r="F4726" s="3" t="s">
        <v>4</v>
      </c>
      <c r="H4726" s="3">
        <v>0.169197798680989</v>
      </c>
      <c r="J4726" s="3">
        <v>0.18060802477608401</v>
      </c>
      <c r="K4726" s="3">
        <v>0.18060802477608401</v>
      </c>
      <c r="L4726" s="3">
        <v>0.18060802477608401</v>
      </c>
    </row>
    <row r="4727" spans="1:16" x14ac:dyDescent="0.3">
      <c r="A4727" s="3" t="str">
        <f t="shared" si="74"/>
        <v>COA</v>
      </c>
      <c r="C4727" s="3" t="s">
        <v>850</v>
      </c>
      <c r="D4727" s="3" t="s">
        <v>1190</v>
      </c>
      <c r="E4727" s="3" t="s">
        <v>1241</v>
      </c>
      <c r="F4727" s="3" t="s">
        <v>5</v>
      </c>
      <c r="H4727" s="3">
        <v>0.257923921743689</v>
      </c>
      <c r="J4727" s="3">
        <v>0.27496558133902799</v>
      </c>
      <c r="K4727" s="3">
        <v>0.27496558133902799</v>
      </c>
      <c r="L4727" s="3">
        <v>0.27496558133902799</v>
      </c>
    </row>
    <row r="4728" spans="1:16" x14ac:dyDescent="0.3">
      <c r="A4728" s="3" t="str">
        <f t="shared" si="74"/>
        <v>COA</v>
      </c>
      <c r="C4728" s="3" t="s">
        <v>850</v>
      </c>
      <c r="D4728" s="3" t="s">
        <v>1190</v>
      </c>
      <c r="E4728" s="3" t="s">
        <v>1241</v>
      </c>
      <c r="F4728" s="3" t="s">
        <v>6</v>
      </c>
      <c r="J4728" s="3">
        <v>5.67066984592699E-2</v>
      </c>
      <c r="K4728" s="3">
        <v>5.67066984592699E-2</v>
      </c>
      <c r="L4728" s="3">
        <v>5.6706698459269803E-2</v>
      </c>
    </row>
    <row r="4729" spans="1:16" x14ac:dyDescent="0.3">
      <c r="A4729" s="3" t="str">
        <f t="shared" si="74"/>
        <v>COA</v>
      </c>
      <c r="C4729" s="3" t="s">
        <v>850</v>
      </c>
      <c r="D4729" s="3" t="s">
        <v>1190</v>
      </c>
      <c r="E4729" s="3" t="s">
        <v>1241</v>
      </c>
      <c r="F4729" s="3" t="s">
        <v>7</v>
      </c>
      <c r="H4729" s="3">
        <v>1.4066018107792301E-2</v>
      </c>
      <c r="J4729" s="3">
        <v>1.4066018107792301E-2</v>
      </c>
      <c r="K4729" s="3">
        <v>1.4066018107792301E-2</v>
      </c>
      <c r="L4729" s="3">
        <v>1.4066018107792301E-2</v>
      </c>
    </row>
    <row r="4730" spans="1:16" x14ac:dyDescent="0.3">
      <c r="A4730" s="3" t="str">
        <f t="shared" si="74"/>
        <v>COA</v>
      </c>
      <c r="C4730" s="3" t="s">
        <v>850</v>
      </c>
      <c r="D4730" s="3" t="s">
        <v>1190</v>
      </c>
      <c r="E4730" s="3" t="s">
        <v>1241</v>
      </c>
      <c r="F4730" s="3" t="s">
        <v>8</v>
      </c>
      <c r="H4730" s="3">
        <v>0.12288627570913099</v>
      </c>
      <c r="J4730" s="3">
        <v>0.19340484602338001</v>
      </c>
      <c r="K4730" s="3">
        <v>0.19340484602337901</v>
      </c>
      <c r="L4730" s="3">
        <v>0.19340484602337901</v>
      </c>
      <c r="M4730" s="3">
        <v>1.0707017180521999E-2</v>
      </c>
      <c r="N4730" s="3">
        <v>1.0707017180521999E-2</v>
      </c>
      <c r="O4730" s="3">
        <v>1.0724960612201601E-2</v>
      </c>
    </row>
    <row r="4731" spans="1:16" x14ac:dyDescent="0.3">
      <c r="A4731" s="3" t="str">
        <f t="shared" si="74"/>
        <v>TOM</v>
      </c>
      <c r="C4731" s="3" t="s">
        <v>850</v>
      </c>
      <c r="D4731" s="3" t="s">
        <v>1190</v>
      </c>
      <c r="E4731" s="3" t="s">
        <v>1243</v>
      </c>
      <c r="F4731" s="3" t="s">
        <v>0</v>
      </c>
      <c r="I4731" s="3">
        <v>0.77045094540964398</v>
      </c>
      <c r="J4731" s="3">
        <v>0.87512492566565203</v>
      </c>
      <c r="K4731" s="3">
        <v>1.2478681575090771</v>
      </c>
      <c r="L4731" s="3">
        <v>1.2478681575090771</v>
      </c>
      <c r="M4731" s="3">
        <v>1.2478681575090771</v>
      </c>
      <c r="N4731" s="3">
        <v>2.3660978530393573</v>
      </c>
      <c r="O4731" s="3">
        <v>2.3850994126196761</v>
      </c>
      <c r="P4731" s="3">
        <v>2.50886720316208</v>
      </c>
    </row>
    <row r="4732" spans="1:16" x14ac:dyDescent="0.3">
      <c r="A4732" s="3" t="str">
        <f t="shared" si="74"/>
        <v>TOM</v>
      </c>
      <c r="C4732" s="3" t="s">
        <v>850</v>
      </c>
      <c r="D4732" s="3" t="s">
        <v>1190</v>
      </c>
      <c r="E4732" s="3" t="s">
        <v>1243</v>
      </c>
      <c r="F4732" s="3" t="s">
        <v>1</v>
      </c>
      <c r="I4732" s="3">
        <v>0.75745508329098599</v>
      </c>
      <c r="J4732" s="3">
        <v>1.160115697114849</v>
      </c>
      <c r="K4732" s="3">
        <v>1.1419489702459509</v>
      </c>
      <c r="L4732" s="3">
        <v>1.160115697114849</v>
      </c>
      <c r="M4732" s="3">
        <v>1.160115697114849</v>
      </c>
      <c r="N4732" s="3">
        <v>1.160115697114849</v>
      </c>
      <c r="O4732" s="3">
        <v>1.160115697114849</v>
      </c>
      <c r="P4732" s="3">
        <v>1.339922910490106</v>
      </c>
    </row>
    <row r="4733" spans="1:16" x14ac:dyDescent="0.3">
      <c r="A4733" s="3" t="str">
        <f t="shared" si="74"/>
        <v>TOM</v>
      </c>
      <c r="C4733" s="3" t="s">
        <v>850</v>
      </c>
      <c r="D4733" s="3" t="s">
        <v>1190</v>
      </c>
      <c r="E4733" s="3" t="s">
        <v>1243</v>
      </c>
      <c r="F4733" s="3" t="s">
        <v>2</v>
      </c>
      <c r="I4733" s="3">
        <v>0.24603175196396199</v>
      </c>
      <c r="J4733" s="3">
        <v>0.24603175196396199</v>
      </c>
      <c r="K4733" s="3">
        <v>0.24603175196396199</v>
      </c>
      <c r="L4733" s="3">
        <v>0.24603175196396199</v>
      </c>
      <c r="M4733" s="3">
        <v>0.24603175196396199</v>
      </c>
      <c r="N4733" s="3">
        <v>0.24603175196396199</v>
      </c>
      <c r="O4733" s="3">
        <v>0.24800757345739236</v>
      </c>
      <c r="P4733" s="3">
        <v>0.26087720448501128</v>
      </c>
    </row>
    <row r="4734" spans="1:16" x14ac:dyDescent="0.3">
      <c r="A4734" s="3" t="str">
        <f t="shared" si="74"/>
        <v>TOM</v>
      </c>
      <c r="C4734" s="3" t="s">
        <v>850</v>
      </c>
      <c r="D4734" s="3" t="s">
        <v>1190</v>
      </c>
      <c r="E4734" s="3" t="s">
        <v>1243</v>
      </c>
      <c r="F4734" s="3" t="s">
        <v>3</v>
      </c>
      <c r="I4734" s="3">
        <v>4.9864320545372598E-2</v>
      </c>
      <c r="J4734" s="3">
        <v>4.9864320545372598E-2</v>
      </c>
      <c r="K4734" s="3">
        <v>4.9864320545372501E-2</v>
      </c>
      <c r="L4734" s="3">
        <v>4.9864320545372598E-2</v>
      </c>
      <c r="M4734" s="3">
        <v>4.9864320545372501E-2</v>
      </c>
      <c r="N4734" s="3">
        <v>4.9864320545372598E-2</v>
      </c>
      <c r="O4734" s="3">
        <v>5.0264768843213688E-2</v>
      </c>
      <c r="P4734" s="3">
        <v>5.2873112692083397E-2</v>
      </c>
    </row>
    <row r="4735" spans="1:16" x14ac:dyDescent="0.3">
      <c r="A4735" s="3" t="str">
        <f t="shared" si="74"/>
        <v>TOM</v>
      </c>
      <c r="C4735" s="3" t="s">
        <v>850</v>
      </c>
      <c r="D4735" s="3" t="s">
        <v>1190</v>
      </c>
      <c r="E4735" s="3" t="s">
        <v>1243</v>
      </c>
      <c r="F4735" s="3" t="s">
        <v>4</v>
      </c>
      <c r="I4735" s="3">
        <v>0.94970443898176404</v>
      </c>
      <c r="J4735" s="3">
        <v>0.9545662401846825</v>
      </c>
      <c r="K4735" s="3">
        <v>0.95942804138760096</v>
      </c>
      <c r="L4735" s="3">
        <v>0.96428984259051986</v>
      </c>
      <c r="M4735" s="3">
        <v>0.9691516437934381</v>
      </c>
      <c r="N4735" s="3">
        <v>0.97401344499635678</v>
      </c>
      <c r="O4735" s="3">
        <v>0.98685348839402576</v>
      </c>
      <c r="P4735" s="3">
        <v>1.0436820455194129</v>
      </c>
    </row>
    <row r="4736" spans="1:16" x14ac:dyDescent="0.3">
      <c r="A4736" s="3" t="str">
        <f t="shared" si="74"/>
        <v>TOM</v>
      </c>
      <c r="C4736" s="3" t="s">
        <v>850</v>
      </c>
      <c r="D4736" s="3" t="s">
        <v>1190</v>
      </c>
      <c r="E4736" s="3" t="s">
        <v>1243</v>
      </c>
      <c r="F4736" s="3" t="s">
        <v>5</v>
      </c>
      <c r="I4736" s="3">
        <v>0.598328279008977</v>
      </c>
      <c r="J4736" s="3">
        <v>0.62915433257834308</v>
      </c>
      <c r="K4736" s="3">
        <v>0.62915433257834308</v>
      </c>
      <c r="L4736" s="3">
        <v>0.62915433257834308</v>
      </c>
      <c r="M4736" s="3">
        <v>0.62915433257834308</v>
      </c>
      <c r="N4736" s="3">
        <v>0.62915433257834308</v>
      </c>
      <c r="O4736" s="3">
        <v>0.63420691885255154</v>
      </c>
      <c r="P4736" s="3">
        <v>0.66711724061011668</v>
      </c>
    </row>
    <row r="4737" spans="1:16" x14ac:dyDescent="0.3">
      <c r="A4737" s="3" t="str">
        <f t="shared" si="74"/>
        <v>TOM</v>
      </c>
      <c r="C4737" s="3" t="s">
        <v>850</v>
      </c>
      <c r="D4737" s="3" t="s">
        <v>1190</v>
      </c>
      <c r="E4737" s="3" t="s">
        <v>1243</v>
      </c>
      <c r="F4737" s="3" t="s">
        <v>6</v>
      </c>
      <c r="J4737" s="3">
        <v>0.39236671996370498</v>
      </c>
      <c r="K4737" s="3">
        <v>0.39236671996370498</v>
      </c>
      <c r="L4737" s="3">
        <v>0.39236671996370498</v>
      </c>
      <c r="M4737" s="3">
        <v>0.39236671996370498</v>
      </c>
      <c r="N4737" s="3">
        <v>0.39236671996370498</v>
      </c>
      <c r="O4737" s="3">
        <v>0.3955177221917619</v>
      </c>
      <c r="P4737" s="3">
        <v>0.41604196295800761</v>
      </c>
    </row>
    <row r="4738" spans="1:16" x14ac:dyDescent="0.3">
      <c r="A4738" s="3" t="str">
        <f t="shared" si="74"/>
        <v>TOM</v>
      </c>
      <c r="C4738" s="3" t="s">
        <v>850</v>
      </c>
      <c r="D4738" s="3" t="s">
        <v>1190</v>
      </c>
      <c r="E4738" s="3" t="s">
        <v>1243</v>
      </c>
      <c r="F4738" s="3" t="s">
        <v>7</v>
      </c>
      <c r="I4738" s="3">
        <v>5.4824191322376701E-3</v>
      </c>
      <c r="J4738" s="3">
        <v>5.4824191322376701E-3</v>
      </c>
      <c r="K4738" s="3">
        <v>5.4824191322376797E-3</v>
      </c>
      <c r="L4738" s="3">
        <v>5.4824191322376797E-3</v>
      </c>
      <c r="M4738" s="3">
        <v>5.4824191322376701E-3</v>
      </c>
      <c r="N4738" s="3">
        <v>5.4824191322376797E-3</v>
      </c>
      <c r="O4738" s="3">
        <v>5.526447114280633E-3</v>
      </c>
      <c r="P4738" s="3">
        <v>5.8132259987434117E-3</v>
      </c>
    </row>
    <row r="4739" spans="1:16" x14ac:dyDescent="0.3">
      <c r="A4739" s="3" t="str">
        <f t="shared" si="74"/>
        <v>TOM</v>
      </c>
      <c r="C4739" s="3" t="s">
        <v>850</v>
      </c>
      <c r="D4739" s="3" t="s">
        <v>1190</v>
      </c>
      <c r="E4739" s="3" t="s">
        <v>1243</v>
      </c>
      <c r="F4739" s="3" t="s">
        <v>8</v>
      </c>
      <c r="I4739" s="3">
        <v>4.2488748274841899E-2</v>
      </c>
      <c r="J4739" s="3">
        <v>4.2488748274841899E-2</v>
      </c>
      <c r="K4739" s="3">
        <v>4.2488748274841899E-2</v>
      </c>
      <c r="L4739" s="3">
        <v>4.2488748274841899E-2</v>
      </c>
      <c r="M4739" s="3">
        <v>4.2488748274841899E-2</v>
      </c>
      <c r="N4739" s="3">
        <v>4.2488748274841899E-2</v>
      </c>
      <c r="O4739" s="3">
        <v>4.2829965135674802E-2</v>
      </c>
      <c r="P4739" s="3">
        <v>4.5052501490261632E-2</v>
      </c>
    </row>
  </sheetData>
  <sortState xmlns:xlrd2="http://schemas.microsoft.com/office/spreadsheetml/2017/richdata2" ref="A8:P2228">
    <sortCondition ref="D8:D222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50DEAB-2560-42CA-AB88-046B245CA2D0}"/>
</file>

<file path=customXml/itemProps2.xml><?xml version="1.0" encoding="utf-8"?>
<ds:datastoreItem xmlns:ds="http://schemas.openxmlformats.org/officeDocument/2006/customXml" ds:itemID="{A1FBC5DA-4DB0-4E91-896D-D0B2608B5C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</vt:lpstr>
      <vt:lpstr>Industrial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VikrantBaliyan</dc:creator>
  <cp:lastModifiedBy>Lenox, Carol</cp:lastModifiedBy>
  <cp:lastPrinted>2019-07-18T19:08:47Z</cp:lastPrinted>
  <dcterms:created xsi:type="dcterms:W3CDTF">2016-03-11T09:26:02Z</dcterms:created>
  <dcterms:modified xsi:type="dcterms:W3CDTF">2020-08-14T19:32:06Z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90389430522918</vt:r8>
  </property>
  <property fmtid="{D5CDD505-2E9C-101B-9397-08002B2CF9AE}" pid="3" name="WorkbookGuid">
    <vt:lpwstr>db602855-651b-4d40-b311-63a09cb482f5</vt:lpwstr>
  </property>
</Properties>
</file>