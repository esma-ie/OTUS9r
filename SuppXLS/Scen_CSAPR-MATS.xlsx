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2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drawings/drawing7.xml" ContentType="application/vnd.openxmlformats-officedocument.drawing+xml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drawings/drawing10.xml" ContentType="application/vnd.openxmlformats-officedocument.drawing+xml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drawings/drawing11.xml" ContentType="application/vnd.openxmlformats-officedocument.drawing+xml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drawings/drawing12.xml" ContentType="application/vnd.openxmlformats-officedocument.drawing+xml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codeName="ThisWorkbook"/>
  <mc:AlternateContent xmlns:mc="http://schemas.openxmlformats.org/markup-compatibility/2006">
    <mc:Choice Requires="x15">
      <x15ac:absPath xmlns:x15ac="http://schemas.microsoft.com/office/spreadsheetml/2010/11/ac" url="M:\TIMES workbooks\Workbooks_18.1.0\"/>
    </mc:Choice>
  </mc:AlternateContent>
  <bookViews>
    <workbookView xWindow="1740" yWindow="-120" windowWidth="18408" windowHeight="12240" tabRatio="847" firstSheet="8" activeTab="8"/>
  </bookViews>
  <sheets>
    <sheet name="ANSv6.0-Technologies" sheetId="11" state="veryHidden" r:id="rId1"/>
    <sheet name="ANSv6.0-Commodities" sheetId="10" state="veryHidden" r:id="rId2"/>
    <sheet name="ANSv6.1-Commodities" sheetId="1" state="veryHidden" r:id="rId3"/>
    <sheet name="ANSv6.1-Technologies" sheetId="2" state="veryHidden" r:id="rId4"/>
    <sheet name="ANSv6.1-Constraints" sheetId="7" state="veryHidden" r:id="rId5"/>
    <sheet name="ANSv6.1-CommData" sheetId="4" state="veryHidden" r:id="rId6"/>
    <sheet name="ANSv6.1-TechData" sheetId="3" state="veryHidden" r:id="rId7"/>
    <sheet name="ANSv6.1-ConstrData" sheetId="8" state="veryHidden" r:id="rId8"/>
    <sheet name="CSAPR_TOT" sheetId="127" r:id="rId9"/>
    <sheet name="CSAPR_REG" sheetId="128" r:id="rId10"/>
    <sheet name="ANSv6.0-ConstrData" sheetId="42" state="veryHidden" r:id="rId11"/>
    <sheet name="ANSv6.0-TechData" sheetId="21" state="veryHidden" r:id="rId12"/>
    <sheet name="ANSv6.0-CommData" sheetId="18" state="veryHidden" r:id="rId13"/>
    <sheet name="ANSv6.0-Constraints" sheetId="17" state="veryHidden" r:id="rId14"/>
    <sheet name="NEI11v1 Summary" sheetId="126" r:id="rId15"/>
    <sheet name="HistoricData" sheetId="78" r:id="rId16"/>
    <sheet name="AKandHI" sheetId="119" r:id="rId17"/>
    <sheet name="IPMSummary" sheetId="125" r:id="rId18"/>
    <sheet name="IPMProjections" sheetId="122" r:id="rId19"/>
    <sheet name="DataSummaryMATS" sheetId="121" r:id="rId20"/>
    <sheet name="RegXWalk" sheetId="123" r:id="rId21"/>
    <sheet name="Conversions" sheetId="51" r:id="rId22"/>
  </sheets>
  <externalReferences>
    <externalReference r:id="rId23"/>
  </externalReferences>
  <definedNames>
    <definedName name="_1_2007_InternetDataFile_ExistGenUnits">#REF!</definedName>
    <definedName name="AnswerData">#REF!</definedName>
    <definedName name="bprint">#REF!</definedName>
    <definedName name="cprint">#REF!</definedName>
    <definedName name="exch_rate">#REF!</definedName>
    <definedName name="fitfile">[1]MODEL!$D$38</definedName>
    <definedName name="INF">[1]MODEL!$H$14</definedName>
    <definedName name="PPP">[1]MODEL!$D$12</definedName>
    <definedName name="PPPEX">[1]MODEL!$D$13</definedName>
    <definedName name="rail_coal">#REF!</definedName>
  </definedNames>
  <calcPr calcId="171027"/>
  <pivotCaches>
    <pivotCache cacheId="0" r:id="rId24"/>
    <pivotCache cacheId="1" r:id="rId25"/>
  </pivotCaches>
</workbook>
</file>

<file path=xl/calcChain.xml><?xml version="1.0" encoding="utf-8"?>
<calcChain xmlns="http://schemas.openxmlformats.org/spreadsheetml/2006/main">
  <c r="O16" i="128" l="1"/>
  <c r="N16" i="128"/>
  <c r="M16" i="128"/>
  <c r="L16" i="128"/>
  <c r="K16" i="128"/>
  <c r="J16" i="128"/>
  <c r="I16" i="128"/>
  <c r="H16" i="128"/>
  <c r="G16" i="128"/>
  <c r="K14" i="128"/>
  <c r="J14" i="128"/>
  <c r="I14" i="128"/>
  <c r="H14" i="128"/>
  <c r="O13" i="128"/>
  <c r="N13" i="128"/>
  <c r="M13" i="128"/>
  <c r="L13" i="128"/>
  <c r="K13" i="128"/>
  <c r="J13" i="128"/>
  <c r="I13" i="128"/>
  <c r="H13" i="128"/>
  <c r="L11" i="128"/>
  <c r="K11" i="128"/>
  <c r="G13" i="128"/>
  <c r="O12" i="128"/>
  <c r="N12" i="128"/>
  <c r="M12" i="128"/>
  <c r="M11" i="128" s="1"/>
  <c r="L12" i="128"/>
  <c r="K12" i="128"/>
  <c r="J12" i="128"/>
  <c r="I12" i="128"/>
  <c r="H12" i="128"/>
  <c r="H11" i="128" s="1"/>
  <c r="G12" i="128"/>
  <c r="O10" i="128"/>
  <c r="N10" i="128"/>
  <c r="M10" i="128"/>
  <c r="L10" i="128"/>
  <c r="K10" i="128"/>
  <c r="J10" i="128"/>
  <c r="I10" i="128"/>
  <c r="H10" i="128"/>
  <c r="G10" i="128"/>
  <c r="K8" i="128"/>
  <c r="J8" i="128"/>
  <c r="I8" i="128"/>
  <c r="H8" i="128"/>
  <c r="O7" i="128"/>
  <c r="N7" i="128"/>
  <c r="M7" i="128"/>
  <c r="L7" i="128"/>
  <c r="K7" i="128"/>
  <c r="J7" i="128"/>
  <c r="I7" i="128"/>
  <c r="H7" i="128"/>
  <c r="G7" i="128"/>
  <c r="M5" i="128"/>
  <c r="O6" i="128"/>
  <c r="O5" i="128" s="1"/>
  <c r="N6" i="128"/>
  <c r="M6" i="128"/>
  <c r="L6" i="128"/>
  <c r="K6" i="128"/>
  <c r="J6" i="128"/>
  <c r="I6" i="128"/>
  <c r="H6" i="128"/>
  <c r="G6" i="128"/>
  <c r="O4" i="128"/>
  <c r="N4" i="128"/>
  <c r="M4" i="128"/>
  <c r="L4" i="128"/>
  <c r="L5" i="128" s="1"/>
  <c r="K4" i="128"/>
  <c r="K5" i="128" s="1"/>
  <c r="J4" i="128"/>
  <c r="J5" i="128" s="1"/>
  <c r="I4" i="128"/>
  <c r="I5" i="128" s="1"/>
  <c r="H4" i="128"/>
  <c r="G4" i="128"/>
  <c r="H19" i="127"/>
  <c r="H18" i="127"/>
  <c r="H17" i="127"/>
  <c r="H16" i="127"/>
  <c r="H14" i="127"/>
  <c r="H13" i="127"/>
  <c r="H12" i="127"/>
  <c r="H11" i="127"/>
  <c r="H9" i="127"/>
  <c r="H10" i="127" s="1"/>
  <c r="H7" i="127"/>
  <c r="H6" i="127"/>
  <c r="J11" i="128" l="1"/>
  <c r="I11" i="128"/>
  <c r="G5" i="128"/>
  <c r="N5" i="128"/>
  <c r="N11" i="128"/>
  <c r="H5" i="128"/>
  <c r="G11" i="128"/>
  <c r="O11" i="128"/>
  <c r="H8" i="127"/>
  <c r="AT56" i="122"/>
  <c r="AS56" i="122"/>
  <c r="AR56" i="122"/>
  <c r="AQ56" i="122"/>
  <c r="AP56" i="122"/>
  <c r="AO56" i="122"/>
  <c r="AN56" i="122"/>
  <c r="AM56" i="122"/>
  <c r="AL56" i="122"/>
  <c r="AK56" i="122"/>
  <c r="AJ56" i="122"/>
  <c r="AI56" i="122"/>
  <c r="AH56" i="122"/>
  <c r="AG56" i="122"/>
  <c r="AF56" i="122"/>
  <c r="AE56" i="122"/>
  <c r="AD56" i="122"/>
  <c r="AC56" i="122"/>
  <c r="AB56" i="122"/>
  <c r="AA56" i="122"/>
  <c r="Z56" i="122"/>
  <c r="Y56" i="122"/>
  <c r="X56" i="122"/>
  <c r="W56" i="122"/>
  <c r="V56" i="122"/>
  <c r="U56" i="122"/>
  <c r="T56" i="122"/>
  <c r="S56" i="122"/>
  <c r="Q56" i="122"/>
  <c r="P56" i="122"/>
  <c r="O56" i="122"/>
  <c r="N56" i="122"/>
  <c r="M56" i="122"/>
  <c r="L56" i="122"/>
  <c r="K56" i="122"/>
  <c r="I56" i="122"/>
  <c r="H56" i="122"/>
  <c r="G56" i="122"/>
  <c r="F56" i="122"/>
  <c r="E56" i="122"/>
  <c r="D56" i="122"/>
  <c r="C56" i="122"/>
  <c r="J6" i="122"/>
  <c r="A55" i="122" l="1"/>
  <c r="A54" i="122"/>
  <c r="J54" i="122" s="1"/>
  <c r="A53" i="122"/>
  <c r="J53" i="122" s="1"/>
  <c r="A52" i="122"/>
  <c r="J52" i="122" s="1"/>
  <c r="A51" i="122"/>
  <c r="A50" i="122"/>
  <c r="J50" i="122" s="1"/>
  <c r="A49" i="122"/>
  <c r="A48" i="122"/>
  <c r="J48" i="122" s="1"/>
  <c r="A47" i="122"/>
  <c r="A46" i="122"/>
  <c r="J46" i="122" s="1"/>
  <c r="A45" i="122"/>
  <c r="J45" i="122" s="1"/>
  <c r="A44" i="122"/>
  <c r="J44" i="122" s="1"/>
  <c r="A43" i="122"/>
  <c r="A42" i="122"/>
  <c r="J42" i="122" s="1"/>
  <c r="A41" i="122"/>
  <c r="A40" i="122"/>
  <c r="J40" i="122" s="1"/>
  <c r="A39" i="122"/>
  <c r="A38" i="122"/>
  <c r="J38" i="122" s="1"/>
  <c r="A37" i="122"/>
  <c r="J37" i="122" s="1"/>
  <c r="A36" i="122"/>
  <c r="J36" i="122" s="1"/>
  <c r="A35" i="122"/>
  <c r="A34" i="122"/>
  <c r="J34" i="122" s="1"/>
  <c r="A33" i="122"/>
  <c r="A32" i="122"/>
  <c r="J32" i="122" s="1"/>
  <c r="A31" i="122"/>
  <c r="A30" i="122"/>
  <c r="J30" i="122" s="1"/>
  <c r="A29" i="122"/>
  <c r="J29" i="122" s="1"/>
  <c r="A28" i="122"/>
  <c r="J28" i="122" s="1"/>
  <c r="A27" i="122"/>
  <c r="A26" i="122"/>
  <c r="J26" i="122" s="1"/>
  <c r="A25" i="122"/>
  <c r="A24" i="122"/>
  <c r="J24" i="122" s="1"/>
  <c r="A23" i="122"/>
  <c r="A22" i="122"/>
  <c r="J22" i="122" s="1"/>
  <c r="A21" i="122"/>
  <c r="J21" i="122" s="1"/>
  <c r="A20" i="122"/>
  <c r="J20" i="122" s="1"/>
  <c r="A19" i="122"/>
  <c r="A18" i="122"/>
  <c r="J18" i="122" s="1"/>
  <c r="A17" i="122"/>
  <c r="A16" i="122"/>
  <c r="J16" i="122" s="1"/>
  <c r="A15" i="122"/>
  <c r="A14" i="122"/>
  <c r="J14" i="122" s="1"/>
  <c r="A13" i="122"/>
  <c r="J13" i="122" s="1"/>
  <c r="A12" i="122"/>
  <c r="J12" i="122" s="1"/>
  <c r="A11" i="122"/>
  <c r="A10" i="122"/>
  <c r="J10" i="122" s="1"/>
  <c r="A9" i="122"/>
  <c r="A8" i="122"/>
  <c r="J8" i="122" s="1"/>
  <c r="A7" i="122"/>
  <c r="R54" i="122"/>
  <c r="R52" i="122"/>
  <c r="R50" i="122"/>
  <c r="R38" i="122"/>
  <c r="R36" i="122"/>
  <c r="R32" i="122"/>
  <c r="R22" i="122"/>
  <c r="R14" i="122"/>
  <c r="R12" i="122"/>
  <c r="R37" i="122" l="1"/>
  <c r="R8" i="122"/>
  <c r="R53" i="122"/>
  <c r="R9" i="122"/>
  <c r="J9" i="122"/>
  <c r="R25" i="122"/>
  <c r="J25" i="122"/>
  <c r="R33" i="122"/>
  <c r="J33" i="122"/>
  <c r="R41" i="122"/>
  <c r="J41" i="122"/>
  <c r="R49" i="122"/>
  <c r="J49" i="122"/>
  <c r="R16" i="122"/>
  <c r="R11" i="122"/>
  <c r="J11" i="122"/>
  <c r="R19" i="122"/>
  <c r="J19" i="122"/>
  <c r="R27" i="122"/>
  <c r="J27" i="122"/>
  <c r="R35" i="122"/>
  <c r="J35" i="122"/>
  <c r="R43" i="122"/>
  <c r="J43" i="122"/>
  <c r="R51" i="122"/>
  <c r="J51" i="122"/>
  <c r="R21" i="122"/>
  <c r="R40" i="122"/>
  <c r="R17" i="122"/>
  <c r="J17" i="122"/>
  <c r="R48" i="122"/>
  <c r="R24" i="122"/>
  <c r="R30" i="122"/>
  <c r="R7" i="122"/>
  <c r="J7" i="122"/>
  <c r="R15" i="122"/>
  <c r="J15" i="122"/>
  <c r="R23" i="122"/>
  <c r="J23" i="122"/>
  <c r="R31" i="122"/>
  <c r="J31" i="122"/>
  <c r="R39" i="122"/>
  <c r="J39" i="122"/>
  <c r="R47" i="122"/>
  <c r="J47" i="122"/>
  <c r="R55" i="122"/>
  <c r="J55" i="122"/>
  <c r="R10" i="122"/>
  <c r="R26" i="122"/>
  <c r="R28" i="122"/>
  <c r="R42" i="122"/>
  <c r="R44" i="122"/>
  <c r="R18" i="122"/>
  <c r="R46" i="122"/>
  <c r="R20" i="122"/>
  <c r="R34" i="122"/>
  <c r="R13" i="122"/>
  <c r="R29" i="122"/>
  <c r="R45" i="122"/>
  <c r="G9" i="121"/>
  <c r="F9" i="121"/>
  <c r="G8" i="121"/>
  <c r="F8" i="121"/>
  <c r="E9" i="121"/>
  <c r="E8" i="121"/>
  <c r="K26" i="119"/>
  <c r="L26" i="119" s="1"/>
  <c r="K21" i="119"/>
  <c r="L21" i="119" s="1"/>
  <c r="K15" i="119"/>
  <c r="L15" i="119" s="1"/>
  <c r="K10" i="119"/>
  <c r="L10" i="119" s="1"/>
  <c r="C7" i="51"/>
  <c r="C8" i="51"/>
  <c r="C9" i="51"/>
  <c r="C10" i="51"/>
  <c r="C11" i="51"/>
  <c r="B13" i="51"/>
  <c r="F15" i="51"/>
  <c r="F18" i="51"/>
  <c r="F19" i="51" s="1"/>
  <c r="B19" i="51"/>
  <c r="B23" i="51"/>
  <c r="B24" i="51" s="1"/>
  <c r="B30" i="51"/>
  <c r="B31" i="51"/>
  <c r="B32" i="51"/>
  <c r="B33" i="51"/>
  <c r="C37" i="51"/>
  <c r="C38" i="51"/>
  <c r="C39" i="51"/>
  <c r="C40" i="51"/>
  <c r="C41" i="51"/>
  <c r="C42" i="51"/>
  <c r="C43" i="51"/>
  <c r="C44" i="51"/>
  <c r="C45" i="51"/>
  <c r="C46" i="51"/>
  <c r="C47" i="51"/>
  <c r="C48" i="51"/>
  <c r="C49" i="51"/>
  <c r="C50" i="51"/>
  <c r="C51" i="51"/>
  <c r="C52" i="51"/>
  <c r="C53" i="51"/>
  <c r="C54" i="51"/>
  <c r="C55" i="51"/>
  <c r="C56" i="51"/>
  <c r="C57" i="51"/>
  <c r="C58" i="51"/>
  <c r="C59" i="51"/>
  <c r="C60" i="51"/>
  <c r="C61" i="51"/>
  <c r="C62" i="51"/>
  <c r="C63" i="51"/>
  <c r="O16" i="78" l="1"/>
  <c r="N16" i="78"/>
  <c r="Q16" i="78"/>
  <c r="P16" i="78"/>
  <c r="H15" i="127" l="1"/>
</calcChain>
</file>

<file path=xl/comments1.xml><?xml version="1.0" encoding="utf-8"?>
<comments xmlns="http://schemas.openxmlformats.org/spreadsheetml/2006/main">
  <authors>
    <author>Gary Goldstein</author>
  </authors>
  <commentList>
    <comment ref="C2" authorId="0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>
  <authors>
    <author>Maurizio Gargiulo</author>
    <author>Gary Goldstein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P2" authorId="1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U2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3.xml><?xml version="1.0" encoding="utf-8"?>
<comments xmlns="http://schemas.openxmlformats.org/spreadsheetml/2006/main">
  <authors>
    <author>Pat DeLaquil</author>
    <author>IRG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Lower Heating Value</t>
        </r>
      </text>
    </comment>
    <comment ref="C7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http://www.fpl.fs.fed.us/documnts/techline/fuel_value_calculator.pdf</t>
        </r>
      </text>
    </comment>
    <comment ref="B13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CH4 = 55 GJ/MT</t>
        </r>
      </text>
    </comment>
    <comment ref="B21" authorId="1" shapeId="0">
      <text>
        <r>
          <rPr>
            <b/>
            <sz val="8"/>
            <color indexed="81"/>
            <rFont val="Tahoma"/>
            <family val="2"/>
          </rPr>
          <t>IRG:</t>
        </r>
        <r>
          <rPr>
            <sz val="8"/>
            <color indexed="81"/>
            <rFont val="Tahoma"/>
            <family val="2"/>
          </rPr>
          <t xml:space="preserve">
See GDP deflators below; where 2000 =&gt; 1995 used here.</t>
        </r>
      </text>
    </comment>
    <comment ref="B27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EIA approximate energy content of domestic oil</t>
        </r>
      </text>
    </comment>
    <comment ref="B32" authorId="0" shapeId="0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Assumed 20 kg C/GJ</t>
        </r>
      </text>
    </comment>
  </commentList>
</comments>
</file>

<file path=xl/sharedStrings.xml><?xml version="1.0" encoding="utf-8"?>
<sst xmlns="http://schemas.openxmlformats.org/spreadsheetml/2006/main" count="769" uniqueCount="333">
  <si>
    <t>AK</t>
  </si>
  <si>
    <t>New York</t>
  </si>
  <si>
    <t>Pennsylvania</t>
  </si>
  <si>
    <t>Illinois</t>
  </si>
  <si>
    <t>Indiana</t>
  </si>
  <si>
    <t>Michigan</t>
  </si>
  <si>
    <t>Ohio</t>
  </si>
  <si>
    <t>Wisconsin</t>
  </si>
  <si>
    <t>1 short ton coal =</t>
  </si>
  <si>
    <t>Million Btu</t>
  </si>
  <si>
    <t>1 million short ton coal =</t>
  </si>
  <si>
    <t>ft3 CH4/short ton coal =</t>
  </si>
  <si>
    <t>kg CH4</t>
  </si>
  <si>
    <t>1 GW =</t>
  </si>
  <si>
    <t>PJa</t>
  </si>
  <si>
    <t>1 million barrels oil =</t>
  </si>
  <si>
    <t>Emission Factors</t>
  </si>
  <si>
    <t>1 PJ  CH4 released =</t>
  </si>
  <si>
    <t>kt CH4</t>
  </si>
  <si>
    <t>1 PJ  CH4 burned =</t>
  </si>
  <si>
    <t>mt CO2 (carbon)</t>
  </si>
  <si>
    <t>1 PJ MSW burned =</t>
  </si>
  <si>
    <t>1 kt CH4 burned =</t>
  </si>
  <si>
    <t>kt CO2 (carbon)</t>
  </si>
  <si>
    <t xml:space="preserve">Downloaded on 2/26/2010 At 2:20:02 PM    Last Revised February 26, 2010 </t>
  </si>
  <si>
    <t>Year</t>
  </si>
  <si>
    <t>Iowa</t>
  </si>
  <si>
    <t>Kansas</t>
  </si>
  <si>
    <t>Minnesota</t>
  </si>
  <si>
    <t>Missouri</t>
  </si>
  <si>
    <t>Nebraska</t>
  </si>
  <si>
    <t>North Dakota</t>
  </si>
  <si>
    <t>South Dakota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</si>
  <si>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</si>
  <si>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</si>
  <si>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</si>
  <si>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</si>
  <si>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</si>
  <si>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</si>
  <si>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</si>
  <si>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</si>
  <si>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Alabama</t>
  </si>
  <si>
    <t>kt/PJ</t>
  </si>
  <si>
    <t>SO2</t>
  </si>
  <si>
    <t xml:space="preserve">NIPA Table 1.1.9. Implicit Price Deflators for Gross Domestic Product                                                                                                                                                                                          </t>
  </si>
  <si>
    <t>Bureau of Economic Analysis</t>
  </si>
  <si>
    <t>Deflator</t>
  </si>
  <si>
    <t>Standard Conversions</t>
  </si>
  <si>
    <t>Heat capacity</t>
  </si>
  <si>
    <t>KJ/kg</t>
  </si>
  <si>
    <t>Mbtu/ton</t>
  </si>
  <si>
    <t>from</t>
  </si>
  <si>
    <t>to</t>
  </si>
  <si>
    <t>multiply  by</t>
  </si>
  <si>
    <t xml:space="preserve">[Index numbers, 2005=100]                                                                                                                                                                                                                                 </t>
  </si>
  <si>
    <t>Coal equivalent</t>
  </si>
  <si>
    <t>Mtce</t>
  </si>
  <si>
    <t>Chinese coal</t>
  </si>
  <si>
    <t>Btu</t>
  </si>
  <si>
    <t>J</t>
  </si>
  <si>
    <t>Petroleum</t>
  </si>
  <si>
    <t>kcal</t>
  </si>
  <si>
    <t>kJ</t>
  </si>
  <si>
    <t>Natural gas</t>
  </si>
  <si>
    <t>kWh</t>
  </si>
  <si>
    <t>MJ</t>
  </si>
  <si>
    <t>Wood and wood waste</t>
  </si>
  <si>
    <t>ft3</t>
  </si>
  <si>
    <t>m3</t>
  </si>
  <si>
    <t>Ag residues</t>
  </si>
  <si>
    <t>Trillion Btu</t>
  </si>
  <si>
    <t>LPG</t>
  </si>
  <si>
    <t>DME</t>
  </si>
  <si>
    <t>Methane Emission Parameters</t>
  </si>
  <si>
    <t xml:space="preserve">1 Gg CH4 = </t>
  </si>
  <si>
    <t>1 Tg =</t>
  </si>
  <si>
    <t>Bcf</t>
  </si>
  <si>
    <t>1 Bcf =</t>
  </si>
  <si>
    <t>1 kg CH4=</t>
  </si>
  <si>
    <t>MMTCE</t>
  </si>
  <si>
    <t>1scf NG=</t>
  </si>
  <si>
    <t>Lower heat value</t>
  </si>
  <si>
    <t>1 MMT MSW =</t>
  </si>
  <si>
    <t>1 Btu =</t>
  </si>
  <si>
    <t>1 m3 CH4 =</t>
  </si>
  <si>
    <t>1 $/TCE =</t>
  </si>
  <si>
    <t>m$/PJ</t>
  </si>
  <si>
    <t>1 m3 NG =</t>
  </si>
  <si>
    <t>1 kg CH4 =</t>
  </si>
  <si>
    <t>kg CO2 eq.</t>
  </si>
  <si>
    <t>1 gal gasoline =</t>
  </si>
  <si>
    <t>Model Monetary Units</t>
  </si>
  <si>
    <t>1995$US M</t>
  </si>
  <si>
    <t>1 kg =</t>
  </si>
  <si>
    <t>lb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</si>
  <si>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</si>
  <si>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</si>
  <si>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</si>
  <si>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</si>
  <si>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</si>
  <si>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</si>
  <si>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</si>
  <si>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</si>
  <si>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</si>
  <si>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</si>
  <si>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</si>
  <si>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</si>
  <si>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</si>
  <si>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</si>
  <si>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</si>
  <si>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</si>
  <si>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</si>
  <si>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</si>
  <si>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</si>
  <si>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</si>
  <si>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Maine</t>
  </si>
  <si>
    <t>Massachusetts</t>
  </si>
  <si>
    <t>New Hampshire</t>
  </si>
  <si>
    <t>Rhode Island</t>
  </si>
  <si>
    <t>Vermont</t>
  </si>
  <si>
    <t>New Jersey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</si>
  <si>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</si>
  <si>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</si>
  <si>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</si>
  <si>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</si>
  <si>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</si>
  <si>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</si>
  <si>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</si>
  <si>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</si>
  <si>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</si>
  <si>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PJ</t>
  </si>
  <si>
    <t>Kentucky</t>
  </si>
  <si>
    <t>Mississippi</t>
  </si>
  <si>
    <t>Tennessee</t>
  </si>
  <si>
    <t>Arkansas</t>
  </si>
  <si>
    <t>Louisiana</t>
  </si>
  <si>
    <t>Oklahoma</t>
  </si>
  <si>
    <t>Texas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</si>
  <si>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</si>
  <si>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</si>
  <si>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</si>
  <si>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</si>
  <si>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</si>
  <si>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</si>
  <si>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</si>
  <si>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</si>
  <si>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California</t>
  </si>
  <si>
    <t>Oregon</t>
  </si>
  <si>
    <t>Washington</t>
  </si>
  <si>
    <t>Grand Total</t>
  </si>
  <si>
    <t>Region</t>
  </si>
  <si>
    <t>Connecticut</t>
  </si>
  <si>
    <t>Switchgrass</t>
  </si>
  <si>
    <t xml:space="preserve"> </t>
  </si>
  <si>
    <t>Multiply By (for $2005)</t>
  </si>
  <si>
    <t>GDP Deflators (Conversion to US$2005)</t>
  </si>
  <si>
    <t>Heating Values (LHV)</t>
  </si>
  <si>
    <t>Data source: U.S. EPA Clean Air Markets Division’s “Data and Maps” web page (http://camddataandmaps.epa.gov/gdm/index.cfm)</t>
  </si>
  <si>
    <t>Units: thousand short tons</t>
  </si>
  <si>
    <t>2005 NOx and SO2 emissions for Hawaii and Alaska were extracted from EPA's Tier-2, state-level summaries:</t>
  </si>
  <si>
    <t>These are added into the CSAPR2005 and CSAPR2014 R9 totals</t>
  </si>
  <si>
    <t>http://www.epa.gov/ttn/chief/net/2005inventory.html#inventorydata</t>
  </si>
  <si>
    <t>Metric units</t>
  </si>
  <si>
    <t>State FIPS</t>
  </si>
  <si>
    <t>State Abbreviation</t>
  </si>
  <si>
    <t>Tier1 Code</t>
  </si>
  <si>
    <t>Tier1 Description</t>
  </si>
  <si>
    <t>Tier2 Code</t>
  </si>
  <si>
    <t>Tier2 Description</t>
  </si>
  <si>
    <t>Tier12</t>
  </si>
  <si>
    <t>Pollutant_Code</t>
  </si>
  <si>
    <t>Pollutant Code Description</t>
  </si>
  <si>
    <t>Annual Emissions</t>
  </si>
  <si>
    <t>15</t>
  </si>
  <si>
    <t>HI</t>
  </si>
  <si>
    <t>01</t>
  </si>
  <si>
    <t>FUEL COMB. ELEC. UTIL.</t>
  </si>
  <si>
    <t>05</t>
  </si>
  <si>
    <t>Internal Combustion</t>
  </si>
  <si>
    <t>0105</t>
  </si>
  <si>
    <t>NOX</t>
  </si>
  <si>
    <t>Nitrogen Oxides</t>
  </si>
  <si>
    <t>04</t>
  </si>
  <si>
    <t>Other</t>
  </si>
  <si>
    <t>0104</t>
  </si>
  <si>
    <t>02</t>
  </si>
  <si>
    <t>Oil</t>
  </si>
  <si>
    <t>0102</t>
  </si>
  <si>
    <t>Coal</t>
  </si>
  <si>
    <t>0101</t>
  </si>
  <si>
    <t>Sulfur Dioxide</t>
  </si>
  <si>
    <t>03</t>
  </si>
  <si>
    <t>Gas</t>
  </si>
  <si>
    <t>0103</t>
  </si>
  <si>
    <t>DC</t>
  </si>
  <si>
    <r>
      <t>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(thousand tons)</t>
    </r>
  </si>
  <si>
    <r>
      <t>Ozone Season 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(thousand tons)</t>
    </r>
  </si>
  <si>
    <r>
      <t>Annual 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(thousand tons)</t>
    </r>
  </si>
  <si>
    <t>District of Columbia</t>
  </si>
  <si>
    <t>Nationwide</t>
  </si>
  <si>
    <t>SO2 (1000 tons)</t>
  </si>
  <si>
    <t>NOx (1000 tons)</t>
  </si>
  <si>
    <t>National totals derivied from EPA's IPM analysis of the MATS rule</t>
  </si>
  <si>
    <t>http://www.epa.gov/airmarkt/progsregs/epa-ipm/proposed-toxics.html</t>
  </si>
  <si>
    <t>File</t>
  </si>
  <si>
    <t>ToxR_Policy_Case.xls</t>
  </si>
  <si>
    <t>CO2 (million metric tons)</t>
  </si>
  <si>
    <t>EMISSION Results</t>
  </si>
  <si>
    <t>kTonnes</t>
  </si>
  <si>
    <t>CO</t>
  </si>
  <si>
    <t>*National PM10 totals determined from EPA's Emission Trends reporting. Allocation to regions was done via state-level PM2.5 estimates in the National Emission Inventory.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</si>
  <si>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</si>
  <si>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</si>
  <si>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</si>
  <si>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</si>
  <si>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</si>
  <si>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</si>
  <si>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</si>
  <si>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</si>
  <si>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</si>
  <si>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</si>
  <si>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</si>
  <si>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</si>
  <si>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</si>
  <si>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</si>
  <si>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</si>
  <si>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</si>
  <si>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</si>
  <si>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</si>
  <si>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</si>
  <si>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</si>
  <si>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</si>
  <si>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</si>
  <si>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</si>
  <si>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</si>
  <si>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</si>
  <si>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</si>
  <si>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</si>
  <si>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</si>
  <si>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</si>
  <si>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</si>
  <si>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</si>
  <si>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</si>
  <si>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</si>
  <si>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</si>
  <si>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</si>
  <si>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</si>
  <si>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</si>
  <si>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</si>
  <si>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</si>
  <si>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GA</t>
  </si>
  <si>
    <t>FL</t>
  </si>
  <si>
    <t>DE</t>
  </si>
  <si>
    <t>CT</t>
  </si>
  <si>
    <t>CA</t>
  </si>
  <si>
    <t>AZ</t>
  </si>
  <si>
    <t>AR</t>
  </si>
  <si>
    <t>AL</t>
  </si>
  <si>
    <t>CO2(Mt)</t>
  </si>
  <si>
    <t>NOx(kt)</t>
  </si>
  <si>
    <t>SO2(kt)</t>
  </si>
  <si>
    <t xml:space="preserve"> Gross Load (MW-h)</t>
  </si>
  <si>
    <t xml:space="preserve"> Heat Input (MMBtu)</t>
  </si>
  <si>
    <t xml:space="preserve"> CO2 (tons)</t>
  </si>
  <si>
    <t xml:space="preserve"> NOx (tons)</t>
  </si>
  <si>
    <t xml:space="preserve"> SO2 (tons)</t>
  </si>
  <si>
    <t xml:space="preserve"> Year</t>
  </si>
  <si>
    <t>State</t>
  </si>
  <si>
    <t>Summary</t>
  </si>
  <si>
    <t>Column Labels</t>
  </si>
  <si>
    <t>Sum of SO2(kt)</t>
  </si>
  <si>
    <t>Sum of NOx(kt)</t>
  </si>
  <si>
    <t>Row Labels</t>
  </si>
  <si>
    <t>Ktons</t>
  </si>
  <si>
    <t>Power Generation Emissions</t>
  </si>
  <si>
    <t>MARKAL</t>
  </si>
  <si>
    <r>
      <t>Hg</t>
    </r>
    <r>
      <rPr>
        <sz val="10"/>
        <rFont val="Arial"/>
        <family val="2"/>
      </rPr>
      <t xml:space="preserve"> (tons)</t>
    </r>
  </si>
  <si>
    <t>HCL (thousand tons)</t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</si>
  <si>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(million short tons)</t>
    </r>
  </si>
  <si>
    <t>Note: The post-processed results in the parsed file and the flat file for any given year will show slightly different state-level tallies due to how the post-processing is conducted.</t>
  </si>
  <si>
    <t>Sum of 2016</t>
  </si>
  <si>
    <t>Values</t>
  </si>
  <si>
    <t>Sum of 2020</t>
  </si>
  <si>
    <t>Sum of 2025</t>
  </si>
  <si>
    <t>Sum of 2030</t>
  </si>
  <si>
    <t>Sum of 2040</t>
  </si>
  <si>
    <t>Sum of 2050</t>
  </si>
  <si>
    <t>SO2 emissions (thousand tons)</t>
  </si>
  <si>
    <t>NOx emissions (thousand tons)</t>
  </si>
  <si>
    <t>Sum of EMISSIONS_TON</t>
  </si>
  <si>
    <t>Ammonia</t>
  </si>
  <si>
    <t>Carbon Monoxide</t>
  </si>
  <si>
    <t>FUEL COMB. INDUSTRIAL</t>
  </si>
  <si>
    <t>FUEL COMB. OTHER</t>
  </si>
  <si>
    <t>HIGHWAY VEHICLES</t>
  </si>
  <si>
    <t>OFF-HIGHWAY</t>
  </si>
  <si>
    <t>PETROLEUM &amp; RELATED INDUSTRIES</t>
  </si>
  <si>
    <t>PM10 Primary (Filt + Cond)</t>
  </si>
  <si>
    <t>PM2.5 Primary (Filt + Cond)</t>
  </si>
  <si>
    <t>Volatile Organic Compounds</t>
  </si>
  <si>
    <t>Summary from the EPA's NEI 2011v1, converted to kTonnes</t>
  </si>
  <si>
    <t>EPA 5-14_Base_Case - State Emissions Projections - All Emissions</t>
  </si>
  <si>
    <t>Trans - Insert</t>
  </si>
  <si>
    <t>~TFM_INS</t>
  </si>
  <si>
    <t>TimeSlice</t>
  </si>
  <si>
    <t>LimType</t>
  </si>
  <si>
    <t>Attribute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</si>
  <si>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</si>
  <si>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</si>
  <si>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</si>
  <si>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</si>
  <si>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</si>
  <si>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</si>
  <si>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</si>
  <si>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</si>
  <si>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</si>
  <si>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UP</t>
  </si>
  <si>
    <t>COM_BNDNET</t>
  </si>
  <si>
    <t>ELCNOX</t>
  </si>
  <si>
    <t>ELCSO2</t>
  </si>
  <si>
    <t>ELCPM10</t>
  </si>
  <si>
    <t>UC - All Regions/Each Period</t>
  </si>
  <si>
    <t>~UC_Sets: R_S: AllRegions</t>
  </si>
  <si>
    <t>UC_N</t>
  </si>
  <si>
    <t>UC_COMNET</t>
  </si>
  <si>
    <t>UC_RHSTS</t>
  </si>
  <si>
    <t>UC_RHSTS~0</t>
  </si>
  <si>
    <t>UC_Desc</t>
  </si>
  <si>
    <t>CSAPR_NOX_AllRegions</t>
  </si>
  <si>
    <t>CSAPR_SO2_AllRegions</t>
  </si>
  <si>
    <t>CSAPR_NOX upper bound on the total emissions of All Regions</t>
  </si>
  <si>
    <t>CSAPR_SO2 upper bound on the total emissions of All Regions</t>
  </si>
  <si>
    <t xml:space="preserve">* R9 values from DataSummaryCAIR sheet.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</si>
</sst>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_-* #,##0.00_-;\-* #,##0.00_-;_-* &quot;-&quot;??_-;_-@_-"/>
    <numFmt numFmtId="166" formatCode="_-* #,##0_-;\-* #,##0_-;_-* &quot;-&quot;??_-;_-@_-"/>
    <numFmt numFmtId="167" formatCode="0.000"/>
    <numFmt numFmtId="168" formatCode="0.00000"/>
    <numFmt numFmtId="169" formatCode="0.0000"/>
    <numFmt numFmtId="170" formatCode="0.0"/>
    <numFmt numFmtId="171" formatCode="0.000000"/>
    <numFmt numFmtId="172" formatCode="#.00"/>
    <numFmt numFmtId="173" formatCode="#."/>
    <numFmt numFmtId="174" formatCode="m\o\n\th\ d\,\ yyyy"/>
    <numFmt numFmtId="175" formatCode="#,##0.00000"/>
    <numFmt numFmtId="176" formatCode="#,##0.0"/>
    <numFmt numFmtId="177" formatCode="_(* #,##0_);_(* \(#,##0\);_(* &quot;-&quot;??_);_(@_)"/>
  </numFmts>
  <fonts count="54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u/>
      <sz val="10"/>
      <color theme="10"/>
      <name val="Arial"/>
      <family val="2"/>
    </font>
    <font>
      <vertAlign val="subscript"/>
      <sz val="10"/>
      <name val="Arial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Arial"/>
      <family val="2"/>
    </font>
    <font>
      <i/>
      <sz val="8"/>
      <name val="Arial"/>
      <family val="2"/>
    </font>
    <font>
      <vertAlign val="superscript"/>
      <sz val="8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47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8">
    <xf numFmtId="0" fontId="0" fillId="0" borderId="0"/>
    <xf numFmtId="0" fontId="35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37" fillId="23" borderId="0" applyNumberFormat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74" fontId="11" fillId="0" borderId="0">
      <protection locked="0"/>
    </xf>
    <xf numFmtId="172" fontId="11" fillId="0" borderId="0">
      <protection locked="0"/>
    </xf>
    <xf numFmtId="173" fontId="12" fillId="0" borderId="0">
      <protection locked="0"/>
    </xf>
    <xf numFmtId="173" fontId="12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8" fillId="24" borderId="10" applyNumberFormat="0" applyAlignment="0" applyProtection="0"/>
    <xf numFmtId="0" fontId="39" fillId="2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0" fillId="0" borderId="0"/>
    <xf numFmtId="0" fontId="35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23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3" fontId="11" fillId="0" borderId="5">
      <protection locked="0"/>
    </xf>
    <xf numFmtId="173" fontId="11" fillId="0" borderId="5">
      <protection locked="0"/>
    </xf>
    <xf numFmtId="0" fontId="25" fillId="0" borderId="0"/>
    <xf numFmtId="0" fontId="25" fillId="0" borderId="0"/>
    <xf numFmtId="0" fontId="25" fillId="0" borderId="0" applyFill="0"/>
    <xf numFmtId="0" fontId="26" fillId="29" borderId="0" applyNumberFormat="0" applyBorder="0" applyAlignment="0" applyProtection="0"/>
    <xf numFmtId="0" fontId="26" fillId="8" borderId="0" applyNumberFormat="0" applyBorder="0" applyAlignment="0" applyProtection="0"/>
    <xf numFmtId="0" fontId="26" fillId="30" borderId="0" applyNumberFormat="0" applyBorder="0" applyAlignment="0" applyProtection="0"/>
    <xf numFmtId="0" fontId="26" fillId="13" borderId="0" applyNumberFormat="0" applyBorder="0" applyAlignment="0" applyProtection="0"/>
    <xf numFmtId="0" fontId="26" fillId="6" borderId="0" applyNumberFormat="0" applyBorder="0" applyAlignment="0" applyProtection="0"/>
    <xf numFmtId="0" fontId="26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6" fillId="31" borderId="0" applyNumberFormat="0" applyBorder="0" applyAlignment="0" applyProtection="0"/>
    <xf numFmtId="0" fontId="26" fillId="13" borderId="0" applyNumberFormat="0" applyBorder="0" applyAlignment="0" applyProtection="0"/>
    <xf numFmtId="0" fontId="26" fillId="2" borderId="0" applyNumberFormat="0" applyBorder="0" applyAlignment="0" applyProtection="0"/>
    <xf numFmtId="0" fontId="26" fillId="10" borderId="0" applyNumberFormat="0" applyBorder="0" applyAlignment="0" applyProtection="0"/>
    <xf numFmtId="0" fontId="27" fillId="32" borderId="0" applyNumberFormat="0" applyBorder="0" applyAlignment="0" applyProtection="0"/>
    <xf numFmtId="0" fontId="27" fillId="3" borderId="0" applyNumberFormat="0" applyBorder="0" applyAlignment="0" applyProtection="0"/>
    <xf numFmtId="0" fontId="27" fillId="31" borderId="0" applyNumberFormat="0" applyBorder="0" applyAlignment="0" applyProtection="0"/>
    <xf numFmtId="0" fontId="27" fillId="33" borderId="0" applyNumberFormat="0" applyBorder="0" applyAlignment="0" applyProtection="0"/>
    <xf numFmtId="0" fontId="27" fillId="11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12" borderId="0" applyNumberFormat="0" applyBorder="0" applyAlignment="0" applyProtection="0"/>
    <xf numFmtId="0" fontId="27" fillId="36" borderId="0" applyNumberFormat="0" applyBorder="0" applyAlignment="0" applyProtection="0"/>
    <xf numFmtId="0" fontId="27" fillId="33" borderId="0" applyNumberFormat="0" applyBorder="0" applyAlignment="0" applyProtection="0"/>
    <xf numFmtId="0" fontId="27" fillId="11" borderId="0" applyNumberFormat="0" applyBorder="0" applyAlignment="0" applyProtection="0"/>
    <xf numFmtId="0" fontId="27" fillId="9" borderId="0" applyNumberFormat="0" applyBorder="0" applyAlignment="0" applyProtection="0"/>
    <xf numFmtId="0" fontId="28" fillId="8" borderId="0" applyNumberFormat="0" applyBorder="0" applyAlignment="0" applyProtection="0"/>
    <xf numFmtId="0" fontId="43" fillId="37" borderId="1" applyNumberFormat="0" applyAlignment="0" applyProtection="0"/>
    <xf numFmtId="0" fontId="29" fillId="14" borderId="2" applyNumberFormat="0" applyAlignment="0" applyProtection="0"/>
    <xf numFmtId="43" fontId="2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30" borderId="0" applyNumberFormat="0" applyBorder="0" applyAlignment="0" applyProtection="0"/>
    <xf numFmtId="0" fontId="44" fillId="0" borderId="24" applyNumberFormat="0" applyFill="0" applyAlignment="0" applyProtection="0"/>
    <xf numFmtId="0" fontId="45" fillId="0" borderId="25" applyNumberFormat="0" applyFill="0" applyAlignment="0" applyProtection="0"/>
    <xf numFmtId="0" fontId="46" fillId="0" borderId="26" applyNumberFormat="0" applyFill="0" applyAlignment="0" applyProtection="0"/>
    <xf numFmtId="0" fontId="46" fillId="0" borderId="0" applyNumberFormat="0" applyFill="0" applyBorder="0" applyAlignment="0" applyProtection="0"/>
    <xf numFmtId="0" fontId="32" fillId="5" borderId="1" applyNumberFormat="0" applyAlignment="0" applyProtection="0"/>
    <xf numFmtId="0" fontId="47" fillId="0" borderId="27" applyNumberFormat="0" applyFill="0" applyAlignment="0" applyProtection="0"/>
    <xf numFmtId="0" fontId="48" fillId="7" borderId="0" applyNumberFormat="0" applyBorder="0" applyAlignment="0" applyProtection="0"/>
    <xf numFmtId="0" fontId="4" fillId="4" borderId="3" applyNumberFormat="0" applyFont="0" applyAlignment="0" applyProtection="0"/>
    <xf numFmtId="0" fontId="34" fillId="37" borderId="4" applyNumberFormat="0" applyAlignment="0" applyProtection="0"/>
    <xf numFmtId="0" fontId="49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24" fillId="0" borderId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15" borderId="0" xfId="0" applyFill="1"/>
    <xf numFmtId="0" fontId="7" fillId="0" borderId="0" xfId="0" applyFont="1"/>
    <xf numFmtId="0" fontId="5" fillId="0" borderId="0" xfId="0" applyFont="1" applyFill="1"/>
    <xf numFmtId="49" fontId="5" fillId="0" borderId="0" xfId="0" applyNumberFormat="1" applyFont="1" applyFill="1"/>
    <xf numFmtId="11" fontId="5" fillId="0" borderId="0" xfId="0" applyNumberFormat="1" applyFont="1" applyFill="1"/>
    <xf numFmtId="0" fontId="5" fillId="0" borderId="0" xfId="0" applyNumberFormat="1" applyFont="1" applyFill="1"/>
    <xf numFmtId="0" fontId="0" fillId="0" borderId="0" xfId="0" applyFill="1"/>
    <xf numFmtId="0" fontId="8" fillId="0" borderId="0" xfId="0" applyFont="1"/>
    <xf numFmtId="0" fontId="8" fillId="0" borderId="0" xfId="0" applyFont="1" applyFill="1"/>
    <xf numFmtId="0" fontId="9" fillId="0" borderId="0" xfId="0" applyFont="1" applyFill="1"/>
    <xf numFmtId="49" fontId="8" fillId="0" borderId="0" xfId="0" applyNumberFormat="1" applyFont="1" applyFill="1"/>
    <xf numFmtId="0" fontId="10" fillId="0" borderId="0" xfId="0" applyFont="1" applyFill="1"/>
    <xf numFmtId="0" fontId="13" fillId="0" borderId="0" xfId="0" applyFont="1"/>
    <xf numFmtId="167" fontId="13" fillId="0" borderId="0" xfId="35" applyNumberFormat="1" applyFont="1"/>
    <xf numFmtId="0" fontId="19" fillId="0" borderId="0" xfId="34" applyFont="1"/>
    <xf numFmtId="0" fontId="19" fillId="0" borderId="0" xfId="34" applyFont="1" applyFill="1" applyAlignment="1">
      <alignment horizontal="right"/>
    </xf>
    <xf numFmtId="3" fontId="19" fillId="0" borderId="0" xfId="34" applyNumberFormat="1" applyFont="1" applyFill="1" applyAlignment="1">
      <alignment horizontal="center"/>
    </xf>
    <xf numFmtId="167" fontId="19" fillId="0" borderId="0" xfId="34" applyNumberFormat="1" applyFont="1" applyFill="1" applyAlignment="1">
      <alignment horizontal="center"/>
    </xf>
    <xf numFmtId="0" fontId="19" fillId="0" borderId="0" xfId="34" applyFont="1" applyFill="1" applyAlignment="1">
      <alignment horizontal="center"/>
    </xf>
    <xf numFmtId="2" fontId="19" fillId="0" borderId="0" xfId="34" applyNumberFormat="1" applyFont="1" applyFill="1" applyAlignment="1">
      <alignment horizontal="center"/>
    </xf>
    <xf numFmtId="3" fontId="19" fillId="0" borderId="0" xfId="11" applyNumberFormat="1" applyFont="1" applyFill="1" applyAlignment="1">
      <alignment horizontal="center"/>
    </xf>
    <xf numFmtId="0" fontId="19" fillId="0" borderId="0" xfId="34" applyFont="1" applyAlignment="1">
      <alignment horizontal="center"/>
    </xf>
    <xf numFmtId="0" fontId="19" fillId="0" borderId="0" xfId="34" applyFont="1" applyFill="1" applyBorder="1" applyAlignment="1">
      <alignment horizontal="right" vertical="top" wrapText="1"/>
    </xf>
    <xf numFmtId="168" fontId="19" fillId="0" borderId="0" xfId="34" applyNumberFormat="1" applyFont="1" applyBorder="1"/>
    <xf numFmtId="0" fontId="19" fillId="0" borderId="0" xfId="34" applyFont="1" applyBorder="1"/>
    <xf numFmtId="0" fontId="19" fillId="0" borderId="0" xfId="34" applyFont="1" applyBorder="1" applyAlignment="1">
      <alignment horizontal="right"/>
    </xf>
    <xf numFmtId="0" fontId="19" fillId="0" borderId="0" xfId="34" applyFont="1" applyAlignment="1">
      <alignment horizontal="right"/>
    </xf>
    <xf numFmtId="0" fontId="19" fillId="0" borderId="0" xfId="34" applyFont="1" applyFill="1" applyBorder="1"/>
    <xf numFmtId="0" fontId="19" fillId="0" borderId="0" xfId="34" applyFont="1" applyFill="1"/>
    <xf numFmtId="175" fontId="19" fillId="0" borderId="0" xfId="34" applyNumberFormat="1" applyFont="1" applyBorder="1" applyAlignment="1">
      <alignment vertical="top" wrapText="1"/>
    </xf>
    <xf numFmtId="2" fontId="19" fillId="0" borderId="0" xfId="34" applyNumberFormat="1" applyFont="1"/>
    <xf numFmtId="0" fontId="19" fillId="0" borderId="0" xfId="34" applyFont="1" applyFill="1" applyBorder="1" applyAlignment="1">
      <alignment horizontal="right"/>
    </xf>
    <xf numFmtId="170" fontId="19" fillId="0" borderId="0" xfId="34" applyNumberFormat="1" applyFont="1" applyFill="1" applyBorder="1"/>
    <xf numFmtId="171" fontId="19" fillId="0" borderId="0" xfId="34" applyNumberFormat="1" applyFont="1"/>
    <xf numFmtId="0" fontId="20" fillId="0" borderId="0" xfId="34" applyFont="1" applyFill="1" applyBorder="1" applyAlignment="1">
      <alignment vertical="top" wrapText="1"/>
    </xf>
    <xf numFmtId="169" fontId="19" fillId="0" borderId="0" xfId="34" applyNumberFormat="1" applyFont="1" applyBorder="1"/>
    <xf numFmtId="0" fontId="20" fillId="0" borderId="0" xfId="34" applyFont="1"/>
    <xf numFmtId="0" fontId="14" fillId="0" borderId="0" xfId="35" applyFont="1"/>
    <xf numFmtId="0" fontId="13" fillId="0" borderId="0" xfId="35" applyFont="1"/>
    <xf numFmtId="0" fontId="4" fillId="0" borderId="0" xfId="33" applyFont="1"/>
    <xf numFmtId="0" fontId="4" fillId="0" borderId="0" xfId="33" applyFont="1" applyBorder="1"/>
    <xf numFmtId="0" fontId="5" fillId="0" borderId="3" xfId="32" applyFont="1" applyFill="1" applyBorder="1" applyAlignment="1">
      <alignment horizontal="right" wrapText="1"/>
    </xf>
    <xf numFmtId="166" fontId="19" fillId="0" borderId="0" xfId="7" applyNumberFormat="1" applyFont="1"/>
    <xf numFmtId="0" fontId="22" fillId="0" borderId="0" xfId="0" applyFont="1"/>
    <xf numFmtId="0" fontId="20" fillId="0" borderId="0" xfId="34" applyFont="1" applyFill="1" applyBorder="1" applyAlignment="1">
      <alignment horizontal="center" vertical="top" wrapText="1"/>
    </xf>
    <xf numFmtId="0" fontId="20" fillId="0" borderId="0" xfId="34" applyFont="1" applyFill="1" applyAlignment="1">
      <alignment horizontal="center"/>
    </xf>
    <xf numFmtId="0" fontId="20" fillId="26" borderId="0" xfId="34" applyFont="1" applyFill="1" applyAlignment="1">
      <alignment horizontal="right"/>
    </xf>
    <xf numFmtId="0" fontId="20" fillId="26" borderId="0" xfId="34" applyFont="1" applyFill="1" applyAlignment="1">
      <alignment horizontal="center"/>
    </xf>
    <xf numFmtId="0" fontId="19" fillId="0" borderId="0" xfId="34" applyFont="1" applyFill="1" applyBorder="1" applyAlignment="1">
      <alignment horizontal="center"/>
    </xf>
    <xf numFmtId="0" fontId="19" fillId="0" borderId="0" xfId="0" applyFont="1"/>
    <xf numFmtId="0" fontId="14" fillId="26" borderId="0" xfId="35" applyFont="1" applyFill="1" applyBorder="1" applyAlignment="1">
      <alignment horizontal="right"/>
    </xf>
    <xf numFmtId="0" fontId="14" fillId="26" borderId="0" xfId="35" applyFont="1" applyFill="1" applyAlignment="1">
      <alignment horizontal="right"/>
    </xf>
    <xf numFmtId="0" fontId="41" fillId="0" borderId="0" xfId="16" applyFont="1" applyAlignment="1" applyProtection="1"/>
    <xf numFmtId="0" fontId="24" fillId="16" borderId="8" xfId="36" applyFont="1" applyFill="1" applyBorder="1" applyAlignment="1">
      <alignment horizontal="center"/>
    </xf>
    <xf numFmtId="0" fontId="24" fillId="0" borderId="3" xfId="36" applyFont="1" applyFill="1" applyBorder="1" applyAlignment="1">
      <alignment wrapText="1"/>
    </xf>
    <xf numFmtId="0" fontId="24" fillId="0" borderId="3" xfId="36" applyFont="1" applyFill="1" applyBorder="1" applyAlignment="1">
      <alignment horizontal="right" wrapText="1"/>
    </xf>
    <xf numFmtId="0" fontId="0" fillId="27" borderId="0" xfId="0" applyFill="1"/>
    <xf numFmtId="177" fontId="0" fillId="0" borderId="0" xfId="7" applyNumberFormat="1" applyFont="1"/>
    <xf numFmtId="0" fontId="0" fillId="0" borderId="0" xfId="0" applyAlignment="1">
      <alignment horizontal="left"/>
    </xf>
    <xf numFmtId="0" fontId="2" fillId="0" borderId="0" xfId="16" applyAlignment="1" applyProtection="1"/>
    <xf numFmtId="0" fontId="0" fillId="0" borderId="0" xfId="0"/>
    <xf numFmtId="0" fontId="3" fillId="0" borderId="0" xfId="0" applyFont="1" applyBorder="1"/>
    <xf numFmtId="0" fontId="3" fillId="38" borderId="7" xfId="0" applyFont="1" applyFill="1" applyBorder="1"/>
    <xf numFmtId="1" fontId="18" fillId="0" borderId="0" xfId="72" applyNumberFormat="1" applyFont="1" applyFill="1" applyBorder="1" applyAlignment="1">
      <alignment horizontal="right"/>
    </xf>
    <xf numFmtId="0" fontId="3" fillId="0" borderId="6" xfId="0" applyFont="1" applyBorder="1"/>
    <xf numFmtId="170" fontId="19" fillId="0" borderId="0" xfId="72" applyNumberFormat="1" applyFont="1" applyFill="1" applyBorder="1" applyAlignment="1">
      <alignment horizontal="right"/>
    </xf>
    <xf numFmtId="1" fontId="19" fillId="0" borderId="0" xfId="0" applyNumberFormat="1" applyFont="1" applyFill="1" applyBorder="1" applyAlignment="1">
      <alignment horizontal="right"/>
    </xf>
    <xf numFmtId="0" fontId="0" fillId="39" borderId="0" xfId="0" applyFill="1"/>
    <xf numFmtId="1" fontId="18" fillId="39" borderId="0" xfId="72" applyNumberFormat="1" applyFont="1" applyFill="1" applyBorder="1" applyAlignment="1">
      <alignment horizontal="right"/>
    </xf>
    <xf numFmtId="166" fontId="0" fillId="39" borderId="0" xfId="7" applyNumberFormat="1" applyFont="1" applyFill="1"/>
    <xf numFmtId="0" fontId="1" fillId="0" borderId="0" xfId="0" applyFont="1"/>
    <xf numFmtId="166" fontId="0" fillId="0" borderId="0" xfId="7" applyNumberFormat="1" applyFont="1"/>
    <xf numFmtId="0" fontId="1" fillId="0" borderId="0" xfId="43" applyFont="1"/>
    <xf numFmtId="0" fontId="51" fillId="0" borderId="0" xfId="43" applyFont="1"/>
    <xf numFmtId="0" fontId="1" fillId="0" borderId="0" xfId="44" applyFont="1"/>
    <xf numFmtId="0" fontId="1" fillId="0" borderId="15" xfId="43" applyFont="1" applyBorder="1"/>
    <xf numFmtId="0" fontId="1" fillId="0" borderId="17" xfId="43" applyFont="1" applyBorder="1"/>
    <xf numFmtId="0" fontId="1" fillId="0" borderId="19" xfId="43" applyFont="1" applyBorder="1" applyAlignment="1">
      <alignment vertical="center"/>
    </xf>
    <xf numFmtId="0" fontId="1" fillId="0" borderId="9" xfId="43" applyFont="1" applyBorder="1" applyAlignment="1">
      <alignment vertical="center"/>
    </xf>
    <xf numFmtId="0" fontId="1" fillId="0" borderId="23" xfId="43" applyFont="1" applyBorder="1" applyAlignment="1">
      <alignment vertical="center"/>
    </xf>
    <xf numFmtId="0" fontId="1" fillId="0" borderId="11" xfId="43" applyFont="1" applyBorder="1" applyAlignment="1">
      <alignment horizontal="centerContinuous" vertical="center"/>
    </xf>
    <xf numFmtId="0" fontId="1" fillId="0" borderId="12" xfId="43" applyFont="1" applyBorder="1"/>
    <xf numFmtId="0" fontId="1" fillId="0" borderId="13" xfId="43" applyFont="1" applyBorder="1" applyAlignment="1">
      <alignment horizontal="right"/>
    </xf>
    <xf numFmtId="0" fontId="1" fillId="0" borderId="14" xfId="42" applyFont="1" applyFill="1" applyBorder="1"/>
    <xf numFmtId="176" fontId="1" fillId="0" borderId="20" xfId="43" applyNumberFormat="1" applyFont="1" applyBorder="1"/>
    <xf numFmtId="0" fontId="1" fillId="0" borderId="17" xfId="42" applyFont="1" applyFill="1" applyBorder="1"/>
    <xf numFmtId="176" fontId="1" fillId="0" borderId="21" xfId="43" applyNumberFormat="1" applyFont="1" applyBorder="1"/>
    <xf numFmtId="176" fontId="1" fillId="0" borderId="22" xfId="43" applyNumberFormat="1" applyFont="1" applyBorder="1"/>
    <xf numFmtId="0" fontId="1" fillId="0" borderId="19" xfId="42" applyFont="1" applyFill="1" applyBorder="1"/>
    <xf numFmtId="3" fontId="1" fillId="0" borderId="19" xfId="42" applyNumberFormat="1" applyFont="1" applyFill="1" applyBorder="1"/>
    <xf numFmtId="0" fontId="1" fillId="0" borderId="0" xfId="43" applyFont="1" applyBorder="1"/>
    <xf numFmtId="0" fontId="14" fillId="0" borderId="0" xfId="43" applyFont="1"/>
    <xf numFmtId="0" fontId="52" fillId="0" borderId="0" xfId="43" applyFont="1" applyAlignment="1">
      <alignment horizontal="left" vertical="top" wrapText="1"/>
    </xf>
    <xf numFmtId="0" fontId="53" fillId="0" borderId="0" xfId="43" applyFont="1" applyAlignment="1">
      <alignment horizontal="left"/>
    </xf>
    <xf numFmtId="0" fontId="52" fillId="0" borderId="0" xfId="43" applyFont="1"/>
    <xf numFmtId="0" fontId="0" fillId="0" borderId="0" xfId="0" applyNumberFormat="1"/>
    <xf numFmtId="0" fontId="0" fillId="0" borderId="0" xfId="0" pivotButton="1"/>
    <xf numFmtId="0" fontId="1" fillId="0" borderId="9" xfId="43" applyFont="1" applyFill="1" applyBorder="1" applyAlignment="1">
      <alignment horizontal="center" vertical="center"/>
    </xf>
    <xf numFmtId="0" fontId="1" fillId="0" borderId="29" xfId="43" applyFont="1" applyBorder="1" applyAlignment="1">
      <alignment horizontal="right"/>
    </xf>
    <xf numFmtId="0" fontId="1" fillId="0" borderId="30" xfId="43" applyFont="1" applyBorder="1" applyAlignment="1">
      <alignment horizontal="right"/>
    </xf>
    <xf numFmtId="0" fontId="0" fillId="0" borderId="19" xfId="0" applyBorder="1"/>
    <xf numFmtId="0" fontId="0" fillId="0" borderId="9" xfId="0" applyBorder="1"/>
    <xf numFmtId="0" fontId="0" fillId="0" borderId="23" xfId="0" applyBorder="1"/>
    <xf numFmtId="0" fontId="0" fillId="0" borderId="15" xfId="0" applyBorder="1"/>
    <xf numFmtId="0" fontId="0" fillId="0" borderId="16" xfId="0" applyBorder="1"/>
    <xf numFmtId="0" fontId="0" fillId="0" borderId="20" xfId="0" applyBorder="1"/>
    <xf numFmtId="0" fontId="0" fillId="0" borderId="17" xfId="0" applyBorder="1"/>
    <xf numFmtId="0" fontId="0" fillId="0" borderId="0" xfId="0" applyBorder="1"/>
    <xf numFmtId="0" fontId="0" fillId="0" borderId="21" xfId="0" applyBorder="1"/>
    <xf numFmtId="0" fontId="0" fillId="0" borderId="12" xfId="0" applyBorder="1"/>
    <xf numFmtId="0" fontId="0" fillId="0" borderId="18" xfId="0" applyBorder="1"/>
    <xf numFmtId="0" fontId="0" fillId="0" borderId="22" xfId="0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0" fontId="0" fillId="0" borderId="0" xfId="0" applyNumberFormat="1" applyFill="1" applyAlignment="1">
      <alignment horizontal="center" vertical="center"/>
    </xf>
    <xf numFmtId="0" fontId="25" fillId="0" borderId="13" xfId="43" applyBorder="1" applyAlignment="1">
      <alignment horizontal="right"/>
    </xf>
    <xf numFmtId="176" fontId="25" fillId="0" borderId="15" xfId="43" applyNumberFormat="1" applyBorder="1"/>
    <xf numFmtId="176" fontId="25" fillId="0" borderId="16" xfId="43" applyNumberFormat="1" applyBorder="1"/>
    <xf numFmtId="176" fontId="25" fillId="0" borderId="17" xfId="43" applyNumberFormat="1" applyBorder="1"/>
    <xf numFmtId="176" fontId="25" fillId="0" borderId="0" xfId="43" applyNumberFormat="1" applyBorder="1"/>
    <xf numFmtId="176" fontId="25" fillId="0" borderId="12" xfId="43" applyNumberFormat="1" applyBorder="1"/>
    <xf numFmtId="176" fontId="25" fillId="0" borderId="18" xfId="43" applyNumberFormat="1" applyBorder="1"/>
    <xf numFmtId="0" fontId="9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38" borderId="31" xfId="0" applyFont="1" applyFill="1" applyBorder="1"/>
    <xf numFmtId="0" fontId="3" fillId="40" borderId="31" xfId="0" applyFont="1" applyFill="1" applyBorder="1"/>
    <xf numFmtId="0" fontId="1" fillId="38" borderId="31" xfId="0" applyFont="1" applyFill="1" applyBorder="1"/>
    <xf numFmtId="1" fontId="0" fillId="0" borderId="0" xfId="0" applyNumberFormat="1"/>
    <xf numFmtId="0" fontId="50" fillId="0" borderId="0" xfId="87" applyFont="1"/>
    <xf numFmtId="0" fontId="1" fillId="0" borderId="19" xfId="43" applyFont="1" applyBorder="1" applyAlignment="1">
      <alignment horizontal="center" vertical="center" wrapText="1"/>
    </xf>
    <xf numFmtId="0" fontId="1" fillId="0" borderId="9" xfId="43" applyFont="1" applyBorder="1" applyAlignment="1">
      <alignment horizontal="center" vertical="center" wrapText="1"/>
    </xf>
    <xf numFmtId="0" fontId="1" fillId="0" borderId="23" xfId="43" applyFont="1" applyBorder="1" applyAlignment="1">
      <alignment horizontal="center" vertical="center" wrapText="1"/>
    </xf>
    <xf numFmtId="0" fontId="1" fillId="0" borderId="19" xfId="43" applyFont="1" applyFill="1" applyBorder="1" applyAlignment="1">
      <alignment horizontal="center" vertical="center"/>
    </xf>
    <xf numFmtId="0" fontId="1" fillId="0" borderId="9" xfId="43" applyFont="1" applyFill="1" applyBorder="1" applyAlignment="1">
      <alignment horizontal="center" vertical="center"/>
    </xf>
    <xf numFmtId="0" fontId="1" fillId="0" borderId="23" xfId="43" applyFont="1" applyFill="1" applyBorder="1" applyAlignment="1">
      <alignment horizontal="center" vertical="center"/>
    </xf>
    <xf numFmtId="0" fontId="18" fillId="28" borderId="0" xfId="34" applyFont="1" applyFill="1" applyBorder="1" applyAlignment="1">
      <alignment horizontal="center" vertical="top" wrapText="1"/>
    </xf>
    <xf numFmtId="0" fontId="20" fillId="28" borderId="0" xfId="34" applyFont="1" applyFill="1" applyBorder="1" applyAlignment="1">
      <alignment horizontal="center" vertical="top" wrapText="1"/>
    </xf>
    <xf numFmtId="0" fontId="20" fillId="17" borderId="0" xfId="34" applyFont="1" applyFill="1" applyAlignment="1">
      <alignment horizontal="center"/>
    </xf>
    <xf numFmtId="0" fontId="18" fillId="28" borderId="0" xfId="34" applyFont="1" applyFill="1" applyBorder="1" applyAlignment="1">
      <alignment horizontal="center"/>
    </xf>
    <xf numFmtId="0" fontId="20" fillId="28" borderId="0" xfId="34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</cellXfs>
  <cellStyles count="88">
    <cellStyle name="20% - Accent1 2" xfId="45"/>
    <cellStyle name="20% - Accent2 2" xfId="46"/>
    <cellStyle name="20% - Accent3 2" xfId="47"/>
    <cellStyle name="20% - Accent4 2" xfId="48"/>
    <cellStyle name="20% - Accent5 2" xfId="49"/>
    <cellStyle name="20% - Accent6 2" xfId="50"/>
    <cellStyle name="40% - Accent1 2" xfId="51"/>
    <cellStyle name="40% - Accent2 2" xfId="52"/>
    <cellStyle name="40% - Accent3 2" xfId="1"/>
    <cellStyle name="40% - Accent3 3" xfId="53"/>
    <cellStyle name="40% - Accent4 2" xfId="54"/>
    <cellStyle name="40% - Accent5 2" xfId="55"/>
    <cellStyle name="40% - Accent6 2" xfId="56"/>
    <cellStyle name="60% - Accent1 2" xfId="57"/>
    <cellStyle name="60% - Accent2 2" xfId="58"/>
    <cellStyle name="60% - Accent3 2" xfId="59"/>
    <cellStyle name="60% - Accent4 2" xfId="60"/>
    <cellStyle name="60% - Accent5 2" xfId="61"/>
    <cellStyle name="60% - Accent6 2" xfId="62"/>
    <cellStyle name="Accent1 2" xfId="63"/>
    <cellStyle name="Accent2 2" xfId="2"/>
    <cellStyle name="Accent2 3" xfId="64"/>
    <cellStyle name="Accent3 2" xfId="3"/>
    <cellStyle name="Accent3 3" xfId="65"/>
    <cellStyle name="Accent4 2" xfId="4"/>
    <cellStyle name="Accent4 3" xfId="66"/>
    <cellStyle name="Accent5 2" xfId="5"/>
    <cellStyle name="Accent5 3" xfId="67"/>
    <cellStyle name="Accent6 2" xfId="68"/>
    <cellStyle name="Bad 2" xfId="6"/>
    <cellStyle name="Bad 3" xfId="69"/>
    <cellStyle name="Calculation 2" xfId="70"/>
    <cellStyle name="Check Cell 2" xfId="71"/>
    <cellStyle name="Comma" xfId="7" builtinId="3"/>
    <cellStyle name="Comma 2" xfId="8"/>
    <cellStyle name="Comma 3" xfId="9"/>
    <cellStyle name="Comma 4" xfId="10"/>
    <cellStyle name="Comma 5" xfId="72"/>
    <cellStyle name="Comma_US9r Markal Biomass Resource Data-export" xfId="11"/>
    <cellStyle name="Date" xfId="12"/>
    <cellStyle name="Explanatory Text 2" xfId="73"/>
    <cellStyle name="Fixed" xfId="13"/>
    <cellStyle name="Good 2" xfId="74"/>
    <cellStyle name="Heading 1 2" xfId="75"/>
    <cellStyle name="Heading 2 2" xfId="76"/>
    <cellStyle name="Heading 3 2" xfId="77"/>
    <cellStyle name="Heading 4 2" xfId="78"/>
    <cellStyle name="Heading1" xfId="14"/>
    <cellStyle name="Heading2" xfId="15"/>
    <cellStyle name="Hyperlink" xfId="16" builtinId="8"/>
    <cellStyle name="Input 2" xfId="17"/>
    <cellStyle name="Input 3" xfId="79"/>
    <cellStyle name="Linked Cell 2" xfId="80"/>
    <cellStyle name="Neutral 2" xfId="18"/>
    <cellStyle name="Neutral 3" xfId="81"/>
    <cellStyle name="Normal" xfId="0" builtinId="0"/>
    <cellStyle name="Normal 2" xfId="19"/>
    <cellStyle name="Normal 2 2" xfId="20"/>
    <cellStyle name="Normal 2 2 2" xfId="21"/>
    <cellStyle name="Normal 2 3" xfId="22"/>
    <cellStyle name="Normal 3" xfId="23"/>
    <cellStyle name="Normal 3 2" xfId="24"/>
    <cellStyle name="Normal 4" xfId="25"/>
    <cellStyle name="Normal 4 2" xfId="26"/>
    <cellStyle name="Normal 4 3" xfId="27"/>
    <cellStyle name="Normal 5" xfId="28"/>
    <cellStyle name="Normal 5 2" xfId="29"/>
    <cellStyle name="Normal 6" xfId="30"/>
    <cellStyle name="Normal 6 2" xfId="31"/>
    <cellStyle name="Normal_Conv" xfId="32"/>
    <cellStyle name="Normal_conversion factors" xfId="33"/>
    <cellStyle name="Normal_Data Improvement Calcs" xfId="34"/>
    <cellStyle name="Normal_EPAUS9r_08_SRC_Coal_v0.1a" xfId="35"/>
    <cellStyle name="Normal_Sheet2" xfId="36"/>
    <cellStyle name="Normal_State Emissions_CSA 2003 vs CAIR_Paste" xfId="42"/>
    <cellStyle name="Normal_State Impacts Table - All Proposals" xfId="43"/>
    <cellStyle name="Normal_Summary Sheet Template" xfId="44"/>
    <cellStyle name="Normale_Scen_UC_IND-StrucConst" xfId="87"/>
    <cellStyle name="Note 2" xfId="82"/>
    <cellStyle name="Output 2" xfId="83"/>
    <cellStyle name="Percent 2" xfId="37"/>
    <cellStyle name="Percent 3" xfId="38"/>
    <cellStyle name="Percent 4" xfId="39"/>
    <cellStyle name="Title 2" xfId="84"/>
    <cellStyle name="Total" xfId="40" builtinId="25" customBuiltin="1"/>
    <cellStyle name="Total 2" xfId="41"/>
    <cellStyle name="Total 3" xfId="85"/>
    <cellStyle name="Warning Text 2" xfId="86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0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6.emf"/><Relationship Id="rId2" Type="http://schemas.openxmlformats.org/officeDocument/2006/relationships/image" Target="../media/image11.emf"/><Relationship Id="rId1" Type="http://schemas.openxmlformats.org/officeDocument/2006/relationships/image" Target="../media/image12.emf"/><Relationship Id="rId6" Type="http://schemas.openxmlformats.org/officeDocument/2006/relationships/image" Target="../media/image7.emf"/><Relationship Id="rId5" Type="http://schemas.openxmlformats.org/officeDocument/2006/relationships/image" Target="../media/image8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image" Target="../media/image18.emf"/><Relationship Id="rId7" Type="http://schemas.openxmlformats.org/officeDocument/2006/relationships/image" Target="../media/image14.emf"/><Relationship Id="rId2" Type="http://schemas.openxmlformats.org/officeDocument/2006/relationships/image" Target="../media/image19.emf"/><Relationship Id="rId1" Type="http://schemas.openxmlformats.org/officeDocument/2006/relationships/image" Target="../media/image20.emf"/><Relationship Id="rId6" Type="http://schemas.openxmlformats.org/officeDocument/2006/relationships/image" Target="../media/image15.emf"/><Relationship Id="rId5" Type="http://schemas.openxmlformats.org/officeDocument/2006/relationships/image" Target="../media/image16.emf"/><Relationship Id="rId4" Type="http://schemas.openxmlformats.org/officeDocument/2006/relationships/image" Target="../media/image1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4.emf"/><Relationship Id="rId1" Type="http://schemas.openxmlformats.org/officeDocument/2006/relationships/image" Target="../media/image25.emf"/><Relationship Id="rId5" Type="http://schemas.openxmlformats.org/officeDocument/2006/relationships/image" Target="../media/image21.emf"/><Relationship Id="rId4" Type="http://schemas.openxmlformats.org/officeDocument/2006/relationships/image" Target="../media/image22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8.emf"/><Relationship Id="rId1" Type="http://schemas.openxmlformats.org/officeDocument/2006/relationships/image" Target="../media/image29.emf"/><Relationship Id="rId4" Type="http://schemas.openxmlformats.org/officeDocument/2006/relationships/image" Target="../media/image26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3.emf"/><Relationship Id="rId1" Type="http://schemas.openxmlformats.org/officeDocument/2006/relationships/image" Target="../media/image34.emf"/><Relationship Id="rId5" Type="http://schemas.openxmlformats.org/officeDocument/2006/relationships/image" Target="../media/image30.emf"/><Relationship Id="rId4" Type="http://schemas.openxmlformats.org/officeDocument/2006/relationships/image" Target="../media/image31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9.emf"/><Relationship Id="rId7" Type="http://schemas.openxmlformats.org/officeDocument/2006/relationships/image" Target="../media/image35.emf"/><Relationship Id="rId2" Type="http://schemas.openxmlformats.org/officeDocument/2006/relationships/image" Target="../media/image40.emf"/><Relationship Id="rId1" Type="http://schemas.openxmlformats.org/officeDocument/2006/relationships/image" Target="../media/image41.emf"/><Relationship Id="rId6" Type="http://schemas.openxmlformats.org/officeDocument/2006/relationships/image" Target="../media/image36.emf"/><Relationship Id="rId5" Type="http://schemas.openxmlformats.org/officeDocument/2006/relationships/image" Target="../media/image37.emf"/><Relationship Id="rId4" Type="http://schemas.openxmlformats.org/officeDocument/2006/relationships/image" Target="../media/image38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5.emf"/><Relationship Id="rId2" Type="http://schemas.openxmlformats.org/officeDocument/2006/relationships/image" Target="../media/image46.emf"/><Relationship Id="rId1" Type="http://schemas.openxmlformats.org/officeDocument/2006/relationships/image" Target="../media/image47.emf"/><Relationship Id="rId6" Type="http://schemas.openxmlformats.org/officeDocument/2006/relationships/image" Target="../media/image42.emf"/><Relationship Id="rId5" Type="http://schemas.openxmlformats.org/officeDocument/2006/relationships/image" Target="../media/image43.emf"/><Relationship Id="rId4" Type="http://schemas.openxmlformats.org/officeDocument/2006/relationships/image" Target="../media/image44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2.emf"/><Relationship Id="rId1" Type="http://schemas.openxmlformats.org/officeDocument/2006/relationships/image" Target="../media/image53.emf"/><Relationship Id="rId6" Type="http://schemas.openxmlformats.org/officeDocument/2006/relationships/image" Target="../media/image48.emf"/><Relationship Id="rId5" Type="http://schemas.openxmlformats.org/officeDocument/2006/relationships/image" Target="../media/image49.emf"/><Relationship Id="rId4" Type="http://schemas.openxmlformats.org/officeDocument/2006/relationships/image" Target="../media/image50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8.emf"/><Relationship Id="rId7" Type="http://schemas.openxmlformats.org/officeDocument/2006/relationships/image" Target="../media/image54.emf"/><Relationship Id="rId2" Type="http://schemas.openxmlformats.org/officeDocument/2006/relationships/image" Target="../media/image59.emf"/><Relationship Id="rId1" Type="http://schemas.openxmlformats.org/officeDocument/2006/relationships/image" Target="../media/image60.emf"/><Relationship Id="rId6" Type="http://schemas.openxmlformats.org/officeDocument/2006/relationships/image" Target="../media/image55.emf"/><Relationship Id="rId5" Type="http://schemas.openxmlformats.org/officeDocument/2006/relationships/image" Target="../media/image56.emf"/><Relationship Id="rId4" Type="http://schemas.openxmlformats.org/officeDocument/2006/relationships/image" Target="../media/image57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3.emf"/><Relationship Id="rId2" Type="http://schemas.openxmlformats.org/officeDocument/2006/relationships/image" Target="../media/image64.emf"/><Relationship Id="rId1" Type="http://schemas.openxmlformats.org/officeDocument/2006/relationships/image" Target="../media/image65.emf"/><Relationship Id="rId5" Type="http://schemas.openxmlformats.org/officeDocument/2006/relationships/image" Target="../media/image61.emf"/><Relationship Id="rId4" Type="http://schemas.openxmlformats.org/officeDocument/2006/relationships/image" Target="../media/image62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7.emf"/><Relationship Id="rId2" Type="http://schemas.openxmlformats.org/officeDocument/2006/relationships/image" Target="../media/image68.emf"/><Relationship Id="rId1" Type="http://schemas.openxmlformats.org/officeDocument/2006/relationships/image" Target="../media/image69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99060</xdr:rowOff>
        </xdr:to>
        <xdr:sp macro="" textlink="">
          <xdr:nvSpPr>
            <xdr:cNvPr id="56321" name="cmdTechnologySets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0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6322" name="cmdCheckTechnologiesSheet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0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4</xdr:col>
          <xdr:colOff>0</xdr:colOff>
          <xdr:row>5</xdr:row>
          <xdr:rowOff>99060</xdr:rowOff>
        </xdr:to>
        <xdr:sp macro="" textlink="">
          <xdr:nvSpPr>
            <xdr:cNvPr id="56323" name="cmdTACTUnit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0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99060</xdr:rowOff>
        </xdr:to>
        <xdr:sp macro="" textlink="">
          <xdr:nvSpPr>
            <xdr:cNvPr id="56324" name="cmdTCAPUnit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0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289560</xdr:colOff>
          <xdr:row>3</xdr:row>
          <xdr:rowOff>198120</xdr:rowOff>
        </xdr:to>
        <xdr:sp macro="" textlink="">
          <xdr:nvSpPr>
            <xdr:cNvPr id="56325" name="cmdRefreshUnits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00000000-0008-0000-0000-00000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114300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5</xdr:row>
          <xdr:rowOff>190500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5</xdr:row>
          <xdr:rowOff>190500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114300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678180</xdr:colOff>
          <xdr:row>5</xdr:row>
          <xdr:rowOff>190500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617220</xdr:colOff>
          <xdr:row>4</xdr:row>
          <xdr:rowOff>106680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678180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617220</xdr:colOff>
          <xdr:row>4</xdr:row>
          <xdr:rowOff>106680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541020</xdr:colOff>
          <xdr:row>2</xdr:row>
          <xdr:rowOff>0</xdr:rowOff>
        </xdr:from>
        <xdr:to>
          <xdr:col>4</xdr:col>
          <xdr:colOff>1516380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99060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4</xdr:col>
          <xdr:colOff>0</xdr:colOff>
          <xdr:row>5</xdr:row>
          <xdr:rowOff>99060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99060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289560</xdr:colOff>
          <xdr:row>3</xdr:row>
          <xdr:rowOff>198120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571500</xdr:colOff>
          <xdr:row>5</xdr:row>
          <xdr:rowOff>30480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571500</xdr:colOff>
          <xdr:row>4</xdr:row>
          <xdr:rowOff>22860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1584960</xdr:colOff>
          <xdr:row>4</xdr:row>
          <xdr:rowOff>7620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601980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1</xdr:col>
          <xdr:colOff>7620</xdr:colOff>
          <xdr:row>4</xdr:row>
          <xdr:rowOff>220980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30480</xdr:colOff>
          <xdr:row>4</xdr:row>
          <xdr:rowOff>7620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1</xdr:col>
          <xdr:colOff>0</xdr:colOff>
          <xdr:row>5</xdr:row>
          <xdr:rowOff>7620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1</xdr:col>
          <xdr:colOff>0</xdr:colOff>
          <xdr:row>6</xdr:row>
          <xdr:rowOff>22860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4</xdr:col>
          <xdr:colOff>0</xdr:colOff>
          <xdr:row>4</xdr:row>
          <xdr:rowOff>22860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81921" name="cmdConstrNameAndDesc" hidden="1">
              <a:extLst>
                <a:ext uri="{63B3BB69-23CF-44E3-9099-C40C66FF867C}">
                  <a14:compatExt spid="_x0000_s81921"/>
                </a:ext>
                <a:ext uri="{FF2B5EF4-FFF2-40B4-BE49-F238E27FC236}">
                  <a16:creationId xmlns:a16="http://schemas.microsoft.com/office/drawing/2014/main" id="{00000000-0008-0000-0D00-000001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81922" name="cmdTechName" hidden="1">
              <a:extLst>
                <a:ext uri="{63B3BB69-23CF-44E3-9099-C40C66FF867C}">
                  <a14:compatExt spid="_x0000_s81922"/>
                </a:ext>
                <a:ext uri="{FF2B5EF4-FFF2-40B4-BE49-F238E27FC236}">
                  <a16:creationId xmlns:a16="http://schemas.microsoft.com/office/drawing/2014/main" id="{00000000-0008-0000-0D00-000002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1</xdr:col>
          <xdr:colOff>0</xdr:colOff>
          <xdr:row>5</xdr:row>
          <xdr:rowOff>7620</xdr:rowOff>
        </xdr:to>
        <xdr:sp macro="" textlink="">
          <xdr:nvSpPr>
            <xdr:cNvPr id="81923" name="cmdAddParameter" hidden="1">
              <a:extLst>
                <a:ext uri="{63B3BB69-23CF-44E3-9099-C40C66FF867C}">
                  <a14:compatExt spid="_x0000_s81923"/>
                </a:ext>
                <a:ext uri="{FF2B5EF4-FFF2-40B4-BE49-F238E27FC236}">
                  <a16:creationId xmlns:a16="http://schemas.microsoft.com/office/drawing/2014/main" id="{00000000-0008-0000-0D00-000003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81924" name="cmdCheckConstrDataSheet" hidden="1">
              <a:extLst>
                <a:ext uri="{63B3BB69-23CF-44E3-9099-C40C66FF867C}">
                  <a14:compatExt spid="_x0000_s81924"/>
                </a:ext>
                <a:ext uri="{FF2B5EF4-FFF2-40B4-BE49-F238E27FC236}">
                  <a16:creationId xmlns:a16="http://schemas.microsoft.com/office/drawing/2014/main" id="{00000000-0008-0000-0D00-000004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1</xdr:col>
          <xdr:colOff>0</xdr:colOff>
          <xdr:row>6</xdr:row>
          <xdr:rowOff>22860</xdr:rowOff>
        </xdr:to>
        <xdr:sp macro="" textlink="">
          <xdr:nvSpPr>
            <xdr:cNvPr id="81925" name="cmdAddParamQualifier" hidden="1">
              <a:extLst>
                <a:ext uri="{63B3BB69-23CF-44E3-9099-C40C66FF867C}">
                  <a14:compatExt spid="_x0000_s81925"/>
                </a:ext>
                <a:ext uri="{FF2B5EF4-FFF2-40B4-BE49-F238E27FC236}">
                  <a16:creationId xmlns:a16="http://schemas.microsoft.com/office/drawing/2014/main" id="{00000000-0008-0000-0D00-000005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4</xdr:col>
          <xdr:colOff>0</xdr:colOff>
          <xdr:row>4</xdr:row>
          <xdr:rowOff>22860</xdr:rowOff>
        </xdr:to>
        <xdr:sp macro="" textlink="">
          <xdr:nvSpPr>
            <xdr:cNvPr id="81926" name="cmdRefreshUnits" hidden="1">
              <a:extLst>
                <a:ext uri="{63B3BB69-23CF-44E3-9099-C40C66FF867C}">
                  <a14:compatExt spid="_x0000_s81926"/>
                </a:ext>
                <a:ext uri="{FF2B5EF4-FFF2-40B4-BE49-F238E27FC236}">
                  <a16:creationId xmlns:a16="http://schemas.microsoft.com/office/drawing/2014/main" id="{00000000-0008-0000-0D00-000006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1584960</xdr:colOff>
          <xdr:row>4</xdr:row>
          <xdr:rowOff>7620</xdr:rowOff>
        </xdr:to>
        <xdr:sp macro="" textlink="">
          <xdr:nvSpPr>
            <xdr:cNvPr id="64513" name="cmdTechNameAndDesc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0E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601980</xdr:colOff>
          <xdr:row>4</xdr:row>
          <xdr:rowOff>0</xdr:rowOff>
        </xdr:to>
        <xdr:sp macro="" textlink="">
          <xdr:nvSpPr>
            <xdr:cNvPr id="64514" name="cmdCommIN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0E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64515" name="cmdCommOUT" hidden="1">
              <a:extLst>
                <a:ext uri="{63B3BB69-23CF-44E3-9099-C40C66FF867C}">
                  <a14:compatExt spid="_x0000_s64515"/>
                </a:ext>
                <a:ext uri="{FF2B5EF4-FFF2-40B4-BE49-F238E27FC236}">
                  <a16:creationId xmlns:a16="http://schemas.microsoft.com/office/drawing/2014/main" id="{00000000-0008-0000-0E00-00000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1</xdr:col>
          <xdr:colOff>7620</xdr:colOff>
          <xdr:row>4</xdr:row>
          <xdr:rowOff>220980</xdr:rowOff>
        </xdr:to>
        <xdr:sp macro="" textlink="">
          <xdr:nvSpPr>
            <xdr:cNvPr id="64516" name="cmdAddParameter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0E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64517" name="cmdAddParamQualifier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00000000-0008-0000-0E00-00000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64518" name="cmdCheckTechDataSheet" hidden="1">
              <a:extLst>
                <a:ext uri="{63B3BB69-23CF-44E3-9099-C40C66FF867C}">
                  <a14:compatExt spid="_x0000_s64518"/>
                </a:ext>
                <a:ext uri="{FF2B5EF4-FFF2-40B4-BE49-F238E27FC236}">
                  <a16:creationId xmlns:a16="http://schemas.microsoft.com/office/drawing/2014/main" id="{00000000-0008-0000-0E00-000006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30480</xdr:colOff>
          <xdr:row>4</xdr:row>
          <xdr:rowOff>7620</xdr:rowOff>
        </xdr:to>
        <xdr:sp macro="" textlink="">
          <xdr:nvSpPr>
            <xdr:cNvPr id="64519" name="cmdRefreshUnits" hidden="1">
              <a:extLst>
                <a:ext uri="{63B3BB69-23CF-44E3-9099-C40C66FF867C}">
                  <a14:compatExt spid="_x0000_s64519"/>
                </a:ext>
                <a:ext uri="{FF2B5EF4-FFF2-40B4-BE49-F238E27FC236}">
                  <a16:creationId xmlns:a16="http://schemas.microsoft.com/office/drawing/2014/main" id="{00000000-0008-0000-0E00-000007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F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F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F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0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F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F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60417" name="cmdConstraintSets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10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60418" name="cmdCheckConstraintsSheet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10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571500</xdr:colOff>
          <xdr:row>5</xdr:row>
          <xdr:rowOff>30480</xdr:rowOff>
        </xdr:to>
        <xdr:sp macro="" textlink="">
          <xdr:nvSpPr>
            <xdr:cNvPr id="60419" name="cmdConstraintUnit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10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571500</xdr:colOff>
          <xdr:row>4</xdr:row>
          <xdr:rowOff>22860</xdr:rowOff>
        </xdr:to>
        <xdr:sp macro="" textlink="">
          <xdr:nvSpPr>
            <xdr:cNvPr id="60420" name="cmdRefreshUnits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10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17</xdr:col>
      <xdr:colOff>209550</xdr:colOff>
      <xdr:row>36</xdr:row>
      <xdr:rowOff>66675</xdr:rowOff>
    </xdr:to>
    <xdr:pic>
      <xdr:nvPicPr>
        <xdr:cNvPr id="2" name="Picture 1" descr="http://www.samhsa.gov/data/2k13/TEDS2010/images/TEDS2010SFig1.gif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8400" y="190500"/>
          <a:ext cx="8134350" cy="5734050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24</xdr:row>
      <xdr:rowOff>95250</xdr:rowOff>
    </xdr:from>
    <xdr:to>
      <xdr:col>11</xdr:col>
      <xdr:colOff>600075</xdr:colOff>
      <xdr:row>27</xdr:row>
      <xdr:rowOff>142875</xdr:rowOff>
    </xdr:to>
    <xdr:pic>
      <xdr:nvPicPr>
        <xdr:cNvPr id="85352" name="Picture 16">
          <a:extLst>
            <a:ext uri="{FF2B5EF4-FFF2-40B4-BE49-F238E27FC236}">
              <a16:creationId xmlns:a16="http://schemas.microsoft.com/office/drawing/2014/main" id="{00000000-0008-0000-1900-0000684D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962400" y="3752850"/>
          <a:ext cx="5943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1019175</xdr:colOff>
      <xdr:row>25</xdr:row>
      <xdr:rowOff>85725</xdr:rowOff>
    </xdr:from>
    <xdr:to>
      <xdr:col>4</xdr:col>
      <xdr:colOff>0</xdr:colOff>
      <xdr:row>25</xdr:row>
      <xdr:rowOff>85725</xdr:rowOff>
    </xdr:to>
    <xdr:cxnSp macro="">
      <xdr:nvCxnSpPr>
        <xdr:cNvPr id="85353" name="Straight Arrow Connector 7">
          <a:extLst>
            <a:ext uri="{FF2B5EF4-FFF2-40B4-BE49-F238E27FC236}">
              <a16:creationId xmlns:a16="http://schemas.microsoft.com/office/drawing/2014/main" id="{00000000-0008-0000-1900-0000694D0100}"/>
            </a:ext>
          </a:extLst>
        </xdr:cNvPr>
        <xdr:cNvCxnSpPr>
          <a:cxnSpLocks noChangeShapeType="1"/>
        </xdr:cNvCxnSpPr>
      </xdr:nvCxnSpPr>
      <xdr:spPr bwMode="auto">
        <a:xfrm rot="10800000">
          <a:off x="3219450" y="3933825"/>
          <a:ext cx="609600" cy="0"/>
        </a:xfrm>
        <a:prstGeom prst="straightConnector1">
          <a:avLst/>
        </a:prstGeom>
        <a:noFill/>
        <a:ln w="19050" algn="ctr">
          <a:solidFill>
            <a:srgbClr val="C00000"/>
          </a:solidFill>
          <a:round/>
          <a:headEnd/>
          <a:tailEnd type="arrow" w="med" len="med"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eviewer" refreshedDate="42639.362440393517" createdVersion="3" refreshedVersion="5" minRefreshableVersion="3" recordCount="49">
  <cacheSource type="worksheet">
    <worksheetSource ref="R6:Y55" sheet="IPMProjections"/>
  </cacheSource>
  <cacheFields count="8">
    <cacheField name="Region" numFmtId="0">
      <sharedItems containsSemiMixedTypes="0" containsString="0" containsNumber="1" containsInteger="1" minValue="1" maxValue="9" count="9">
        <n v="6"/>
        <n v="8"/>
        <n v="7"/>
        <n v="9"/>
        <n v="1"/>
        <n v="5"/>
        <n v="3"/>
        <n v="4"/>
        <n v="2"/>
      </sharedItems>
    </cacheField>
    <cacheField name="2016" numFmtId="176">
      <sharedItems containsSemiMixedTypes="0" containsString="0" containsNumber="1" minValue="0" maxValue="125.49061829783375"/>
    </cacheField>
    <cacheField name="2018" numFmtId="176">
      <sharedItems containsSemiMixedTypes="0" containsString="0" containsNumber="1" minValue="0" maxValue="133.69090636327158"/>
    </cacheField>
    <cacheField name="2020" numFmtId="176">
      <sharedItems containsSemiMixedTypes="0" containsString="0" containsNumber="1" minValue="0" maxValue="128.18151179342306"/>
    </cacheField>
    <cacheField name="2025" numFmtId="176">
      <sharedItems containsSemiMixedTypes="0" containsString="0" containsNumber="1" minValue="0" maxValue="132.39986395627963"/>
    </cacheField>
    <cacheField name="2030" numFmtId="176">
      <sharedItems containsSemiMixedTypes="0" containsString="0" containsNumber="1" minValue="0" maxValue="131.0587983508839"/>
    </cacheField>
    <cacheField name="2040" numFmtId="176">
      <sharedItems containsSemiMixedTypes="0" containsString="0" containsNumber="1" minValue="0" maxValue="121.47421633978162"/>
    </cacheField>
    <cacheField name="2050" numFmtId="176">
      <sharedItems containsSemiMixedTypes="0" containsString="0" containsNumber="1" minValue="3.2700510161999999E-2" maxValue="126.40497878492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eviewer" refreshedDate="42639.362478935182" createdVersion="3" refreshedVersion="5" minRefreshableVersion="3" recordCount="49">
  <cacheSource type="worksheet">
    <worksheetSource ref="A6:I55" sheet="IPMProjections"/>
  </cacheSource>
  <cacheFields count="9">
    <cacheField name="Region" numFmtId="0">
      <sharedItems containsSemiMixedTypes="0" containsString="0" containsNumber="1" containsInteger="1" minValue="1" maxValue="9" count="9">
        <n v="6"/>
        <n v="8"/>
        <n v="7"/>
        <n v="9"/>
        <n v="1"/>
        <n v="5"/>
        <n v="3"/>
        <n v="4"/>
        <n v="2"/>
      </sharedItems>
    </cacheField>
    <cacheField name="State" numFmtId="0">
      <sharedItems/>
    </cacheField>
    <cacheField name="2016" numFmtId="176">
      <sharedItems containsSemiMixedTypes="0" containsString="0" containsNumber="1" minValue="0" maxValue="144.18471288529639"/>
    </cacheField>
    <cacheField name="2018" numFmtId="176">
      <sharedItems containsSemiMixedTypes="0" containsString="0" containsNumber="1" minValue="0" maxValue="139.02859648424663"/>
    </cacheField>
    <cacheField name="2020" numFmtId="176">
      <sharedItems containsSemiMixedTypes="0" containsString="0" containsNumber="1" minValue="0" maxValue="130.86686228905447"/>
    </cacheField>
    <cacheField name="2025" numFmtId="176">
      <sharedItems containsSemiMixedTypes="0" containsString="0" containsNumber="1" minValue="0" maxValue="142.07240408782951"/>
    </cacheField>
    <cacheField name="2030" numFmtId="176">
      <sharedItems containsSemiMixedTypes="0" containsString="0" containsNumber="1" minValue="0" maxValue="140.41394261873469"/>
    </cacheField>
    <cacheField name="2040" numFmtId="176">
      <sharedItems containsSemiMixedTypes="0" containsString="0" containsNumber="1" minValue="0" maxValue="122.63015122994032"/>
    </cacheField>
    <cacheField name="2050" numFmtId="176">
      <sharedItems containsSemiMixedTypes="0" containsString="0" containsNumber="1" minValue="0" maxValue="125.913415891447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n v="27.648795790267009"/>
    <n v="27.646362768869597"/>
    <n v="27.416574745977297"/>
    <n v="28.781503993491928"/>
    <n v="28.158359917940082"/>
    <n v="30.168393074801486"/>
    <n v="31.889295783743304"/>
  </r>
  <r>
    <x v="1"/>
    <n v="46.747521184300624"/>
    <n v="36.900045799041422"/>
    <n v="37.148374727949893"/>
    <n v="38.21888725775456"/>
    <n v="26.59613173442467"/>
    <n v="25.337538298239828"/>
    <n v="27.705323664540828"/>
  </r>
  <r>
    <x v="2"/>
    <n v="37.078790947599501"/>
    <n v="26.063169681158666"/>
    <n v="24.148650831370276"/>
    <n v="26.785488952841554"/>
    <n v="26.686632813902094"/>
    <n v="26.361987077397764"/>
    <n v="27.497885417983678"/>
  </r>
  <r>
    <x v="3"/>
    <n v="11.556253151725034"/>
    <n v="12.082552879353498"/>
    <n v="11.964043940303835"/>
    <n v="12.565398214378597"/>
    <n v="15.634273596742728"/>
    <n v="16.196297280131216"/>
    <n v="16.956094272581677"/>
  </r>
  <r>
    <x v="1"/>
    <n v="34.356289526827247"/>
    <n v="27.699786356317443"/>
    <n v="27.852137891929544"/>
    <n v="25.831945862306071"/>
    <n v="26.019266638496802"/>
    <n v="25.838663334133912"/>
    <n v="25.769365056580551"/>
  </r>
  <r>
    <x v="4"/>
    <n v="3.7051095809500736"/>
    <n v="3.5587259306867058"/>
    <n v="3.5238286877904792"/>
    <n v="3.5342062437887241"/>
    <n v="3.5194136495623476"/>
    <n v="3.7335276992843203"/>
    <n v="3.9685305415134198"/>
  </r>
  <r>
    <x v="5"/>
    <n v="0.78434671749922991"/>
    <n v="0.7613719871522322"/>
    <n v="0.79141538296385816"/>
    <n v="0.77712951428453592"/>
    <n v="0.75528735941753755"/>
    <n v="0.62064471825368961"/>
    <n v="0.50317821032337662"/>
  </r>
  <r>
    <x v="5"/>
    <n v="0"/>
    <n v="0"/>
    <n v="0"/>
    <n v="0"/>
    <n v="0"/>
    <n v="0"/>
    <n v="3.2700510161999999E-2"/>
  </r>
  <r>
    <x v="5"/>
    <n v="62.960904873529024"/>
    <n v="71.339624295272529"/>
    <n v="67.710360028280533"/>
    <n v="73.253078805659214"/>
    <n v="70.308347420445074"/>
    <n v="68.082423009294729"/>
    <n v="70.603687401752907"/>
  </r>
  <r>
    <x v="5"/>
    <n v="24.814506835868045"/>
    <n v="25.170025475196731"/>
    <n v="25.387121879467333"/>
    <n v="29.623231548960565"/>
    <n v="26.929192618994627"/>
    <n v="24.816319924844166"/>
    <n v="28.833889417593817"/>
  </r>
  <r>
    <x v="1"/>
    <n v="0.55573345563036891"/>
    <n v="0.61642224271875812"/>
    <n v="0.61642224271875812"/>
    <n v="0.95721376387828228"/>
    <n v="0.95721376387828228"/>
    <n v="1.6414577778516586"/>
    <n v="2.8146881433070963"/>
  </r>
  <r>
    <x v="6"/>
    <n v="35.079458984727808"/>
    <n v="35.573483726621575"/>
    <n v="35.718488172283571"/>
    <n v="36.237722762222376"/>
    <n v="36.133966931273434"/>
    <n v="36.198698032092508"/>
    <n v="37.721383304812534"/>
  </r>
  <r>
    <x v="6"/>
    <n v="95.488093628669063"/>
    <n v="100.93494750392988"/>
    <n v="99.302241971995826"/>
    <n v="101.93378195058483"/>
    <n v="85.004885606911415"/>
    <n v="83.508022944222006"/>
    <n v="88.396529987608488"/>
  </r>
  <r>
    <x v="7"/>
    <n v="19.548279096769704"/>
    <n v="21.121898346876261"/>
    <n v="20.470959828244929"/>
    <n v="21.32787783798479"/>
    <n v="21.299233949778404"/>
    <n v="21.635568163002663"/>
    <n v="22.362406017150359"/>
  </r>
  <r>
    <x v="7"/>
    <n v="25.548055714698791"/>
    <n v="25.526363505014547"/>
    <n v="25.552738489246249"/>
    <n v="25.140330751185427"/>
    <n v="25.937248088216524"/>
    <n v="25.713061813715008"/>
    <n v="25.603435486282656"/>
  </r>
  <r>
    <x v="0"/>
    <n v="74.499942443222935"/>
    <n v="71.682952044533124"/>
    <n v="69.338845417207153"/>
    <n v="74.654738977060035"/>
    <n v="73.090244121398371"/>
    <n v="72.821658926762396"/>
    <n v="75.719498670112273"/>
  </r>
  <r>
    <x v="2"/>
    <n v="25.170504770343396"/>
    <n v="27.559058526083476"/>
    <n v="26.485115699170453"/>
    <n v="26.470781237113361"/>
    <n v="22.308291153937539"/>
    <n v="19.376595545873045"/>
    <n v="20.42225240763042"/>
  </r>
  <r>
    <x v="4"/>
    <n v="3.7691696711807827"/>
    <n v="3.6736523752377579"/>
    <n v="3.6768005781583111"/>
    <n v="3.675276599783897"/>
    <n v="3.7025660639850373"/>
    <n v="3.6882068819323295"/>
    <n v="3.5394345640336273"/>
  </r>
  <r>
    <x v="5"/>
    <n v="9.6239720908875288"/>
    <n v="8.8852987592060995"/>
    <n v="8.475238287919451"/>
    <n v="8.8891232643365825"/>
    <n v="7.8343993375478886"/>
    <n v="7.9002973950592086"/>
    <n v="7.7649102215194858"/>
  </r>
  <r>
    <x v="4"/>
    <n v="4.3783552132861177"/>
    <n v="4.1980368056211734"/>
    <n v="4.2715861130267623"/>
    <n v="4.2624013245645456"/>
    <n v="4.2758691731105358"/>
    <n v="3.9555920413522156"/>
    <n v="3.9941735375594041"/>
  </r>
  <r>
    <x v="6"/>
    <n v="71.785755087732426"/>
    <n v="69.178637537480128"/>
    <n v="69.721457784110342"/>
    <n v="68.887271345586271"/>
    <n v="68.223986494444247"/>
    <n v="68.695259983955708"/>
    <n v="68.577211012705874"/>
  </r>
  <r>
    <x v="7"/>
    <n v="23.607307753425328"/>
    <n v="24.787199985438896"/>
    <n v="24.753197135762729"/>
    <n v="25.149706194708397"/>
    <n v="25.617747049716375"/>
    <n v="25.889258221345425"/>
    <n v="25.934336808094482"/>
  </r>
  <r>
    <x v="0"/>
    <n v="15.053007884452967"/>
    <n v="17.869395544649187"/>
    <n v="17.138780031152443"/>
    <n v="16.632555134396235"/>
    <n v="15.144443464430241"/>
    <n v="13.974560774116101"/>
    <n v="15.742417321896818"/>
  </r>
  <r>
    <x v="7"/>
    <n v="66.24775384963354"/>
    <n v="47.041378373927962"/>
    <n v="46.229592083246459"/>
    <n v="47.827517446127125"/>
    <n v="47.927646957567518"/>
    <n v="48.025319058097693"/>
    <n v="48.965935676277823"/>
  </r>
  <r>
    <x v="1"/>
    <n v="20.498184153479333"/>
    <n v="15.757161614689718"/>
    <n v="15.755326982355207"/>
    <n v="15.760883850343621"/>
    <n v="15.914747232022441"/>
    <n v="16.275287780638383"/>
    <n v="16.563430070630027"/>
  </r>
  <r>
    <x v="1"/>
    <n v="37.381614336435312"/>
    <n v="33.237581516062029"/>
    <n v="33.212530168052659"/>
    <n v="33.434569028521054"/>
    <n v="33.507409879650375"/>
    <n v="33.501653475977335"/>
    <n v="33.48756835251222"/>
  </r>
  <r>
    <x v="1"/>
    <n v="9.4503967397688999"/>
    <n v="7.3158969775782001"/>
    <n v="7.3062131428602264"/>
    <n v="2.0581403642934437"/>
    <n v="1.302147242142617"/>
    <n v="1.2557367602410312"/>
    <n v="1.9288424420703441"/>
  </r>
  <r>
    <x v="4"/>
    <n v="1.0202095881933246"/>
    <n v="0.98869592512676407"/>
    <n v="0.98848845093944415"/>
    <n v="0.9987898895937789"/>
    <n v="1.0241203467669688"/>
    <n v="0.962712147629885"/>
    <n v="0.9931703426130809"/>
  </r>
  <r>
    <x v="8"/>
    <n v="9.4502543794255942"/>
    <n v="10.344989145596211"/>
    <n v="10.222892102724247"/>
    <n v="10.615800565057274"/>
    <n v="10.361169003705816"/>
    <n v="9.7922185128053467"/>
    <n v="10.836372665100573"/>
  </r>
  <r>
    <x v="1"/>
    <n v="38.669069667258412"/>
    <n v="17.226292493262868"/>
    <n v="16.725948124652419"/>
    <n v="17.443521350938955"/>
    <n v="16.380572252643638"/>
    <n v="15.079179834023968"/>
    <n v="15.20966551576274"/>
  </r>
  <r>
    <x v="8"/>
    <n v="17.534087040826051"/>
    <n v="19.057883567161184"/>
    <n v="17.902587152068037"/>
    <n v="17.401465871539248"/>
    <n v="15.9379898556219"/>
    <n v="15.741507890937422"/>
    <n v="13.497644164171273"/>
  </r>
  <r>
    <x v="5"/>
    <n v="50.128379876790795"/>
    <n v="49.536885227658139"/>
    <n v="46.311548041191998"/>
    <n v="49.342053876342355"/>
    <n v="47.734348648395624"/>
    <n v="45.592090315780297"/>
    <n v="51.171265966210939"/>
  </r>
  <r>
    <x v="7"/>
    <n v="49.596925817081221"/>
    <n v="50.881598453164472"/>
    <n v="49.131002735160038"/>
    <n v="51.786534211518628"/>
    <n v="51.748152126999344"/>
    <n v="52.836862359841724"/>
    <n v="52.87756563345917"/>
  </r>
  <r>
    <x v="6"/>
    <n v="71.452618653780647"/>
    <n v="71.12851506211031"/>
    <n v="70.739419576200774"/>
    <n v="70.382962472063028"/>
    <n v="70.250788097891956"/>
    <n v="72.89166925567767"/>
    <n v="73.729392565434182"/>
  </r>
  <r>
    <x v="2"/>
    <n v="55.013303598958501"/>
    <n v="47.379765190910931"/>
    <n v="45.931674618221543"/>
    <n v="46.804119723568867"/>
    <n v="41.593881786131774"/>
    <n v="38.840914887562761"/>
    <n v="37.099413609974171"/>
  </r>
  <r>
    <x v="3"/>
    <n v="3.1305062603794691"/>
    <n v="3.3504037171054404"/>
    <n v="3.1342821417507092"/>
    <n v="3.7230448045556912"/>
    <n v="3.7891936767710637"/>
    <n v="3.7528045034583557"/>
    <n v="3.9597900274637374"/>
  </r>
  <r>
    <x v="8"/>
    <n v="118.75705323205504"/>
    <n v="120.93589287193922"/>
    <n v="118.90657974908507"/>
    <n v="121.78134900707013"/>
    <n v="119.90697191165032"/>
    <n v="121.47421633978162"/>
    <n v="126.4049787849244"/>
  </r>
  <r>
    <x v="4"/>
    <n v="0.43355460722327022"/>
    <n v="0.41510132398461752"/>
    <n v="0.43392271945245714"/>
    <n v="0.44702744608844636"/>
    <n v="0.42053028315001995"/>
    <n v="0.8730388882885306"/>
    <n v="0.90662447235859756"/>
  </r>
  <r>
    <x v="5"/>
    <n v="11.730949805742101"/>
    <n v="13.864763890301221"/>
    <n v="12.157546125011809"/>
    <n v="15.125854005948597"/>
    <n v="14.458997690960258"/>
    <n v="13.208811045156414"/>
    <n v="17.263160963677365"/>
  </r>
  <r>
    <x v="7"/>
    <n v="1.5482188242946637"/>
    <n v="1.4148328393125065"/>
    <n v="1.40421017087843"/>
    <n v="1.6267755522003104"/>
    <n v="1.6332781303429396"/>
    <n v="1.676492850352536"/>
    <n v="1.5857647659311511"/>
  </r>
  <r>
    <x v="0"/>
    <n v="13.739358545020941"/>
    <n v="14.271777942325791"/>
    <n v="14.439702291704085"/>
    <n v="15.206905051505441"/>
    <n v="15.110437447713711"/>
    <n v="16.20561462697124"/>
    <n v="16.495102256273555"/>
  </r>
  <r>
    <x v="2"/>
    <n v="125.49061829783375"/>
    <n v="133.69090636327158"/>
    <n v="128.18151179342306"/>
    <n v="132.39986395627963"/>
    <n v="131.0587983508839"/>
    <n v="118.04872835765023"/>
    <n v="123.0702899439996"/>
  </r>
  <r>
    <x v="1"/>
    <n v="56.920819136446639"/>
    <n v="57.823202076769903"/>
    <n v="57.875932814303951"/>
    <n v="58.176537225063555"/>
    <n v="58.33934629244483"/>
    <n v="58.721741497488587"/>
    <n v="58.900993857453102"/>
  </r>
  <r>
    <x v="4"/>
    <n v="0.46932033416504682"/>
    <n v="0.46932033416504682"/>
    <n v="0.46932033416504682"/>
    <n v="0.46932033416504682"/>
    <n v="0.46932033416504682"/>
    <n v="0.46932033416504682"/>
    <n v="0.50324861480222971"/>
  </r>
  <r>
    <x v="5"/>
    <n v="22.812756310725348"/>
    <n v="26.072127317812495"/>
    <n v="24.204699770126119"/>
    <n v="25.569828274996855"/>
    <n v="23.548146273619743"/>
    <n v="22.539265023577318"/>
    <n v="24.676721808647546"/>
  </r>
  <r>
    <x v="3"/>
    <n v="2.5387767836390474"/>
    <n v="2.7316936762945279"/>
    <n v="2.7342711885613569"/>
    <n v="3.1902033592045185"/>
    <n v="3.4373300162248115"/>
    <n v="3.4029967856968182"/>
    <n v="3.7546989286325116"/>
  </r>
  <r>
    <x v="5"/>
    <n v="61.854387444173156"/>
    <n v="61.855083351380557"/>
    <n v="61.865109806731397"/>
    <n v="62.377026458180843"/>
    <n v="63.289513849293044"/>
    <n v="64.247038706800026"/>
    <n v="64.853506974583041"/>
  </r>
  <r>
    <x v="6"/>
    <n v="19.516246445964104"/>
    <n v="20.168365805246058"/>
    <n v="18.339730287512275"/>
    <n v="18.779100419906584"/>
    <n v="19.077015794676083"/>
    <n v="19.259036813893335"/>
    <n v="19.475220920855644"/>
  </r>
  <r>
    <x v="1"/>
    <n v="33.482176297194172"/>
    <n v="22.57128001237712"/>
    <n v="22.369951089815288"/>
    <n v="20.53066282597706"/>
    <n v="20.554690932922789"/>
    <n v="20.584620380566449"/>
    <n v="20.53624252856727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9">
  <r>
    <x v="0"/>
    <s v="Alabama"/>
    <n v="37.485752705393061"/>
    <n v="40.660594942348347"/>
    <n v="42.16077008024839"/>
    <n v="43.031783331047954"/>
    <n v="43.031783331047954"/>
    <n v="36.910077139024033"/>
    <n v="28.912372994136778"/>
  </r>
  <r>
    <x v="1"/>
    <s v="Arizona"/>
    <n v="26.840523107169592"/>
    <n v="27.536869910851177"/>
    <n v="27.312911356612862"/>
    <n v="27.536869915597116"/>
    <n v="27.475351326612653"/>
    <n v="26.809662926643639"/>
    <n v="27.095531054560929"/>
  </r>
  <r>
    <x v="2"/>
    <s v="Arkansas"/>
    <n v="22.17153463948274"/>
    <n v="25.427142755203089"/>
    <n v="22.68549763447805"/>
    <n v="25.168164080829449"/>
    <n v="25.168164080567252"/>
    <n v="25.170018376433671"/>
    <n v="26.825888987757512"/>
  </r>
  <r>
    <x v="3"/>
    <s v="California"/>
    <n v="3.4464546314091109"/>
    <n v="3.7091556548577413"/>
    <n v="3.6238172687289407"/>
    <n v="3.6584059156468633"/>
    <n v="4.199091292617485"/>
    <n v="4.2600099750165921"/>
    <n v="4.3331954278731679"/>
  </r>
  <r>
    <x v="1"/>
    <s v="Colorado"/>
    <n v="16.865654704438128"/>
    <n v="15.115369556110435"/>
    <n v="15.164061747536765"/>
    <n v="15.177893677630415"/>
    <n v="15.178412074972663"/>
    <n v="15.726053180074652"/>
    <n v="16.541499905042997"/>
  </r>
  <r>
    <x v="4"/>
    <s v="Connecticut"/>
    <n v="0.67689104586365645"/>
    <n v="0.64718633617900656"/>
    <n v="0.64843322643039247"/>
    <n v="0.66127087104496651"/>
    <n v="0.6613908169255065"/>
    <n v="0.66638011550020648"/>
    <n v="0.68019523106812652"/>
  </r>
  <r>
    <x v="5"/>
    <s v="Delaware"/>
    <n v="0.1265773476087208"/>
    <n v="0.1265773476087208"/>
    <n v="0.1265773476087208"/>
    <n v="0.1265773476087208"/>
    <n v="0.1265773476087208"/>
    <n v="0.12657734886137939"/>
    <n v="0.12657734886137939"/>
  </r>
  <r>
    <x v="5"/>
    <s v="District of Columbia"/>
    <n v="0"/>
    <n v="0"/>
    <n v="0"/>
    <n v="0"/>
    <n v="0"/>
    <n v="0"/>
    <n v="0.130802040648"/>
  </r>
  <r>
    <x v="5"/>
    <s v="Florida"/>
    <n v="77.313031489733618"/>
    <n v="81.773971050642089"/>
    <n v="81.178855074566428"/>
    <n v="80.921610189851236"/>
    <n v="72.583875111126787"/>
    <n v="61.397965990584702"/>
    <n v="44.627736340515398"/>
  </r>
  <r>
    <x v="5"/>
    <s v="Georgia"/>
    <n v="23.34821670062621"/>
    <n v="26.635538011881799"/>
    <n v="27.100550466559849"/>
    <n v="29.03532120417724"/>
    <n v="29.193564557366422"/>
    <n v="27.814410818751309"/>
    <n v="30.436343977992831"/>
  </r>
  <r>
    <x v="1"/>
    <s v="Idaho"/>
    <n v="0.15471037997280002"/>
    <n v="0.17556360817504002"/>
    <n v="0.17556360817504002"/>
    <n v="0.18711092609759999"/>
    <n v="0.18711092609759999"/>
    <n v="0.18711092609759999"/>
    <n v="0.18711092609759999"/>
  </r>
  <r>
    <x v="6"/>
    <s v="Illinois"/>
    <n v="48.997313682258024"/>
    <n v="51.705424394528215"/>
    <n v="51.989816150904268"/>
    <n v="53.211046494183343"/>
    <n v="55.139830960467016"/>
    <n v="55.406704416746095"/>
    <n v="55.44497863948952"/>
  </r>
  <r>
    <x v="6"/>
    <s v="Indiana"/>
    <n v="116.34568323682028"/>
    <n v="129.55241130067841"/>
    <n v="129.75922548734664"/>
    <n v="140.70526962127892"/>
    <n v="128.25507179566532"/>
    <n v="122.63015122994032"/>
    <n v="125.91341589144734"/>
  </r>
  <r>
    <x v="7"/>
    <s v="Iowa"/>
    <n v="13.920422854942979"/>
    <n v="14.721477964998275"/>
    <n v="14.200807457881369"/>
    <n v="14.580841014617196"/>
    <n v="14.438994512577121"/>
    <n v="15.992783047193038"/>
    <n v="16.461909712122498"/>
  </r>
  <r>
    <x v="7"/>
    <s v="Kansas"/>
    <n v="14.599921007901299"/>
    <n v="14.713545359533233"/>
    <n v="14.706425033662383"/>
    <n v="14.713545359533233"/>
    <n v="14.713545359533233"/>
    <n v="14.709055599517393"/>
    <n v="15.08744469183798"/>
  </r>
  <r>
    <x v="0"/>
    <s v="Kentucky"/>
    <n v="90.199984513521983"/>
    <n v="82.41285120802101"/>
    <n v="81.524815905107545"/>
    <n v="99.152869339769666"/>
    <n v="95.270975759464434"/>
    <n v="96.836506077583877"/>
    <n v="99.47745724076276"/>
  </r>
  <r>
    <x v="2"/>
    <s v="Louisiana"/>
    <n v="17.441358157779661"/>
    <n v="30.799827069205733"/>
    <n v="29.771643568772735"/>
    <n v="33.203017934669113"/>
    <n v="33.203017933681799"/>
    <n v="33.103411702485914"/>
    <n v="33.391925420208167"/>
  </r>
  <r>
    <x v="4"/>
    <s v="Maine"/>
    <n v="1.6960872850503224"/>
    <n v="1.118364123767343"/>
    <n v="1.118364123767343"/>
    <n v="1.118364123767343"/>
    <n v="1.118364123767343"/>
    <n v="1.1183641231136894"/>
    <n v="1.1183641231136896"/>
  </r>
  <r>
    <x v="5"/>
    <s v="Maryland"/>
    <n v="4.6474404886263461"/>
    <n v="5.0072930903344641"/>
    <n v="4.3700109650678183"/>
    <n v="7.6266731416965996"/>
    <n v="6.1348834566998125"/>
    <n v="3.7975575273270898"/>
    <n v="4.3236238380781886"/>
  </r>
  <r>
    <x v="4"/>
    <s v="Massachusetts"/>
    <n v="0.65048589404435941"/>
    <n v="0.59980556667341633"/>
    <n v="0.59980556667341633"/>
    <n v="0.59980556667341633"/>
    <n v="0.59980556667341633"/>
    <n v="0.59980556667341633"/>
    <n v="0.59980556667341622"/>
  </r>
  <r>
    <x v="6"/>
    <s v="Michigan"/>
    <n v="84.919680073232186"/>
    <n v="84.431289131814907"/>
    <n v="84.476777291621289"/>
    <n v="87.869561920552144"/>
    <n v="87.207990018290019"/>
    <n v="85.913713919065387"/>
    <n v="87.797566056902866"/>
  </r>
  <r>
    <x v="7"/>
    <s v="Minnesota"/>
    <n v="13.935766537713095"/>
    <n v="14.770206135591531"/>
    <n v="14.729161971302196"/>
    <n v="14.800074711195609"/>
    <n v="14.873731199961108"/>
    <n v="15.18103595841694"/>
    <n v="15.432205394134353"/>
  </r>
  <r>
    <x v="0"/>
    <s v="Mississippi"/>
    <n v="12.30681297809128"/>
    <n v="13.38145349439575"/>
    <n v="12.946812043493701"/>
    <n v="15.000707766378142"/>
    <n v="15.000707766378142"/>
    <n v="15.000707766378142"/>
    <n v="15.31117765991891"/>
  </r>
  <r>
    <x v="7"/>
    <s v="Missouri"/>
    <n v="64.626910622538162"/>
    <n v="69.305448480286756"/>
    <n v="75.547478713215057"/>
    <n v="80.433877246184792"/>
    <n v="98.85363872272562"/>
    <n v="102.02813562458228"/>
    <n v="107.63305696331665"/>
  </r>
  <r>
    <x v="1"/>
    <s v="Montana"/>
    <n v="13.102670273895468"/>
    <n v="13.272297851612215"/>
    <n v="18.75334252536112"/>
    <n v="18.775529904403978"/>
    <n v="19.030494283625991"/>
    <n v="19.509445767816452"/>
    <n v="19.509445768195508"/>
  </r>
  <r>
    <x v="1"/>
    <s v="Nebraska"/>
    <n v="24.768854153393544"/>
    <n v="24.876967307070775"/>
    <n v="24.84330639897151"/>
    <n v="24.876967307070775"/>
    <n v="30.402675083280936"/>
    <n v="30.402858726158986"/>
    <n v="37.547073582818783"/>
  </r>
  <r>
    <x v="1"/>
    <s v="Nevada"/>
    <n v="6.9966463503568992"/>
    <n v="4.5483096094111488"/>
    <n v="4.5483096094111488"/>
    <n v="0.58733649707255364"/>
    <n v="0.58733649707255364"/>
    <n v="0.59038006873755855"/>
    <n v="0.5873281619066556"/>
  </r>
  <r>
    <x v="4"/>
    <s v="New Hampshire"/>
    <n v="0.40199839285598982"/>
    <n v="0.40503380291018981"/>
    <n v="0.40420390616090979"/>
    <n v="0.42580940303104547"/>
    <n v="0.42911073232500047"/>
    <n v="0.43037806890786973"/>
    <n v="0.47121344306972746"/>
  </r>
  <r>
    <x v="8"/>
    <s v="New Jersey"/>
    <n v="6.0975957532429916"/>
    <n v="7.025595779441419"/>
    <n v="6.6122052035435939"/>
    <n v="7.1010937420756637"/>
    <n v="7.100576013026842"/>
    <n v="5.3732402842134626"/>
    <n v="6.1810670731365738"/>
  </r>
  <r>
    <x v="1"/>
    <s v="New Mexico"/>
    <n v="11.57544779826787"/>
    <n v="11.744716289765083"/>
    <n v="11.558474775386648"/>
    <n v="11.744716289765083"/>
    <n v="11.520196390578324"/>
    <n v="11.251530128424829"/>
    <n v="11.179692714605471"/>
  </r>
  <r>
    <x v="8"/>
    <s v="New York"/>
    <n v="4.5084032014290907"/>
    <n v="5.7783505188426609"/>
    <n v="5.0792151586269485"/>
    <n v="5.7557930134873292"/>
    <n v="4.9594782248660731"/>
    <n v="4.5639543756221306"/>
    <n v="3.7537384753518603"/>
  </r>
  <r>
    <x v="5"/>
    <s v="North Carolina"/>
    <n v="30.221309118754231"/>
    <n v="31.010569832350292"/>
    <n v="28.696703003754735"/>
    <n v="33.549027141796422"/>
    <n v="34.153345815056419"/>
    <n v="36.241878544825781"/>
    <n v="39.580811057123228"/>
  </r>
  <r>
    <x v="7"/>
    <s v="North Dakota"/>
    <n v="29.053165208259607"/>
    <n v="26.487754211054028"/>
    <n v="25.972709568293464"/>
    <n v="26.927652665695597"/>
    <n v="26.869817686093146"/>
    <n v="27.507619568517178"/>
    <n v="30.240242736384229"/>
  </r>
  <r>
    <x v="6"/>
    <s v="Ohio"/>
    <n v="109.14210320069836"/>
    <n v="113.41868497607952"/>
    <n v="114.31981007742026"/>
    <n v="117.85721309072858"/>
    <n v="112.67788673883517"/>
    <n v="109.1709154591392"/>
    <n v="111.52028910097152"/>
  </r>
  <r>
    <x v="2"/>
    <s v="Oklahoma"/>
    <n v="22.546089122035859"/>
    <n v="22.888155020330885"/>
    <n v="22.259924090435788"/>
    <n v="26.246431390562993"/>
    <n v="16.969355162910432"/>
    <n v="18.006248135564398"/>
    <n v="18.746557715767622"/>
  </r>
  <r>
    <x v="3"/>
    <s v="Oregon"/>
    <n v="0.92432140492010362"/>
    <n v="0.92432140492010362"/>
    <n v="0.92432140492010362"/>
    <n v="0.98984840340362357"/>
    <n v="0.98984840340362357"/>
    <n v="0.98984840340362357"/>
    <n v="0.98984840340362368"/>
  </r>
  <r>
    <x v="8"/>
    <s v="Pennsylvania"/>
    <n v="61.623479601466855"/>
    <n v="62.293544081727291"/>
    <n v="61.560469975588042"/>
    <n v="66.954144513147213"/>
    <n v="64.253661621257223"/>
    <n v="73.769543109535093"/>
    <n v="72.172541551215119"/>
  </r>
  <r>
    <x v="4"/>
    <s v="Rhode Island"/>
    <n v="0"/>
    <n v="0"/>
    <n v="0"/>
    <n v="0"/>
    <n v="0"/>
    <n v="0"/>
    <n v="0"/>
  </r>
  <r>
    <x v="5"/>
    <s v="South Carolina"/>
    <n v="18.162066524341682"/>
    <n v="24.859022032933147"/>
    <n v="23.37919767214791"/>
    <n v="29.542481065696784"/>
    <n v="28.203568930599985"/>
    <n v="25.041481713938623"/>
    <n v="31.304089614930785"/>
  </r>
  <r>
    <x v="7"/>
    <s v="South Dakota"/>
    <n v="1.38500692986449"/>
    <n v="1.4664698840641099"/>
    <n v="1.44930011691098"/>
    <n v="1.4664698840641099"/>
    <n v="1.4666641258298201"/>
    <n v="1.46670600241064"/>
    <n v="2.00649464946413"/>
  </r>
  <r>
    <x v="0"/>
    <s v="Tennessee"/>
    <n v="40.11703001758535"/>
    <n v="42.303988154261958"/>
    <n v="41.355767632009211"/>
    <n v="40.156855436702884"/>
    <n v="41.453044157622372"/>
    <n v="40.111445695747776"/>
    <n v="41.736776717569619"/>
  </r>
  <r>
    <x v="2"/>
    <s v="Texas"/>
    <n v="144.18471288529639"/>
    <n v="139.02859648424663"/>
    <n v="130.86686228905447"/>
    <n v="142.07240408782951"/>
    <n v="140.41394261873469"/>
    <n v="115.81062891948041"/>
    <n v="116.30730788323186"/>
  </r>
  <r>
    <x v="1"/>
    <s v="Utah"/>
    <n v="15.494017639419104"/>
    <n v="15.690054041532749"/>
    <n v="15.690054041532749"/>
    <n v="15.613686053776997"/>
    <n v="15.17507423466026"/>
    <n v="14.47299827140394"/>
    <n v="16.584340545215387"/>
  </r>
  <r>
    <x v="4"/>
    <s v="Vermont"/>
    <n v="0.31382375284320002"/>
    <n v="0.31382375284320002"/>
    <n v="0.31382375284320002"/>
    <n v="0.31382375284320002"/>
    <n v="0.31382375284320002"/>
    <n v="0.31382375284320002"/>
    <n v="0.31704733122720002"/>
  </r>
  <r>
    <x v="5"/>
    <s v="Virginia"/>
    <n v="14.37618936120732"/>
    <n v="16.868293404818839"/>
    <n v="15.354813834686661"/>
    <n v="16.915871887325341"/>
    <n v="16.026882549730253"/>
    <n v="14.872617707586123"/>
    <n v="14.726699967128653"/>
  </r>
  <r>
    <x v="3"/>
    <s v="Washington"/>
    <n v="0.62711477974696184"/>
    <n v="0.62996349784585659"/>
    <n v="0.62996349784585659"/>
    <n v="0.63775931438569666"/>
    <n v="0.63777421014086788"/>
    <n v="0.63777420930878459"/>
    <n v="0.63777420936051832"/>
  </r>
  <r>
    <x v="5"/>
    <s v="West Virginia"/>
    <n v="74.97432216829111"/>
    <n v="74.97432216829111"/>
    <n v="72.393114751801306"/>
    <n v="74.755622495470831"/>
    <n v="71.561566237896969"/>
    <n v="70.224665856897417"/>
    <n v="69.937540109359801"/>
  </r>
  <r>
    <x v="6"/>
    <s v="Wisconsin"/>
    <n v="15.232277670185493"/>
    <n v="15.839227173776724"/>
    <n v="15.401007555889942"/>
    <n v="15.848943656744122"/>
    <n v="15.938823862380531"/>
    <n v="16.015614321258365"/>
    <n v="16.193858889179555"/>
  </r>
  <r>
    <x v="1"/>
    <s v="Wyoming"/>
    <n v="22.752423855228749"/>
    <n v="23.800540029556849"/>
    <n v="23.71427575270312"/>
    <n v="27.295945102057139"/>
    <n v="27.764506094506306"/>
    <n v="25.985232676203559"/>
    <n v="25.4111735064936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showCalcMbrs="0" useAutoFormatting="1" itemPrintTitles="1" createdVersion="3" indent="0" outline="1" outlineData="1" multipleFieldFilters="0">
  <location ref="A17:G28" firstHeaderRow="1" firstDataRow="2" firstDataCol="1"/>
  <pivotFields count="8">
    <pivotField axis="axisRow" showAll="0">
      <items count="10">
        <item x="4"/>
        <item x="8"/>
        <item x="6"/>
        <item x="7"/>
        <item x="5"/>
        <item x="0"/>
        <item x="2"/>
        <item x="1"/>
        <item x="3"/>
        <item t="default"/>
      </items>
    </pivotField>
    <pivotField dataField="1" numFmtId="176" showAll="0"/>
    <pivotField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2016" fld="1" baseField="0" baseItem="0"/>
    <dataField name="Sum of 2020" fld="3" baseField="0" baseItem="0"/>
    <dataField name="Sum of 2025" fld="4" baseField="0" baseItem="0"/>
    <dataField name="Sum of 2030" fld="5" baseField="0" baseItem="0"/>
    <dataField name="Sum of 2040" fld="6" baseField="0" baseItem="0"/>
    <dataField name="Sum of 2050" fld="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showCalcMbrs="0" useAutoFormatting="1" itemPrintTitles="1" createdVersion="3" indent="0" outline="1" outlineData="1" multipleFieldFilters="0">
  <location ref="A3:G14" firstHeaderRow="1" firstDataRow="2" firstDataCol="1"/>
  <pivotFields count="9">
    <pivotField axis="axisRow" showAll="0">
      <items count="10">
        <item x="4"/>
        <item x="8"/>
        <item x="6"/>
        <item x="7"/>
        <item x="5"/>
        <item x="0"/>
        <item x="2"/>
        <item x="1"/>
        <item x="3"/>
        <item t="default"/>
      </items>
    </pivotField>
    <pivotField showAll="0"/>
    <pivotField dataField="1" numFmtId="176" showAll="0"/>
    <pivotField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2016" fld="2" baseField="0" baseItem="0"/>
    <dataField name="Sum of 2020" fld="4" baseField="0" baseItem="0"/>
    <dataField name="Sum of 2025" fld="5" baseField="0" baseItem="0"/>
    <dataField name="Sum of 2030" fld="6" baseField="0" baseItem="0"/>
    <dataField name="Sum of 2040" fld="7" baseField="0" baseItem="0"/>
    <dataField name="Sum of 2050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13" Type="http://schemas.openxmlformats.org/officeDocument/2006/relationships/image" Target="../media/image10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12" Type="http://schemas.openxmlformats.org/officeDocument/2006/relationships/control" Target="../activeX/activeX10.xml"/><Relationship Id="rId17" Type="http://schemas.openxmlformats.org/officeDocument/2006/relationships/image" Target="../media/image12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11" Type="http://schemas.openxmlformats.org/officeDocument/2006/relationships/image" Target="../media/image9.emf"/><Relationship Id="rId5" Type="http://schemas.openxmlformats.org/officeDocument/2006/relationships/image" Target="../media/image6.emf"/><Relationship Id="rId15" Type="http://schemas.openxmlformats.org/officeDocument/2006/relationships/image" Target="../media/image11.emf"/><Relationship Id="rId10" Type="http://schemas.openxmlformats.org/officeDocument/2006/relationships/control" Target="../activeX/activeX9.xml"/><Relationship Id="rId4" Type="http://schemas.openxmlformats.org/officeDocument/2006/relationships/control" Target="../activeX/activeX6.xml"/><Relationship Id="rId9" Type="http://schemas.openxmlformats.org/officeDocument/2006/relationships/image" Target="../media/image8.emf"/><Relationship Id="rId14" Type="http://schemas.openxmlformats.org/officeDocument/2006/relationships/control" Target="../activeX/activeX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17.emf"/><Relationship Id="rId18" Type="http://schemas.openxmlformats.org/officeDocument/2006/relationships/control" Target="../activeX/activeX2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12" Type="http://schemas.openxmlformats.org/officeDocument/2006/relationships/control" Target="../activeX/activeX17.xml"/><Relationship Id="rId17" Type="http://schemas.openxmlformats.org/officeDocument/2006/relationships/image" Target="../media/image19.emf"/><Relationship Id="rId2" Type="http://schemas.openxmlformats.org/officeDocument/2006/relationships/drawing" Target="../drawings/drawing3.xml"/><Relationship Id="rId16" Type="http://schemas.openxmlformats.org/officeDocument/2006/relationships/control" Target="../activeX/activeX19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5" Type="http://schemas.openxmlformats.org/officeDocument/2006/relationships/image" Target="../media/image18.emf"/><Relationship Id="rId10" Type="http://schemas.openxmlformats.org/officeDocument/2006/relationships/control" Target="../activeX/activeX16.xml"/><Relationship Id="rId19" Type="http://schemas.openxmlformats.org/officeDocument/2006/relationships/image" Target="../media/image20.emf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Relationship Id="rId14" Type="http://schemas.openxmlformats.org/officeDocument/2006/relationships/control" Target="../activeX/activeX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7.xml"/><Relationship Id="rId13" Type="http://schemas.openxmlformats.org/officeDocument/2006/relationships/image" Target="../media/image39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6.emf"/><Relationship Id="rId12" Type="http://schemas.openxmlformats.org/officeDocument/2006/relationships/control" Target="../activeX/activeX39.xml"/><Relationship Id="rId17" Type="http://schemas.openxmlformats.org/officeDocument/2006/relationships/image" Target="../media/image41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6.xml"/><Relationship Id="rId11" Type="http://schemas.openxmlformats.org/officeDocument/2006/relationships/image" Target="../media/image38.emf"/><Relationship Id="rId5" Type="http://schemas.openxmlformats.org/officeDocument/2006/relationships/image" Target="../media/image35.emf"/><Relationship Id="rId15" Type="http://schemas.openxmlformats.org/officeDocument/2006/relationships/image" Target="../media/image40.emf"/><Relationship Id="rId10" Type="http://schemas.openxmlformats.org/officeDocument/2006/relationships/control" Target="../activeX/activeX38.xml"/><Relationship Id="rId4" Type="http://schemas.openxmlformats.org/officeDocument/2006/relationships/control" Target="../activeX/activeX35.xml"/><Relationship Id="rId9" Type="http://schemas.openxmlformats.org/officeDocument/2006/relationships/image" Target="../media/image37.emf"/><Relationship Id="rId14" Type="http://schemas.openxmlformats.org/officeDocument/2006/relationships/control" Target="../activeX/activeX4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13" Type="http://schemas.openxmlformats.org/officeDocument/2006/relationships/image" Target="../media/image52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49.emf"/><Relationship Id="rId12" Type="http://schemas.openxmlformats.org/officeDocument/2006/relationships/control" Target="../activeX/activeX52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49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5" Type="http://schemas.openxmlformats.org/officeDocument/2006/relationships/image" Target="../media/image53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50.emf"/><Relationship Id="rId14" Type="http://schemas.openxmlformats.org/officeDocument/2006/relationships/control" Target="../activeX/activeX53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13" Type="http://schemas.openxmlformats.org/officeDocument/2006/relationships/image" Target="../media/image58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5.emf"/><Relationship Id="rId12" Type="http://schemas.openxmlformats.org/officeDocument/2006/relationships/control" Target="../activeX/activeX58.xml"/><Relationship Id="rId17" Type="http://schemas.openxmlformats.org/officeDocument/2006/relationships/image" Target="../media/image60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60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5" Type="http://schemas.openxmlformats.org/officeDocument/2006/relationships/image" Target="../media/image59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Relationship Id="rId14" Type="http://schemas.openxmlformats.org/officeDocument/2006/relationships/control" Target="../activeX/activeX59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3.xml"/><Relationship Id="rId13" Type="http://schemas.openxmlformats.org/officeDocument/2006/relationships/image" Target="../media/image65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2.emf"/><Relationship Id="rId12" Type="http://schemas.openxmlformats.org/officeDocument/2006/relationships/control" Target="../activeX/activeX65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62.xml"/><Relationship Id="rId11" Type="http://schemas.openxmlformats.org/officeDocument/2006/relationships/image" Target="../media/image64.emf"/><Relationship Id="rId5" Type="http://schemas.openxmlformats.org/officeDocument/2006/relationships/image" Target="../media/image61.emf"/><Relationship Id="rId10" Type="http://schemas.openxmlformats.org/officeDocument/2006/relationships/control" Target="../activeX/activeX64.xml"/><Relationship Id="rId4" Type="http://schemas.openxmlformats.org/officeDocument/2006/relationships/control" Target="../activeX/activeX61.xml"/><Relationship Id="rId9" Type="http://schemas.openxmlformats.org/officeDocument/2006/relationships/image" Target="../media/image63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8.xml"/><Relationship Id="rId3" Type="http://schemas.openxmlformats.org/officeDocument/2006/relationships/vmlDrawing" Target="../drawings/vmlDrawing14.vml"/><Relationship Id="rId7" Type="http://schemas.openxmlformats.org/officeDocument/2006/relationships/image" Target="../media/image67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67.xml"/><Relationship Id="rId11" Type="http://schemas.openxmlformats.org/officeDocument/2006/relationships/image" Target="../media/image69.emf"/><Relationship Id="rId5" Type="http://schemas.openxmlformats.org/officeDocument/2006/relationships/image" Target="../media/image66.emf"/><Relationship Id="rId10" Type="http://schemas.openxmlformats.org/officeDocument/2006/relationships/control" Target="../activeX/activeX69.xml"/><Relationship Id="rId4" Type="http://schemas.openxmlformats.org/officeDocument/2006/relationships/control" Target="../activeX/activeX66.xml"/><Relationship Id="rId9" Type="http://schemas.openxmlformats.org/officeDocument/2006/relationships/image" Target="../media/image68.emf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pa.gov/ttn/chief/net/2005inventory.html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pa.gov/airmarkt/progsregs/epa-ipm/proposed-toxics.html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110</v>
      </c>
      <c r="B1" s="2"/>
    </row>
    <row r="4" spans="1:12" ht="18" customHeight="1" x14ac:dyDescent="0.25"/>
    <row r="7" spans="1:12" x14ac:dyDescent="0.25">
      <c r="B7" s="1" t="s">
        <v>102</v>
      </c>
      <c r="C7" s="1" t="s">
        <v>103</v>
      </c>
      <c r="D7" s="1" t="s">
        <v>97</v>
      </c>
      <c r="E7" s="1" t="s">
        <v>98</v>
      </c>
      <c r="F7" s="1" t="s">
        <v>99</v>
      </c>
      <c r="G7" s="1" t="s">
        <v>96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632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56325" r:id="rId4" name="cmdRefreshUnits"/>
      </mc:Fallback>
    </mc:AlternateContent>
    <mc:AlternateContent xmlns:mc="http://schemas.openxmlformats.org/markup-compatibility/2006">
      <mc:Choice Requires="x14">
        <control shapeId="56324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56324" r:id="rId6" name="cmdTCAPUnit"/>
      </mc:Fallback>
    </mc:AlternateContent>
    <mc:AlternateContent xmlns:mc="http://schemas.openxmlformats.org/markup-compatibility/2006">
      <mc:Choice Requires="x14">
        <control shapeId="56323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56323" r:id="rId8" name="cmdTACTUnit"/>
      </mc:Fallback>
    </mc:AlternateContent>
    <mc:AlternateContent xmlns:mc="http://schemas.openxmlformats.org/markup-compatibility/2006">
      <mc:Choice Requires="x14">
        <control shapeId="56322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6322" r:id="rId10" name="cmdCheckTechnologiesSheet"/>
      </mc:Fallback>
    </mc:AlternateContent>
    <mc:AlternateContent xmlns:mc="http://schemas.openxmlformats.org/markup-compatibility/2006">
      <mc:Choice Requires="x14">
        <control shapeId="56321" r:id="rId12" name="cmdTechnologySets">
          <controlPr defaultSize="0" autoLine="0" r:id="rId13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56321" r:id="rId12" name="cmdTechnology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109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100</v>
      </c>
      <c r="C7" s="1" t="s">
        <v>101</v>
      </c>
      <c r="D7" s="1" t="s">
        <v>95</v>
      </c>
      <c r="E7" s="1" t="s">
        <v>99</v>
      </c>
      <c r="F7" s="1" t="s">
        <v>96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303" r:id="rId4" name="cmdRefreshUnits">
          <controlPr defaultSize="0" autoLine="0" r:id="rId5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55303" r:id="rId4" name="cmdRefreshUnits"/>
      </mc:Fallback>
    </mc:AlternateContent>
    <mc:AlternateContent xmlns:mc="http://schemas.openxmlformats.org/markup-compatibility/2006">
      <mc:Choice Requires="x14">
        <control shapeId="55302" r:id="rId6" name="cmdCommUnit">
          <controlPr defaultSize="0" autoLine="0" r:id="rId7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55302" r:id="rId6" name="cmdCommUnit"/>
      </mc:Fallback>
    </mc:AlternateContent>
    <mc:AlternateContent xmlns:mc="http://schemas.openxmlformats.org/markup-compatibility/2006">
      <mc:Choice Requires="x14">
        <control shapeId="55301" r:id="rId8" name="cmdCheckCommodities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55301" r:id="rId8" name="cmdCheckCommoditiesSheet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299" r:id="rId12" name="cmdEmissionSets">
          <controlPr defaultSize="0" autoLine="0" r:id="rId13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55299" r:id="rId12" name="cmdEmissionSets"/>
      </mc:Fallback>
    </mc:AlternateContent>
    <mc:AlternateContent xmlns:mc="http://schemas.openxmlformats.org/markup-compatibility/2006">
      <mc:Choice Requires="x14">
        <control shapeId="55298" r:id="rId14" name="cmdDemandSets">
          <controlPr defaultSize="0" autoLine="0" r:id="rId15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55298" r:id="rId14" name="cmdDemandSets"/>
      </mc:Fallback>
    </mc:AlternateContent>
    <mc:AlternateContent xmlns:mc="http://schemas.openxmlformats.org/markup-compatibility/2006">
      <mc:Choice Requires="x14">
        <control shapeId="55297" r:id="rId16" name="cmdEnergySets">
          <controlPr defaultSize="0" autoLine="0" r:id="rId17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55297" r:id="rId16" name="cmdEnergy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109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100</v>
      </c>
      <c r="C7" s="1" t="s">
        <v>101</v>
      </c>
      <c r="D7" s="1" t="s">
        <v>95</v>
      </c>
      <c r="E7" s="1" t="s">
        <v>99</v>
      </c>
      <c r="F7" s="1" t="s">
        <v>96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541020</xdr:colOff>
                <xdr:row>2</xdr:row>
                <xdr:rowOff>0</xdr:rowOff>
              </from>
              <to>
                <xdr:col>4</xdr:col>
                <xdr:colOff>1516380</xdr:colOff>
                <xdr:row>3</xdr:row>
                <xdr:rowOff>68580</xdr:rowOff>
              </to>
            </anchor>
          </controlPr>
        </control>
      </mc:Choice>
      <mc:Fallback>
        <control shapeId="2074" r:id="rId4" name="cmdTaxSubSets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2049" r:id="rId18" name="cmdEnergy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110</v>
      </c>
      <c r="B1" s="2"/>
    </row>
    <row r="4" spans="1:12" ht="18" customHeight="1" x14ac:dyDescent="0.25"/>
    <row r="7" spans="1:12" x14ac:dyDescent="0.25">
      <c r="B7" s="1" t="s">
        <v>102</v>
      </c>
      <c r="C7" s="1" t="s">
        <v>103</v>
      </c>
      <c r="D7" s="1" t="s">
        <v>97</v>
      </c>
      <c r="E7" s="1" t="s">
        <v>98</v>
      </c>
      <c r="F7" s="1" t="s">
        <v>99</v>
      </c>
      <c r="G7" s="1" t="s">
        <v>96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111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107</v>
      </c>
      <c r="C7" s="1" t="s">
        <v>108</v>
      </c>
      <c r="D7" s="1" t="s">
        <v>104</v>
      </c>
      <c r="E7" s="1" t="s">
        <v>99</v>
      </c>
      <c r="F7" s="1" t="s">
        <v>96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112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100</v>
      </c>
      <c r="C7" s="1" t="s">
        <v>101</v>
      </c>
      <c r="D7" s="1" t="s">
        <v>104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113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102</v>
      </c>
      <c r="C7" s="1" t="s">
        <v>103</v>
      </c>
      <c r="D7" s="1" t="s">
        <v>104</v>
      </c>
      <c r="E7" s="1" t="s">
        <v>105</v>
      </c>
      <c r="F7" s="1" t="s">
        <v>106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114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107</v>
      </c>
      <c r="C7" s="1" t="s">
        <v>108</v>
      </c>
      <c r="D7" s="1" t="s">
        <v>104</v>
      </c>
      <c r="E7" s="1" t="s">
        <v>102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J19"/>
  <sheetViews>
    <sheetView tabSelected="1" workbookViewId="0">
      <selection activeCell="D23" sqref="D23"/>
    </sheetView>
  </sheetViews>
  <sheetFormatPr defaultColWidth="8.88671875" defaultRowHeight="13.2" x14ac:dyDescent="0.25"/>
  <cols>
    <col min="1" max="1" width="8.88671875" style="65"/>
    <col min="2" max="2" width="23" style="65" bestFit="1" customWidth="1"/>
    <col min="3" max="3" width="15.33203125" style="65" customWidth="1"/>
    <col min="4" max="6" width="8.88671875" style="65"/>
    <col min="7" max="7" width="12.5546875" style="65" bestFit="1" customWidth="1"/>
    <col min="8" max="8" width="10.88671875" style="65" bestFit="1" customWidth="1"/>
    <col min="9" max="9" width="13.109375" style="65" bestFit="1" customWidth="1"/>
    <col min="10" max="10" width="53.44140625" style="65" bestFit="1" customWidth="1"/>
    <col min="11" max="16384" width="8.88671875" style="65"/>
  </cols>
  <sheetData>
    <row r="1" spans="1:10" x14ac:dyDescent="0.25">
      <c r="A1" s="65" t="s">
        <v>321</v>
      </c>
    </row>
    <row r="2" spans="1:10" ht="14.4" x14ac:dyDescent="0.3">
      <c r="B2" s="134" t="s">
        <v>322</v>
      </c>
      <c r="C2" s="128"/>
      <c r="D2" s="129"/>
    </row>
    <row r="3" spans="1:10" ht="14.4" x14ac:dyDescent="0.3">
      <c r="B3" s="134"/>
      <c r="C3" s="128"/>
      <c r="D3" s="129"/>
    </row>
    <row r="4" spans="1:10" x14ac:dyDescent="0.25">
      <c r="C4" s="128"/>
      <c r="D4" s="129"/>
    </row>
    <row r="5" spans="1:10" ht="13.8" thickBot="1" x14ac:dyDescent="0.3">
      <c r="B5" s="132" t="s">
        <v>323</v>
      </c>
      <c r="C5" s="132" t="s">
        <v>308</v>
      </c>
      <c r="D5" s="132" t="s">
        <v>314</v>
      </c>
      <c r="E5" s="132" t="s">
        <v>25</v>
      </c>
      <c r="F5" s="132" t="s">
        <v>305</v>
      </c>
      <c r="G5" s="132" t="s">
        <v>324</v>
      </c>
      <c r="H5" s="132" t="s">
        <v>325</v>
      </c>
      <c r="I5" s="132" t="s">
        <v>326</v>
      </c>
      <c r="J5" s="132" t="s">
        <v>327</v>
      </c>
    </row>
    <row r="6" spans="1:10" x14ac:dyDescent="0.25">
      <c r="B6" s="65" t="s">
        <v>328</v>
      </c>
      <c r="D6" s="65" t="s">
        <v>318</v>
      </c>
      <c r="E6" s="65">
        <v>2025</v>
      </c>
      <c r="F6" s="65" t="s">
        <v>316</v>
      </c>
      <c r="G6" s="65">
        <v>1</v>
      </c>
      <c r="H6" s="147">
        <f>IPMSummary!D28*0.907185+(AKandHI!$L$21+AKandHI!$L$10)/1000</f>
        <v>1390.2967948268169</v>
      </c>
      <c r="I6" s="65">
        <v>5</v>
      </c>
      <c r="J6" s="65" t="s">
        <v>330</v>
      </c>
    </row>
    <row r="7" spans="1:10" x14ac:dyDescent="0.25">
      <c r="B7" s="65" t="s">
        <v>328</v>
      </c>
      <c r="D7" s="65" t="s">
        <v>318</v>
      </c>
      <c r="E7" s="65">
        <v>2030</v>
      </c>
      <c r="F7" s="65" t="s">
        <v>316</v>
      </c>
      <c r="G7" s="65">
        <v>1</v>
      </c>
      <c r="H7" s="147">
        <f>IPMSummary!E28*0.907185+(AKandHI!$L$21+AKandHI!$L$10)/1000</f>
        <v>1341.366897738239</v>
      </c>
      <c r="I7" s="65">
        <v>5</v>
      </c>
      <c r="J7" s="65" t="s">
        <v>330</v>
      </c>
    </row>
    <row r="8" spans="1:10" x14ac:dyDescent="0.25">
      <c r="B8" s="65" t="s">
        <v>328</v>
      </c>
      <c r="D8" s="65" t="s">
        <v>318</v>
      </c>
      <c r="E8" s="65">
        <v>2035</v>
      </c>
      <c r="F8" s="65" t="s">
        <v>316</v>
      </c>
      <c r="G8" s="65">
        <v>1</v>
      </c>
      <c r="H8" s="148">
        <f>(CSAPR_TOT!H7+CSAPR_TOT!H9)/2</f>
        <v>1331.614371405064</v>
      </c>
      <c r="I8" s="65">
        <v>5</v>
      </c>
      <c r="J8" s="65" t="s">
        <v>330</v>
      </c>
    </row>
    <row r="9" spans="1:10" x14ac:dyDescent="0.25">
      <c r="B9" s="65" t="s">
        <v>328</v>
      </c>
      <c r="D9" s="65" t="s">
        <v>318</v>
      </c>
      <c r="E9" s="65">
        <v>2040</v>
      </c>
      <c r="F9" s="65" t="s">
        <v>316</v>
      </c>
      <c r="G9" s="65">
        <v>1</v>
      </c>
      <c r="H9" s="147">
        <f>IPMSummary!F28*0.907185+(AKandHI!$L$21+AKandHI!$L$10)/1000</f>
        <v>1321.8618450718891</v>
      </c>
      <c r="I9" s="65">
        <v>5</v>
      </c>
      <c r="J9" s="65" t="s">
        <v>330</v>
      </c>
    </row>
    <row r="10" spans="1:10" x14ac:dyDescent="0.25">
      <c r="B10" s="65" t="s">
        <v>328</v>
      </c>
      <c r="D10" s="65" t="s">
        <v>318</v>
      </c>
      <c r="E10" s="65">
        <v>2045</v>
      </c>
      <c r="F10" s="65" t="s">
        <v>316</v>
      </c>
      <c r="G10" s="65">
        <v>1</v>
      </c>
      <c r="H10" s="148">
        <f>(CSAPR_TOT!H9+CSAPR_TOT!H11)/2</f>
        <v>1344.3991909236865</v>
      </c>
      <c r="I10" s="65">
        <v>5</v>
      </c>
      <c r="J10" s="65" t="s">
        <v>330</v>
      </c>
    </row>
    <row r="11" spans="1:10" x14ac:dyDescent="0.25">
      <c r="B11" s="65" t="s">
        <v>328</v>
      </c>
      <c r="D11" s="65" t="s">
        <v>318</v>
      </c>
      <c r="E11" s="65">
        <v>2050</v>
      </c>
      <c r="F11" s="65" t="s">
        <v>316</v>
      </c>
      <c r="G11" s="65">
        <v>1</v>
      </c>
      <c r="H11" s="147">
        <f>IPMSummary!G28*0.907185+(AKandHI!$L$21+AKandHI!$L$10)/1000</f>
        <v>1366.936536775484</v>
      </c>
      <c r="I11" s="65">
        <v>5</v>
      </c>
      <c r="J11" s="65" t="s">
        <v>330</v>
      </c>
    </row>
    <row r="12" spans="1:10" x14ac:dyDescent="0.25">
      <c r="B12" s="65" t="s">
        <v>328</v>
      </c>
      <c r="D12" s="65" t="s">
        <v>318</v>
      </c>
      <c r="E12" s="65">
        <v>2055</v>
      </c>
      <c r="F12" s="65" t="s">
        <v>316</v>
      </c>
      <c r="G12" s="65">
        <v>1</v>
      </c>
      <c r="H12" s="149">
        <f>H11</f>
        <v>1366.936536775484</v>
      </c>
      <c r="I12" s="65">
        <v>5</v>
      </c>
      <c r="J12" s="65" t="s">
        <v>330</v>
      </c>
    </row>
    <row r="13" spans="1:10" x14ac:dyDescent="0.25">
      <c r="B13" s="65" t="s">
        <v>329</v>
      </c>
      <c r="D13" s="65" t="s">
        <v>319</v>
      </c>
      <c r="E13" s="65">
        <v>2025</v>
      </c>
      <c r="F13" s="65" t="s">
        <v>316</v>
      </c>
      <c r="G13" s="65">
        <v>1</v>
      </c>
      <c r="H13" s="147">
        <f>IPMSummary!D14*0.907185+(AKandHI!$L$15+AKandHI!$L$26)/1000</f>
        <v>1363.5020080877125</v>
      </c>
      <c r="I13" s="65">
        <v>5</v>
      </c>
      <c r="J13" s="65" t="s">
        <v>331</v>
      </c>
    </row>
    <row r="14" spans="1:10" x14ac:dyDescent="0.25">
      <c r="B14" s="65" t="s">
        <v>329</v>
      </c>
      <c r="D14" s="65" t="s">
        <v>319</v>
      </c>
      <c r="E14" s="65">
        <v>2030</v>
      </c>
      <c r="F14" s="65" t="s">
        <v>316</v>
      </c>
      <c r="G14" s="65">
        <v>1</v>
      </c>
      <c r="H14" s="147">
        <f>IPMSummary!E14*0.907185+(AKandHI!$L$15+AKandHI!$L$26)/1000</f>
        <v>1342.2586779955163</v>
      </c>
      <c r="I14" s="65">
        <v>5</v>
      </c>
      <c r="J14" s="65" t="s">
        <v>331</v>
      </c>
    </row>
    <row r="15" spans="1:10" x14ac:dyDescent="0.25">
      <c r="B15" s="65" t="s">
        <v>329</v>
      </c>
      <c r="D15" s="65" t="s">
        <v>319</v>
      </c>
      <c r="E15" s="65">
        <v>2035</v>
      </c>
      <c r="F15" s="65" t="s">
        <v>316</v>
      </c>
      <c r="G15" s="65">
        <v>1</v>
      </c>
      <c r="H15" s="148">
        <f>(CSAPR_TOT!H14+CSAPR_TOT!H16)/2</f>
        <v>1320.7727713144786</v>
      </c>
      <c r="I15" s="65">
        <v>5</v>
      </c>
      <c r="J15" s="65" t="s">
        <v>331</v>
      </c>
    </row>
    <row r="16" spans="1:10" x14ac:dyDescent="0.25">
      <c r="B16" s="65" t="s">
        <v>329</v>
      </c>
      <c r="D16" s="65" t="s">
        <v>319</v>
      </c>
      <c r="E16" s="65">
        <v>2040</v>
      </c>
      <c r="F16" s="65" t="s">
        <v>316</v>
      </c>
      <c r="G16" s="65">
        <v>1</v>
      </c>
      <c r="H16" s="147">
        <f>IPMSummary!F14*0.907185+(AKandHI!$L$15+AKandHI!$L$26)/1000</f>
        <v>1299.2868646334407</v>
      </c>
      <c r="I16" s="65">
        <v>5</v>
      </c>
      <c r="J16" s="65" t="s">
        <v>331</v>
      </c>
    </row>
    <row r="17" spans="2:10" x14ac:dyDescent="0.25">
      <c r="B17" s="65" t="s">
        <v>329</v>
      </c>
      <c r="D17" s="65" t="s">
        <v>319</v>
      </c>
      <c r="E17" s="65">
        <v>2045</v>
      </c>
      <c r="F17" s="65" t="s">
        <v>316</v>
      </c>
      <c r="G17" s="65">
        <v>1</v>
      </c>
      <c r="H17" s="148">
        <f>(CSAPR_TOT!H16+CSAPR_TOT!H18)/2</f>
        <v>1308.9874435139479</v>
      </c>
      <c r="I17" s="65">
        <v>5</v>
      </c>
      <c r="J17" s="65" t="s">
        <v>331</v>
      </c>
    </row>
    <row r="18" spans="2:10" x14ac:dyDescent="0.25">
      <c r="B18" s="65" t="s">
        <v>329</v>
      </c>
      <c r="D18" s="65" t="s">
        <v>319</v>
      </c>
      <c r="E18" s="65">
        <v>2050</v>
      </c>
      <c r="F18" s="65" t="s">
        <v>316</v>
      </c>
      <c r="G18" s="65">
        <v>1</v>
      </c>
      <c r="H18" s="147">
        <f>IPMSummary!G14*0.907185+(AKandHI!$L$15+AKandHI!$L$26)/1000</f>
        <v>1318.6880223944552</v>
      </c>
      <c r="I18" s="65">
        <v>5</v>
      </c>
      <c r="J18" s="65" t="s">
        <v>331</v>
      </c>
    </row>
    <row r="19" spans="2:10" x14ac:dyDescent="0.25">
      <c r="B19" s="65" t="s">
        <v>329</v>
      </c>
      <c r="D19" s="65" t="s">
        <v>319</v>
      </c>
      <c r="E19" s="65">
        <v>2055</v>
      </c>
      <c r="F19" s="65" t="s">
        <v>316</v>
      </c>
      <c r="G19" s="65">
        <v>1</v>
      </c>
      <c r="H19" s="149">
        <f>H18</f>
        <v>1318.6880223944552</v>
      </c>
      <c r="I19" s="65">
        <v>5</v>
      </c>
      <c r="J19" s="65" t="s">
        <v>331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W22"/>
  <sheetViews>
    <sheetView workbookViewId="0">
      <selection activeCell="B22" sqref="B22"/>
    </sheetView>
  </sheetViews>
  <sheetFormatPr defaultColWidth="8.88671875" defaultRowHeight="13.2" x14ac:dyDescent="0.25"/>
  <cols>
    <col min="1" max="2" width="8.88671875" style="65"/>
    <col min="3" max="3" width="10.44140625" style="65" bestFit="1" customWidth="1"/>
    <col min="4" max="4" width="21.33203125" style="65" customWidth="1"/>
    <col min="5" max="5" width="9.33203125" style="65" bestFit="1" customWidth="1"/>
    <col min="6" max="6" width="10.33203125" style="65" bestFit="1" customWidth="1"/>
    <col min="7" max="15" width="9.44140625" style="65" customWidth="1"/>
    <col min="16" max="18" width="9" style="65" customWidth="1"/>
    <col min="19" max="16384" width="8.88671875" style="65"/>
  </cols>
  <sheetData>
    <row r="1" spans="1:23" x14ac:dyDescent="0.25">
      <c r="A1" s="65" t="s">
        <v>302</v>
      </c>
    </row>
    <row r="2" spans="1:23" x14ac:dyDescent="0.25">
      <c r="B2" s="127" t="s">
        <v>303</v>
      </c>
      <c r="P2" s="128"/>
      <c r="Q2" s="129"/>
      <c r="R2" s="129"/>
      <c r="S2" s="129"/>
      <c r="T2" s="129"/>
      <c r="U2" s="129"/>
      <c r="V2" s="129"/>
      <c r="W2" s="129"/>
    </row>
    <row r="3" spans="1:23" ht="13.8" thickBot="1" x14ac:dyDescent="0.3">
      <c r="B3" s="130" t="s">
        <v>304</v>
      </c>
      <c r="C3" s="130" t="s">
        <v>305</v>
      </c>
      <c r="D3" s="130" t="s">
        <v>306</v>
      </c>
      <c r="E3" s="130" t="s">
        <v>25</v>
      </c>
      <c r="F3" s="131" t="s">
        <v>307</v>
      </c>
      <c r="G3" s="131" t="s">
        <v>121</v>
      </c>
      <c r="H3" s="131" t="s">
        <v>122</v>
      </c>
      <c r="I3" s="131" t="s">
        <v>123</v>
      </c>
      <c r="J3" s="131" t="s">
        <v>124</v>
      </c>
      <c r="K3" s="131" t="s">
        <v>125</v>
      </c>
      <c r="L3" s="131" t="s">
        <v>126</v>
      </c>
      <c r="M3" s="131" t="s">
        <v>127</v>
      </c>
      <c r="N3" s="131" t="s">
        <v>128</v>
      </c>
      <c r="O3" s="131" t="s">
        <v>129</v>
      </c>
      <c r="P3" s="132" t="s">
        <v>308</v>
      </c>
      <c r="Q3" s="132" t="s">
        <v>309</v>
      </c>
      <c r="R3" s="132" t="s">
        <v>310</v>
      </c>
      <c r="S3" s="132" t="s">
        <v>311</v>
      </c>
      <c r="T3" s="132" t="s">
        <v>312</v>
      </c>
      <c r="U3" s="132" t="s">
        <v>313</v>
      </c>
      <c r="V3" s="132" t="s">
        <v>314</v>
      </c>
      <c r="W3" s="132" t="s">
        <v>315</v>
      </c>
    </row>
    <row r="4" spans="1:23" x14ac:dyDescent="0.25">
      <c r="C4" s="65" t="s">
        <v>316</v>
      </c>
      <c r="D4" s="65" t="s">
        <v>317</v>
      </c>
      <c r="E4" s="65">
        <v>2010</v>
      </c>
      <c r="G4" s="119">
        <f>HistoricData!P8-5/6*(HistoricData!P8-'NEI11v1 Summary'!C8)</f>
        <v>16.138806097635801</v>
      </c>
      <c r="H4" s="119">
        <f>HistoricData!P9-5/6*(HistoricData!P9-'NEI11v1 Summary'!D8)</f>
        <v>171.07596372260284</v>
      </c>
      <c r="I4" s="119">
        <f>HistoricData!P10-5/6*(HistoricData!P10-'NEI11v1 Summary'!E8)</f>
        <v>424.75509445626602</v>
      </c>
      <c r="J4" s="119">
        <f>HistoricData!P11-5/6*(HistoricData!P11-'NEI11v1 Summary'!F8)</f>
        <v>291.20197492293789</v>
      </c>
      <c r="K4" s="119">
        <f>HistoricData!P12-5/6*(HistoricData!P12-'NEI11v1 Summary'!G8)</f>
        <v>348.39327211164152</v>
      </c>
      <c r="L4" s="119">
        <f>HistoricData!P13-5/6*(HistoricData!P13-'NEI11v1 Summary'!H8)</f>
        <v>224.5903566270089</v>
      </c>
      <c r="M4" s="119">
        <f>HistoricData!P14-5/6*(HistoricData!P14-'NEI11v1 Summary'!I8)</f>
        <v>285.31053307637336</v>
      </c>
      <c r="N4" s="119">
        <f>HistoricData!P15-5/6*(HistoricData!P15-'NEI11v1 Summary'!J8)</f>
        <v>235.37513265408964</v>
      </c>
      <c r="O4" s="119">
        <f>HistoricData!P16-5/6*(HistoricData!P16-'NEI11v1 Summary'!K8)</f>
        <v>61.829637344557831</v>
      </c>
      <c r="V4" s="65" t="s">
        <v>318</v>
      </c>
    </row>
    <row r="5" spans="1:23" x14ac:dyDescent="0.25">
      <c r="C5" s="65" t="s">
        <v>316</v>
      </c>
      <c r="D5" s="65" t="s">
        <v>317</v>
      </c>
      <c r="E5" s="65">
        <v>2012</v>
      </c>
      <c r="G5" s="150">
        <f>AVERAGE(G6,G4)</f>
        <v>14.31796586705681</v>
      </c>
      <c r="H5" s="150">
        <f t="shared" ref="H5:O5" si="0">AVERAGE(H6,H4)</f>
        <v>151.64518541512786</v>
      </c>
      <c r="I5" s="150">
        <f t="shared" si="0"/>
        <v>345.42628489431343</v>
      </c>
      <c r="J5" s="150">
        <f t="shared" si="0"/>
        <v>230.01298276036874</v>
      </c>
      <c r="K5" s="150">
        <f t="shared" si="0"/>
        <v>285.19534924337677</v>
      </c>
      <c r="L5" s="150">
        <f t="shared" si="0"/>
        <v>171.68908133033989</v>
      </c>
      <c r="M5" s="150">
        <f t="shared" si="0"/>
        <v>252.76630539909843</v>
      </c>
      <c r="N5" s="150">
        <f t="shared" si="0"/>
        <v>243.81431538350495</v>
      </c>
      <c r="O5" s="150">
        <f t="shared" si="0"/>
        <v>54.916879243239137</v>
      </c>
      <c r="V5" s="65" t="s">
        <v>318</v>
      </c>
    </row>
    <row r="6" spans="1:23" x14ac:dyDescent="0.25">
      <c r="C6" s="65" t="s">
        <v>316</v>
      </c>
      <c r="D6" s="65" t="s">
        <v>317</v>
      </c>
      <c r="E6" s="65">
        <v>2015</v>
      </c>
      <c r="F6" s="133"/>
      <c r="G6" s="119">
        <f>IPMSummary!B19*0.907185</f>
        <v>12.497125636477818</v>
      </c>
      <c r="H6" s="119">
        <f>IPMSummary!B20*0.907185</f>
        <v>132.21440710765285</v>
      </c>
      <c r="I6" s="119">
        <f>IPMSummary!B21*0.907185</f>
        <v>266.09747533236089</v>
      </c>
      <c r="J6" s="119">
        <f>IPMSummary!B22*0.907185</f>
        <v>168.82399059779959</v>
      </c>
      <c r="K6" s="119">
        <f>IPMSummary!B23*0.907185</f>
        <v>221.99742637511196</v>
      </c>
      <c r="L6" s="119">
        <f>IPMSummary!B24*0.907185</f>
        <v>118.78780603367086</v>
      </c>
      <c r="M6" s="119">
        <f>IPMSummary!B25*0.907185</f>
        <v>220.22207772182352</v>
      </c>
      <c r="N6" s="119">
        <f>IPMSummary!B26*0.907185</f>
        <v>252.25349811292028</v>
      </c>
      <c r="O6" s="119">
        <f>IPMSummary!B27*0.907185+(AKandHI!L21+AKandHI!L10)/1000</f>
        <v>48.004121141920436</v>
      </c>
      <c r="V6" s="65" t="s">
        <v>318</v>
      </c>
    </row>
    <row r="7" spans="1:23" x14ac:dyDescent="0.25">
      <c r="C7" s="65" t="s">
        <v>316</v>
      </c>
      <c r="D7" s="65" t="s">
        <v>317</v>
      </c>
      <c r="E7" s="65">
        <v>2020</v>
      </c>
      <c r="F7" s="133"/>
      <c r="G7" s="119">
        <f>IPMSummary!C19*0.907185</f>
        <v>12.123572153537433</v>
      </c>
      <c r="H7" s="119">
        <f>IPMSummary!C20*0.907185</f>
        <v>133.38527844743248</v>
      </c>
      <c r="I7" s="119">
        <f>IPMSummary!C21*0.907185</f>
        <v>266.55031032492877</v>
      </c>
      <c r="J7" s="119">
        <f>IPMSummary!C22*0.907185</f>
        <v>151.9913175159646</v>
      </c>
      <c r="K7" s="119">
        <f>IPMSummary!C23*0.907185</f>
        <v>223.98673372704963</v>
      </c>
      <c r="L7" s="119">
        <f>IPMSummary!C24*0.907185</f>
        <v>116.42259132679909</v>
      </c>
      <c r="M7" s="119">
        <f>IPMSummary!C25*0.907185</f>
        <v>203.8870645048564</v>
      </c>
      <c r="N7" s="119">
        <f>IPMSummary!C26*0.907185</f>
        <v>198.54908295134578</v>
      </c>
      <c r="O7" s="119">
        <f>IPMSummary!C27*0.907185+(AKandHI!L21+AKandHI!L10)/1000</f>
        <v>48.55483784312851</v>
      </c>
      <c r="V7" s="65" t="s">
        <v>318</v>
      </c>
    </row>
    <row r="8" spans="1:23" x14ac:dyDescent="0.25">
      <c r="C8" s="65" t="s">
        <v>316</v>
      </c>
      <c r="D8" s="65" t="s">
        <v>317</v>
      </c>
      <c r="E8" s="65">
        <v>2025</v>
      </c>
      <c r="F8" s="133"/>
      <c r="G8" s="133"/>
      <c r="H8" s="119">
        <f>IPMSummary!D20*0.907185</f>
        <v>135.89505695126272</v>
      </c>
      <c r="I8" s="119">
        <f>IPMSummary!D21*0.907185</f>
        <v>268.72710178318516</v>
      </c>
      <c r="J8" s="119">
        <f>IPMSummary!D22*0.907185</f>
        <v>156.81485785557715</v>
      </c>
      <c r="K8" s="119">
        <f>IPMSummary!D23*0.907185</f>
        <v>240.36531155934307</v>
      </c>
      <c r="L8" s="133"/>
      <c r="M8" s="133"/>
      <c r="N8" s="133"/>
      <c r="O8" s="133"/>
      <c r="V8" s="65" t="s">
        <v>318</v>
      </c>
    </row>
    <row r="9" spans="1:23" x14ac:dyDescent="0.25">
      <c r="C9" s="65" t="s">
        <v>316</v>
      </c>
      <c r="D9" s="65" t="s">
        <v>317</v>
      </c>
      <c r="E9" s="65">
        <v>0</v>
      </c>
      <c r="F9" s="133"/>
      <c r="G9" s="133"/>
      <c r="H9" s="149">
        <v>5</v>
      </c>
      <c r="I9" s="149">
        <v>5</v>
      </c>
      <c r="J9" s="149">
        <v>5</v>
      </c>
      <c r="K9" s="149">
        <v>5</v>
      </c>
      <c r="L9" s="133"/>
      <c r="M9" s="133"/>
      <c r="N9" s="133"/>
      <c r="O9" s="133"/>
      <c r="P9" s="133"/>
      <c r="Q9" s="133"/>
      <c r="R9" s="133"/>
      <c r="V9" s="65" t="s">
        <v>318</v>
      </c>
    </row>
    <row r="10" spans="1:23" x14ac:dyDescent="0.25">
      <c r="C10" s="65" t="s">
        <v>316</v>
      </c>
      <c r="D10" s="65" t="s">
        <v>317</v>
      </c>
      <c r="E10" s="65">
        <v>2010</v>
      </c>
      <c r="G10" s="119">
        <f>HistoricData!N8-5/6*(HistoricData!N8-'NEI11v1 Summary'!C29)</f>
        <v>58.952352491322301</v>
      </c>
      <c r="H10" s="119">
        <f>HistoricData!N9-5/6*(HistoricData!N9-'NEI11v1 Summary'!D29)</f>
        <v>468.25198809837968</v>
      </c>
      <c r="I10" s="119">
        <f>HistoricData!N10-5/6*(HistoricData!N10-'NEI11v1 Summary'!E29)</f>
        <v>1549.5512179630464</v>
      </c>
      <c r="J10" s="119">
        <f>HistoricData!N11-5/6*(HistoricData!N11-'NEI11v1 Summary'!F29)</f>
        <v>554.13493287513609</v>
      </c>
      <c r="K10" s="119">
        <f>HistoricData!N12-5/6*(HistoricData!N12-'NEI11v1 Summary'!G29)</f>
        <v>901.19477926561876</v>
      </c>
      <c r="L10" s="119">
        <f>HistoricData!N13-5/6*(HistoricData!N13-'NEI11v1 Summary'!H29)</f>
        <v>643.22409784745287</v>
      </c>
      <c r="M10" s="119">
        <f>HistoricData!N14-5/6*(HistoricData!N14-'NEI11v1 Summary'!I29)</f>
        <v>632.92334461845087</v>
      </c>
      <c r="N10" s="119">
        <f>HistoricData!N15-5/6*(HistoricData!N15-'NEI11v1 Summary'!J29)</f>
        <v>164.97931811957858</v>
      </c>
      <c r="O10" s="119">
        <f>HistoricData!N16-5/6*(HistoricData!N16-'NEI11v1 Summary'!K29)</f>
        <v>33.312085820630934</v>
      </c>
      <c r="V10" s="65" t="s">
        <v>319</v>
      </c>
    </row>
    <row r="11" spans="1:23" x14ac:dyDescent="0.25">
      <c r="C11" s="65" t="s">
        <v>316</v>
      </c>
      <c r="D11" s="65" t="s">
        <v>317</v>
      </c>
      <c r="E11" s="65">
        <v>2012</v>
      </c>
      <c r="G11" s="150">
        <f>AVERAGE(G12,G10)</f>
        <v>31.172288498743626</v>
      </c>
      <c r="H11" s="150">
        <f t="shared" ref="H11:O11" si="1">AVERAGE(H12,H10)</f>
        <v>266.88874380116528</v>
      </c>
      <c r="I11" s="150">
        <f t="shared" si="1"/>
        <v>944.70816865033419</v>
      </c>
      <c r="J11" s="150">
        <f t="shared" si="1"/>
        <v>339.44604824654857</v>
      </c>
      <c r="K11" s="150">
        <f t="shared" si="1"/>
        <v>560.89709375531265</v>
      </c>
      <c r="L11" s="150">
        <f t="shared" si="1"/>
        <v>403.30840368721363</v>
      </c>
      <c r="M11" s="150">
        <f t="shared" si="1"/>
        <v>410.05762469487854</v>
      </c>
      <c r="N11" s="150">
        <f t="shared" si="1"/>
        <v>145.335330059385</v>
      </c>
      <c r="O11" s="150">
        <f t="shared" si="1"/>
        <v>22.584069709118516</v>
      </c>
      <c r="V11" s="65" t="s">
        <v>319</v>
      </c>
    </row>
    <row r="12" spans="1:23" x14ac:dyDescent="0.25">
      <c r="C12" s="65" t="s">
        <v>316</v>
      </c>
      <c r="D12" s="65" t="s">
        <v>317</v>
      </c>
      <c r="E12" s="65">
        <v>2015</v>
      </c>
      <c r="F12" s="133"/>
      <c r="G12" s="119">
        <f>IPMSummary!B5*0.907185</f>
        <v>3.3922245061649492</v>
      </c>
      <c r="H12" s="119">
        <f>IPMSummary!B6*0.907185</f>
        <v>65.525499503950897</v>
      </c>
      <c r="I12" s="119">
        <f>IPMSummary!B7*0.907185</f>
        <v>339.86511933762199</v>
      </c>
      <c r="J12" s="119">
        <f>IPMSummary!B8*0.907185</f>
        <v>124.75716361796103</v>
      </c>
      <c r="K12" s="119">
        <f>IPMSummary!B9*0.907185</f>
        <v>220.59940824500649</v>
      </c>
      <c r="L12" s="119">
        <f>IPMSummary!B10*0.907185</f>
        <v>163.39270952697436</v>
      </c>
      <c r="M12" s="119">
        <f>IPMSummary!B11*0.907185</f>
        <v>187.19190477130621</v>
      </c>
      <c r="N12" s="119">
        <f>IPMSummary!B12*0.907185</f>
        <v>125.69134199919144</v>
      </c>
      <c r="O12" s="119">
        <f>IPMSummary!B13*0.907185+(AKandHI!L15+AKandHI!L26)/1000</f>
        <v>11.856053597606099</v>
      </c>
      <c r="V12" s="65" t="s">
        <v>319</v>
      </c>
    </row>
    <row r="13" spans="1:23" x14ac:dyDescent="0.25">
      <c r="C13" s="65" t="s">
        <v>316</v>
      </c>
      <c r="D13" s="65" t="s">
        <v>317</v>
      </c>
      <c r="E13" s="65">
        <v>2020</v>
      </c>
      <c r="F13" s="133"/>
      <c r="G13" s="119">
        <f>IPMSummary!C5*0.907185</f>
        <v>2.7983305889753991</v>
      </c>
      <c r="H13" s="119">
        <f>IPMSummary!C6*0.907185</f>
        <v>66.453016136059517</v>
      </c>
      <c r="I13" s="119">
        <f>IPMSummary!C7*0.907185</f>
        <v>359.19684949057057</v>
      </c>
      <c r="J13" s="119">
        <f>IPMSummary!C8*0.907185</f>
        <v>132.99865784349711</v>
      </c>
      <c r="K13" s="119">
        <f>IPMSummary!C9*0.907185</f>
        <v>229.15477053366394</v>
      </c>
      <c r="L13" s="119">
        <f>IPMSummary!C10*0.907185</f>
        <v>161.46819406504625</v>
      </c>
      <c r="M13" s="119">
        <f>IPMSummary!C11*0.907185</f>
        <v>186.50265534414893</v>
      </c>
      <c r="N13" s="119">
        <f>IPMSummary!C12*0.907185</f>
        <v>128.6028175882976</v>
      </c>
      <c r="O13" s="119">
        <f>IPMSummary!C13*0.907185+(AKandHI!L15+AKandHI!L26)/1000</f>
        <v>12.019538636071633</v>
      </c>
      <c r="V13" s="65" t="s">
        <v>319</v>
      </c>
    </row>
    <row r="14" spans="1:23" x14ac:dyDescent="0.25">
      <c r="C14" s="65" t="s">
        <v>316</v>
      </c>
      <c r="D14" s="65" t="s">
        <v>317</v>
      </c>
      <c r="E14" s="65">
        <v>2025</v>
      </c>
      <c r="F14" s="133"/>
      <c r="G14" s="133"/>
      <c r="H14" s="119">
        <f>IPMSummary!D6*0.907185</f>
        <v>72.403370401504873</v>
      </c>
      <c r="I14" s="119">
        <f>IPMSummary!D7*0.907185</f>
        <v>376.92814157505774</v>
      </c>
      <c r="J14" s="119">
        <f>IPMSummary!D8*0.907185</f>
        <v>138.72896267459356</v>
      </c>
      <c r="K14" s="119">
        <f>IPMSummary!D9*0.907185</f>
        <v>247.18358585670384</v>
      </c>
      <c r="L14" s="133"/>
      <c r="M14" s="133"/>
      <c r="N14" s="133"/>
      <c r="O14" s="133"/>
      <c r="V14" s="65" t="s">
        <v>319</v>
      </c>
    </row>
    <row r="15" spans="1:23" x14ac:dyDescent="0.25">
      <c r="C15" s="65" t="s">
        <v>316</v>
      </c>
      <c r="D15" s="65" t="s">
        <v>317</v>
      </c>
      <c r="E15" s="65">
        <v>0</v>
      </c>
      <c r="F15" s="133"/>
      <c r="G15" s="133"/>
      <c r="H15" s="149">
        <v>5</v>
      </c>
      <c r="I15" s="149">
        <v>5</v>
      </c>
      <c r="J15" s="149">
        <v>5</v>
      </c>
      <c r="K15" s="149">
        <v>5</v>
      </c>
      <c r="L15" s="133"/>
      <c r="M15" s="133"/>
      <c r="N15" s="133"/>
      <c r="O15" s="133"/>
      <c r="P15" s="133"/>
      <c r="Q15" s="133"/>
      <c r="R15" s="133"/>
      <c r="V15" s="65" t="s">
        <v>319</v>
      </c>
    </row>
    <row r="16" spans="1:23" x14ac:dyDescent="0.25">
      <c r="C16" s="65" t="s">
        <v>316</v>
      </c>
      <c r="D16" s="65" t="s">
        <v>317</v>
      </c>
      <c r="E16" s="65">
        <v>2010</v>
      </c>
      <c r="G16" s="119">
        <f>8.77-5/6*(8.77-'NEI11v1 Summary'!C15)</f>
        <v>2.8428718473768884</v>
      </c>
      <c r="H16" s="119">
        <f>88.79-5/6*(88.79-'NEI11v1 Summary'!D15)</f>
        <v>26.937088199326695</v>
      </c>
      <c r="I16" s="119">
        <f>144.69-5/6*(144.69-'NEI11v1 Summary'!E15)</f>
        <v>77.516687828802219</v>
      </c>
      <c r="J16" s="119">
        <f>43.85-5/6*(43.85-'NEI11v1 Summary'!F15)</f>
        <v>29.640486928198328</v>
      </c>
      <c r="K16" s="119">
        <f>168.81-5/6*(168.81-'NEI11v1 Summary'!G15)</f>
        <v>74.177872256584763</v>
      </c>
      <c r="L16" s="119">
        <f>67.96-5/6*(67.96-'NEI11v1 Summary'!H15)</f>
        <v>32.891629812665613</v>
      </c>
      <c r="M16" s="119">
        <f>48.23-5/6*(48.23-'NEI11v1 Summary'!I15)</f>
        <v>34.307347765612953</v>
      </c>
      <c r="N16" s="119">
        <f>46.04-5/6*(46.04-'NEI11v1 Summary'!J15)</f>
        <v>19.092652162061441</v>
      </c>
      <c r="O16" s="119">
        <f>9.87-5/6*(9.87-'NEI11v1 Summary'!K15)</f>
        <v>6.5515939010141722</v>
      </c>
      <c r="V16" s="65" t="s">
        <v>320</v>
      </c>
    </row>
    <row r="17" spans="2:22" x14ac:dyDescent="0.25">
      <c r="C17" s="65" t="s">
        <v>316</v>
      </c>
      <c r="D17" s="65" t="s">
        <v>317</v>
      </c>
      <c r="E17" s="65">
        <v>0</v>
      </c>
      <c r="G17" s="149">
        <v>1</v>
      </c>
      <c r="H17" s="149">
        <v>1</v>
      </c>
      <c r="I17" s="149">
        <v>1</v>
      </c>
      <c r="J17" s="149">
        <v>1</v>
      </c>
      <c r="K17" s="149">
        <v>1</v>
      </c>
      <c r="L17" s="149">
        <v>1</v>
      </c>
      <c r="M17" s="149">
        <v>1</v>
      </c>
      <c r="N17" s="149">
        <v>1</v>
      </c>
      <c r="O17" s="149">
        <v>1</v>
      </c>
      <c r="V17" s="65" t="s">
        <v>320</v>
      </c>
    </row>
    <row r="21" spans="2:22" x14ac:dyDescent="0.25">
      <c r="B21" s="118" t="s">
        <v>332</v>
      </c>
    </row>
    <row r="22" spans="2:22" x14ac:dyDescent="0.25">
      <c r="B22" s="117" t="s">
        <v>210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114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107</v>
      </c>
      <c r="C7" s="1" t="s">
        <v>108</v>
      </c>
      <c r="D7" s="1" t="s">
        <v>104</v>
      </c>
      <c r="E7" s="1" t="s">
        <v>102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81926" r:id="rId4" name="cmdRefreshUnits">
          <controlPr defaultSize="0" autoLine="0" r:id="rId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81926" r:id="rId4" name="cmdRefreshUnits"/>
      </mc:Fallback>
    </mc:AlternateContent>
    <mc:AlternateContent xmlns:mc="http://schemas.openxmlformats.org/markup-compatibility/2006">
      <mc:Choice Requires="x14">
        <control shapeId="81925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81925" r:id="rId6" name="cmdAddParamQualifier"/>
      </mc:Fallback>
    </mc:AlternateContent>
    <mc:AlternateContent xmlns:mc="http://schemas.openxmlformats.org/markup-compatibility/2006">
      <mc:Choice Requires="x14">
        <control shapeId="81924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81924" r:id="rId8" name="cmdCheckConstrDataSheet"/>
      </mc:Fallback>
    </mc:AlternateContent>
    <mc:AlternateContent xmlns:mc="http://schemas.openxmlformats.org/markup-compatibility/2006">
      <mc:Choice Requires="x14">
        <control shapeId="81923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81923" r:id="rId10" name="cmdAddParameter"/>
      </mc:Fallback>
    </mc:AlternateContent>
    <mc:AlternateContent xmlns:mc="http://schemas.openxmlformats.org/markup-compatibility/2006">
      <mc:Choice Requires="x14">
        <control shapeId="81922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81922" r:id="rId12" name="cmdTechName"/>
      </mc:Fallback>
    </mc:AlternateContent>
    <mc:AlternateContent xmlns:mc="http://schemas.openxmlformats.org/markup-compatibility/2006">
      <mc:Choice Requires="x14">
        <control shapeId="81921" r:id="rId14" name="cmdConstrNameAndDesc">
          <controlPr defaultSize="0" autoLine="0" autoPict="0" r:id="rId1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81921" r:id="rId14" name="cmdConstrNameAndDesc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113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102</v>
      </c>
      <c r="C7" s="1" t="s">
        <v>103</v>
      </c>
      <c r="D7" s="1" t="s">
        <v>104</v>
      </c>
      <c r="E7" s="1" t="s">
        <v>105</v>
      </c>
      <c r="F7" s="1" t="s">
        <v>106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4519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64519" r:id="rId4" name="cmdRefreshUnits"/>
      </mc:Fallback>
    </mc:AlternateContent>
    <mc:AlternateContent xmlns:mc="http://schemas.openxmlformats.org/markup-compatibility/2006">
      <mc:Choice Requires="x14">
        <control shapeId="64518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64518" r:id="rId6" name="cmdCheckTechDataSheet"/>
      </mc:Fallback>
    </mc:AlternateContent>
    <mc:AlternateContent xmlns:mc="http://schemas.openxmlformats.org/markup-compatibility/2006">
      <mc:Choice Requires="x14">
        <control shapeId="64517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64517" r:id="rId8" name="cmdAddParamQualifier"/>
      </mc:Fallback>
    </mc:AlternateContent>
    <mc:AlternateContent xmlns:mc="http://schemas.openxmlformats.org/markup-compatibility/2006">
      <mc:Choice Requires="x14">
        <control shapeId="64516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64516" r:id="rId10" name="cmdAddParameter"/>
      </mc:Fallback>
    </mc:AlternateContent>
    <mc:AlternateContent xmlns:mc="http://schemas.openxmlformats.org/markup-compatibility/2006">
      <mc:Choice Requires="x14">
        <control shapeId="64515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64515" r:id="rId12" name="cmdCommOUT"/>
      </mc:Fallback>
    </mc:AlternateContent>
    <mc:AlternateContent xmlns:mc="http://schemas.openxmlformats.org/markup-compatibility/2006">
      <mc:Choice Requires="x14">
        <control shapeId="64514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64514" r:id="rId14" name="cmdCommIN"/>
      </mc:Fallback>
    </mc:AlternateContent>
    <mc:AlternateContent xmlns:mc="http://schemas.openxmlformats.org/markup-compatibility/2006">
      <mc:Choice Requires="x14">
        <control shapeId="64513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64513" r:id="rId16" name="cmdTechNameAndDesc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112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100</v>
      </c>
      <c r="C7" s="1" t="s">
        <v>101</v>
      </c>
      <c r="D7" s="1" t="s">
        <v>104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5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61445" r:id="rId4" name="cmdRefreshUnits"/>
      </mc:Fallback>
    </mc:AlternateContent>
    <mc:AlternateContent xmlns:mc="http://schemas.openxmlformats.org/markup-compatibility/2006">
      <mc:Choice Requires="x14">
        <control shapeId="61444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61444" r:id="rId6" name="cmdCheckCommDataSheet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2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61442" r:id="rId10" name="cmdCommNameAndDesc"/>
      </mc:Fallback>
    </mc:AlternateContent>
    <mc:AlternateContent xmlns:mc="http://schemas.openxmlformats.org/markup-compatibility/2006">
      <mc:Choice Requires="x14">
        <control shapeId="61441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61441" r:id="rId12" name="cmdAddParameter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111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107</v>
      </c>
      <c r="C7" s="1" t="s">
        <v>108</v>
      </c>
      <c r="D7" s="1" t="s">
        <v>104</v>
      </c>
      <c r="E7" s="1" t="s">
        <v>99</v>
      </c>
      <c r="F7" s="1" t="s">
        <v>96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20" r:id="rId4" name="cmdRefreshUnits">
          <controlPr defaultSize="0" autoLine="0" r:id="rId5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60420" r:id="rId4" name="cmdRefreshUnits"/>
      </mc:Fallback>
    </mc:AlternateContent>
    <mc:AlternateContent xmlns:mc="http://schemas.openxmlformats.org/markup-compatibility/2006">
      <mc:Choice Requires="x14">
        <control shapeId="60419" r:id="rId6" name="cmdConstraintUnit">
          <controlPr defaultSize="0" autoLine="0" r:id="rId7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60419" r:id="rId6" name="cmdConstraintUnit"/>
      </mc:Fallback>
    </mc:AlternateContent>
    <mc:AlternateContent xmlns:mc="http://schemas.openxmlformats.org/markup-compatibility/2006">
      <mc:Choice Requires="x14">
        <control shapeId="60418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60418" r:id="rId8" name="cmdCheckConstraintsSheet"/>
      </mc:Fallback>
    </mc:AlternateContent>
    <mc:AlternateContent xmlns:mc="http://schemas.openxmlformats.org/markup-compatibility/2006">
      <mc:Choice Requires="x14">
        <control shapeId="60417" r:id="rId10" name="cmdConstraintSets">
          <controlPr defaultSize="0" autoLine="0" r:id="rId11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60417" r:id="rId10" name="cmdConstraintSe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2"/>
  <sheetViews>
    <sheetView zoomScale="80" zoomScaleNormal="80" workbookViewId="0">
      <selection activeCell="D10" sqref="D10"/>
    </sheetView>
  </sheetViews>
  <sheetFormatPr defaultRowHeight="13.2" x14ac:dyDescent="0.25"/>
  <cols>
    <col min="2" max="2" width="33.44140625" customWidth="1"/>
  </cols>
  <sheetData>
    <row r="1" spans="2:11" s="65" customFormat="1" x14ac:dyDescent="0.25">
      <c r="B1" s="75" t="s">
        <v>300</v>
      </c>
    </row>
    <row r="3" spans="2:11" x14ac:dyDescent="0.25">
      <c r="B3" t="s">
        <v>289</v>
      </c>
      <c r="C3" t="s">
        <v>269</v>
      </c>
    </row>
    <row r="4" spans="2:11" ht="13.8" thickBot="1" x14ac:dyDescent="0.3">
      <c r="B4" t="s">
        <v>272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</row>
    <row r="5" spans="2:11" ht="13.8" thickBot="1" x14ac:dyDescent="0.3">
      <c r="B5" s="105" t="s">
        <v>290</v>
      </c>
      <c r="C5" s="106">
        <v>10.028138064341611</v>
      </c>
      <c r="D5" s="106">
        <v>19.339892356417874</v>
      </c>
      <c r="E5" s="106">
        <v>37.6135788024664</v>
      </c>
      <c r="F5" s="106">
        <v>18.409868140139249</v>
      </c>
      <c r="G5" s="106">
        <v>34.825881046374334</v>
      </c>
      <c r="H5" s="106">
        <v>12.474636437320772</v>
      </c>
      <c r="I5" s="106">
        <v>25.632467525838592</v>
      </c>
      <c r="J5" s="106">
        <v>13.05406668482515</v>
      </c>
      <c r="K5" s="107">
        <v>34.489350598897843</v>
      </c>
    </row>
    <row r="6" spans="2:11" ht="13.8" thickBot="1" x14ac:dyDescent="0.3">
      <c r="B6" s="105" t="s">
        <v>291</v>
      </c>
      <c r="C6" s="106">
        <v>1864.746974706499</v>
      </c>
      <c r="D6" s="106">
        <v>4387.2527351861509</v>
      </c>
      <c r="E6" s="106">
        <v>7711.2297791510773</v>
      </c>
      <c r="F6" s="106">
        <v>3931.9587243274063</v>
      </c>
      <c r="G6" s="106">
        <v>8596.2440074232254</v>
      </c>
      <c r="H6" s="106">
        <v>2799.5861674426578</v>
      </c>
      <c r="I6" s="106">
        <v>4869.2729146596457</v>
      </c>
      <c r="J6" s="106">
        <v>3175.8732493614866</v>
      </c>
      <c r="K6" s="107">
        <v>4687.9415571586487</v>
      </c>
    </row>
    <row r="7" spans="2:11" x14ac:dyDescent="0.25">
      <c r="B7" s="108" t="s">
        <v>181</v>
      </c>
      <c r="C7" s="109">
        <v>314.14617633906784</v>
      </c>
      <c r="D7" s="109">
        <v>1004.8314462286336</v>
      </c>
      <c r="E7" s="109">
        <v>2013.8349397652455</v>
      </c>
      <c r="F7" s="109">
        <v>1440.4476112714383</v>
      </c>
      <c r="G7" s="109">
        <v>2007.6620580110009</v>
      </c>
      <c r="H7" s="109">
        <v>960.76723231885683</v>
      </c>
      <c r="I7" s="109">
        <v>2084.7107272279145</v>
      </c>
      <c r="J7" s="109">
        <v>1097.475091807773</v>
      </c>
      <c r="K7" s="110">
        <v>1166.2924239215602</v>
      </c>
    </row>
    <row r="8" spans="2:11" x14ac:dyDescent="0.25">
      <c r="B8" s="111" t="s">
        <v>176</v>
      </c>
      <c r="C8" s="112">
        <v>12.51960268174896</v>
      </c>
      <c r="D8" s="112">
        <v>159.63850614591939</v>
      </c>
      <c r="E8" s="112">
        <v>370.03076918581326</v>
      </c>
      <c r="F8" s="112">
        <v>257.13933559014947</v>
      </c>
      <c r="G8" s="112">
        <v>278.08342936774386</v>
      </c>
      <c r="H8" s="112">
        <v>189.07867300841869</v>
      </c>
      <c r="I8" s="112">
        <v>276.86047939614701</v>
      </c>
      <c r="J8" s="112">
        <v>199.21576161826158</v>
      </c>
      <c r="K8" s="113">
        <v>62.138128092665433</v>
      </c>
    </row>
    <row r="9" spans="2:11" x14ac:dyDescent="0.25">
      <c r="B9" s="111" t="s">
        <v>292</v>
      </c>
      <c r="C9" s="112">
        <v>25.821599328218955</v>
      </c>
      <c r="D9" s="112">
        <v>59.979074695094518</v>
      </c>
      <c r="E9" s="112">
        <v>176.67891284794084</v>
      </c>
      <c r="F9" s="112">
        <v>106.97555374591975</v>
      </c>
      <c r="G9" s="112">
        <v>143.23124169400023</v>
      </c>
      <c r="H9" s="112">
        <v>115.26305895714218</v>
      </c>
      <c r="I9" s="112">
        <v>333.60444491484003</v>
      </c>
      <c r="J9" s="112">
        <v>113.15105356102494</v>
      </c>
      <c r="K9" s="113">
        <v>98.703194547263394</v>
      </c>
    </row>
    <row r="10" spans="2:11" x14ac:dyDescent="0.25">
      <c r="B10" s="111" t="s">
        <v>293</v>
      </c>
      <c r="C10" s="112">
        <v>40.637039971097103</v>
      </c>
      <c r="D10" s="112">
        <v>100.73329339995273</v>
      </c>
      <c r="E10" s="112">
        <v>118.76509488632358</v>
      </c>
      <c r="F10" s="112">
        <v>46.655304357963971</v>
      </c>
      <c r="G10" s="112">
        <v>59.48033956856959</v>
      </c>
      <c r="H10" s="112">
        <v>20.13460473383433</v>
      </c>
      <c r="I10" s="112">
        <v>33.156480983637849</v>
      </c>
      <c r="J10" s="112">
        <v>35.178864442054888</v>
      </c>
      <c r="K10" s="113">
        <v>50.813136536294486</v>
      </c>
    </row>
    <row r="11" spans="2:11" x14ac:dyDescent="0.25">
      <c r="B11" s="111" t="s">
        <v>294</v>
      </c>
      <c r="C11" s="112">
        <v>154.17139169016232</v>
      </c>
      <c r="D11" s="112">
        <v>439.64084332153709</v>
      </c>
      <c r="E11" s="112">
        <v>839.78465150726345</v>
      </c>
      <c r="F11" s="112">
        <v>525.70896815045887</v>
      </c>
      <c r="G11" s="112">
        <v>1065.9696131023345</v>
      </c>
      <c r="H11" s="112">
        <v>430.59746282495081</v>
      </c>
      <c r="I11" s="112">
        <v>689.22573381335803</v>
      </c>
      <c r="J11" s="112">
        <v>412.79633995212617</v>
      </c>
      <c r="K11" s="113">
        <v>614.02708062383203</v>
      </c>
    </row>
    <row r="12" spans="2:11" x14ac:dyDescent="0.25">
      <c r="B12" s="111" t="s">
        <v>295</v>
      </c>
      <c r="C12" s="112">
        <v>80.872050530064257</v>
      </c>
      <c r="D12" s="112">
        <v>204.8459517652939</v>
      </c>
      <c r="E12" s="112">
        <v>476.2266771828368</v>
      </c>
      <c r="F12" s="112">
        <v>445.00739465079249</v>
      </c>
      <c r="G12" s="112">
        <v>423.61238357049905</v>
      </c>
      <c r="H12" s="112">
        <v>168.08742586996419</v>
      </c>
      <c r="I12" s="112">
        <v>440.89776498412255</v>
      </c>
      <c r="J12" s="112">
        <v>238.30660145568666</v>
      </c>
      <c r="K12" s="113">
        <v>335.15824918556461</v>
      </c>
    </row>
    <row r="13" spans="2:11" ht="13.8" thickBot="1" x14ac:dyDescent="0.3">
      <c r="B13" s="114" t="s">
        <v>296</v>
      </c>
      <c r="C13" s="115">
        <v>0.12449213777620001</v>
      </c>
      <c r="D13" s="115">
        <v>39.993776900835883</v>
      </c>
      <c r="E13" s="115">
        <v>32.348834155067102</v>
      </c>
      <c r="F13" s="115">
        <v>58.961054776153716</v>
      </c>
      <c r="G13" s="115">
        <v>37.285050707853479</v>
      </c>
      <c r="H13" s="115">
        <v>37.606006924546641</v>
      </c>
      <c r="I13" s="115">
        <v>310.96582313580893</v>
      </c>
      <c r="J13" s="115">
        <v>98.826470778618585</v>
      </c>
      <c r="K13" s="116">
        <v>5.4526349359400506</v>
      </c>
    </row>
    <row r="14" spans="2:11" x14ac:dyDescent="0.25">
      <c r="B14" s="108" t="s">
        <v>297</v>
      </c>
      <c r="C14" s="109">
        <v>61.634131577118524</v>
      </c>
      <c r="D14" s="109">
        <v>139.83595477883702</v>
      </c>
      <c r="E14" s="109">
        <v>274.47963280272296</v>
      </c>
      <c r="F14" s="109">
        <v>155.52415679503451</v>
      </c>
      <c r="G14" s="109">
        <v>243.27412865947355</v>
      </c>
      <c r="H14" s="109">
        <v>102.40978142601961</v>
      </c>
      <c r="I14" s="109">
        <v>165.68980621752041</v>
      </c>
      <c r="J14" s="109">
        <v>89.025089333947378</v>
      </c>
      <c r="K14" s="110">
        <v>132.68371345569932</v>
      </c>
    </row>
    <row r="15" spans="2:11" x14ac:dyDescent="0.25">
      <c r="B15" s="111" t="s">
        <v>176</v>
      </c>
      <c r="C15" s="112">
        <v>1.6574462168522659</v>
      </c>
      <c r="D15" s="112">
        <v>14.566505839192031</v>
      </c>
      <c r="E15" s="112">
        <v>64.082025394562663</v>
      </c>
      <c r="F15" s="112">
        <v>26.798584313837996</v>
      </c>
      <c r="G15" s="112">
        <v>55.251446707901728</v>
      </c>
      <c r="H15" s="112">
        <v>25.877955775198739</v>
      </c>
      <c r="I15" s="112">
        <v>31.522817318735544</v>
      </c>
      <c r="J15" s="112">
        <v>13.703182594473732</v>
      </c>
      <c r="K15" s="113">
        <v>5.8879126812170064</v>
      </c>
    </row>
    <row r="16" spans="2:11" x14ac:dyDescent="0.25">
      <c r="B16" s="111" t="s">
        <v>292</v>
      </c>
      <c r="C16" s="112">
        <v>5.6794396012583741</v>
      </c>
      <c r="D16" s="112">
        <v>27.237400970947338</v>
      </c>
      <c r="E16" s="112">
        <v>19.595938911671077</v>
      </c>
      <c r="F16" s="112">
        <v>16.403632938364684</v>
      </c>
      <c r="G16" s="112">
        <v>71.645642417507105</v>
      </c>
      <c r="H16" s="112">
        <v>30.514344424106508</v>
      </c>
      <c r="I16" s="112">
        <v>51.436814985405874</v>
      </c>
      <c r="J16" s="112">
        <v>9.0445460184971331</v>
      </c>
      <c r="K16" s="113">
        <v>13.28471748447828</v>
      </c>
    </row>
    <row r="17" spans="2:11" x14ac:dyDescent="0.25">
      <c r="B17" s="111" t="s">
        <v>293</v>
      </c>
      <c r="C17" s="112">
        <v>38.297194786861702</v>
      </c>
      <c r="D17" s="112">
        <v>56.355708286439757</v>
      </c>
      <c r="E17" s="112">
        <v>108.09647700437934</v>
      </c>
      <c r="F17" s="112">
        <v>54.969303350503345</v>
      </c>
      <c r="G17" s="112">
        <v>31.362547831602384</v>
      </c>
      <c r="H17" s="112">
        <v>12.778416379036734</v>
      </c>
      <c r="I17" s="112">
        <v>9.8929859724482387</v>
      </c>
      <c r="J17" s="112">
        <v>23.029093605050559</v>
      </c>
      <c r="K17" s="113">
        <v>52.602070542736421</v>
      </c>
    </row>
    <row r="18" spans="2:11" x14ac:dyDescent="0.25">
      <c r="B18" s="111" t="s">
        <v>294</v>
      </c>
      <c r="C18" s="112">
        <v>9.1713297371258946</v>
      </c>
      <c r="D18" s="112">
        <v>22.999096239817934</v>
      </c>
      <c r="E18" s="112">
        <v>45.443712094123221</v>
      </c>
      <c r="F18" s="112">
        <v>24.17498042038914</v>
      </c>
      <c r="G18" s="112">
        <v>49.517105714325965</v>
      </c>
      <c r="H18" s="112">
        <v>19.740199854831992</v>
      </c>
      <c r="I18" s="112">
        <v>31.498263682918612</v>
      </c>
      <c r="J18" s="112">
        <v>18.890968480661538</v>
      </c>
      <c r="K18" s="113">
        <v>37.854621259354765</v>
      </c>
    </row>
    <row r="19" spans="2:11" x14ac:dyDescent="0.25">
      <c r="B19" s="111" t="s">
        <v>295</v>
      </c>
      <c r="C19" s="112">
        <v>6.7465424042394364</v>
      </c>
      <c r="D19" s="112">
        <v>16.223732786884529</v>
      </c>
      <c r="E19" s="112">
        <v>33.856785094757321</v>
      </c>
      <c r="F19" s="112">
        <v>30.194404257829394</v>
      </c>
      <c r="G19" s="112">
        <v>33.531051452374662</v>
      </c>
      <c r="H19" s="112">
        <v>12.118198423811094</v>
      </c>
      <c r="I19" s="112">
        <v>27.375231461202521</v>
      </c>
      <c r="J19" s="112">
        <v>15.924309944764076</v>
      </c>
      <c r="K19" s="113">
        <v>20.741837853533177</v>
      </c>
    </row>
    <row r="20" spans="2:11" ht="13.8" thickBot="1" x14ac:dyDescent="0.3">
      <c r="B20" s="114" t="s">
        <v>296</v>
      </c>
      <c r="C20" s="115">
        <v>8.2178830780859052E-2</v>
      </c>
      <c r="D20" s="115">
        <v>2.4535106555554278</v>
      </c>
      <c r="E20" s="115">
        <v>3.4046943032292747</v>
      </c>
      <c r="F20" s="115">
        <v>2.9832515141099227</v>
      </c>
      <c r="G20" s="115">
        <v>1.966334535761747</v>
      </c>
      <c r="H20" s="115">
        <v>1.380666569034547</v>
      </c>
      <c r="I20" s="115">
        <v>13.963692796809649</v>
      </c>
      <c r="J20" s="115">
        <v>8.4329886905003431</v>
      </c>
      <c r="K20" s="116">
        <v>2.3125536343796735</v>
      </c>
    </row>
    <row r="21" spans="2:11" x14ac:dyDescent="0.25">
      <c r="B21" s="108" t="s">
        <v>298</v>
      </c>
      <c r="C21" s="109">
        <v>56.920808899746866</v>
      </c>
      <c r="D21" s="109">
        <v>114.38312972593572</v>
      </c>
      <c r="E21" s="109">
        <v>241.57575486943736</v>
      </c>
      <c r="F21" s="109">
        <v>135.42418643696385</v>
      </c>
      <c r="G21" s="109">
        <v>196.88652409090341</v>
      </c>
      <c r="H21" s="109">
        <v>76.251050768459294</v>
      </c>
      <c r="I21" s="109">
        <v>138.45612945503316</v>
      </c>
      <c r="J21" s="109">
        <v>72.830550032394825</v>
      </c>
      <c r="K21" s="110">
        <v>112.64592712736032</v>
      </c>
    </row>
    <row r="22" spans="2:11" x14ac:dyDescent="0.25">
      <c r="B22" s="111" t="s">
        <v>176</v>
      </c>
      <c r="C22" s="112">
        <v>1.4913614892770586</v>
      </c>
      <c r="D22" s="112">
        <v>9.5734788727308757</v>
      </c>
      <c r="E22" s="112">
        <v>51.673785780303746</v>
      </c>
      <c r="F22" s="112">
        <v>18.739438412167964</v>
      </c>
      <c r="G22" s="112">
        <v>40.817267297460589</v>
      </c>
      <c r="H22" s="112">
        <v>18.320652128554801</v>
      </c>
      <c r="I22" s="112">
        <v>20.329811348661167</v>
      </c>
      <c r="J22" s="112">
        <v>10.114010903491714</v>
      </c>
      <c r="K22" s="113">
        <v>4.9826158519556234</v>
      </c>
    </row>
    <row r="23" spans="2:11" x14ac:dyDescent="0.25">
      <c r="B23" s="111" t="s">
        <v>292</v>
      </c>
      <c r="C23" s="112">
        <v>4.7911616377841595</v>
      </c>
      <c r="D23" s="112">
        <v>15.923007045042745</v>
      </c>
      <c r="E23" s="112">
        <v>14.980224134396806</v>
      </c>
      <c r="F23" s="112">
        <v>11.846086236296433</v>
      </c>
      <c r="G23" s="112">
        <v>57.45595101640523</v>
      </c>
      <c r="H23" s="112">
        <v>18.241503440917583</v>
      </c>
      <c r="I23" s="112">
        <v>45.495912153734373</v>
      </c>
      <c r="J23" s="112">
        <v>7.3312587236119313</v>
      </c>
      <c r="K23" s="113">
        <v>11.505863938908098</v>
      </c>
    </row>
    <row r="24" spans="2:11" x14ac:dyDescent="0.25">
      <c r="B24" s="111" t="s">
        <v>293</v>
      </c>
      <c r="C24" s="112">
        <v>37.721758606479973</v>
      </c>
      <c r="D24" s="112">
        <v>55.088771450830983</v>
      </c>
      <c r="E24" s="112">
        <v>106.66696667136084</v>
      </c>
      <c r="F24" s="112">
        <v>54.58074319165955</v>
      </c>
      <c r="G24" s="112">
        <v>30.089880931887173</v>
      </c>
      <c r="H24" s="112">
        <v>12.382439933706124</v>
      </c>
      <c r="I24" s="112">
        <v>9.7726904763801521</v>
      </c>
      <c r="J24" s="112">
        <v>22.460258151837412</v>
      </c>
      <c r="K24" s="113">
        <v>51.694689007632071</v>
      </c>
    </row>
    <row r="25" spans="2:11" x14ac:dyDescent="0.25">
      <c r="B25" s="111" t="s">
        <v>294</v>
      </c>
      <c r="C25" s="112">
        <v>6.5110573914619989</v>
      </c>
      <c r="D25" s="112">
        <v>16.251806776795743</v>
      </c>
      <c r="E25" s="112">
        <v>33.214522102639705</v>
      </c>
      <c r="F25" s="112">
        <v>19.028291672056817</v>
      </c>
      <c r="G25" s="112">
        <v>35.264366534571082</v>
      </c>
      <c r="H25" s="112">
        <v>14.635223338689604</v>
      </c>
      <c r="I25" s="112">
        <v>24.071116658835816</v>
      </c>
      <c r="J25" s="112">
        <v>14.256655156946728</v>
      </c>
      <c r="K25" s="113">
        <v>23.60795677438103</v>
      </c>
    </row>
    <row r="26" spans="2:11" x14ac:dyDescent="0.25">
      <c r="B26" s="111" t="s">
        <v>295</v>
      </c>
      <c r="C26" s="112">
        <v>6.3485323556918534</v>
      </c>
      <c r="D26" s="112">
        <v>15.319583014209195</v>
      </c>
      <c r="E26" s="112">
        <v>32.044237384821159</v>
      </c>
      <c r="F26" s="112">
        <v>28.692212882094509</v>
      </c>
      <c r="G26" s="112">
        <v>31.607453763626637</v>
      </c>
      <c r="H26" s="112">
        <v>11.443402357084222</v>
      </c>
      <c r="I26" s="112">
        <v>26.091388014624616</v>
      </c>
      <c r="J26" s="112">
        <v>14.967922571366405</v>
      </c>
      <c r="K26" s="113">
        <v>19.152790730053841</v>
      </c>
    </row>
    <row r="27" spans="2:11" ht="13.8" thickBot="1" x14ac:dyDescent="0.3">
      <c r="B27" s="114" t="s">
        <v>296</v>
      </c>
      <c r="C27" s="115">
        <v>5.6937419051831015E-2</v>
      </c>
      <c r="D27" s="115">
        <v>2.2264825663261916</v>
      </c>
      <c r="E27" s="115">
        <v>2.9960187959151265</v>
      </c>
      <c r="F27" s="115">
        <v>2.5374140426885661</v>
      </c>
      <c r="G27" s="115">
        <v>1.6516045469527114</v>
      </c>
      <c r="H27" s="115">
        <v>1.2278295695069545</v>
      </c>
      <c r="I27" s="115">
        <v>12.695210802797044</v>
      </c>
      <c r="J27" s="115">
        <v>3.7004445251406275</v>
      </c>
      <c r="K27" s="116">
        <v>1.7020108244296539</v>
      </c>
    </row>
    <row r="28" spans="2:11" x14ac:dyDescent="0.25">
      <c r="B28" s="108" t="s">
        <v>190</v>
      </c>
      <c r="C28" s="109">
        <v>104.63540919310385</v>
      </c>
      <c r="D28" s="109">
        <v>492.01326587031923</v>
      </c>
      <c r="E28" s="109">
        <v>1572.5549133504044</v>
      </c>
      <c r="F28" s="109">
        <v>579.2294638293713</v>
      </c>
      <c r="G28" s="109">
        <v>769.21219724760874</v>
      </c>
      <c r="H28" s="109">
        <v>666.74227315710505</v>
      </c>
      <c r="I28" s="109">
        <v>775.12123697598156</v>
      </c>
      <c r="J28" s="109">
        <v>205.68584025918901</v>
      </c>
      <c r="K28" s="110">
        <v>90.099483577714565</v>
      </c>
    </row>
    <row r="29" spans="2:11" x14ac:dyDescent="0.25">
      <c r="B29" s="111" t="s">
        <v>176</v>
      </c>
      <c r="C29" s="112">
        <v>44.489427776039761</v>
      </c>
      <c r="D29" s="112">
        <v>341.10971586014972</v>
      </c>
      <c r="E29" s="112">
        <v>1350.5992356105346</v>
      </c>
      <c r="F29" s="112">
        <v>509.2967913890563</v>
      </c>
      <c r="G29" s="112">
        <v>584.67845273176658</v>
      </c>
      <c r="H29" s="112">
        <v>535.91558865625245</v>
      </c>
      <c r="I29" s="112">
        <v>612.74042768507502</v>
      </c>
      <c r="J29" s="112">
        <v>137.0898839424523</v>
      </c>
      <c r="K29" s="113">
        <v>35.680044791157314</v>
      </c>
    </row>
    <row r="30" spans="2:11" x14ac:dyDescent="0.25">
      <c r="B30" s="111" t="s">
        <v>292</v>
      </c>
      <c r="C30" s="112">
        <v>9.1814437913789444</v>
      </c>
      <c r="D30" s="112">
        <v>74.697893069719584</v>
      </c>
      <c r="E30" s="112">
        <v>174.17895464114196</v>
      </c>
      <c r="F30" s="112">
        <v>45.240241229748435</v>
      </c>
      <c r="G30" s="112">
        <v>126.74370671963079</v>
      </c>
      <c r="H30" s="112">
        <v>95.894560936061239</v>
      </c>
      <c r="I30" s="112">
        <v>100.00892015419198</v>
      </c>
      <c r="J30" s="112">
        <v>44.263717643853674</v>
      </c>
      <c r="K30" s="113">
        <v>16.940512310914492</v>
      </c>
    </row>
    <row r="31" spans="2:11" x14ac:dyDescent="0.25">
      <c r="B31" s="111" t="s">
        <v>293</v>
      </c>
      <c r="C31" s="112">
        <v>46.47008655510632</v>
      </c>
      <c r="D31" s="112">
        <v>61.754212775100967</v>
      </c>
      <c r="E31" s="112">
        <v>31.831869202267278</v>
      </c>
      <c r="F31" s="112">
        <v>16.737201803808247</v>
      </c>
      <c r="G31" s="112">
        <v>22.275265942491803</v>
      </c>
      <c r="H31" s="112">
        <v>7.0598689682426325</v>
      </c>
      <c r="I31" s="112">
        <v>0.63892146940214978</v>
      </c>
      <c r="J31" s="112">
        <v>9.2097237178311531</v>
      </c>
      <c r="K31" s="113">
        <v>6.7834385781455451</v>
      </c>
    </row>
    <row r="32" spans="2:11" x14ac:dyDescent="0.25">
      <c r="B32" s="111" t="s">
        <v>294</v>
      </c>
      <c r="C32" s="112">
        <v>1.0989708037465913</v>
      </c>
      <c r="D32" s="112">
        <v>2.7339548397904658</v>
      </c>
      <c r="E32" s="112">
        <v>4.3956975476458089</v>
      </c>
      <c r="F32" s="112">
        <v>2.1086771344672739</v>
      </c>
      <c r="G32" s="112">
        <v>5.813255870040015</v>
      </c>
      <c r="H32" s="112">
        <v>2.1275003378262132</v>
      </c>
      <c r="I32" s="112">
        <v>3.0696739942613709</v>
      </c>
      <c r="J32" s="112">
        <v>1.7244827361351887</v>
      </c>
      <c r="K32" s="113">
        <v>2.815657364536821</v>
      </c>
    </row>
    <row r="33" spans="2:11" x14ac:dyDescent="0.25">
      <c r="B33" s="111" t="s">
        <v>295</v>
      </c>
      <c r="C33" s="112">
        <v>3.2315047070032872</v>
      </c>
      <c r="D33" s="112">
        <v>6.6539716902564781</v>
      </c>
      <c r="E33" s="112">
        <v>7.7386059974069594</v>
      </c>
      <c r="F33" s="112">
        <v>3.2684754888625061</v>
      </c>
      <c r="G33" s="112">
        <v>21.239827154434892</v>
      </c>
      <c r="H33" s="112">
        <v>2.1885127376826832</v>
      </c>
      <c r="I33" s="112">
        <v>12.598467736256829</v>
      </c>
      <c r="J33" s="112">
        <v>2.7069148187595422</v>
      </c>
      <c r="K33" s="113">
        <v>22.744542853030119</v>
      </c>
    </row>
    <row r="34" spans="2:11" ht="13.8" thickBot="1" x14ac:dyDescent="0.3">
      <c r="B34" s="114" t="s">
        <v>296</v>
      </c>
      <c r="C34" s="115">
        <v>0.16397555982895251</v>
      </c>
      <c r="D34" s="115">
        <v>5.0635176353020803</v>
      </c>
      <c r="E34" s="115">
        <v>3.8105503514075911</v>
      </c>
      <c r="F34" s="115">
        <v>2.5780767834284934</v>
      </c>
      <c r="G34" s="115">
        <v>8.4616888292447747</v>
      </c>
      <c r="H34" s="115">
        <v>23.55624152103973</v>
      </c>
      <c r="I34" s="115">
        <v>46.06482593679425</v>
      </c>
      <c r="J34" s="115">
        <v>10.691117400157159</v>
      </c>
      <c r="K34" s="116">
        <v>5.1352876799302525</v>
      </c>
    </row>
    <row r="35" spans="2:11" x14ac:dyDescent="0.25">
      <c r="B35" s="108" t="s">
        <v>299</v>
      </c>
      <c r="C35" s="109">
        <v>225.89987293566853</v>
      </c>
      <c r="D35" s="109">
        <v>508.215373093067</v>
      </c>
      <c r="E35" s="109">
        <v>942.6791373419984</v>
      </c>
      <c r="F35" s="109">
        <v>650.17723164104746</v>
      </c>
      <c r="G35" s="109">
        <v>970.63533170491053</v>
      </c>
      <c r="H35" s="109">
        <v>392.15228048038898</v>
      </c>
      <c r="I35" s="109">
        <v>1688.3204819323914</v>
      </c>
      <c r="J35" s="109">
        <v>859.4643430365179</v>
      </c>
      <c r="K35" s="110">
        <v>674.50363761608787</v>
      </c>
    </row>
    <row r="36" spans="2:11" x14ac:dyDescent="0.25">
      <c r="B36" s="111" t="s">
        <v>176</v>
      </c>
      <c r="C36" s="112">
        <v>0.66678675856718483</v>
      </c>
      <c r="D36" s="112">
        <v>1.847913890880144</v>
      </c>
      <c r="E36" s="112">
        <v>7.3324295911315431</v>
      </c>
      <c r="F36" s="112">
        <v>4.5005570418473528</v>
      </c>
      <c r="G36" s="112">
        <v>6.1954174044960952</v>
      </c>
      <c r="H36" s="112">
        <v>3.7827873670805672</v>
      </c>
      <c r="I36" s="112">
        <v>5.9027020914908368</v>
      </c>
      <c r="J36" s="112">
        <v>2.6360381732932785</v>
      </c>
      <c r="K36" s="113">
        <v>2.8697129365711165</v>
      </c>
    </row>
    <row r="37" spans="2:11" x14ac:dyDescent="0.25">
      <c r="B37" s="111" t="s">
        <v>292</v>
      </c>
      <c r="C37" s="112">
        <v>0.90458589773731302</v>
      </c>
      <c r="D37" s="112">
        <v>4.4170026286133561</v>
      </c>
      <c r="E37" s="112">
        <v>8.9567604007603823</v>
      </c>
      <c r="F37" s="112">
        <v>5.9834733831129032</v>
      </c>
      <c r="G37" s="112">
        <v>10.061592098969985</v>
      </c>
      <c r="H37" s="112">
        <v>7.0661948557583196</v>
      </c>
      <c r="I37" s="112">
        <v>36.755906911967621</v>
      </c>
      <c r="J37" s="112">
        <v>17.051349016216342</v>
      </c>
      <c r="K37" s="113">
        <v>6.8272580426013629</v>
      </c>
    </row>
    <row r="38" spans="2:11" x14ac:dyDescent="0.25">
      <c r="B38" s="111" t="s">
        <v>293</v>
      </c>
      <c r="C38" s="112">
        <v>42.663443302563429</v>
      </c>
      <c r="D38" s="112">
        <v>67.002081549785245</v>
      </c>
      <c r="E38" s="112">
        <v>114.35262205482724</v>
      </c>
      <c r="F38" s="112">
        <v>62.694113946591294</v>
      </c>
      <c r="G38" s="112">
        <v>36.507746497543074</v>
      </c>
      <c r="H38" s="112">
        <v>16.068979906462278</v>
      </c>
      <c r="I38" s="112">
        <v>12.202825501737317</v>
      </c>
      <c r="J38" s="112">
        <v>26.902719269279256</v>
      </c>
      <c r="K38" s="113">
        <v>55.490957412499917</v>
      </c>
    </row>
    <row r="39" spans="2:11" x14ac:dyDescent="0.25">
      <c r="B39" s="111" t="s">
        <v>294</v>
      </c>
      <c r="C39" s="112">
        <v>82.575532648684998</v>
      </c>
      <c r="D39" s="112">
        <v>206.43340139302717</v>
      </c>
      <c r="E39" s="112">
        <v>376.22755972732773</v>
      </c>
      <c r="F39" s="112">
        <v>202.63101118729659</v>
      </c>
      <c r="G39" s="112">
        <v>479.93943280925015</v>
      </c>
      <c r="H39" s="112">
        <v>154.59242305039504</v>
      </c>
      <c r="I39" s="112">
        <v>229.38406133441055</v>
      </c>
      <c r="J39" s="112">
        <v>165.49222765407799</v>
      </c>
      <c r="K39" s="113">
        <v>260.69730315430985</v>
      </c>
    </row>
    <row r="40" spans="2:11" x14ac:dyDescent="0.25">
      <c r="B40" s="111" t="s">
        <v>295</v>
      </c>
      <c r="C40" s="112">
        <v>98.956888436757424</v>
      </c>
      <c r="D40" s="112">
        <v>203.0162331231036</v>
      </c>
      <c r="E40" s="112">
        <v>362.38568231705887</v>
      </c>
      <c r="F40" s="112">
        <v>194.63084273374565</v>
      </c>
      <c r="G40" s="112">
        <v>388.79994947689772</v>
      </c>
      <c r="H40" s="112">
        <v>137.13960356014593</v>
      </c>
      <c r="I40" s="112">
        <v>198.24679604091168</v>
      </c>
      <c r="J40" s="112">
        <v>135.75487701247357</v>
      </c>
      <c r="K40" s="113">
        <v>209.15064433901597</v>
      </c>
    </row>
    <row r="41" spans="2:11" ht="13.8" thickBot="1" x14ac:dyDescent="0.3">
      <c r="B41" s="114" t="s">
        <v>296</v>
      </c>
      <c r="C41" s="115">
        <v>0.132635891358175</v>
      </c>
      <c r="D41" s="115">
        <v>25.49874050765753</v>
      </c>
      <c r="E41" s="115">
        <v>73.424083250892707</v>
      </c>
      <c r="F41" s="115">
        <v>179.73723334845354</v>
      </c>
      <c r="G41" s="115">
        <v>49.131193417753551</v>
      </c>
      <c r="H41" s="115">
        <v>73.502291740546937</v>
      </c>
      <c r="I41" s="115">
        <v>1205.8281900518734</v>
      </c>
      <c r="J41" s="115">
        <v>511.6271319111774</v>
      </c>
      <c r="K41" s="116">
        <v>139.46776173108958</v>
      </c>
    </row>
    <row r="42" spans="2:11" x14ac:dyDescent="0.25">
      <c r="B42" t="s">
        <v>149</v>
      </c>
      <c r="C42">
        <v>2638.0115117155474</v>
      </c>
      <c r="D42">
        <v>6665.8717972393606</v>
      </c>
      <c r="E42">
        <v>12793.96773608335</v>
      </c>
      <c r="F42">
        <v>6911.1712424414009</v>
      </c>
      <c r="G42">
        <v>12818.740128183497</v>
      </c>
      <c r="H42">
        <v>5010.3834220308063</v>
      </c>
      <c r="I42">
        <v>9747.2037639943246</v>
      </c>
      <c r="J42">
        <v>5513.4082305161328</v>
      </c>
      <c r="K42">
        <v>6898.6560934559684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"/>
  <sheetViews>
    <sheetView zoomScale="80" zoomScaleNormal="80" workbookViewId="0">
      <selection activeCell="F12" sqref="F12"/>
    </sheetView>
  </sheetViews>
  <sheetFormatPr defaultRowHeight="13.2" x14ac:dyDescent="0.25"/>
  <cols>
    <col min="4" max="4" width="12" bestFit="1" customWidth="1"/>
    <col min="6" max="6" width="11.109375" customWidth="1"/>
    <col min="7" max="7" width="14" bestFit="1" customWidth="1"/>
    <col min="8" max="8" width="15" bestFit="1" customWidth="1"/>
    <col min="13" max="13" width="11.6640625" customWidth="1"/>
  </cols>
  <sheetData>
    <row r="1" spans="1:17" x14ac:dyDescent="0.25">
      <c r="A1" s="65" t="s">
        <v>157</v>
      </c>
    </row>
    <row r="2" spans="1:17" x14ac:dyDescent="0.25">
      <c r="A2" t="s">
        <v>158</v>
      </c>
    </row>
    <row r="3" spans="1:17" s="65" customFormat="1" x14ac:dyDescent="0.25"/>
    <row r="4" spans="1:17" x14ac:dyDescent="0.25">
      <c r="A4" s="65" t="s">
        <v>267</v>
      </c>
      <c r="B4" s="65" t="s">
        <v>266</v>
      </c>
      <c r="C4" s="65" t="s">
        <v>265</v>
      </c>
      <c r="D4" s="65" t="s">
        <v>264</v>
      </c>
      <c r="E4" s="65" t="s">
        <v>263</v>
      </c>
      <c r="F4" s="65" t="s">
        <v>262</v>
      </c>
      <c r="G4" s="65" t="s">
        <v>261</v>
      </c>
      <c r="H4" s="65" t="s">
        <v>150</v>
      </c>
      <c r="I4" s="65" t="s">
        <v>260</v>
      </c>
      <c r="J4" s="65" t="s">
        <v>259</v>
      </c>
      <c r="K4" s="65" t="s">
        <v>258</v>
      </c>
      <c r="M4" s="65" t="s">
        <v>268</v>
      </c>
    </row>
    <row r="5" spans="1:17" x14ac:dyDescent="0.25">
      <c r="A5" s="65" t="s">
        <v>257</v>
      </c>
      <c r="B5" s="65">
        <v>2005</v>
      </c>
      <c r="C5" s="65">
        <v>460071.64500000002</v>
      </c>
      <c r="D5" s="65">
        <v>133474.61799999999</v>
      </c>
      <c r="E5" s="65">
        <v>91471964.572999999</v>
      </c>
      <c r="F5" s="65">
        <v>936890310.94599998</v>
      </c>
      <c r="G5" s="65">
        <v>96216414.329999998</v>
      </c>
      <c r="H5" s="65">
        <v>6</v>
      </c>
      <c r="I5" s="62">
        <v>417.37009526932508</v>
      </c>
      <c r="J5" s="62">
        <v>121.08617133032999</v>
      </c>
      <c r="K5" s="62">
        <v>82.981994181157006</v>
      </c>
      <c r="N5" t="s">
        <v>269</v>
      </c>
    </row>
    <row r="6" spans="1:17" x14ac:dyDescent="0.25">
      <c r="A6" s="65" t="s">
        <v>257</v>
      </c>
      <c r="B6" s="65">
        <v>2010</v>
      </c>
      <c r="C6" s="65">
        <v>204189.47200000001</v>
      </c>
      <c r="D6" s="65">
        <v>63289.847999999998</v>
      </c>
      <c r="E6" s="65">
        <v>85171206.932999998</v>
      </c>
      <c r="F6" s="65">
        <v>946341660.34500003</v>
      </c>
      <c r="G6" s="65">
        <v>105718739.41</v>
      </c>
      <c r="H6" s="65">
        <v>6</v>
      </c>
      <c r="I6" s="62">
        <v>185.23762615632</v>
      </c>
      <c r="J6" s="62">
        <v>57.41560075788</v>
      </c>
      <c r="K6" s="62">
        <v>77.266041361513601</v>
      </c>
      <c r="N6" t="s">
        <v>270</v>
      </c>
      <c r="P6" t="s">
        <v>271</v>
      </c>
    </row>
    <row r="7" spans="1:17" x14ac:dyDescent="0.25">
      <c r="A7" s="65" t="s">
        <v>256</v>
      </c>
      <c r="B7" s="65">
        <v>2005</v>
      </c>
      <c r="C7" s="65">
        <v>66189.717999999993</v>
      </c>
      <c r="D7" s="65">
        <v>35332.800999999999</v>
      </c>
      <c r="E7" s="65">
        <v>29180670.499000002</v>
      </c>
      <c r="F7" s="65">
        <v>305909694.24800003</v>
      </c>
      <c r="G7" s="65">
        <v>29957253.809999999</v>
      </c>
      <c r="H7" s="65">
        <v>7</v>
      </c>
      <c r="I7" s="62">
        <v>60.046319323829998</v>
      </c>
      <c r="J7" s="62">
        <v>32.053387075185</v>
      </c>
      <c r="K7" s="62">
        <v>26.472266566635316</v>
      </c>
      <c r="M7" t="s">
        <v>272</v>
      </c>
      <c r="N7">
        <v>2005</v>
      </c>
      <c r="O7">
        <v>2010</v>
      </c>
      <c r="P7">
        <v>2005</v>
      </c>
      <c r="Q7">
        <v>2010</v>
      </c>
    </row>
    <row r="8" spans="1:17" x14ac:dyDescent="0.25">
      <c r="A8" s="65" t="s">
        <v>256</v>
      </c>
      <c r="B8" s="65">
        <v>2010</v>
      </c>
      <c r="C8" s="65">
        <v>67083.707999999999</v>
      </c>
      <c r="D8" s="65">
        <v>37784.682999999997</v>
      </c>
      <c r="E8" s="65">
        <v>36254481.986000001</v>
      </c>
      <c r="F8" s="65">
        <v>389113949.28600001</v>
      </c>
      <c r="G8" s="65">
        <v>42106075.479999997</v>
      </c>
      <c r="H8" s="65">
        <v>7</v>
      </c>
      <c r="I8" s="62">
        <v>60.857333641980006</v>
      </c>
      <c r="J8" s="62">
        <v>34.277697647354998</v>
      </c>
      <c r="K8" s="62">
        <v>32.889522240469411</v>
      </c>
      <c r="M8">
        <v>1</v>
      </c>
      <c r="N8" s="76">
        <v>131.26697606773499</v>
      </c>
      <c r="O8" s="76">
        <v>69.418430322315004</v>
      </c>
      <c r="P8" s="76">
        <v>34.234823177069998</v>
      </c>
      <c r="Q8" s="76">
        <v>14.624808310095002</v>
      </c>
    </row>
    <row r="9" spans="1:17" x14ac:dyDescent="0.25">
      <c r="A9" s="65" t="s">
        <v>255</v>
      </c>
      <c r="B9" s="65">
        <v>2005</v>
      </c>
      <c r="C9" s="65">
        <v>52761.521000000001</v>
      </c>
      <c r="D9" s="65">
        <v>80790.027000000002</v>
      </c>
      <c r="E9" s="65">
        <v>58265190.706</v>
      </c>
      <c r="F9" s="65">
        <v>657183739.74000001</v>
      </c>
      <c r="G9" s="65">
        <v>69203661.790000007</v>
      </c>
      <c r="H9" s="65">
        <v>8</v>
      </c>
      <c r="I9" s="62">
        <v>47.864460428385001</v>
      </c>
      <c r="J9" s="62">
        <v>73.291500643994993</v>
      </c>
      <c r="K9" s="62">
        <v>52.857307030622607</v>
      </c>
      <c r="M9">
        <v>2</v>
      </c>
      <c r="N9" s="76">
        <v>1103.96334928953</v>
      </c>
      <c r="O9" s="76">
        <v>410.95821782996995</v>
      </c>
      <c r="P9" s="76">
        <v>228.26325160602002</v>
      </c>
      <c r="Q9" s="76">
        <v>141.18809456296501</v>
      </c>
    </row>
    <row r="10" spans="1:17" x14ac:dyDescent="0.25">
      <c r="A10" s="65" t="s">
        <v>255</v>
      </c>
      <c r="B10" s="65">
        <v>2010</v>
      </c>
      <c r="C10" s="65">
        <v>36445.120999999999</v>
      </c>
      <c r="D10" s="65">
        <v>60523.701999999997</v>
      </c>
      <c r="E10" s="65">
        <v>60713242.064999998</v>
      </c>
      <c r="F10" s="65">
        <v>681330967.12199998</v>
      </c>
      <c r="G10" s="65">
        <v>77832825.969999999</v>
      </c>
      <c r="H10" s="65">
        <v>8</v>
      </c>
      <c r="I10" s="62">
        <v>33.062467094384999</v>
      </c>
      <c r="J10" s="62">
        <v>54.906194598870002</v>
      </c>
      <c r="K10" s="62">
        <v>55.078142502737023</v>
      </c>
      <c r="M10">
        <v>3</v>
      </c>
      <c r="N10" s="76">
        <v>2544.311129725605</v>
      </c>
      <c r="O10" s="76">
        <v>1413.978465304665</v>
      </c>
      <c r="P10" s="76">
        <v>698.37672080852997</v>
      </c>
      <c r="Q10" s="76">
        <v>373.29057667579497</v>
      </c>
    </row>
    <row r="11" spans="1:17" x14ac:dyDescent="0.25">
      <c r="A11" s="65" t="s">
        <v>254</v>
      </c>
      <c r="B11" s="65">
        <v>2005</v>
      </c>
      <c r="C11" s="65">
        <v>172.398</v>
      </c>
      <c r="D11" s="65">
        <v>4356.6170000000002</v>
      </c>
      <c r="E11" s="65">
        <v>31660158.458999999</v>
      </c>
      <c r="F11" s="65">
        <v>530580191.70099998</v>
      </c>
      <c r="G11" s="65">
        <v>62785114.140000001</v>
      </c>
      <c r="H11" s="65">
        <v>9</v>
      </c>
      <c r="I11" s="62">
        <v>0.15639687963000001</v>
      </c>
      <c r="J11" s="62">
        <v>3.9522575931450001</v>
      </c>
      <c r="K11" s="62">
        <v>28.721620851627915</v>
      </c>
      <c r="M11">
        <v>4</v>
      </c>
      <c r="N11" s="76">
        <v>778.32564030553499</v>
      </c>
      <c r="O11" s="76">
        <v>570.22049662075506</v>
      </c>
      <c r="P11" s="76">
        <v>461.51517158688</v>
      </c>
      <c r="Q11" s="76">
        <v>260.83452156778498</v>
      </c>
    </row>
    <row r="12" spans="1:17" x14ac:dyDescent="0.25">
      <c r="A12" s="65" t="s">
        <v>254</v>
      </c>
      <c r="B12" s="65">
        <v>2010</v>
      </c>
      <c r="C12" s="65">
        <v>227.268</v>
      </c>
      <c r="D12" s="65">
        <v>4501.8429999999998</v>
      </c>
      <c r="E12" s="65">
        <v>37086792.137999997</v>
      </c>
      <c r="F12" s="65">
        <v>622375002.60099995</v>
      </c>
      <c r="G12" s="65">
        <v>80496693.280000001</v>
      </c>
      <c r="H12" s="65">
        <v>9</v>
      </c>
      <c r="I12" s="62">
        <v>0.20617412058000001</v>
      </c>
      <c r="J12" s="62">
        <v>4.0840044419549999</v>
      </c>
      <c r="K12" s="62">
        <v>33.64458152571153</v>
      </c>
      <c r="M12">
        <v>5</v>
      </c>
      <c r="N12" s="76">
        <v>2483.7764119348799</v>
      </c>
      <c r="O12" s="76">
        <v>735.10963664047495</v>
      </c>
      <c r="P12" s="76">
        <v>699.94248583113006</v>
      </c>
      <c r="Q12" s="76">
        <v>288.14834873320501</v>
      </c>
    </row>
    <row r="13" spans="1:17" x14ac:dyDescent="0.25">
      <c r="A13" s="65" t="s">
        <v>209</v>
      </c>
      <c r="B13" s="65">
        <v>2005</v>
      </c>
      <c r="C13" s="65">
        <v>59337.063999999998</v>
      </c>
      <c r="D13" s="65">
        <v>67635.398000000001</v>
      </c>
      <c r="E13" s="65">
        <v>46127712.659999996</v>
      </c>
      <c r="F13" s="65">
        <v>484875587.67500001</v>
      </c>
      <c r="G13" s="65">
        <v>48498319.130000003</v>
      </c>
      <c r="H13" s="65">
        <v>8</v>
      </c>
      <c r="I13" s="62">
        <v>53.829694404839998</v>
      </c>
      <c r="J13" s="62">
        <v>61.357818534629999</v>
      </c>
      <c r="K13" s="62">
        <v>41.846369009462094</v>
      </c>
      <c r="M13">
        <v>6</v>
      </c>
      <c r="N13" s="76">
        <v>1179.7666438034551</v>
      </c>
      <c r="O13" s="76">
        <v>589.14243615922499</v>
      </c>
      <c r="P13" s="76">
        <v>402.14877471995999</v>
      </c>
      <c r="Q13" s="76">
        <v>195.91637476118999</v>
      </c>
    </row>
    <row r="14" spans="1:17" x14ac:dyDescent="0.25">
      <c r="A14" s="65" t="s">
        <v>209</v>
      </c>
      <c r="B14" s="65">
        <v>2010</v>
      </c>
      <c r="C14" s="65">
        <v>45861.527999999998</v>
      </c>
      <c r="D14" s="65">
        <v>54876.307999999997</v>
      </c>
      <c r="E14" s="65">
        <v>45099379.560000002</v>
      </c>
      <c r="F14" s="65">
        <v>472720888.10600001</v>
      </c>
      <c r="G14" s="65">
        <v>48765504.32</v>
      </c>
      <c r="H14" s="65">
        <v>8</v>
      </c>
      <c r="I14" s="62">
        <v>41.604890278680003</v>
      </c>
      <c r="J14" s="62">
        <v>49.782963472979993</v>
      </c>
      <c r="K14" s="62">
        <v>40.913480646138602</v>
      </c>
      <c r="M14">
        <v>7</v>
      </c>
      <c r="N14" s="76">
        <v>733.83792928533001</v>
      </c>
      <c r="O14" s="76">
        <v>646.11540230472008</v>
      </c>
      <c r="P14" s="76">
        <v>327.56080147750504</v>
      </c>
      <c r="Q14" s="76">
        <v>272.53636347855002</v>
      </c>
    </row>
    <row r="15" spans="1:17" x14ac:dyDescent="0.25">
      <c r="A15" s="65" t="s">
        <v>253</v>
      </c>
      <c r="B15" s="65">
        <v>2005</v>
      </c>
      <c r="C15" s="65">
        <v>7522.6509999999998</v>
      </c>
      <c r="D15" s="65">
        <v>5859.34</v>
      </c>
      <c r="E15" s="65">
        <v>9645877.4360000007</v>
      </c>
      <c r="F15" s="65">
        <v>127626561.383</v>
      </c>
      <c r="G15" s="65">
        <v>12557833.619999999</v>
      </c>
      <c r="H15" s="65">
        <v>1</v>
      </c>
      <c r="I15" s="62">
        <v>6.8244361474349997</v>
      </c>
      <c r="J15" s="62">
        <v>5.3155053579000002</v>
      </c>
      <c r="K15" s="62">
        <v>8.7505953217776611</v>
      </c>
      <c r="M15">
        <v>8</v>
      </c>
      <c r="N15" s="76">
        <v>304.42648900520999</v>
      </c>
      <c r="O15" s="76">
        <v>193.33163868133499</v>
      </c>
      <c r="P15" s="76">
        <v>416.17198783323005</v>
      </c>
      <c r="Q15" s="76">
        <v>299.94047550953997</v>
      </c>
    </row>
    <row r="16" spans="1:17" x14ac:dyDescent="0.25">
      <c r="A16" s="65" t="s">
        <v>253</v>
      </c>
      <c r="B16" s="65">
        <v>2010</v>
      </c>
      <c r="C16" s="65">
        <v>1954.963</v>
      </c>
      <c r="D16" s="65">
        <v>2052.7069999999999</v>
      </c>
      <c r="E16" s="65">
        <v>6645391.4790000003</v>
      </c>
      <c r="F16" s="65">
        <v>99888241.741999999</v>
      </c>
      <c r="G16" s="65">
        <v>10536197.300000001</v>
      </c>
      <c r="H16" s="65">
        <v>1</v>
      </c>
      <c r="I16" s="62">
        <v>1.773513109155</v>
      </c>
      <c r="J16" s="62">
        <v>1.862184999795</v>
      </c>
      <c r="K16" s="62">
        <v>6.0285994688766156</v>
      </c>
      <c r="M16">
        <v>9</v>
      </c>
      <c r="N16" s="76">
        <f>14.150248950375+(AKandHI!L15+AKandHI!L26)/1000</f>
        <v>21.472290967999033</v>
      </c>
      <c r="O16" s="76">
        <f>16.859442647565+(AKandHI!L15+AKandHI!L26)/1000</f>
        <v>24.181484665189032</v>
      </c>
      <c r="P16" s="76">
        <f>27.909810515835+(AKandHI!L10+AKandHI!L21)/1000</f>
        <v>60.28718360401983</v>
      </c>
      <c r="Q16" s="76">
        <f>23.778582558705+(AKandHI!L10+AKandHI!L21)/1000</f>
        <v>56.155955646889822</v>
      </c>
    </row>
    <row r="17" spans="1:17" x14ac:dyDescent="0.25">
      <c r="A17" s="65" t="s">
        <v>194</v>
      </c>
      <c r="B17" s="65">
        <v>2005</v>
      </c>
      <c r="C17" s="65">
        <v>834.25400000000002</v>
      </c>
      <c r="D17" s="65">
        <v>275.916</v>
      </c>
      <c r="E17" s="65">
        <v>187206.133</v>
      </c>
      <c r="F17" s="65">
        <v>2312926.273</v>
      </c>
      <c r="G17" s="65">
        <v>182829.68</v>
      </c>
      <c r="H17" s="65">
        <v>5</v>
      </c>
      <c r="I17" s="62">
        <v>0.75682271499000009</v>
      </c>
      <c r="J17" s="62">
        <v>0.25030685646</v>
      </c>
      <c r="K17" s="62">
        <v>0.169830595765605</v>
      </c>
      <c r="M17" t="s">
        <v>149</v>
      </c>
      <c r="N17" s="76">
        <v>9273.8248183676533</v>
      </c>
      <c r="O17" s="76">
        <v>4645.134166511024</v>
      </c>
      <c r="P17" s="76">
        <v>3296.12382755616</v>
      </c>
      <c r="Q17" s="76">
        <v>1870.2581461578297</v>
      </c>
    </row>
    <row r="18" spans="1:17" x14ac:dyDescent="0.25">
      <c r="A18" s="65" t="s">
        <v>194</v>
      </c>
      <c r="B18" s="65">
        <v>2010</v>
      </c>
      <c r="C18" s="65">
        <v>873.75099999999998</v>
      </c>
      <c r="D18" s="65">
        <v>373.15499999999997</v>
      </c>
      <c r="E18" s="65">
        <v>220765.057</v>
      </c>
      <c r="F18" s="65">
        <v>2720688.2820000001</v>
      </c>
      <c r="G18" s="65">
        <v>218078.09</v>
      </c>
      <c r="H18" s="65">
        <v>5</v>
      </c>
      <c r="I18" s="62">
        <v>0.79265380093499993</v>
      </c>
      <c r="J18" s="62">
        <v>0.338520618675</v>
      </c>
      <c r="K18" s="62">
        <v>0.20027474823454502</v>
      </c>
    </row>
    <row r="19" spans="1:17" x14ac:dyDescent="0.25">
      <c r="A19" s="65" t="s">
        <v>252</v>
      </c>
      <c r="B19" s="65">
        <v>2005</v>
      </c>
      <c r="C19" s="65">
        <v>30580.157999999999</v>
      </c>
      <c r="D19" s="65">
        <v>11345.496999999999</v>
      </c>
      <c r="E19" s="65">
        <v>6688310.2589999996</v>
      </c>
      <c r="F19" s="65">
        <v>71722557.760000005</v>
      </c>
      <c r="G19" s="65">
        <v>6864585.5800000001</v>
      </c>
      <c r="H19" s="65">
        <v>5</v>
      </c>
      <c r="I19" s="62">
        <v>27.741860635230001</v>
      </c>
      <c r="J19" s="62">
        <v>10.292464695945</v>
      </c>
      <c r="K19" s="62">
        <v>6.0675347423109152</v>
      </c>
    </row>
    <row r="20" spans="1:17" x14ac:dyDescent="0.25">
      <c r="A20" s="65" t="s">
        <v>252</v>
      </c>
      <c r="B20" s="65">
        <v>2010</v>
      </c>
      <c r="C20" s="65">
        <v>14491.681</v>
      </c>
      <c r="D20" s="65">
        <v>4131.2780000000002</v>
      </c>
      <c r="E20" s="65">
        <v>3939746.827</v>
      </c>
      <c r="F20" s="65">
        <v>47168304.590999998</v>
      </c>
      <c r="G20" s="65">
        <v>4538807.9400000004</v>
      </c>
      <c r="H20" s="65">
        <v>5</v>
      </c>
      <c r="I20" s="62">
        <v>13.146635627985001</v>
      </c>
      <c r="J20" s="62">
        <v>3.7478334324300002</v>
      </c>
      <c r="K20" s="62">
        <v>3.5740792252519951</v>
      </c>
    </row>
    <row r="21" spans="1:17" x14ac:dyDescent="0.25">
      <c r="A21" s="65" t="s">
        <v>251</v>
      </c>
      <c r="B21" s="65">
        <v>2005</v>
      </c>
      <c r="C21" s="65">
        <v>415405.79800000001</v>
      </c>
      <c r="D21" s="65">
        <v>212004.541</v>
      </c>
      <c r="E21" s="65">
        <v>136497128.72499999</v>
      </c>
      <c r="F21" s="65">
        <v>1637437006.3069999</v>
      </c>
      <c r="G21" s="65">
        <v>158858612.27000001</v>
      </c>
      <c r="H21" s="65">
        <v>5</v>
      </c>
      <c r="I21" s="62">
        <v>376.84990885862999</v>
      </c>
      <c r="J21" s="62">
        <v>192.327339527085</v>
      </c>
      <c r="K21" s="62">
        <v>123.8281477223891</v>
      </c>
    </row>
    <row r="22" spans="1:17" x14ac:dyDescent="0.25">
      <c r="A22" s="65" t="s">
        <v>251</v>
      </c>
      <c r="B22" s="65">
        <v>2010</v>
      </c>
      <c r="C22" s="65">
        <v>138345.33499999999</v>
      </c>
      <c r="D22" s="65">
        <v>73147.900999999998</v>
      </c>
      <c r="E22" s="65">
        <v>131136978.561</v>
      </c>
      <c r="F22" s="65">
        <v>1692645037.5420001</v>
      </c>
      <c r="G22" s="65">
        <v>173285825.03</v>
      </c>
      <c r="H22" s="65">
        <v>5</v>
      </c>
      <c r="I22" s="62">
        <v>125.50481273197501</v>
      </c>
      <c r="J22" s="62">
        <v>66.358678568685008</v>
      </c>
      <c r="K22" s="62">
        <v>118.96549989586079</v>
      </c>
    </row>
    <row r="23" spans="1:17" x14ac:dyDescent="0.25">
      <c r="A23" s="65" t="s">
        <v>250</v>
      </c>
      <c r="B23" s="65">
        <v>2005</v>
      </c>
      <c r="C23" s="65">
        <v>616169.36899999995</v>
      </c>
      <c r="D23" s="65">
        <v>111365.1</v>
      </c>
      <c r="E23" s="65">
        <v>94101017.210999995</v>
      </c>
      <c r="F23" s="65">
        <v>949440209.51400006</v>
      </c>
      <c r="G23" s="65">
        <v>98804932.040000007</v>
      </c>
      <c r="H23" s="65">
        <v>5</v>
      </c>
      <c r="I23" s="62">
        <v>558.97960901626493</v>
      </c>
      <c r="J23" s="62">
        <v>101.02874824350002</v>
      </c>
      <c r="K23" s="62">
        <v>85.367031298561031</v>
      </c>
    </row>
    <row r="24" spans="1:17" x14ac:dyDescent="0.25">
      <c r="A24" s="65" t="s">
        <v>250</v>
      </c>
      <c r="B24" s="65">
        <v>2010</v>
      </c>
      <c r="C24" s="65">
        <v>218836.11300000001</v>
      </c>
      <c r="D24" s="65">
        <v>60521.902999999998</v>
      </c>
      <c r="E24" s="65">
        <v>87577539.708000004</v>
      </c>
      <c r="F24" s="65">
        <v>928020483.97800004</v>
      </c>
      <c r="G24" s="65">
        <v>100196425.47</v>
      </c>
      <c r="H24" s="65">
        <v>5</v>
      </c>
      <c r="I24" s="62">
        <v>198.52483917190503</v>
      </c>
      <c r="J24" s="62">
        <v>54.904562573055003</v>
      </c>
      <c r="K24" s="62">
        <v>79.449030360001984</v>
      </c>
    </row>
    <row r="25" spans="1:17" x14ac:dyDescent="0.25">
      <c r="A25" s="65" t="s">
        <v>249</v>
      </c>
      <c r="B25" s="65">
        <v>2005</v>
      </c>
      <c r="C25" s="65">
        <v>126778.97900000001</v>
      </c>
      <c r="D25" s="65">
        <v>71502.101999999999</v>
      </c>
      <c r="E25" s="65">
        <v>40411329.270000003</v>
      </c>
      <c r="F25" s="65">
        <v>401343179.36199999</v>
      </c>
      <c r="G25" s="65">
        <v>35416052.100000001</v>
      </c>
      <c r="H25" s="65">
        <v>4</v>
      </c>
      <c r="I25" s="62">
        <v>115.011988064115</v>
      </c>
      <c r="J25" s="62">
        <v>64.86563440287</v>
      </c>
      <c r="K25" s="62">
        <v>36.660551743804952</v>
      </c>
    </row>
    <row r="26" spans="1:17" x14ac:dyDescent="0.25">
      <c r="A26" s="65" t="s">
        <v>249</v>
      </c>
      <c r="B26" s="65">
        <v>2010</v>
      </c>
      <c r="C26" s="65">
        <v>104649.8</v>
      </c>
      <c r="D26" s="65">
        <v>44442.841999999997</v>
      </c>
      <c r="E26" s="65">
        <v>45401248.126000002</v>
      </c>
      <c r="F26" s="65">
        <v>436513659.32200003</v>
      </c>
      <c r="G26" s="65">
        <v>42162208.280000001</v>
      </c>
      <c r="H26" s="65">
        <v>4</v>
      </c>
      <c r="I26" s="62">
        <v>94.936728813000002</v>
      </c>
      <c r="J26" s="62">
        <v>40.317879619769997</v>
      </c>
      <c r="K26" s="62">
        <v>41.187331281185308</v>
      </c>
    </row>
    <row r="27" spans="1:17" x14ac:dyDescent="0.25">
      <c r="A27" s="65" t="s">
        <v>248</v>
      </c>
      <c r="B27" s="65">
        <v>2005</v>
      </c>
      <c r="C27" s="65">
        <v>2.8980000000000001</v>
      </c>
      <c r="D27" s="65">
        <v>88.695999999999998</v>
      </c>
      <c r="E27" s="65">
        <v>574923.67500000005</v>
      </c>
      <c r="F27" s="65">
        <v>9661652.4440000001</v>
      </c>
      <c r="G27" s="65">
        <v>1403939.04</v>
      </c>
      <c r="H27" s="65">
        <v>8</v>
      </c>
      <c r="I27" s="62">
        <v>2.6290221299999999E-3</v>
      </c>
      <c r="J27" s="62">
        <v>8.0463680760000003E-2</v>
      </c>
      <c r="K27" s="62">
        <v>0.52156213410487506</v>
      </c>
    </row>
    <row r="28" spans="1:17" x14ac:dyDescent="0.25">
      <c r="A28" s="65" t="s">
        <v>248</v>
      </c>
      <c r="B28" s="65">
        <v>2010</v>
      </c>
      <c r="C28" s="65">
        <v>3.4980000000000002</v>
      </c>
      <c r="D28" s="65">
        <v>112.566</v>
      </c>
      <c r="E28" s="65">
        <v>693068.54099999997</v>
      </c>
      <c r="F28" s="65">
        <v>11662220.106000001</v>
      </c>
      <c r="G28" s="65">
        <v>1611779.64</v>
      </c>
      <c r="H28" s="65">
        <v>8</v>
      </c>
      <c r="I28" s="62">
        <v>3.1733331300000003E-3</v>
      </c>
      <c r="J28" s="62">
        <v>0.10211818671</v>
      </c>
      <c r="K28" s="62">
        <v>0.62874138436708493</v>
      </c>
    </row>
    <row r="29" spans="1:17" x14ac:dyDescent="0.25">
      <c r="A29" s="65" t="s">
        <v>247</v>
      </c>
      <c r="B29" s="65">
        <v>2005</v>
      </c>
      <c r="C29" s="65">
        <v>326632.03600000002</v>
      </c>
      <c r="D29" s="65">
        <v>126047.709</v>
      </c>
      <c r="E29" s="65">
        <v>106104515.411</v>
      </c>
      <c r="F29" s="65">
        <v>1055344017.012</v>
      </c>
      <c r="G29" s="65">
        <v>102892166.48999999</v>
      </c>
      <c r="H29" s="65">
        <v>3</v>
      </c>
      <c r="I29" s="62">
        <v>296.31568357866001</v>
      </c>
      <c r="J29" s="62">
        <v>114.348590889165</v>
      </c>
      <c r="K29" s="62">
        <v>96.256424813128035</v>
      </c>
    </row>
    <row r="30" spans="1:17" x14ac:dyDescent="0.25">
      <c r="A30" s="65" t="s">
        <v>247</v>
      </c>
      <c r="B30" s="65">
        <v>2010</v>
      </c>
      <c r="C30" s="65">
        <v>220092.57699999999</v>
      </c>
      <c r="D30" s="65">
        <v>76299.611999999994</v>
      </c>
      <c r="E30" s="65">
        <v>107086482.70299999</v>
      </c>
      <c r="F30" s="65">
        <v>1033831195.166</v>
      </c>
      <c r="G30" s="65">
        <v>103234592.40000001</v>
      </c>
      <c r="H30" s="65">
        <v>3</v>
      </c>
      <c r="I30" s="62">
        <v>199.66468446574498</v>
      </c>
      <c r="J30" s="62">
        <v>69.217863512219992</v>
      </c>
      <c r="K30" s="62">
        <v>97.147250810921051</v>
      </c>
    </row>
    <row r="31" spans="1:17" x14ac:dyDescent="0.25">
      <c r="A31" s="65" t="s">
        <v>246</v>
      </c>
      <c r="B31" s="65">
        <v>2005</v>
      </c>
      <c r="C31" s="65">
        <v>870811.75100000005</v>
      </c>
      <c r="D31" s="65">
        <v>207981.56599999999</v>
      </c>
      <c r="E31" s="65">
        <v>133835306.796</v>
      </c>
      <c r="F31" s="65">
        <v>1316400863.53</v>
      </c>
      <c r="G31" s="65">
        <v>128041519.95999999</v>
      </c>
      <c r="H31" s="65">
        <v>3</v>
      </c>
      <c r="I31" s="62">
        <v>789.98735833093508</v>
      </c>
      <c r="J31" s="62">
        <v>188.67775695170999</v>
      </c>
      <c r="K31" s="62">
        <v>121.41338279572926</v>
      </c>
    </row>
    <row r="32" spans="1:17" x14ac:dyDescent="0.25">
      <c r="A32" s="65" t="s">
        <v>246</v>
      </c>
      <c r="B32" s="65">
        <v>2010</v>
      </c>
      <c r="C32" s="65">
        <v>414764.28600000002</v>
      </c>
      <c r="D32" s="65">
        <v>120924.15700000001</v>
      </c>
      <c r="E32" s="65">
        <v>124350073.442</v>
      </c>
      <c r="F32" s="65">
        <v>1224614547.5220001</v>
      </c>
      <c r="G32" s="65">
        <v>127014462.64</v>
      </c>
      <c r="H32" s="65">
        <v>3</v>
      </c>
      <c r="I32" s="62">
        <v>376.26793879491004</v>
      </c>
      <c r="J32" s="62">
        <v>109.70058136804501</v>
      </c>
      <c r="K32" s="62">
        <v>112.80852137548077</v>
      </c>
    </row>
    <row r="33" spans="1:11" x14ac:dyDescent="0.25">
      <c r="A33" s="65" t="s">
        <v>245</v>
      </c>
      <c r="B33" s="65">
        <v>2005</v>
      </c>
      <c r="C33" s="65">
        <v>136465.43</v>
      </c>
      <c r="D33" s="65">
        <v>88620.167000000001</v>
      </c>
      <c r="E33" s="65">
        <v>43223785.630999997</v>
      </c>
      <c r="F33" s="65">
        <v>427032809.32999998</v>
      </c>
      <c r="G33" s="65">
        <v>39661099.840000004</v>
      </c>
      <c r="H33" s="65">
        <v>4</v>
      </c>
      <c r="I33" s="62">
        <v>123.79939111455</v>
      </c>
      <c r="J33" s="62">
        <v>80.394886199894998</v>
      </c>
      <c r="K33" s="62">
        <v>39.211969967658732</v>
      </c>
    </row>
    <row r="34" spans="1:11" x14ac:dyDescent="0.25">
      <c r="A34" s="65" t="s">
        <v>245</v>
      </c>
      <c r="B34" s="65">
        <v>2010</v>
      </c>
      <c r="C34" s="65">
        <v>45250.601999999999</v>
      </c>
      <c r="D34" s="65">
        <v>48946.550999999999</v>
      </c>
      <c r="E34" s="65">
        <v>39756089.611000001</v>
      </c>
      <c r="F34" s="65">
        <v>391268284.58499998</v>
      </c>
      <c r="G34" s="65">
        <v>38149020.399999999</v>
      </c>
      <c r="H34" s="65">
        <v>4</v>
      </c>
      <c r="I34" s="62">
        <v>41.050667375370004</v>
      </c>
      <c r="J34" s="62">
        <v>44.403576868934998</v>
      </c>
      <c r="K34" s="62">
        <v>36.066128153755038</v>
      </c>
    </row>
    <row r="35" spans="1:11" x14ac:dyDescent="0.25">
      <c r="A35" s="65" t="s">
        <v>244</v>
      </c>
      <c r="B35" s="65">
        <v>2005</v>
      </c>
      <c r="C35" s="65">
        <v>500223.63199999998</v>
      </c>
      <c r="D35" s="65">
        <v>165562.82699999999</v>
      </c>
      <c r="E35" s="65">
        <v>100174369.272</v>
      </c>
      <c r="F35" s="65">
        <v>988266503.08000004</v>
      </c>
      <c r="G35" s="65">
        <v>100601751.92</v>
      </c>
      <c r="H35" s="65">
        <v>6</v>
      </c>
      <c r="I35" s="62">
        <v>453.79537559592001</v>
      </c>
      <c r="J35" s="62">
        <v>150.196113211995</v>
      </c>
      <c r="K35" s="62">
        <v>90.876685188019323</v>
      </c>
    </row>
    <row r="36" spans="1:11" x14ac:dyDescent="0.25">
      <c r="A36" s="65" t="s">
        <v>244</v>
      </c>
      <c r="B36" s="65">
        <v>2010</v>
      </c>
      <c r="C36" s="65">
        <v>271509.18900000001</v>
      </c>
      <c r="D36" s="65">
        <v>91824.418000000005</v>
      </c>
      <c r="E36" s="65">
        <v>101674686.76000001</v>
      </c>
      <c r="F36" s="65">
        <v>997329716.77999997</v>
      </c>
      <c r="G36" s="65">
        <v>103711626.17</v>
      </c>
      <c r="H36" s="65">
        <v>6</v>
      </c>
      <c r="I36" s="62">
        <v>246.309063622965</v>
      </c>
      <c r="J36" s="62">
        <v>83.301734643330008</v>
      </c>
      <c r="K36" s="62">
        <v>92.237750708370598</v>
      </c>
    </row>
    <row r="37" spans="1:11" x14ac:dyDescent="0.25">
      <c r="A37" s="65" t="s">
        <v>243</v>
      </c>
      <c r="B37" s="65">
        <v>2005</v>
      </c>
      <c r="C37" s="65">
        <v>103701.848</v>
      </c>
      <c r="D37" s="65">
        <v>63458.23</v>
      </c>
      <c r="E37" s="65">
        <v>50379591.978</v>
      </c>
      <c r="F37" s="65">
        <v>642273423.69200003</v>
      </c>
      <c r="G37" s="65">
        <v>63816858.270000003</v>
      </c>
      <c r="H37" s="65">
        <v>7</v>
      </c>
      <c r="I37" s="62">
        <v>94.076760977879999</v>
      </c>
      <c r="J37" s="62">
        <v>57.568354382549998</v>
      </c>
      <c r="K37" s="62">
        <v>45.703610148561928</v>
      </c>
    </row>
    <row r="38" spans="1:11" x14ac:dyDescent="0.25">
      <c r="A38" s="65" t="s">
        <v>243</v>
      </c>
      <c r="B38" s="65">
        <v>2010</v>
      </c>
      <c r="C38" s="65">
        <v>98130.971999999994</v>
      </c>
      <c r="D38" s="65">
        <v>46453.947999999997</v>
      </c>
      <c r="E38" s="65">
        <v>52553156.809</v>
      </c>
      <c r="F38" s="65">
        <v>676026418.78600001</v>
      </c>
      <c r="G38" s="65">
        <v>71344077.980000004</v>
      </c>
      <c r="H38" s="65">
        <v>7</v>
      </c>
      <c r="I38" s="62">
        <v>89.022945833820003</v>
      </c>
      <c r="J38" s="62">
        <v>42.142324816379997</v>
      </c>
      <c r="K38" s="62">
        <v>47.675435559772666</v>
      </c>
    </row>
    <row r="39" spans="1:11" x14ac:dyDescent="0.25">
      <c r="A39" s="65" t="s">
        <v>242</v>
      </c>
      <c r="B39" s="65">
        <v>2005</v>
      </c>
      <c r="C39" s="65">
        <v>81864.44</v>
      </c>
      <c r="D39" s="65">
        <v>21215.952000000001</v>
      </c>
      <c r="E39" s="65">
        <v>26290987.357999999</v>
      </c>
      <c r="F39" s="65">
        <v>337434189.81</v>
      </c>
      <c r="G39" s="65">
        <v>33218236.620000001</v>
      </c>
      <c r="H39" s="65">
        <v>1</v>
      </c>
      <c r="I39" s="62">
        <v>74.2661920014</v>
      </c>
      <c r="J39" s="62">
        <v>19.246793415120003</v>
      </c>
      <c r="K39" s="62">
        <v>23.850789366367231</v>
      </c>
    </row>
    <row r="40" spans="1:11" x14ac:dyDescent="0.25">
      <c r="A40" s="65" t="s">
        <v>242</v>
      </c>
      <c r="B40" s="65">
        <v>2010</v>
      </c>
      <c r="C40" s="65">
        <v>36891.868999999999</v>
      </c>
      <c r="D40" s="65">
        <v>7851.2650000000003</v>
      </c>
      <c r="E40" s="65">
        <v>19480389.539000001</v>
      </c>
      <c r="F40" s="65">
        <v>268352915.10499999</v>
      </c>
      <c r="G40" s="65">
        <v>29091982.219999999</v>
      </c>
      <c r="H40" s="65">
        <v>1</v>
      </c>
      <c r="I40" s="62">
        <v>33.467750178765002</v>
      </c>
      <c r="J40" s="62">
        <v>7.1225498390250008</v>
      </c>
      <c r="K40" s="62">
        <v>17.672317183937714</v>
      </c>
    </row>
    <row r="41" spans="1:11" x14ac:dyDescent="0.25">
      <c r="A41" s="65" t="s">
        <v>241</v>
      </c>
      <c r="B41" s="65">
        <v>2005</v>
      </c>
      <c r="C41" s="65">
        <v>281753.27100000001</v>
      </c>
      <c r="D41" s="65">
        <v>60235.165999999997</v>
      </c>
      <c r="E41" s="65">
        <v>31984008.449999999</v>
      </c>
      <c r="F41" s="65">
        <v>327687753.70499998</v>
      </c>
      <c r="G41" s="65">
        <v>33837969.57</v>
      </c>
      <c r="H41" s="65">
        <v>5</v>
      </c>
      <c r="I41" s="62">
        <v>255.60234115213498</v>
      </c>
      <c r="J41" s="62">
        <v>54.644439067710003</v>
      </c>
      <c r="K41" s="62">
        <v>29.015412705713249</v>
      </c>
    </row>
    <row r="42" spans="1:11" x14ac:dyDescent="0.25">
      <c r="A42" s="65" t="s">
        <v>241</v>
      </c>
      <c r="B42" s="65">
        <v>2010</v>
      </c>
      <c r="C42" s="65">
        <v>28669.562999999998</v>
      </c>
      <c r="D42" s="65">
        <v>18572.067999999999</v>
      </c>
      <c r="E42" s="65">
        <v>26328310.890000001</v>
      </c>
      <c r="F42" s="65">
        <v>267592442.889</v>
      </c>
      <c r="G42" s="65">
        <v>26762914.489999998</v>
      </c>
      <c r="H42" s="65">
        <v>5</v>
      </c>
      <c r="I42" s="62">
        <v>26.008597510154999</v>
      </c>
      <c r="J42" s="62">
        <v>16.848301508579997</v>
      </c>
      <c r="K42" s="62">
        <v>23.88464871474465</v>
      </c>
    </row>
    <row r="43" spans="1:11" x14ac:dyDescent="0.25">
      <c r="A43" s="65" t="s">
        <v>240</v>
      </c>
      <c r="B43" s="65">
        <v>2005</v>
      </c>
      <c r="C43" s="65">
        <v>3886.3150000000001</v>
      </c>
      <c r="D43" s="65">
        <v>1235.405</v>
      </c>
      <c r="E43" s="65">
        <v>4587113.2319999998</v>
      </c>
      <c r="F43" s="65">
        <v>73688819.135000005</v>
      </c>
      <c r="G43" s="65">
        <v>8687216.5500000007</v>
      </c>
      <c r="H43" s="65">
        <v>1</v>
      </c>
      <c r="I43" s="62">
        <v>3.5256066732750004</v>
      </c>
      <c r="J43" s="62">
        <v>1.1207408849249998</v>
      </c>
      <c r="K43" s="62">
        <v>4.16136031737192</v>
      </c>
    </row>
    <row r="44" spans="1:11" x14ac:dyDescent="0.25">
      <c r="A44" s="65" t="s">
        <v>240</v>
      </c>
      <c r="B44" s="65">
        <v>2010</v>
      </c>
      <c r="C44" s="65">
        <v>820.01099999999997</v>
      </c>
      <c r="D44" s="65">
        <v>718.505</v>
      </c>
      <c r="E44" s="65">
        <v>3943457.4360000002</v>
      </c>
      <c r="F44" s="65">
        <v>65489644.351999998</v>
      </c>
      <c r="G44" s="65">
        <v>7359264.8600000003</v>
      </c>
      <c r="H44" s="65">
        <v>1</v>
      </c>
      <c r="I44" s="62">
        <v>0.74390167903499993</v>
      </c>
      <c r="J44" s="62">
        <v>0.65181695842499998</v>
      </c>
      <c r="K44" s="62">
        <v>3.57744543407766</v>
      </c>
    </row>
    <row r="45" spans="1:11" x14ac:dyDescent="0.25">
      <c r="A45" s="65" t="s">
        <v>239</v>
      </c>
      <c r="B45" s="65">
        <v>2005</v>
      </c>
      <c r="C45" s="65">
        <v>345510.04700000002</v>
      </c>
      <c r="D45" s="65">
        <v>113203.60400000001</v>
      </c>
      <c r="E45" s="65">
        <v>78080061.783000007</v>
      </c>
      <c r="F45" s="65">
        <v>785462078.63300002</v>
      </c>
      <c r="G45" s="65">
        <v>71780072.879999995</v>
      </c>
      <c r="H45" s="65">
        <v>3</v>
      </c>
      <c r="I45" s="62">
        <v>313.44153198769504</v>
      </c>
      <c r="J45" s="62">
        <v>102.69661149474001</v>
      </c>
      <c r="K45" s="62">
        <v>70.833060848610856</v>
      </c>
    </row>
    <row r="46" spans="1:11" x14ac:dyDescent="0.25">
      <c r="A46" s="65" t="s">
        <v>239</v>
      </c>
      <c r="B46" s="65">
        <v>2010</v>
      </c>
      <c r="C46" s="65">
        <v>242188.41899999999</v>
      </c>
      <c r="D46" s="65">
        <v>76130.076000000001</v>
      </c>
      <c r="E46" s="65">
        <v>74375751.777999997</v>
      </c>
      <c r="F46" s="65">
        <v>735404877.04999995</v>
      </c>
      <c r="G46" s="65">
        <v>68157873.109999999</v>
      </c>
      <c r="H46" s="65">
        <v>3</v>
      </c>
      <c r="I46" s="62">
        <v>219.70970089051499</v>
      </c>
      <c r="J46" s="62">
        <v>69.064062996060002</v>
      </c>
      <c r="K46" s="62">
        <v>67.472566376724927</v>
      </c>
    </row>
    <row r="47" spans="1:11" x14ac:dyDescent="0.25">
      <c r="A47" s="65" t="s">
        <v>238</v>
      </c>
      <c r="B47" s="65">
        <v>2005</v>
      </c>
      <c r="C47" s="65">
        <v>101257.519</v>
      </c>
      <c r="D47" s="65">
        <v>84205.089000000007</v>
      </c>
      <c r="E47" s="65">
        <v>40866374.023999996</v>
      </c>
      <c r="F47" s="65">
        <v>407164346.39999998</v>
      </c>
      <c r="G47" s="65">
        <v>38506919.299999997</v>
      </c>
      <c r="H47" s="65">
        <v>4</v>
      </c>
      <c r="I47" s="62">
        <v>91.859302374015002</v>
      </c>
      <c r="J47" s="62">
        <v>76.389593664464996</v>
      </c>
      <c r="K47" s="62">
        <v>37.073361518962436</v>
      </c>
    </row>
    <row r="48" spans="1:11" x14ac:dyDescent="0.25">
      <c r="A48" s="65" t="s">
        <v>238</v>
      </c>
      <c r="B48" s="65">
        <v>2010</v>
      </c>
      <c r="C48" s="65">
        <v>41573.815999999999</v>
      </c>
      <c r="D48" s="65">
        <v>31172.575000000001</v>
      </c>
      <c r="E48" s="65">
        <v>34123981.563000001</v>
      </c>
      <c r="F48" s="65">
        <v>339654185.76800001</v>
      </c>
      <c r="G48" s="65">
        <v>33910468.5</v>
      </c>
      <c r="H48" s="65">
        <v>4</v>
      </c>
      <c r="I48" s="62">
        <v>37.715142267960005</v>
      </c>
      <c r="J48" s="62">
        <v>28.279292451375003</v>
      </c>
      <c r="K48" s="62">
        <v>30.956764214230155</v>
      </c>
    </row>
    <row r="49" spans="1:11" x14ac:dyDescent="0.25">
      <c r="A49" s="65" t="s">
        <v>237</v>
      </c>
      <c r="B49" s="65">
        <v>2005</v>
      </c>
      <c r="C49" s="65">
        <v>271682.62400000001</v>
      </c>
      <c r="D49" s="65">
        <v>122836.856</v>
      </c>
      <c r="E49" s="65">
        <v>82265046.252000004</v>
      </c>
      <c r="F49" s="65">
        <v>813693812.40799999</v>
      </c>
      <c r="G49" s="65">
        <v>84008374.349999994</v>
      </c>
      <c r="H49" s="65">
        <v>4</v>
      </c>
      <c r="I49" s="62">
        <v>246.46640125344004</v>
      </c>
      <c r="J49" s="62">
        <v>111.43575321036001</v>
      </c>
      <c r="K49" s="62">
        <v>74.629615984120619</v>
      </c>
    </row>
    <row r="50" spans="1:11" x14ac:dyDescent="0.25">
      <c r="A50" s="65" t="s">
        <v>237</v>
      </c>
      <c r="B50" s="65">
        <v>2010</v>
      </c>
      <c r="C50" s="65">
        <v>236216.924</v>
      </c>
      <c r="D50" s="65">
        <v>58364.014999999999</v>
      </c>
      <c r="E50" s="65">
        <v>83255296.378000006</v>
      </c>
      <c r="F50" s="65">
        <v>808226596.80900002</v>
      </c>
      <c r="G50" s="65">
        <v>82325411.489999995</v>
      </c>
      <c r="H50" s="65">
        <v>4</v>
      </c>
      <c r="I50" s="62">
        <v>214.29245019894</v>
      </c>
      <c r="J50" s="62">
        <v>52.946958947775002</v>
      </c>
      <c r="K50" s="62">
        <v>75.527956044675946</v>
      </c>
    </row>
    <row r="51" spans="1:11" x14ac:dyDescent="0.25">
      <c r="A51" s="65" t="s">
        <v>236</v>
      </c>
      <c r="B51" s="65">
        <v>2005</v>
      </c>
      <c r="C51" s="65">
        <v>74093.589000000007</v>
      </c>
      <c r="D51" s="65">
        <v>42813.947999999997</v>
      </c>
      <c r="E51" s="65">
        <v>27712055.153000001</v>
      </c>
      <c r="F51" s="65">
        <v>321030216.94999999</v>
      </c>
      <c r="G51" s="65">
        <v>28361241.129999999</v>
      </c>
      <c r="H51" s="65">
        <v>6</v>
      </c>
      <c r="I51" s="62">
        <v>67.21659253696501</v>
      </c>
      <c r="J51" s="62">
        <v>38.840171416379995</v>
      </c>
      <c r="K51" s="62">
        <v>25.139960753974307</v>
      </c>
    </row>
    <row r="52" spans="1:11" x14ac:dyDescent="0.25">
      <c r="A52" s="65" t="s">
        <v>236</v>
      </c>
      <c r="B52" s="65">
        <v>2010</v>
      </c>
      <c r="C52" s="65">
        <v>54696.201000000001</v>
      </c>
      <c r="D52" s="65">
        <v>29772.661</v>
      </c>
      <c r="E52" s="65">
        <v>30618950.443999998</v>
      </c>
      <c r="F52" s="65">
        <v>394755066.37</v>
      </c>
      <c r="G52" s="65">
        <v>37655836.649999999</v>
      </c>
      <c r="H52" s="65">
        <v>6</v>
      </c>
      <c r="I52" s="62">
        <v>49.619573104185001</v>
      </c>
      <c r="J52" s="62">
        <v>27.009311469284999</v>
      </c>
      <c r="K52" s="62">
        <v>27.777052558540142</v>
      </c>
    </row>
    <row r="53" spans="1:11" x14ac:dyDescent="0.25">
      <c r="A53" s="65" t="s">
        <v>235</v>
      </c>
      <c r="B53" s="65">
        <v>2005</v>
      </c>
      <c r="C53" s="65">
        <v>19222.62</v>
      </c>
      <c r="D53" s="65">
        <v>39346.097000000002</v>
      </c>
      <c r="E53" s="65">
        <v>20966070.021000002</v>
      </c>
      <c r="F53" s="65">
        <v>203807015.22600001</v>
      </c>
      <c r="G53" s="65">
        <v>19010224.109999999</v>
      </c>
      <c r="H53" s="65">
        <v>8</v>
      </c>
      <c r="I53" s="62">
        <v>17.4384725247</v>
      </c>
      <c r="J53" s="62">
        <v>35.694189006945003</v>
      </c>
      <c r="K53" s="62">
        <v>19.020104232000886</v>
      </c>
    </row>
    <row r="54" spans="1:11" x14ac:dyDescent="0.25">
      <c r="A54" s="65" t="s">
        <v>235</v>
      </c>
      <c r="B54" s="65">
        <v>2010</v>
      </c>
      <c r="C54" s="65">
        <v>19895.755000000001</v>
      </c>
      <c r="D54" s="65">
        <v>21727.919999999998</v>
      </c>
      <c r="E54" s="65">
        <v>21356365.577</v>
      </c>
      <c r="F54" s="65">
        <v>203768146.84599999</v>
      </c>
      <c r="G54" s="65">
        <v>20063124.350000001</v>
      </c>
      <c r="H54" s="65">
        <v>8</v>
      </c>
      <c r="I54" s="62">
        <v>18.049130499675002</v>
      </c>
      <c r="J54" s="62">
        <v>19.711243105199998</v>
      </c>
      <c r="K54" s="62">
        <v>19.374174505970743</v>
      </c>
    </row>
    <row r="55" spans="1:11" x14ac:dyDescent="0.25">
      <c r="A55" s="65" t="s">
        <v>234</v>
      </c>
      <c r="B55" s="65">
        <v>2005</v>
      </c>
      <c r="C55" s="65">
        <v>500935.57</v>
      </c>
      <c r="D55" s="65">
        <v>107749.24099999999</v>
      </c>
      <c r="E55" s="65">
        <v>75581179.725999996</v>
      </c>
      <c r="F55" s="65">
        <v>748528931.42499995</v>
      </c>
      <c r="G55" s="65">
        <v>67416074.75</v>
      </c>
      <c r="H55" s="65">
        <v>5</v>
      </c>
      <c r="I55" s="62">
        <v>454.44123507044998</v>
      </c>
      <c r="J55" s="62">
        <v>97.748495196584997</v>
      </c>
      <c r="K55" s="62">
        <v>68.566112529731313</v>
      </c>
    </row>
    <row r="56" spans="1:11" x14ac:dyDescent="0.25">
      <c r="A56" s="65" t="s">
        <v>234</v>
      </c>
      <c r="B56" s="65">
        <v>2010</v>
      </c>
      <c r="C56" s="65">
        <v>116627.178</v>
      </c>
      <c r="D56" s="65">
        <v>49611.163999999997</v>
      </c>
      <c r="E56" s="65">
        <v>74293630.810000002</v>
      </c>
      <c r="F56" s="65">
        <v>755401503.34200001</v>
      </c>
      <c r="G56" s="65">
        <v>66111912.82</v>
      </c>
      <c r="H56" s="65">
        <v>5</v>
      </c>
      <c r="I56" s="62">
        <v>105.80242647393</v>
      </c>
      <c r="J56" s="62">
        <v>45.006503813339997</v>
      </c>
      <c r="K56" s="62">
        <v>67.398067466369852</v>
      </c>
    </row>
    <row r="57" spans="1:11" x14ac:dyDescent="0.25">
      <c r="A57" s="65" t="s">
        <v>233</v>
      </c>
      <c r="B57" s="65">
        <v>2005</v>
      </c>
      <c r="C57" s="65">
        <v>137373.29199999999</v>
      </c>
      <c r="D57" s="65">
        <v>76380.13</v>
      </c>
      <c r="E57" s="65">
        <v>36806133.585000001</v>
      </c>
      <c r="F57" s="65">
        <v>338930071.73299998</v>
      </c>
      <c r="G57" s="65">
        <v>30911263.5</v>
      </c>
      <c r="H57" s="65">
        <v>4</v>
      </c>
      <c r="I57" s="62">
        <v>124.62298990302</v>
      </c>
      <c r="J57" s="62">
        <v>69.290908234050008</v>
      </c>
      <c r="K57" s="62">
        <v>33.389972296308223</v>
      </c>
    </row>
    <row r="58" spans="1:11" x14ac:dyDescent="0.25">
      <c r="A58" s="65" t="s">
        <v>233</v>
      </c>
      <c r="B58" s="65">
        <v>2010</v>
      </c>
      <c r="C58" s="65">
        <v>124095.766</v>
      </c>
      <c r="D58" s="65">
        <v>54744.358</v>
      </c>
      <c r="E58" s="65">
        <v>33609780.638999999</v>
      </c>
      <c r="F58" s="65">
        <v>309246266.57599998</v>
      </c>
      <c r="G58" s="65">
        <v>29076216.02</v>
      </c>
      <c r="H58" s="65">
        <v>4</v>
      </c>
      <c r="I58" s="62">
        <v>112.57781747871</v>
      </c>
      <c r="J58" s="62">
        <v>49.663260412230002</v>
      </c>
      <c r="K58" s="62">
        <v>30.490288848991216</v>
      </c>
    </row>
    <row r="59" spans="1:11" x14ac:dyDescent="0.25">
      <c r="A59" s="65" t="s">
        <v>232</v>
      </c>
      <c r="B59" s="65">
        <v>2005</v>
      </c>
      <c r="C59" s="65">
        <v>73751.899000000005</v>
      </c>
      <c r="D59" s="65">
        <v>51267.658000000003</v>
      </c>
      <c r="E59" s="65">
        <v>24886595.521000002</v>
      </c>
      <c r="F59" s="65">
        <v>245793075.22799999</v>
      </c>
      <c r="G59" s="65">
        <v>22889343.949999999</v>
      </c>
      <c r="H59" s="65">
        <v>4</v>
      </c>
      <c r="I59" s="62">
        <v>66.906616494315003</v>
      </c>
      <c r="J59" s="62">
        <v>46.509250322730004</v>
      </c>
      <c r="K59" s="62">
        <v>22.576746157718386</v>
      </c>
    </row>
    <row r="60" spans="1:11" x14ac:dyDescent="0.25">
      <c r="A60" s="65" t="s">
        <v>232</v>
      </c>
      <c r="B60" s="65">
        <v>2010</v>
      </c>
      <c r="C60" s="65">
        <v>64184.362999999998</v>
      </c>
      <c r="D60" s="65">
        <v>37417.237000000001</v>
      </c>
      <c r="E60" s="65">
        <v>26402128.377999999</v>
      </c>
      <c r="F60" s="65">
        <v>253268275.241</v>
      </c>
      <c r="G60" s="65">
        <v>25297561.48</v>
      </c>
      <c r="H60" s="65">
        <v>4</v>
      </c>
      <c r="I60" s="62">
        <v>58.227091348154993</v>
      </c>
      <c r="J60" s="62">
        <v>33.944356147844999</v>
      </c>
      <c r="K60" s="62">
        <v>23.951614832595929</v>
      </c>
    </row>
    <row r="61" spans="1:11" x14ac:dyDescent="0.25">
      <c r="A61" s="65" t="s">
        <v>231</v>
      </c>
      <c r="B61" s="65">
        <v>2005</v>
      </c>
      <c r="C61" s="65">
        <v>51400.023999999998</v>
      </c>
      <c r="D61" s="65">
        <v>8757.0939999999991</v>
      </c>
      <c r="E61" s="65">
        <v>8972027.1620000005</v>
      </c>
      <c r="F61" s="65">
        <v>111297849.44</v>
      </c>
      <c r="G61" s="65">
        <v>10816217.560000001</v>
      </c>
      <c r="H61" s="65">
        <v>1</v>
      </c>
      <c r="I61" s="62">
        <v>46.629330772439999</v>
      </c>
      <c r="J61" s="62">
        <v>7.9443043203899988</v>
      </c>
      <c r="K61" s="62">
        <v>8.1392884609589693</v>
      </c>
    </row>
    <row r="62" spans="1:11" x14ac:dyDescent="0.25">
      <c r="A62" s="65" t="s">
        <v>231</v>
      </c>
      <c r="B62" s="65">
        <v>2010</v>
      </c>
      <c r="C62" s="65">
        <v>36834.353999999999</v>
      </c>
      <c r="D62" s="65">
        <v>4777.8140000000003</v>
      </c>
      <c r="E62" s="65">
        <v>6420303.2280000001</v>
      </c>
      <c r="F62" s="65">
        <v>79996831.571999997</v>
      </c>
      <c r="G62" s="65">
        <v>7982299.1500000004</v>
      </c>
      <c r="H62" s="65">
        <v>1</v>
      </c>
      <c r="I62" s="62">
        <v>33.415573433489996</v>
      </c>
      <c r="J62" s="62">
        <v>4.3343611935900004</v>
      </c>
      <c r="K62" s="62">
        <v>5.8244027838931798</v>
      </c>
    </row>
    <row r="63" spans="1:11" x14ac:dyDescent="0.25">
      <c r="A63" s="65" t="s">
        <v>230</v>
      </c>
      <c r="B63" s="65">
        <v>2005</v>
      </c>
      <c r="C63" s="65">
        <v>54053.572999999997</v>
      </c>
      <c r="D63" s="65">
        <v>23758.716</v>
      </c>
      <c r="E63" s="65">
        <v>14594603.397</v>
      </c>
      <c r="F63" s="65">
        <v>176278825.72</v>
      </c>
      <c r="G63" s="65">
        <v>18684007.260000002</v>
      </c>
      <c r="H63" s="65">
        <v>2</v>
      </c>
      <c r="I63" s="62">
        <v>49.036590622005001</v>
      </c>
      <c r="J63" s="62">
        <v>21.55355077446</v>
      </c>
      <c r="K63" s="62">
        <v>13.240005282707445</v>
      </c>
    </row>
    <row r="64" spans="1:11" x14ac:dyDescent="0.25">
      <c r="A64" s="65" t="s">
        <v>230</v>
      </c>
      <c r="B64" s="65">
        <v>2010</v>
      </c>
      <c r="C64" s="65">
        <v>13010.618</v>
      </c>
      <c r="D64" s="65">
        <v>6436.0469999999996</v>
      </c>
      <c r="E64" s="65">
        <v>14638009.674000001</v>
      </c>
      <c r="F64" s="65">
        <v>208790665.854</v>
      </c>
      <c r="G64" s="65">
        <v>20211050.370000001</v>
      </c>
      <c r="H64" s="65">
        <v>2</v>
      </c>
      <c r="I64" s="62">
        <v>11.80303749033</v>
      </c>
      <c r="J64" s="62">
        <v>5.8386852976949992</v>
      </c>
      <c r="K64" s="62">
        <v>13.279382806107691</v>
      </c>
    </row>
    <row r="65" spans="1:11" x14ac:dyDescent="0.25">
      <c r="A65" s="65" t="s">
        <v>229</v>
      </c>
      <c r="B65" s="65">
        <v>2005</v>
      </c>
      <c r="C65" s="65">
        <v>30528.652999999998</v>
      </c>
      <c r="D65" s="65">
        <v>75434.104000000007</v>
      </c>
      <c r="E65" s="65">
        <v>33707383.601999998</v>
      </c>
      <c r="F65" s="65">
        <v>346695139.87</v>
      </c>
      <c r="G65" s="65">
        <v>36934584.07</v>
      </c>
      <c r="H65" s="65">
        <v>8</v>
      </c>
      <c r="I65" s="62">
        <v>27.695136071804999</v>
      </c>
      <c r="J65" s="62">
        <v>68.432687637240008</v>
      </c>
      <c r="K65" s="62">
        <v>30.578832792980371</v>
      </c>
    </row>
    <row r="66" spans="1:11" x14ac:dyDescent="0.25">
      <c r="A66" s="65" t="s">
        <v>229</v>
      </c>
      <c r="B66" s="65">
        <v>2010</v>
      </c>
      <c r="C66" s="65">
        <v>16570.280999999999</v>
      </c>
      <c r="D66" s="65">
        <v>60258.260999999999</v>
      </c>
      <c r="E66" s="65">
        <v>32658814.627999999</v>
      </c>
      <c r="F66" s="65">
        <v>347129128.33399999</v>
      </c>
      <c r="G66" s="65">
        <v>36842314.43</v>
      </c>
      <c r="H66" s="65">
        <v>8</v>
      </c>
      <c r="I66" s="62">
        <v>15.032310368984998</v>
      </c>
      <c r="J66" s="62">
        <v>54.665390505284996</v>
      </c>
      <c r="K66" s="62">
        <v>29.627586748302182</v>
      </c>
    </row>
    <row r="67" spans="1:11" x14ac:dyDescent="0.25">
      <c r="A67" s="65" t="s">
        <v>228</v>
      </c>
      <c r="B67" s="65">
        <v>2005</v>
      </c>
      <c r="C67" s="65">
        <v>53345.534</v>
      </c>
      <c r="D67" s="65">
        <v>43242.091999999997</v>
      </c>
      <c r="E67" s="65">
        <v>27377089.675999999</v>
      </c>
      <c r="F67" s="65">
        <v>316379653.71600002</v>
      </c>
      <c r="G67" s="65">
        <v>30453821.57</v>
      </c>
      <c r="H67" s="65">
        <v>8</v>
      </c>
      <c r="I67" s="62">
        <v>48.394268261790003</v>
      </c>
      <c r="J67" s="62">
        <v>39.228577231019997</v>
      </c>
      <c r="K67" s="62">
        <v>24.836085097722062</v>
      </c>
    </row>
    <row r="68" spans="1:11" x14ac:dyDescent="0.25">
      <c r="A68" s="65" t="s">
        <v>228</v>
      </c>
      <c r="B68" s="65">
        <v>2010</v>
      </c>
      <c r="C68" s="65">
        <v>7888.5330000000004</v>
      </c>
      <c r="D68" s="65">
        <v>10811.644</v>
      </c>
      <c r="E68" s="65">
        <v>17182378.046</v>
      </c>
      <c r="F68" s="65">
        <v>232273056.667</v>
      </c>
      <c r="G68" s="65">
        <v>28136840.190000001</v>
      </c>
      <c r="H68" s="65">
        <v>8</v>
      </c>
      <c r="I68" s="62">
        <v>7.1563588096050008</v>
      </c>
      <c r="J68" s="62">
        <v>9.8081612621400005</v>
      </c>
      <c r="K68" s="62">
        <v>15.587595627660511</v>
      </c>
    </row>
    <row r="69" spans="1:11" x14ac:dyDescent="0.25">
      <c r="A69" s="65" t="s">
        <v>227</v>
      </c>
      <c r="B69" s="65">
        <v>2005</v>
      </c>
      <c r="C69" s="65">
        <v>177349.18900000001</v>
      </c>
      <c r="D69" s="65">
        <v>56868.875</v>
      </c>
      <c r="E69" s="65">
        <v>56018927.693000004</v>
      </c>
      <c r="F69" s="65">
        <v>698650824.08899999</v>
      </c>
      <c r="G69" s="65">
        <v>67467938.629999995</v>
      </c>
      <c r="H69" s="65">
        <v>2</v>
      </c>
      <c r="I69" s="62">
        <v>160.88852402296502</v>
      </c>
      <c r="J69" s="62">
        <v>51.590590366875006</v>
      </c>
      <c r="K69" s="62">
        <v>50.819530919174206</v>
      </c>
    </row>
    <row r="70" spans="1:11" x14ac:dyDescent="0.25">
      <c r="A70" s="65" t="s">
        <v>227</v>
      </c>
      <c r="B70" s="65">
        <v>2010</v>
      </c>
      <c r="C70" s="65">
        <v>46796.712</v>
      </c>
      <c r="D70" s="65">
        <v>23710.932000000001</v>
      </c>
      <c r="E70" s="65">
        <v>40292435.890000001</v>
      </c>
      <c r="F70" s="65">
        <v>568354448.35399997</v>
      </c>
      <c r="G70" s="65">
        <v>61931225.07</v>
      </c>
      <c r="H70" s="65">
        <v>2</v>
      </c>
      <c r="I70" s="62">
        <v>42.453275175720002</v>
      </c>
      <c r="J70" s="62">
        <v>21.510201846419999</v>
      </c>
      <c r="K70" s="62">
        <v>36.552693452869654</v>
      </c>
    </row>
    <row r="71" spans="1:11" x14ac:dyDescent="0.25">
      <c r="A71" s="65" t="s">
        <v>226</v>
      </c>
      <c r="B71" s="65">
        <v>2005</v>
      </c>
      <c r="C71" s="65">
        <v>1085484.5759999999</v>
      </c>
      <c r="D71" s="65">
        <v>254451.69899999999</v>
      </c>
      <c r="E71" s="65">
        <v>137879300.921</v>
      </c>
      <c r="F71" s="65">
        <v>1353812175.072</v>
      </c>
      <c r="G71" s="65">
        <v>142628676.16</v>
      </c>
      <c r="H71" s="65">
        <v>3</v>
      </c>
      <c r="I71" s="62">
        <v>984.73532507855987</v>
      </c>
      <c r="J71" s="62">
        <v>230.834764557315</v>
      </c>
      <c r="K71" s="62">
        <v>125.08203360601739</v>
      </c>
    </row>
    <row r="72" spans="1:11" x14ac:dyDescent="0.25">
      <c r="A72" s="65" t="s">
        <v>226</v>
      </c>
      <c r="B72" s="65">
        <v>2010</v>
      </c>
      <c r="C72" s="65">
        <v>572126.549</v>
      </c>
      <c r="D72" s="65">
        <v>104839.38</v>
      </c>
      <c r="E72" s="65">
        <v>125084089.42900001</v>
      </c>
      <c r="F72" s="65">
        <v>1227827591.0829999</v>
      </c>
      <c r="G72" s="65">
        <v>131546776.34</v>
      </c>
      <c r="H72" s="65">
        <v>3</v>
      </c>
      <c r="I72" s="62">
        <v>519.02462335456494</v>
      </c>
      <c r="J72" s="62">
        <v>95.108712945300013</v>
      </c>
      <c r="K72" s="62">
        <v>113.47440966864737</v>
      </c>
    </row>
    <row r="73" spans="1:11" x14ac:dyDescent="0.25">
      <c r="A73" s="65" t="s">
        <v>225</v>
      </c>
      <c r="B73" s="65">
        <v>2005</v>
      </c>
      <c r="C73" s="65">
        <v>103985.302</v>
      </c>
      <c r="D73" s="65">
        <v>85019.002999999997</v>
      </c>
      <c r="E73" s="65">
        <v>51842002.751999997</v>
      </c>
      <c r="F73" s="65">
        <v>606763913.92299998</v>
      </c>
      <c r="G73" s="65">
        <v>60928034.710000001</v>
      </c>
      <c r="H73" s="65">
        <v>7</v>
      </c>
      <c r="I73" s="62">
        <v>94.333906194869996</v>
      </c>
      <c r="J73" s="62">
        <v>77.127964236555002</v>
      </c>
      <c r="K73" s="62">
        <v>47.030287266573119</v>
      </c>
    </row>
    <row r="74" spans="1:11" x14ac:dyDescent="0.25">
      <c r="A74" s="65" t="s">
        <v>225</v>
      </c>
      <c r="B74" s="65">
        <v>2010</v>
      </c>
      <c r="C74" s="65">
        <v>85134.649000000005</v>
      </c>
      <c r="D74" s="65">
        <v>71439.489000000001</v>
      </c>
      <c r="E74" s="65">
        <v>49871770.579000004</v>
      </c>
      <c r="F74" s="65">
        <v>603295697.16499996</v>
      </c>
      <c r="G74" s="65">
        <v>62403693.700000003</v>
      </c>
      <c r="H74" s="65">
        <v>7</v>
      </c>
      <c r="I74" s="62">
        <v>77.232876553065012</v>
      </c>
      <c r="J74" s="62">
        <v>64.808832828465</v>
      </c>
      <c r="K74" s="62">
        <v>45.242922192710125</v>
      </c>
    </row>
    <row r="75" spans="1:11" x14ac:dyDescent="0.25">
      <c r="A75" s="65" t="s">
        <v>224</v>
      </c>
      <c r="B75" s="65">
        <v>2005</v>
      </c>
      <c r="C75" s="65">
        <v>12043.652</v>
      </c>
      <c r="D75" s="65">
        <v>9018.4699999999993</v>
      </c>
      <c r="E75" s="65">
        <v>9236995.4389999993</v>
      </c>
      <c r="F75" s="65">
        <v>127128527.373</v>
      </c>
      <c r="G75" s="65">
        <v>14660210.310000001</v>
      </c>
      <c r="H75" s="65">
        <v>9</v>
      </c>
      <c r="I75" s="62">
        <v>10.925820439620001</v>
      </c>
      <c r="J75" s="62">
        <v>8.18142070695</v>
      </c>
      <c r="K75" s="62">
        <v>8.3796637073292146</v>
      </c>
    </row>
    <row r="76" spans="1:11" x14ac:dyDescent="0.25">
      <c r="A76" s="65" t="s">
        <v>224</v>
      </c>
      <c r="B76" s="65">
        <v>2010</v>
      </c>
      <c r="C76" s="65">
        <v>15695.913</v>
      </c>
      <c r="D76" s="65">
        <v>9729.9459999999999</v>
      </c>
      <c r="E76" s="65">
        <v>10873650.969000001</v>
      </c>
      <c r="F76" s="65">
        <v>151487049.273</v>
      </c>
      <c r="G76" s="65">
        <v>18435040.210000001</v>
      </c>
      <c r="H76" s="65">
        <v>9</v>
      </c>
      <c r="I76" s="62">
        <v>14.239096834905002</v>
      </c>
      <c r="J76" s="62">
        <v>8.8268610620099999</v>
      </c>
      <c r="K76" s="62">
        <v>9.8644130543122657</v>
      </c>
    </row>
    <row r="77" spans="1:11" x14ac:dyDescent="0.25">
      <c r="A77" s="65" t="s">
        <v>223</v>
      </c>
      <c r="B77" s="65">
        <v>2005</v>
      </c>
      <c r="C77" s="65">
        <v>985508.17599999998</v>
      </c>
      <c r="D77" s="65">
        <v>170989.50099999999</v>
      </c>
      <c r="E77" s="65">
        <v>121858350.97499999</v>
      </c>
      <c r="F77" s="65">
        <v>1228062460.802</v>
      </c>
      <c r="G77" s="65">
        <v>129394763.7</v>
      </c>
      <c r="H77" s="65">
        <v>2</v>
      </c>
      <c r="I77" s="62">
        <v>894.03823464455991</v>
      </c>
      <c r="J77" s="62">
        <v>155.11911046468501</v>
      </c>
      <c r="K77" s="62">
        <v>110.54806812925537</v>
      </c>
    </row>
    <row r="78" spans="1:11" x14ac:dyDescent="0.25">
      <c r="A78" s="65" t="s">
        <v>223</v>
      </c>
      <c r="B78" s="65">
        <v>2010</v>
      </c>
      <c r="C78" s="65">
        <v>393196.43199999997</v>
      </c>
      <c r="D78" s="65">
        <v>125486.21</v>
      </c>
      <c r="E78" s="65">
        <v>123507628.087</v>
      </c>
      <c r="F78" s="65">
        <v>1303297855.3940001</v>
      </c>
      <c r="G78" s="65">
        <v>133118759.84999999</v>
      </c>
      <c r="H78" s="65">
        <v>2</v>
      </c>
      <c r="I78" s="62">
        <v>356.70190516391995</v>
      </c>
      <c r="J78" s="62">
        <v>113.83920741885001</v>
      </c>
      <c r="K78" s="62">
        <v>112.04426758610509</v>
      </c>
    </row>
    <row r="79" spans="1:11" x14ac:dyDescent="0.25">
      <c r="A79" s="65" t="s">
        <v>222</v>
      </c>
      <c r="B79" s="65">
        <v>2005</v>
      </c>
      <c r="C79" s="65">
        <v>13.962999999999999</v>
      </c>
      <c r="D79" s="65">
        <v>372.68</v>
      </c>
      <c r="E79" s="65">
        <v>2472078.2400000002</v>
      </c>
      <c r="F79" s="65">
        <v>41611997.398000002</v>
      </c>
      <c r="G79" s="65">
        <v>4887230.09</v>
      </c>
      <c r="H79" s="65">
        <v>1</v>
      </c>
      <c r="I79" s="62">
        <v>1.2667024155E-2</v>
      </c>
      <c r="J79" s="62">
        <v>0.33808970580000003</v>
      </c>
      <c r="K79" s="62">
        <v>2.2426322981544002</v>
      </c>
    </row>
    <row r="80" spans="1:11" x14ac:dyDescent="0.25">
      <c r="A80" s="65" t="s">
        <v>222</v>
      </c>
      <c r="B80" s="65">
        <v>2010</v>
      </c>
      <c r="C80" s="65">
        <v>17.806999999999999</v>
      </c>
      <c r="D80" s="65">
        <v>577.91899999999998</v>
      </c>
      <c r="E80" s="65">
        <v>3504391.679</v>
      </c>
      <c r="F80" s="65">
        <v>59005932.207000002</v>
      </c>
      <c r="G80" s="65">
        <v>6585351.5</v>
      </c>
      <c r="H80" s="65">
        <v>1</v>
      </c>
      <c r="I80" s="62">
        <v>1.6154243294999999E-2</v>
      </c>
      <c r="J80" s="62">
        <v>0.52427944801499993</v>
      </c>
      <c r="K80" s="62">
        <v>3.179131565313615</v>
      </c>
    </row>
    <row r="81" spans="1:11" x14ac:dyDescent="0.25">
      <c r="A81" s="65" t="s">
        <v>221</v>
      </c>
      <c r="B81" s="65">
        <v>2005</v>
      </c>
      <c r="C81" s="65">
        <v>217385.73499999999</v>
      </c>
      <c r="D81" s="65">
        <v>51234.542999999998</v>
      </c>
      <c r="E81" s="65">
        <v>44739634.435999997</v>
      </c>
      <c r="F81" s="65">
        <v>455663923.27200001</v>
      </c>
      <c r="G81" s="65">
        <v>46319318.369999997</v>
      </c>
      <c r="H81" s="65">
        <v>5</v>
      </c>
      <c r="I81" s="62">
        <v>197.20907800597499</v>
      </c>
      <c r="J81" s="62">
        <v>46.479208891454995</v>
      </c>
      <c r="K81" s="62">
        <v>40.587125265822657</v>
      </c>
    </row>
    <row r="82" spans="1:11" x14ac:dyDescent="0.25">
      <c r="A82" s="65" t="s">
        <v>221</v>
      </c>
      <c r="B82" s="65">
        <v>2010</v>
      </c>
      <c r="C82" s="65">
        <v>94613.481</v>
      </c>
      <c r="D82" s="65">
        <v>26794.024000000001</v>
      </c>
      <c r="E82" s="65">
        <v>44782131.608999997</v>
      </c>
      <c r="F82" s="65">
        <v>472658956.39300001</v>
      </c>
      <c r="G82" s="65">
        <v>48213086.229999997</v>
      </c>
      <c r="H82" s="65">
        <v>5</v>
      </c>
      <c r="I82" s="62">
        <v>85.831930760984989</v>
      </c>
      <c r="J82" s="62">
        <v>24.307136662440001</v>
      </c>
      <c r="K82" s="62">
        <v>40.625678063710666</v>
      </c>
    </row>
    <row r="83" spans="1:11" x14ac:dyDescent="0.25">
      <c r="A83" s="65" t="s">
        <v>220</v>
      </c>
      <c r="B83" s="65">
        <v>2005</v>
      </c>
      <c r="C83" s="65">
        <v>10647.168</v>
      </c>
      <c r="D83" s="65">
        <v>13921.245999999999</v>
      </c>
      <c r="E83" s="65">
        <v>3602076.7579999999</v>
      </c>
      <c r="F83" s="65">
        <v>36528975.730999999</v>
      </c>
      <c r="G83" s="65">
        <v>3272424.15</v>
      </c>
      <c r="H83" s="65">
        <v>4</v>
      </c>
      <c r="I83" s="62">
        <v>9.6589511020799996</v>
      </c>
      <c r="J83" s="62">
        <v>12.62914555251</v>
      </c>
      <c r="K83" s="62">
        <v>3.2677500037062299</v>
      </c>
    </row>
    <row r="84" spans="1:11" x14ac:dyDescent="0.25">
      <c r="A84" s="65" t="s">
        <v>220</v>
      </c>
      <c r="B84" s="65">
        <v>2010</v>
      </c>
      <c r="C84" s="65">
        <v>12589.052</v>
      </c>
      <c r="D84" s="65">
        <v>12433.183000000001</v>
      </c>
      <c r="E84" s="65">
        <v>3765613.55</v>
      </c>
      <c r="F84" s="65">
        <v>36556060.045999996</v>
      </c>
      <c r="G84" s="65">
        <v>3459342.93</v>
      </c>
      <c r="H84" s="65">
        <v>4</v>
      </c>
      <c r="I84" s="62">
        <v>11.420599138619998</v>
      </c>
      <c r="J84" s="62">
        <v>11.279197119855002</v>
      </c>
      <c r="K84" s="62">
        <v>3.41610812835675</v>
      </c>
    </row>
    <row r="85" spans="1:11" x14ac:dyDescent="0.25">
      <c r="A85" s="65" t="s">
        <v>219</v>
      </c>
      <c r="B85" s="65">
        <v>2005</v>
      </c>
      <c r="C85" s="65">
        <v>266080.87699999998</v>
      </c>
      <c r="D85" s="65">
        <v>101441.62300000001</v>
      </c>
      <c r="E85" s="65">
        <v>60533660.714000002</v>
      </c>
      <c r="F85" s="65">
        <v>592566908.01400006</v>
      </c>
      <c r="G85" s="65">
        <v>62722331.109999999</v>
      </c>
      <c r="H85" s="65">
        <v>6</v>
      </c>
      <c r="I85" s="62">
        <v>241.38458040124499</v>
      </c>
      <c r="J85" s="62">
        <v>92.026318761255013</v>
      </c>
      <c r="K85" s="62">
        <v>54.915228994830088</v>
      </c>
    </row>
    <row r="86" spans="1:11" x14ac:dyDescent="0.25">
      <c r="A86" s="65" t="s">
        <v>219</v>
      </c>
      <c r="B86" s="65">
        <v>2010</v>
      </c>
      <c r="C86" s="65">
        <v>119023.323</v>
      </c>
      <c r="D86" s="65">
        <v>31073.847000000002</v>
      </c>
      <c r="E86" s="65">
        <v>46553657.300999999</v>
      </c>
      <c r="F86" s="65">
        <v>456657126.57099998</v>
      </c>
      <c r="G86" s="65">
        <v>48109170.68</v>
      </c>
      <c r="H86" s="65">
        <v>6</v>
      </c>
      <c r="I86" s="62">
        <v>107.976173275755</v>
      </c>
      <c r="J86" s="62">
        <v>28.189727890695</v>
      </c>
      <c r="K86" s="62">
        <v>42.232779598607685</v>
      </c>
    </row>
    <row r="87" spans="1:11" x14ac:dyDescent="0.25">
      <c r="A87" s="65" t="s">
        <v>218</v>
      </c>
      <c r="B87" s="65">
        <v>2005</v>
      </c>
      <c r="C87" s="65">
        <v>535040.75</v>
      </c>
      <c r="D87" s="65">
        <v>177263.83900000001</v>
      </c>
      <c r="E87" s="65">
        <v>255317781.169</v>
      </c>
      <c r="F87" s="65">
        <v>3066768152.237</v>
      </c>
      <c r="G87" s="65">
        <v>307792073.67000002</v>
      </c>
      <c r="H87" s="65">
        <v>7</v>
      </c>
      <c r="I87" s="62">
        <v>485.38094278875002</v>
      </c>
      <c r="J87" s="62">
        <v>160.81109578321502</v>
      </c>
      <c r="K87" s="62">
        <v>231.62046130979928</v>
      </c>
    </row>
    <row r="88" spans="1:11" x14ac:dyDescent="0.25">
      <c r="A88" s="65" t="s">
        <v>218</v>
      </c>
      <c r="B88" s="65">
        <v>2010</v>
      </c>
      <c r="C88" s="65">
        <v>461870.783</v>
      </c>
      <c r="D88" s="65">
        <v>144741.71</v>
      </c>
      <c r="E88" s="65">
        <v>257126306.23500001</v>
      </c>
      <c r="F88" s="65">
        <v>3038191401.427</v>
      </c>
      <c r="G88" s="65">
        <v>322813198.33999997</v>
      </c>
      <c r="H88" s="65">
        <v>7</v>
      </c>
      <c r="I88" s="62">
        <v>419.00224627585504</v>
      </c>
      <c r="J88" s="62">
        <v>131.30750818634999</v>
      </c>
      <c r="K88" s="62">
        <v>233.26112812179849</v>
      </c>
    </row>
    <row r="89" spans="1:11" x14ac:dyDescent="0.25">
      <c r="A89" s="65" t="s">
        <v>217</v>
      </c>
      <c r="B89" s="65">
        <v>2005</v>
      </c>
      <c r="C89" s="65">
        <v>33876.949000000001</v>
      </c>
      <c r="D89" s="65">
        <v>64483.023000000001</v>
      </c>
      <c r="E89" s="65">
        <v>38552367.887999997</v>
      </c>
      <c r="F89" s="65">
        <v>380070706.49000001</v>
      </c>
      <c r="G89" s="65">
        <v>38133603.93</v>
      </c>
      <c r="H89" s="65">
        <v>8</v>
      </c>
      <c r="I89" s="62">
        <v>30.732659978565003</v>
      </c>
      <c r="J89" s="62">
        <v>58.498031220255001</v>
      </c>
      <c r="K89" s="62">
        <v>34.97412986247528</v>
      </c>
    </row>
    <row r="90" spans="1:11" x14ac:dyDescent="0.25">
      <c r="A90" s="65" t="s">
        <v>217</v>
      </c>
      <c r="B90" s="65">
        <v>2010</v>
      </c>
      <c r="C90" s="65">
        <v>21598.097000000002</v>
      </c>
      <c r="D90" s="65">
        <v>61415.216999999997</v>
      </c>
      <c r="E90" s="65">
        <v>36985780.093999997</v>
      </c>
      <c r="F90" s="65">
        <v>378840145.63</v>
      </c>
      <c r="G90" s="65">
        <v>41469692.380000003</v>
      </c>
      <c r="H90" s="65">
        <v>8</v>
      </c>
      <c r="I90" s="62">
        <v>19.593469626945001</v>
      </c>
      <c r="J90" s="62">
        <v>55.714963634145001</v>
      </c>
      <c r="K90" s="62">
        <v>33.552944914575392</v>
      </c>
    </row>
    <row r="91" spans="1:11" x14ac:dyDescent="0.25">
      <c r="A91" s="65" t="s">
        <v>216</v>
      </c>
      <c r="B91" s="65">
        <v>2005</v>
      </c>
      <c r="C91" s="65">
        <v>207748.03599999999</v>
      </c>
      <c r="D91" s="65">
        <v>57863.03</v>
      </c>
      <c r="E91" s="65">
        <v>38423850.155000001</v>
      </c>
      <c r="F91" s="65">
        <v>400903337.07499999</v>
      </c>
      <c r="G91" s="65">
        <v>39942998.859999999</v>
      </c>
      <c r="H91" s="65">
        <v>5</v>
      </c>
      <c r="I91" s="62">
        <v>188.46590203865998</v>
      </c>
      <c r="J91" s="62">
        <v>52.492472870550003</v>
      </c>
      <c r="K91" s="62">
        <v>34.857540502863678</v>
      </c>
    </row>
    <row r="92" spans="1:11" x14ac:dyDescent="0.25">
      <c r="A92" s="65" t="s">
        <v>216</v>
      </c>
      <c r="B92" s="65">
        <v>2010</v>
      </c>
      <c r="C92" s="65">
        <v>91774.566999999995</v>
      </c>
      <c r="D92" s="65">
        <v>33084.843999999997</v>
      </c>
      <c r="E92" s="65">
        <v>32598616.386</v>
      </c>
      <c r="F92" s="65">
        <v>365853727.77499998</v>
      </c>
      <c r="G92" s="65">
        <v>36393712.939999998</v>
      </c>
      <c r="H92" s="65">
        <v>5</v>
      </c>
      <c r="I92" s="62">
        <v>83.256510563894992</v>
      </c>
      <c r="J92" s="62">
        <v>30.014074204139998</v>
      </c>
      <c r="K92" s="62">
        <v>29.572975806133414</v>
      </c>
    </row>
    <row r="93" spans="1:11" x14ac:dyDescent="0.25">
      <c r="A93" s="65" t="s">
        <v>215</v>
      </c>
      <c r="B93" s="65">
        <v>2005</v>
      </c>
      <c r="C93" s="65">
        <v>9.6379999999999999</v>
      </c>
      <c r="D93" s="65">
        <v>296.95100000000002</v>
      </c>
      <c r="E93" s="65">
        <v>372739.27500000002</v>
      </c>
      <c r="F93" s="65">
        <v>3569807.875</v>
      </c>
      <c r="G93" s="65">
        <v>264021</v>
      </c>
      <c r="H93" s="65">
        <v>1</v>
      </c>
      <c r="I93" s="62">
        <v>8.7434490300000011E-3</v>
      </c>
      <c r="J93" s="62">
        <v>0.26938949293500003</v>
      </c>
      <c r="K93" s="62">
        <v>0.33814347919087506</v>
      </c>
    </row>
    <row r="94" spans="1:11" x14ac:dyDescent="0.25">
      <c r="A94" s="65" t="s">
        <v>215</v>
      </c>
      <c r="B94" s="65">
        <v>2010</v>
      </c>
      <c r="C94" s="65">
        <v>1.6950000000000001</v>
      </c>
      <c r="D94" s="65">
        <v>142.87700000000001</v>
      </c>
      <c r="E94" s="65">
        <v>444646.7</v>
      </c>
      <c r="F94" s="65">
        <v>4255131.4249999998</v>
      </c>
      <c r="G94" s="65">
        <v>308768.25</v>
      </c>
      <c r="H94" s="65">
        <v>1</v>
      </c>
      <c r="I94" s="62">
        <v>1.5376785750000001E-3</v>
      </c>
      <c r="J94" s="62">
        <v>0.12961587124500001</v>
      </c>
      <c r="K94" s="62">
        <v>0.40337681653950003</v>
      </c>
    </row>
    <row r="95" spans="1:11" x14ac:dyDescent="0.25">
      <c r="A95" s="65" t="s">
        <v>214</v>
      </c>
      <c r="B95" s="65">
        <v>2005</v>
      </c>
      <c r="C95" s="65">
        <v>3381.9250000000002</v>
      </c>
      <c r="D95" s="65">
        <v>17390.204000000002</v>
      </c>
      <c r="E95" s="65">
        <v>15025622.261</v>
      </c>
      <c r="F95" s="65">
        <v>164191375.36500001</v>
      </c>
      <c r="G95" s="65">
        <v>15856126.390000001</v>
      </c>
      <c r="H95" s="65">
        <v>9</v>
      </c>
      <c r="I95" s="62">
        <v>3.0680316311250002</v>
      </c>
      <c r="J95" s="62">
        <v>15.776132215740001</v>
      </c>
      <c r="K95" s="62">
        <v>13.631019130845285</v>
      </c>
    </row>
    <row r="96" spans="1:11" x14ac:dyDescent="0.25">
      <c r="A96" s="65" t="s">
        <v>214</v>
      </c>
      <c r="B96" s="65">
        <v>2010</v>
      </c>
      <c r="C96" s="65">
        <v>2661.1680000000001</v>
      </c>
      <c r="D96" s="65">
        <v>11979.603999999999</v>
      </c>
      <c r="E96" s="65">
        <v>14560988.74</v>
      </c>
      <c r="F96" s="65">
        <v>169640296.30500001</v>
      </c>
      <c r="G96" s="65">
        <v>18054872.16</v>
      </c>
      <c r="H96" s="65">
        <v>9</v>
      </c>
      <c r="I96" s="62">
        <v>2.41417169208</v>
      </c>
      <c r="J96" s="62">
        <v>10.86771705474</v>
      </c>
      <c r="K96" s="62">
        <v>13.209510570096901</v>
      </c>
    </row>
    <row r="97" spans="1:11" x14ac:dyDescent="0.25">
      <c r="A97" s="65" t="s">
        <v>213</v>
      </c>
      <c r="B97" s="65">
        <v>2005</v>
      </c>
      <c r="C97" s="65">
        <v>176183.723</v>
      </c>
      <c r="D97" s="65">
        <v>68143.759999999995</v>
      </c>
      <c r="E97" s="65">
        <v>52315397.034999996</v>
      </c>
      <c r="F97" s="65">
        <v>534091834.22500002</v>
      </c>
      <c r="G97" s="65">
        <v>66308703.009999998</v>
      </c>
      <c r="H97" s="65">
        <v>3</v>
      </c>
      <c r="I97" s="62">
        <v>159.83123074975498</v>
      </c>
      <c r="J97" s="62">
        <v>61.818996915600003</v>
      </c>
      <c r="K97" s="62">
        <v>47.459743459196474</v>
      </c>
    </row>
    <row r="98" spans="1:11" x14ac:dyDescent="0.25">
      <c r="A98" s="65" t="s">
        <v>213</v>
      </c>
      <c r="B98" s="65">
        <v>2010</v>
      </c>
      <c r="C98" s="65">
        <v>109472.178</v>
      </c>
      <c r="D98" s="65">
        <v>33289.082000000002</v>
      </c>
      <c r="E98" s="65">
        <v>50189072.441</v>
      </c>
      <c r="F98" s="65">
        <v>496977664.31599998</v>
      </c>
      <c r="G98" s="65">
        <v>48507005.259999998</v>
      </c>
      <c r="H98" s="65">
        <v>3</v>
      </c>
      <c r="I98" s="62">
        <v>99.311517798929998</v>
      </c>
      <c r="J98" s="62">
        <v>30.199355854170001</v>
      </c>
      <c r="K98" s="62">
        <v>45.530773682388585</v>
      </c>
    </row>
    <row r="99" spans="1:11" x14ac:dyDescent="0.25">
      <c r="A99" s="65" t="s">
        <v>212</v>
      </c>
      <c r="B99" s="65">
        <v>2005</v>
      </c>
      <c r="C99" s="65">
        <v>467081.85700000002</v>
      </c>
      <c r="D99" s="65">
        <v>159481.264</v>
      </c>
      <c r="E99" s="65">
        <v>88488914.031000003</v>
      </c>
      <c r="F99" s="65">
        <v>863343160.18200004</v>
      </c>
      <c r="G99" s="65">
        <v>95054508.659999996</v>
      </c>
      <c r="H99" s="65">
        <v>5</v>
      </c>
      <c r="I99" s="62">
        <v>423.72965444254504</v>
      </c>
      <c r="J99" s="62">
        <v>144.67901048183998</v>
      </c>
      <c r="K99" s="62">
        <v>80.275815475212738</v>
      </c>
    </row>
    <row r="100" spans="1:11" x14ac:dyDescent="0.25">
      <c r="A100" s="65" t="s">
        <v>212</v>
      </c>
      <c r="B100" s="65">
        <v>2010</v>
      </c>
      <c r="C100" s="65">
        <v>106087.766</v>
      </c>
      <c r="D100" s="65">
        <v>51392.756000000001</v>
      </c>
      <c r="E100" s="65">
        <v>78338975.716000006</v>
      </c>
      <c r="F100" s="65">
        <v>755443914.36300004</v>
      </c>
      <c r="G100" s="65">
        <v>83280300.069999993</v>
      </c>
      <c r="H100" s="65">
        <v>5</v>
      </c>
      <c r="I100" s="62">
        <v>96.241229998709997</v>
      </c>
      <c r="J100" s="62">
        <v>46.622737351859996</v>
      </c>
      <c r="K100" s="62">
        <v>71.06794368491947</v>
      </c>
    </row>
    <row r="101" spans="1:11" x14ac:dyDescent="0.25">
      <c r="A101" s="65" t="s">
        <v>211</v>
      </c>
      <c r="B101" s="65">
        <v>2005</v>
      </c>
      <c r="C101" s="65">
        <v>86497.426999999996</v>
      </c>
      <c r="D101" s="65">
        <v>87731.520999999993</v>
      </c>
      <c r="E101" s="65">
        <v>50055028.555</v>
      </c>
      <c r="F101" s="65">
        <v>488120743.04299998</v>
      </c>
      <c r="G101" s="65">
        <v>45914436.039999999</v>
      </c>
      <c r="H101" s="65">
        <v>8</v>
      </c>
      <c r="I101" s="62">
        <v>78.469168312995009</v>
      </c>
      <c r="J101" s="62">
        <v>79.588719878384993</v>
      </c>
      <c r="K101" s="62">
        <v>45.409171079667679</v>
      </c>
    </row>
    <row r="102" spans="1:11" x14ac:dyDescent="0.25">
      <c r="A102" s="65" t="s">
        <v>211</v>
      </c>
      <c r="B102" s="65">
        <v>2010</v>
      </c>
      <c r="C102" s="65">
        <v>64848.777999999998</v>
      </c>
      <c r="D102" s="65">
        <v>60902.065999999999</v>
      </c>
      <c r="E102" s="65">
        <v>49382464.659999996</v>
      </c>
      <c r="F102" s="65">
        <v>471014064.79699999</v>
      </c>
      <c r="G102" s="65">
        <v>45813962.579999998</v>
      </c>
      <c r="H102" s="65">
        <v>8</v>
      </c>
      <c r="I102" s="62">
        <v>58.829838669929998</v>
      </c>
      <c r="J102" s="62">
        <v>55.249440744209998</v>
      </c>
      <c r="K102" s="62">
        <v>44.7990312025821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zoomScale="80" zoomScaleNormal="80" workbookViewId="0">
      <selection activeCell="L15" sqref="L15"/>
    </sheetView>
  </sheetViews>
  <sheetFormatPr defaultRowHeight="13.2" x14ac:dyDescent="0.25"/>
  <cols>
    <col min="2" max="2" width="9.6640625" bestFit="1" customWidth="1"/>
    <col min="3" max="3" width="17.88671875" bestFit="1" customWidth="1"/>
    <col min="4" max="4" width="10.44140625" bestFit="1" customWidth="1"/>
    <col min="5" max="5" width="16.109375" bestFit="1" customWidth="1"/>
    <col min="6" max="6" width="10.44140625" bestFit="1" customWidth="1"/>
    <col min="7" max="7" width="16.109375" bestFit="1" customWidth="1"/>
    <col min="8" max="8" width="6.44140625" bestFit="1" customWidth="1"/>
    <col min="9" max="9" width="14.88671875" bestFit="1" customWidth="1"/>
    <col min="10" max="10" width="25.109375" bestFit="1" customWidth="1"/>
    <col min="11" max="11" width="16.5546875" bestFit="1" customWidth="1"/>
  </cols>
  <sheetData>
    <row r="1" spans="2:12" x14ac:dyDescent="0.25">
      <c r="E1" t="s">
        <v>159</v>
      </c>
    </row>
    <row r="2" spans="2:12" x14ac:dyDescent="0.25">
      <c r="E2" t="s">
        <v>160</v>
      </c>
    </row>
    <row r="3" spans="2:12" x14ac:dyDescent="0.25">
      <c r="E3" s="57" t="s">
        <v>161</v>
      </c>
    </row>
    <row r="4" spans="2:12" x14ac:dyDescent="0.25">
      <c r="L4" t="s">
        <v>162</v>
      </c>
    </row>
    <row r="5" spans="2:12" ht="14.4" x14ac:dyDescent="0.3">
      <c r="B5" s="58" t="s">
        <v>163</v>
      </c>
      <c r="C5" s="58" t="s">
        <v>164</v>
      </c>
      <c r="D5" s="58" t="s">
        <v>165</v>
      </c>
      <c r="E5" s="58" t="s">
        <v>166</v>
      </c>
      <c r="F5" s="58" t="s">
        <v>167</v>
      </c>
      <c r="G5" s="58" t="s">
        <v>168</v>
      </c>
      <c r="H5" s="58" t="s">
        <v>169</v>
      </c>
      <c r="I5" s="58" t="s">
        <v>170</v>
      </c>
      <c r="J5" s="58" t="s">
        <v>171</v>
      </c>
      <c r="K5" s="58" t="s">
        <v>172</v>
      </c>
    </row>
    <row r="6" spans="2:12" ht="28.8" x14ac:dyDescent="0.3">
      <c r="B6" s="59" t="s">
        <v>173</v>
      </c>
      <c r="C6" s="59" t="s">
        <v>174</v>
      </c>
      <c r="D6" s="59" t="s">
        <v>175</v>
      </c>
      <c r="E6" s="59" t="s">
        <v>176</v>
      </c>
      <c r="F6" s="59" t="s">
        <v>177</v>
      </c>
      <c r="G6" s="59" t="s">
        <v>178</v>
      </c>
      <c r="H6" s="59" t="s">
        <v>179</v>
      </c>
      <c r="I6" s="59" t="s">
        <v>180</v>
      </c>
      <c r="J6" s="59" t="s">
        <v>181</v>
      </c>
      <c r="K6" s="60">
        <v>6217.2621331583632</v>
      </c>
    </row>
    <row r="7" spans="2:12" ht="28.8" x14ac:dyDescent="0.3">
      <c r="B7" s="59" t="s">
        <v>173</v>
      </c>
      <c r="C7" s="59" t="s">
        <v>174</v>
      </c>
      <c r="D7" s="59" t="s">
        <v>175</v>
      </c>
      <c r="E7" s="59" t="s">
        <v>176</v>
      </c>
      <c r="F7" s="59" t="s">
        <v>182</v>
      </c>
      <c r="G7" s="59" t="s">
        <v>183</v>
      </c>
      <c r="H7" s="59" t="s">
        <v>184</v>
      </c>
      <c r="I7" s="59" t="s">
        <v>180</v>
      </c>
      <c r="J7" s="59" t="s">
        <v>181</v>
      </c>
      <c r="K7" s="60">
        <v>0.38240400000000002</v>
      </c>
    </row>
    <row r="8" spans="2:12" ht="28.8" x14ac:dyDescent="0.3">
      <c r="B8" s="59" t="s">
        <v>173</v>
      </c>
      <c r="C8" s="59" t="s">
        <v>174</v>
      </c>
      <c r="D8" s="59" t="s">
        <v>175</v>
      </c>
      <c r="E8" s="59" t="s">
        <v>176</v>
      </c>
      <c r="F8" s="59" t="s">
        <v>185</v>
      </c>
      <c r="G8" s="59" t="s">
        <v>186</v>
      </c>
      <c r="H8" s="59" t="s">
        <v>187</v>
      </c>
      <c r="I8" s="59" t="s">
        <v>180</v>
      </c>
      <c r="J8" s="59" t="s">
        <v>181</v>
      </c>
      <c r="K8" s="60">
        <v>15.306920099999999</v>
      </c>
    </row>
    <row r="9" spans="2:12" ht="28.8" x14ac:dyDescent="0.3">
      <c r="B9" s="59" t="s">
        <v>173</v>
      </c>
      <c r="C9" s="59" t="s">
        <v>174</v>
      </c>
      <c r="D9" s="59" t="s">
        <v>175</v>
      </c>
      <c r="E9" s="59" t="s">
        <v>176</v>
      </c>
      <c r="F9" s="59" t="s">
        <v>175</v>
      </c>
      <c r="G9" s="59" t="s">
        <v>188</v>
      </c>
      <c r="H9" s="59" t="s">
        <v>189</v>
      </c>
      <c r="I9" s="59" t="s">
        <v>180</v>
      </c>
      <c r="J9" s="59" t="s">
        <v>181</v>
      </c>
      <c r="K9" s="60">
        <v>422.723097</v>
      </c>
    </row>
    <row r="10" spans="2:12" x14ac:dyDescent="0.25">
      <c r="K10" s="61">
        <f>SUM(K6:K9)</f>
        <v>6655.6745542583631</v>
      </c>
      <c r="L10">
        <f>1/1.10231131*K10</f>
        <v>6037.9263950928371</v>
      </c>
    </row>
    <row r="11" spans="2:12" ht="28.8" x14ac:dyDescent="0.3">
      <c r="B11" s="59" t="s">
        <v>173</v>
      </c>
      <c r="C11" s="59" t="s">
        <v>174</v>
      </c>
      <c r="D11" s="59" t="s">
        <v>175</v>
      </c>
      <c r="E11" s="59" t="s">
        <v>176</v>
      </c>
      <c r="F11" s="59" t="s">
        <v>177</v>
      </c>
      <c r="G11" s="59" t="s">
        <v>178</v>
      </c>
      <c r="H11" s="59" t="s">
        <v>179</v>
      </c>
      <c r="I11" s="59" t="s">
        <v>43</v>
      </c>
      <c r="J11" s="59" t="s">
        <v>190</v>
      </c>
      <c r="K11" s="60">
        <v>1427.8198244466898</v>
      </c>
    </row>
    <row r="12" spans="2:12" ht="28.8" x14ac:dyDescent="0.3">
      <c r="B12" s="59" t="s">
        <v>173</v>
      </c>
      <c r="C12" s="59" t="s">
        <v>174</v>
      </c>
      <c r="D12" s="59" t="s">
        <v>175</v>
      </c>
      <c r="E12" s="59" t="s">
        <v>176</v>
      </c>
      <c r="F12" s="59" t="s">
        <v>182</v>
      </c>
      <c r="G12" s="59" t="s">
        <v>183</v>
      </c>
      <c r="H12" s="59" t="s">
        <v>184</v>
      </c>
      <c r="I12" s="59" t="s">
        <v>43</v>
      </c>
      <c r="J12" s="59" t="s">
        <v>190</v>
      </c>
      <c r="K12" s="60">
        <v>1.5592837500000001</v>
      </c>
    </row>
    <row r="13" spans="2:12" ht="28.8" x14ac:dyDescent="0.3">
      <c r="B13" s="59" t="s">
        <v>173</v>
      </c>
      <c r="C13" s="59" t="s">
        <v>174</v>
      </c>
      <c r="D13" s="59" t="s">
        <v>175</v>
      </c>
      <c r="E13" s="59" t="s">
        <v>176</v>
      </c>
      <c r="F13" s="59" t="s">
        <v>185</v>
      </c>
      <c r="G13" s="59" t="s">
        <v>186</v>
      </c>
      <c r="H13" s="59" t="s">
        <v>187</v>
      </c>
      <c r="I13" s="59" t="s">
        <v>43</v>
      </c>
      <c r="J13" s="59" t="s">
        <v>190</v>
      </c>
      <c r="K13" s="60">
        <v>7.2595991299999998</v>
      </c>
    </row>
    <row r="14" spans="2:12" ht="28.8" x14ac:dyDescent="0.3">
      <c r="B14" s="59" t="s">
        <v>173</v>
      </c>
      <c r="C14" s="59" t="s">
        <v>174</v>
      </c>
      <c r="D14" s="59" t="s">
        <v>175</v>
      </c>
      <c r="E14" s="59" t="s">
        <v>176</v>
      </c>
      <c r="F14" s="59" t="s">
        <v>175</v>
      </c>
      <c r="G14" s="59" t="s">
        <v>188</v>
      </c>
      <c r="H14" s="59" t="s">
        <v>189</v>
      </c>
      <c r="I14" s="59" t="s">
        <v>43</v>
      </c>
      <c r="J14" s="59" t="s">
        <v>190</v>
      </c>
      <c r="K14" s="60">
        <v>639.76102200000003</v>
      </c>
    </row>
    <row r="15" spans="2:12" x14ac:dyDescent="0.25">
      <c r="K15" s="61">
        <f>SUM(K11:K14)</f>
        <v>2076.3997293266898</v>
      </c>
      <c r="L15">
        <f>1/1.10231131*K15</f>
        <v>1883.6781501649382</v>
      </c>
    </row>
    <row r="16" spans="2:12" ht="14.4" x14ac:dyDescent="0.3">
      <c r="B16" s="58" t="s">
        <v>163</v>
      </c>
      <c r="C16" s="58" t="s">
        <v>164</v>
      </c>
      <c r="D16" s="58" t="s">
        <v>165</v>
      </c>
      <c r="E16" s="58" t="s">
        <v>166</v>
      </c>
      <c r="F16" s="58" t="s">
        <v>167</v>
      </c>
      <c r="G16" s="58" t="s">
        <v>168</v>
      </c>
      <c r="H16" s="58" t="s">
        <v>169</v>
      </c>
      <c r="I16" s="58" t="s">
        <v>170</v>
      </c>
      <c r="J16" s="58" t="s">
        <v>171</v>
      </c>
      <c r="K16" s="58" t="s">
        <v>172</v>
      </c>
    </row>
    <row r="17" spans="2:12" ht="28.8" x14ac:dyDescent="0.3">
      <c r="B17" s="59" t="s">
        <v>185</v>
      </c>
      <c r="C17" s="59" t="s">
        <v>0</v>
      </c>
      <c r="D17" s="59" t="s">
        <v>175</v>
      </c>
      <c r="E17" s="59" t="s">
        <v>176</v>
      </c>
      <c r="F17" s="59" t="s">
        <v>177</v>
      </c>
      <c r="G17" s="59" t="s">
        <v>178</v>
      </c>
      <c r="H17" s="59" t="s">
        <v>179</v>
      </c>
      <c r="I17" s="59" t="s">
        <v>180</v>
      </c>
      <c r="J17" s="59" t="s">
        <v>181</v>
      </c>
      <c r="K17" s="60">
        <v>25646.499988937401</v>
      </c>
    </row>
    <row r="18" spans="2:12" ht="28.8" x14ac:dyDescent="0.3">
      <c r="B18" s="59" t="s">
        <v>185</v>
      </c>
      <c r="C18" s="59" t="s">
        <v>0</v>
      </c>
      <c r="D18" s="59" t="s">
        <v>175</v>
      </c>
      <c r="E18" s="59" t="s">
        <v>176</v>
      </c>
      <c r="F18" s="59" t="s">
        <v>191</v>
      </c>
      <c r="G18" s="59" t="s">
        <v>192</v>
      </c>
      <c r="H18" s="59" t="s">
        <v>193</v>
      </c>
      <c r="I18" s="59" t="s">
        <v>180</v>
      </c>
      <c r="J18" s="59" t="s">
        <v>181</v>
      </c>
      <c r="K18" s="60">
        <v>135.13</v>
      </c>
    </row>
    <row r="19" spans="2:12" ht="28.8" x14ac:dyDescent="0.3">
      <c r="B19" s="59" t="s">
        <v>185</v>
      </c>
      <c r="C19" s="59" t="s">
        <v>0</v>
      </c>
      <c r="D19" s="59" t="s">
        <v>175</v>
      </c>
      <c r="E19" s="59" t="s">
        <v>176</v>
      </c>
      <c r="F19" s="59" t="s">
        <v>185</v>
      </c>
      <c r="G19" s="59" t="s">
        <v>186</v>
      </c>
      <c r="H19" s="59" t="s">
        <v>187</v>
      </c>
      <c r="I19" s="59" t="s">
        <v>180</v>
      </c>
      <c r="J19" s="59" t="s">
        <v>181</v>
      </c>
      <c r="K19" s="60">
        <v>815.03</v>
      </c>
    </row>
    <row r="20" spans="2:12" ht="28.8" x14ac:dyDescent="0.3">
      <c r="B20" s="59" t="s">
        <v>185</v>
      </c>
      <c r="C20" s="59" t="s">
        <v>0</v>
      </c>
      <c r="D20" s="59" t="s">
        <v>175</v>
      </c>
      <c r="E20" s="59" t="s">
        <v>176</v>
      </c>
      <c r="F20" s="59" t="s">
        <v>175</v>
      </c>
      <c r="G20" s="59" t="s">
        <v>188</v>
      </c>
      <c r="H20" s="59" t="s">
        <v>189</v>
      </c>
      <c r="I20" s="59" t="s">
        <v>180</v>
      </c>
      <c r="J20" s="59" t="s">
        <v>181</v>
      </c>
      <c r="K20" s="60">
        <v>2437.61</v>
      </c>
    </row>
    <row r="21" spans="2:12" ht="14.4" x14ac:dyDescent="0.3">
      <c r="B21" s="59"/>
      <c r="C21" s="59"/>
      <c r="D21" s="59"/>
      <c r="E21" s="59"/>
      <c r="F21" s="59"/>
      <c r="G21" s="59"/>
      <c r="H21" s="59"/>
      <c r="I21" s="59"/>
      <c r="J21" s="59"/>
      <c r="K21" s="61">
        <f>SUM(K17:K20)</f>
        <v>29034.269988937402</v>
      </c>
      <c r="L21">
        <f>1/1.10231131*K21</f>
        <v>26339.446693091992</v>
      </c>
    </row>
    <row r="22" spans="2:12" ht="28.8" x14ac:dyDescent="0.3">
      <c r="B22" s="59" t="s">
        <v>185</v>
      </c>
      <c r="C22" s="59" t="s">
        <v>0</v>
      </c>
      <c r="D22" s="59" t="s">
        <v>175</v>
      </c>
      <c r="E22" s="59" t="s">
        <v>176</v>
      </c>
      <c r="F22" s="59" t="s">
        <v>177</v>
      </c>
      <c r="G22" s="59" t="s">
        <v>178</v>
      </c>
      <c r="H22" s="59" t="s">
        <v>179</v>
      </c>
      <c r="I22" s="59" t="s">
        <v>43</v>
      </c>
      <c r="J22" s="59" t="s">
        <v>190</v>
      </c>
      <c r="K22" s="60">
        <v>3957.2099989955</v>
      </c>
    </row>
    <row r="23" spans="2:12" ht="28.8" x14ac:dyDescent="0.3">
      <c r="B23" s="59" t="s">
        <v>185</v>
      </c>
      <c r="C23" s="59" t="s">
        <v>0</v>
      </c>
      <c r="D23" s="59" t="s">
        <v>175</v>
      </c>
      <c r="E23" s="59" t="s">
        <v>176</v>
      </c>
      <c r="F23" s="59" t="s">
        <v>191</v>
      </c>
      <c r="G23" s="59" t="s">
        <v>192</v>
      </c>
      <c r="H23" s="59" t="s">
        <v>193</v>
      </c>
      <c r="I23" s="59" t="s">
        <v>43</v>
      </c>
      <c r="J23" s="59" t="s">
        <v>190</v>
      </c>
      <c r="K23" s="60">
        <v>0.38</v>
      </c>
    </row>
    <row r="24" spans="2:12" ht="28.8" x14ac:dyDescent="0.3">
      <c r="B24" s="59" t="s">
        <v>185</v>
      </c>
      <c r="C24" s="59" t="s">
        <v>0</v>
      </c>
      <c r="D24" s="59" t="s">
        <v>175</v>
      </c>
      <c r="E24" s="59" t="s">
        <v>176</v>
      </c>
      <c r="F24" s="59" t="s">
        <v>185</v>
      </c>
      <c r="G24" s="59" t="s">
        <v>186</v>
      </c>
      <c r="H24" s="59" t="s">
        <v>187</v>
      </c>
      <c r="I24" s="59" t="s">
        <v>43</v>
      </c>
      <c r="J24" s="59" t="s">
        <v>190</v>
      </c>
      <c r="K24" s="60">
        <v>139.19999999999999</v>
      </c>
    </row>
    <row r="25" spans="2:12" ht="28.8" x14ac:dyDescent="0.3">
      <c r="B25" s="59" t="s">
        <v>185</v>
      </c>
      <c r="C25" s="59" t="s">
        <v>0</v>
      </c>
      <c r="D25" s="59" t="s">
        <v>175</v>
      </c>
      <c r="E25" s="59" t="s">
        <v>176</v>
      </c>
      <c r="F25" s="59" t="s">
        <v>175</v>
      </c>
      <c r="G25" s="59" t="s">
        <v>188</v>
      </c>
      <c r="H25" s="59" t="s">
        <v>189</v>
      </c>
      <c r="I25" s="59" t="s">
        <v>43</v>
      </c>
      <c r="J25" s="59" t="s">
        <v>190</v>
      </c>
      <c r="K25" s="60">
        <v>1897.98</v>
      </c>
    </row>
    <row r="26" spans="2:12" x14ac:dyDescent="0.25">
      <c r="K26" s="61">
        <f>SUM(K22:K25)</f>
        <v>5994.7699989954999</v>
      </c>
      <c r="L26">
        <f>1/1.10231131*K26</f>
        <v>5438.3638674590939</v>
      </c>
    </row>
  </sheetData>
  <hyperlinks>
    <hyperlink ref="E3" r:id="rId1" location="inventorydata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8"/>
  <sheetViews>
    <sheetView workbookViewId="0">
      <selection activeCell="C8" sqref="C8"/>
    </sheetView>
  </sheetViews>
  <sheetFormatPr defaultRowHeight="13.2" x14ac:dyDescent="0.25"/>
  <cols>
    <col min="1" max="1" width="13.88671875" bestFit="1" customWidth="1"/>
    <col min="2" max="7" width="12" bestFit="1" customWidth="1"/>
  </cols>
  <sheetData>
    <row r="2" spans="1:7" x14ac:dyDescent="0.25">
      <c r="A2" s="65" t="s">
        <v>287</v>
      </c>
    </row>
    <row r="3" spans="1:7" x14ac:dyDescent="0.25">
      <c r="B3" s="101" t="s">
        <v>281</v>
      </c>
    </row>
    <row r="4" spans="1:7" x14ac:dyDescent="0.25">
      <c r="A4" s="101" t="s">
        <v>272</v>
      </c>
      <c r="B4" s="65" t="s">
        <v>280</v>
      </c>
      <c r="C4" s="65" t="s">
        <v>282</v>
      </c>
      <c r="D4" s="65" t="s">
        <v>283</v>
      </c>
      <c r="E4" s="65" t="s">
        <v>284</v>
      </c>
      <c r="F4" s="65" t="s">
        <v>285</v>
      </c>
      <c r="G4" s="65" t="s">
        <v>286</v>
      </c>
    </row>
    <row r="5" spans="1:7" x14ac:dyDescent="0.25">
      <c r="A5" s="63">
        <v>1</v>
      </c>
      <c r="B5" s="100">
        <v>3.7392863706575277</v>
      </c>
      <c r="C5" s="100">
        <v>3.0846305758752615</v>
      </c>
      <c r="D5" s="100">
        <v>3.1190737173599716</v>
      </c>
      <c r="E5" s="100">
        <v>3.1224949925344663</v>
      </c>
      <c r="F5" s="100">
        <v>3.1287516270383819</v>
      </c>
      <c r="G5" s="100">
        <v>3.1866256951521601</v>
      </c>
    </row>
    <row r="6" spans="1:7" x14ac:dyDescent="0.25">
      <c r="A6" s="63">
        <v>2</v>
      </c>
      <c r="B6" s="100">
        <v>72.229478556138929</v>
      </c>
      <c r="C6" s="100">
        <v>73.251890337758581</v>
      </c>
      <c r="D6" s="100">
        <v>79.811031268710209</v>
      </c>
      <c r="E6" s="100">
        <v>76.313715859150136</v>
      </c>
      <c r="F6" s="100">
        <v>83.70673776937069</v>
      </c>
      <c r="G6" s="100">
        <v>82.10734709970356</v>
      </c>
    </row>
    <row r="7" spans="1:7" x14ac:dyDescent="0.25">
      <c r="A7" s="63">
        <v>3</v>
      </c>
      <c r="B7" s="100">
        <v>374.63705786319434</v>
      </c>
      <c r="C7" s="100">
        <v>395.94663656318232</v>
      </c>
      <c r="D7" s="100">
        <v>415.4920347834871</v>
      </c>
      <c r="E7" s="100">
        <v>399.21960337563803</v>
      </c>
      <c r="F7" s="100">
        <v>389.1370993461494</v>
      </c>
      <c r="G7" s="100">
        <v>396.87010857799083</v>
      </c>
    </row>
    <row r="8" spans="1:7" x14ac:dyDescent="0.25">
      <c r="A8" s="63">
        <v>4</v>
      </c>
      <c r="B8" s="100">
        <v>137.52119316121963</v>
      </c>
      <c r="C8" s="100">
        <v>146.60588286126546</v>
      </c>
      <c r="D8" s="100">
        <v>152.92246088129053</v>
      </c>
      <c r="E8" s="100">
        <v>171.21639160672004</v>
      </c>
      <c r="F8" s="100">
        <v>176.88533580063745</v>
      </c>
      <c r="G8" s="100">
        <v>186.86135414725982</v>
      </c>
    </row>
    <row r="9" spans="1:7" x14ac:dyDescent="0.25">
      <c r="A9" s="63">
        <v>5</v>
      </c>
      <c r="B9" s="100">
        <v>243.16915319918922</v>
      </c>
      <c r="C9" s="100">
        <v>252.59982311619342</v>
      </c>
      <c r="D9" s="100">
        <v>272.47318447362318</v>
      </c>
      <c r="E9" s="100">
        <v>257.98426400608537</v>
      </c>
      <c r="F9" s="100">
        <v>239.51715550877242</v>
      </c>
      <c r="G9" s="100">
        <v>235.19422429463827</v>
      </c>
    </row>
    <row r="10" spans="1:7" x14ac:dyDescent="0.25">
      <c r="A10" s="63">
        <v>6</v>
      </c>
      <c r="B10" s="100">
        <v>180.10958021459169</v>
      </c>
      <c r="C10" s="100">
        <v>177.98816566085887</v>
      </c>
      <c r="D10" s="100">
        <v>197.34221587389862</v>
      </c>
      <c r="E10" s="100">
        <v>194.75651101451288</v>
      </c>
      <c r="F10" s="100">
        <v>188.85873667873381</v>
      </c>
      <c r="G10" s="100">
        <v>185.43778461238807</v>
      </c>
    </row>
    <row r="11" spans="1:7" x14ac:dyDescent="0.25">
      <c r="A11" s="63">
        <v>7</v>
      </c>
      <c r="B11" s="100">
        <v>206.34369480459466</v>
      </c>
      <c r="C11" s="100">
        <v>205.58392758274104</v>
      </c>
      <c r="D11" s="100">
        <v>226.69001749389105</v>
      </c>
      <c r="E11" s="100">
        <v>215.75447979589418</v>
      </c>
      <c r="F11" s="100">
        <v>192.09030713396442</v>
      </c>
      <c r="G11" s="100">
        <v>195.27168000696514</v>
      </c>
    </row>
    <row r="12" spans="1:7" x14ac:dyDescent="0.25">
      <c r="A12" s="63">
        <v>8</v>
      </c>
      <c r="B12" s="100">
        <v>138.55094826214216</v>
      </c>
      <c r="C12" s="100">
        <v>141.76029981569096</v>
      </c>
      <c r="D12" s="100">
        <v>141.79605567347167</v>
      </c>
      <c r="E12" s="100">
        <v>147.32115691140729</v>
      </c>
      <c r="F12" s="100">
        <v>144.93527267156122</v>
      </c>
      <c r="G12" s="100">
        <v>154.643196164937</v>
      </c>
    </row>
    <row r="13" spans="1:7" x14ac:dyDescent="0.25">
      <c r="A13" s="63">
        <v>9</v>
      </c>
      <c r="B13" s="100">
        <v>4.9978908160761764</v>
      </c>
      <c r="C13" s="100">
        <v>5.1781021714949009</v>
      </c>
      <c r="D13" s="100">
        <v>5.286013633436184</v>
      </c>
      <c r="E13" s="100">
        <v>5.8267139061619764</v>
      </c>
      <c r="F13" s="100">
        <v>5.8876325877290006</v>
      </c>
      <c r="G13" s="100">
        <v>5.9608180406373101</v>
      </c>
    </row>
    <row r="14" spans="1:7" x14ac:dyDescent="0.25">
      <c r="A14" s="63" t="s">
        <v>149</v>
      </c>
      <c r="B14" s="100">
        <v>1361.2982832478044</v>
      </c>
      <c r="C14" s="100">
        <v>1401.999358685061</v>
      </c>
      <c r="D14" s="100">
        <v>1494.9320877991684</v>
      </c>
      <c r="E14" s="100">
        <v>1471.5153314681045</v>
      </c>
      <c r="F14" s="100">
        <v>1424.1470291239568</v>
      </c>
      <c r="G14" s="100">
        <v>1445.5331386396724</v>
      </c>
    </row>
    <row r="16" spans="1:7" x14ac:dyDescent="0.25">
      <c r="A16" s="65" t="s">
        <v>288</v>
      </c>
    </row>
    <row r="17" spans="1:7" x14ac:dyDescent="0.25">
      <c r="B17" s="101" t="s">
        <v>281</v>
      </c>
    </row>
    <row r="18" spans="1:7" x14ac:dyDescent="0.25">
      <c r="A18" s="101" t="s">
        <v>272</v>
      </c>
      <c r="B18" s="65" t="s">
        <v>280</v>
      </c>
      <c r="C18" s="65" t="s">
        <v>282</v>
      </c>
      <c r="D18" s="65" t="s">
        <v>283</v>
      </c>
      <c r="E18" s="65" t="s">
        <v>284</v>
      </c>
      <c r="F18" s="65" t="s">
        <v>285</v>
      </c>
      <c r="G18" s="65" t="s">
        <v>286</v>
      </c>
    </row>
    <row r="19" spans="1:7" x14ac:dyDescent="0.25">
      <c r="A19" s="63">
        <v>1</v>
      </c>
      <c r="B19" s="100">
        <v>13.775718994998615</v>
      </c>
      <c r="C19" s="100">
        <v>13.363946883532501</v>
      </c>
      <c r="D19" s="100">
        <v>13.387021837984438</v>
      </c>
      <c r="E19" s="100">
        <v>13.411819850739956</v>
      </c>
      <c r="F19" s="100">
        <v>13.682397992652328</v>
      </c>
      <c r="G19" s="100">
        <v>13.905182072880359</v>
      </c>
    </row>
    <row r="20" spans="1:7" x14ac:dyDescent="0.25">
      <c r="A20" s="63">
        <v>2</v>
      </c>
      <c r="B20" s="100">
        <v>145.7413946523067</v>
      </c>
      <c r="C20" s="100">
        <v>147.03205900387735</v>
      </c>
      <c r="D20" s="100">
        <v>149.79861544366665</v>
      </c>
      <c r="E20" s="100">
        <v>146.20613077097804</v>
      </c>
      <c r="F20" s="100">
        <v>147.00794274352438</v>
      </c>
      <c r="G20" s="100">
        <v>150.73899561419626</v>
      </c>
    </row>
    <row r="21" spans="1:7" x14ac:dyDescent="0.25">
      <c r="A21" s="63">
        <v>3</v>
      </c>
      <c r="B21" s="100">
        <v>293.322172800874</v>
      </c>
      <c r="C21" s="100">
        <v>293.82133779210278</v>
      </c>
      <c r="D21" s="100">
        <v>296.22083895036309</v>
      </c>
      <c r="E21" s="100">
        <v>278.69064292519715</v>
      </c>
      <c r="F21" s="100">
        <v>280.55268702984119</v>
      </c>
      <c r="G21" s="100">
        <v>287.89973779141673</v>
      </c>
    </row>
    <row r="22" spans="1:7" x14ac:dyDescent="0.25">
      <c r="A22" s="63">
        <v>4</v>
      </c>
      <c r="B22" s="100">
        <v>186.09654105590326</v>
      </c>
      <c r="C22" s="100">
        <v>167.54170044253883</v>
      </c>
      <c r="D22" s="100">
        <v>172.85874199372469</v>
      </c>
      <c r="E22" s="100">
        <v>174.16330630262109</v>
      </c>
      <c r="F22" s="100">
        <v>175.77656246635505</v>
      </c>
      <c r="G22" s="100">
        <v>177.32944438719565</v>
      </c>
    </row>
    <row r="23" spans="1:7" x14ac:dyDescent="0.25">
      <c r="A23" s="63">
        <v>5</v>
      </c>
      <c r="B23" s="100">
        <v>244.71020395521526</v>
      </c>
      <c r="C23" s="100">
        <v>246.90303932169252</v>
      </c>
      <c r="D23" s="100">
        <v>264.95732574870954</v>
      </c>
      <c r="E23" s="100">
        <v>254.85823319867376</v>
      </c>
      <c r="F23" s="100">
        <v>247.00689013876584</v>
      </c>
      <c r="G23" s="100">
        <v>265.70302147447046</v>
      </c>
    </row>
    <row r="24" spans="1:7" x14ac:dyDescent="0.25">
      <c r="A24" s="63">
        <v>6</v>
      </c>
      <c r="B24" s="100">
        <v>130.94110466296385</v>
      </c>
      <c r="C24" s="100">
        <v>128.33390248604098</v>
      </c>
      <c r="D24" s="100">
        <v>135.27570315645363</v>
      </c>
      <c r="E24" s="100">
        <v>131.50348495148242</v>
      </c>
      <c r="F24" s="100">
        <v>133.17022740265122</v>
      </c>
      <c r="G24" s="100">
        <v>139.84631403202596</v>
      </c>
    </row>
    <row r="25" spans="1:7" x14ac:dyDescent="0.25">
      <c r="A25" s="63">
        <v>7</v>
      </c>
      <c r="B25" s="100">
        <v>242.75321761473515</v>
      </c>
      <c r="C25" s="100">
        <v>224.74695294218532</v>
      </c>
      <c r="D25" s="100">
        <v>232.46025386980341</v>
      </c>
      <c r="E25" s="100">
        <v>221.6476041048553</v>
      </c>
      <c r="F25" s="100">
        <v>202.62822586848381</v>
      </c>
      <c r="G25" s="100">
        <v>208.08984137958788</v>
      </c>
    </row>
    <row r="26" spans="1:7" x14ac:dyDescent="0.25">
      <c r="A26" s="63">
        <v>8</v>
      </c>
      <c r="B26" s="100">
        <v>278.06180449734097</v>
      </c>
      <c r="C26" s="100">
        <v>218.86283718463795</v>
      </c>
      <c r="D26" s="100">
        <v>212.41236152907661</v>
      </c>
      <c r="E26" s="100">
        <v>199.57152596862645</v>
      </c>
      <c r="F26" s="100">
        <v>198.23587913916117</v>
      </c>
      <c r="G26" s="100">
        <v>202.91611963142421</v>
      </c>
    </row>
    <row r="27" spans="1:7" x14ac:dyDescent="0.25">
      <c r="A27" s="63">
        <v>9</v>
      </c>
      <c r="B27" s="100">
        <v>17.225536195743551</v>
      </c>
      <c r="C27" s="100">
        <v>17.832597270615903</v>
      </c>
      <c r="D27" s="100">
        <v>19.478646378138805</v>
      </c>
      <c r="E27" s="100">
        <v>22.860797289738606</v>
      </c>
      <c r="F27" s="100">
        <v>23.35209856928639</v>
      </c>
      <c r="G27" s="100">
        <v>24.670583228677923</v>
      </c>
    </row>
    <row r="28" spans="1:7" x14ac:dyDescent="0.25">
      <c r="A28" s="63" t="s">
        <v>149</v>
      </c>
      <c r="B28" s="100">
        <v>1552.6276944300814</v>
      </c>
      <c r="C28" s="100">
        <v>1458.4383733272241</v>
      </c>
      <c r="D28" s="100">
        <v>1496.8495089079208</v>
      </c>
      <c r="E28" s="100">
        <v>1442.9135453629128</v>
      </c>
      <c r="F28" s="100">
        <v>1421.4129113507213</v>
      </c>
      <c r="G28" s="100">
        <v>1471.0992396118754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1"/>
  <sheetViews>
    <sheetView workbookViewId="0">
      <selection activeCell="B7" sqref="B7"/>
    </sheetView>
  </sheetViews>
  <sheetFormatPr defaultColWidth="9.109375" defaultRowHeight="13.2" x14ac:dyDescent="0.25"/>
  <cols>
    <col min="1" max="1" width="9.109375" style="77"/>
    <col min="2" max="2" width="17.6640625" style="77" customWidth="1"/>
    <col min="3" max="15" width="7.88671875" style="77" customWidth="1"/>
    <col min="16" max="16384" width="9.109375" style="77"/>
  </cols>
  <sheetData>
    <row r="1" spans="1:46" ht="15.6" x14ac:dyDescent="0.3">
      <c r="B1" s="78" t="s">
        <v>301</v>
      </c>
      <c r="Z1" s="79"/>
      <c r="AA1" s="79"/>
      <c r="AB1" s="79"/>
      <c r="AC1" s="79"/>
    </row>
    <row r="2" spans="1:46" ht="13.8" thickBot="1" x14ac:dyDescent="0.3">
      <c r="Z2" s="79"/>
      <c r="AA2" s="79"/>
      <c r="AB2" s="79"/>
      <c r="AC2" s="79"/>
    </row>
    <row r="3" spans="1:46" ht="39" customHeight="1" thickBot="1" x14ac:dyDescent="0.3">
      <c r="B3" s="80"/>
      <c r="C3" s="135" t="s">
        <v>274</v>
      </c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7"/>
    </row>
    <row r="4" spans="1:46" ht="21.75" customHeight="1" thickBot="1" x14ac:dyDescent="0.3">
      <c r="B4" s="81"/>
      <c r="C4" s="82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4"/>
    </row>
    <row r="5" spans="1:46" ht="24.75" customHeight="1" thickBot="1" x14ac:dyDescent="0.3">
      <c r="A5" s="77" t="s">
        <v>275</v>
      </c>
      <c r="B5" s="85"/>
      <c r="C5" s="138" t="s">
        <v>195</v>
      </c>
      <c r="D5" s="139"/>
      <c r="E5" s="139"/>
      <c r="F5" s="139"/>
      <c r="G5" s="139"/>
      <c r="H5" s="139"/>
      <c r="I5" s="140"/>
      <c r="J5" s="102"/>
      <c r="K5" s="138" t="s">
        <v>196</v>
      </c>
      <c r="L5" s="139"/>
      <c r="M5" s="139"/>
      <c r="N5" s="139"/>
      <c r="O5" s="139"/>
      <c r="P5" s="139"/>
      <c r="Q5" s="140"/>
      <c r="R5" s="77" t="s">
        <v>275</v>
      </c>
      <c r="S5" s="138" t="s">
        <v>197</v>
      </c>
      <c r="T5" s="139"/>
      <c r="U5" s="139"/>
      <c r="V5" s="139"/>
      <c r="W5" s="139"/>
      <c r="X5" s="139"/>
      <c r="Y5" s="139"/>
      <c r="Z5" s="138" t="s">
        <v>276</v>
      </c>
      <c r="AA5" s="139"/>
      <c r="AB5" s="139"/>
      <c r="AC5" s="139"/>
      <c r="AD5" s="139"/>
      <c r="AE5" s="139"/>
      <c r="AF5" s="139"/>
      <c r="AG5" s="138" t="s">
        <v>277</v>
      </c>
      <c r="AH5" s="139"/>
      <c r="AI5" s="139"/>
      <c r="AJ5" s="139"/>
      <c r="AK5" s="139"/>
      <c r="AL5" s="139"/>
      <c r="AM5" s="139"/>
      <c r="AN5" s="138" t="s">
        <v>278</v>
      </c>
      <c r="AO5" s="139"/>
      <c r="AP5" s="139"/>
      <c r="AQ5" s="139"/>
      <c r="AR5" s="139"/>
      <c r="AS5" s="139"/>
      <c r="AT5" s="140"/>
    </row>
    <row r="6" spans="1:46" ht="20.25" customHeight="1" thickBot="1" x14ac:dyDescent="0.3">
      <c r="A6" s="77" t="s">
        <v>150</v>
      </c>
      <c r="B6" s="86" t="s">
        <v>267</v>
      </c>
      <c r="C6" s="120">
        <v>2016</v>
      </c>
      <c r="D6" s="120">
        <v>2018</v>
      </c>
      <c r="E6" s="120">
        <v>2020</v>
      </c>
      <c r="F6" s="120">
        <v>2025</v>
      </c>
      <c r="G6" s="120">
        <v>2030</v>
      </c>
      <c r="H6" s="120">
        <v>2040</v>
      </c>
      <c r="I6" s="120">
        <v>2050</v>
      </c>
      <c r="J6" s="103" t="str">
        <f t="shared" ref="J6:J37" si="0">A6</f>
        <v>Region</v>
      </c>
      <c r="K6" s="120">
        <v>2016</v>
      </c>
      <c r="L6" s="120">
        <v>2018</v>
      </c>
      <c r="M6" s="120">
        <v>2020</v>
      </c>
      <c r="N6" s="120">
        <v>2025</v>
      </c>
      <c r="O6" s="120">
        <v>2030</v>
      </c>
      <c r="P6" s="120">
        <v>2040</v>
      </c>
      <c r="Q6" s="120">
        <v>2050</v>
      </c>
      <c r="R6" s="77" t="s">
        <v>150</v>
      </c>
      <c r="S6" s="120">
        <v>2016</v>
      </c>
      <c r="T6" s="120">
        <v>2018</v>
      </c>
      <c r="U6" s="120">
        <v>2020</v>
      </c>
      <c r="V6" s="120">
        <v>2025</v>
      </c>
      <c r="W6" s="120">
        <v>2030</v>
      </c>
      <c r="X6" s="120">
        <v>2040</v>
      </c>
      <c r="Y6" s="120">
        <v>2050</v>
      </c>
      <c r="Z6" s="120">
        <v>2016</v>
      </c>
      <c r="AA6" s="120">
        <v>2018</v>
      </c>
      <c r="AB6" s="120">
        <v>2020</v>
      </c>
      <c r="AC6" s="120">
        <v>2025</v>
      </c>
      <c r="AD6" s="120">
        <v>2030</v>
      </c>
      <c r="AE6" s="120">
        <v>2040</v>
      </c>
      <c r="AF6" s="120">
        <v>2050</v>
      </c>
      <c r="AG6" s="120">
        <v>2016</v>
      </c>
      <c r="AH6" s="120">
        <v>2018</v>
      </c>
      <c r="AI6" s="120">
        <v>2020</v>
      </c>
      <c r="AJ6" s="120">
        <v>2025</v>
      </c>
      <c r="AK6" s="120">
        <v>2030</v>
      </c>
      <c r="AL6" s="120">
        <v>2040</v>
      </c>
      <c r="AM6" s="120">
        <v>2050</v>
      </c>
      <c r="AN6" s="120">
        <v>2016</v>
      </c>
      <c r="AO6" s="120">
        <v>2018</v>
      </c>
      <c r="AP6" s="120">
        <v>2020</v>
      </c>
      <c r="AQ6" s="120">
        <v>2025</v>
      </c>
      <c r="AR6" s="120">
        <v>2030</v>
      </c>
      <c r="AS6" s="120">
        <v>2040</v>
      </c>
      <c r="AT6" s="120">
        <v>2050</v>
      </c>
    </row>
    <row r="7" spans="1:46" x14ac:dyDescent="0.25">
      <c r="A7" s="77">
        <f>INDEX(RegXWalk!A:A,MATCH(B7,RegXWalk!B:B,0))</f>
        <v>6</v>
      </c>
      <c r="B7" s="88" t="s">
        <v>41</v>
      </c>
      <c r="C7" s="121">
        <v>37.485752705393061</v>
      </c>
      <c r="D7" s="122">
        <v>40.660594942348347</v>
      </c>
      <c r="E7" s="122">
        <v>42.16077008024839</v>
      </c>
      <c r="F7" s="122">
        <v>43.031783331047954</v>
      </c>
      <c r="G7" s="122">
        <v>43.031783331047954</v>
      </c>
      <c r="H7" s="122">
        <v>36.910077139024033</v>
      </c>
      <c r="I7" s="122">
        <v>28.912372994136778</v>
      </c>
      <c r="J7" s="104">
        <f t="shared" si="0"/>
        <v>6</v>
      </c>
      <c r="K7" s="121">
        <v>13.009218717444552</v>
      </c>
      <c r="L7" s="122">
        <v>12.15117814063051</v>
      </c>
      <c r="M7" s="122">
        <v>12.01289442007922</v>
      </c>
      <c r="N7" s="122">
        <v>12.678727920365786</v>
      </c>
      <c r="O7" s="122">
        <v>12.321333745127694</v>
      </c>
      <c r="P7" s="122">
        <v>13.096233801254286</v>
      </c>
      <c r="Q7" s="122">
        <v>13.741016183027092</v>
      </c>
      <c r="R7" s="77">
        <f t="shared" ref="R7:R38" si="1">A7</f>
        <v>6</v>
      </c>
      <c r="S7" s="121">
        <v>27.648795790267009</v>
      </c>
      <c r="T7" s="122">
        <v>27.646362768869597</v>
      </c>
      <c r="U7" s="122">
        <v>27.416574745977297</v>
      </c>
      <c r="V7" s="122">
        <v>28.781503993491928</v>
      </c>
      <c r="W7" s="122">
        <v>28.158359917940082</v>
      </c>
      <c r="X7" s="122">
        <v>30.168393074801486</v>
      </c>
      <c r="Y7" s="122">
        <v>31.889295783743304</v>
      </c>
      <c r="Z7" s="121">
        <v>0.1269240410730948</v>
      </c>
      <c r="AA7" s="122">
        <v>0.13615961913936683</v>
      </c>
      <c r="AB7" s="122">
        <v>0.13699854568932501</v>
      </c>
      <c r="AC7" s="122">
        <v>0.13922162613541417</v>
      </c>
      <c r="AD7" s="122">
        <v>0.13921751736338001</v>
      </c>
      <c r="AE7" s="122">
        <v>0.13441378287419123</v>
      </c>
      <c r="AF7" s="122">
        <v>0.12687008047141146</v>
      </c>
      <c r="AG7" s="121">
        <v>7.1800522922459475E-2</v>
      </c>
      <c r="AH7" s="122">
        <v>7.8184568942551991E-2</v>
      </c>
      <c r="AI7" s="122">
        <v>7.7380714605513989E-2</v>
      </c>
      <c r="AJ7" s="122">
        <v>7.9073000911576929E-2</v>
      </c>
      <c r="AK7" s="122">
        <v>7.9073000911576929E-2</v>
      </c>
      <c r="AL7" s="122">
        <v>6.9266139464596865E-2</v>
      </c>
      <c r="AM7" s="122">
        <v>5.2980225691346847E-2</v>
      </c>
      <c r="AN7" s="121">
        <v>62.402009186331789</v>
      </c>
      <c r="AO7" s="122">
        <v>61.428718806545945</v>
      </c>
      <c r="AP7" s="122">
        <v>63.367186165382265</v>
      </c>
      <c r="AQ7" s="122">
        <v>63.626303433505697</v>
      </c>
      <c r="AR7" s="122">
        <v>60.190196078067736</v>
      </c>
      <c r="AS7" s="122">
        <v>83.734159343143872</v>
      </c>
      <c r="AT7" s="89">
        <v>101.99536208483929</v>
      </c>
    </row>
    <row r="8" spans="1:46" x14ac:dyDescent="0.25">
      <c r="A8" s="77">
        <f>INDEX(RegXWalk!A:A,MATCH(B8,RegXWalk!B:B,0))</f>
        <v>8</v>
      </c>
      <c r="B8" s="90" t="s">
        <v>138</v>
      </c>
      <c r="C8" s="123">
        <v>26.840523107169592</v>
      </c>
      <c r="D8" s="124">
        <v>27.536869910851177</v>
      </c>
      <c r="E8" s="124">
        <v>27.312911356612862</v>
      </c>
      <c r="F8" s="124">
        <v>27.536869915597116</v>
      </c>
      <c r="G8" s="124">
        <v>27.475351326612653</v>
      </c>
      <c r="H8" s="124">
        <v>26.809662926643639</v>
      </c>
      <c r="I8" s="124">
        <v>27.095531054560929</v>
      </c>
      <c r="J8" s="103">
        <f t="shared" si="0"/>
        <v>8</v>
      </c>
      <c r="K8" s="123">
        <v>19.7245536011763</v>
      </c>
      <c r="L8" s="124">
        <v>15.616412186253418</v>
      </c>
      <c r="M8" s="124">
        <v>15.375087632987894</v>
      </c>
      <c r="N8" s="124">
        <v>16.016787111556148</v>
      </c>
      <c r="O8" s="124">
        <v>12.030653860784154</v>
      </c>
      <c r="P8" s="124">
        <v>11.991451452242814</v>
      </c>
      <c r="Q8" s="124">
        <v>12.629357371507616</v>
      </c>
      <c r="R8" s="77">
        <f t="shared" si="1"/>
        <v>8</v>
      </c>
      <c r="S8" s="123">
        <v>46.747521184300624</v>
      </c>
      <c r="T8" s="124">
        <v>36.900045799041422</v>
      </c>
      <c r="U8" s="124">
        <v>37.148374727949893</v>
      </c>
      <c r="V8" s="124">
        <v>38.21888725775456</v>
      </c>
      <c r="W8" s="124">
        <v>26.59613173442467</v>
      </c>
      <c r="X8" s="124">
        <v>25.337538298239828</v>
      </c>
      <c r="Y8" s="124">
        <v>27.705323664540828</v>
      </c>
      <c r="Z8" s="123">
        <v>0.14865955328969951</v>
      </c>
      <c r="AA8" s="124">
        <v>0.14887351679928057</v>
      </c>
      <c r="AB8" s="124">
        <v>0.14845290666187769</v>
      </c>
      <c r="AC8" s="124">
        <v>0.14888028133388953</v>
      </c>
      <c r="AD8" s="124">
        <v>0.1487632001203536</v>
      </c>
      <c r="AE8" s="124">
        <v>0.14715821429629833</v>
      </c>
      <c r="AF8" s="124">
        <v>0.14603223619782044</v>
      </c>
      <c r="AG8" s="123">
        <v>8.9974612189321804E-2</v>
      </c>
      <c r="AH8" s="124">
        <v>9.3742704145256456E-2</v>
      </c>
      <c r="AI8" s="124">
        <v>9.299229040114676E-2</v>
      </c>
      <c r="AJ8" s="124">
        <v>9.3742704147237843E-2</v>
      </c>
      <c r="AK8" s="124">
        <v>9.3530176750128299E-2</v>
      </c>
      <c r="AL8" s="124">
        <v>9.0637718108300291E-2</v>
      </c>
      <c r="AM8" s="124">
        <v>9.5210581874936626E-2</v>
      </c>
      <c r="AN8" s="123">
        <v>58.520679444926571</v>
      </c>
      <c r="AO8" s="124">
        <v>58.537642742253297</v>
      </c>
      <c r="AP8" s="124">
        <v>59.950371663721839</v>
      </c>
      <c r="AQ8" s="124">
        <v>64.194706588845435</v>
      </c>
      <c r="AR8" s="124">
        <v>54.634179007520359</v>
      </c>
      <c r="AS8" s="124">
        <v>55.101149426929894</v>
      </c>
      <c r="AT8" s="91">
        <v>65.836681552319575</v>
      </c>
    </row>
    <row r="9" spans="1:46" x14ac:dyDescent="0.25">
      <c r="A9" s="77">
        <f>INDEX(RegXWalk!A:A,MATCH(B9,RegXWalk!B:B,0))</f>
        <v>7</v>
      </c>
      <c r="B9" s="90" t="s">
        <v>134</v>
      </c>
      <c r="C9" s="123">
        <v>22.17153463948274</v>
      </c>
      <c r="D9" s="124">
        <v>25.427142755203089</v>
      </c>
      <c r="E9" s="124">
        <v>22.68549763447805</v>
      </c>
      <c r="F9" s="124">
        <v>25.168164080829449</v>
      </c>
      <c r="G9" s="124">
        <v>25.168164080567252</v>
      </c>
      <c r="H9" s="124">
        <v>25.170018376433671</v>
      </c>
      <c r="I9" s="124">
        <v>26.825888987757512</v>
      </c>
      <c r="J9" s="103">
        <f t="shared" si="0"/>
        <v>7</v>
      </c>
      <c r="K9" s="123">
        <v>16.71652982067608</v>
      </c>
      <c r="L9" s="124">
        <v>11.839827169194651</v>
      </c>
      <c r="M9" s="124">
        <v>11.287550572178715</v>
      </c>
      <c r="N9" s="124">
        <v>12.050702752742618</v>
      </c>
      <c r="O9" s="124">
        <v>11.960328062347827</v>
      </c>
      <c r="P9" s="124">
        <v>12.206507711681821</v>
      </c>
      <c r="Q9" s="124">
        <v>12.573908906841966</v>
      </c>
      <c r="R9" s="77">
        <f t="shared" si="1"/>
        <v>7</v>
      </c>
      <c r="S9" s="123">
        <v>37.078790947599501</v>
      </c>
      <c r="T9" s="124">
        <v>26.063169681158666</v>
      </c>
      <c r="U9" s="124">
        <v>24.148650831370276</v>
      </c>
      <c r="V9" s="124">
        <v>26.785488952841554</v>
      </c>
      <c r="W9" s="124">
        <v>26.686632813902094</v>
      </c>
      <c r="X9" s="124">
        <v>26.361987077397764</v>
      </c>
      <c r="Y9" s="124">
        <v>27.497885417983678</v>
      </c>
      <c r="Z9" s="123">
        <v>8.9863803780741991E-2</v>
      </c>
      <c r="AA9" s="124">
        <v>0.10186765760680674</v>
      </c>
      <c r="AB9" s="124">
        <v>9.2705952285133092E-2</v>
      </c>
      <c r="AC9" s="124">
        <v>0.10102846972876685</v>
      </c>
      <c r="AD9" s="124">
        <v>0.10102854025352892</v>
      </c>
      <c r="AE9" s="124">
        <v>0.1024927264489074</v>
      </c>
      <c r="AF9" s="124">
        <v>0.10808924557407702</v>
      </c>
      <c r="AG9" s="123">
        <v>3.7019458053568224E-2</v>
      </c>
      <c r="AH9" s="124">
        <v>4.1757220931662918E-2</v>
      </c>
      <c r="AI9" s="124">
        <v>3.8629394117126223E-2</v>
      </c>
      <c r="AJ9" s="124">
        <v>4.2072488373697411E-2</v>
      </c>
      <c r="AK9" s="124">
        <v>4.207248837379942E-2</v>
      </c>
      <c r="AL9" s="124">
        <v>4.1997543912465039E-2</v>
      </c>
      <c r="AM9" s="124">
        <v>4.4044531604215745E-2</v>
      </c>
      <c r="AN9" s="123">
        <v>44.073821656705611</v>
      </c>
      <c r="AO9" s="124">
        <v>48.580053728023572</v>
      </c>
      <c r="AP9" s="124">
        <v>45.978535977142919</v>
      </c>
      <c r="AQ9" s="124">
        <v>50.492035968247009</v>
      </c>
      <c r="AR9" s="124">
        <v>50.551022664529086</v>
      </c>
      <c r="AS9" s="124">
        <v>51.82926273093301</v>
      </c>
      <c r="AT9" s="91">
        <v>56.227119337459257</v>
      </c>
    </row>
    <row r="10" spans="1:46" x14ac:dyDescent="0.25">
      <c r="A10" s="77">
        <f>INDEX(RegXWalk!A:A,MATCH(B10,RegXWalk!B:B,0))</f>
        <v>9</v>
      </c>
      <c r="B10" s="90" t="s">
        <v>146</v>
      </c>
      <c r="C10" s="123">
        <v>3.4464546314091109</v>
      </c>
      <c r="D10" s="124">
        <v>3.7091556548577413</v>
      </c>
      <c r="E10" s="124">
        <v>3.6238172687289407</v>
      </c>
      <c r="F10" s="124">
        <v>3.6584059156468633</v>
      </c>
      <c r="G10" s="124">
        <v>4.199091292617485</v>
      </c>
      <c r="H10" s="124">
        <v>4.2600099750165921</v>
      </c>
      <c r="I10" s="124">
        <v>4.3331954278731679</v>
      </c>
      <c r="J10" s="103">
        <f t="shared" si="0"/>
        <v>9</v>
      </c>
      <c r="K10" s="123">
        <v>3.6995338900731971</v>
      </c>
      <c r="L10" s="124">
        <v>4.1208198795656168</v>
      </c>
      <c r="M10" s="124">
        <v>3.9914276400672053</v>
      </c>
      <c r="N10" s="124">
        <v>4.2707737832908652</v>
      </c>
      <c r="O10" s="124">
        <v>6.513366788740794</v>
      </c>
      <c r="P10" s="124">
        <v>6.7305873942901782</v>
      </c>
      <c r="Q10" s="124">
        <v>6.9139468821385943</v>
      </c>
      <c r="R10" s="77">
        <f t="shared" si="1"/>
        <v>9</v>
      </c>
      <c r="S10" s="123">
        <v>11.556253151725034</v>
      </c>
      <c r="T10" s="124">
        <v>12.082552879353498</v>
      </c>
      <c r="U10" s="124">
        <v>11.964043940303835</v>
      </c>
      <c r="V10" s="124">
        <v>12.565398214378597</v>
      </c>
      <c r="W10" s="124">
        <v>15.634273596742728</v>
      </c>
      <c r="X10" s="124">
        <v>16.196297280131216</v>
      </c>
      <c r="Y10" s="124">
        <v>16.956094272581677</v>
      </c>
      <c r="Z10" s="123">
        <v>0.23324771508944325</v>
      </c>
      <c r="AA10" s="124">
        <v>0.23512278134768971</v>
      </c>
      <c r="AB10" s="124">
        <v>0.5142666387099154</v>
      </c>
      <c r="AC10" s="124">
        <v>0.81354086926241564</v>
      </c>
      <c r="AD10" s="124">
        <v>0.87841940930088813</v>
      </c>
      <c r="AE10" s="124">
        <v>0.89709589371413678</v>
      </c>
      <c r="AF10" s="124">
        <v>1.0444107250049317</v>
      </c>
      <c r="AG10" s="123">
        <v>9.3725862887910887E-3</v>
      </c>
      <c r="AH10" s="124">
        <v>9.3725862887910887E-3</v>
      </c>
      <c r="AI10" s="124">
        <v>9.3725862887910887E-3</v>
      </c>
      <c r="AJ10" s="124">
        <v>9.3725862887910887E-3</v>
      </c>
      <c r="AK10" s="124">
        <v>8.5214114473669729E-3</v>
      </c>
      <c r="AL10" s="124">
        <v>8.521411298502729E-3</v>
      </c>
      <c r="AM10" s="124">
        <v>8.521411282892008E-3</v>
      </c>
      <c r="AN10" s="123">
        <v>63.289669225341576</v>
      </c>
      <c r="AO10" s="124">
        <v>66.707580494939279</v>
      </c>
      <c r="AP10" s="124">
        <v>68.949458923593753</v>
      </c>
      <c r="AQ10" s="124">
        <v>72.52323841673487</v>
      </c>
      <c r="AR10" s="124">
        <v>84.291879970877787</v>
      </c>
      <c r="AS10" s="124">
        <v>87.506834552485145</v>
      </c>
      <c r="AT10" s="91">
        <v>90.972252161855579</v>
      </c>
    </row>
    <row r="11" spans="1:46" x14ac:dyDescent="0.25">
      <c r="A11" s="77">
        <f>INDEX(RegXWalk!A:A,MATCH(B11,RegXWalk!B:B,0))</f>
        <v>8</v>
      </c>
      <c r="B11" s="90" t="s">
        <v>139</v>
      </c>
      <c r="C11" s="123">
        <v>16.865654704438128</v>
      </c>
      <c r="D11" s="124">
        <v>15.115369556110435</v>
      </c>
      <c r="E11" s="124">
        <v>15.164061747536765</v>
      </c>
      <c r="F11" s="124">
        <v>15.177893677630415</v>
      </c>
      <c r="G11" s="124">
        <v>15.178412074972663</v>
      </c>
      <c r="H11" s="124">
        <v>15.726053180074652</v>
      </c>
      <c r="I11" s="124">
        <v>16.541499905042997</v>
      </c>
      <c r="J11" s="103">
        <f t="shared" si="0"/>
        <v>8</v>
      </c>
      <c r="K11" s="123">
        <v>14.872659764439572</v>
      </c>
      <c r="L11" s="124">
        <v>12.210521630806667</v>
      </c>
      <c r="M11" s="124">
        <v>12.363382948062368</v>
      </c>
      <c r="N11" s="124">
        <v>11.690165005066392</v>
      </c>
      <c r="O11" s="124">
        <v>11.733193401478292</v>
      </c>
      <c r="P11" s="124">
        <v>11.627157074529444</v>
      </c>
      <c r="Q11" s="124">
        <v>11.50285709437679</v>
      </c>
      <c r="R11" s="77">
        <f t="shared" si="1"/>
        <v>8</v>
      </c>
      <c r="S11" s="123">
        <v>34.356289526827247</v>
      </c>
      <c r="T11" s="124">
        <v>27.699786356317443</v>
      </c>
      <c r="U11" s="124">
        <v>27.852137891929544</v>
      </c>
      <c r="V11" s="124">
        <v>25.831945862306071</v>
      </c>
      <c r="W11" s="124">
        <v>26.019266638496802</v>
      </c>
      <c r="X11" s="124">
        <v>25.838663334133912</v>
      </c>
      <c r="Y11" s="124">
        <v>25.769365056580551</v>
      </c>
      <c r="Z11" s="123">
        <v>8.557914071889175E-2</v>
      </c>
      <c r="AA11" s="124">
        <v>8.1445892672007664E-2</v>
      </c>
      <c r="AB11" s="124">
        <v>8.1276433918524876E-2</v>
      </c>
      <c r="AC11" s="124">
        <v>8.1684537949069977E-2</v>
      </c>
      <c r="AD11" s="124">
        <v>8.0984769498670825E-2</v>
      </c>
      <c r="AE11" s="124">
        <v>8.3413961987147983E-2</v>
      </c>
      <c r="AF11" s="124">
        <v>8.7002087026954236E-2</v>
      </c>
      <c r="AG11" s="123">
        <v>5.0281109768746987E-2</v>
      </c>
      <c r="AH11" s="124">
        <v>4.961261747898895E-2</v>
      </c>
      <c r="AI11" s="124">
        <v>4.8817982995892593E-2</v>
      </c>
      <c r="AJ11" s="124">
        <v>6.1799490404328118E-2</v>
      </c>
      <c r="AK11" s="124">
        <v>6.1650448405229388E-2</v>
      </c>
      <c r="AL11" s="124">
        <v>6.0236741443828644E-2</v>
      </c>
      <c r="AM11" s="124">
        <v>5.9186345507437316E-2</v>
      </c>
      <c r="AN11" s="123">
        <v>42.832599157629254</v>
      </c>
      <c r="AO11" s="124">
        <v>39.905898793106346</v>
      </c>
      <c r="AP11" s="124">
        <v>40.259049091243085</v>
      </c>
      <c r="AQ11" s="124">
        <v>41.995434287957714</v>
      </c>
      <c r="AR11" s="124">
        <v>43.741327737693268</v>
      </c>
      <c r="AS11" s="124">
        <v>46.306210125732832</v>
      </c>
      <c r="AT11" s="91">
        <v>48.114359755464278</v>
      </c>
    </row>
    <row r="12" spans="1:46" x14ac:dyDescent="0.25">
      <c r="A12" s="77">
        <f>INDEX(RegXWalk!A:A,MATCH(B12,RegXWalk!B:B,0))</f>
        <v>1</v>
      </c>
      <c r="B12" s="90" t="s">
        <v>151</v>
      </c>
      <c r="C12" s="123">
        <v>0.67689104586365645</v>
      </c>
      <c r="D12" s="124">
        <v>0.64718633617900656</v>
      </c>
      <c r="E12" s="124">
        <v>0.64843322643039247</v>
      </c>
      <c r="F12" s="124">
        <v>0.66127087104496651</v>
      </c>
      <c r="G12" s="124">
        <v>0.6613908169255065</v>
      </c>
      <c r="H12" s="124">
        <v>0.66638011550020648</v>
      </c>
      <c r="I12" s="124">
        <v>0.68019523106812652</v>
      </c>
      <c r="J12" s="103">
        <f t="shared" si="0"/>
        <v>1</v>
      </c>
      <c r="K12" s="123">
        <v>1.6437201780081454</v>
      </c>
      <c r="L12" s="124">
        <v>1.5874723625610512</v>
      </c>
      <c r="M12" s="124">
        <v>1.5410241055718823</v>
      </c>
      <c r="N12" s="124">
        <v>1.5531337230225553</v>
      </c>
      <c r="O12" s="124">
        <v>1.530940205789203</v>
      </c>
      <c r="P12" s="124">
        <v>1.6297533449182031</v>
      </c>
      <c r="Q12" s="124">
        <v>1.7618752133632025</v>
      </c>
      <c r="R12" s="77">
        <f t="shared" si="1"/>
        <v>1</v>
      </c>
      <c r="S12" s="123">
        <v>3.7051095809500736</v>
      </c>
      <c r="T12" s="124">
        <v>3.5587259306867058</v>
      </c>
      <c r="U12" s="124">
        <v>3.5238286877904792</v>
      </c>
      <c r="V12" s="124">
        <v>3.5342062437887241</v>
      </c>
      <c r="W12" s="124">
        <v>3.5194136495623476</v>
      </c>
      <c r="X12" s="124">
        <v>3.7335276992843203</v>
      </c>
      <c r="Y12" s="124">
        <v>3.9685305415134198</v>
      </c>
      <c r="Z12" s="123">
        <v>4.711763227074247E-2</v>
      </c>
      <c r="AA12" s="124">
        <v>4.7076222301675422E-2</v>
      </c>
      <c r="AB12" s="124">
        <v>4.708522369078099E-2</v>
      </c>
      <c r="AC12" s="124">
        <v>4.7176709103646824E-2</v>
      </c>
      <c r="AD12" s="124">
        <v>4.717776326487174E-2</v>
      </c>
      <c r="AE12" s="124">
        <v>4.7216534165791725E-2</v>
      </c>
      <c r="AF12" s="124">
        <v>4.7318122954727863E-2</v>
      </c>
      <c r="AG12" s="123">
        <v>5.6270053866831697E-2</v>
      </c>
      <c r="AH12" s="124">
        <v>5.6270053866831697E-2</v>
      </c>
      <c r="AI12" s="124">
        <v>5.6270053866831697E-2</v>
      </c>
      <c r="AJ12" s="124">
        <v>5.6270053866831697E-2</v>
      </c>
      <c r="AK12" s="124">
        <v>5.6270053866831697E-2</v>
      </c>
      <c r="AL12" s="124">
        <v>5.6270053866831697E-2</v>
      </c>
      <c r="AM12" s="124">
        <v>5.6270053866831697E-2</v>
      </c>
      <c r="AN12" s="123">
        <v>8.8066221093429444</v>
      </c>
      <c r="AO12" s="124">
        <v>7.8805246472589818</v>
      </c>
      <c r="AP12" s="124">
        <v>7.9815819668975196</v>
      </c>
      <c r="AQ12" s="124">
        <v>8.0273286460101083</v>
      </c>
      <c r="AR12" s="124">
        <v>8.1944991740696853</v>
      </c>
      <c r="AS12" s="124">
        <v>10.901297412126583</v>
      </c>
      <c r="AT12" s="91">
        <v>13.574365166777714</v>
      </c>
    </row>
    <row r="13" spans="1:46" x14ac:dyDescent="0.25">
      <c r="A13" s="77">
        <f>INDEX(RegXWalk!A:A,MATCH(B13,RegXWalk!B:B,0))</f>
        <v>5</v>
      </c>
      <c r="B13" s="90" t="s">
        <v>33</v>
      </c>
      <c r="C13" s="123">
        <v>0.1265773476087208</v>
      </c>
      <c r="D13" s="124">
        <v>0.1265773476087208</v>
      </c>
      <c r="E13" s="124">
        <v>0.1265773476087208</v>
      </c>
      <c r="F13" s="124">
        <v>0.1265773476087208</v>
      </c>
      <c r="G13" s="124">
        <v>0.1265773476087208</v>
      </c>
      <c r="H13" s="124">
        <v>0.12657734886137939</v>
      </c>
      <c r="I13" s="124">
        <v>0.12657734886137939</v>
      </c>
      <c r="J13" s="103">
        <f t="shared" si="0"/>
        <v>5</v>
      </c>
      <c r="K13" s="123">
        <v>0.39753976682162989</v>
      </c>
      <c r="L13" s="124">
        <v>0.38811978524398277</v>
      </c>
      <c r="M13" s="124">
        <v>0.40387731237628649</v>
      </c>
      <c r="N13" s="124">
        <v>0.40387731237628649</v>
      </c>
      <c r="O13" s="124">
        <v>0.40387731237628649</v>
      </c>
      <c r="P13" s="124">
        <v>0.30604017322607457</v>
      </c>
      <c r="Q13" s="124">
        <v>0.30604017322607452</v>
      </c>
      <c r="R13" s="77">
        <f t="shared" si="1"/>
        <v>5</v>
      </c>
      <c r="S13" s="123">
        <v>0.78434671749922991</v>
      </c>
      <c r="T13" s="124">
        <v>0.7613719871522322</v>
      </c>
      <c r="U13" s="124">
        <v>0.79141538296385816</v>
      </c>
      <c r="V13" s="124">
        <v>0.77712951428453592</v>
      </c>
      <c r="W13" s="124">
        <v>0.75528735941753755</v>
      </c>
      <c r="X13" s="124">
        <v>0.62064471825368961</v>
      </c>
      <c r="Y13" s="124">
        <v>0.50317821032337662</v>
      </c>
      <c r="Z13" s="123">
        <v>1.7028160444112483E-6</v>
      </c>
      <c r="AA13" s="124">
        <v>1.6618342080470151E-6</v>
      </c>
      <c r="AB13" s="124">
        <v>1.7118021223049276E-6</v>
      </c>
      <c r="AC13" s="124">
        <v>1.6844162211827222E-6</v>
      </c>
      <c r="AD13" s="124">
        <v>1.6425393670254967E-6</v>
      </c>
      <c r="AE13" s="124">
        <v>1.1569974703374217E-6</v>
      </c>
      <c r="AF13" s="124">
        <v>8.2809124813254178E-7</v>
      </c>
      <c r="AG13" s="123">
        <v>0</v>
      </c>
      <c r="AH13" s="124">
        <v>0</v>
      </c>
      <c r="AI13" s="124">
        <v>0</v>
      </c>
      <c r="AJ13" s="124">
        <v>0</v>
      </c>
      <c r="AK13" s="124">
        <v>0</v>
      </c>
      <c r="AL13" s="124">
        <v>0</v>
      </c>
      <c r="AM13" s="124">
        <v>0</v>
      </c>
      <c r="AN13" s="123">
        <v>1.9724409346591574</v>
      </c>
      <c r="AO13" s="124">
        <v>1.9381684103625545</v>
      </c>
      <c r="AP13" s="124">
        <v>1.9799558632291006</v>
      </c>
      <c r="AQ13" s="124">
        <v>1.9570534253477589</v>
      </c>
      <c r="AR13" s="124">
        <v>1.9220324104568449</v>
      </c>
      <c r="AS13" s="124">
        <v>1.5159806635972743</v>
      </c>
      <c r="AT13" s="91">
        <v>1.2409210886276525</v>
      </c>
    </row>
    <row r="14" spans="1:46" x14ac:dyDescent="0.25">
      <c r="A14" s="77">
        <f>INDEX(RegXWalk!A:A,MATCH(B14,RegXWalk!B:B,0))</f>
        <v>5</v>
      </c>
      <c r="B14" s="90" t="s">
        <v>198</v>
      </c>
      <c r="C14" s="123">
        <v>0</v>
      </c>
      <c r="D14" s="124">
        <v>0</v>
      </c>
      <c r="E14" s="124">
        <v>0</v>
      </c>
      <c r="F14" s="124">
        <v>0</v>
      </c>
      <c r="G14" s="124">
        <v>0</v>
      </c>
      <c r="H14" s="124">
        <v>0</v>
      </c>
      <c r="I14" s="124">
        <v>0.130802040648</v>
      </c>
      <c r="J14" s="103">
        <f t="shared" si="0"/>
        <v>5</v>
      </c>
      <c r="K14" s="123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1.3707337136400001E-2</v>
      </c>
      <c r="R14" s="77">
        <f t="shared" si="1"/>
        <v>5</v>
      </c>
      <c r="S14" s="123">
        <v>0</v>
      </c>
      <c r="T14" s="124">
        <v>0</v>
      </c>
      <c r="U14" s="124">
        <v>0</v>
      </c>
      <c r="V14" s="124">
        <v>0</v>
      </c>
      <c r="W14" s="124">
        <v>0</v>
      </c>
      <c r="X14" s="124">
        <v>0</v>
      </c>
      <c r="Y14" s="124">
        <v>3.2700510161999999E-2</v>
      </c>
      <c r="Z14" s="123">
        <v>0</v>
      </c>
      <c r="AA14" s="124">
        <v>0</v>
      </c>
      <c r="AB14" s="124">
        <v>0</v>
      </c>
      <c r="AC14" s="124">
        <v>0</v>
      </c>
      <c r="AD14" s="124">
        <v>0</v>
      </c>
      <c r="AE14" s="124">
        <v>0</v>
      </c>
      <c r="AF14" s="124">
        <v>9.3196453961700003E-4</v>
      </c>
      <c r="AG14" s="123">
        <v>0</v>
      </c>
      <c r="AH14" s="124">
        <v>0</v>
      </c>
      <c r="AI14" s="124">
        <v>0</v>
      </c>
      <c r="AJ14" s="124">
        <v>0</v>
      </c>
      <c r="AK14" s="124">
        <v>0</v>
      </c>
      <c r="AL14" s="124">
        <v>0</v>
      </c>
      <c r="AM14" s="124">
        <v>0</v>
      </c>
      <c r="AN14" s="123">
        <v>0</v>
      </c>
      <c r="AO14" s="124">
        <v>0</v>
      </c>
      <c r="AP14" s="124">
        <v>0</v>
      </c>
      <c r="AQ14" s="124">
        <v>0</v>
      </c>
      <c r="AR14" s="124">
        <v>0</v>
      </c>
      <c r="AS14" s="124">
        <v>0</v>
      </c>
      <c r="AT14" s="91">
        <v>0.31882997407950003</v>
      </c>
    </row>
    <row r="15" spans="1:46" x14ac:dyDescent="0.25">
      <c r="A15" s="77">
        <f>INDEX(RegXWalk!A:A,MATCH(B15,RegXWalk!B:B,0))</f>
        <v>5</v>
      </c>
      <c r="B15" s="90" t="s">
        <v>34</v>
      </c>
      <c r="C15" s="123">
        <v>77.313031489733618</v>
      </c>
      <c r="D15" s="124">
        <v>81.773971050642089</v>
      </c>
      <c r="E15" s="124">
        <v>81.178855074566428</v>
      </c>
      <c r="F15" s="124">
        <v>80.921610189851236</v>
      </c>
      <c r="G15" s="124">
        <v>72.583875111126787</v>
      </c>
      <c r="H15" s="124">
        <v>61.397965990584702</v>
      </c>
      <c r="I15" s="124">
        <v>44.627736340515398</v>
      </c>
      <c r="J15" s="103">
        <f t="shared" si="0"/>
        <v>5</v>
      </c>
      <c r="K15" s="123">
        <v>29.374548091548611</v>
      </c>
      <c r="L15" s="124">
        <v>33.178502795282405</v>
      </c>
      <c r="M15" s="124">
        <v>33.384963791511346</v>
      </c>
      <c r="N15" s="124">
        <v>35.119026662003648</v>
      </c>
      <c r="O15" s="124">
        <v>32.881557472857665</v>
      </c>
      <c r="P15" s="124">
        <v>31.318418685474128</v>
      </c>
      <c r="Q15" s="124">
        <v>32.490303290655675</v>
      </c>
      <c r="R15" s="77">
        <f t="shared" si="1"/>
        <v>5</v>
      </c>
      <c r="S15" s="123">
        <v>62.960904873529024</v>
      </c>
      <c r="T15" s="124">
        <v>71.339624295272529</v>
      </c>
      <c r="U15" s="124">
        <v>67.710360028280533</v>
      </c>
      <c r="V15" s="124">
        <v>73.253078805659214</v>
      </c>
      <c r="W15" s="124">
        <v>70.308347420445074</v>
      </c>
      <c r="X15" s="124">
        <v>68.082423009294729</v>
      </c>
      <c r="Y15" s="124">
        <v>70.603687401752907</v>
      </c>
      <c r="Z15" s="123">
        <v>0.26445214739739203</v>
      </c>
      <c r="AA15" s="124">
        <v>0.2864185503898643</v>
      </c>
      <c r="AB15" s="124">
        <v>0.28415244280072344</v>
      </c>
      <c r="AC15" s="124">
        <v>0.29251650617281083</v>
      </c>
      <c r="AD15" s="124">
        <v>0.2834887908765602</v>
      </c>
      <c r="AE15" s="124">
        <v>0.27701904028329677</v>
      </c>
      <c r="AF15" s="124">
        <v>0.24467724111843467</v>
      </c>
      <c r="AG15" s="123">
        <v>0.18560780932623971</v>
      </c>
      <c r="AH15" s="124">
        <v>0.28996895257187472</v>
      </c>
      <c r="AI15" s="124">
        <v>0.2157775663330011</v>
      </c>
      <c r="AJ15" s="124">
        <v>0.30429709054506648</v>
      </c>
      <c r="AK15" s="124">
        <v>0.284296288408661</v>
      </c>
      <c r="AL15" s="124">
        <v>0.18824145662023112</v>
      </c>
      <c r="AM15" s="124">
        <v>0.12717750588806159</v>
      </c>
      <c r="AN15" s="123">
        <v>123.70087390106715</v>
      </c>
      <c r="AO15" s="124">
        <v>132.09842675256124</v>
      </c>
      <c r="AP15" s="124">
        <v>130.28036007744922</v>
      </c>
      <c r="AQ15" s="124">
        <v>140.40175447966553</v>
      </c>
      <c r="AR15" s="124">
        <v>153.75762074907405</v>
      </c>
      <c r="AS15" s="124">
        <v>168.81656672921514</v>
      </c>
      <c r="AT15" s="91">
        <v>184.41864044319252</v>
      </c>
    </row>
    <row r="16" spans="1:46" x14ac:dyDescent="0.25">
      <c r="A16" s="77">
        <f>INDEX(RegXWalk!A:A,MATCH(B16,RegXWalk!B:B,0))</f>
        <v>5</v>
      </c>
      <c r="B16" s="90" t="s">
        <v>35</v>
      </c>
      <c r="C16" s="123">
        <v>23.34821670062621</v>
      </c>
      <c r="D16" s="124">
        <v>26.635538011881799</v>
      </c>
      <c r="E16" s="124">
        <v>27.100550466559849</v>
      </c>
      <c r="F16" s="124">
        <v>29.03532120417724</v>
      </c>
      <c r="G16" s="124">
        <v>29.193564557366422</v>
      </c>
      <c r="H16" s="124">
        <v>27.814410818751309</v>
      </c>
      <c r="I16" s="124">
        <v>30.436343977992831</v>
      </c>
      <c r="J16" s="103">
        <f t="shared" si="0"/>
        <v>5</v>
      </c>
      <c r="K16" s="123">
        <v>10.339826287655601</v>
      </c>
      <c r="L16" s="124">
        <v>9.5353692090840045</v>
      </c>
      <c r="M16" s="124">
        <v>9.7268056171015616</v>
      </c>
      <c r="N16" s="124">
        <v>12.694492917985254</v>
      </c>
      <c r="O16" s="124">
        <v>10.753945661175536</v>
      </c>
      <c r="P16" s="124">
        <v>10.425307990280187</v>
      </c>
      <c r="Q16" s="124">
        <v>11.316738389862325</v>
      </c>
      <c r="R16" s="77">
        <f t="shared" si="1"/>
        <v>5</v>
      </c>
      <c r="S16" s="123">
        <v>24.814506835868045</v>
      </c>
      <c r="T16" s="124">
        <v>25.170025475196731</v>
      </c>
      <c r="U16" s="124">
        <v>25.387121879467333</v>
      </c>
      <c r="V16" s="124">
        <v>29.623231548960565</v>
      </c>
      <c r="W16" s="124">
        <v>26.929192618994627</v>
      </c>
      <c r="X16" s="124">
        <v>24.816319924844166</v>
      </c>
      <c r="Y16" s="124">
        <v>28.833889417593817</v>
      </c>
      <c r="Z16" s="123">
        <v>0.14366577364512845</v>
      </c>
      <c r="AA16" s="124">
        <v>0.15517689504260404</v>
      </c>
      <c r="AB16" s="124">
        <v>0.1576430500269905</v>
      </c>
      <c r="AC16" s="124">
        <v>0.1688985484960914</v>
      </c>
      <c r="AD16" s="124">
        <v>0.17642580069658093</v>
      </c>
      <c r="AE16" s="124">
        <v>0.17222315346949724</v>
      </c>
      <c r="AF16" s="124">
        <v>0.19588347556661687</v>
      </c>
      <c r="AG16" s="123">
        <v>6.6664982802049119E-2</v>
      </c>
      <c r="AH16" s="124">
        <v>0.1681529366738834</v>
      </c>
      <c r="AI16" s="124">
        <v>0.16435863397324924</v>
      </c>
      <c r="AJ16" s="124">
        <v>0.20822652070732478</v>
      </c>
      <c r="AK16" s="124">
        <v>0.17854253562463082</v>
      </c>
      <c r="AL16" s="124">
        <v>0.17835188248842476</v>
      </c>
      <c r="AM16" s="124">
        <v>0.20296340625788331</v>
      </c>
      <c r="AN16" s="123">
        <v>65.722583631959608</v>
      </c>
      <c r="AO16" s="124">
        <v>66.811152578707237</v>
      </c>
      <c r="AP16" s="124">
        <v>69.320732929314261</v>
      </c>
      <c r="AQ16" s="124">
        <v>77.906329734500673</v>
      </c>
      <c r="AR16" s="124">
        <v>74.510485239398534</v>
      </c>
      <c r="AS16" s="124">
        <v>69.082661961186986</v>
      </c>
      <c r="AT16" s="91">
        <v>81.968767837306061</v>
      </c>
    </row>
    <row r="17" spans="1:46" x14ac:dyDescent="0.25">
      <c r="A17" s="77">
        <f>INDEX(RegXWalk!A:A,MATCH(B17,RegXWalk!B:B,0))</f>
        <v>8</v>
      </c>
      <c r="B17" s="90" t="s">
        <v>140</v>
      </c>
      <c r="C17" s="123">
        <v>0.15471037997280002</v>
      </c>
      <c r="D17" s="124">
        <v>0.17556360817504002</v>
      </c>
      <c r="E17" s="124">
        <v>0.17556360817504002</v>
      </c>
      <c r="F17" s="124">
        <v>0.18711092609759999</v>
      </c>
      <c r="G17" s="124">
        <v>0.18711092609759999</v>
      </c>
      <c r="H17" s="124">
        <v>0.18711092609759999</v>
      </c>
      <c r="I17" s="124">
        <v>0.18711092609759999</v>
      </c>
      <c r="J17" s="103">
        <f t="shared" si="0"/>
        <v>8</v>
      </c>
      <c r="K17" s="123">
        <v>0.19953981519018482</v>
      </c>
      <c r="L17" s="124">
        <v>0.20629750881914538</v>
      </c>
      <c r="M17" s="124">
        <v>0.20629750881914538</v>
      </c>
      <c r="N17" s="124">
        <v>0.32054494530266997</v>
      </c>
      <c r="O17" s="124">
        <v>0.32054494530266997</v>
      </c>
      <c r="P17" s="124">
        <v>0.63459186074503304</v>
      </c>
      <c r="Q17" s="124">
        <v>1.1356279433890049</v>
      </c>
      <c r="R17" s="77">
        <f t="shared" si="1"/>
        <v>8</v>
      </c>
      <c r="S17" s="123">
        <v>0.55573345563036891</v>
      </c>
      <c r="T17" s="124">
        <v>0.61642224271875812</v>
      </c>
      <c r="U17" s="124">
        <v>0.61642224271875812</v>
      </c>
      <c r="V17" s="124">
        <v>0.95721376387828228</v>
      </c>
      <c r="W17" s="124">
        <v>0.95721376387828228</v>
      </c>
      <c r="X17" s="124">
        <v>1.6414577778516586</v>
      </c>
      <c r="Y17" s="124">
        <v>2.8146881433070963</v>
      </c>
      <c r="Z17" s="123">
        <v>2.357541721973647E-3</v>
      </c>
      <c r="AA17" s="124">
        <v>2.5061237576601844E-3</v>
      </c>
      <c r="AB17" s="124">
        <v>2.5061237576601844E-3</v>
      </c>
      <c r="AC17" s="124">
        <v>2.5895095730654261E-3</v>
      </c>
      <c r="AD17" s="124">
        <v>2.5895095809748215E-3</v>
      </c>
      <c r="AE17" s="124">
        <v>2.5977305719546593E-3</v>
      </c>
      <c r="AF17" s="124">
        <v>2.6125936715998255E-3</v>
      </c>
      <c r="AG17" s="123">
        <v>0</v>
      </c>
      <c r="AH17" s="124">
        <v>0</v>
      </c>
      <c r="AI17" s="124">
        <v>0</v>
      </c>
      <c r="AJ17" s="124">
        <v>0</v>
      </c>
      <c r="AK17" s="124">
        <v>0</v>
      </c>
      <c r="AL17" s="124">
        <v>0</v>
      </c>
      <c r="AM17" s="124">
        <v>0</v>
      </c>
      <c r="AN17" s="123">
        <v>0.93367970791844046</v>
      </c>
      <c r="AO17" s="124">
        <v>0.98683829460597061</v>
      </c>
      <c r="AP17" s="124">
        <v>0.98683829460597061</v>
      </c>
      <c r="AQ17" s="124">
        <v>1.9442545767264596</v>
      </c>
      <c r="AR17" s="124">
        <v>1.9442545767264596</v>
      </c>
      <c r="AS17" s="124">
        <v>8.8193585033798136</v>
      </c>
      <c r="AT17" s="91">
        <v>21.249150745995554</v>
      </c>
    </row>
    <row r="18" spans="1:46" x14ac:dyDescent="0.25">
      <c r="A18" s="77">
        <f>INDEX(RegXWalk!A:A,MATCH(B18,RegXWalk!B:B,0))</f>
        <v>3</v>
      </c>
      <c r="B18" s="90" t="s">
        <v>3</v>
      </c>
      <c r="C18" s="123">
        <v>48.997313682258024</v>
      </c>
      <c r="D18" s="124">
        <v>51.705424394528215</v>
      </c>
      <c r="E18" s="124">
        <v>51.989816150904268</v>
      </c>
      <c r="F18" s="124">
        <v>53.211046494183343</v>
      </c>
      <c r="G18" s="124">
        <v>55.139830960467016</v>
      </c>
      <c r="H18" s="124">
        <v>55.406704416746095</v>
      </c>
      <c r="I18" s="124">
        <v>55.44497863948952</v>
      </c>
      <c r="J18" s="103">
        <f t="shared" si="0"/>
        <v>3</v>
      </c>
      <c r="K18" s="123">
        <v>15.411115380080734</v>
      </c>
      <c r="L18" s="124">
        <v>15.80951490274443</v>
      </c>
      <c r="M18" s="124">
        <v>16.049390938077202</v>
      </c>
      <c r="N18" s="124">
        <v>16.479718417485746</v>
      </c>
      <c r="O18" s="124">
        <v>16.406246690444924</v>
      </c>
      <c r="P18" s="124">
        <v>16.44629879045873</v>
      </c>
      <c r="Q18" s="124">
        <v>17.148248115949841</v>
      </c>
      <c r="R18" s="77">
        <f t="shared" si="1"/>
        <v>3</v>
      </c>
      <c r="S18" s="123">
        <v>35.079458984727808</v>
      </c>
      <c r="T18" s="124">
        <v>35.573483726621575</v>
      </c>
      <c r="U18" s="124">
        <v>35.718488172283571</v>
      </c>
      <c r="V18" s="124">
        <v>36.237722762222376</v>
      </c>
      <c r="W18" s="124">
        <v>36.133966931273434</v>
      </c>
      <c r="X18" s="124">
        <v>36.198698032092508</v>
      </c>
      <c r="Y18" s="124">
        <v>37.721383304812534</v>
      </c>
      <c r="Z18" s="123">
        <v>0.22193837747829528</v>
      </c>
      <c r="AA18" s="124">
        <v>0.23235153379302073</v>
      </c>
      <c r="AB18" s="124">
        <v>0.2271398309384591</v>
      </c>
      <c r="AC18" s="124">
        <v>0.22694220868048254</v>
      </c>
      <c r="AD18" s="124">
        <v>0.2303073923580217</v>
      </c>
      <c r="AE18" s="124">
        <v>0.23425884544921272</v>
      </c>
      <c r="AF18" s="124">
        <v>0.23483570373426293</v>
      </c>
      <c r="AG18" s="123">
        <v>0.19377618734837959</v>
      </c>
      <c r="AH18" s="124">
        <v>0.20242405063866256</v>
      </c>
      <c r="AI18" s="124">
        <v>0.48676490827706648</v>
      </c>
      <c r="AJ18" s="124">
        <v>0.48570668834627956</v>
      </c>
      <c r="AK18" s="124">
        <v>0.48654809409919614</v>
      </c>
      <c r="AL18" s="124">
        <v>0.48645241376270704</v>
      </c>
      <c r="AM18" s="124">
        <v>0.48654809931956577</v>
      </c>
      <c r="AN18" s="123">
        <v>92.665541270340668</v>
      </c>
      <c r="AO18" s="124">
        <v>94.228220555464219</v>
      </c>
      <c r="AP18" s="124">
        <v>93.743658933212018</v>
      </c>
      <c r="AQ18" s="124">
        <v>94.442642658309538</v>
      </c>
      <c r="AR18" s="124">
        <v>94.333117224367854</v>
      </c>
      <c r="AS18" s="124">
        <v>95.862132606708556</v>
      </c>
      <c r="AT18" s="91">
        <v>112.12412091719732</v>
      </c>
    </row>
    <row r="19" spans="1:46" x14ac:dyDescent="0.25">
      <c r="A19" s="77">
        <f>INDEX(RegXWalk!A:A,MATCH(B19,RegXWalk!B:B,0))</f>
        <v>3</v>
      </c>
      <c r="B19" s="90" t="s">
        <v>4</v>
      </c>
      <c r="C19" s="123">
        <v>116.34568323682028</v>
      </c>
      <c r="D19" s="124">
        <v>129.55241130067841</v>
      </c>
      <c r="E19" s="124">
        <v>129.75922548734664</v>
      </c>
      <c r="F19" s="124">
        <v>140.70526962127892</v>
      </c>
      <c r="G19" s="124">
        <v>128.25507179566532</v>
      </c>
      <c r="H19" s="124">
        <v>122.63015122994032</v>
      </c>
      <c r="I19" s="124">
        <v>125.91341589144734</v>
      </c>
      <c r="J19" s="103">
        <f t="shared" si="0"/>
        <v>3</v>
      </c>
      <c r="K19" s="123">
        <v>41.747051893169257</v>
      </c>
      <c r="L19" s="124">
        <v>43.910072236168702</v>
      </c>
      <c r="M19" s="124">
        <v>43.289319796357105</v>
      </c>
      <c r="N19" s="124">
        <v>44.413115519868768</v>
      </c>
      <c r="O19" s="124">
        <v>36.757862825411451</v>
      </c>
      <c r="P19" s="124">
        <v>36.295227114611009</v>
      </c>
      <c r="Q19" s="124">
        <v>38.238777687496324</v>
      </c>
      <c r="R19" s="77">
        <f t="shared" si="1"/>
        <v>3</v>
      </c>
      <c r="S19" s="123">
        <v>95.488093628669063</v>
      </c>
      <c r="T19" s="124">
        <v>100.93494750392988</v>
      </c>
      <c r="U19" s="124">
        <v>99.302241971995826</v>
      </c>
      <c r="V19" s="124">
        <v>101.93378195058483</v>
      </c>
      <c r="W19" s="124">
        <v>85.004885606911415</v>
      </c>
      <c r="X19" s="124">
        <v>83.508022944222006</v>
      </c>
      <c r="Y19" s="124">
        <v>88.396529987608488</v>
      </c>
      <c r="Z19" s="123">
        <v>0.32591179994327296</v>
      </c>
      <c r="AA19" s="124">
        <v>0.32952049652940929</v>
      </c>
      <c r="AB19" s="124">
        <v>0.32266621816529045</v>
      </c>
      <c r="AC19" s="124">
        <v>0.3314871295052586</v>
      </c>
      <c r="AD19" s="124">
        <v>0.34202285101525953</v>
      </c>
      <c r="AE19" s="124">
        <v>0.32823528063302859</v>
      </c>
      <c r="AF19" s="124">
        <v>0.36232946925087006</v>
      </c>
      <c r="AG19" s="123">
        <v>0.31245952526168908</v>
      </c>
      <c r="AH19" s="124">
        <v>0.51899169462632233</v>
      </c>
      <c r="AI19" s="124">
        <v>0.52486047493790455</v>
      </c>
      <c r="AJ19" s="124">
        <v>0.54431636703530584</v>
      </c>
      <c r="AK19" s="124">
        <v>0.54129257644902573</v>
      </c>
      <c r="AL19" s="124">
        <v>0.52541858073702075</v>
      </c>
      <c r="AM19" s="124">
        <v>0.5074125894409609</v>
      </c>
      <c r="AN19" s="123">
        <v>106.48125770501296</v>
      </c>
      <c r="AO19" s="124">
        <v>114.05977338675461</v>
      </c>
      <c r="AP19" s="124">
        <v>111.3547551158718</v>
      </c>
      <c r="AQ19" s="124">
        <v>115.53145947304436</v>
      </c>
      <c r="AR19" s="124">
        <v>113.68963837690588</v>
      </c>
      <c r="AS19" s="124">
        <v>111.80303840504011</v>
      </c>
      <c r="AT19" s="91">
        <v>129.79244313075</v>
      </c>
    </row>
    <row r="20" spans="1:46" x14ac:dyDescent="0.25">
      <c r="A20" s="77">
        <f>INDEX(RegXWalk!A:A,MATCH(B20,RegXWalk!B:B,0))</f>
        <v>4</v>
      </c>
      <c r="B20" s="90" t="s">
        <v>26</v>
      </c>
      <c r="C20" s="123">
        <v>13.920422854942979</v>
      </c>
      <c r="D20" s="124">
        <v>14.721477964998275</v>
      </c>
      <c r="E20" s="124">
        <v>14.200807457881369</v>
      </c>
      <c r="F20" s="124">
        <v>14.580841014617196</v>
      </c>
      <c r="G20" s="124">
        <v>14.438994512577121</v>
      </c>
      <c r="H20" s="124">
        <v>15.992783047193038</v>
      </c>
      <c r="I20" s="124">
        <v>16.461909712122498</v>
      </c>
      <c r="J20" s="103">
        <f t="shared" si="0"/>
        <v>4</v>
      </c>
      <c r="K20" s="123">
        <v>8.655664176280311</v>
      </c>
      <c r="L20" s="124">
        <v>9.3398541484003754</v>
      </c>
      <c r="M20" s="124">
        <v>9.2995920242109218</v>
      </c>
      <c r="N20" s="124">
        <v>9.5857719104206218</v>
      </c>
      <c r="O20" s="124">
        <v>9.5609049648395956</v>
      </c>
      <c r="P20" s="124">
        <v>9.7075264411989259</v>
      </c>
      <c r="Q20" s="124">
        <v>9.9903743480250391</v>
      </c>
      <c r="R20" s="77">
        <f t="shared" si="1"/>
        <v>4</v>
      </c>
      <c r="S20" s="123">
        <v>19.548279096769704</v>
      </c>
      <c r="T20" s="124">
        <v>21.121898346876261</v>
      </c>
      <c r="U20" s="124">
        <v>20.470959828244929</v>
      </c>
      <c r="V20" s="124">
        <v>21.32787783798479</v>
      </c>
      <c r="W20" s="124">
        <v>21.299233949778404</v>
      </c>
      <c r="X20" s="124">
        <v>21.635568163002663</v>
      </c>
      <c r="Y20" s="124">
        <v>22.362406017150359</v>
      </c>
      <c r="Z20" s="123">
        <v>8.6408719334524861E-2</v>
      </c>
      <c r="AA20" s="124">
        <v>9.4736673768489307E-2</v>
      </c>
      <c r="AB20" s="124">
        <v>9.1023960204793114E-2</v>
      </c>
      <c r="AC20" s="124">
        <v>9.4549389518289825E-2</v>
      </c>
      <c r="AD20" s="124">
        <v>9.2824398691280216E-2</v>
      </c>
      <c r="AE20" s="124">
        <v>9.6319013411191381E-2</v>
      </c>
      <c r="AF20" s="124">
        <v>9.6883418322211201E-2</v>
      </c>
      <c r="AG20" s="123">
        <v>4.9242889365350942E-2</v>
      </c>
      <c r="AH20" s="124">
        <v>6.2880451805591625E-2</v>
      </c>
      <c r="AI20" s="124">
        <v>5.9737684879025005E-2</v>
      </c>
      <c r="AJ20" s="124">
        <v>5.8271093876428023E-2</v>
      </c>
      <c r="AK20" s="124">
        <v>5.685678907500881E-2</v>
      </c>
      <c r="AL20" s="124">
        <v>0.23675577436225689</v>
      </c>
      <c r="AM20" s="124">
        <v>0.25512374873958055</v>
      </c>
      <c r="AN20" s="123">
        <v>28.701294724462514</v>
      </c>
      <c r="AO20" s="124">
        <v>31.289302236874978</v>
      </c>
      <c r="AP20" s="124">
        <v>30.297713619226165</v>
      </c>
      <c r="AQ20" s="124">
        <v>31.321385406743502</v>
      </c>
      <c r="AR20" s="124">
        <v>31.68406573816177</v>
      </c>
      <c r="AS20" s="124">
        <v>36.065319630421122</v>
      </c>
      <c r="AT20" s="91">
        <v>39.142090810214029</v>
      </c>
    </row>
    <row r="21" spans="1:46" x14ac:dyDescent="0.25">
      <c r="A21" s="77">
        <f>INDEX(RegXWalk!A:A,MATCH(B21,RegXWalk!B:B,0))</f>
        <v>4</v>
      </c>
      <c r="B21" s="90" t="s">
        <v>27</v>
      </c>
      <c r="C21" s="123">
        <v>14.599921007901299</v>
      </c>
      <c r="D21" s="124">
        <v>14.713545359533233</v>
      </c>
      <c r="E21" s="124">
        <v>14.706425033662383</v>
      </c>
      <c r="F21" s="124">
        <v>14.713545359533233</v>
      </c>
      <c r="G21" s="124">
        <v>14.713545359533233</v>
      </c>
      <c r="H21" s="124">
        <v>14.709055599517393</v>
      </c>
      <c r="I21" s="124">
        <v>15.08744469183798</v>
      </c>
      <c r="J21" s="103">
        <f t="shared" si="0"/>
        <v>4</v>
      </c>
      <c r="K21" s="123">
        <v>11.608478104321037</v>
      </c>
      <c r="L21" s="124">
        <v>11.694419131488084</v>
      </c>
      <c r="M21" s="124">
        <v>11.767357141220876</v>
      </c>
      <c r="N21" s="124">
        <v>11.346891009608184</v>
      </c>
      <c r="O21" s="124">
        <v>12.218086214368215</v>
      </c>
      <c r="P21" s="124">
        <v>11.844891917403334</v>
      </c>
      <c r="Q21" s="124">
        <v>11.792190606361759</v>
      </c>
      <c r="R21" s="77">
        <f t="shared" si="1"/>
        <v>4</v>
      </c>
      <c r="S21" s="123">
        <v>25.548055714698791</v>
      </c>
      <c r="T21" s="124">
        <v>25.526363505014547</v>
      </c>
      <c r="U21" s="124">
        <v>25.552738489246249</v>
      </c>
      <c r="V21" s="124">
        <v>25.140330751185427</v>
      </c>
      <c r="W21" s="124">
        <v>25.937248088216524</v>
      </c>
      <c r="X21" s="124">
        <v>25.713061813715008</v>
      </c>
      <c r="Y21" s="124">
        <v>25.603435486282656</v>
      </c>
      <c r="Z21" s="123">
        <v>0.11066117571978663</v>
      </c>
      <c r="AA21" s="124">
        <v>0.11102698815010037</v>
      </c>
      <c r="AB21" s="124">
        <v>0.11096972520012202</v>
      </c>
      <c r="AC21" s="124">
        <v>0.11102715437588719</v>
      </c>
      <c r="AD21" s="124">
        <v>0.11102727507442656</v>
      </c>
      <c r="AE21" s="124">
        <v>0.10954123793943338</v>
      </c>
      <c r="AF21" s="124">
        <v>0.11739223445371694</v>
      </c>
      <c r="AG21" s="123">
        <v>2.1720605408355791E-2</v>
      </c>
      <c r="AH21" s="124">
        <v>2.1883858787137302E-2</v>
      </c>
      <c r="AI21" s="124">
        <v>2.1874451883377877E-2</v>
      </c>
      <c r="AJ21" s="124">
        <v>2.1883858787137302E-2</v>
      </c>
      <c r="AK21" s="124">
        <v>2.1883858787137302E-2</v>
      </c>
      <c r="AL21" s="124">
        <v>2.1886645724156578E-2</v>
      </c>
      <c r="AM21" s="124">
        <v>2.1687529071522136E-2</v>
      </c>
      <c r="AN21" s="123">
        <v>42.108610303613659</v>
      </c>
      <c r="AO21" s="124">
        <v>41.806865401661547</v>
      </c>
      <c r="AP21" s="124">
        <v>42.149507422342303</v>
      </c>
      <c r="AQ21" s="124">
        <v>41.945877652527592</v>
      </c>
      <c r="AR21" s="124">
        <v>42.04681611674674</v>
      </c>
      <c r="AS21" s="124">
        <v>46.599935718706028</v>
      </c>
      <c r="AT21" s="91">
        <v>46.174754863676938</v>
      </c>
    </row>
    <row r="22" spans="1:46" x14ac:dyDescent="0.25">
      <c r="A22" s="77">
        <f>INDEX(RegXWalk!A:A,MATCH(B22,RegXWalk!B:B,0))</f>
        <v>6</v>
      </c>
      <c r="B22" s="90" t="s">
        <v>131</v>
      </c>
      <c r="C22" s="123">
        <v>90.199984513521983</v>
      </c>
      <c r="D22" s="124">
        <v>82.41285120802101</v>
      </c>
      <c r="E22" s="124">
        <v>81.524815905107545</v>
      </c>
      <c r="F22" s="124">
        <v>99.152869339769666</v>
      </c>
      <c r="G22" s="124">
        <v>95.270975759464434</v>
      </c>
      <c r="H22" s="124">
        <v>96.836506077583877</v>
      </c>
      <c r="I22" s="124">
        <v>99.47745724076276</v>
      </c>
      <c r="J22" s="103">
        <f t="shared" si="0"/>
        <v>6</v>
      </c>
      <c r="K22" s="123">
        <v>33.907368838981213</v>
      </c>
      <c r="L22" s="124">
        <v>31.18404525973019</v>
      </c>
      <c r="M22" s="124">
        <v>30.341001710003148</v>
      </c>
      <c r="N22" s="124">
        <v>32.495078485962125</v>
      </c>
      <c r="O22" s="124">
        <v>31.827848532014578</v>
      </c>
      <c r="P22" s="124">
        <v>31.881992601038444</v>
      </c>
      <c r="Q22" s="124">
        <v>33.247684790854599</v>
      </c>
      <c r="R22" s="77">
        <f t="shared" si="1"/>
        <v>6</v>
      </c>
      <c r="S22" s="123">
        <v>74.499942443222935</v>
      </c>
      <c r="T22" s="124">
        <v>71.682952044533124</v>
      </c>
      <c r="U22" s="124">
        <v>69.338845417207153</v>
      </c>
      <c r="V22" s="124">
        <v>74.654738977060035</v>
      </c>
      <c r="W22" s="124">
        <v>73.090244121398371</v>
      </c>
      <c r="X22" s="124">
        <v>72.821658926762396</v>
      </c>
      <c r="Y22" s="124">
        <v>75.719498670112273</v>
      </c>
      <c r="Z22" s="123">
        <v>0.26112916420980836</v>
      </c>
      <c r="AA22" s="124">
        <v>0.23681233685941727</v>
      </c>
      <c r="AB22" s="124">
        <v>0.22608023534650393</v>
      </c>
      <c r="AC22" s="124">
        <v>0.22932877785637273</v>
      </c>
      <c r="AD22" s="124">
        <v>0.21440787313436224</v>
      </c>
      <c r="AE22" s="124">
        <v>0.21200051116667668</v>
      </c>
      <c r="AF22" s="124">
        <v>0.23749773040249322</v>
      </c>
      <c r="AG22" s="123">
        <v>0.35119346559723258</v>
      </c>
      <c r="AH22" s="124">
        <v>0.32067587497783728</v>
      </c>
      <c r="AI22" s="124">
        <v>0.30373426367758821</v>
      </c>
      <c r="AJ22" s="124">
        <v>0.31668203411975065</v>
      </c>
      <c r="AK22" s="124">
        <v>0.30077217075872015</v>
      </c>
      <c r="AL22" s="124">
        <v>0.29805145327292359</v>
      </c>
      <c r="AM22" s="124">
        <v>0.25985120374770188</v>
      </c>
      <c r="AN22" s="123">
        <v>80.479262564265724</v>
      </c>
      <c r="AO22" s="124">
        <v>72.380854163997242</v>
      </c>
      <c r="AP22" s="124">
        <v>70.517759566618992</v>
      </c>
      <c r="AQ22" s="124">
        <v>79.872357901648101</v>
      </c>
      <c r="AR22" s="124">
        <v>78.369774852078308</v>
      </c>
      <c r="AS22" s="124">
        <v>78.430146508012228</v>
      </c>
      <c r="AT22" s="91">
        <v>82.212800247146077</v>
      </c>
    </row>
    <row r="23" spans="1:46" x14ac:dyDescent="0.25">
      <c r="A23" s="77">
        <f>INDEX(RegXWalk!A:A,MATCH(B23,RegXWalk!B:B,0))</f>
        <v>7</v>
      </c>
      <c r="B23" s="90" t="s">
        <v>135</v>
      </c>
      <c r="C23" s="123">
        <v>17.441358157779661</v>
      </c>
      <c r="D23" s="124">
        <v>30.799827069205733</v>
      </c>
      <c r="E23" s="124">
        <v>29.771643568772735</v>
      </c>
      <c r="F23" s="124">
        <v>33.203017934669113</v>
      </c>
      <c r="G23" s="124">
        <v>33.203017933681799</v>
      </c>
      <c r="H23" s="124">
        <v>33.103411702485914</v>
      </c>
      <c r="I23" s="124">
        <v>33.391925420208167</v>
      </c>
      <c r="J23" s="103">
        <f t="shared" si="0"/>
        <v>7</v>
      </c>
      <c r="K23" s="123">
        <v>12.692168410033634</v>
      </c>
      <c r="L23" s="124">
        <v>13.908300183702931</v>
      </c>
      <c r="M23" s="124">
        <v>13.130176954054047</v>
      </c>
      <c r="N23" s="124">
        <v>13.172778877466691</v>
      </c>
      <c r="O23" s="124">
        <v>11.613962822144327</v>
      </c>
      <c r="P23" s="124">
        <v>9.0694269257976146</v>
      </c>
      <c r="Q23" s="124">
        <v>9.3211091073882297</v>
      </c>
      <c r="R23" s="77">
        <f t="shared" si="1"/>
        <v>7</v>
      </c>
      <c r="S23" s="123">
        <v>25.170504770343396</v>
      </c>
      <c r="T23" s="124">
        <v>27.559058526083476</v>
      </c>
      <c r="U23" s="124">
        <v>26.485115699170453</v>
      </c>
      <c r="V23" s="124">
        <v>26.470781237113361</v>
      </c>
      <c r="W23" s="124">
        <v>22.308291153937539</v>
      </c>
      <c r="X23" s="124">
        <v>19.376595545873045</v>
      </c>
      <c r="Y23" s="124">
        <v>20.42225240763042</v>
      </c>
      <c r="Z23" s="123">
        <v>6.1206996936070707E-2</v>
      </c>
      <c r="AA23" s="124">
        <v>6.5950885483465921E-2</v>
      </c>
      <c r="AB23" s="124">
        <v>6.203316855970669E-2</v>
      </c>
      <c r="AC23" s="124">
        <v>6.6053680614015384E-2</v>
      </c>
      <c r="AD23" s="124">
        <v>6.6051273489756687E-2</v>
      </c>
      <c r="AE23" s="124">
        <v>6.5287369166734777E-2</v>
      </c>
      <c r="AF23" s="124">
        <v>6.6149452843553697E-2</v>
      </c>
      <c r="AG23" s="123">
        <v>1.7926127876441041E-2</v>
      </c>
      <c r="AH23" s="124">
        <v>2.9342696053602915E-2</v>
      </c>
      <c r="AI23" s="124">
        <v>2.3635592903302267E-2</v>
      </c>
      <c r="AJ23" s="124">
        <v>2.6198529886204691E-2</v>
      </c>
      <c r="AK23" s="124">
        <v>2.6198529884461429E-2</v>
      </c>
      <c r="AL23" s="124">
        <v>2.5897900207778133E-2</v>
      </c>
      <c r="AM23" s="124">
        <v>2.627952284165902E-2</v>
      </c>
      <c r="AN23" s="123">
        <v>35.995316518392883</v>
      </c>
      <c r="AO23" s="124">
        <v>40.698843142123778</v>
      </c>
      <c r="AP23" s="124">
        <v>40.894951167948896</v>
      </c>
      <c r="AQ23" s="124">
        <v>44.562345645629655</v>
      </c>
      <c r="AR23" s="124">
        <v>42.549304008412427</v>
      </c>
      <c r="AS23" s="124">
        <v>42.191673640729505</v>
      </c>
      <c r="AT23" s="91">
        <v>58.205509325466842</v>
      </c>
    </row>
    <row r="24" spans="1:46" x14ac:dyDescent="0.25">
      <c r="A24" s="77">
        <f>INDEX(RegXWalk!A:A,MATCH(B24,RegXWalk!B:B,0))</f>
        <v>1</v>
      </c>
      <c r="B24" s="90" t="s">
        <v>115</v>
      </c>
      <c r="C24" s="123">
        <v>1.6960872850503224</v>
      </c>
      <c r="D24" s="124">
        <v>1.118364123767343</v>
      </c>
      <c r="E24" s="124">
        <v>1.118364123767343</v>
      </c>
      <c r="F24" s="124">
        <v>1.118364123767343</v>
      </c>
      <c r="G24" s="124">
        <v>1.118364123767343</v>
      </c>
      <c r="H24" s="124">
        <v>1.1183641231136894</v>
      </c>
      <c r="I24" s="124">
        <v>1.1183641231136896</v>
      </c>
      <c r="J24" s="103">
        <f t="shared" si="0"/>
        <v>1</v>
      </c>
      <c r="K24" s="123">
        <v>1.6087334951695029</v>
      </c>
      <c r="L24" s="124">
        <v>1.5761572902229799</v>
      </c>
      <c r="M24" s="124">
        <v>1.5761572902229799</v>
      </c>
      <c r="N24" s="124">
        <v>1.5761572902229799</v>
      </c>
      <c r="O24" s="124">
        <v>1.581989905691958</v>
      </c>
      <c r="P24" s="124">
        <v>1.5771786767802916</v>
      </c>
      <c r="Q24" s="124">
        <v>1.5377759423618478</v>
      </c>
      <c r="R24" s="77">
        <f t="shared" si="1"/>
        <v>1</v>
      </c>
      <c r="S24" s="123">
        <v>3.7691696711807827</v>
      </c>
      <c r="T24" s="124">
        <v>3.6736523752377579</v>
      </c>
      <c r="U24" s="124">
        <v>3.6768005781583111</v>
      </c>
      <c r="V24" s="124">
        <v>3.675276599783897</v>
      </c>
      <c r="W24" s="124">
        <v>3.7025660639850373</v>
      </c>
      <c r="X24" s="124">
        <v>3.6882068819323295</v>
      </c>
      <c r="Y24" s="124">
        <v>3.5394345640336273</v>
      </c>
      <c r="Z24" s="123">
        <v>1.5186736737590828E-2</v>
      </c>
      <c r="AA24" s="124">
        <v>1.4920030192619799E-2</v>
      </c>
      <c r="AB24" s="124">
        <v>1.4920073161184818E-2</v>
      </c>
      <c r="AC24" s="124">
        <v>1.49200376699146E-2</v>
      </c>
      <c r="AD24" s="124">
        <v>1.4920163299938661E-2</v>
      </c>
      <c r="AE24" s="124">
        <v>1.4920082901293753E-2</v>
      </c>
      <c r="AF24" s="124">
        <v>1.4918476875633007E-2</v>
      </c>
      <c r="AG24" s="123">
        <v>0</v>
      </c>
      <c r="AH24" s="124">
        <v>0</v>
      </c>
      <c r="AI24" s="124">
        <v>0</v>
      </c>
      <c r="AJ24" s="124">
        <v>0</v>
      </c>
      <c r="AK24" s="124">
        <v>0</v>
      </c>
      <c r="AL24" s="124">
        <v>0</v>
      </c>
      <c r="AM24" s="124">
        <v>0</v>
      </c>
      <c r="AN24" s="123">
        <v>6.3883228676824722</v>
      </c>
      <c r="AO24" s="124">
        <v>6.2372871331819688</v>
      </c>
      <c r="AP24" s="124">
        <v>6.273221130271021</v>
      </c>
      <c r="AQ24" s="124">
        <v>6.2435402880060415</v>
      </c>
      <c r="AR24" s="124">
        <v>6.3486028824123188</v>
      </c>
      <c r="AS24" s="124">
        <v>6.2814376138430097</v>
      </c>
      <c r="AT24" s="91">
        <v>4.9383412969859659</v>
      </c>
    </row>
    <row r="25" spans="1:46" x14ac:dyDescent="0.25">
      <c r="A25" s="77">
        <f>INDEX(RegXWalk!A:A,MATCH(B25,RegXWalk!B:B,0))</f>
        <v>5</v>
      </c>
      <c r="B25" s="90" t="s">
        <v>36</v>
      </c>
      <c r="C25" s="123">
        <v>4.6474404886263461</v>
      </c>
      <c r="D25" s="124">
        <v>5.0072930903344641</v>
      </c>
      <c r="E25" s="124">
        <v>4.3700109650678183</v>
      </c>
      <c r="F25" s="124">
        <v>7.6266731416965996</v>
      </c>
      <c r="G25" s="124">
        <v>6.1348834566998125</v>
      </c>
      <c r="H25" s="124">
        <v>3.7975575273270898</v>
      </c>
      <c r="I25" s="124">
        <v>4.3236238380781886</v>
      </c>
      <c r="J25" s="103">
        <f t="shared" si="0"/>
        <v>5</v>
      </c>
      <c r="K25" s="123">
        <v>4.809456493007402</v>
      </c>
      <c r="L25" s="124">
        <v>4.3966552604684193</v>
      </c>
      <c r="M25" s="124">
        <v>4.212829181443345</v>
      </c>
      <c r="N25" s="124">
        <v>4.305041231544438</v>
      </c>
      <c r="O25" s="124">
        <v>4.0408302606312443</v>
      </c>
      <c r="P25" s="124">
        <v>3.9280844865223243</v>
      </c>
      <c r="Q25" s="124">
        <v>3.8401372458495344</v>
      </c>
      <c r="R25" s="77">
        <f t="shared" si="1"/>
        <v>5</v>
      </c>
      <c r="S25" s="123">
        <v>9.6239720908875288</v>
      </c>
      <c r="T25" s="124">
        <v>8.8852987592060995</v>
      </c>
      <c r="U25" s="124">
        <v>8.475238287919451</v>
      </c>
      <c r="V25" s="124">
        <v>8.8891232643365825</v>
      </c>
      <c r="W25" s="124">
        <v>7.8343993375478886</v>
      </c>
      <c r="X25" s="124">
        <v>7.9002973950592086</v>
      </c>
      <c r="Y25" s="124">
        <v>7.7649102215194858</v>
      </c>
      <c r="Z25" s="123">
        <v>8.5433209988579117E-2</v>
      </c>
      <c r="AA25" s="124">
        <v>8.4890191399838416E-2</v>
      </c>
      <c r="AB25" s="124">
        <v>7.6158171705319438E-2</v>
      </c>
      <c r="AC25" s="124">
        <v>7.8676332473675781E-2</v>
      </c>
      <c r="AD25" s="124">
        <v>6.8965750794285324E-2</v>
      </c>
      <c r="AE25" s="124">
        <v>4.2210954764582295E-2</v>
      </c>
      <c r="AF25" s="124">
        <v>4.6223418892224755E-2</v>
      </c>
      <c r="AG25" s="123">
        <v>6.4199530664297871E-2</v>
      </c>
      <c r="AH25" s="124">
        <v>6.7116092792024795E-2</v>
      </c>
      <c r="AI25" s="124">
        <v>5.8586508249961526E-2</v>
      </c>
      <c r="AJ25" s="124">
        <v>4.8831538454330442E-2</v>
      </c>
      <c r="AK25" s="124">
        <v>3.7857229049114469E-2</v>
      </c>
      <c r="AL25" s="124">
        <v>8.007416844891457E-3</v>
      </c>
      <c r="AM25" s="124">
        <v>7.5066614600619195E-3</v>
      </c>
      <c r="AN25" s="123">
        <v>18.17890860442639</v>
      </c>
      <c r="AO25" s="124">
        <v>19.649879123321881</v>
      </c>
      <c r="AP25" s="124">
        <v>17.623142481971001</v>
      </c>
      <c r="AQ25" s="124">
        <v>19.545018227855685</v>
      </c>
      <c r="AR25" s="124">
        <v>16.690731458008322</v>
      </c>
      <c r="AS25" s="124">
        <v>16.892408154875685</v>
      </c>
      <c r="AT25" s="91">
        <v>18.184614401333778</v>
      </c>
    </row>
    <row r="26" spans="1:46" x14ac:dyDescent="0.25">
      <c r="A26" s="77">
        <f>INDEX(RegXWalk!A:A,MATCH(B26,RegXWalk!B:B,0))</f>
        <v>1</v>
      </c>
      <c r="B26" s="90" t="s">
        <v>116</v>
      </c>
      <c r="C26" s="123">
        <v>0.65048589404435941</v>
      </c>
      <c r="D26" s="124">
        <v>0.59980556667341633</v>
      </c>
      <c r="E26" s="124">
        <v>0.59980556667341633</v>
      </c>
      <c r="F26" s="124">
        <v>0.59980556667341633</v>
      </c>
      <c r="G26" s="124">
        <v>0.59980556667341633</v>
      </c>
      <c r="H26" s="124">
        <v>0.59980556667341633</v>
      </c>
      <c r="I26" s="124">
        <v>0.59980556667341622</v>
      </c>
      <c r="J26" s="103">
        <f t="shared" si="0"/>
        <v>1</v>
      </c>
      <c r="K26" s="123">
        <v>1.9996460686425357</v>
      </c>
      <c r="L26" s="124">
        <v>1.9479091434230815</v>
      </c>
      <c r="M26" s="124">
        <v>1.9819564546009423</v>
      </c>
      <c r="N26" s="124">
        <v>2.0111124351413712</v>
      </c>
      <c r="O26" s="124">
        <v>1.9938515421743801</v>
      </c>
      <c r="P26" s="124">
        <v>1.7819401327878885</v>
      </c>
      <c r="Q26" s="124">
        <v>1.8052978572121239</v>
      </c>
      <c r="R26" s="77">
        <f t="shared" si="1"/>
        <v>1</v>
      </c>
      <c r="S26" s="123">
        <v>4.3783552132861177</v>
      </c>
      <c r="T26" s="124">
        <v>4.1980368056211734</v>
      </c>
      <c r="U26" s="124">
        <v>4.2715861130267623</v>
      </c>
      <c r="V26" s="124">
        <v>4.2624013245645456</v>
      </c>
      <c r="W26" s="124">
        <v>4.2758691731105358</v>
      </c>
      <c r="X26" s="124">
        <v>3.9555920413522156</v>
      </c>
      <c r="Y26" s="124">
        <v>3.9941735375594041</v>
      </c>
      <c r="Z26" s="123">
        <v>4.5929482691698477E-2</v>
      </c>
      <c r="AA26" s="124">
        <v>4.5869498100564648E-2</v>
      </c>
      <c r="AB26" s="124">
        <v>4.5869644180710663E-2</v>
      </c>
      <c r="AC26" s="124">
        <v>4.5869481934062664E-2</v>
      </c>
      <c r="AD26" s="124">
        <v>4.5872979697040669E-2</v>
      </c>
      <c r="AE26" s="124">
        <v>4.5867304666677142E-2</v>
      </c>
      <c r="AF26" s="124">
        <v>4.5867586218262889E-2</v>
      </c>
      <c r="AG26" s="123">
        <v>1.61889595846386E-6</v>
      </c>
      <c r="AH26" s="124">
        <v>0</v>
      </c>
      <c r="AI26" s="124">
        <v>0</v>
      </c>
      <c r="AJ26" s="124">
        <v>0</v>
      </c>
      <c r="AK26" s="124">
        <v>0</v>
      </c>
      <c r="AL26" s="124">
        <v>0</v>
      </c>
      <c r="AM26" s="124">
        <v>0</v>
      </c>
      <c r="AN26" s="123">
        <v>13.585596679803333</v>
      </c>
      <c r="AO26" s="124">
        <v>13.364542137281097</v>
      </c>
      <c r="AP26" s="124">
        <v>13.486706876533711</v>
      </c>
      <c r="AQ26" s="124">
        <v>13.351022322619526</v>
      </c>
      <c r="AR26" s="124">
        <v>13.277195680044434</v>
      </c>
      <c r="AS26" s="124">
        <v>11.530204711929313</v>
      </c>
      <c r="AT26" s="91">
        <v>11.765662280927113</v>
      </c>
    </row>
    <row r="27" spans="1:46" x14ac:dyDescent="0.25">
      <c r="A27" s="77">
        <f>INDEX(RegXWalk!A:A,MATCH(B27,RegXWalk!B:B,0))</f>
        <v>3</v>
      </c>
      <c r="B27" s="90" t="s">
        <v>5</v>
      </c>
      <c r="C27" s="123">
        <v>84.919680073232186</v>
      </c>
      <c r="D27" s="124">
        <v>84.431289131814907</v>
      </c>
      <c r="E27" s="124">
        <v>84.476777291621289</v>
      </c>
      <c r="F27" s="124">
        <v>87.869561920552144</v>
      </c>
      <c r="G27" s="124">
        <v>87.207990018290019</v>
      </c>
      <c r="H27" s="124">
        <v>85.913713919065387</v>
      </c>
      <c r="I27" s="124">
        <v>87.797566056902866</v>
      </c>
      <c r="J27" s="103">
        <f t="shared" si="0"/>
        <v>3</v>
      </c>
      <c r="K27" s="123">
        <v>31.516020871813151</v>
      </c>
      <c r="L27" s="124">
        <v>30.584990954049307</v>
      </c>
      <c r="M27" s="124">
        <v>31.108339022228982</v>
      </c>
      <c r="N27" s="124">
        <v>30.291450722779086</v>
      </c>
      <c r="O27" s="124">
        <v>29.976346128581802</v>
      </c>
      <c r="P27" s="124">
        <v>30.274584821756836</v>
      </c>
      <c r="Q27" s="124">
        <v>30.504903110614716</v>
      </c>
      <c r="R27" s="77">
        <f t="shared" si="1"/>
        <v>3</v>
      </c>
      <c r="S27" s="123">
        <v>71.785755087732426</v>
      </c>
      <c r="T27" s="124">
        <v>69.178637537480128</v>
      </c>
      <c r="U27" s="124">
        <v>69.721457784110342</v>
      </c>
      <c r="V27" s="124">
        <v>68.887271345586271</v>
      </c>
      <c r="W27" s="124">
        <v>68.223986494444247</v>
      </c>
      <c r="X27" s="124">
        <v>68.695259983955708</v>
      </c>
      <c r="Y27" s="124">
        <v>68.577211012705874</v>
      </c>
      <c r="Z27" s="123">
        <v>0.15490134825069626</v>
      </c>
      <c r="AA27" s="124">
        <v>0.15946540781002955</v>
      </c>
      <c r="AB27" s="124">
        <v>0.15725297442128428</v>
      </c>
      <c r="AC27" s="124">
        <v>0.16291171542504268</v>
      </c>
      <c r="AD27" s="124">
        <v>0.16245843787121139</v>
      </c>
      <c r="AE27" s="124">
        <v>0.15988103596020886</v>
      </c>
      <c r="AF27" s="124">
        <v>0.16416764332710226</v>
      </c>
      <c r="AG27" s="123">
        <v>0.6877020745116359</v>
      </c>
      <c r="AH27" s="124">
        <v>0.72378123161911112</v>
      </c>
      <c r="AI27" s="124">
        <v>1.2543057539118618</v>
      </c>
      <c r="AJ27" s="124">
        <v>1.3530614660781874</v>
      </c>
      <c r="AK27" s="124">
        <v>1.3524151799604027</v>
      </c>
      <c r="AL27" s="124">
        <v>1.3174517024782106</v>
      </c>
      <c r="AM27" s="124">
        <v>1.3655637056559431</v>
      </c>
      <c r="AN27" s="123">
        <v>73.745276625961395</v>
      </c>
      <c r="AO27" s="124">
        <v>70.544192642837601</v>
      </c>
      <c r="AP27" s="124">
        <v>71.897295988939149</v>
      </c>
      <c r="AQ27" s="124">
        <v>70.559795770566325</v>
      </c>
      <c r="AR27" s="124">
        <v>69.843300502729932</v>
      </c>
      <c r="AS27" s="124">
        <v>77.950076649735735</v>
      </c>
      <c r="AT27" s="91">
        <v>81.445175758025997</v>
      </c>
    </row>
    <row r="28" spans="1:46" x14ac:dyDescent="0.25">
      <c r="A28" s="77">
        <f>INDEX(RegXWalk!A:A,MATCH(B28,RegXWalk!B:B,0))</f>
        <v>4</v>
      </c>
      <c r="B28" s="90" t="s">
        <v>28</v>
      </c>
      <c r="C28" s="123">
        <v>13.935766537713095</v>
      </c>
      <c r="D28" s="124">
        <v>14.770206135591531</v>
      </c>
      <c r="E28" s="124">
        <v>14.729161971302196</v>
      </c>
      <c r="F28" s="124">
        <v>14.800074711195609</v>
      </c>
      <c r="G28" s="124">
        <v>14.873731199961108</v>
      </c>
      <c r="H28" s="124">
        <v>15.18103595841694</v>
      </c>
      <c r="I28" s="124">
        <v>15.432205394134353</v>
      </c>
      <c r="J28" s="103">
        <f t="shared" si="0"/>
        <v>4</v>
      </c>
      <c r="K28" s="123">
        <v>10.465029179700801</v>
      </c>
      <c r="L28" s="124">
        <v>10.992215864568024</v>
      </c>
      <c r="M28" s="124">
        <v>10.985005841497523</v>
      </c>
      <c r="N28" s="124">
        <v>11.152836465417618</v>
      </c>
      <c r="O28" s="124">
        <v>11.212500310364753</v>
      </c>
      <c r="P28" s="124">
        <v>11.328864692626503</v>
      </c>
      <c r="Q28" s="124">
        <v>11.371136102075203</v>
      </c>
      <c r="R28" s="77">
        <f t="shared" si="1"/>
        <v>4</v>
      </c>
      <c r="S28" s="123">
        <v>23.607307753425328</v>
      </c>
      <c r="T28" s="124">
        <v>24.787199985438896</v>
      </c>
      <c r="U28" s="124">
        <v>24.753197135762729</v>
      </c>
      <c r="V28" s="124">
        <v>25.149706194708397</v>
      </c>
      <c r="W28" s="124">
        <v>25.617747049716375</v>
      </c>
      <c r="X28" s="124">
        <v>25.889258221345425</v>
      </c>
      <c r="Y28" s="124">
        <v>25.934336808094482</v>
      </c>
      <c r="Z28" s="123">
        <v>9.9804288967172861E-2</v>
      </c>
      <c r="AA28" s="124">
        <v>0.10851176740736002</v>
      </c>
      <c r="AB28" s="124">
        <v>0.10825411736520857</v>
      </c>
      <c r="AC28" s="124">
        <v>0.10904839986542356</v>
      </c>
      <c r="AD28" s="124">
        <v>0.1095755225273322</v>
      </c>
      <c r="AE28" s="124">
        <v>0.11022158929425031</v>
      </c>
      <c r="AF28" s="124">
        <v>0.11008776293393698</v>
      </c>
      <c r="AG28" s="123">
        <v>9.1956607633750215E-2</v>
      </c>
      <c r="AH28" s="124">
        <v>9.5279085180188849E-2</v>
      </c>
      <c r="AI28" s="124">
        <v>9.5195663672466929E-2</v>
      </c>
      <c r="AJ28" s="124">
        <v>9.5295790989931684E-2</v>
      </c>
      <c r="AK28" s="124">
        <v>9.5295790989931684E-2</v>
      </c>
      <c r="AL28" s="124">
        <v>0.11491220669136425</v>
      </c>
      <c r="AM28" s="124">
        <v>0.12082989015046826</v>
      </c>
      <c r="AN28" s="123">
        <v>31.028333788321273</v>
      </c>
      <c r="AO28" s="124">
        <v>34.503684176209532</v>
      </c>
      <c r="AP28" s="124">
        <v>34.403452912875821</v>
      </c>
      <c r="AQ28" s="124">
        <v>36.146899936211597</v>
      </c>
      <c r="AR28" s="124">
        <v>38.26677055991923</v>
      </c>
      <c r="AS28" s="124">
        <v>41.101101184994569</v>
      </c>
      <c r="AT28" s="91">
        <v>41.054724351727664</v>
      </c>
    </row>
    <row r="29" spans="1:46" x14ac:dyDescent="0.25">
      <c r="A29" s="77">
        <f>INDEX(RegXWalk!A:A,MATCH(B29,RegXWalk!B:B,0))</f>
        <v>6</v>
      </c>
      <c r="B29" s="90" t="s">
        <v>132</v>
      </c>
      <c r="C29" s="123">
        <v>12.30681297809128</v>
      </c>
      <c r="D29" s="124">
        <v>13.38145349439575</v>
      </c>
      <c r="E29" s="124">
        <v>12.946812043493701</v>
      </c>
      <c r="F29" s="124">
        <v>15.000707766378142</v>
      </c>
      <c r="G29" s="124">
        <v>15.000707766378142</v>
      </c>
      <c r="H29" s="124">
        <v>15.000707766378142</v>
      </c>
      <c r="I29" s="124">
        <v>15.31117765991891</v>
      </c>
      <c r="J29" s="103">
        <f t="shared" si="0"/>
        <v>6</v>
      </c>
      <c r="K29" s="123">
        <v>8.3393406559572547</v>
      </c>
      <c r="L29" s="124">
        <v>8.9513302978302871</v>
      </c>
      <c r="M29" s="124">
        <v>8.3624235499416919</v>
      </c>
      <c r="N29" s="124">
        <v>9.0276390531954878</v>
      </c>
      <c r="O29" s="124">
        <v>7.9470813980939017</v>
      </c>
      <c r="P29" s="124">
        <v>6.7186556082800806</v>
      </c>
      <c r="Q29" s="124">
        <v>7.2472262385866113</v>
      </c>
      <c r="R29" s="77">
        <f t="shared" si="1"/>
        <v>6</v>
      </c>
      <c r="S29" s="123">
        <v>15.053007884452967</v>
      </c>
      <c r="T29" s="124">
        <v>17.869395544649187</v>
      </c>
      <c r="U29" s="124">
        <v>17.138780031152443</v>
      </c>
      <c r="V29" s="124">
        <v>16.632555134396235</v>
      </c>
      <c r="W29" s="124">
        <v>15.144443464430241</v>
      </c>
      <c r="X29" s="124">
        <v>13.974560774116101</v>
      </c>
      <c r="Y29" s="124">
        <v>15.742417321896818</v>
      </c>
      <c r="Z29" s="123">
        <v>7.911811916153387E-2</v>
      </c>
      <c r="AA29" s="124">
        <v>8.6891862517940149E-2</v>
      </c>
      <c r="AB29" s="124">
        <v>8.2683565030645306E-2</v>
      </c>
      <c r="AC29" s="124">
        <v>7.5162042363570672E-2</v>
      </c>
      <c r="AD29" s="124">
        <v>7.5157702232987025E-2</v>
      </c>
      <c r="AE29" s="124">
        <v>7.5158968630754289E-2</v>
      </c>
      <c r="AF29" s="124">
        <v>7.6904100636873265E-2</v>
      </c>
      <c r="AG29" s="123">
        <v>3.027190820743178E-2</v>
      </c>
      <c r="AH29" s="124">
        <v>3.4999419261538878E-2</v>
      </c>
      <c r="AI29" s="124">
        <v>3.2557770060141683E-2</v>
      </c>
      <c r="AJ29" s="124">
        <v>4.7826570471112481E-2</v>
      </c>
      <c r="AK29" s="124">
        <v>4.7826570471112481E-2</v>
      </c>
      <c r="AL29" s="124">
        <v>4.7826570471112481E-2</v>
      </c>
      <c r="AM29" s="124">
        <v>5.0260208051941278E-2</v>
      </c>
      <c r="AN29" s="123">
        <v>26.063684144250999</v>
      </c>
      <c r="AO29" s="124">
        <v>30.406341517230018</v>
      </c>
      <c r="AP29" s="124">
        <v>30.809123929460945</v>
      </c>
      <c r="AQ29" s="124">
        <v>29.664164089951917</v>
      </c>
      <c r="AR29" s="124">
        <v>26.034574884716207</v>
      </c>
      <c r="AS29" s="124">
        <v>27.093645245478463</v>
      </c>
      <c r="AT29" s="91">
        <v>41.190737788118405</v>
      </c>
    </row>
    <row r="30" spans="1:46" x14ac:dyDescent="0.25">
      <c r="A30" s="77">
        <f>INDEX(RegXWalk!A:A,MATCH(B30,RegXWalk!B:B,0))</f>
        <v>4</v>
      </c>
      <c r="B30" s="90" t="s">
        <v>29</v>
      </c>
      <c r="C30" s="123">
        <v>64.626910622538162</v>
      </c>
      <c r="D30" s="124">
        <v>69.305448480286756</v>
      </c>
      <c r="E30" s="124">
        <v>75.547478713215057</v>
      </c>
      <c r="F30" s="124">
        <v>80.433877246184792</v>
      </c>
      <c r="G30" s="124">
        <v>98.85363872272562</v>
      </c>
      <c r="H30" s="124">
        <v>102.02813562458228</v>
      </c>
      <c r="I30" s="124">
        <v>107.63305696331665</v>
      </c>
      <c r="J30" s="103">
        <f t="shared" si="0"/>
        <v>4</v>
      </c>
      <c r="K30" s="123">
        <v>29.183176117240617</v>
      </c>
      <c r="L30" s="124">
        <v>20.63220171350142</v>
      </c>
      <c r="M30" s="124">
        <v>20.376359044201465</v>
      </c>
      <c r="N30" s="124">
        <v>21.255194534657736</v>
      </c>
      <c r="O30" s="124">
        <v>21.412163134277652</v>
      </c>
      <c r="P30" s="124">
        <v>21.609696734846242</v>
      </c>
      <c r="Q30" s="124">
        <v>21.85370759386068</v>
      </c>
      <c r="R30" s="77">
        <f t="shared" si="1"/>
        <v>4</v>
      </c>
      <c r="S30" s="123">
        <v>66.24775384963354</v>
      </c>
      <c r="T30" s="124">
        <v>47.041378373927962</v>
      </c>
      <c r="U30" s="124">
        <v>46.229592083246459</v>
      </c>
      <c r="V30" s="124">
        <v>47.827517446127125</v>
      </c>
      <c r="W30" s="124">
        <v>47.927646957567518</v>
      </c>
      <c r="X30" s="124">
        <v>48.025319058097693</v>
      </c>
      <c r="Y30" s="124">
        <v>48.965935676277823</v>
      </c>
      <c r="Z30" s="123">
        <v>0.24895564345923882</v>
      </c>
      <c r="AA30" s="124">
        <v>0.26196612141073172</v>
      </c>
      <c r="AB30" s="124">
        <v>0.26716963870152954</v>
      </c>
      <c r="AC30" s="124">
        <v>0.27431541265583909</v>
      </c>
      <c r="AD30" s="124">
        <v>0.28694560340213227</v>
      </c>
      <c r="AE30" s="124">
        <v>0.28999195178765891</v>
      </c>
      <c r="AF30" s="124">
        <v>0.29587010976157108</v>
      </c>
      <c r="AG30" s="123">
        <v>0.23714736878882994</v>
      </c>
      <c r="AH30" s="124">
        <v>0.2829787507320497</v>
      </c>
      <c r="AI30" s="124">
        <v>0.73694184076822311</v>
      </c>
      <c r="AJ30" s="124">
        <v>0.93302534441339868</v>
      </c>
      <c r="AK30" s="124">
        <v>1.1966276760289125</v>
      </c>
      <c r="AL30" s="124">
        <v>1.6575208917471778</v>
      </c>
      <c r="AM30" s="124">
        <v>2.0504180518288977</v>
      </c>
      <c r="AN30" s="123">
        <v>88.797396200288901</v>
      </c>
      <c r="AO30" s="124">
        <v>90.901630742787702</v>
      </c>
      <c r="AP30" s="124">
        <v>89.525408285383492</v>
      </c>
      <c r="AQ30" s="124">
        <v>91.757778429795479</v>
      </c>
      <c r="AR30" s="124">
        <v>92.058327555254891</v>
      </c>
      <c r="AS30" s="124">
        <v>96.478119530462564</v>
      </c>
      <c r="AT30" s="91">
        <v>98.176370028714047</v>
      </c>
    </row>
    <row r="31" spans="1:46" x14ac:dyDescent="0.25">
      <c r="A31" s="77">
        <f>INDEX(RegXWalk!A:A,MATCH(B31,RegXWalk!B:B,0))</f>
        <v>8</v>
      </c>
      <c r="B31" s="90" t="s">
        <v>141</v>
      </c>
      <c r="C31" s="123">
        <v>13.102670273895468</v>
      </c>
      <c r="D31" s="124">
        <v>13.272297851612215</v>
      </c>
      <c r="E31" s="124">
        <v>18.75334252536112</v>
      </c>
      <c r="F31" s="124">
        <v>18.775529904403978</v>
      </c>
      <c r="G31" s="124">
        <v>19.030494283625991</v>
      </c>
      <c r="H31" s="124">
        <v>19.509445767816452</v>
      </c>
      <c r="I31" s="124">
        <v>19.509445768195508</v>
      </c>
      <c r="J31" s="103">
        <f t="shared" si="0"/>
        <v>8</v>
      </c>
      <c r="K31" s="123">
        <v>8.5746899348437058</v>
      </c>
      <c r="L31" s="124">
        <v>6.6058323923542597</v>
      </c>
      <c r="M31" s="124">
        <v>6.6054224574603504</v>
      </c>
      <c r="N31" s="124">
        <v>6.6095546280081638</v>
      </c>
      <c r="O31" s="124">
        <v>6.7634108310864614</v>
      </c>
      <c r="P31" s="124">
        <v>7.1235579307900778</v>
      </c>
      <c r="Q31" s="124">
        <v>7.2278246781248274</v>
      </c>
      <c r="R31" s="77">
        <f t="shared" si="1"/>
        <v>8</v>
      </c>
      <c r="S31" s="123">
        <v>20.498184153479333</v>
      </c>
      <c r="T31" s="124">
        <v>15.757161614689718</v>
      </c>
      <c r="U31" s="124">
        <v>15.755326982355207</v>
      </c>
      <c r="V31" s="124">
        <v>15.760883850343621</v>
      </c>
      <c r="W31" s="124">
        <v>15.914747232022441</v>
      </c>
      <c r="X31" s="124">
        <v>16.275287780638383</v>
      </c>
      <c r="Y31" s="124">
        <v>16.563430070630027</v>
      </c>
      <c r="Z31" s="123">
        <v>4.3406148312657732E-2</v>
      </c>
      <c r="AA31" s="124">
        <v>4.4305174479836978E-2</v>
      </c>
      <c r="AB31" s="124">
        <v>4.4483562907654331E-2</v>
      </c>
      <c r="AC31" s="124">
        <v>4.4532970147904048E-2</v>
      </c>
      <c r="AD31" s="124">
        <v>4.5012177702567671E-2</v>
      </c>
      <c r="AE31" s="124">
        <v>4.607724767060923E-2</v>
      </c>
      <c r="AF31" s="124">
        <v>4.60809149361152E-2</v>
      </c>
      <c r="AG31" s="123">
        <v>2.1280918525999025E-2</v>
      </c>
      <c r="AH31" s="124">
        <v>2.1492952999497623E-2</v>
      </c>
      <c r="AI31" s="124">
        <v>1.9897321295460773E-2</v>
      </c>
      <c r="AJ31" s="124">
        <v>1.9913361606108893E-2</v>
      </c>
      <c r="AK31" s="124">
        <v>2.0357945095126981E-2</v>
      </c>
      <c r="AL31" s="124">
        <v>2.118679577430398E-2</v>
      </c>
      <c r="AM31" s="124">
        <v>2.118679577430398E-2</v>
      </c>
      <c r="AN31" s="123">
        <v>20.277088015323692</v>
      </c>
      <c r="AO31" s="124">
        <v>20.734022305706851</v>
      </c>
      <c r="AP31" s="124">
        <v>20.731717847743742</v>
      </c>
      <c r="AQ31" s="124">
        <v>20.752018952726658</v>
      </c>
      <c r="AR31" s="124">
        <v>20.844637694103746</v>
      </c>
      <c r="AS31" s="124">
        <v>21.097137170579785</v>
      </c>
      <c r="AT31" s="91">
        <v>24.164018925016311</v>
      </c>
    </row>
    <row r="32" spans="1:46" x14ac:dyDescent="0.25">
      <c r="A32" s="77">
        <f>INDEX(RegXWalk!A:A,MATCH(B32,RegXWalk!B:B,0))</f>
        <v>8</v>
      </c>
      <c r="B32" s="90" t="s">
        <v>30</v>
      </c>
      <c r="C32" s="123">
        <v>24.768854153393544</v>
      </c>
      <c r="D32" s="124">
        <v>24.876967307070775</v>
      </c>
      <c r="E32" s="124">
        <v>24.84330639897151</v>
      </c>
      <c r="F32" s="124">
        <v>24.876967307070775</v>
      </c>
      <c r="G32" s="124">
        <v>30.402675083280936</v>
      </c>
      <c r="H32" s="124">
        <v>30.402858726158986</v>
      </c>
      <c r="I32" s="124">
        <v>37.547073582818783</v>
      </c>
      <c r="J32" s="103">
        <f t="shared" si="0"/>
        <v>8</v>
      </c>
      <c r="K32" s="123">
        <v>16.159492988692566</v>
      </c>
      <c r="L32" s="124">
        <v>14.548045008552712</v>
      </c>
      <c r="M32" s="124">
        <v>14.551664498138532</v>
      </c>
      <c r="N32" s="124">
        <v>14.742600393997643</v>
      </c>
      <c r="O32" s="124">
        <v>14.814774953873485</v>
      </c>
      <c r="P32" s="124">
        <v>14.798391015736829</v>
      </c>
      <c r="Q32" s="124">
        <v>14.773350679598234</v>
      </c>
      <c r="R32" s="77">
        <f t="shared" si="1"/>
        <v>8</v>
      </c>
      <c r="S32" s="123">
        <v>37.381614336435312</v>
      </c>
      <c r="T32" s="124">
        <v>33.237581516062029</v>
      </c>
      <c r="U32" s="124">
        <v>33.212530168052659</v>
      </c>
      <c r="V32" s="124">
        <v>33.434569028521054</v>
      </c>
      <c r="W32" s="124">
        <v>33.507409879650375</v>
      </c>
      <c r="X32" s="124">
        <v>33.501653475977335</v>
      </c>
      <c r="Y32" s="124">
        <v>33.48756835251222</v>
      </c>
      <c r="Z32" s="123">
        <v>9.1638092984905647E-2</v>
      </c>
      <c r="AA32" s="124">
        <v>9.1986664694924711E-2</v>
      </c>
      <c r="AB32" s="124">
        <v>9.1865036518553392E-2</v>
      </c>
      <c r="AC32" s="124">
        <v>9.1986901423296102E-2</v>
      </c>
      <c r="AD32" s="124">
        <v>9.6233557550952392E-2</v>
      </c>
      <c r="AE32" s="124">
        <v>9.6214738748850989E-2</v>
      </c>
      <c r="AF32" s="124">
        <v>0.10326780530961054</v>
      </c>
      <c r="AG32" s="123">
        <v>3.7322338784855601E-2</v>
      </c>
      <c r="AH32" s="124">
        <v>3.7477673775771159E-2</v>
      </c>
      <c r="AI32" s="124">
        <v>3.7429956467703689E-2</v>
      </c>
      <c r="AJ32" s="124">
        <v>3.7477673775771159E-2</v>
      </c>
      <c r="AK32" s="124">
        <v>4.0035871820312895E-2</v>
      </c>
      <c r="AL32" s="124">
        <v>4.0036101373910463E-2</v>
      </c>
      <c r="AM32" s="124">
        <v>4.3702483310958079E-2</v>
      </c>
      <c r="AN32" s="123">
        <v>34.135012326527473</v>
      </c>
      <c r="AO32" s="124">
        <v>34.268157456196541</v>
      </c>
      <c r="AP32" s="124">
        <v>34.224150382755028</v>
      </c>
      <c r="AQ32" s="124">
        <v>34.466130011353144</v>
      </c>
      <c r="AR32" s="124">
        <v>34.505747974144974</v>
      </c>
      <c r="AS32" s="124">
        <v>34.892795340921587</v>
      </c>
      <c r="AT32" s="91">
        <v>35.230402070393019</v>
      </c>
    </row>
    <row r="33" spans="1:46" x14ac:dyDescent="0.25">
      <c r="A33" s="77">
        <f>INDEX(RegXWalk!A:A,MATCH(B33,RegXWalk!B:B,0))</f>
        <v>8</v>
      </c>
      <c r="B33" s="90" t="s">
        <v>142</v>
      </c>
      <c r="C33" s="123">
        <v>6.9966463503568992</v>
      </c>
      <c r="D33" s="124">
        <v>4.5483096094111488</v>
      </c>
      <c r="E33" s="124">
        <v>4.5483096094111488</v>
      </c>
      <c r="F33" s="124">
        <v>0.58733649707255364</v>
      </c>
      <c r="G33" s="124">
        <v>0.58733649707255364</v>
      </c>
      <c r="H33" s="124">
        <v>0.59038006873755855</v>
      </c>
      <c r="I33" s="124">
        <v>0.5873281619066556</v>
      </c>
      <c r="J33" s="103">
        <f t="shared" si="0"/>
        <v>8</v>
      </c>
      <c r="K33" s="123">
        <v>4.1979505572415556</v>
      </c>
      <c r="L33" s="124">
        <v>3.2170866385620949</v>
      </c>
      <c r="M33" s="124">
        <v>3.2050283330644183</v>
      </c>
      <c r="N33" s="124">
        <v>1.0072914666880464</v>
      </c>
      <c r="O33" s="124">
        <v>0.78256739724734647</v>
      </c>
      <c r="P33" s="124">
        <v>0.76639581261750622</v>
      </c>
      <c r="Q33" s="124">
        <v>1.062180073119819</v>
      </c>
      <c r="R33" s="77">
        <f t="shared" si="1"/>
        <v>8</v>
      </c>
      <c r="S33" s="123">
        <v>9.4503967397688999</v>
      </c>
      <c r="T33" s="124">
        <v>7.3158969775782001</v>
      </c>
      <c r="U33" s="124">
        <v>7.3062131428602264</v>
      </c>
      <c r="V33" s="124">
        <v>2.0581403642934437</v>
      </c>
      <c r="W33" s="124">
        <v>1.302147242142617</v>
      </c>
      <c r="X33" s="124">
        <v>1.2557367602410312</v>
      </c>
      <c r="Y33" s="124">
        <v>1.9288424420703441</v>
      </c>
      <c r="Z33" s="123">
        <v>7.552891334565548E-2</v>
      </c>
      <c r="AA33" s="124">
        <v>6.5903625321938414E-2</v>
      </c>
      <c r="AB33" s="124">
        <v>6.590382608144657E-2</v>
      </c>
      <c r="AC33" s="124">
        <v>0.11831987745437517</v>
      </c>
      <c r="AD33" s="124">
        <v>0.11831451722010621</v>
      </c>
      <c r="AE33" s="124">
        <v>0.11795052776928154</v>
      </c>
      <c r="AF33" s="124">
        <v>0.15728696733685885</v>
      </c>
      <c r="AG33" s="123">
        <v>3.2648879827422789E-2</v>
      </c>
      <c r="AH33" s="124">
        <v>2.2709051178284097E-2</v>
      </c>
      <c r="AI33" s="124">
        <v>2.2709051178284097E-2</v>
      </c>
      <c r="AJ33" s="124">
        <v>9.77672535184593E-4</v>
      </c>
      <c r="AK33" s="124">
        <v>9.77672535184593E-4</v>
      </c>
      <c r="AL33" s="124">
        <v>9.8202049470602799E-4</v>
      </c>
      <c r="AM33" s="124">
        <v>9.6475635686901697E-4</v>
      </c>
      <c r="AN33" s="123">
        <v>15.970464320472374</v>
      </c>
      <c r="AO33" s="124">
        <v>14.317349613540012</v>
      </c>
      <c r="AP33" s="124">
        <v>14.485175762223022</v>
      </c>
      <c r="AQ33" s="124">
        <v>11.430747719012999</v>
      </c>
      <c r="AR33" s="124">
        <v>6.9480428551081097</v>
      </c>
      <c r="AS33" s="124">
        <v>7.9704453996965814</v>
      </c>
      <c r="AT33" s="91">
        <v>15.030222036497495</v>
      </c>
    </row>
    <row r="34" spans="1:46" x14ac:dyDescent="0.25">
      <c r="A34" s="77">
        <f>INDEX(RegXWalk!A:A,MATCH(B34,RegXWalk!B:B,0))</f>
        <v>1</v>
      </c>
      <c r="B34" s="90" t="s">
        <v>117</v>
      </c>
      <c r="C34" s="123">
        <v>0.40199839285598982</v>
      </c>
      <c r="D34" s="124">
        <v>0.40503380291018981</v>
      </c>
      <c r="E34" s="124">
        <v>0.40420390616090979</v>
      </c>
      <c r="F34" s="124">
        <v>0.42580940303104547</v>
      </c>
      <c r="G34" s="124">
        <v>0.42911073232500047</v>
      </c>
      <c r="H34" s="124">
        <v>0.43037806890786973</v>
      </c>
      <c r="I34" s="124">
        <v>0.47121344306972746</v>
      </c>
      <c r="J34" s="103">
        <f t="shared" si="0"/>
        <v>1</v>
      </c>
      <c r="K34" s="123">
        <v>0.31651428794037278</v>
      </c>
      <c r="L34" s="124">
        <v>0.300775995173721</v>
      </c>
      <c r="M34" s="124">
        <v>0.30056852098640113</v>
      </c>
      <c r="N34" s="124">
        <v>0.31086995964073533</v>
      </c>
      <c r="O34" s="124">
        <v>0.30923569920998872</v>
      </c>
      <c r="P34" s="124">
        <v>0.28513830645058091</v>
      </c>
      <c r="Q34" s="124">
        <v>0.31643657402775255</v>
      </c>
      <c r="R34" s="77">
        <f t="shared" si="1"/>
        <v>1</v>
      </c>
      <c r="S34" s="123">
        <v>1.0202095881933246</v>
      </c>
      <c r="T34" s="124">
        <v>0.98869592512676407</v>
      </c>
      <c r="U34" s="124">
        <v>0.98848845093944415</v>
      </c>
      <c r="V34" s="124">
        <v>0.9987898895937789</v>
      </c>
      <c r="W34" s="124">
        <v>1.0241203467669688</v>
      </c>
      <c r="X34" s="124">
        <v>0.962712147629885</v>
      </c>
      <c r="Y34" s="124">
        <v>0.9931703426130809</v>
      </c>
      <c r="Z34" s="123">
        <v>6.3203313037412962E-3</v>
      </c>
      <c r="AA34" s="124">
        <v>6.3419227668622975E-3</v>
      </c>
      <c r="AB34" s="124">
        <v>6.3360097525236771E-3</v>
      </c>
      <c r="AC34" s="124">
        <v>6.4899496451210157E-3</v>
      </c>
      <c r="AD34" s="124">
        <v>6.5135909463279983E-3</v>
      </c>
      <c r="AE34" s="124">
        <v>6.5220828143695243E-3</v>
      </c>
      <c r="AF34" s="124">
        <v>6.8132451868720811E-3</v>
      </c>
      <c r="AG34" s="123">
        <v>0</v>
      </c>
      <c r="AH34" s="124">
        <v>0</v>
      </c>
      <c r="AI34" s="124">
        <v>0</v>
      </c>
      <c r="AJ34" s="124">
        <v>0</v>
      </c>
      <c r="AK34" s="124">
        <v>0</v>
      </c>
      <c r="AL34" s="124">
        <v>0</v>
      </c>
      <c r="AM34" s="124">
        <v>0</v>
      </c>
      <c r="AN34" s="123">
        <v>4.9639603047607173</v>
      </c>
      <c r="AO34" s="124">
        <v>4.9413920599346524</v>
      </c>
      <c r="AP34" s="124">
        <v>4.9393691866082827</v>
      </c>
      <c r="AQ34" s="124">
        <v>4.9926408974659582</v>
      </c>
      <c r="AR34" s="124">
        <v>5.0007280088478288</v>
      </c>
      <c r="AS34" s="124">
        <v>4.6537286241000873</v>
      </c>
      <c r="AT34" s="91">
        <v>4.9291621603913107</v>
      </c>
    </row>
    <row r="35" spans="1:46" x14ac:dyDescent="0.25">
      <c r="A35" s="77">
        <f>INDEX(RegXWalk!A:A,MATCH(B35,RegXWalk!B:B,0))</f>
        <v>2</v>
      </c>
      <c r="B35" s="90" t="s">
        <v>120</v>
      </c>
      <c r="C35" s="123">
        <v>6.0975957532429916</v>
      </c>
      <c r="D35" s="124">
        <v>7.025595779441419</v>
      </c>
      <c r="E35" s="124">
        <v>6.6122052035435939</v>
      </c>
      <c r="F35" s="124">
        <v>7.1010937420756637</v>
      </c>
      <c r="G35" s="124">
        <v>7.100576013026842</v>
      </c>
      <c r="H35" s="124">
        <v>5.3732402842134626</v>
      </c>
      <c r="I35" s="124">
        <v>6.1810670731365738</v>
      </c>
      <c r="J35" s="103">
        <f t="shared" si="0"/>
        <v>2</v>
      </c>
      <c r="K35" s="123">
        <v>4.5324042288737854</v>
      </c>
      <c r="L35" s="124">
        <v>4.6172773961966183</v>
      </c>
      <c r="M35" s="124">
        <v>4.8140893356432981</v>
      </c>
      <c r="N35" s="124">
        <v>4.7397269864440563</v>
      </c>
      <c r="O35" s="124">
        <v>4.6964016474044934</v>
      </c>
      <c r="P35" s="124">
        <v>4.7592371992160389</v>
      </c>
      <c r="Q35" s="124">
        <v>5.0450703962841654</v>
      </c>
      <c r="R35" s="77">
        <f t="shared" si="1"/>
        <v>2</v>
      </c>
      <c r="S35" s="123">
        <v>9.4502543794255942</v>
      </c>
      <c r="T35" s="124">
        <v>10.344989145596211</v>
      </c>
      <c r="U35" s="124">
        <v>10.222892102724247</v>
      </c>
      <c r="V35" s="124">
        <v>10.615800565057274</v>
      </c>
      <c r="W35" s="124">
        <v>10.361169003705816</v>
      </c>
      <c r="X35" s="124">
        <v>9.7922185128053467</v>
      </c>
      <c r="Y35" s="124">
        <v>10.836372665100573</v>
      </c>
      <c r="Z35" s="123">
        <v>5.7643898737968893E-2</v>
      </c>
      <c r="AA35" s="124">
        <v>6.241536992784473E-2</v>
      </c>
      <c r="AB35" s="124">
        <v>6.0340965638178798E-2</v>
      </c>
      <c r="AC35" s="124">
        <v>6.2371101121238219E-2</v>
      </c>
      <c r="AD35" s="124">
        <v>6.2831487488516483E-2</v>
      </c>
      <c r="AE35" s="124">
        <v>5.0494678701618889E-2</v>
      </c>
      <c r="AF35" s="124">
        <v>5.3935590036427922E-2</v>
      </c>
      <c r="AG35" s="123">
        <v>3.1452296848033065E-2</v>
      </c>
      <c r="AH35" s="124">
        <v>3.8800702801085551E-2</v>
      </c>
      <c r="AI35" s="124">
        <v>3.5716221775228839E-2</v>
      </c>
      <c r="AJ35" s="124">
        <v>3.700354497764264E-2</v>
      </c>
      <c r="AK35" s="124">
        <v>3.8721784999532181E-2</v>
      </c>
      <c r="AL35" s="124">
        <v>1.2211823948552461E-2</v>
      </c>
      <c r="AM35" s="124">
        <v>1.5295552582385741E-2</v>
      </c>
      <c r="AN35" s="123">
        <v>23.911209427038962</v>
      </c>
      <c r="AO35" s="124">
        <v>25.468294036529425</v>
      </c>
      <c r="AP35" s="124">
        <v>25.414581434536775</v>
      </c>
      <c r="AQ35" s="124">
        <v>26.006174235303266</v>
      </c>
      <c r="AR35" s="124">
        <v>25.253653522761471</v>
      </c>
      <c r="AS35" s="124">
        <v>24.220507796177429</v>
      </c>
      <c r="AT35" s="91">
        <v>28.068145267575105</v>
      </c>
    </row>
    <row r="36" spans="1:46" x14ac:dyDescent="0.25">
      <c r="A36" s="77">
        <f>INDEX(RegXWalk!A:A,MATCH(B36,RegXWalk!B:B,0))</f>
        <v>8</v>
      </c>
      <c r="B36" s="90" t="s">
        <v>143</v>
      </c>
      <c r="C36" s="123">
        <v>11.57544779826787</v>
      </c>
      <c r="D36" s="124">
        <v>11.744716289765083</v>
      </c>
      <c r="E36" s="124">
        <v>11.558474775386648</v>
      </c>
      <c r="F36" s="124">
        <v>11.744716289765083</v>
      </c>
      <c r="G36" s="124">
        <v>11.520196390578324</v>
      </c>
      <c r="H36" s="124">
        <v>11.251530128424829</v>
      </c>
      <c r="I36" s="124">
        <v>11.179692714605471</v>
      </c>
      <c r="J36" s="103">
        <f t="shared" si="0"/>
        <v>8</v>
      </c>
      <c r="K36" s="123">
        <v>17.124377061937341</v>
      </c>
      <c r="L36" s="124">
        <v>7.6816068349337643</v>
      </c>
      <c r="M36" s="124">
        <v>7.4651606749840598</v>
      </c>
      <c r="N36" s="124">
        <v>7.888089023678539</v>
      </c>
      <c r="O36" s="124">
        <v>7.7127324644876074</v>
      </c>
      <c r="P36" s="124">
        <v>7.0095536759244723</v>
      </c>
      <c r="Q36" s="124">
        <v>7.0857810806263863</v>
      </c>
      <c r="R36" s="77">
        <f t="shared" si="1"/>
        <v>8</v>
      </c>
      <c r="S36" s="123">
        <v>38.669069667258412</v>
      </c>
      <c r="T36" s="124">
        <v>17.226292493262868</v>
      </c>
      <c r="U36" s="124">
        <v>16.725948124652419</v>
      </c>
      <c r="V36" s="124">
        <v>17.443521350938955</v>
      </c>
      <c r="W36" s="124">
        <v>16.380572252643638</v>
      </c>
      <c r="X36" s="124">
        <v>15.079179834023968</v>
      </c>
      <c r="Y36" s="124">
        <v>15.20966551576274</v>
      </c>
      <c r="Z36" s="123">
        <v>7.1560813454111971E-2</v>
      </c>
      <c r="AA36" s="124">
        <v>7.2328236304324056E-2</v>
      </c>
      <c r="AB36" s="124">
        <v>7.1161009402810532E-2</v>
      </c>
      <c r="AC36" s="124">
        <v>7.2328450660772634E-2</v>
      </c>
      <c r="AD36" s="124">
        <v>7.0909234724520112E-2</v>
      </c>
      <c r="AE36" s="124">
        <v>6.9218177186395058E-2</v>
      </c>
      <c r="AF36" s="124">
        <v>0.1467510658514751</v>
      </c>
      <c r="AG36" s="123">
        <v>9.5307781275694534E-3</v>
      </c>
      <c r="AH36" s="124">
        <v>9.7838758293958411E-3</v>
      </c>
      <c r="AI36" s="124">
        <v>9.5321170257724498E-3</v>
      </c>
      <c r="AJ36" s="124">
        <v>9.7838758293958411E-3</v>
      </c>
      <c r="AK36" s="124">
        <v>9.4670220882783623E-3</v>
      </c>
      <c r="AL36" s="124">
        <v>9.0878667880571543E-3</v>
      </c>
      <c r="AM36" s="124">
        <v>9.0963492866445138E-3</v>
      </c>
      <c r="AN36" s="123">
        <v>23.97003805479283</v>
      </c>
      <c r="AO36" s="124">
        <v>24.3615350140267</v>
      </c>
      <c r="AP36" s="124">
        <v>23.88988727201972</v>
      </c>
      <c r="AQ36" s="124">
        <v>24.540798249736799</v>
      </c>
      <c r="AR36" s="124">
        <v>23.160545191673929</v>
      </c>
      <c r="AS36" s="124">
        <v>27.540706119384872</v>
      </c>
      <c r="AT36" s="91">
        <v>28.817566199428533</v>
      </c>
    </row>
    <row r="37" spans="1:46" x14ac:dyDescent="0.25">
      <c r="A37" s="77">
        <f>INDEX(RegXWalk!A:A,MATCH(B37,RegXWalk!B:B,0))</f>
        <v>2</v>
      </c>
      <c r="B37" s="90" t="s">
        <v>1</v>
      </c>
      <c r="C37" s="123">
        <v>4.5084032014290907</v>
      </c>
      <c r="D37" s="124">
        <v>5.7783505188426609</v>
      </c>
      <c r="E37" s="124">
        <v>5.0792151586269485</v>
      </c>
      <c r="F37" s="124">
        <v>5.7557930134873292</v>
      </c>
      <c r="G37" s="124">
        <v>4.9594782248660731</v>
      </c>
      <c r="H37" s="124">
        <v>4.5639543756221306</v>
      </c>
      <c r="I37" s="124">
        <v>3.7537384753518603</v>
      </c>
      <c r="J37" s="103">
        <f t="shared" si="0"/>
        <v>2</v>
      </c>
      <c r="K37" s="123">
        <v>8.5215064883934382</v>
      </c>
      <c r="L37" s="124">
        <v>9.1233507715853932</v>
      </c>
      <c r="M37" s="124">
        <v>8.4065261062615466</v>
      </c>
      <c r="N37" s="124">
        <v>8.4162945332908485</v>
      </c>
      <c r="O37" s="124">
        <v>7.4813230518672915</v>
      </c>
      <c r="P37" s="124">
        <v>7.7618967911942338</v>
      </c>
      <c r="Q37" s="124">
        <v>7.0976242310392079</v>
      </c>
      <c r="R37" s="77">
        <f t="shared" si="1"/>
        <v>2</v>
      </c>
      <c r="S37" s="123">
        <v>17.534087040826051</v>
      </c>
      <c r="T37" s="124">
        <v>19.057883567161184</v>
      </c>
      <c r="U37" s="124">
        <v>17.902587152068037</v>
      </c>
      <c r="V37" s="124">
        <v>17.401465871539248</v>
      </c>
      <c r="W37" s="124">
        <v>15.9379898556219</v>
      </c>
      <c r="X37" s="124">
        <v>15.741507890937422</v>
      </c>
      <c r="Y37" s="124">
        <v>13.497644164171273</v>
      </c>
      <c r="Z37" s="123">
        <v>7.0775253084355061E-2</v>
      </c>
      <c r="AA37" s="124">
        <v>7.5370903779019394E-2</v>
      </c>
      <c r="AB37" s="124">
        <v>7.3043092714727406E-2</v>
      </c>
      <c r="AC37" s="124">
        <v>7.5434979988429227E-2</v>
      </c>
      <c r="AD37" s="124">
        <v>7.2580464170102651E-2</v>
      </c>
      <c r="AE37" s="124">
        <v>7.121906087714594E-2</v>
      </c>
      <c r="AF37" s="124">
        <v>6.8162056080079372E-2</v>
      </c>
      <c r="AG37" s="123">
        <v>1.7500212158519497E-2</v>
      </c>
      <c r="AH37" s="124">
        <v>2.4166599333976371E-2</v>
      </c>
      <c r="AI37" s="124">
        <v>2.0379526394771343E-2</v>
      </c>
      <c r="AJ37" s="124">
        <v>2.4099897142139459E-2</v>
      </c>
      <c r="AK37" s="124">
        <v>1.9564294712058408E-2</v>
      </c>
      <c r="AL37" s="124">
        <v>1.7468468739085953E-2</v>
      </c>
      <c r="AM37" s="124">
        <v>1.26147206306536E-2</v>
      </c>
      <c r="AN37" s="123">
        <v>33.940271196939378</v>
      </c>
      <c r="AO37" s="124">
        <v>33.552447025002166</v>
      </c>
      <c r="AP37" s="124">
        <v>33.660817426301477</v>
      </c>
      <c r="AQ37" s="124">
        <v>32.716417541879387</v>
      </c>
      <c r="AR37" s="124">
        <v>34.945429223027638</v>
      </c>
      <c r="AS37" s="124">
        <v>41.577640258030058</v>
      </c>
      <c r="AT37" s="91">
        <v>38.239069035803098</v>
      </c>
    </row>
    <row r="38" spans="1:46" x14ac:dyDescent="0.25">
      <c r="A38" s="77">
        <f>INDEX(RegXWalk!A:A,MATCH(B38,RegXWalk!B:B,0))</f>
        <v>5</v>
      </c>
      <c r="B38" s="90" t="s">
        <v>37</v>
      </c>
      <c r="C38" s="123">
        <v>30.221309118754231</v>
      </c>
      <c r="D38" s="124">
        <v>31.010569832350292</v>
      </c>
      <c r="E38" s="124">
        <v>28.696703003754735</v>
      </c>
      <c r="F38" s="124">
        <v>33.549027141796422</v>
      </c>
      <c r="G38" s="124">
        <v>34.153345815056419</v>
      </c>
      <c r="H38" s="124">
        <v>36.241878544825781</v>
      </c>
      <c r="I38" s="124">
        <v>39.580811057123228</v>
      </c>
      <c r="J38" s="103">
        <f t="shared" ref="J38:J55" si="2">A38</f>
        <v>5</v>
      </c>
      <c r="K38" s="123">
        <v>21.966740928941476</v>
      </c>
      <c r="L38" s="124">
        <v>22.047610851642002</v>
      </c>
      <c r="M38" s="124">
        <v>20.675500975126734</v>
      </c>
      <c r="N38" s="124">
        <v>22.414019377650579</v>
      </c>
      <c r="O38" s="124">
        <v>21.862524995853029</v>
      </c>
      <c r="P38" s="124">
        <v>21.863137496563617</v>
      </c>
      <c r="Q38" s="124">
        <v>22.935459844697661</v>
      </c>
      <c r="R38" s="77">
        <f t="shared" si="1"/>
        <v>5</v>
      </c>
      <c r="S38" s="123">
        <v>50.128379876790795</v>
      </c>
      <c r="T38" s="124">
        <v>49.536885227658139</v>
      </c>
      <c r="U38" s="124">
        <v>46.311548041191998</v>
      </c>
      <c r="V38" s="124">
        <v>49.342053876342355</v>
      </c>
      <c r="W38" s="124">
        <v>47.734348648395624</v>
      </c>
      <c r="X38" s="124">
        <v>45.592090315780297</v>
      </c>
      <c r="Y38" s="124">
        <v>51.171265966210939</v>
      </c>
      <c r="Z38" s="123">
        <v>0.2111126488334219</v>
      </c>
      <c r="AA38" s="124">
        <v>0.21266096222383415</v>
      </c>
      <c r="AB38" s="124">
        <v>0.19253029135429114</v>
      </c>
      <c r="AC38" s="124">
        <v>0.21102555267122589</v>
      </c>
      <c r="AD38" s="124">
        <v>0.19432857833771575</v>
      </c>
      <c r="AE38" s="124">
        <v>0.17394160565810932</v>
      </c>
      <c r="AF38" s="124">
        <v>0.19507081074291613</v>
      </c>
      <c r="AG38" s="123">
        <v>0.73635435212088662</v>
      </c>
      <c r="AH38" s="124">
        <v>1.1348293641279952</v>
      </c>
      <c r="AI38" s="124">
        <v>1.1039813319209804</v>
      </c>
      <c r="AJ38" s="124">
        <v>1.6184368257678432</v>
      </c>
      <c r="AK38" s="124">
        <v>1.4652646193170697</v>
      </c>
      <c r="AL38" s="124">
        <v>1.5662784388090796</v>
      </c>
      <c r="AM38" s="124">
        <v>1.5266531522409879</v>
      </c>
      <c r="AN38" s="123">
        <v>78.096145789810876</v>
      </c>
      <c r="AO38" s="124">
        <v>73.001578704028148</v>
      </c>
      <c r="AP38" s="124">
        <v>71.274080294574176</v>
      </c>
      <c r="AQ38" s="124">
        <v>73.458952327801015</v>
      </c>
      <c r="AR38" s="124">
        <v>82.180025755081019</v>
      </c>
      <c r="AS38" s="124">
        <v>102.75584538296575</v>
      </c>
      <c r="AT38" s="91">
        <v>117.26061787486265</v>
      </c>
    </row>
    <row r="39" spans="1:46" x14ac:dyDescent="0.25">
      <c r="A39" s="77">
        <f>INDEX(RegXWalk!A:A,MATCH(B39,RegXWalk!B:B,0))</f>
        <v>4</v>
      </c>
      <c r="B39" s="90" t="s">
        <v>31</v>
      </c>
      <c r="C39" s="123">
        <v>29.053165208259607</v>
      </c>
      <c r="D39" s="124">
        <v>26.487754211054028</v>
      </c>
      <c r="E39" s="124">
        <v>25.972709568293464</v>
      </c>
      <c r="F39" s="124">
        <v>26.927652665695597</v>
      </c>
      <c r="G39" s="124">
        <v>26.869817686093146</v>
      </c>
      <c r="H39" s="124">
        <v>27.507619568517178</v>
      </c>
      <c r="I39" s="124">
        <v>30.240242736384229</v>
      </c>
      <c r="J39" s="103">
        <f t="shared" si="2"/>
        <v>4</v>
      </c>
      <c r="K39" s="123">
        <v>20.554375147319011</v>
      </c>
      <c r="L39" s="124">
        <v>21.742994713940618</v>
      </c>
      <c r="M39" s="124">
        <v>20.444345507010219</v>
      </c>
      <c r="N39" s="124">
        <v>21.912089054906041</v>
      </c>
      <c r="O39" s="124">
        <v>21.876377866318506</v>
      </c>
      <c r="P39" s="124">
        <v>22.945227162339283</v>
      </c>
      <c r="Q39" s="124">
        <v>22.97154649543852</v>
      </c>
      <c r="R39" s="77">
        <f t="shared" ref="R39:R55" si="3">A39</f>
        <v>4</v>
      </c>
      <c r="S39" s="123">
        <v>49.596925817081221</v>
      </c>
      <c r="T39" s="124">
        <v>50.881598453164472</v>
      </c>
      <c r="U39" s="124">
        <v>49.131002735160038</v>
      </c>
      <c r="V39" s="124">
        <v>51.786534211518628</v>
      </c>
      <c r="W39" s="124">
        <v>51.748152126999344</v>
      </c>
      <c r="X39" s="124">
        <v>52.836862359841724</v>
      </c>
      <c r="Y39" s="124">
        <v>52.87756563345917</v>
      </c>
      <c r="Z39" s="123">
        <v>0.20251040643667498</v>
      </c>
      <c r="AA39" s="124">
        <v>0.20121913604476696</v>
      </c>
      <c r="AB39" s="124">
        <v>0.19834089545138139</v>
      </c>
      <c r="AC39" s="124">
        <v>0.2026504247378112</v>
      </c>
      <c r="AD39" s="124">
        <v>0.20261088240904032</v>
      </c>
      <c r="AE39" s="124">
        <v>0.20526096589414974</v>
      </c>
      <c r="AF39" s="124">
        <v>0.21141636860443158</v>
      </c>
      <c r="AG39" s="123">
        <v>2.7697702256214124E-2</v>
      </c>
      <c r="AH39" s="124">
        <v>2.1866769375956059E-2</v>
      </c>
      <c r="AI39" s="124">
        <v>2.1667132625100272E-2</v>
      </c>
      <c r="AJ39" s="124">
        <v>2.2200678998697827E-2</v>
      </c>
      <c r="AK39" s="124">
        <v>2.2037435104873215E-2</v>
      </c>
      <c r="AL39" s="124">
        <v>2.2461417588930718E-2</v>
      </c>
      <c r="AM39" s="124">
        <v>2.1732819669334685E-2</v>
      </c>
      <c r="AN39" s="123">
        <v>32.752832722198448</v>
      </c>
      <c r="AO39" s="124">
        <v>34.287551506812221</v>
      </c>
      <c r="AP39" s="124">
        <v>33.537176840931139</v>
      </c>
      <c r="AQ39" s="124">
        <v>34.738013256772149</v>
      </c>
      <c r="AR39" s="124">
        <v>34.72571766681093</v>
      </c>
      <c r="AS39" s="124">
        <v>35.703512336141536</v>
      </c>
      <c r="AT39" s="91">
        <v>36.008478146788818</v>
      </c>
    </row>
    <row r="40" spans="1:46" x14ac:dyDescent="0.25">
      <c r="A40" s="77">
        <f>INDEX(RegXWalk!A:A,MATCH(B40,RegXWalk!B:B,0))</f>
        <v>3</v>
      </c>
      <c r="B40" s="90" t="s">
        <v>6</v>
      </c>
      <c r="C40" s="123">
        <v>109.14210320069836</v>
      </c>
      <c r="D40" s="124">
        <v>113.41868497607952</v>
      </c>
      <c r="E40" s="124">
        <v>114.31981007742026</v>
      </c>
      <c r="F40" s="124">
        <v>117.85721309072858</v>
      </c>
      <c r="G40" s="124">
        <v>112.67788673883517</v>
      </c>
      <c r="H40" s="124">
        <v>109.1709154591392</v>
      </c>
      <c r="I40" s="124">
        <v>111.52028910097152</v>
      </c>
      <c r="J40" s="103">
        <f t="shared" si="2"/>
        <v>3</v>
      </c>
      <c r="K40" s="123">
        <v>29.83295399059968</v>
      </c>
      <c r="L40" s="124">
        <v>29.692947243376537</v>
      </c>
      <c r="M40" s="124">
        <v>29.773146020372817</v>
      </c>
      <c r="N40" s="124">
        <v>29.544371124390153</v>
      </c>
      <c r="O40" s="124">
        <v>29.531826428984459</v>
      </c>
      <c r="P40" s="124">
        <v>30.700032096786821</v>
      </c>
      <c r="Q40" s="124">
        <v>31.038292697475001</v>
      </c>
      <c r="R40" s="77">
        <f t="shared" si="3"/>
        <v>3</v>
      </c>
      <c r="S40" s="123">
        <v>71.452618653780647</v>
      </c>
      <c r="T40" s="124">
        <v>71.12851506211031</v>
      </c>
      <c r="U40" s="124">
        <v>70.739419576200774</v>
      </c>
      <c r="V40" s="124">
        <v>70.382962472063028</v>
      </c>
      <c r="W40" s="124">
        <v>70.250788097891956</v>
      </c>
      <c r="X40" s="124">
        <v>72.89166925567767</v>
      </c>
      <c r="Y40" s="124">
        <v>73.729392565434182</v>
      </c>
      <c r="Z40" s="123">
        <v>0.47008445641193874</v>
      </c>
      <c r="AA40" s="124">
        <v>0.47792077264271421</v>
      </c>
      <c r="AB40" s="124">
        <v>0.44085395977317621</v>
      </c>
      <c r="AC40" s="124">
        <v>0.445637325612177</v>
      </c>
      <c r="AD40" s="124">
        <v>0.40578132763271052</v>
      </c>
      <c r="AE40" s="124">
        <v>0.39873790365532802</v>
      </c>
      <c r="AF40" s="124">
        <v>0.42467777212922325</v>
      </c>
      <c r="AG40" s="123">
        <v>0.7318717062445762</v>
      </c>
      <c r="AH40" s="124">
        <v>0.76162322336962052</v>
      </c>
      <c r="AI40" s="124">
        <v>0.77975296763960789</v>
      </c>
      <c r="AJ40" s="124">
        <v>0.76572575342267446</v>
      </c>
      <c r="AK40" s="124">
        <v>0.78095422862836494</v>
      </c>
      <c r="AL40" s="124">
        <v>0.80836610892210825</v>
      </c>
      <c r="AM40" s="124">
        <v>0.82592840162518877</v>
      </c>
      <c r="AN40" s="123">
        <v>110.97466524041866</v>
      </c>
      <c r="AO40" s="124">
        <v>107.43157779519099</v>
      </c>
      <c r="AP40" s="124">
        <v>108.759412859809</v>
      </c>
      <c r="AQ40" s="124">
        <v>104.25829281512458</v>
      </c>
      <c r="AR40" s="124">
        <v>107.55314713309747</v>
      </c>
      <c r="AS40" s="124">
        <v>136.19147020660751</v>
      </c>
      <c r="AT40" s="91">
        <v>143.38511548547405</v>
      </c>
    </row>
    <row r="41" spans="1:46" x14ac:dyDescent="0.25">
      <c r="A41" s="77">
        <f>INDEX(RegXWalk!A:A,MATCH(B41,RegXWalk!B:B,0))</f>
        <v>7</v>
      </c>
      <c r="B41" s="90" t="s">
        <v>136</v>
      </c>
      <c r="C41" s="123">
        <v>22.546089122035859</v>
      </c>
      <c r="D41" s="124">
        <v>22.888155020330885</v>
      </c>
      <c r="E41" s="124">
        <v>22.259924090435788</v>
      </c>
      <c r="F41" s="124">
        <v>26.246431390562993</v>
      </c>
      <c r="G41" s="124">
        <v>16.969355162910432</v>
      </c>
      <c r="H41" s="124">
        <v>18.006248135564398</v>
      </c>
      <c r="I41" s="124">
        <v>18.746557715767622</v>
      </c>
      <c r="J41" s="103">
        <f t="shared" si="2"/>
        <v>7</v>
      </c>
      <c r="K41" s="123">
        <v>26.416825457775662</v>
      </c>
      <c r="L41" s="124">
        <v>23.159008371241573</v>
      </c>
      <c r="M41" s="124">
        <v>22.664062910797636</v>
      </c>
      <c r="N41" s="124">
        <v>23.458760965408175</v>
      </c>
      <c r="O41" s="124">
        <v>21.51580066554078</v>
      </c>
      <c r="P41" s="124">
        <v>19.412374130652292</v>
      </c>
      <c r="Q41" s="124">
        <v>17.714347439428693</v>
      </c>
      <c r="R41" s="77">
        <f t="shared" si="3"/>
        <v>7</v>
      </c>
      <c r="S41" s="123">
        <v>55.013303598958501</v>
      </c>
      <c r="T41" s="124">
        <v>47.379765190910931</v>
      </c>
      <c r="U41" s="124">
        <v>45.931674618221543</v>
      </c>
      <c r="V41" s="124">
        <v>46.804119723568867</v>
      </c>
      <c r="W41" s="124">
        <v>41.593881786131774</v>
      </c>
      <c r="X41" s="124">
        <v>38.840914887562761</v>
      </c>
      <c r="Y41" s="124">
        <v>37.099413609974171</v>
      </c>
      <c r="Z41" s="123">
        <v>9.2074089593633876E-2</v>
      </c>
      <c r="AA41" s="124">
        <v>9.6170596925050464E-2</v>
      </c>
      <c r="AB41" s="124">
        <v>9.3558166730551534E-2</v>
      </c>
      <c r="AC41" s="124">
        <v>9.7230466189204334E-2</v>
      </c>
      <c r="AD41" s="124">
        <v>8.5340962798069353E-2</v>
      </c>
      <c r="AE41" s="124">
        <v>8.5436996506684432E-2</v>
      </c>
      <c r="AF41" s="124">
        <v>8.5384545374316778E-2</v>
      </c>
      <c r="AG41" s="123">
        <v>3.3492334716491844E-2</v>
      </c>
      <c r="AH41" s="124">
        <v>3.4204843838051564E-2</v>
      </c>
      <c r="AI41" s="124">
        <v>3.2738200714476633E-2</v>
      </c>
      <c r="AJ41" s="124">
        <v>3.4844232894678688E-2</v>
      </c>
      <c r="AK41" s="124">
        <v>2.9534180608933092E-2</v>
      </c>
      <c r="AL41" s="124">
        <v>2.8275598838097535E-2</v>
      </c>
      <c r="AM41" s="124">
        <v>3.0324479125985144E-2</v>
      </c>
      <c r="AN41" s="123">
        <v>48.542657227310201</v>
      </c>
      <c r="AO41" s="124">
        <v>49.934754913368494</v>
      </c>
      <c r="AP41" s="124">
        <v>49.743993141356775</v>
      </c>
      <c r="AQ41" s="124">
        <v>53.657378694310466</v>
      </c>
      <c r="AR41" s="124">
        <v>53.405639215819676</v>
      </c>
      <c r="AS41" s="124">
        <v>52.226524790158336</v>
      </c>
      <c r="AT41" s="91">
        <v>51.26258288548263</v>
      </c>
    </row>
    <row r="42" spans="1:46" x14ac:dyDescent="0.25">
      <c r="A42" s="77">
        <f>INDEX(RegXWalk!A:A,MATCH(B42,RegXWalk!B:B,0))</f>
        <v>9</v>
      </c>
      <c r="B42" s="90" t="s">
        <v>147</v>
      </c>
      <c r="C42" s="123">
        <v>0.92432140492010362</v>
      </c>
      <c r="D42" s="124">
        <v>0.92432140492010362</v>
      </c>
      <c r="E42" s="124">
        <v>0.92432140492010362</v>
      </c>
      <c r="F42" s="124">
        <v>0.98984840340362357</v>
      </c>
      <c r="G42" s="124">
        <v>0.98984840340362357</v>
      </c>
      <c r="H42" s="124">
        <v>0.98984840340362357</v>
      </c>
      <c r="I42" s="124">
        <v>0.98984840340362368</v>
      </c>
      <c r="J42" s="103">
        <f t="shared" si="2"/>
        <v>9</v>
      </c>
      <c r="K42" s="123">
        <v>0.82226504424037372</v>
      </c>
      <c r="L42" s="124">
        <v>1.0383866195951057</v>
      </c>
      <c r="M42" s="124">
        <v>0.82226504424037372</v>
      </c>
      <c r="N42" s="124">
        <v>1.3420229728380284</v>
      </c>
      <c r="O42" s="124">
        <v>1.4035486697828772</v>
      </c>
      <c r="P42" s="124">
        <v>1.3671594971773862</v>
      </c>
      <c r="Q42" s="124">
        <v>1.5787681964532911</v>
      </c>
      <c r="R42" s="77">
        <f t="shared" si="3"/>
        <v>9</v>
      </c>
      <c r="S42" s="123">
        <v>3.1305062603794691</v>
      </c>
      <c r="T42" s="124">
        <v>3.3504037171054404</v>
      </c>
      <c r="U42" s="124">
        <v>3.1342821417507092</v>
      </c>
      <c r="V42" s="124">
        <v>3.7230448045556912</v>
      </c>
      <c r="W42" s="124">
        <v>3.7891936767710637</v>
      </c>
      <c r="X42" s="124">
        <v>3.7528045034583557</v>
      </c>
      <c r="Y42" s="124">
        <v>3.9597900274637374</v>
      </c>
      <c r="Z42" s="123">
        <v>1.2144251750438087E-2</v>
      </c>
      <c r="AA42" s="124">
        <v>1.2144889088604472E-2</v>
      </c>
      <c r="AB42" s="124">
        <v>1.2144283948193479E-2</v>
      </c>
      <c r="AC42" s="124">
        <v>6.5062299346314204E-2</v>
      </c>
      <c r="AD42" s="124">
        <v>0.11285938535234255</v>
      </c>
      <c r="AE42" s="124">
        <v>0.11285885804101742</v>
      </c>
      <c r="AF42" s="124">
        <v>0.11286078308447439</v>
      </c>
      <c r="AG42" s="123">
        <v>0</v>
      </c>
      <c r="AH42" s="124">
        <v>0</v>
      </c>
      <c r="AI42" s="124">
        <v>0</v>
      </c>
      <c r="AJ42" s="124">
        <v>0</v>
      </c>
      <c r="AK42" s="124">
        <v>0</v>
      </c>
      <c r="AL42" s="124">
        <v>0</v>
      </c>
      <c r="AM42" s="124">
        <v>0</v>
      </c>
      <c r="AN42" s="123">
        <v>7.3585956734053726</v>
      </c>
      <c r="AO42" s="124">
        <v>7.8915924771220265</v>
      </c>
      <c r="AP42" s="124">
        <v>7.3855221962713911</v>
      </c>
      <c r="AQ42" s="124">
        <v>9.248870255181151</v>
      </c>
      <c r="AR42" s="124">
        <v>9.8595121754949577</v>
      </c>
      <c r="AS42" s="124">
        <v>9.4185155738218356</v>
      </c>
      <c r="AT42" s="91">
        <v>11.028364985199405</v>
      </c>
    </row>
    <row r="43" spans="1:46" x14ac:dyDescent="0.25">
      <c r="A43" s="77">
        <f>INDEX(RegXWalk!A:A,MATCH(B43,RegXWalk!B:B,0))</f>
        <v>2</v>
      </c>
      <c r="B43" s="90" t="s">
        <v>2</v>
      </c>
      <c r="C43" s="123">
        <v>61.623479601466855</v>
      </c>
      <c r="D43" s="124">
        <v>62.293544081727291</v>
      </c>
      <c r="E43" s="124">
        <v>61.560469975588042</v>
      </c>
      <c r="F43" s="124">
        <v>66.954144513147213</v>
      </c>
      <c r="G43" s="124">
        <v>64.253661621257223</v>
      </c>
      <c r="H43" s="124">
        <v>73.769543109535093</v>
      </c>
      <c r="I43" s="124">
        <v>72.172541551215119</v>
      </c>
      <c r="J43" s="103">
        <f t="shared" si="2"/>
        <v>2</v>
      </c>
      <c r="K43" s="123">
        <v>50.747176445844239</v>
      </c>
      <c r="L43" s="124">
        <v>51.987957674452559</v>
      </c>
      <c r="M43" s="124">
        <v>51.200830552454562</v>
      </c>
      <c r="N43" s="124">
        <v>52.380765387506486</v>
      </c>
      <c r="O43" s="124">
        <v>51.744973079564204</v>
      </c>
      <c r="P43" s="124">
        <v>52.215776544924474</v>
      </c>
      <c r="Q43" s="124">
        <v>54.325603678625498</v>
      </c>
      <c r="R43" s="77">
        <f t="shared" si="3"/>
        <v>2</v>
      </c>
      <c r="S43" s="123">
        <v>118.75705323205504</v>
      </c>
      <c r="T43" s="124">
        <v>120.93589287193922</v>
      </c>
      <c r="U43" s="124">
        <v>118.90657974908507</v>
      </c>
      <c r="V43" s="124">
        <v>121.78134900707013</v>
      </c>
      <c r="W43" s="124">
        <v>119.90697191165032</v>
      </c>
      <c r="X43" s="124">
        <v>121.47421633978162</v>
      </c>
      <c r="Y43" s="124">
        <v>126.4049787849244</v>
      </c>
      <c r="Z43" s="123">
        <v>0.41722506444536067</v>
      </c>
      <c r="AA43" s="124">
        <v>0.42465349363879906</v>
      </c>
      <c r="AB43" s="124">
        <v>0.41524725328770901</v>
      </c>
      <c r="AC43" s="124">
        <v>0.41480537809654344</v>
      </c>
      <c r="AD43" s="124">
        <v>0.4104059370473998</v>
      </c>
      <c r="AE43" s="124">
        <v>0.41030584295822037</v>
      </c>
      <c r="AF43" s="124">
        <v>0.4328475907837368</v>
      </c>
      <c r="AG43" s="123">
        <v>0.46755369176177902</v>
      </c>
      <c r="AH43" s="124">
        <v>0.47562516156218931</v>
      </c>
      <c r="AI43" s="124">
        <v>0.46775569139090023</v>
      </c>
      <c r="AJ43" s="124">
        <v>0.45225379356568873</v>
      </c>
      <c r="AK43" s="124">
        <v>0.46368360625247262</v>
      </c>
      <c r="AL43" s="124">
        <v>0.42983990325231469</v>
      </c>
      <c r="AM43" s="124">
        <v>0.45308439934992067</v>
      </c>
      <c r="AN43" s="123">
        <v>116.09468558392243</v>
      </c>
      <c r="AO43" s="124">
        <v>114.13060465023278</v>
      </c>
      <c r="AP43" s="124">
        <v>115.60816449922794</v>
      </c>
      <c r="AQ43" s="124">
        <v>122.36525382902855</v>
      </c>
      <c r="AR43" s="124">
        <v>118.10684146421336</v>
      </c>
      <c r="AS43" s="124">
        <v>147.20491184843095</v>
      </c>
      <c r="AT43" s="91">
        <v>176.79060765189627</v>
      </c>
    </row>
    <row r="44" spans="1:46" x14ac:dyDescent="0.25">
      <c r="A44" s="77">
        <f>INDEX(RegXWalk!A:A,MATCH(B44,RegXWalk!B:B,0))</f>
        <v>1</v>
      </c>
      <c r="B44" s="90" t="s">
        <v>118</v>
      </c>
      <c r="C44" s="123">
        <v>0</v>
      </c>
      <c r="D44" s="124">
        <v>0</v>
      </c>
      <c r="E44" s="124">
        <v>0</v>
      </c>
      <c r="F44" s="124">
        <v>0</v>
      </c>
      <c r="G44" s="124">
        <v>0</v>
      </c>
      <c r="H44" s="124">
        <v>0</v>
      </c>
      <c r="I44" s="124">
        <v>0</v>
      </c>
      <c r="J44" s="103">
        <f t="shared" si="2"/>
        <v>1</v>
      </c>
      <c r="K44" s="123">
        <v>0.22222574109183907</v>
      </c>
      <c r="L44" s="124">
        <v>0.20764546739466189</v>
      </c>
      <c r="M44" s="124">
        <v>0.22927531366959958</v>
      </c>
      <c r="N44" s="124">
        <v>0.23147857706030306</v>
      </c>
      <c r="O44" s="124">
        <v>0.19578094298237922</v>
      </c>
      <c r="P44" s="124">
        <v>0.37571866284824562</v>
      </c>
      <c r="Q44" s="124">
        <v>0.39504805387459663</v>
      </c>
      <c r="R44" s="77">
        <f t="shared" si="3"/>
        <v>1</v>
      </c>
      <c r="S44" s="123">
        <v>0.43355460722327022</v>
      </c>
      <c r="T44" s="124">
        <v>0.41510132398461752</v>
      </c>
      <c r="U44" s="124">
        <v>0.43392271945245714</v>
      </c>
      <c r="V44" s="124">
        <v>0.44702744608844636</v>
      </c>
      <c r="W44" s="124">
        <v>0.42053028315001995</v>
      </c>
      <c r="X44" s="124">
        <v>0.8730388882885306</v>
      </c>
      <c r="Y44" s="124">
        <v>0.90662447235859756</v>
      </c>
      <c r="Z44" s="123">
        <v>3.6323107283083372E-6</v>
      </c>
      <c r="AA44" s="124">
        <v>3.5394580317443464E-6</v>
      </c>
      <c r="AB44" s="124">
        <v>3.6337327721063377E-6</v>
      </c>
      <c r="AC44" s="124">
        <v>3.6955626872704696E-6</v>
      </c>
      <c r="AD44" s="124">
        <v>3.6912138660327861E-6</v>
      </c>
      <c r="AE44" s="124">
        <v>1.0048837851770429E-5</v>
      </c>
      <c r="AF44" s="124">
        <v>1.0574880265945822E-5</v>
      </c>
      <c r="AG44" s="123">
        <v>0</v>
      </c>
      <c r="AH44" s="124">
        <v>0</v>
      </c>
      <c r="AI44" s="124">
        <v>0</v>
      </c>
      <c r="AJ44" s="124">
        <v>0</v>
      </c>
      <c r="AK44" s="124">
        <v>0</v>
      </c>
      <c r="AL44" s="124">
        <v>0</v>
      </c>
      <c r="AM44" s="124">
        <v>0</v>
      </c>
      <c r="AN44" s="123">
        <v>3.2558039194952562</v>
      </c>
      <c r="AO44" s="124">
        <v>3.1781525358258844</v>
      </c>
      <c r="AP44" s="124">
        <v>3.2569931544086121</v>
      </c>
      <c r="AQ44" s="124">
        <v>3.3087006291758732</v>
      </c>
      <c r="AR44" s="124">
        <v>3.3050637721008163</v>
      </c>
      <c r="AS44" s="124">
        <v>8.6218538881734119</v>
      </c>
      <c r="AT44" s="91">
        <v>9.0617756442566613</v>
      </c>
    </row>
    <row r="45" spans="1:46" x14ac:dyDescent="0.25">
      <c r="A45" s="77">
        <f>INDEX(RegXWalk!A:A,MATCH(B45,RegXWalk!B:B,0))</f>
        <v>5</v>
      </c>
      <c r="B45" s="90" t="s">
        <v>38</v>
      </c>
      <c r="C45" s="123">
        <v>18.162066524341682</v>
      </c>
      <c r="D45" s="124">
        <v>24.859022032933147</v>
      </c>
      <c r="E45" s="124">
        <v>23.37919767214791</v>
      </c>
      <c r="F45" s="124">
        <v>29.542481065696784</v>
      </c>
      <c r="G45" s="124">
        <v>28.203568930599985</v>
      </c>
      <c r="H45" s="124">
        <v>25.041481713938623</v>
      </c>
      <c r="I45" s="124">
        <v>31.304089614930785</v>
      </c>
      <c r="J45" s="103">
        <f t="shared" si="2"/>
        <v>5</v>
      </c>
      <c r="K45" s="123">
        <v>6.0015977027456637</v>
      </c>
      <c r="L45" s="124">
        <v>6.1833321391588507</v>
      </c>
      <c r="M45" s="124">
        <v>5.7911440999315058</v>
      </c>
      <c r="N45" s="124">
        <v>6.9868921866833169</v>
      </c>
      <c r="O45" s="124">
        <v>6.7034721158250994</v>
      </c>
      <c r="P45" s="124">
        <v>6.4362801218422048</v>
      </c>
      <c r="Q45" s="124">
        <v>7.7837756009676342</v>
      </c>
      <c r="R45" s="77">
        <f t="shared" si="3"/>
        <v>5</v>
      </c>
      <c r="S45" s="123">
        <v>11.730949805742101</v>
      </c>
      <c r="T45" s="124">
        <v>13.864763890301221</v>
      </c>
      <c r="U45" s="124">
        <v>12.157546125011809</v>
      </c>
      <c r="V45" s="124">
        <v>15.125854005948597</v>
      </c>
      <c r="W45" s="124">
        <v>14.458997690960258</v>
      </c>
      <c r="X45" s="124">
        <v>13.208811045156414</v>
      </c>
      <c r="Y45" s="124">
        <v>17.263160963677365</v>
      </c>
      <c r="Z45" s="123">
        <v>9.5925804254673966E-2</v>
      </c>
      <c r="AA45" s="124">
        <v>0.10691224281432328</v>
      </c>
      <c r="AB45" s="124">
        <v>8.3235475454390417E-2</v>
      </c>
      <c r="AC45" s="124">
        <v>0.10670307077738879</v>
      </c>
      <c r="AD45" s="124">
        <v>0.10141409691620625</v>
      </c>
      <c r="AE45" s="124">
        <v>8.9033611735514967E-2</v>
      </c>
      <c r="AF45" s="124">
        <v>0.11391986189502375</v>
      </c>
      <c r="AG45" s="123">
        <v>0.10621437639181688</v>
      </c>
      <c r="AH45" s="124">
        <v>0.13648653925520049</v>
      </c>
      <c r="AI45" s="124">
        <v>0.1172576659690331</v>
      </c>
      <c r="AJ45" s="124">
        <v>0.14794625396713532</v>
      </c>
      <c r="AK45" s="124">
        <v>0.14084533674551913</v>
      </c>
      <c r="AL45" s="124">
        <v>0.12211203960213442</v>
      </c>
      <c r="AM45" s="124">
        <v>0.15343922510685079</v>
      </c>
      <c r="AN45" s="123">
        <v>28.172969786525069</v>
      </c>
      <c r="AO45" s="124">
        <v>33.965751088610574</v>
      </c>
      <c r="AP45" s="124">
        <v>29.866905606038696</v>
      </c>
      <c r="AQ45" s="124">
        <v>38.354722425406614</v>
      </c>
      <c r="AR45" s="124">
        <v>36.996899036927061</v>
      </c>
      <c r="AS45" s="124">
        <v>34.02919934072483</v>
      </c>
      <c r="AT45" s="91">
        <v>54.444331850242733</v>
      </c>
    </row>
    <row r="46" spans="1:46" x14ac:dyDescent="0.25">
      <c r="A46" s="77">
        <f>INDEX(RegXWalk!A:A,MATCH(B46,RegXWalk!B:B,0))</f>
        <v>4</v>
      </c>
      <c r="B46" s="90" t="s">
        <v>32</v>
      </c>
      <c r="C46" s="123">
        <v>1.38500692986449</v>
      </c>
      <c r="D46" s="124">
        <v>1.4664698840641099</v>
      </c>
      <c r="E46" s="124">
        <v>1.44930011691098</v>
      </c>
      <c r="F46" s="124">
        <v>1.4664698840641099</v>
      </c>
      <c r="G46" s="124">
        <v>1.4666641258298201</v>
      </c>
      <c r="H46" s="124">
        <v>1.46670600241064</v>
      </c>
      <c r="I46" s="124">
        <v>2.00649464946413</v>
      </c>
      <c r="J46" s="103">
        <f t="shared" si="2"/>
        <v>4</v>
      </c>
      <c r="K46" s="123">
        <v>0.59955940047596301</v>
      </c>
      <c r="L46" s="124">
        <v>0.65294757956530847</v>
      </c>
      <c r="M46" s="124">
        <v>0.6490755956557438</v>
      </c>
      <c r="N46" s="124">
        <v>0.67780243640561233</v>
      </c>
      <c r="O46" s="124">
        <v>0.6843958366144276</v>
      </c>
      <c r="P46" s="124">
        <v>0.70960555575198425</v>
      </c>
      <c r="Q46" s="124">
        <v>0.67725714154568739</v>
      </c>
      <c r="R46" s="77">
        <f t="shared" si="3"/>
        <v>4</v>
      </c>
      <c r="S46" s="123">
        <v>1.5482188242946637</v>
      </c>
      <c r="T46" s="124">
        <v>1.4148328393125065</v>
      </c>
      <c r="U46" s="124">
        <v>1.40421017087843</v>
      </c>
      <c r="V46" s="124">
        <v>1.6267755522003104</v>
      </c>
      <c r="W46" s="124">
        <v>1.6332781303429396</v>
      </c>
      <c r="X46" s="124">
        <v>1.676492850352536</v>
      </c>
      <c r="Y46" s="124">
        <v>1.5857647659311511</v>
      </c>
      <c r="Z46" s="123">
        <v>7.3414332407391028E-3</v>
      </c>
      <c r="AA46" s="124">
        <v>7.7726090144964342E-3</v>
      </c>
      <c r="AB46" s="124">
        <v>7.6816167057565795E-3</v>
      </c>
      <c r="AC46" s="124">
        <v>7.773158363313333E-3</v>
      </c>
      <c r="AD46" s="124">
        <v>7.7583451648038848E-3</v>
      </c>
      <c r="AE46" s="124">
        <v>7.755751883659432E-3</v>
      </c>
      <c r="AF46" s="124">
        <v>7.7252067651458443E-3</v>
      </c>
      <c r="AG46" s="123">
        <v>1.7312586623306201E-3</v>
      </c>
      <c r="AH46" s="124">
        <v>1.8330873550801399E-3</v>
      </c>
      <c r="AI46" s="124">
        <v>1.8116251461387301E-3</v>
      </c>
      <c r="AJ46" s="124">
        <v>1.8330873550801399E-3</v>
      </c>
      <c r="AK46" s="124">
        <v>1.83333015728727E-3</v>
      </c>
      <c r="AL46" s="124">
        <v>1.83338250301329E-3</v>
      </c>
      <c r="AM46" s="124">
        <v>1.84187415475453E-3</v>
      </c>
      <c r="AN46" s="123">
        <v>4.4806029780440735</v>
      </c>
      <c r="AO46" s="124">
        <v>4.2167680947885655</v>
      </c>
      <c r="AP46" s="124">
        <v>4.1767533607195402</v>
      </c>
      <c r="AQ46" s="124">
        <v>4.6761806625211895</v>
      </c>
      <c r="AR46" s="124">
        <v>4.7071918172692966</v>
      </c>
      <c r="AS46" s="124">
        <v>5.2160279757537458</v>
      </c>
      <c r="AT46" s="91">
        <v>4.9654925963317469</v>
      </c>
    </row>
    <row r="47" spans="1:46" x14ac:dyDescent="0.25">
      <c r="A47" s="77">
        <f>INDEX(RegXWalk!A:A,MATCH(B47,RegXWalk!B:B,0))</f>
        <v>6</v>
      </c>
      <c r="B47" s="90" t="s">
        <v>133</v>
      </c>
      <c r="C47" s="123">
        <v>40.11703001758535</v>
      </c>
      <c r="D47" s="124">
        <v>42.303988154261958</v>
      </c>
      <c r="E47" s="124">
        <v>41.355767632009211</v>
      </c>
      <c r="F47" s="124">
        <v>40.156855436702884</v>
      </c>
      <c r="G47" s="124">
        <v>41.453044157622372</v>
      </c>
      <c r="H47" s="124">
        <v>40.111445695747776</v>
      </c>
      <c r="I47" s="124">
        <v>41.736776717569619</v>
      </c>
      <c r="J47" s="103">
        <f t="shared" si="2"/>
        <v>6</v>
      </c>
      <c r="K47" s="123">
        <v>5.9600451306940787</v>
      </c>
      <c r="L47" s="124">
        <v>6.3821995582150839</v>
      </c>
      <c r="M47" s="124">
        <v>6.5051194608840177</v>
      </c>
      <c r="N47" s="124">
        <v>6.8383569226906191</v>
      </c>
      <c r="O47" s="124">
        <v>6.8183008170527231</v>
      </c>
      <c r="P47" s="124">
        <v>7.4054663843570001</v>
      </c>
      <c r="Q47" s="124">
        <v>7.6933473452873713</v>
      </c>
      <c r="R47" s="77">
        <f t="shared" si="3"/>
        <v>6</v>
      </c>
      <c r="S47" s="123">
        <v>13.739358545020941</v>
      </c>
      <c r="T47" s="124">
        <v>14.271777942325791</v>
      </c>
      <c r="U47" s="124">
        <v>14.439702291704085</v>
      </c>
      <c r="V47" s="124">
        <v>15.206905051505441</v>
      </c>
      <c r="W47" s="124">
        <v>15.110437447713711</v>
      </c>
      <c r="X47" s="124">
        <v>16.20561462697124</v>
      </c>
      <c r="Y47" s="124">
        <v>16.495102256273555</v>
      </c>
      <c r="Z47" s="123">
        <v>0.15383650490821613</v>
      </c>
      <c r="AA47" s="124">
        <v>0.15834571350612237</v>
      </c>
      <c r="AB47" s="124">
        <v>0.15668305271772887</v>
      </c>
      <c r="AC47" s="124">
        <v>0.15256433061278327</v>
      </c>
      <c r="AD47" s="124">
        <v>0.15545988898255148</v>
      </c>
      <c r="AE47" s="124">
        <v>0.15302530963811928</v>
      </c>
      <c r="AF47" s="124">
        <v>0.15598990371270707</v>
      </c>
      <c r="AG47" s="123">
        <v>8.8493645955106864E-2</v>
      </c>
      <c r="AH47" s="124">
        <v>9.1493526773069267E-2</v>
      </c>
      <c r="AI47" s="124">
        <v>0.11637128067823443</v>
      </c>
      <c r="AJ47" s="124">
        <v>0.14764725566713738</v>
      </c>
      <c r="AK47" s="124">
        <v>9.6052726267857297E-2</v>
      </c>
      <c r="AL47" s="124">
        <v>0.1357100393632274</v>
      </c>
      <c r="AM47" s="124">
        <v>8.7665663246481063E-2</v>
      </c>
      <c r="AN47" s="123">
        <v>43.241734871528337</v>
      </c>
      <c r="AO47" s="124">
        <v>44.765678936888285</v>
      </c>
      <c r="AP47" s="124">
        <v>45.248843835013389</v>
      </c>
      <c r="AQ47" s="124">
        <v>52.997917651639646</v>
      </c>
      <c r="AR47" s="124">
        <v>51.920172791139251</v>
      </c>
      <c r="AS47" s="124">
        <v>62.257698979358906</v>
      </c>
      <c r="AT47" s="91">
        <v>62.386358281421096</v>
      </c>
    </row>
    <row r="48" spans="1:46" x14ac:dyDescent="0.25">
      <c r="A48" s="77">
        <f>INDEX(RegXWalk!A:A,MATCH(B48,RegXWalk!B:B,0))</f>
        <v>7</v>
      </c>
      <c r="B48" s="90" t="s">
        <v>137</v>
      </c>
      <c r="C48" s="123">
        <v>144.18471288529639</v>
      </c>
      <c r="D48" s="124">
        <v>139.02859648424663</v>
      </c>
      <c r="E48" s="124">
        <v>130.86686228905447</v>
      </c>
      <c r="F48" s="124">
        <v>142.07240408782951</v>
      </c>
      <c r="G48" s="124">
        <v>140.41394261873469</v>
      </c>
      <c r="H48" s="124">
        <v>115.81062891948041</v>
      </c>
      <c r="I48" s="124">
        <v>116.30730788323186</v>
      </c>
      <c r="J48" s="103">
        <f t="shared" si="2"/>
        <v>7</v>
      </c>
      <c r="K48" s="123">
        <v>64.622739233116917</v>
      </c>
      <c r="L48" s="124">
        <v>65.523821507885955</v>
      </c>
      <c r="M48" s="124">
        <v>63.426981544820961</v>
      </c>
      <c r="N48" s="124">
        <v>65.341392951956593</v>
      </c>
      <c r="O48" s="124">
        <v>65.122971614616048</v>
      </c>
      <c r="P48" s="124">
        <v>58.934989371720036</v>
      </c>
      <c r="Q48" s="124">
        <v>60.091617491582305</v>
      </c>
      <c r="R48" s="77">
        <f t="shared" si="3"/>
        <v>7</v>
      </c>
      <c r="S48" s="123">
        <v>125.49061829783375</v>
      </c>
      <c r="T48" s="124">
        <v>133.69090636327158</v>
      </c>
      <c r="U48" s="124">
        <v>128.18151179342306</v>
      </c>
      <c r="V48" s="124">
        <v>132.39986395627963</v>
      </c>
      <c r="W48" s="124">
        <v>131.0587983508839</v>
      </c>
      <c r="X48" s="124">
        <v>118.04872835765023</v>
      </c>
      <c r="Y48" s="124">
        <v>123.0702899439996</v>
      </c>
      <c r="Z48" s="123">
        <v>0.71642850692169235</v>
      </c>
      <c r="AA48" s="124">
        <v>0.78863803358687756</v>
      </c>
      <c r="AB48" s="124">
        <v>0.75083221913993692</v>
      </c>
      <c r="AC48" s="124">
        <v>0.79483201430887085</v>
      </c>
      <c r="AD48" s="124">
        <v>0.78665635892292352</v>
      </c>
      <c r="AE48" s="124">
        <v>0.74053048063860649</v>
      </c>
      <c r="AF48" s="124">
        <v>0.73602678373314789</v>
      </c>
      <c r="AG48" s="123">
        <v>0.34467161010697162</v>
      </c>
      <c r="AH48" s="124">
        <v>0.35803899097958475</v>
      </c>
      <c r="AI48" s="124">
        <v>0.33982789771117661</v>
      </c>
      <c r="AJ48" s="124">
        <v>0.35975296356153841</v>
      </c>
      <c r="AK48" s="124">
        <v>0.35712471004047663</v>
      </c>
      <c r="AL48" s="124">
        <v>0.29911819186430594</v>
      </c>
      <c r="AM48" s="124">
        <v>0.30817364546421766</v>
      </c>
      <c r="AN48" s="123">
        <v>237.86246677529709</v>
      </c>
      <c r="AO48" s="124">
        <v>256.22806378228483</v>
      </c>
      <c r="AP48" s="124">
        <v>248.72537680071039</v>
      </c>
      <c r="AQ48" s="124">
        <v>268.29820547194004</v>
      </c>
      <c r="AR48" s="124">
        <v>284.1782557274131</v>
      </c>
      <c r="AS48" s="124">
        <v>290.64989989425959</v>
      </c>
      <c r="AT48" s="91">
        <v>320.31743693110809</v>
      </c>
    </row>
    <row r="49" spans="1:46" x14ac:dyDescent="0.25">
      <c r="A49" s="77">
        <f>INDEX(RegXWalk!A:A,MATCH(B49,RegXWalk!B:B,0))</f>
        <v>8</v>
      </c>
      <c r="B49" s="90" t="s">
        <v>144</v>
      </c>
      <c r="C49" s="123">
        <v>15.494017639419104</v>
      </c>
      <c r="D49" s="124">
        <v>15.690054041532749</v>
      </c>
      <c r="E49" s="124">
        <v>15.690054041532749</v>
      </c>
      <c r="F49" s="124">
        <v>15.613686053776997</v>
      </c>
      <c r="G49" s="124">
        <v>15.17507423466026</v>
      </c>
      <c r="H49" s="124">
        <v>14.47299827140394</v>
      </c>
      <c r="I49" s="124">
        <v>16.584340545215387</v>
      </c>
      <c r="J49" s="103">
        <f t="shared" si="2"/>
        <v>8</v>
      </c>
      <c r="K49" s="123">
        <v>24.789595273217738</v>
      </c>
      <c r="L49" s="124">
        <v>25.160410027971142</v>
      </c>
      <c r="M49" s="124">
        <v>25.176678145815682</v>
      </c>
      <c r="N49" s="124">
        <v>25.414682407205941</v>
      </c>
      <c r="O49" s="124">
        <v>25.577491474587219</v>
      </c>
      <c r="P49" s="124">
        <v>25.681003742453193</v>
      </c>
      <c r="Q49" s="124">
        <v>25.751755978980214</v>
      </c>
      <c r="R49" s="77">
        <f t="shared" si="3"/>
        <v>8</v>
      </c>
      <c r="S49" s="123">
        <v>56.920819136446639</v>
      </c>
      <c r="T49" s="124">
        <v>57.823202076769903</v>
      </c>
      <c r="U49" s="124">
        <v>57.875932814303951</v>
      </c>
      <c r="V49" s="124">
        <v>58.176537225063555</v>
      </c>
      <c r="W49" s="124">
        <v>58.33934629244483</v>
      </c>
      <c r="X49" s="124">
        <v>58.721741497488587</v>
      </c>
      <c r="Y49" s="124">
        <v>58.900993857453102</v>
      </c>
      <c r="Z49" s="123">
        <v>9.307319803991547E-2</v>
      </c>
      <c r="AA49" s="124">
        <v>9.5000909660442653E-2</v>
      </c>
      <c r="AB49" s="124">
        <v>9.5001639552578135E-2</v>
      </c>
      <c r="AC49" s="124">
        <v>0.11714339090846754</v>
      </c>
      <c r="AD49" s="124">
        <v>0.11797539250163333</v>
      </c>
      <c r="AE49" s="124">
        <v>0.11866495570995995</v>
      </c>
      <c r="AF49" s="124">
        <v>0.12227084274608067</v>
      </c>
      <c r="AG49" s="123">
        <v>3.6821127295612127E-2</v>
      </c>
      <c r="AH49" s="124">
        <v>3.8810813000825409E-2</v>
      </c>
      <c r="AI49" s="124">
        <v>3.8810813000825409E-2</v>
      </c>
      <c r="AJ49" s="124">
        <v>3.9011781389656358E-2</v>
      </c>
      <c r="AK49" s="124">
        <v>4.0166023018910924E-2</v>
      </c>
      <c r="AL49" s="124">
        <v>4.1924989803161894E-2</v>
      </c>
      <c r="AM49" s="124">
        <v>6.6829279086926263E-2</v>
      </c>
      <c r="AN49" s="123">
        <v>38.292660527925634</v>
      </c>
      <c r="AO49" s="124">
        <v>39.450218009615959</v>
      </c>
      <c r="AP49" s="124">
        <v>40.060616375502917</v>
      </c>
      <c r="AQ49" s="124">
        <v>41.959750927033163</v>
      </c>
      <c r="AR49" s="124">
        <v>42.752232081357491</v>
      </c>
      <c r="AS49" s="124">
        <v>47.730371046824068</v>
      </c>
      <c r="AT49" s="91">
        <v>50.224155516811962</v>
      </c>
    </row>
    <row r="50" spans="1:46" x14ac:dyDescent="0.25">
      <c r="A50" s="77">
        <f>INDEX(RegXWalk!A:A,MATCH(B50,RegXWalk!B:B,0))</f>
        <v>1</v>
      </c>
      <c r="B50" s="90" t="s">
        <v>119</v>
      </c>
      <c r="C50" s="123">
        <v>0.31382375284320002</v>
      </c>
      <c r="D50" s="124">
        <v>0.31382375284320002</v>
      </c>
      <c r="E50" s="124">
        <v>0.31382375284320002</v>
      </c>
      <c r="F50" s="124">
        <v>0.31382375284320002</v>
      </c>
      <c r="G50" s="124">
        <v>0.31382375284320002</v>
      </c>
      <c r="H50" s="124">
        <v>0.31382375284320002</v>
      </c>
      <c r="I50" s="124">
        <v>0.31704733122720002</v>
      </c>
      <c r="J50" s="103">
        <f t="shared" si="2"/>
        <v>1</v>
      </c>
      <c r="K50" s="123">
        <v>0.19826914622734879</v>
      </c>
      <c r="L50" s="124">
        <v>0.19826914622734879</v>
      </c>
      <c r="M50" s="124">
        <v>0.19826914622734879</v>
      </c>
      <c r="N50" s="124">
        <v>0.19826914622734879</v>
      </c>
      <c r="O50" s="124">
        <v>0.19826914622734879</v>
      </c>
      <c r="P50" s="124">
        <v>0.19826914622734879</v>
      </c>
      <c r="Q50" s="124">
        <v>0.21249113783690768</v>
      </c>
      <c r="R50" s="77">
        <f t="shared" si="3"/>
        <v>1</v>
      </c>
      <c r="S50" s="123">
        <v>0.46932033416504682</v>
      </c>
      <c r="T50" s="124">
        <v>0.46932033416504682</v>
      </c>
      <c r="U50" s="124">
        <v>0.46932033416504682</v>
      </c>
      <c r="V50" s="124">
        <v>0.46932033416504682</v>
      </c>
      <c r="W50" s="124">
        <v>0.46932033416504682</v>
      </c>
      <c r="X50" s="124">
        <v>0.46932033416504682</v>
      </c>
      <c r="Y50" s="124">
        <v>0.50324861480222971</v>
      </c>
      <c r="Z50" s="123">
        <v>2.2359987336801387E-3</v>
      </c>
      <c r="AA50" s="124">
        <v>2.2359987336801387E-3</v>
      </c>
      <c r="AB50" s="124">
        <v>2.2359987336801387E-3</v>
      </c>
      <c r="AC50" s="124">
        <v>2.2359987336801387E-3</v>
      </c>
      <c r="AD50" s="124">
        <v>2.2359987336801387E-3</v>
      </c>
      <c r="AE50" s="124">
        <v>2.2359987336801387E-3</v>
      </c>
      <c r="AF50" s="124">
        <v>2.259388287306663E-3</v>
      </c>
      <c r="AG50" s="123">
        <v>0</v>
      </c>
      <c r="AH50" s="124">
        <v>0</v>
      </c>
      <c r="AI50" s="124">
        <v>0</v>
      </c>
      <c r="AJ50" s="124">
        <v>0</v>
      </c>
      <c r="AK50" s="124">
        <v>0</v>
      </c>
      <c r="AL50" s="124">
        <v>0</v>
      </c>
      <c r="AM50" s="124">
        <v>0</v>
      </c>
      <c r="AN50" s="123">
        <v>0.7859034203718317</v>
      </c>
      <c r="AO50" s="124">
        <v>0.7859034203718317</v>
      </c>
      <c r="AP50" s="124">
        <v>0.7859034203718317</v>
      </c>
      <c r="AQ50" s="124">
        <v>0.7859034203718317</v>
      </c>
      <c r="AR50" s="124">
        <v>0.7859034203718317</v>
      </c>
      <c r="AS50" s="124">
        <v>0.7859034203718317</v>
      </c>
      <c r="AT50" s="91">
        <v>1.1463035252011686</v>
      </c>
    </row>
    <row r="51" spans="1:46" x14ac:dyDescent="0.25">
      <c r="A51" s="77">
        <f>INDEX(RegXWalk!A:A,MATCH(B51,RegXWalk!B:B,0))</f>
        <v>5</v>
      </c>
      <c r="B51" s="90" t="s">
        <v>39</v>
      </c>
      <c r="C51" s="123">
        <v>14.37618936120732</v>
      </c>
      <c r="D51" s="124">
        <v>16.868293404818839</v>
      </c>
      <c r="E51" s="124">
        <v>15.354813834686661</v>
      </c>
      <c r="F51" s="124">
        <v>16.915871887325341</v>
      </c>
      <c r="G51" s="124">
        <v>16.026882549730253</v>
      </c>
      <c r="H51" s="124">
        <v>14.872617707586123</v>
      </c>
      <c r="I51" s="124">
        <v>14.726699967128653</v>
      </c>
      <c r="J51" s="103">
        <f t="shared" si="2"/>
        <v>5</v>
      </c>
      <c r="K51" s="123">
        <v>10.156570688702148</v>
      </c>
      <c r="L51" s="124">
        <v>11.254415548708467</v>
      </c>
      <c r="M51" s="124">
        <v>10.873743695768377</v>
      </c>
      <c r="N51" s="124">
        <v>11.452836316921985</v>
      </c>
      <c r="O51" s="124">
        <v>10.358474213521621</v>
      </c>
      <c r="P51" s="124">
        <v>10.280968238689223</v>
      </c>
      <c r="Q51" s="124">
        <v>11.13924775498131</v>
      </c>
      <c r="R51" s="77">
        <f t="shared" si="3"/>
        <v>5</v>
      </c>
      <c r="S51" s="123">
        <v>22.812756310725348</v>
      </c>
      <c r="T51" s="124">
        <v>26.072127317812495</v>
      </c>
      <c r="U51" s="124">
        <v>24.204699770126119</v>
      </c>
      <c r="V51" s="124">
        <v>25.569828274996855</v>
      </c>
      <c r="W51" s="124">
        <v>23.548146273619743</v>
      </c>
      <c r="X51" s="124">
        <v>22.539265023577318</v>
      </c>
      <c r="Y51" s="124">
        <v>24.676721808647546</v>
      </c>
      <c r="Z51" s="123">
        <v>8.1191259748112657E-2</v>
      </c>
      <c r="AA51" s="124">
        <v>9.6808491775968189E-2</v>
      </c>
      <c r="AB51" s="124">
        <v>9.2998697677852807E-2</v>
      </c>
      <c r="AC51" s="124">
        <v>0.10260218445703871</v>
      </c>
      <c r="AD51" s="124">
        <v>9.836157101224495E-2</v>
      </c>
      <c r="AE51" s="124">
        <v>9.2772905336057879E-2</v>
      </c>
      <c r="AF51" s="124">
        <v>0.10365597668433948</v>
      </c>
      <c r="AG51" s="123">
        <v>9.3230474800587396E-2</v>
      </c>
      <c r="AH51" s="124">
        <v>0.10765765956738753</v>
      </c>
      <c r="AI51" s="124">
        <v>9.4045550109648879E-2</v>
      </c>
      <c r="AJ51" s="124">
        <v>0.10788037894776938</v>
      </c>
      <c r="AK51" s="124">
        <v>0.10029175419268094</v>
      </c>
      <c r="AL51" s="124">
        <v>8.9126415924178443E-2</v>
      </c>
      <c r="AM51" s="124">
        <v>8.8598263859857654E-2</v>
      </c>
      <c r="AN51" s="123">
        <v>34.537835786284106</v>
      </c>
      <c r="AO51" s="124">
        <v>40.912132184064397</v>
      </c>
      <c r="AP51" s="124">
        <v>40.588537674443344</v>
      </c>
      <c r="AQ51" s="124">
        <v>40.297881862545417</v>
      </c>
      <c r="AR51" s="124">
        <v>44.152665780492157</v>
      </c>
      <c r="AS51" s="124">
        <v>44.266496318634019</v>
      </c>
      <c r="AT51" s="91">
        <v>48.200150343766573</v>
      </c>
    </row>
    <row r="52" spans="1:46" x14ac:dyDescent="0.25">
      <c r="A52" s="77">
        <f>INDEX(RegXWalk!A:A,MATCH(B52,RegXWalk!B:B,0))</f>
        <v>9</v>
      </c>
      <c r="B52" s="90" t="s">
        <v>148</v>
      </c>
      <c r="C52" s="123">
        <v>0.62711477974696184</v>
      </c>
      <c r="D52" s="124">
        <v>0.62996349784585659</v>
      </c>
      <c r="E52" s="124">
        <v>0.62996349784585659</v>
      </c>
      <c r="F52" s="124">
        <v>0.63775931438569666</v>
      </c>
      <c r="G52" s="124">
        <v>0.63777421014086788</v>
      </c>
      <c r="H52" s="124">
        <v>0.63777420930878459</v>
      </c>
      <c r="I52" s="124">
        <v>0.63777420936051832</v>
      </c>
      <c r="J52" s="103">
        <f t="shared" si="2"/>
        <v>9</v>
      </c>
      <c r="K52" s="123">
        <v>0.85604429921518654</v>
      </c>
      <c r="L52" s="124">
        <v>1.0021857217966819</v>
      </c>
      <c r="M52" s="124">
        <v>1.0021857217966819</v>
      </c>
      <c r="N52" s="124">
        <v>1.1553295109373809</v>
      </c>
      <c r="O52" s="124">
        <v>1.1927575347274046</v>
      </c>
      <c r="P52" s="124">
        <v>1.1584243098226508</v>
      </c>
      <c r="Q52" s="124">
        <v>1.5101264527583451</v>
      </c>
      <c r="R52" s="77">
        <f t="shared" si="3"/>
        <v>9</v>
      </c>
      <c r="S52" s="123">
        <v>2.5387767836390474</v>
      </c>
      <c r="T52" s="124">
        <v>2.7316936762945279</v>
      </c>
      <c r="U52" s="124">
        <v>2.7342711885613569</v>
      </c>
      <c r="V52" s="124">
        <v>3.1902033592045185</v>
      </c>
      <c r="W52" s="124">
        <v>3.4373300162248115</v>
      </c>
      <c r="X52" s="124">
        <v>3.4029967856968182</v>
      </c>
      <c r="Y52" s="124">
        <v>3.7546989286325116</v>
      </c>
      <c r="Z52" s="123">
        <v>8.6502349969720879E-3</v>
      </c>
      <c r="AA52" s="124">
        <v>8.671315139762421E-3</v>
      </c>
      <c r="AB52" s="124">
        <v>8.6713551617710761E-3</v>
      </c>
      <c r="AC52" s="124">
        <v>8.7305157745689917E-3</v>
      </c>
      <c r="AD52" s="124">
        <v>8.7310287380192794E-3</v>
      </c>
      <c r="AE52" s="124">
        <v>8.7306271762754885E-3</v>
      </c>
      <c r="AF52" s="124">
        <v>8.7342013851616513E-3</v>
      </c>
      <c r="AG52" s="123">
        <v>6.9817137228012898E-6</v>
      </c>
      <c r="AH52" s="124">
        <v>1.1729577220959101E-5</v>
      </c>
      <c r="AI52" s="124">
        <v>1.1729577220959101E-5</v>
      </c>
      <c r="AJ52" s="124">
        <v>1.1729577220959101E-5</v>
      </c>
      <c r="AK52" s="124">
        <v>1.17544034795779E-5</v>
      </c>
      <c r="AL52" s="124">
        <v>1.17544034795779E-5</v>
      </c>
      <c r="AM52" s="124">
        <v>1.17544034795779E-5</v>
      </c>
      <c r="AN52" s="123">
        <v>3.5762173197195577</v>
      </c>
      <c r="AO52" s="124">
        <v>4.380271750631894</v>
      </c>
      <c r="AP52" s="124">
        <v>4.4137415847285437</v>
      </c>
      <c r="AQ52" s="124">
        <v>7.4562679441731285</v>
      </c>
      <c r="AR52" s="124">
        <v>9.1550998466731457</v>
      </c>
      <c r="AS52" s="124">
        <v>8.8193833862294149</v>
      </c>
      <c r="AT52" s="91">
        <v>11.808436756953508</v>
      </c>
    </row>
    <row r="53" spans="1:46" x14ac:dyDescent="0.25">
      <c r="A53" s="77">
        <f>INDEX(RegXWalk!A:A,MATCH(B53,RegXWalk!B:B,0))</f>
        <v>5</v>
      </c>
      <c r="B53" s="90" t="s">
        <v>40</v>
      </c>
      <c r="C53" s="123">
        <v>74.97432216829111</v>
      </c>
      <c r="D53" s="124">
        <v>74.97432216829111</v>
      </c>
      <c r="E53" s="124">
        <v>72.393114751801306</v>
      </c>
      <c r="F53" s="124">
        <v>74.755622495470831</v>
      </c>
      <c r="G53" s="124">
        <v>71.561566237896969</v>
      </c>
      <c r="H53" s="124">
        <v>70.224665856897417</v>
      </c>
      <c r="I53" s="124">
        <v>69.937540109359801</v>
      </c>
      <c r="J53" s="103">
        <f t="shared" si="2"/>
        <v>5</v>
      </c>
      <c r="K53" s="123">
        <v>25.605441530316448</v>
      </c>
      <c r="L53" s="124">
        <v>25.606137437523845</v>
      </c>
      <c r="M53" s="124">
        <v>25.614099113171608</v>
      </c>
      <c r="N53" s="124">
        <v>25.823950060412781</v>
      </c>
      <c r="O53" s="124">
        <v>26.20918031355307</v>
      </c>
      <c r="P53" s="124">
        <v>26.538911255070264</v>
      </c>
      <c r="Q53" s="124">
        <v>26.8493852631942</v>
      </c>
      <c r="R53" s="77">
        <f t="shared" si="3"/>
        <v>5</v>
      </c>
      <c r="S53" s="123">
        <v>61.854387444173156</v>
      </c>
      <c r="T53" s="124">
        <v>61.855083351380557</v>
      </c>
      <c r="U53" s="124">
        <v>61.865109806731397</v>
      </c>
      <c r="V53" s="124">
        <v>62.377026458180843</v>
      </c>
      <c r="W53" s="124">
        <v>63.289513849293044</v>
      </c>
      <c r="X53" s="124">
        <v>64.247038706800026</v>
      </c>
      <c r="Y53" s="124">
        <v>64.853506974583041</v>
      </c>
      <c r="Z53" s="123">
        <v>0.36225617618819439</v>
      </c>
      <c r="AA53" s="124">
        <v>0.36225617996302573</v>
      </c>
      <c r="AB53" s="124">
        <v>0.3682608600729087</v>
      </c>
      <c r="AC53" s="124">
        <v>0.35913724028151556</v>
      </c>
      <c r="AD53" s="124">
        <v>0.33523334542141908</v>
      </c>
      <c r="AE53" s="124">
        <v>0.32519341735327628</v>
      </c>
      <c r="AF53" s="124">
        <v>0.32117879075155048</v>
      </c>
      <c r="AG53" s="123">
        <v>0.24845627407785181</v>
      </c>
      <c r="AH53" s="124">
        <v>0.24845627407785181</v>
      </c>
      <c r="AI53" s="124">
        <v>0.26795406512349329</v>
      </c>
      <c r="AJ53" s="124">
        <v>0.24699440572768611</v>
      </c>
      <c r="AK53" s="124">
        <v>0.31791775153741281</v>
      </c>
      <c r="AL53" s="124">
        <v>0.34730715337761991</v>
      </c>
      <c r="AM53" s="124">
        <v>0.34411718553190729</v>
      </c>
      <c r="AN53" s="123">
        <v>82.625152699462816</v>
      </c>
      <c r="AO53" s="124">
        <v>82.62830953698726</v>
      </c>
      <c r="AP53" s="124">
        <v>82.664731310513304</v>
      </c>
      <c r="AQ53" s="124">
        <v>88.003741048585383</v>
      </c>
      <c r="AR53" s="124">
        <v>97.553391570756318</v>
      </c>
      <c r="AS53" s="124">
        <v>107.83854311975301</v>
      </c>
      <c r="AT53" s="91">
        <v>114.32259370792832</v>
      </c>
    </row>
    <row r="54" spans="1:46" x14ac:dyDescent="0.25">
      <c r="A54" s="77">
        <f>INDEX(RegXWalk!A:A,MATCH(B54,RegXWalk!B:B,0))</f>
        <v>3</v>
      </c>
      <c r="B54" s="90" t="s">
        <v>7</v>
      </c>
      <c r="C54" s="123">
        <v>15.232277670185493</v>
      </c>
      <c r="D54" s="124">
        <v>15.839227173776724</v>
      </c>
      <c r="E54" s="124">
        <v>15.401007555889942</v>
      </c>
      <c r="F54" s="124">
        <v>15.848943656744122</v>
      </c>
      <c r="G54" s="124">
        <v>15.938823862380531</v>
      </c>
      <c r="H54" s="124">
        <v>16.015614321258365</v>
      </c>
      <c r="I54" s="124">
        <v>16.193858889179555</v>
      </c>
      <c r="J54" s="103">
        <f t="shared" si="2"/>
        <v>3</v>
      </c>
      <c r="K54" s="123">
        <v>8.3714380484711359</v>
      </c>
      <c r="L54" s="124">
        <v>8.80050105119882</v>
      </c>
      <c r="M54" s="124">
        <v>7.8980591222069103</v>
      </c>
      <c r="N54" s="124">
        <v>8.1940695442745675</v>
      </c>
      <c r="O54" s="124">
        <v>8.3659308737253131</v>
      </c>
      <c r="P54" s="124">
        <v>8.5877339727065216</v>
      </c>
      <c r="Q54" s="124">
        <v>8.638398099509029</v>
      </c>
      <c r="R54" s="77">
        <f t="shared" si="3"/>
        <v>3</v>
      </c>
      <c r="S54" s="123">
        <v>19.516246445964104</v>
      </c>
      <c r="T54" s="124">
        <v>20.168365805246058</v>
      </c>
      <c r="U54" s="124">
        <v>18.339730287512275</v>
      </c>
      <c r="V54" s="124">
        <v>18.779100419906584</v>
      </c>
      <c r="W54" s="124">
        <v>19.077015794676083</v>
      </c>
      <c r="X54" s="124">
        <v>19.259036813893335</v>
      </c>
      <c r="Y54" s="124">
        <v>19.475220920855644</v>
      </c>
      <c r="Z54" s="123">
        <v>0.13719270251580956</v>
      </c>
      <c r="AA54" s="124">
        <v>0.14229017548462597</v>
      </c>
      <c r="AB54" s="124">
        <v>0.13915535354973418</v>
      </c>
      <c r="AC54" s="124">
        <v>0.14201825939036863</v>
      </c>
      <c r="AD54" s="124">
        <v>0.143841543675053</v>
      </c>
      <c r="AE54" s="124">
        <v>0.14588674845057098</v>
      </c>
      <c r="AF54" s="124">
        <v>0.14678693708052387</v>
      </c>
      <c r="AG54" s="123">
        <v>6.0832606547182803E-2</v>
      </c>
      <c r="AH54" s="124">
        <v>6.7551576536449734E-2</v>
      </c>
      <c r="AI54" s="124">
        <v>6.3519368411730087E-2</v>
      </c>
      <c r="AJ54" s="124">
        <v>7.5238746173131782E-2</v>
      </c>
      <c r="AK54" s="124">
        <v>7.5530307485353512E-2</v>
      </c>
      <c r="AL54" s="124">
        <v>7.5327268005296349E-2</v>
      </c>
      <c r="AM54" s="124">
        <v>7.7436267162388522E-2</v>
      </c>
      <c r="AN54" s="123">
        <v>53.3838562861866</v>
      </c>
      <c r="AO54" s="124">
        <v>55.105844258918935</v>
      </c>
      <c r="AP54" s="124">
        <v>54.246918877414743</v>
      </c>
      <c r="AQ54" s="124">
        <v>55.495556516659526</v>
      </c>
      <c r="AR54" s="124">
        <v>57.797692607337055</v>
      </c>
      <c r="AS54" s="124">
        <v>59.138294910862768</v>
      </c>
      <c r="AT54" s="91">
        <v>59.267511524313001</v>
      </c>
    </row>
    <row r="55" spans="1:46" ht="13.8" thickBot="1" x14ac:dyDescent="0.3">
      <c r="A55" s="77">
        <f>INDEX(RegXWalk!A:A,MATCH(B55,RegXWalk!B:B,0))</f>
        <v>8</v>
      </c>
      <c r="B55" s="90" t="s">
        <v>145</v>
      </c>
      <c r="C55" s="125">
        <v>22.752423855228749</v>
      </c>
      <c r="D55" s="126">
        <v>23.800540029556849</v>
      </c>
      <c r="E55" s="126">
        <v>23.71427575270312</v>
      </c>
      <c r="F55" s="126">
        <v>27.295945102057139</v>
      </c>
      <c r="G55" s="126">
        <v>27.764506094506306</v>
      </c>
      <c r="H55" s="126">
        <v>25.985232676203559</v>
      </c>
      <c r="I55" s="126">
        <v>25.411173506493675</v>
      </c>
      <c r="J55" s="103">
        <f t="shared" si="2"/>
        <v>8</v>
      </c>
      <c r="K55" s="125">
        <v>14.130397984523123</v>
      </c>
      <c r="L55" s="126">
        <v>9.8398935232826723</v>
      </c>
      <c r="M55" s="126">
        <v>9.6483045595631562</v>
      </c>
      <c r="N55" s="126">
        <v>8.9778213798664748</v>
      </c>
      <c r="O55" s="126">
        <v>8.9852690033182778</v>
      </c>
      <c r="P55" s="126">
        <v>8.9799513422155322</v>
      </c>
      <c r="Q55" s="126">
        <v>8.9799513422155339</v>
      </c>
      <c r="R55" s="77">
        <f t="shared" si="3"/>
        <v>8</v>
      </c>
      <c r="S55" s="125">
        <v>33.482176297194172</v>
      </c>
      <c r="T55" s="126">
        <v>22.57128001237712</v>
      </c>
      <c r="U55" s="126">
        <v>22.369951089815288</v>
      </c>
      <c r="V55" s="126">
        <v>20.53066282597706</v>
      </c>
      <c r="W55" s="126">
        <v>20.554690932922789</v>
      </c>
      <c r="X55" s="126">
        <v>20.584620380566449</v>
      </c>
      <c r="Y55" s="126">
        <v>20.536242528567278</v>
      </c>
      <c r="Z55" s="125">
        <v>0.29684838868102847</v>
      </c>
      <c r="AA55" s="126">
        <v>0.30088776952717455</v>
      </c>
      <c r="AB55" s="126">
        <v>0.3004454343716893</v>
      </c>
      <c r="AC55" s="126">
        <v>0.31073621619730646</v>
      </c>
      <c r="AD55" s="126">
        <v>0.31262968511736694</v>
      </c>
      <c r="AE55" s="126">
        <v>0.32404598324369976</v>
      </c>
      <c r="AF55" s="126">
        <v>0.32706432441127731</v>
      </c>
      <c r="AG55" s="125">
        <v>3.4606780013918481E-2</v>
      </c>
      <c r="AH55" s="126">
        <v>3.5539662431879067E-2</v>
      </c>
      <c r="AI55" s="126">
        <v>3.5414104819553954E-2</v>
      </c>
      <c r="AJ55" s="126">
        <v>3.5562798659194969E-2</v>
      </c>
      <c r="AK55" s="126">
        <v>3.5562798659194969E-2</v>
      </c>
      <c r="AL55" s="126">
        <v>3.5562798656586958E-2</v>
      </c>
      <c r="AM55" s="126">
        <v>3.556426836558315E-2</v>
      </c>
      <c r="AN55" s="125">
        <v>43.213929308625133</v>
      </c>
      <c r="AO55" s="126">
        <v>45.216824776825504</v>
      </c>
      <c r="AP55" s="126">
        <v>44.999912823158795</v>
      </c>
      <c r="AQ55" s="126">
        <v>45.267719613836867</v>
      </c>
      <c r="AR55" s="126">
        <v>45.323983829060985</v>
      </c>
      <c r="AS55" s="126">
        <v>45.394066621117453</v>
      </c>
      <c r="AT55" s="92">
        <v>45.276048672982355</v>
      </c>
    </row>
    <row r="56" spans="1:46" ht="13.8" thickBot="1" x14ac:dyDescent="0.3">
      <c r="B56" s="93" t="s">
        <v>199</v>
      </c>
      <c r="C56" s="94">
        <f>SUM(C7:C55)</f>
        <v>1361.2982832478044</v>
      </c>
      <c r="D56" s="94">
        <f>SUM(D7:D55)</f>
        <v>1414.7759678033731</v>
      </c>
      <c r="E56" s="94">
        <f t="shared" ref="E56:I56" si="4">SUM(E7:E55)</f>
        <v>1401.999358685061</v>
      </c>
      <c r="F56" s="94">
        <f t="shared" si="4"/>
        <v>1494.9320877991686</v>
      </c>
      <c r="G56" s="94">
        <f t="shared" si="4"/>
        <v>1471.5153314681045</v>
      </c>
      <c r="H56" s="94">
        <f t="shared" si="4"/>
        <v>1424.1470291239568</v>
      </c>
      <c r="I56" s="94">
        <f t="shared" si="4"/>
        <v>1445.5331386396726</v>
      </c>
      <c r="J56" s="87"/>
      <c r="K56" s="94">
        <f t="shared" ref="K56:Q56" si="5">SUM(K7:K55)</f>
        <v>693.20211635887233</v>
      </c>
      <c r="L56" s="94">
        <f t="shared" si="5"/>
        <v>662.33682627427538</v>
      </c>
      <c r="M56" s="94">
        <f t="shared" si="5"/>
        <v>650.71476695286833</v>
      </c>
      <c r="N56" s="94">
        <f t="shared" si="5"/>
        <v>669.97035540257366</v>
      </c>
      <c r="O56" s="94">
        <f t="shared" si="5"/>
        <v>647.90720782299047</v>
      </c>
      <c r="P56" s="94">
        <f t="shared" si="5"/>
        <v>638.72561819682824</v>
      </c>
      <c r="Q56" s="94">
        <f t="shared" si="5"/>
        <v>655.1786352598333</v>
      </c>
      <c r="S56" s="94">
        <f t="shared" ref="S56:AT56" si="6">SUM(S7:S55)</f>
        <v>1552.6276944300816</v>
      </c>
      <c r="T56" s="94">
        <f t="shared" si="6"/>
        <v>1492.3604071459945</v>
      </c>
      <c r="U56" s="94">
        <f t="shared" si="6"/>
        <v>1458.4383733272246</v>
      </c>
      <c r="V56" s="94">
        <f t="shared" si="6"/>
        <v>1496.8495089079208</v>
      </c>
      <c r="W56" s="94">
        <f t="shared" si="6"/>
        <v>1442.9135453629135</v>
      </c>
      <c r="X56" s="94">
        <f t="shared" si="6"/>
        <v>1421.4129113507215</v>
      </c>
      <c r="Y56" s="94">
        <f t="shared" si="6"/>
        <v>1471.0992396118754</v>
      </c>
      <c r="Z56" s="94">
        <f t="shared" si="6"/>
        <v>6.7154623239160491</v>
      </c>
      <c r="AA56" s="94">
        <f t="shared" si="6"/>
        <v>6.9408074408172045</v>
      </c>
      <c r="AB56" s="94">
        <f t="shared" si="6"/>
        <v>7.0283240427558082</v>
      </c>
      <c r="AC56" s="94">
        <f t="shared" si="6"/>
        <v>7.6281862575716293</v>
      </c>
      <c r="AD56" s="94">
        <f t="shared" si="6"/>
        <v>7.6326572168633477</v>
      </c>
      <c r="AE56" s="94">
        <f t="shared" si="6"/>
        <v>7.499650865799449</v>
      </c>
      <c r="AF56" s="94">
        <f t="shared" si="6"/>
        <v>7.9631340156592181</v>
      </c>
      <c r="AG56" s="94">
        <f t="shared" si="6"/>
        <v>5.7863593917148117</v>
      </c>
      <c r="AH56" s="94">
        <f t="shared" si="6"/>
        <v>6.8158749251202817</v>
      </c>
      <c r="AI56" s="94">
        <f t="shared" si="6"/>
        <v>7.9283777547778129</v>
      </c>
      <c r="AJ56" s="94">
        <f t="shared" si="6"/>
        <v>8.9705499292442958</v>
      </c>
      <c r="AK56" s="94">
        <f t="shared" si="6"/>
        <v>9.0234660230116273</v>
      </c>
      <c r="AL56" s="94">
        <f t="shared" si="6"/>
        <v>9.5379330815349324</v>
      </c>
      <c r="AM56" s="94">
        <f t="shared" si="6"/>
        <v>9.9220966086175864</v>
      </c>
      <c r="AN56" s="94">
        <f t="shared" si="6"/>
        <v>2240.8905405150922</v>
      </c>
      <c r="AO56" s="94">
        <f t="shared" si="6"/>
        <v>2300.1011975415959</v>
      </c>
      <c r="AP56" s="94">
        <f t="shared" si="6"/>
        <v>2284.7200523506172</v>
      </c>
      <c r="AQ56" s="94">
        <f t="shared" si="6"/>
        <v>2397.5469643200363</v>
      </c>
      <c r="AR56" s="94">
        <f t="shared" si="6"/>
        <v>2434.0479376092558</v>
      </c>
      <c r="AS56" s="94">
        <f t="shared" si="6"/>
        <v>2632.0942007987469</v>
      </c>
      <c r="AT56" s="94">
        <f t="shared" si="6"/>
        <v>2921.9587434243267</v>
      </c>
    </row>
    <row r="57" spans="1:46" x14ac:dyDescent="0.25">
      <c r="B57" s="95"/>
    </row>
    <row r="58" spans="1:46" x14ac:dyDescent="0.25">
      <c r="B58" s="96" t="s">
        <v>279</v>
      </c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S58" s="97"/>
      <c r="T58" s="97"/>
      <c r="U58" s="97"/>
      <c r="V58" s="97"/>
      <c r="W58" s="97"/>
      <c r="X58" s="97"/>
      <c r="Y58" s="97"/>
    </row>
    <row r="59" spans="1:46" x14ac:dyDescent="0.25">
      <c r="B59" s="98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S59" s="97"/>
      <c r="T59" s="97"/>
      <c r="U59" s="97"/>
      <c r="V59" s="97"/>
      <c r="W59" s="97"/>
      <c r="X59" s="97"/>
      <c r="Y59" s="97"/>
    </row>
    <row r="60" spans="1:46" x14ac:dyDescent="0.25">
      <c r="B60" s="99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S60" s="97"/>
      <c r="T60" s="97"/>
      <c r="U60" s="97"/>
      <c r="V60" s="97"/>
      <c r="W60" s="97"/>
      <c r="X60" s="97"/>
      <c r="Y60" s="97"/>
    </row>
    <row r="61" spans="1:46" x14ac:dyDescent="0.25">
      <c r="B61" s="99"/>
    </row>
  </sheetData>
  <mergeCells count="7">
    <mergeCell ref="C3:AT3"/>
    <mergeCell ref="C5:I5"/>
    <mergeCell ref="K5:Q5"/>
    <mergeCell ref="S5:Y5"/>
    <mergeCell ref="Z5:AF5"/>
    <mergeCell ref="AG5:AM5"/>
    <mergeCell ref="AN5:AT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>
      <selection activeCell="E8" sqref="E8"/>
    </sheetView>
  </sheetViews>
  <sheetFormatPr defaultRowHeight="13.2" x14ac:dyDescent="0.25"/>
  <cols>
    <col min="1" max="1" width="24.6640625" customWidth="1"/>
    <col min="5" max="7" width="12" customWidth="1"/>
  </cols>
  <sheetData>
    <row r="2" spans="1:7" x14ac:dyDescent="0.25">
      <c r="A2" s="65" t="s">
        <v>202</v>
      </c>
    </row>
    <row r="3" spans="1:7" x14ac:dyDescent="0.25">
      <c r="A3" s="64" t="s">
        <v>203</v>
      </c>
    </row>
    <row r="5" spans="1:7" x14ac:dyDescent="0.25">
      <c r="A5" s="65" t="s">
        <v>204</v>
      </c>
      <c r="B5" s="65" t="s">
        <v>205</v>
      </c>
    </row>
    <row r="6" spans="1:7" x14ac:dyDescent="0.25">
      <c r="B6" s="65" t="s">
        <v>273</v>
      </c>
      <c r="E6" s="72" t="s">
        <v>208</v>
      </c>
      <c r="F6" s="72"/>
      <c r="G6" s="72"/>
    </row>
    <row r="7" spans="1:7" x14ac:dyDescent="0.25">
      <c r="A7" s="67" t="s">
        <v>207</v>
      </c>
      <c r="B7" s="68">
        <v>2015</v>
      </c>
      <c r="C7" s="68">
        <v>2020</v>
      </c>
      <c r="D7" s="68">
        <v>2030</v>
      </c>
      <c r="E7" s="73">
        <v>2015</v>
      </c>
      <c r="F7" s="73">
        <v>2020</v>
      </c>
      <c r="G7" s="73">
        <v>2030</v>
      </c>
    </row>
    <row r="8" spans="1:7" x14ac:dyDescent="0.25">
      <c r="A8" s="69" t="s">
        <v>200</v>
      </c>
      <c r="B8" s="70">
        <v>2079.8589999999999</v>
      </c>
      <c r="C8" s="70">
        <v>2104.1529999999998</v>
      </c>
      <c r="D8" s="70">
        <v>2141.0300000000002</v>
      </c>
      <c r="E8" s="74">
        <f>B8/1.10231131</f>
        <v>1886.8163477339265</v>
      </c>
      <c r="F8" s="74">
        <f t="shared" ref="F8:G9" si="0">C8/1.10231131</f>
        <v>1908.8554938259681</v>
      </c>
      <c r="G8" s="74">
        <f t="shared" si="0"/>
        <v>1942.309745511003</v>
      </c>
    </row>
    <row r="9" spans="1:7" x14ac:dyDescent="0.25">
      <c r="A9" s="66" t="s">
        <v>201</v>
      </c>
      <c r="B9" s="70">
        <v>1900.2560000000001</v>
      </c>
      <c r="C9" s="70">
        <v>1933.393</v>
      </c>
      <c r="D9" s="70">
        <v>1974.231</v>
      </c>
      <c r="E9" s="74">
        <f>B9/1.10231131</f>
        <v>1723.8832467390725</v>
      </c>
      <c r="F9" s="74">
        <f t="shared" si="0"/>
        <v>1753.9446274936615</v>
      </c>
      <c r="G9" s="74">
        <f t="shared" si="0"/>
        <v>1790.9922379368493</v>
      </c>
    </row>
    <row r="10" spans="1:7" x14ac:dyDescent="0.25">
      <c r="A10" s="66" t="s">
        <v>206</v>
      </c>
      <c r="B10" s="71">
        <v>2215.3919999999998</v>
      </c>
      <c r="C10" s="71">
        <v>2296.5772999999999</v>
      </c>
      <c r="D10" s="71">
        <v>2449.2664</v>
      </c>
      <c r="E10" s="74"/>
      <c r="F10" s="74"/>
      <c r="G10" s="74"/>
    </row>
  </sheetData>
  <hyperlinks>
    <hyperlink ref="A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/>
  </sheetViews>
  <sheetFormatPr defaultColWidth="9.109375" defaultRowHeight="13.2" x14ac:dyDescent="0.25"/>
  <cols>
    <col min="1" max="16384" width="9.109375" style="65"/>
  </cols>
  <sheetData>
    <row r="1" spans="1:2" x14ac:dyDescent="0.25">
      <c r="A1" s="65" t="s">
        <v>150</v>
      </c>
      <c r="B1" s="65" t="s">
        <v>267</v>
      </c>
    </row>
    <row r="2" spans="1:2" x14ac:dyDescent="0.25">
      <c r="A2" s="65">
        <v>6</v>
      </c>
      <c r="B2" s="88" t="s">
        <v>41</v>
      </c>
    </row>
    <row r="3" spans="1:2" x14ac:dyDescent="0.25">
      <c r="A3" s="65">
        <v>8</v>
      </c>
      <c r="B3" s="90" t="s">
        <v>138</v>
      </c>
    </row>
    <row r="4" spans="1:2" x14ac:dyDescent="0.25">
      <c r="A4" s="65">
        <v>7</v>
      </c>
      <c r="B4" s="90" t="s">
        <v>134</v>
      </c>
    </row>
    <row r="5" spans="1:2" x14ac:dyDescent="0.25">
      <c r="A5" s="65">
        <v>9</v>
      </c>
      <c r="B5" s="90" t="s">
        <v>146</v>
      </c>
    </row>
    <row r="6" spans="1:2" x14ac:dyDescent="0.25">
      <c r="A6" s="65">
        <v>8</v>
      </c>
      <c r="B6" s="90" t="s">
        <v>139</v>
      </c>
    </row>
    <row r="7" spans="1:2" x14ac:dyDescent="0.25">
      <c r="A7" s="65">
        <v>1</v>
      </c>
      <c r="B7" s="90" t="s">
        <v>151</v>
      </c>
    </row>
    <row r="8" spans="1:2" x14ac:dyDescent="0.25">
      <c r="A8" s="65">
        <v>5</v>
      </c>
      <c r="B8" s="90" t="s">
        <v>33</v>
      </c>
    </row>
    <row r="9" spans="1:2" x14ac:dyDescent="0.25">
      <c r="A9" s="65">
        <v>5</v>
      </c>
      <c r="B9" s="90" t="s">
        <v>198</v>
      </c>
    </row>
    <row r="10" spans="1:2" x14ac:dyDescent="0.25">
      <c r="A10" s="65">
        <v>5</v>
      </c>
      <c r="B10" s="90" t="s">
        <v>34</v>
      </c>
    </row>
    <row r="11" spans="1:2" x14ac:dyDescent="0.25">
      <c r="A11" s="65">
        <v>5</v>
      </c>
      <c r="B11" s="90" t="s">
        <v>35</v>
      </c>
    </row>
    <row r="12" spans="1:2" x14ac:dyDescent="0.25">
      <c r="A12" s="65">
        <v>8</v>
      </c>
      <c r="B12" s="90" t="s">
        <v>140</v>
      </c>
    </row>
    <row r="13" spans="1:2" x14ac:dyDescent="0.25">
      <c r="A13" s="65">
        <v>3</v>
      </c>
      <c r="B13" s="90" t="s">
        <v>3</v>
      </c>
    </row>
    <row r="14" spans="1:2" x14ac:dyDescent="0.25">
      <c r="A14" s="65">
        <v>3</v>
      </c>
      <c r="B14" s="90" t="s">
        <v>4</v>
      </c>
    </row>
    <row r="15" spans="1:2" x14ac:dyDescent="0.25">
      <c r="A15" s="65">
        <v>4</v>
      </c>
      <c r="B15" s="90" t="s">
        <v>26</v>
      </c>
    </row>
    <row r="16" spans="1:2" x14ac:dyDescent="0.25">
      <c r="A16" s="65">
        <v>4</v>
      </c>
      <c r="B16" s="90" t="s">
        <v>27</v>
      </c>
    </row>
    <row r="17" spans="1:2" x14ac:dyDescent="0.25">
      <c r="A17" s="65">
        <v>6</v>
      </c>
      <c r="B17" s="90" t="s">
        <v>131</v>
      </c>
    </row>
    <row r="18" spans="1:2" x14ac:dyDescent="0.25">
      <c r="A18" s="65">
        <v>7</v>
      </c>
      <c r="B18" s="90" t="s">
        <v>135</v>
      </c>
    </row>
    <row r="19" spans="1:2" x14ac:dyDescent="0.25">
      <c r="A19" s="65">
        <v>1</v>
      </c>
      <c r="B19" s="90" t="s">
        <v>115</v>
      </c>
    </row>
    <row r="20" spans="1:2" x14ac:dyDescent="0.25">
      <c r="A20" s="65">
        <v>5</v>
      </c>
      <c r="B20" s="90" t="s">
        <v>36</v>
      </c>
    </row>
    <row r="21" spans="1:2" x14ac:dyDescent="0.25">
      <c r="A21" s="65">
        <v>1</v>
      </c>
      <c r="B21" s="90" t="s">
        <v>116</v>
      </c>
    </row>
    <row r="22" spans="1:2" x14ac:dyDescent="0.25">
      <c r="A22" s="65">
        <v>3</v>
      </c>
      <c r="B22" s="90" t="s">
        <v>5</v>
      </c>
    </row>
    <row r="23" spans="1:2" x14ac:dyDescent="0.25">
      <c r="A23" s="65">
        <v>4</v>
      </c>
      <c r="B23" s="90" t="s">
        <v>28</v>
      </c>
    </row>
    <row r="24" spans="1:2" x14ac:dyDescent="0.25">
      <c r="A24" s="65">
        <v>6</v>
      </c>
      <c r="B24" s="90" t="s">
        <v>132</v>
      </c>
    </row>
    <row r="25" spans="1:2" x14ac:dyDescent="0.25">
      <c r="A25" s="65">
        <v>4</v>
      </c>
      <c r="B25" s="90" t="s">
        <v>29</v>
      </c>
    </row>
    <row r="26" spans="1:2" x14ac:dyDescent="0.25">
      <c r="A26" s="65">
        <v>8</v>
      </c>
      <c r="B26" s="90" t="s">
        <v>141</v>
      </c>
    </row>
    <row r="27" spans="1:2" x14ac:dyDescent="0.25">
      <c r="A27" s="65">
        <v>8</v>
      </c>
      <c r="B27" s="90" t="s">
        <v>30</v>
      </c>
    </row>
    <row r="28" spans="1:2" x14ac:dyDescent="0.25">
      <c r="A28" s="65">
        <v>8</v>
      </c>
      <c r="B28" s="90" t="s">
        <v>142</v>
      </c>
    </row>
    <row r="29" spans="1:2" x14ac:dyDescent="0.25">
      <c r="A29" s="65">
        <v>1</v>
      </c>
      <c r="B29" s="90" t="s">
        <v>117</v>
      </c>
    </row>
    <row r="30" spans="1:2" x14ac:dyDescent="0.25">
      <c r="A30" s="65">
        <v>2</v>
      </c>
      <c r="B30" s="90" t="s">
        <v>120</v>
      </c>
    </row>
    <row r="31" spans="1:2" x14ac:dyDescent="0.25">
      <c r="A31" s="65">
        <v>8</v>
      </c>
      <c r="B31" s="90" t="s">
        <v>143</v>
      </c>
    </row>
    <row r="32" spans="1:2" x14ac:dyDescent="0.25">
      <c r="A32" s="65">
        <v>2</v>
      </c>
      <c r="B32" s="90" t="s">
        <v>1</v>
      </c>
    </row>
    <row r="33" spans="1:2" x14ac:dyDescent="0.25">
      <c r="A33" s="65">
        <v>5</v>
      </c>
      <c r="B33" s="90" t="s">
        <v>37</v>
      </c>
    </row>
    <row r="34" spans="1:2" x14ac:dyDescent="0.25">
      <c r="A34" s="65">
        <v>4</v>
      </c>
      <c r="B34" s="90" t="s">
        <v>31</v>
      </c>
    </row>
    <row r="35" spans="1:2" x14ac:dyDescent="0.25">
      <c r="A35" s="65">
        <v>3</v>
      </c>
      <c r="B35" s="90" t="s">
        <v>6</v>
      </c>
    </row>
    <row r="36" spans="1:2" x14ac:dyDescent="0.25">
      <c r="A36" s="65">
        <v>7</v>
      </c>
      <c r="B36" s="90" t="s">
        <v>136</v>
      </c>
    </row>
    <row r="37" spans="1:2" x14ac:dyDescent="0.25">
      <c r="A37" s="65">
        <v>9</v>
      </c>
      <c r="B37" s="90" t="s">
        <v>147</v>
      </c>
    </row>
    <row r="38" spans="1:2" x14ac:dyDescent="0.25">
      <c r="A38" s="65">
        <v>2</v>
      </c>
      <c r="B38" s="90" t="s">
        <v>2</v>
      </c>
    </row>
    <row r="39" spans="1:2" x14ac:dyDescent="0.25">
      <c r="A39" s="65">
        <v>1</v>
      </c>
      <c r="B39" s="90" t="s">
        <v>118</v>
      </c>
    </row>
    <row r="40" spans="1:2" x14ac:dyDescent="0.25">
      <c r="A40" s="65">
        <v>5</v>
      </c>
      <c r="B40" s="90" t="s">
        <v>38</v>
      </c>
    </row>
    <row r="41" spans="1:2" x14ac:dyDescent="0.25">
      <c r="A41" s="65">
        <v>4</v>
      </c>
      <c r="B41" s="90" t="s">
        <v>32</v>
      </c>
    </row>
    <row r="42" spans="1:2" x14ac:dyDescent="0.25">
      <c r="A42" s="65">
        <v>6</v>
      </c>
      <c r="B42" s="90" t="s">
        <v>133</v>
      </c>
    </row>
    <row r="43" spans="1:2" x14ac:dyDescent="0.25">
      <c r="A43" s="65">
        <v>7</v>
      </c>
      <c r="B43" s="90" t="s">
        <v>137</v>
      </c>
    </row>
    <row r="44" spans="1:2" x14ac:dyDescent="0.25">
      <c r="A44" s="65">
        <v>8</v>
      </c>
      <c r="B44" s="90" t="s">
        <v>144</v>
      </c>
    </row>
    <row r="45" spans="1:2" x14ac:dyDescent="0.25">
      <c r="A45" s="65">
        <v>1</v>
      </c>
      <c r="B45" s="90" t="s">
        <v>119</v>
      </c>
    </row>
    <row r="46" spans="1:2" x14ac:dyDescent="0.25">
      <c r="A46" s="65">
        <v>5</v>
      </c>
      <c r="B46" s="90" t="s">
        <v>39</v>
      </c>
    </row>
    <row r="47" spans="1:2" x14ac:dyDescent="0.25">
      <c r="A47" s="65">
        <v>9</v>
      </c>
      <c r="B47" s="90" t="s">
        <v>148</v>
      </c>
    </row>
    <row r="48" spans="1:2" x14ac:dyDescent="0.25">
      <c r="A48" s="65">
        <v>5</v>
      </c>
      <c r="B48" s="90" t="s">
        <v>40</v>
      </c>
    </row>
    <row r="49" spans="1:2" x14ac:dyDescent="0.25">
      <c r="A49" s="65">
        <v>3</v>
      </c>
      <c r="B49" s="90" t="s">
        <v>7</v>
      </c>
    </row>
    <row r="50" spans="1:2" x14ac:dyDescent="0.25">
      <c r="A50" s="65">
        <v>8</v>
      </c>
      <c r="B50" s="90" t="s">
        <v>145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69"/>
  <sheetViews>
    <sheetView zoomScale="80" zoomScaleNormal="80" workbookViewId="0">
      <selection activeCell="F44" sqref="F44"/>
    </sheetView>
  </sheetViews>
  <sheetFormatPr defaultColWidth="9.44140625" defaultRowHeight="11.4" x14ac:dyDescent="0.2"/>
  <cols>
    <col min="1" max="1" width="21.109375" style="19" customWidth="1"/>
    <col min="2" max="2" width="11.88671875" style="19" customWidth="1"/>
    <col min="3" max="3" width="20.109375" style="19" customWidth="1"/>
    <col min="4" max="4" width="4.33203125" style="19" customWidth="1"/>
    <col min="5" max="5" width="17.88671875" style="19" customWidth="1"/>
    <col min="6" max="6" width="9.44140625" style="19" customWidth="1"/>
    <col min="7" max="7" width="12.6640625" style="19" customWidth="1"/>
    <col min="8" max="8" width="12.33203125" style="19" customWidth="1"/>
    <col min="9" max="9" width="11" style="19" bestFit="1" customWidth="1"/>
    <col min="10" max="16384" width="9.44140625" style="19"/>
  </cols>
  <sheetData>
    <row r="1" spans="1:12" ht="12" x14ac:dyDescent="0.25">
      <c r="A1" s="141" t="s">
        <v>156</v>
      </c>
      <c r="B1" s="142"/>
      <c r="C1" s="142"/>
      <c r="D1" s="49"/>
      <c r="E1" s="143" t="s">
        <v>47</v>
      </c>
      <c r="F1" s="143"/>
      <c r="G1" s="143"/>
    </row>
    <row r="2" spans="1:12" ht="12" x14ac:dyDescent="0.25">
      <c r="A2" s="51" t="s">
        <v>48</v>
      </c>
      <c r="B2" s="52" t="s">
        <v>49</v>
      </c>
      <c r="C2" s="52" t="s">
        <v>50</v>
      </c>
      <c r="D2" s="50"/>
      <c r="E2" s="52" t="s">
        <v>51</v>
      </c>
      <c r="F2" s="52" t="s">
        <v>52</v>
      </c>
      <c r="G2" s="52" t="s">
        <v>53</v>
      </c>
    </row>
    <row r="3" spans="1:12" x14ac:dyDescent="0.2">
      <c r="A3" s="20" t="s">
        <v>55</v>
      </c>
      <c r="B3" s="21">
        <v>29260</v>
      </c>
      <c r="C3" s="22"/>
      <c r="D3" s="22"/>
      <c r="E3" s="23" t="s">
        <v>56</v>
      </c>
      <c r="F3" s="23" t="s">
        <v>130</v>
      </c>
      <c r="G3" s="24">
        <v>29.26</v>
      </c>
    </row>
    <row r="4" spans="1:12" x14ac:dyDescent="0.2">
      <c r="A4" s="20" t="s">
        <v>57</v>
      </c>
      <c r="B4" s="25">
        <v>20908</v>
      </c>
      <c r="C4" s="22"/>
      <c r="D4" s="22"/>
      <c r="E4" s="23" t="s">
        <v>58</v>
      </c>
      <c r="F4" s="23" t="s">
        <v>59</v>
      </c>
      <c r="G4" s="23">
        <v>1055</v>
      </c>
    </row>
    <row r="5" spans="1:12" x14ac:dyDescent="0.2">
      <c r="A5" s="20" t="s">
        <v>60</v>
      </c>
      <c r="B5" s="25">
        <v>41800</v>
      </c>
      <c r="C5" s="22"/>
      <c r="D5" s="22"/>
      <c r="E5" s="23" t="s">
        <v>61</v>
      </c>
      <c r="F5" s="23" t="s">
        <v>62</v>
      </c>
      <c r="G5" s="23">
        <v>4.1867999999999999</v>
      </c>
    </row>
    <row r="6" spans="1:12" x14ac:dyDescent="0.2">
      <c r="A6" s="20" t="s">
        <v>63</v>
      </c>
      <c r="B6" s="25">
        <v>35500</v>
      </c>
      <c r="C6" s="22"/>
      <c r="D6" s="22"/>
      <c r="E6" s="26" t="s">
        <v>64</v>
      </c>
      <c r="F6" s="26" t="s">
        <v>65</v>
      </c>
      <c r="G6" s="26">
        <v>3.6</v>
      </c>
    </row>
    <row r="7" spans="1:12" x14ac:dyDescent="0.2">
      <c r="A7" s="20" t="s">
        <v>66</v>
      </c>
      <c r="B7" s="25">
        <v>16051</v>
      </c>
      <c r="C7" s="24">
        <f>B7/$F$21/$F$17*2000/1000</f>
        <v>13.799744226284513</v>
      </c>
      <c r="D7" s="24"/>
      <c r="E7" s="26" t="s">
        <v>67</v>
      </c>
      <c r="F7" s="26" t="s">
        <v>68</v>
      </c>
      <c r="G7" s="26">
        <v>2.8299999999999999E-2</v>
      </c>
    </row>
    <row r="8" spans="1:12" x14ac:dyDescent="0.2">
      <c r="A8" s="20" t="s">
        <v>69</v>
      </c>
      <c r="B8" s="25">
        <v>14423</v>
      </c>
      <c r="C8" s="24">
        <f>B8/$F$21/$F$17*2000/1000</f>
        <v>12.400081675640239</v>
      </c>
      <c r="D8" s="24"/>
      <c r="E8" s="23" t="s">
        <v>70</v>
      </c>
      <c r="F8" s="23" t="s">
        <v>130</v>
      </c>
      <c r="G8" s="26">
        <v>1.0549999999999999</v>
      </c>
      <c r="H8" s="26"/>
      <c r="I8" s="26"/>
      <c r="J8" s="26"/>
      <c r="K8" s="26"/>
      <c r="L8" s="26"/>
    </row>
    <row r="9" spans="1:12" x14ac:dyDescent="0.2">
      <c r="A9" s="20" t="s">
        <v>152</v>
      </c>
      <c r="B9" s="25">
        <v>14423</v>
      </c>
      <c r="C9" s="24">
        <f>B9/$F$21/$F$17*2000/1000</f>
        <v>12.400081675640239</v>
      </c>
      <c r="D9" s="24"/>
    </row>
    <row r="10" spans="1:12" x14ac:dyDescent="0.2">
      <c r="A10" s="20" t="s">
        <v>71</v>
      </c>
      <c r="B10" s="25">
        <v>47310</v>
      </c>
      <c r="C10" s="24">
        <f>B10/B3</f>
        <v>1.6168831168831168</v>
      </c>
      <c r="D10" s="24"/>
      <c r="G10" s="47"/>
    </row>
    <row r="11" spans="1:12" x14ac:dyDescent="0.2">
      <c r="A11" s="20" t="s">
        <v>72</v>
      </c>
      <c r="B11" s="25">
        <v>28500</v>
      </c>
      <c r="C11" s="24">
        <f>B11/B3</f>
        <v>0.97402597402597402</v>
      </c>
      <c r="D11" s="24"/>
    </row>
    <row r="12" spans="1:12" ht="12" x14ac:dyDescent="0.2">
      <c r="A12" s="142" t="s">
        <v>73</v>
      </c>
      <c r="B12" s="142"/>
      <c r="C12" s="142"/>
      <c r="D12" s="49"/>
    </row>
    <row r="13" spans="1:12" x14ac:dyDescent="0.2">
      <c r="A13" s="27" t="s">
        <v>74</v>
      </c>
      <c r="B13" s="28">
        <f>B14*B15/10^3</f>
        <v>5.4839199999999998E-2</v>
      </c>
      <c r="C13" s="29" t="s">
        <v>130</v>
      </c>
      <c r="D13" s="29"/>
    </row>
    <row r="14" spans="1:12" x14ac:dyDescent="0.2">
      <c r="A14" s="30" t="s">
        <v>75</v>
      </c>
      <c r="B14" s="29">
        <v>52</v>
      </c>
      <c r="C14" s="29" t="s">
        <v>76</v>
      </c>
      <c r="D14" s="29"/>
    </row>
    <row r="15" spans="1:12" x14ac:dyDescent="0.2">
      <c r="A15" s="30" t="s">
        <v>77</v>
      </c>
      <c r="B15" s="29">
        <v>1.0546</v>
      </c>
      <c r="C15" s="29" t="s">
        <v>130</v>
      </c>
      <c r="D15" s="29"/>
      <c r="E15" s="31" t="s">
        <v>78</v>
      </c>
      <c r="F15" s="19">
        <f>B14*G7</f>
        <v>1.4716</v>
      </c>
      <c r="G15" s="19" t="s">
        <v>68</v>
      </c>
    </row>
    <row r="16" spans="1:12" x14ac:dyDescent="0.2">
      <c r="A16" s="30" t="s">
        <v>75</v>
      </c>
      <c r="B16" s="29">
        <v>5.7272999999999996</v>
      </c>
      <c r="C16" s="32" t="s">
        <v>79</v>
      </c>
      <c r="D16" s="32"/>
      <c r="E16" s="31" t="s">
        <v>80</v>
      </c>
      <c r="F16" s="19">
        <v>928</v>
      </c>
      <c r="G16" s="19" t="s">
        <v>58</v>
      </c>
      <c r="H16" s="19" t="s">
        <v>81</v>
      </c>
    </row>
    <row r="17" spans="1:7" x14ac:dyDescent="0.2">
      <c r="A17" s="30" t="s">
        <v>82</v>
      </c>
      <c r="B17" s="29">
        <v>11</v>
      </c>
      <c r="C17" s="32" t="s">
        <v>130</v>
      </c>
      <c r="D17" s="32"/>
      <c r="E17" s="20" t="s">
        <v>83</v>
      </c>
      <c r="F17" s="33">
        <v>1055</v>
      </c>
      <c r="G17" s="33" t="s">
        <v>59</v>
      </c>
    </row>
    <row r="18" spans="1:7" x14ac:dyDescent="0.2">
      <c r="A18" s="30" t="s">
        <v>84</v>
      </c>
      <c r="B18" s="29">
        <v>37</v>
      </c>
      <c r="C18" s="32" t="s">
        <v>65</v>
      </c>
      <c r="D18" s="32"/>
      <c r="E18" s="31" t="s">
        <v>80</v>
      </c>
      <c r="F18" s="19">
        <f>F16*F17</f>
        <v>979040</v>
      </c>
      <c r="G18" s="33" t="s">
        <v>59</v>
      </c>
    </row>
    <row r="19" spans="1:7" x14ac:dyDescent="0.2">
      <c r="A19" s="30" t="s">
        <v>85</v>
      </c>
      <c r="B19" s="34">
        <f>B16/B14/B15</f>
        <v>0.10443806620081986</v>
      </c>
      <c r="C19" s="32" t="s">
        <v>86</v>
      </c>
      <c r="D19" s="32"/>
      <c r="E19" s="31" t="s">
        <v>87</v>
      </c>
      <c r="F19" s="35">
        <f>F18/G7/10^6</f>
        <v>34.595053003533572</v>
      </c>
      <c r="G19" s="33" t="s">
        <v>65</v>
      </c>
    </row>
    <row r="20" spans="1:7" x14ac:dyDescent="0.2">
      <c r="A20" s="30" t="s">
        <v>88</v>
      </c>
      <c r="B20" s="29">
        <v>21</v>
      </c>
      <c r="C20" s="32" t="s">
        <v>89</v>
      </c>
      <c r="D20" s="32"/>
      <c r="E20" s="31" t="s">
        <v>90</v>
      </c>
      <c r="F20" s="19">
        <v>121.9</v>
      </c>
      <c r="G20" s="33" t="s">
        <v>65</v>
      </c>
    </row>
    <row r="21" spans="1:7" x14ac:dyDescent="0.2">
      <c r="A21" s="30" t="s">
        <v>91</v>
      </c>
      <c r="B21" s="29"/>
      <c r="C21" s="29" t="s">
        <v>92</v>
      </c>
      <c r="D21" s="29"/>
      <c r="E21" s="31" t="s">
        <v>93</v>
      </c>
      <c r="F21" s="19">
        <v>2.2050000000000001</v>
      </c>
      <c r="G21" s="33" t="s">
        <v>94</v>
      </c>
    </row>
    <row r="22" spans="1:7" x14ac:dyDescent="0.2">
      <c r="A22" s="36" t="s">
        <v>8</v>
      </c>
      <c r="B22" s="37">
        <v>20</v>
      </c>
      <c r="C22" s="32" t="s">
        <v>9</v>
      </c>
      <c r="D22" s="32"/>
      <c r="E22" s="31"/>
      <c r="G22" s="33"/>
    </row>
    <row r="23" spans="1:7" x14ac:dyDescent="0.2">
      <c r="A23" s="36" t="s">
        <v>10</v>
      </c>
      <c r="B23" s="19">
        <f>B22*1055*10^-3</f>
        <v>21.1</v>
      </c>
      <c r="C23" s="32" t="s">
        <v>130</v>
      </c>
      <c r="D23" s="32"/>
    </row>
    <row r="24" spans="1:7" x14ac:dyDescent="0.2">
      <c r="A24" s="36" t="s">
        <v>11</v>
      </c>
      <c r="B24" s="38">
        <f>1/(B14*B23)</f>
        <v>9.1141086401749902E-4</v>
      </c>
      <c r="C24" s="32" t="s">
        <v>42</v>
      </c>
      <c r="D24" s="32"/>
    </row>
    <row r="25" spans="1:7" ht="14.4" x14ac:dyDescent="0.3">
      <c r="A25" s="36" t="s">
        <v>84</v>
      </c>
      <c r="B25" s="19">
        <v>0.66200000000000003</v>
      </c>
      <c r="C25" s="32" t="s">
        <v>12</v>
      </c>
      <c r="D25" s="32"/>
      <c r="E25" s="48" t="s">
        <v>153</v>
      </c>
    </row>
    <row r="26" spans="1:7" ht="13.2" x14ac:dyDescent="0.25">
      <c r="A26" s="36" t="s">
        <v>13</v>
      </c>
      <c r="B26" s="19">
        <v>31.536000000000001</v>
      </c>
      <c r="C26" s="32" t="s">
        <v>14</v>
      </c>
      <c r="D26" s="32"/>
      <c r="E26"/>
    </row>
    <row r="27" spans="1:7" ht="14.4" x14ac:dyDescent="0.3">
      <c r="A27" s="36" t="s">
        <v>15</v>
      </c>
      <c r="B27" s="19">
        <v>5.8</v>
      </c>
      <c r="C27" s="32" t="s">
        <v>130</v>
      </c>
      <c r="D27" s="32"/>
      <c r="E27" s="48" t="s">
        <v>153</v>
      </c>
    </row>
    <row r="28" spans="1:7" ht="12" x14ac:dyDescent="0.2">
      <c r="E28" s="39"/>
      <c r="F28" s="39"/>
    </row>
    <row r="29" spans="1:7" ht="12" x14ac:dyDescent="0.2">
      <c r="A29" s="142" t="s">
        <v>16</v>
      </c>
      <c r="B29" s="142"/>
      <c r="C29" s="142"/>
      <c r="D29" s="49"/>
      <c r="E29" s="29"/>
      <c r="F29" s="29"/>
    </row>
    <row r="30" spans="1:7" x14ac:dyDescent="0.2">
      <c r="A30" s="30" t="s">
        <v>17</v>
      </c>
      <c r="B30" s="40">
        <f>1/Conversions!B13</f>
        <v>18.235131074122162</v>
      </c>
      <c r="C30" s="29" t="s">
        <v>18</v>
      </c>
      <c r="D30" s="29"/>
    </row>
    <row r="31" spans="1:7" x14ac:dyDescent="0.2">
      <c r="A31" s="30" t="s">
        <v>19</v>
      </c>
      <c r="B31" s="29">
        <f>15.3*0.001</f>
        <v>1.5300000000000001E-2</v>
      </c>
      <c r="C31" s="29" t="s">
        <v>20</v>
      </c>
      <c r="D31" s="29"/>
    </row>
    <row r="32" spans="1:7" x14ac:dyDescent="0.2">
      <c r="A32" s="31" t="s">
        <v>21</v>
      </c>
      <c r="B32" s="28">
        <f>20*0.001</f>
        <v>0.02</v>
      </c>
      <c r="C32" s="29" t="s">
        <v>20</v>
      </c>
      <c r="D32" s="29"/>
    </row>
    <row r="33" spans="1:7" x14ac:dyDescent="0.2">
      <c r="A33" s="31" t="s">
        <v>22</v>
      </c>
      <c r="B33" s="19">
        <f>12/16</f>
        <v>0.75</v>
      </c>
      <c r="C33" s="32" t="s">
        <v>23</v>
      </c>
      <c r="D33" s="32"/>
    </row>
    <row r="35" spans="1:7" ht="13.2" x14ac:dyDescent="0.25">
      <c r="A35" s="144" t="s">
        <v>155</v>
      </c>
      <c r="B35" s="145"/>
      <c r="C35" s="146"/>
      <c r="D35" s="53"/>
      <c r="G35" s="41"/>
    </row>
    <row r="36" spans="1:7" customFormat="1" ht="13.2" x14ac:dyDescent="0.25">
      <c r="A36" s="55" t="s">
        <v>25</v>
      </c>
      <c r="B36" s="56" t="s">
        <v>46</v>
      </c>
      <c r="C36" s="56" t="s">
        <v>154</v>
      </c>
      <c r="D36" s="43"/>
      <c r="E36" s="44"/>
      <c r="F36" s="44"/>
      <c r="G36" s="44"/>
    </row>
    <row r="37" spans="1:7" customFormat="1" ht="13.2" x14ac:dyDescent="0.25">
      <c r="A37" s="17">
        <v>1983</v>
      </c>
      <c r="B37" s="17">
        <v>57.603000000000002</v>
      </c>
      <c r="C37" s="18">
        <f t="shared" ref="C37:C63" si="0">$B$59/B37</f>
        <v>1.7360206933666649</v>
      </c>
      <c r="D37" s="18"/>
      <c r="E37" s="44"/>
      <c r="F37" s="44"/>
      <c r="G37" s="44"/>
    </row>
    <row r="38" spans="1:7" customFormat="1" ht="13.2" x14ac:dyDescent="0.25">
      <c r="A38" s="17">
        <v>1984</v>
      </c>
      <c r="B38" s="17">
        <v>59.765999999999998</v>
      </c>
      <c r="C38" s="18">
        <f t="shared" si="0"/>
        <v>1.6731921159187499</v>
      </c>
      <c r="D38" s="18"/>
      <c r="E38" s="45"/>
      <c r="F38" s="44"/>
      <c r="G38" s="44"/>
    </row>
    <row r="39" spans="1:7" customFormat="1" ht="13.2" x14ac:dyDescent="0.25">
      <c r="A39" s="17">
        <v>1985</v>
      </c>
      <c r="B39" s="17">
        <v>61.576000000000001</v>
      </c>
      <c r="C39" s="18">
        <f t="shared" si="0"/>
        <v>1.6240093542938807</v>
      </c>
      <c r="D39" s="18"/>
      <c r="E39" s="45"/>
      <c r="F39" s="44"/>
      <c r="G39" s="44"/>
    </row>
    <row r="40" spans="1:7" customFormat="1" ht="13.2" x14ac:dyDescent="0.25">
      <c r="A40" s="17">
        <v>1986</v>
      </c>
      <c r="B40" s="17">
        <v>62.936999999999998</v>
      </c>
      <c r="C40" s="18">
        <f t="shared" si="0"/>
        <v>1.5888904777793667</v>
      </c>
      <c r="D40" s="18"/>
      <c r="E40" s="45"/>
      <c r="F40" s="44"/>
      <c r="G40" s="44"/>
    </row>
    <row r="41" spans="1:7" customFormat="1" ht="13.2" x14ac:dyDescent="0.25">
      <c r="A41" s="17">
        <v>1987</v>
      </c>
      <c r="B41" s="17">
        <v>64.763999999999996</v>
      </c>
      <c r="C41" s="18">
        <f t="shared" si="0"/>
        <v>1.5440676919276142</v>
      </c>
      <c r="D41" s="18"/>
      <c r="E41" s="45"/>
      <c r="F41" s="44"/>
      <c r="G41" s="44"/>
    </row>
    <row r="42" spans="1:7" customFormat="1" ht="13.2" x14ac:dyDescent="0.25">
      <c r="A42" s="17">
        <v>1988</v>
      </c>
      <c r="B42" s="17">
        <v>66.988</v>
      </c>
      <c r="C42" s="18">
        <f t="shared" si="0"/>
        <v>1.492804681435481</v>
      </c>
      <c r="D42" s="18"/>
      <c r="E42" s="45"/>
      <c r="F42" s="44"/>
      <c r="G42" s="44"/>
    </row>
    <row r="43" spans="1:7" customFormat="1" ht="13.2" x14ac:dyDescent="0.25">
      <c r="A43" s="17">
        <v>1989</v>
      </c>
      <c r="B43" s="17">
        <v>69.518000000000001</v>
      </c>
      <c r="C43" s="18">
        <f t="shared" si="0"/>
        <v>1.4384763658333093</v>
      </c>
      <c r="D43" s="18"/>
      <c r="E43" s="45"/>
      <c r="F43" s="44"/>
      <c r="G43" s="44"/>
    </row>
    <row r="44" spans="1:7" customFormat="1" ht="13.2" x14ac:dyDescent="0.25">
      <c r="A44" s="17">
        <v>1990</v>
      </c>
      <c r="B44" s="17">
        <v>72.200999999999993</v>
      </c>
      <c r="C44" s="18">
        <f t="shared" si="0"/>
        <v>1.385022368111245</v>
      </c>
      <c r="D44" s="18"/>
      <c r="E44" s="46"/>
      <c r="F44" s="46"/>
      <c r="G44" s="44"/>
    </row>
    <row r="45" spans="1:7" customFormat="1" ht="13.2" x14ac:dyDescent="0.25">
      <c r="A45" s="17">
        <v>1991</v>
      </c>
      <c r="B45" s="17">
        <v>74.760000000000005</v>
      </c>
      <c r="C45" s="18">
        <f t="shared" si="0"/>
        <v>1.3376136971642589</v>
      </c>
      <c r="D45" s="18"/>
      <c r="E45" s="46"/>
      <c r="F45" s="46"/>
      <c r="G45" s="44"/>
    </row>
    <row r="46" spans="1:7" customFormat="1" ht="13.2" x14ac:dyDescent="0.25">
      <c r="A46" s="17">
        <v>1992</v>
      </c>
      <c r="B46" s="17">
        <v>76.533000000000001</v>
      </c>
      <c r="C46" s="18">
        <f t="shared" si="0"/>
        <v>1.3066258999385885</v>
      </c>
      <c r="D46" s="18"/>
      <c r="E46" s="46"/>
      <c r="F46" s="46"/>
      <c r="G46" s="44"/>
    </row>
    <row r="47" spans="1:7" customFormat="1" ht="13.2" x14ac:dyDescent="0.25">
      <c r="A47" s="17">
        <v>1993</v>
      </c>
      <c r="B47" s="17">
        <v>78.224000000000004</v>
      </c>
      <c r="C47" s="18">
        <f t="shared" si="0"/>
        <v>1.278380036817345</v>
      </c>
      <c r="D47" s="18"/>
      <c r="E47" s="46"/>
      <c r="F47" s="46"/>
      <c r="G47" s="44"/>
    </row>
    <row r="48" spans="1:7" customFormat="1" ht="13.2" x14ac:dyDescent="0.25">
      <c r="A48" s="17">
        <v>1994</v>
      </c>
      <c r="B48" s="17">
        <v>79.872</v>
      </c>
      <c r="C48" s="18">
        <f t="shared" si="0"/>
        <v>1.2520032051282051</v>
      </c>
      <c r="D48" s="18"/>
      <c r="E48" s="46"/>
      <c r="F48" s="46"/>
      <c r="G48" s="44"/>
    </row>
    <row r="49" spans="1:7" customFormat="1" ht="13.2" x14ac:dyDescent="0.25">
      <c r="A49" s="17">
        <v>1995</v>
      </c>
      <c r="B49" s="17">
        <v>81.536000000000001</v>
      </c>
      <c r="C49" s="18">
        <f t="shared" si="0"/>
        <v>1.2264521193092621</v>
      </c>
      <c r="D49" s="18"/>
      <c r="E49" s="46"/>
      <c r="F49" s="46"/>
      <c r="G49" s="44"/>
    </row>
    <row r="50" spans="1:7" customFormat="1" ht="13.2" x14ac:dyDescent="0.25">
      <c r="A50" s="17">
        <v>1996</v>
      </c>
      <c r="B50" s="17">
        <v>83.087999999999994</v>
      </c>
      <c r="C50" s="18">
        <f t="shared" si="0"/>
        <v>1.2035432312728673</v>
      </c>
      <c r="D50" s="18"/>
      <c r="E50" s="46"/>
      <c r="F50" s="46"/>
      <c r="G50" s="44"/>
    </row>
    <row r="51" spans="1:7" customFormat="1" ht="13.2" x14ac:dyDescent="0.25">
      <c r="A51" s="17">
        <v>1997</v>
      </c>
      <c r="B51" s="17">
        <v>84.555000000000007</v>
      </c>
      <c r="C51" s="18">
        <f t="shared" si="0"/>
        <v>1.182662172550411</v>
      </c>
      <c r="D51" s="18"/>
      <c r="E51" s="46"/>
      <c r="F51" s="46"/>
      <c r="G51" s="44"/>
    </row>
    <row r="52" spans="1:7" customFormat="1" ht="13.2" x14ac:dyDescent="0.25">
      <c r="A52" s="17">
        <v>1998</v>
      </c>
      <c r="B52" s="17">
        <v>85.510999999999996</v>
      </c>
      <c r="C52" s="18">
        <f t="shared" si="0"/>
        <v>1.1694401889815347</v>
      </c>
      <c r="D52" s="18"/>
      <c r="E52" s="46"/>
      <c r="F52" s="46"/>
      <c r="G52" s="44"/>
    </row>
    <row r="53" spans="1:7" customFormat="1" ht="13.2" x14ac:dyDescent="0.25">
      <c r="A53" s="17">
        <v>1999</v>
      </c>
      <c r="B53" s="17">
        <v>86.768000000000001</v>
      </c>
      <c r="C53" s="18">
        <f t="shared" si="0"/>
        <v>1.1524986170016596</v>
      </c>
      <c r="D53" s="18"/>
      <c r="E53" s="46"/>
      <c r="F53" s="46"/>
      <c r="G53" s="44"/>
    </row>
    <row r="54" spans="1:7" customFormat="1" ht="13.2" x14ac:dyDescent="0.25">
      <c r="A54" s="17">
        <v>2000</v>
      </c>
      <c r="B54" s="17">
        <v>88.647000000000006</v>
      </c>
      <c r="C54" s="18">
        <f t="shared" si="0"/>
        <v>1.128069759833948</v>
      </c>
      <c r="D54" s="18"/>
      <c r="E54" s="46"/>
      <c r="F54" s="46"/>
      <c r="G54" s="44"/>
    </row>
    <row r="55" spans="1:7" customFormat="1" ht="13.2" x14ac:dyDescent="0.25">
      <c r="A55" s="17">
        <v>2001</v>
      </c>
      <c r="B55" s="17">
        <v>90.65</v>
      </c>
      <c r="C55" s="18">
        <f t="shared" si="0"/>
        <v>1.1031439602868174</v>
      </c>
      <c r="D55" s="18"/>
      <c r="E55" s="46"/>
      <c r="F55" s="46"/>
      <c r="G55" s="44"/>
    </row>
    <row r="56" spans="1:7" customFormat="1" ht="13.2" x14ac:dyDescent="0.25">
      <c r="A56" s="17">
        <v>2002</v>
      </c>
      <c r="B56" s="17">
        <v>92.117999999999995</v>
      </c>
      <c r="C56" s="18">
        <f t="shared" si="0"/>
        <v>1.0855641676979526</v>
      </c>
      <c r="D56" s="18"/>
      <c r="E56" s="46"/>
      <c r="F56" s="46"/>
      <c r="G56" s="44"/>
    </row>
    <row r="57" spans="1:7" customFormat="1" ht="13.2" x14ac:dyDescent="0.25">
      <c r="A57" s="17">
        <v>2003</v>
      </c>
      <c r="B57" s="17">
        <v>94.1</v>
      </c>
      <c r="C57" s="18">
        <f t="shared" si="0"/>
        <v>1.0626992561105209</v>
      </c>
      <c r="D57" s="18"/>
      <c r="E57" s="46"/>
      <c r="F57" s="46"/>
      <c r="G57" s="44"/>
    </row>
    <row r="58" spans="1:7" customFormat="1" ht="13.2" x14ac:dyDescent="0.25">
      <c r="A58" s="17">
        <v>2004</v>
      </c>
      <c r="B58" s="17">
        <v>96.77</v>
      </c>
      <c r="C58" s="18">
        <f t="shared" si="0"/>
        <v>1.0333781130515656</v>
      </c>
      <c r="D58" s="18"/>
      <c r="E58" s="46"/>
      <c r="F58" s="46"/>
      <c r="G58" s="44"/>
    </row>
    <row r="59" spans="1:7" customFormat="1" ht="13.2" x14ac:dyDescent="0.25">
      <c r="A59" s="17">
        <v>2005</v>
      </c>
      <c r="B59" s="17">
        <v>100</v>
      </c>
      <c r="C59" s="18">
        <f t="shared" si="0"/>
        <v>1</v>
      </c>
      <c r="D59" s="18"/>
      <c r="E59" s="46"/>
      <c r="F59" s="46"/>
      <c r="G59" s="44"/>
    </row>
    <row r="60" spans="1:7" customFormat="1" ht="13.2" x14ac:dyDescent="0.25">
      <c r="A60" s="17">
        <v>2006</v>
      </c>
      <c r="B60" s="17">
        <v>103.25700000000001</v>
      </c>
      <c r="C60" s="18">
        <f t="shared" si="0"/>
        <v>0.96845734429627039</v>
      </c>
      <c r="D60" s="18"/>
      <c r="E60" s="46"/>
      <c r="F60" s="46"/>
      <c r="G60" s="44"/>
    </row>
    <row r="61" spans="1:7" customFormat="1" ht="13.2" x14ac:dyDescent="0.25">
      <c r="A61" s="17">
        <v>2007</v>
      </c>
      <c r="B61" s="17">
        <v>106.214</v>
      </c>
      <c r="C61" s="18">
        <f t="shared" si="0"/>
        <v>0.94149547140678258</v>
      </c>
      <c r="D61" s="18"/>
      <c r="E61" s="46"/>
      <c r="F61" s="46"/>
      <c r="G61" s="44"/>
    </row>
    <row r="62" spans="1:7" customFormat="1" ht="13.2" x14ac:dyDescent="0.25">
      <c r="A62" s="17">
        <v>2008</v>
      </c>
      <c r="B62" s="17">
        <v>108.483</v>
      </c>
      <c r="C62" s="18">
        <f t="shared" si="0"/>
        <v>0.9218034162034604</v>
      </c>
      <c r="D62" s="18"/>
      <c r="E62" s="46"/>
      <c r="F62" s="46"/>
      <c r="G62" s="44"/>
    </row>
    <row r="63" spans="1:7" customFormat="1" ht="13.2" x14ac:dyDescent="0.25">
      <c r="A63" s="17">
        <v>2009</v>
      </c>
      <c r="B63" s="17">
        <v>109.761</v>
      </c>
      <c r="C63" s="18">
        <f t="shared" si="0"/>
        <v>0.91107041663250155</v>
      </c>
      <c r="D63" s="18"/>
      <c r="E63" s="46"/>
      <c r="F63" s="46"/>
      <c r="G63" s="44"/>
    </row>
    <row r="64" spans="1:7" customFormat="1" ht="13.2" x14ac:dyDescent="0.25">
      <c r="A64" s="42" t="s">
        <v>44</v>
      </c>
      <c r="B64" s="43"/>
      <c r="C64" s="43"/>
      <c r="D64" s="43"/>
      <c r="E64" s="44"/>
      <c r="F64" s="44"/>
      <c r="G64" s="44"/>
    </row>
    <row r="65" spans="1:7" customFormat="1" ht="13.2" x14ac:dyDescent="0.25">
      <c r="A65" s="43" t="s">
        <v>54</v>
      </c>
      <c r="B65" s="43"/>
      <c r="C65" s="43"/>
      <c r="D65" s="43"/>
      <c r="E65" s="44"/>
      <c r="F65" s="44"/>
      <c r="G65" s="44"/>
    </row>
    <row r="66" spans="1:7" customFormat="1" ht="13.2" x14ac:dyDescent="0.25">
      <c r="A66" s="43" t="s">
        <v>45</v>
      </c>
      <c r="B66" s="43"/>
      <c r="C66" s="43"/>
      <c r="D66" s="43"/>
      <c r="E66" s="44"/>
      <c r="F66" s="44"/>
      <c r="G66" s="44"/>
    </row>
    <row r="67" spans="1:7" customFormat="1" ht="13.2" x14ac:dyDescent="0.25">
      <c r="A67" s="54" t="s">
        <v>24</v>
      </c>
      <c r="B67" s="43"/>
      <c r="C67" s="43"/>
      <c r="D67" s="43"/>
      <c r="E67" s="44"/>
      <c r="F67" s="44"/>
      <c r="G67" s="44"/>
    </row>
    <row r="68" spans="1:7" customFormat="1" ht="13.2" x14ac:dyDescent="0.25"/>
    <row r="69" spans="1:7" customFormat="1" ht="13.2" x14ac:dyDescent="0.25"/>
  </sheetData>
  <mergeCells count="5">
    <mergeCell ref="A1:C1"/>
    <mergeCell ref="A29:C29"/>
    <mergeCell ref="E1:G1"/>
    <mergeCell ref="A12:C12"/>
    <mergeCell ref="A35:C35"/>
  </mergeCells>
  <phoneticPr fontId="1" type="noConversion"/>
  <pageMargins left="0.75" right="0.75" top="1" bottom="1" header="0.5" footer="0.5"/>
  <pageSetup orientation="portrait" horizontalDpi="4294967294" verticalDpi="300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58b422-a6f4-4b6d-a699-15e0adf0131b">
      <Terms xmlns="http://schemas.microsoft.com/office/infopath/2007/PartnerControls"/>
    </lcf76f155ced4ddcb4097134ff3c332f>
    <TaxCatchAll xmlns="a1feda3e-9ebc-462f-b638-5fefd6b1abeb" xsi:nil="true"/>
  </documentManagement>
</p:properties>
</file>

<file path=customXml/itemProps1.xml><?xml version="1.0" encoding="utf-8"?>
<ds:datastoreItem xmlns:ds="http://schemas.openxmlformats.org/officeDocument/2006/customXml" ds:itemID="{9924CED0-BBE9-4B29-A2B2-A36BC0038BC5}"/>
</file>

<file path=customXml/itemProps2.xml><?xml version="1.0" encoding="utf-8"?>
<ds:datastoreItem xmlns:ds="http://schemas.openxmlformats.org/officeDocument/2006/customXml" ds:itemID="{AED3C0D5-F77C-4765-BE02-97EF8644E6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5549D5-6FAB-43C9-B35D-0748EC5B26ED}">
  <ds:schemaRefs>
    <ds:schemaRef ds:uri="7a310f20-5be9-40b2-986c-0f6d35bf3dcd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CSAPR_TOT</vt:lpstr>
      <vt:lpstr>CSAPR_REG</vt:lpstr>
      <vt:lpstr>NEI11v1 Summary</vt:lpstr>
      <vt:lpstr>HistoricData</vt:lpstr>
      <vt:lpstr>AKandHI</vt:lpstr>
      <vt:lpstr>IPMSummary</vt:lpstr>
      <vt:lpstr>IPMProjections</vt:lpstr>
      <vt:lpstr>DataSummaryMATS</vt:lpstr>
      <vt:lpstr>RegXWalk</vt:lpstr>
      <vt:lpstr>Conversions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Lenox, Carol</cp:lastModifiedBy>
  <cp:lastPrinted>2011-08-18T18:35:46Z</cp:lastPrinted>
  <dcterms:created xsi:type="dcterms:W3CDTF">2005-05-01T12:39:10Z</dcterms:created>
  <dcterms:modified xsi:type="dcterms:W3CDTF">2018-08-13T20:03:05Z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0x010100E83C83083E257E4F89D14565AE331B2B</vt:lpwstr>
  </property>
  <property fmtid="{D5CDD505-2E9C-101B-9397-08002B2CF9AE}" pid="3" name="IsMyDocuments">
    <vt:bool>true</vt:bool>
  </property>
  <property fmtid="{D5CDD505-2E9C-101B-9397-08002B2CF9AE}" pid="4" name="SaveCode">
    <vt:r8>752573549747467</vt:r8>
  </property>
</Properties>
</file>