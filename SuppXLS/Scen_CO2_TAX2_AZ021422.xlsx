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EDA\Veda_models\EPAUS9rT_v20.2_AZ020522\EPAUS9rT_v20.2_AZ020522\SuppXLS\"/>
    </mc:Choice>
  </mc:AlternateContent>
  <xr:revisionPtr revIDLastSave="0" documentId="13_ncr:1_{4686F780-0274-4AD4-B5F5-D7BF3A3BEC52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CO2_Tax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" i="2" l="1"/>
  <c r="H6" i="2"/>
  <c r="I6" i="2"/>
  <c r="J6" i="2"/>
  <c r="K6" i="2"/>
  <c r="L6" i="2"/>
  <c r="M6" i="2"/>
  <c r="N6" i="2"/>
  <c r="G7" i="2"/>
  <c r="H7" i="2"/>
  <c r="I7" i="2"/>
  <c r="J7" i="2"/>
  <c r="K7" i="2"/>
  <c r="L7" i="2"/>
  <c r="M7" i="2"/>
  <c r="N7" i="2"/>
  <c r="F7" i="2"/>
  <c r="F6" i="2"/>
  <c r="H18" i="2"/>
  <c r="H17" i="2"/>
  <c r="G1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3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</commentList>
</comments>
</file>

<file path=xl/sharedStrings.xml><?xml version="1.0" encoding="utf-8"?>
<sst xmlns="http://schemas.openxmlformats.org/spreadsheetml/2006/main" count="39" uniqueCount="27">
  <si>
    <t>Year</t>
  </si>
  <si>
    <t>Cset_CN</t>
  </si>
  <si>
    <t>Attribute</t>
  </si>
  <si>
    <t>LimType</t>
  </si>
  <si>
    <t>~TFM_INS</t>
  </si>
  <si>
    <t>TimeSlice</t>
  </si>
  <si>
    <t>Trans - Insert</t>
  </si>
  <si>
    <t>COM_TAXNET</t>
  </si>
  <si>
    <t>TOTCO2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</si>
  <si>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</si>
  <si>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</si>
  <si>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</si>
  <si>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</si>
  <si>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</si>
  <si>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</si>
  <si>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</si>
  <si>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</si>
  <si>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</si>
  <si>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*Units</t>
  </si>
  <si>
    <t>In $ M/Mt, we'll have $/ton. So if we want 20 $/ton in 2015 and 100 $/ton in 2050, we'd need 20 and 100 here.</t>
  </si>
  <si>
    <t>2005$US M/Mt</t>
  </si>
  <si>
    <t>Added by Andrew Zalesak on February 14th, 2022</t>
  </si>
  <si>
    <t>Multiplier for 2020 to 2005$:</t>
  </si>
  <si>
    <t>2020 $</t>
  </si>
  <si>
    <t>2005 $</t>
  </si>
  <si>
    <t>Tax in 2025:</t>
  </si>
  <si>
    <t>Tax in 2050: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</si>
</sst>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11">
    <xf numFmtId="0" fontId="0" fillId="0" borderId="0" xfId="0"/>
    <xf numFmtId="0" fontId="4" fillId="0" borderId="0" xfId="0" applyFont="1"/>
    <xf numFmtId="0" fontId="2" fillId="0" borderId="0" xfId="0" applyFont="1" applyAlignment="1">
      <alignment horizontal="center"/>
    </xf>
    <xf numFmtId="0" fontId="2" fillId="2" borderId="1" xfId="0" applyFont="1" applyFill="1" applyBorder="1"/>
    <xf numFmtId="0" fontId="2" fillId="3" borderId="1" xfId="0" applyFont="1" applyFill="1" applyBorder="1"/>
    <xf numFmtId="0" fontId="3" fillId="2" borderId="1" xfId="0" applyFont="1" applyFill="1" applyBorder="1"/>
    <xf numFmtId="0" fontId="2" fillId="4" borderId="2" xfId="0" applyFont="1" applyFill="1" applyBorder="1"/>
    <xf numFmtId="0" fontId="3" fillId="4" borderId="2" xfId="0" applyFont="1" applyFill="1" applyBorder="1"/>
    <xf numFmtId="1" fontId="0" fillId="0" borderId="0" xfId="0" applyNumberFormat="1"/>
    <xf numFmtId="0" fontId="0" fillId="0" borderId="0" xfId="0"/>
    <xf numFmtId="1" fontId="0" fillId="0" borderId="0" xfId="0" applyNumberFormat="1"/>
  </cellXfs>
  <cellStyles count="3">
    <cellStyle name="Normal" xfId="0" builtinId="0"/>
    <cellStyle name="Normal 10" xfId="1" xr:uid="{00000000-0005-0000-0000-000001000000}"/>
    <cellStyle name="Normale_Scen_UC_IND-StrucConst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15</xdr:col>
      <xdr:colOff>269875</xdr:colOff>
      <xdr:row>12</xdr:row>
      <xdr:rowOff>111125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26FDE8-053E-46B0-9D54-97A4B095E765}"/>
            </a:ext>
          </a:extLst>
        </xdr:cNvPr>
        <xdr:cNvSpPr txBox="1"/>
      </xdr:nvSpPr>
      <xdr:spPr>
        <a:xfrm>
          <a:off x="611188" y="1341438"/>
          <a:ext cx="4754562" cy="49212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 CO2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tax for the TOTCO2 aggregated commodity (see VT_REG1/2_PRI)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at specific year(s) in each region using the COM_TAXNET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attribute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GB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"/>
  <sheetViews>
    <sheetView tabSelected="1" zoomScale="120" zoomScaleNormal="120" workbookViewId="0">
      <selection activeCell="L17" sqref="L17"/>
    </sheetView>
  </sheetViews>
  <sheetFormatPr defaultRowHeight="15" x14ac:dyDescent="0.25"/>
  <cols>
    <col min="2" max="2" width="10.140625" bestFit="1" customWidth="1"/>
    <col min="3" max="3" width="8.85546875" bestFit="1" customWidth="1"/>
    <col min="4" max="4" width="13.28515625" bestFit="1" customWidth="1"/>
    <col min="5" max="5" width="5.140625" bestFit="1" customWidth="1"/>
    <col min="6" max="14" width="10.7109375" customWidth="1"/>
    <col min="15" max="15" width="8.42578125" bestFit="1" customWidth="1"/>
  </cols>
  <sheetData>
    <row r="1" spans="1:15" x14ac:dyDescent="0.25">
      <c r="A1" t="s">
        <v>21</v>
      </c>
    </row>
    <row r="2" spans="1:15" x14ac:dyDescent="0.25">
      <c r="A2" t="s">
        <v>6</v>
      </c>
    </row>
    <row r="3" spans="1:15" x14ac:dyDescent="0.25">
      <c r="B3" s="1" t="s">
        <v>4</v>
      </c>
      <c r="O3" s="2"/>
    </row>
    <row r="4" spans="1:15" ht="15.75" thickBot="1" x14ac:dyDescent="0.3">
      <c r="B4" s="3" t="s">
        <v>5</v>
      </c>
      <c r="C4" s="3" t="s">
        <v>3</v>
      </c>
      <c r="D4" s="3" t="s">
        <v>2</v>
      </c>
      <c r="E4" s="3" t="s">
        <v>0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  <c r="O4" s="5" t="s">
        <v>1</v>
      </c>
    </row>
    <row r="5" spans="1:15" x14ac:dyDescent="0.25">
      <c r="B5" s="6" t="s">
        <v>18</v>
      </c>
      <c r="C5" s="6"/>
      <c r="D5" s="6"/>
      <c r="E5" s="6"/>
      <c r="F5" s="6" t="s">
        <v>20</v>
      </c>
      <c r="G5" s="6" t="s">
        <v>20</v>
      </c>
      <c r="H5" s="6" t="s">
        <v>20</v>
      </c>
      <c r="I5" s="6" t="s">
        <v>20</v>
      </c>
      <c r="J5" s="6" t="s">
        <v>20</v>
      </c>
      <c r="K5" s="6" t="s">
        <v>20</v>
      </c>
      <c r="L5" s="6" t="s">
        <v>20</v>
      </c>
      <c r="M5" s="6" t="s">
        <v>20</v>
      </c>
      <c r="N5" s="6" t="s">
        <v>20</v>
      </c>
      <c r="O5" s="7"/>
    </row>
    <row r="6" spans="1:15" x14ac:dyDescent="0.25">
      <c r="D6" t="s">
        <v>7</v>
      </c>
      <c r="E6">
        <v>2025</v>
      </c>
      <c r="F6" s="8">
        <f>$H$17</f>
        <v>76.93343424387497</v>
      </c>
      <c r="G6" s="10">
        <f t="shared" ref="G6:N6" si="0">$H$17</f>
        <v>76.93343424387497</v>
      </c>
      <c r="H6" s="10">
        <f t="shared" si="0"/>
        <v>76.93343424387497</v>
      </c>
      <c r="I6" s="10">
        <f t="shared" si="0"/>
        <v>76.93343424387497</v>
      </c>
      <c r="J6" s="10">
        <f t="shared" si="0"/>
        <v>76.93343424387497</v>
      </c>
      <c r="K6" s="10">
        <f t="shared" si="0"/>
        <v>76.93343424387497</v>
      </c>
      <c r="L6" s="10">
        <f t="shared" si="0"/>
        <v>76.93343424387497</v>
      </c>
      <c r="M6" s="10">
        <f t="shared" si="0"/>
        <v>76.93343424387497</v>
      </c>
      <c r="N6" s="10">
        <f t="shared" si="0"/>
        <v>76.93343424387497</v>
      </c>
      <c r="O6" t="s">
        <v>8</v>
      </c>
    </row>
    <row r="7" spans="1:15" x14ac:dyDescent="0.25">
      <c r="D7" t="s">
        <v>7</v>
      </c>
      <c r="E7">
        <v>2050</v>
      </c>
      <c r="F7" s="8">
        <f>$H$18</f>
        <v>260.52391517210395</v>
      </c>
      <c r="G7" s="10">
        <f t="shared" ref="G7:N7" si="1">$H$18</f>
        <v>260.52391517210395</v>
      </c>
      <c r="H7" s="10">
        <f t="shared" si="1"/>
        <v>260.52391517210395</v>
      </c>
      <c r="I7" s="10">
        <f t="shared" si="1"/>
        <v>260.52391517210395</v>
      </c>
      <c r="J7" s="10">
        <f t="shared" si="1"/>
        <v>260.52391517210395</v>
      </c>
      <c r="K7" s="10">
        <f t="shared" si="1"/>
        <v>260.52391517210395</v>
      </c>
      <c r="L7" s="10">
        <f t="shared" si="1"/>
        <v>260.52391517210395</v>
      </c>
      <c r="M7" s="10">
        <f t="shared" si="1"/>
        <v>260.52391517210395</v>
      </c>
      <c r="N7" s="10">
        <f t="shared" si="1"/>
        <v>260.52391517210395</v>
      </c>
      <c r="O7" t="s">
        <v>8</v>
      </c>
    </row>
    <row r="8" spans="1:15" x14ac:dyDescent="0.25">
      <c r="D8" t="s">
        <v>7</v>
      </c>
      <c r="E8">
        <v>0</v>
      </c>
      <c r="F8">
        <v>5</v>
      </c>
      <c r="G8">
        <v>5</v>
      </c>
      <c r="H8">
        <v>5</v>
      </c>
      <c r="I8">
        <v>5</v>
      </c>
      <c r="J8">
        <v>5</v>
      </c>
      <c r="K8">
        <v>5</v>
      </c>
      <c r="L8">
        <v>5</v>
      </c>
      <c r="M8">
        <v>5</v>
      </c>
      <c r="N8">
        <v>5</v>
      </c>
      <c r="O8" t="s">
        <v>8</v>
      </c>
    </row>
    <row r="14" spans="1:15" x14ac:dyDescent="0.25">
      <c r="B14" t="s">
        <v>19</v>
      </c>
    </row>
    <row r="16" spans="1:15" x14ac:dyDescent="0.25">
      <c r="B16" s="9" t="s">
        <v>22</v>
      </c>
      <c r="C16" s="9"/>
      <c r="D16" s="9"/>
      <c r="E16" s="9"/>
      <c r="F16" s="9"/>
      <c r="G16" s="9" t="s">
        <v>23</v>
      </c>
      <c r="H16" s="9" t="s">
        <v>24</v>
      </c>
    </row>
    <row r="17" spans="2:8" x14ac:dyDescent="0.25">
      <c r="B17" s="9">
        <v>0.76933434243874965</v>
      </c>
      <c r="C17" s="9"/>
      <c r="D17" s="9"/>
      <c r="E17" s="9"/>
      <c r="F17" s="9" t="s">
        <v>25</v>
      </c>
      <c r="G17" s="9">
        <v>100</v>
      </c>
      <c r="H17" s="9">
        <f>G17*$B$17</f>
        <v>76.93343424387497</v>
      </c>
    </row>
    <row r="18" spans="2:8" x14ac:dyDescent="0.25">
      <c r="B18" s="9"/>
      <c r="C18" s="9"/>
      <c r="D18" s="9"/>
      <c r="E18" s="9"/>
      <c r="F18" s="9" t="s">
        <v>26</v>
      </c>
      <c r="G18" s="9">
        <f>100*1.05^25</f>
        <v>338.63549408993856</v>
      </c>
      <c r="H18" s="9">
        <f>G18*$B$17</f>
        <v>260.52391517210395</v>
      </c>
    </row>
  </sheetData>
  <phoneticPr fontId="6" type="noConversion"/>
  <pageMargins left="0.7" right="0.7" top="0.75" bottom="0.75" header="0.3" footer="0.3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D4D3544756FC4189396AED5C4815C6" ma:contentTypeVersion="13" ma:contentTypeDescription="Create a new document." ma:contentTypeScope="" ma:versionID="3491e64d765c741a1185f86747b76256">
  <xsd:schema xmlns:xsd="http://www.w3.org/2001/XMLSchema" xmlns:xs="http://www.w3.org/2001/XMLSchema" xmlns:p="http://schemas.microsoft.com/office/2006/metadata/properties" xmlns:ns2="6f58b422-a6f4-4b6d-a699-15e0adf0131b" xmlns:ns3="a1feda3e-9ebc-462f-b638-5fefd6b1abeb" targetNamespace="http://schemas.microsoft.com/office/2006/metadata/properties" ma:root="true" ma:fieldsID="d2c57e39fed3767bff05d1708e2df440" ns2:_="" ns3:_="">
    <xsd:import namespace="6f58b422-a6f4-4b6d-a699-15e0adf0131b"/>
    <xsd:import namespace="a1feda3e-9ebc-462f-b638-5fefd6b1ab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58b422-a6f4-4b6d-a699-15e0adf013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eda3e-9ebc-462f-b638-5fefd6b1abe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42b81f44-6a1a-4ced-bf8a-34da3ba669b8}" ma:internalName="TaxCatchAll" ma:showField="CatchAllData" ma:web="a1feda3e-9ebc-462f-b638-5fefd6b1ab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0B800DC-094B-482B-967C-9CB0E3294541}"/>
</file>

<file path=customXml/itemProps2.xml><?xml version="1.0" encoding="utf-8"?>
<ds:datastoreItem xmlns:ds="http://schemas.openxmlformats.org/officeDocument/2006/customXml" ds:itemID="{E58558D2-DA22-46FF-9BDE-0DB08FBAAC4A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CO2_Tax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Zalesak, Andrew</cp:lastModifiedBy>
  <dcterms:created xsi:type="dcterms:W3CDTF">2009-05-27T15:40:55Z</dcterms:created>
  <dcterms:modified xsi:type="dcterms:W3CDTF">2022-03-15T19:30:38Z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123878121376038</vt:lpwstr>
  </property>
</Properties>
</file>