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Lab\EPAUS9rT_Analyses\CURRENT EPAUS9rT\Workbooks_18.1.5\SuppXLS\"/>
    </mc:Choice>
  </mc:AlternateContent>
  <xr:revisionPtr revIDLastSave="0" documentId="14_{3FC30EB1-6FBB-490D-97C9-66A9BFA2CAD9}" xr6:coauthVersionLast="41" xr6:coauthVersionMax="41" xr10:uidLastSave="{00000000-0000-0000-0000-000000000000}"/>
  <bookViews>
    <workbookView xWindow="-108" yWindow="-108" windowWidth="23256" windowHeight="14016" xr2:uid="{00000000-000D-0000-FFFF-FFFF00000000}"/>
  </bookViews>
  <sheets>
    <sheet name="TFM_INS" sheetId="1" r:id="rId1"/>
    <sheet name="raw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4" i="1" l="1"/>
  <c r="G45" i="1"/>
  <c r="G46" i="1"/>
  <c r="G47" i="1"/>
  <c r="G48" i="1"/>
  <c r="G49" i="1"/>
  <c r="G50" i="1"/>
  <c r="G51" i="1"/>
  <c r="G52" i="1"/>
  <c r="G53" i="1"/>
  <c r="G54" i="1"/>
  <c r="G55" i="1"/>
  <c r="G43" i="1"/>
  <c r="G31" i="1"/>
  <c r="G32" i="1"/>
  <c r="G33" i="1"/>
  <c r="G34" i="1"/>
  <c r="G35" i="1"/>
  <c r="G36" i="1"/>
  <c r="G37" i="1"/>
  <c r="G38" i="1"/>
  <c r="G39" i="1"/>
  <c r="G40" i="1"/>
  <c r="G41" i="1"/>
  <c r="G42" i="1"/>
  <c r="G30" i="1"/>
  <c r="G18" i="1"/>
  <c r="G19" i="1"/>
  <c r="G20" i="1"/>
  <c r="G21" i="1"/>
  <c r="G22" i="1"/>
  <c r="G23" i="1"/>
  <c r="G24" i="1"/>
  <c r="G25" i="1"/>
  <c r="G26" i="1"/>
  <c r="G27" i="1"/>
  <c r="G28" i="1"/>
  <c r="G29" i="1"/>
  <c r="G17" i="1"/>
  <c r="G5" i="1"/>
  <c r="G6" i="1"/>
  <c r="G7" i="1"/>
  <c r="G8" i="1"/>
  <c r="G9" i="1"/>
  <c r="G10" i="1"/>
  <c r="G11" i="1"/>
  <c r="G12" i="1"/>
  <c r="G13" i="1"/>
  <c r="G14" i="1"/>
  <c r="G15" i="1"/>
  <c r="G16" i="1"/>
  <c r="G4" i="1"/>
  <c r="F46" i="1"/>
  <c r="F47" i="1"/>
  <c r="F48" i="1"/>
  <c r="F49" i="1"/>
  <c r="F50" i="1"/>
  <c r="F51" i="1"/>
  <c r="F52" i="1"/>
  <c r="F53" i="1"/>
  <c r="F54" i="1"/>
  <c r="F55" i="1"/>
  <c r="F44" i="1"/>
  <c r="F45" i="1"/>
  <c r="F43" i="1"/>
  <c r="F31" i="1"/>
  <c r="F32" i="1"/>
  <c r="F33" i="1"/>
  <c r="F34" i="1"/>
  <c r="F35" i="1"/>
  <c r="F36" i="1"/>
  <c r="F37" i="1"/>
  <c r="F38" i="1"/>
  <c r="F39" i="1"/>
  <c r="F40" i="1"/>
  <c r="F41" i="1"/>
  <c r="F42" i="1"/>
  <c r="F30" i="1"/>
  <c r="F20" i="1"/>
  <c r="F21" i="1"/>
  <c r="F22" i="1"/>
  <c r="F23" i="1"/>
  <c r="F24" i="1"/>
  <c r="F25" i="1"/>
  <c r="F26" i="1"/>
  <c r="F27" i="1"/>
  <c r="F28" i="1"/>
  <c r="F29" i="1"/>
  <c r="F18" i="1"/>
  <c r="F19" i="1"/>
  <c r="F17" i="1"/>
  <c r="F5" i="1"/>
  <c r="F6" i="1"/>
  <c r="F7" i="1"/>
  <c r="F8" i="1"/>
  <c r="F9" i="1"/>
  <c r="F10" i="1"/>
  <c r="F11" i="1"/>
  <c r="F12" i="1"/>
  <c r="F13" i="1"/>
  <c r="F14" i="1"/>
  <c r="F15" i="1"/>
  <c r="F16" i="1"/>
  <c r="F4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18" i="1"/>
  <c r="E19" i="1"/>
  <c r="E20" i="1"/>
  <c r="E21" i="1"/>
  <c r="E22" i="1"/>
  <c r="E23" i="1"/>
  <c r="E24" i="1"/>
  <c r="E25" i="1"/>
  <c r="E26" i="1"/>
  <c r="E27" i="1"/>
  <c r="E28" i="1"/>
  <c r="E29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Q35" i="2"/>
  <c r="P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S6" authorId="0" shapeId="0" xr:uid="{8E8BD172-47EC-4EC5-8DA7-81D9286FE3A5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  <comment ref="B7" authorId="0" shapeId="0" xr:uid="{B16355C8-5CC5-4897-AC89-6E821BBA16FB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  <comment ref="B15" authorId="0" shapeId="0" xr:uid="{2BD4F891-2F7A-4F7A-960A-073D04DB026A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  <comment ref="B23" authorId="0" shapeId="0" xr:uid="{225279AE-E966-47F1-A17B-08B284901B4D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  <comment ref="S23" authorId="0" shapeId="0" xr:uid="{A465F63B-86E0-4226-B8F3-26D703BE5734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  <comment ref="S40" authorId="0" shapeId="0" xr:uid="{DB505B9E-C2F9-40E6-A8AA-C6551D569219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</commentList>
</comments>
</file>

<file path=xl/sharedStrings.xml><?xml version="1.0" encoding="utf-8"?>
<sst xmlns="http://schemas.openxmlformats.org/spreadsheetml/2006/main" count="449" uniqueCount="75">
  <si>
    <t>~TFM_INS-TS</t>
  </si>
  <si>
    <t>Attribute</t>
  </si>
  <si>
    <t>CSET_CN</t>
  </si>
  <si>
    <t>Other_Indexes</t>
  </si>
  <si>
    <t>VDA_EMCB</t>
  </si>
  <si>
    <t>LPGR</t>
  </si>
  <si>
    <t>REFNOX</t>
  </si>
  <si>
    <t>GSCR</t>
  </si>
  <si>
    <t>GSRR</t>
  </si>
  <si>
    <t>JTFR</t>
  </si>
  <si>
    <t>DSHR</t>
  </si>
  <si>
    <t>RFLR</t>
  </si>
  <si>
    <t>RFHR</t>
  </si>
  <si>
    <t>KERR</t>
  </si>
  <si>
    <t>PFSR</t>
  </si>
  <si>
    <t>ASPR</t>
  </si>
  <si>
    <t>DSLR</t>
  </si>
  <si>
    <t>DSUR</t>
  </si>
  <si>
    <t>PTCR</t>
  </si>
  <si>
    <t>REFPM10</t>
  </si>
  <si>
    <t>REFPM25</t>
  </si>
  <si>
    <t>REFSO2</t>
  </si>
  <si>
    <t>* Values associate with commodities</t>
  </si>
  <si>
    <t>CommName</t>
  </si>
  <si>
    <t>* Units</t>
  </si>
  <si>
    <t>Kt/PJ</t>
  </si>
  <si>
    <t>LPGR~2010</t>
  </si>
  <si>
    <t>GSCR~2010</t>
  </si>
  <si>
    <t>GSRR~2010</t>
  </si>
  <si>
    <t>JTFR~2010</t>
  </si>
  <si>
    <t>DSHR~2010</t>
  </si>
  <si>
    <t>RFLR~2010</t>
  </si>
  <si>
    <t>RFHR~2010</t>
  </si>
  <si>
    <t>KERR~2010</t>
  </si>
  <si>
    <t>PFSR~2010</t>
  </si>
  <si>
    <t>ASPR~2010</t>
  </si>
  <si>
    <t>DSLR~2010</t>
  </si>
  <si>
    <t>DSUR~2010</t>
  </si>
  <si>
    <t>PTCR~2010</t>
  </si>
  <si>
    <t>LPGR~2015</t>
  </si>
  <si>
    <t>GSCR~2015</t>
  </si>
  <si>
    <t>GSRR~2015</t>
  </si>
  <si>
    <t>JTFR~2015</t>
  </si>
  <si>
    <t>DSHR~2015</t>
  </si>
  <si>
    <t>RFLR~2015</t>
  </si>
  <si>
    <t>RFHR~2015</t>
  </si>
  <si>
    <t>KERR~2015</t>
  </si>
  <si>
    <t>PFSR~2015</t>
  </si>
  <si>
    <t>ASPR~2015</t>
  </si>
  <si>
    <t>DSLR~2015</t>
  </si>
  <si>
    <t>DSUR~2015</t>
  </si>
  <si>
    <t>PTCR~2015</t>
  </si>
  <si>
    <t>LPGR~2020~2025~2030~2035~2040~2045~2050~2055</t>
  </si>
  <si>
    <t>GSCR~2020~2025~2030~2035~2040~2045~2050~2055</t>
  </si>
  <si>
    <t>GSRR~2020~2025~2030~2035~2040~2045~2050~2055</t>
  </si>
  <si>
    <t>JTFR~2020~2025~2030~2035~2040~2045~2050~2055</t>
  </si>
  <si>
    <t>DSHR~2020~2025~2030~2035~2040~2045~2050~2055</t>
  </si>
  <si>
    <t>RFLR~2020~2025~2030~2035~2040~2045~2050~2055</t>
  </si>
  <si>
    <t>RFHR~2020~2025~2030~2035~2040~2045~2050~2055</t>
  </si>
  <si>
    <t>KERR~2020~2025~2030~2035~2040~2045~2050~2055</t>
  </si>
  <si>
    <t>PFSR~2020~2025~2030~2035~2040~2045~2050~2055</t>
  </si>
  <si>
    <t>ASPR~2020~2025~2030~2035~2040~2045~2050~2055</t>
  </si>
  <si>
    <t>DSLR~2020~2025~2030~2035~2040~2045~2050~2055</t>
  </si>
  <si>
    <t>DSUR~2020~2025~2030~2035~2040~2045~2050~2055</t>
  </si>
  <si>
    <t>PTCR~2020~2025~2030~2035~2040~2045~2050~2055</t>
  </si>
  <si>
    <t>2020+</t>
  </si>
  <si>
    <t>VOC</t>
  </si>
  <si>
    <t>CO</t>
  </si>
  <si>
    <t>CH4</t>
  </si>
  <si>
    <t>N2O</t>
  </si>
  <si>
    <t>CO2</t>
  </si>
  <si>
    <t>NOX</t>
  </si>
  <si>
    <t>PM10</t>
  </si>
  <si>
    <t>PM25</t>
  </si>
  <si>
    <t>DLG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</si>
</sst>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9" x14ac:knownFonts="1">
    <font>
      <sz val="11"/>
      <color theme="1"/>
      <name val="Calibri"/>
      <family val="2"/>
      <scheme val="minor"/>
    </font>
    <font>
      <sz val="12"/>
      <color indexed="53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/>
    </xf>
    <xf numFmtId="0" fontId="4" fillId="0" borderId="0" xfId="0" applyFont="1"/>
    <xf numFmtId="0" fontId="4" fillId="4" borderId="2" xfId="2" applyFont="1" applyFill="1" applyBorder="1" applyAlignment="1">
      <alignment horizontal="center" wrapText="1"/>
    </xf>
    <xf numFmtId="0" fontId="4" fillId="4" borderId="3" xfId="2" applyFont="1" applyFill="1" applyBorder="1" applyAlignment="1">
      <alignment horizontal="center" vertical="center" wrapText="1"/>
    </xf>
    <xf numFmtId="0" fontId="4" fillId="5" borderId="0" xfId="1" applyFont="1" applyFill="1"/>
    <xf numFmtId="164" fontId="3" fillId="6" borderId="0" xfId="0" applyNumberFormat="1" applyFont="1" applyFill="1" applyAlignment="1">
      <alignment horizontal="center"/>
    </xf>
    <xf numFmtId="0" fontId="5" fillId="0" borderId="0" xfId="0" applyFont="1" applyFill="1"/>
    <xf numFmtId="165" fontId="6" fillId="0" borderId="0" xfId="0" applyNumberFormat="1" applyFont="1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</cellXfs>
  <cellStyles count="3">
    <cellStyle name="Normal" xfId="0" builtinId="0"/>
    <cellStyle name="Normal 10" xfId="2" xr:uid="{42CF8377-BC41-449B-8A32-74D32626B7A0}"/>
    <cellStyle name="Normal 2 2" xfId="1" xr:uid="{FDA94350-1611-48FA-A106-DCE857BBCE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5"/>
  <sheetViews>
    <sheetView tabSelected="1" topLeftCell="A26" workbookViewId="0">
      <selection activeCell="I32" sqref="I32"/>
    </sheetView>
  </sheetViews>
  <sheetFormatPr defaultRowHeight="14.4" x14ac:dyDescent="0.3"/>
  <cols>
    <col min="2" max="2" width="12.44140625" bestFit="1" customWidth="1"/>
    <col min="3" max="3" width="8.6640625" bestFit="1" customWidth="1"/>
    <col min="4" max="4" width="14.33203125" bestFit="1" customWidth="1"/>
    <col min="5" max="7" width="12" bestFit="1" customWidth="1"/>
  </cols>
  <sheetData>
    <row r="2" spans="2:7" x14ac:dyDescent="0.3">
      <c r="B2" t="s">
        <v>0</v>
      </c>
    </row>
    <row r="3" spans="2:7" x14ac:dyDescent="0.3">
      <c r="B3" t="s">
        <v>1</v>
      </c>
      <c r="C3" t="s">
        <v>2</v>
      </c>
      <c r="D3" t="s">
        <v>3</v>
      </c>
      <c r="E3">
        <v>2010</v>
      </c>
      <c r="F3">
        <v>2015</v>
      </c>
      <c r="G3">
        <v>2020</v>
      </c>
    </row>
    <row r="4" spans="2:7" x14ac:dyDescent="0.3">
      <c r="B4" t="s">
        <v>4</v>
      </c>
      <c r="C4" t="s">
        <v>5</v>
      </c>
      <c r="D4" t="s">
        <v>6</v>
      </c>
      <c r="E4" s="1">
        <f>'raw data'!U7</f>
        <v>1.5043975988076401E-2</v>
      </c>
      <c r="F4" s="1">
        <f>'raw data'!U24</f>
        <v>1.2121795351155687E-2</v>
      </c>
      <c r="G4" s="1">
        <f>'raw data'!U41</f>
        <v>9.8775253656738643E-3</v>
      </c>
    </row>
    <row r="5" spans="2:7" x14ac:dyDescent="0.3">
      <c r="B5" t="s">
        <v>4</v>
      </c>
      <c r="C5" t="s">
        <v>7</v>
      </c>
      <c r="D5" t="s">
        <v>6</v>
      </c>
      <c r="E5" s="1">
        <f>'raw data'!U8</f>
        <v>2.1956426139731151E-2</v>
      </c>
      <c r="F5" s="1">
        <f>'raw data'!U25</f>
        <v>1.82298941239647E-2</v>
      </c>
      <c r="G5" s="1">
        <f>'raw data'!U42</f>
        <v>1.5165813226262433E-2</v>
      </c>
    </row>
    <row r="6" spans="2:7" x14ac:dyDescent="0.3">
      <c r="B6" t="s">
        <v>4</v>
      </c>
      <c r="C6" t="s">
        <v>8</v>
      </c>
      <c r="D6" t="s">
        <v>6</v>
      </c>
      <c r="E6" s="1">
        <f>'raw data'!U9</f>
        <v>1.5839294872538073E-2</v>
      </c>
      <c r="F6" s="1">
        <f>'raw data'!U26</f>
        <v>1.2973180638091936E-2</v>
      </c>
      <c r="G6" s="1">
        <f>'raw data'!U43</f>
        <v>1.0654375276651699E-2</v>
      </c>
    </row>
    <row r="7" spans="2:7" x14ac:dyDescent="0.3">
      <c r="B7" t="s">
        <v>4</v>
      </c>
      <c r="C7" t="s">
        <v>9</v>
      </c>
      <c r="D7" t="s">
        <v>6</v>
      </c>
      <c r="E7" s="1">
        <f>'raw data'!U10</f>
        <v>2.9131506186840504E-3</v>
      </c>
      <c r="F7" s="1">
        <f>'raw data'!U27</f>
        <v>2.5959115314870651E-3</v>
      </c>
      <c r="G7" s="1">
        <f>'raw data'!U44</f>
        <v>2.3130077792470876E-3</v>
      </c>
    </row>
    <row r="8" spans="2:7" x14ac:dyDescent="0.3">
      <c r="B8" t="s">
        <v>4</v>
      </c>
      <c r="C8" t="s">
        <v>10</v>
      </c>
      <c r="D8" t="s">
        <v>6</v>
      </c>
      <c r="E8" s="1">
        <f>'raw data'!U11</f>
        <v>8.3160461798210301E-3</v>
      </c>
      <c r="F8" s="1">
        <f>'raw data'!U28</f>
        <v>7.1873929749777044E-3</v>
      </c>
      <c r="G8" s="1">
        <f>'raw data'!U45</f>
        <v>6.1827390331627837E-3</v>
      </c>
    </row>
    <row r="9" spans="2:7" x14ac:dyDescent="0.3">
      <c r="B9" t="s">
        <v>4</v>
      </c>
      <c r="C9" t="s">
        <v>11</v>
      </c>
      <c r="D9" t="s">
        <v>6</v>
      </c>
      <c r="E9" s="1">
        <f>'raw data'!U12</f>
        <v>8.8888596383170562E-3</v>
      </c>
      <c r="F9" s="1">
        <f>'raw data'!U29</f>
        <v>8.0016242893436538E-3</v>
      </c>
      <c r="G9" s="1">
        <f>'raw data'!U46</f>
        <v>7.2117874381274674E-3</v>
      </c>
    </row>
    <row r="10" spans="2:7" x14ac:dyDescent="0.3">
      <c r="B10" t="s">
        <v>4</v>
      </c>
      <c r="C10" t="s">
        <v>12</v>
      </c>
      <c r="D10" t="s">
        <v>6</v>
      </c>
      <c r="E10" s="1">
        <f>'raw data'!U13</f>
        <v>8.8888596383170562E-3</v>
      </c>
      <c r="F10" s="1">
        <f>'raw data'!U30</f>
        <v>8.0016242893436538E-3</v>
      </c>
      <c r="G10" s="1">
        <f>'raw data'!U47</f>
        <v>7.2117874381274674E-3</v>
      </c>
    </row>
    <row r="11" spans="2:7" x14ac:dyDescent="0.3">
      <c r="B11" t="s">
        <v>4</v>
      </c>
      <c r="C11" t="s">
        <v>13</v>
      </c>
      <c r="D11" t="s">
        <v>6</v>
      </c>
      <c r="E11" s="1">
        <f>'raw data'!U14</f>
        <v>2.9131506186840504E-3</v>
      </c>
      <c r="F11" s="1">
        <f>'raw data'!U31</f>
        <v>2.5959115314870651E-3</v>
      </c>
      <c r="G11" s="1">
        <f>'raw data'!U48</f>
        <v>2.3130077792470876E-3</v>
      </c>
    </row>
    <row r="12" spans="2:7" x14ac:dyDescent="0.3">
      <c r="B12" t="s">
        <v>4</v>
      </c>
      <c r="C12" t="s">
        <v>14</v>
      </c>
      <c r="D12" t="s">
        <v>6</v>
      </c>
      <c r="E12" s="1">
        <f>'raw data'!U15</f>
        <v>8.3160461798210301E-3</v>
      </c>
      <c r="F12" s="1">
        <f>'raw data'!U32</f>
        <v>1.2973180638091936E-2</v>
      </c>
      <c r="G12" s="1">
        <f>'raw data'!U49</f>
        <v>1.0654375276651699E-2</v>
      </c>
    </row>
    <row r="13" spans="2:7" x14ac:dyDescent="0.3">
      <c r="B13" t="s">
        <v>4</v>
      </c>
      <c r="C13" t="s">
        <v>15</v>
      </c>
      <c r="D13" t="s">
        <v>6</v>
      </c>
      <c r="E13" s="1">
        <f>'raw data'!U16</f>
        <v>1.8106870033963312E-3</v>
      </c>
      <c r="F13" s="1">
        <f>'raw data'!U33</f>
        <v>1.6301768480166611E-3</v>
      </c>
      <c r="G13" s="1">
        <f>'raw data'!U50</f>
        <v>1.4882219908627931E-3</v>
      </c>
    </row>
    <row r="14" spans="2:7" x14ac:dyDescent="0.3">
      <c r="B14" t="s">
        <v>4</v>
      </c>
      <c r="C14" t="s">
        <v>16</v>
      </c>
      <c r="D14" t="s">
        <v>6</v>
      </c>
      <c r="E14" s="1">
        <f>'raw data'!U17</f>
        <v>8.3249264378304124E-3</v>
      </c>
      <c r="F14" s="1">
        <f>'raw data'!U34</f>
        <v>7.1946938981165337E-3</v>
      </c>
      <c r="G14" s="1">
        <f>'raw data'!U51</f>
        <v>6.1886895799089835E-3</v>
      </c>
    </row>
    <row r="15" spans="2:7" x14ac:dyDescent="0.3">
      <c r="B15" t="s">
        <v>4</v>
      </c>
      <c r="C15" t="s">
        <v>17</v>
      </c>
      <c r="D15" t="s">
        <v>6</v>
      </c>
      <c r="E15" s="1">
        <f>'raw data'!U18</f>
        <v>8.3249264378304124E-3</v>
      </c>
      <c r="F15" s="1">
        <f>'raw data'!U35</f>
        <v>7.1946938981165337E-3</v>
      </c>
      <c r="G15" s="1">
        <f>'raw data'!U52</f>
        <v>6.1886895799089835E-3</v>
      </c>
    </row>
    <row r="16" spans="2:7" x14ac:dyDescent="0.3">
      <c r="B16" t="s">
        <v>4</v>
      </c>
      <c r="C16" t="s">
        <v>18</v>
      </c>
      <c r="D16" t="s">
        <v>6</v>
      </c>
      <c r="E16" s="1">
        <f>'raw data'!U19</f>
        <v>4.8614015458222455E-3</v>
      </c>
      <c r="F16" s="1">
        <f>'raw data'!U36</f>
        <v>4.3852208963523044E-3</v>
      </c>
      <c r="G16" s="1">
        <f>'raw data'!U53</f>
        <v>3.9781363841230374E-3</v>
      </c>
    </row>
    <row r="17" spans="2:7" x14ac:dyDescent="0.3">
      <c r="B17" t="s">
        <v>4</v>
      </c>
      <c r="C17" t="s">
        <v>5</v>
      </c>
      <c r="D17" t="s">
        <v>19</v>
      </c>
      <c r="E17" s="1">
        <f>'raw data'!V7</f>
        <v>1.9239011279177632E-3</v>
      </c>
      <c r="F17" s="1">
        <f>'raw data'!V24</f>
        <v>1.5144385525198139E-3</v>
      </c>
      <c r="G17" s="1">
        <f>'raw data'!V41</f>
        <v>1.3561950523574757E-3</v>
      </c>
    </row>
    <row r="18" spans="2:7" x14ac:dyDescent="0.3">
      <c r="B18" t="s">
        <v>4</v>
      </c>
      <c r="C18" t="s">
        <v>7</v>
      </c>
      <c r="D18" t="s">
        <v>19</v>
      </c>
      <c r="E18" s="1">
        <f>'raw data'!V8</f>
        <v>2.9977951530469572E-3</v>
      </c>
      <c r="F18" s="1">
        <f>'raw data'!V25</f>
        <v>2.4431778538290343E-3</v>
      </c>
      <c r="G18" s="1">
        <f>'raw data'!V42</f>
        <v>2.2408422829306119E-3</v>
      </c>
    </row>
    <row r="19" spans="2:7" x14ac:dyDescent="0.3">
      <c r="B19" t="s">
        <v>4</v>
      </c>
      <c r="C19" t="s">
        <v>8</v>
      </c>
      <c r="D19" t="s">
        <v>19</v>
      </c>
      <c r="E19" s="1">
        <f>'raw data'!V9</f>
        <v>1.9070258199396157E-3</v>
      </c>
      <c r="F19" s="1">
        <f>'raw data'!V26</f>
        <v>1.4928444359286091E-3</v>
      </c>
      <c r="G19" s="1">
        <f>'raw data'!V43</f>
        <v>1.3365585345962911E-3</v>
      </c>
    </row>
    <row r="20" spans="2:7" x14ac:dyDescent="0.3">
      <c r="B20" t="s">
        <v>4</v>
      </c>
      <c r="C20" t="s">
        <v>9</v>
      </c>
      <c r="D20" t="s">
        <v>19</v>
      </c>
      <c r="E20" s="1">
        <f>'raw data'!V10</f>
        <v>4.227423040343E-4</v>
      </c>
      <c r="F20" s="1">
        <f>'raw data'!V27</f>
        <v>3.5096749111780353E-4</v>
      </c>
      <c r="G20" s="1">
        <f>'raw data'!V44</f>
        <v>3.287003245354671E-4</v>
      </c>
    </row>
    <row r="21" spans="2:7" x14ac:dyDescent="0.3">
      <c r="B21" t="s">
        <v>4</v>
      </c>
      <c r="C21" t="s">
        <v>10</v>
      </c>
      <c r="D21" t="s">
        <v>19</v>
      </c>
      <c r="E21" s="1">
        <f>'raw data'!V11</f>
        <v>9.5797614236742788E-4</v>
      </c>
      <c r="F21" s="1">
        <f>'raw data'!V28</f>
        <v>7.6387953952104706E-4</v>
      </c>
      <c r="G21" s="1">
        <f>'raw data'!V45</f>
        <v>6.9744441203407404E-4</v>
      </c>
    </row>
    <row r="22" spans="2:7" x14ac:dyDescent="0.3">
      <c r="B22" t="s">
        <v>4</v>
      </c>
      <c r="C22" t="s">
        <v>11</v>
      </c>
      <c r="D22" t="s">
        <v>19</v>
      </c>
      <c r="E22" s="1">
        <f>'raw data'!V12</f>
        <v>9.5653565637687972E-4</v>
      </c>
      <c r="F22" s="1">
        <f>'raw data'!V29</f>
        <v>8.4030061386020094E-4</v>
      </c>
      <c r="G22" s="1">
        <f>'raw data'!V46</f>
        <v>7.960362968839847E-4</v>
      </c>
    </row>
    <row r="23" spans="2:7" x14ac:dyDescent="0.3">
      <c r="B23" t="s">
        <v>4</v>
      </c>
      <c r="C23" t="s">
        <v>12</v>
      </c>
      <c r="D23" t="s">
        <v>19</v>
      </c>
      <c r="E23" s="1">
        <f>'raw data'!V13</f>
        <v>9.5653565637687972E-4</v>
      </c>
      <c r="F23" s="1">
        <f>'raw data'!V30</f>
        <v>8.4030061386020094E-4</v>
      </c>
      <c r="G23" s="1">
        <f>'raw data'!V47</f>
        <v>7.960362968839847E-4</v>
      </c>
    </row>
    <row r="24" spans="2:7" x14ac:dyDescent="0.3">
      <c r="B24" t="s">
        <v>4</v>
      </c>
      <c r="C24" t="s">
        <v>13</v>
      </c>
      <c r="D24" t="s">
        <v>19</v>
      </c>
      <c r="E24" s="1">
        <f>'raw data'!V14</f>
        <v>4.227423040343E-4</v>
      </c>
      <c r="F24" s="1">
        <f>'raw data'!V31</f>
        <v>3.5096749111780353E-4</v>
      </c>
      <c r="G24" s="1">
        <f>'raw data'!V48</f>
        <v>3.287003245354671E-4</v>
      </c>
    </row>
    <row r="25" spans="2:7" x14ac:dyDescent="0.3">
      <c r="B25" t="s">
        <v>4</v>
      </c>
      <c r="C25" t="s">
        <v>14</v>
      </c>
      <c r="D25" t="s">
        <v>19</v>
      </c>
      <c r="E25" s="1">
        <f>'raw data'!V15</f>
        <v>9.5797614236742788E-4</v>
      </c>
      <c r="F25" s="1">
        <f>'raw data'!V32</f>
        <v>1.4928444359286091E-3</v>
      </c>
      <c r="G25" s="1">
        <f>'raw data'!V49</f>
        <v>1.3365585345962911E-3</v>
      </c>
    </row>
    <row r="26" spans="2:7" x14ac:dyDescent="0.3">
      <c r="B26" t="s">
        <v>4</v>
      </c>
      <c r="C26" t="s">
        <v>15</v>
      </c>
      <c r="D26" t="s">
        <v>19</v>
      </c>
      <c r="E26" s="1">
        <f>'raw data'!V16</f>
        <v>3.0987615543418148E-4</v>
      </c>
      <c r="F26" s="1">
        <f>'raw data'!V33</f>
        <v>2.8378641580622139E-4</v>
      </c>
      <c r="G26" s="1">
        <f>'raw data'!V50</f>
        <v>2.7398007756483916E-4</v>
      </c>
    </row>
    <row r="27" spans="2:7" x14ac:dyDescent="0.3">
      <c r="B27" t="s">
        <v>4</v>
      </c>
      <c r="C27" t="s">
        <v>16</v>
      </c>
      <c r="D27" t="s">
        <v>19</v>
      </c>
      <c r="E27" s="1">
        <f>'raw data'!V17</f>
        <v>9.5846382143560725E-4</v>
      </c>
      <c r="F27" s="1">
        <f>'raw data'!V34</f>
        <v>7.6421482395201104E-4</v>
      </c>
      <c r="G27" s="1">
        <f>'raw data'!V51</f>
        <v>6.9771494972306787E-4</v>
      </c>
    </row>
    <row r="28" spans="2:7" x14ac:dyDescent="0.3">
      <c r="B28" t="s">
        <v>4</v>
      </c>
      <c r="C28" t="s">
        <v>17</v>
      </c>
      <c r="D28" t="s">
        <v>19</v>
      </c>
      <c r="E28" s="1">
        <f>'raw data'!V18</f>
        <v>9.5846382143560725E-4</v>
      </c>
      <c r="F28" s="1">
        <f>'raw data'!V35</f>
        <v>7.6421482395201104E-4</v>
      </c>
      <c r="G28" s="1">
        <f>'raw data'!V52</f>
        <v>6.9771494972306787E-4</v>
      </c>
    </row>
    <row r="29" spans="2:7" x14ac:dyDescent="0.3">
      <c r="B29" t="s">
        <v>4</v>
      </c>
      <c r="C29" t="s">
        <v>18</v>
      </c>
      <c r="D29" t="s">
        <v>19</v>
      </c>
      <c r="E29" s="1">
        <f>'raw data'!V19</f>
        <v>7.6563531875812165E-4</v>
      </c>
      <c r="F29" s="1">
        <f>'raw data'!V36</f>
        <v>6.6133010331900625E-4</v>
      </c>
      <c r="G29" s="1">
        <f>'raw data'!V53</f>
        <v>6.2905077655587747E-4</v>
      </c>
    </row>
    <row r="30" spans="2:7" x14ac:dyDescent="0.3">
      <c r="B30" t="s">
        <v>4</v>
      </c>
      <c r="C30" t="s">
        <v>5</v>
      </c>
      <c r="D30" t="s">
        <v>20</v>
      </c>
      <c r="E30" s="1">
        <f>'raw data'!W7</f>
        <v>1.5851326053946053E-3</v>
      </c>
      <c r="F30" s="1">
        <f>'raw data'!W24</f>
        <v>1.2764054034070415E-3</v>
      </c>
      <c r="G30" s="1">
        <f>'raw data'!W41</f>
        <v>1.1573467520933571E-3</v>
      </c>
    </row>
    <row r="31" spans="2:7" x14ac:dyDescent="0.3">
      <c r="B31" t="s">
        <v>4</v>
      </c>
      <c r="C31" t="s">
        <v>7</v>
      </c>
      <c r="D31" t="s">
        <v>20</v>
      </c>
      <c r="E31" s="1">
        <f>'raw data'!W8</f>
        <v>1.9445181986222347E-3</v>
      </c>
      <c r="F31" s="1">
        <f>'raw data'!W25</f>
        <v>1.5585772694503457E-3</v>
      </c>
      <c r="G31" s="1">
        <f>'raw data'!W42</f>
        <v>1.4080621969194496E-3</v>
      </c>
    </row>
    <row r="32" spans="2:7" x14ac:dyDescent="0.3">
      <c r="B32" t="s">
        <v>4</v>
      </c>
      <c r="C32" t="s">
        <v>8</v>
      </c>
      <c r="D32" t="s">
        <v>20</v>
      </c>
      <c r="E32" s="1">
        <f>'raw data'!W9</f>
        <v>1.5728886501896857E-3</v>
      </c>
      <c r="F32" s="1">
        <f>'raw data'!W26</f>
        <v>1.2584981109849129E-3</v>
      </c>
      <c r="G32" s="1">
        <f>'raw data'!W43</f>
        <v>1.1408935356247217E-3</v>
      </c>
    </row>
    <row r="33" spans="2:7" x14ac:dyDescent="0.3">
      <c r="B33" t="s">
        <v>4</v>
      </c>
      <c r="C33" t="s">
        <v>9</v>
      </c>
      <c r="D33" t="s">
        <v>20</v>
      </c>
      <c r="E33" s="1">
        <f>'raw data'!W10</f>
        <v>3.4366918498195343E-4</v>
      </c>
      <c r="F33" s="1">
        <f>'raw data'!W27</f>
        <v>2.9352347858503132E-4</v>
      </c>
      <c r="G33" s="1">
        <f>'raw data'!W44</f>
        <v>2.7947836910018753E-4</v>
      </c>
    </row>
    <row r="34" spans="2:7" x14ac:dyDescent="0.3">
      <c r="B34" t="s">
        <v>4</v>
      </c>
      <c r="C34" t="s">
        <v>10</v>
      </c>
      <c r="D34" t="s">
        <v>20</v>
      </c>
      <c r="E34" s="1">
        <f>'raw data'!W11</f>
        <v>7.745392237881128E-4</v>
      </c>
      <c r="F34" s="1">
        <f>'raw data'!W28</f>
        <v>6.3418448915709069E-4</v>
      </c>
      <c r="G34" s="1">
        <f>'raw data'!W45</f>
        <v>5.8818370160109627E-4</v>
      </c>
    </row>
    <row r="35" spans="2:7" x14ac:dyDescent="0.3">
      <c r="B35" t="s">
        <v>4</v>
      </c>
      <c r="C35" t="s">
        <v>11</v>
      </c>
      <c r="D35" t="s">
        <v>20</v>
      </c>
      <c r="E35" s="1">
        <f>'raw data'!W12</f>
        <v>8.2469307331372883E-4</v>
      </c>
      <c r="F35" s="1">
        <f>'raw data'!W29</f>
        <v>7.3741694488351633E-4</v>
      </c>
      <c r="G35" s="1">
        <f>'raw data'!W46</f>
        <v>7.0432113215694516E-4</v>
      </c>
    </row>
    <row r="36" spans="2:7" x14ac:dyDescent="0.3">
      <c r="B36" t="s">
        <v>4</v>
      </c>
      <c r="C36" t="s">
        <v>12</v>
      </c>
      <c r="D36" t="s">
        <v>20</v>
      </c>
      <c r="E36" s="1">
        <f>'raw data'!W13</f>
        <v>8.2469307331372883E-4</v>
      </c>
      <c r="F36" s="1">
        <f>'raw data'!W30</f>
        <v>7.3741694488351633E-4</v>
      </c>
      <c r="G36" s="1">
        <f>'raw data'!W47</f>
        <v>7.0432113215694516E-4</v>
      </c>
    </row>
    <row r="37" spans="2:7" x14ac:dyDescent="0.3">
      <c r="B37" t="s">
        <v>4</v>
      </c>
      <c r="C37" t="s">
        <v>13</v>
      </c>
      <c r="D37" t="s">
        <v>20</v>
      </c>
      <c r="E37" s="1">
        <f>'raw data'!W14</f>
        <v>3.4366918498195343E-4</v>
      </c>
      <c r="F37" s="1">
        <f>'raw data'!W31</f>
        <v>2.9352347858503132E-4</v>
      </c>
      <c r="G37" s="1">
        <f>'raw data'!W48</f>
        <v>2.7947836910018753E-4</v>
      </c>
    </row>
    <row r="38" spans="2:7" x14ac:dyDescent="0.3">
      <c r="B38" t="s">
        <v>4</v>
      </c>
      <c r="C38" t="s">
        <v>14</v>
      </c>
      <c r="D38" t="s">
        <v>20</v>
      </c>
      <c r="E38" s="1">
        <f>'raw data'!W15</f>
        <v>7.745392237881128E-4</v>
      </c>
      <c r="F38" s="1">
        <f>'raw data'!W32</f>
        <v>1.2584981109849129E-3</v>
      </c>
      <c r="G38" s="1">
        <f>'raw data'!W49</f>
        <v>1.1408935356247217E-3</v>
      </c>
    </row>
    <row r="39" spans="2:7" x14ac:dyDescent="0.3">
      <c r="B39" t="s">
        <v>4</v>
      </c>
      <c r="C39" t="s">
        <v>15</v>
      </c>
      <c r="D39" t="s">
        <v>20</v>
      </c>
      <c r="E39" s="1">
        <f>'raw data'!W16</f>
        <v>2.5019945207525575E-4</v>
      </c>
      <c r="F39" s="1">
        <f>'raw data'!W33</f>
        <v>2.302701215104061E-4</v>
      </c>
      <c r="G39" s="1">
        <f>'raw data'!W50</f>
        <v>2.2283751298287011E-4</v>
      </c>
    </row>
    <row r="40" spans="2:7" x14ac:dyDescent="0.3">
      <c r="B40" t="s">
        <v>4</v>
      </c>
      <c r="C40" t="s">
        <v>16</v>
      </c>
      <c r="D40" t="s">
        <v>20</v>
      </c>
      <c r="E40" s="1">
        <f>'raw data'!W17</f>
        <v>7.7493994545114499E-4</v>
      </c>
      <c r="F40" s="1">
        <f>'raw data'!W34</f>
        <v>6.3446478302144928E-4</v>
      </c>
      <c r="G40" s="1">
        <f>'raw data'!W51</f>
        <v>5.8841126838824311E-4</v>
      </c>
    </row>
    <row r="41" spans="2:7" x14ac:dyDescent="0.3">
      <c r="B41" t="s">
        <v>4</v>
      </c>
      <c r="C41" t="s">
        <v>17</v>
      </c>
      <c r="D41" t="s">
        <v>20</v>
      </c>
      <c r="E41" s="1">
        <f>'raw data'!W18</f>
        <v>7.7493994545114499E-4</v>
      </c>
      <c r="F41" s="1">
        <f>'raw data'!W35</f>
        <v>6.3446478302144928E-4</v>
      </c>
      <c r="G41" s="1">
        <f>'raw data'!W52</f>
        <v>5.8841126838824311E-4</v>
      </c>
    </row>
    <row r="42" spans="2:7" x14ac:dyDescent="0.3">
      <c r="B42" t="s">
        <v>4</v>
      </c>
      <c r="C42" t="s">
        <v>18</v>
      </c>
      <c r="D42" t="s">
        <v>20</v>
      </c>
      <c r="E42" s="1">
        <f>'raw data'!W19</f>
        <v>6.01442835969106E-4</v>
      </c>
      <c r="F42" s="1">
        <f>'raw data'!W36</f>
        <v>5.283611728024866E-4</v>
      </c>
      <c r="G42" s="1">
        <f>'raw data'!W53</f>
        <v>5.0801294791453957E-4</v>
      </c>
    </row>
    <row r="43" spans="2:7" x14ac:dyDescent="0.3">
      <c r="B43" t="s">
        <v>4</v>
      </c>
      <c r="C43" t="s">
        <v>5</v>
      </c>
      <c r="D43" t="s">
        <v>21</v>
      </c>
      <c r="E43" s="1">
        <f>'raw data'!X7</f>
        <v>9.122243198853415E-3</v>
      </c>
      <c r="F43" s="1">
        <f>'raw data'!X24</f>
        <v>6.5313910751637798E-3</v>
      </c>
      <c r="G43" s="1">
        <f>'raw data'!X41</f>
        <v>4.9282483091824406E-3</v>
      </c>
    </row>
    <row r="44" spans="2:7" x14ac:dyDescent="0.3">
      <c r="B44" t="s">
        <v>4</v>
      </c>
      <c r="C44" t="s">
        <v>7</v>
      </c>
      <c r="D44" t="s">
        <v>21</v>
      </c>
      <c r="E44" s="1">
        <f>'raw data'!X8</f>
        <v>1.3755735610943875E-2</v>
      </c>
      <c r="F44" s="1">
        <f>'raw data'!X25</f>
        <v>1.0628579985697623E-2</v>
      </c>
      <c r="G44" s="1">
        <f>'raw data'!X42</f>
        <v>7.6866905090672462E-3</v>
      </c>
    </row>
    <row r="45" spans="2:7" x14ac:dyDescent="0.3">
      <c r="B45" t="s">
        <v>4</v>
      </c>
      <c r="C45" t="s">
        <v>8</v>
      </c>
      <c r="D45" t="s">
        <v>21</v>
      </c>
      <c r="E45" s="1">
        <f>'raw data'!X9</f>
        <v>8.2049400049419123E-3</v>
      </c>
      <c r="F45" s="1">
        <f>'raw data'!X26</f>
        <v>5.6345631238893775E-3</v>
      </c>
      <c r="G45" s="1">
        <f>'raw data'!X43</f>
        <v>4.057920704170527E-3</v>
      </c>
    </row>
    <row r="46" spans="2:7" x14ac:dyDescent="0.3">
      <c r="B46" t="s">
        <v>4</v>
      </c>
      <c r="C46" t="s">
        <v>9</v>
      </c>
      <c r="D46" t="s">
        <v>21</v>
      </c>
      <c r="E46" s="1">
        <f>'raw data'!X10</f>
        <v>1.718041287175281E-3</v>
      </c>
      <c r="F46" s="1">
        <f>'raw data'!X27</f>
        <v>1.2857598414259389E-3</v>
      </c>
      <c r="G46" s="1">
        <f>'raw data'!X44</f>
        <v>1.0061994957515205E-3</v>
      </c>
    </row>
    <row r="47" spans="2:7" x14ac:dyDescent="0.3">
      <c r="B47" t="s">
        <v>4</v>
      </c>
      <c r="C47" t="s">
        <v>10</v>
      </c>
      <c r="D47" t="s">
        <v>21</v>
      </c>
      <c r="E47" s="1">
        <f>'raw data'!X11</f>
        <v>4.078791899867879E-3</v>
      </c>
      <c r="F47" s="1">
        <f>'raw data'!X28</f>
        <v>2.9664139223508695E-3</v>
      </c>
      <c r="G47" s="1">
        <f>'raw data'!X45</f>
        <v>2.2650893016569018E-3</v>
      </c>
    </row>
    <row r="48" spans="2:7" x14ac:dyDescent="0.3">
      <c r="B48" t="s">
        <v>4</v>
      </c>
      <c r="C48" t="s">
        <v>11</v>
      </c>
      <c r="D48" t="s">
        <v>21</v>
      </c>
      <c r="E48" s="1">
        <f>'raw data'!X12</f>
        <v>4.655292686178464E-3</v>
      </c>
      <c r="F48" s="1">
        <f>'raw data'!X29</f>
        <v>4.0078093296952904E-3</v>
      </c>
      <c r="G48" s="1">
        <f>'raw data'!X46</f>
        <v>3.6071232071046371E-3</v>
      </c>
    </row>
    <row r="49" spans="2:7" x14ac:dyDescent="0.3">
      <c r="B49" t="s">
        <v>4</v>
      </c>
      <c r="C49" t="s">
        <v>12</v>
      </c>
      <c r="D49" t="s">
        <v>21</v>
      </c>
      <c r="E49" s="1">
        <f>'raw data'!X13</f>
        <v>4.655292686178464E-3</v>
      </c>
      <c r="F49" s="1">
        <f>'raw data'!X30</f>
        <v>4.0078093296952904E-3</v>
      </c>
      <c r="G49" s="1">
        <f>'raw data'!X47</f>
        <v>3.6071232071046371E-3</v>
      </c>
    </row>
    <row r="50" spans="2:7" x14ac:dyDescent="0.3">
      <c r="B50" t="s">
        <v>4</v>
      </c>
      <c r="C50" t="s">
        <v>13</v>
      </c>
      <c r="D50" t="s">
        <v>21</v>
      </c>
      <c r="E50" s="1">
        <f>'raw data'!X14</f>
        <v>1.718041287175281E-3</v>
      </c>
      <c r="F50" s="1">
        <f>'raw data'!X31</f>
        <v>1.2857598414259389E-3</v>
      </c>
      <c r="G50" s="1">
        <f>'raw data'!X48</f>
        <v>1.0061994957515205E-3</v>
      </c>
    </row>
    <row r="51" spans="2:7" x14ac:dyDescent="0.3">
      <c r="B51" t="s">
        <v>4</v>
      </c>
      <c r="C51" t="s">
        <v>14</v>
      </c>
      <c r="D51" t="s">
        <v>21</v>
      </c>
      <c r="E51" s="1">
        <f>'raw data'!X15</f>
        <v>4.078791899867879E-3</v>
      </c>
      <c r="F51" s="1">
        <f>'raw data'!X32</f>
        <v>5.6345631238893775E-3</v>
      </c>
      <c r="G51" s="1">
        <f>'raw data'!X49</f>
        <v>4.057920704170527E-3</v>
      </c>
    </row>
    <row r="52" spans="2:7" x14ac:dyDescent="0.3">
      <c r="B52" t="s">
        <v>4</v>
      </c>
      <c r="C52" t="s">
        <v>15</v>
      </c>
      <c r="D52" t="s">
        <v>21</v>
      </c>
      <c r="E52" s="1">
        <f>'raw data'!X16</f>
        <v>9.9865378862534532E-4</v>
      </c>
      <c r="F52" s="1">
        <f>'raw data'!X33</f>
        <v>8.2992154061529511E-4</v>
      </c>
      <c r="G52" s="1">
        <f>'raw data'!X50</f>
        <v>7.2742261057504064E-4</v>
      </c>
    </row>
    <row r="53" spans="2:7" x14ac:dyDescent="0.3">
      <c r="B53" t="s">
        <v>4</v>
      </c>
      <c r="C53" t="s">
        <v>16</v>
      </c>
      <c r="D53" t="s">
        <v>21</v>
      </c>
      <c r="E53" s="1">
        <f>'raw data'!X17</f>
        <v>4.0808154407331989E-3</v>
      </c>
      <c r="F53" s="1">
        <f>'raw data'!X34</f>
        <v>2.9677963994907738E-3</v>
      </c>
      <c r="G53" s="1">
        <f>'raw data'!X51</f>
        <v>2.2661156979245783E-3</v>
      </c>
    </row>
    <row r="54" spans="2:7" x14ac:dyDescent="0.3">
      <c r="B54" t="s">
        <v>4</v>
      </c>
      <c r="C54" t="s">
        <v>17</v>
      </c>
      <c r="D54" t="s">
        <v>21</v>
      </c>
      <c r="E54" s="1">
        <f>'raw data'!X18</f>
        <v>4.0808154407331989E-3</v>
      </c>
      <c r="F54" s="1">
        <f>'raw data'!X35</f>
        <v>2.9677963994907738E-3</v>
      </c>
      <c r="G54" s="1">
        <f>'raw data'!X52</f>
        <v>2.2661156979245783E-3</v>
      </c>
    </row>
    <row r="55" spans="2:7" x14ac:dyDescent="0.3">
      <c r="B55" t="s">
        <v>4</v>
      </c>
      <c r="C55" t="s">
        <v>18</v>
      </c>
      <c r="D55" t="s">
        <v>21</v>
      </c>
      <c r="E55" s="1">
        <f>'raw data'!X19</f>
        <v>2.6525539991795626E-3</v>
      </c>
      <c r="F55" s="1">
        <f>'raw data'!X36</f>
        <v>2.0236359074896552E-3</v>
      </c>
      <c r="G55" s="1">
        <f>'raw data'!X53</f>
        <v>1.6159338689826085E-3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678E-FEA8-45EC-AE22-29450A3CB47F}">
  <dimension ref="A1:AH53"/>
  <sheetViews>
    <sheetView topLeftCell="H25" workbookViewId="0">
      <selection activeCell="R6" sqref="R6:X19"/>
    </sheetView>
  </sheetViews>
  <sheetFormatPr defaultRowHeight="14.4" x14ac:dyDescent="0.3"/>
  <cols>
    <col min="2" max="3" width="15.6640625" customWidth="1"/>
    <col min="4" max="15" width="9" bestFit="1" customWidth="1"/>
    <col min="18" max="18" width="9" bestFit="1" customWidth="1"/>
    <col min="19" max="19" width="10.109375" bestFit="1" customWidth="1"/>
    <col min="20" max="21" width="11" bestFit="1" customWidth="1"/>
  </cols>
  <sheetData>
    <row r="1" spans="1:34" x14ac:dyDescent="0.3">
      <c r="D1" s="2"/>
    </row>
    <row r="2" spans="1:34" x14ac:dyDescent="0.3">
      <c r="D2" s="2"/>
    </row>
    <row r="3" spans="1:34" x14ac:dyDescent="0.3">
      <c r="D3" s="2"/>
    </row>
    <row r="4" spans="1:34" ht="15.6" x14ac:dyDescent="0.3">
      <c r="A4" s="3" t="s">
        <v>22</v>
      </c>
      <c r="D4" s="2"/>
    </row>
    <row r="5" spans="1:34" x14ac:dyDescent="0.3">
      <c r="D5" s="2"/>
      <c r="R5">
        <v>2010</v>
      </c>
    </row>
    <row r="6" spans="1:34" ht="27" thickBot="1" x14ac:dyDescent="0.35">
      <c r="B6" s="4"/>
      <c r="C6" s="5" t="s">
        <v>5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R6" s="4"/>
      <c r="S6" s="6" t="s">
        <v>23</v>
      </c>
      <c r="T6" s="9" t="s">
        <v>24</v>
      </c>
      <c r="U6" s="11" t="s">
        <v>6</v>
      </c>
      <c r="V6" s="11" t="s">
        <v>19</v>
      </c>
      <c r="W6" s="11" t="s">
        <v>20</v>
      </c>
      <c r="X6" s="11" t="s">
        <v>21</v>
      </c>
    </row>
    <row r="7" spans="1:34" ht="15" thickBot="1" x14ac:dyDescent="0.35">
      <c r="B7" s="6" t="s">
        <v>23</v>
      </c>
      <c r="C7" s="7" t="s">
        <v>26</v>
      </c>
      <c r="D7" s="7" t="s">
        <v>27</v>
      </c>
      <c r="E7" s="7" t="s">
        <v>28</v>
      </c>
      <c r="F7" s="7" t="s">
        <v>29</v>
      </c>
      <c r="G7" s="7" t="s">
        <v>30</v>
      </c>
      <c r="H7" s="7" t="s">
        <v>31</v>
      </c>
      <c r="I7" s="7" t="s">
        <v>32</v>
      </c>
      <c r="J7" s="7" t="s">
        <v>33</v>
      </c>
      <c r="K7" s="7" t="s">
        <v>34</v>
      </c>
      <c r="L7" s="7" t="s">
        <v>35</v>
      </c>
      <c r="M7" s="7" t="s">
        <v>36</v>
      </c>
      <c r="N7" s="7" t="s">
        <v>37</v>
      </c>
      <c r="O7" s="7" t="s">
        <v>38</v>
      </c>
      <c r="Q7" s="13"/>
      <c r="R7" s="5" t="s">
        <v>5</v>
      </c>
      <c r="S7" s="7" t="s">
        <v>26</v>
      </c>
      <c r="T7" s="10" t="s">
        <v>25</v>
      </c>
      <c r="U7" s="12">
        <v>1.5043975988076401E-2</v>
      </c>
      <c r="V7" s="12">
        <v>1.9239011279177632E-3</v>
      </c>
      <c r="W7" s="12">
        <v>1.5851326053946053E-3</v>
      </c>
      <c r="X7" s="12">
        <v>9.122243198853415E-3</v>
      </c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s="8" customFormat="1" ht="15" thickBot="1" x14ac:dyDescent="0.35">
      <c r="B8" s="9" t="s">
        <v>24</v>
      </c>
      <c r="C8" s="10" t="s">
        <v>25</v>
      </c>
      <c r="D8" s="10" t="s">
        <v>25</v>
      </c>
      <c r="E8" s="10" t="s">
        <v>25</v>
      </c>
      <c r="F8" s="10" t="s">
        <v>25</v>
      </c>
      <c r="G8" s="10" t="s">
        <v>25</v>
      </c>
      <c r="H8" s="10" t="s">
        <v>25</v>
      </c>
      <c r="I8" s="10" t="s">
        <v>25</v>
      </c>
      <c r="J8" s="10" t="s">
        <v>25</v>
      </c>
      <c r="K8" s="10" t="s">
        <v>25</v>
      </c>
      <c r="L8" s="10" t="s">
        <v>25</v>
      </c>
      <c r="M8" s="10" t="s">
        <v>25</v>
      </c>
      <c r="N8" s="10" t="s">
        <v>25</v>
      </c>
      <c r="O8" s="10" t="s">
        <v>25</v>
      </c>
      <c r="Q8" s="13"/>
      <c r="R8" t="s">
        <v>7</v>
      </c>
      <c r="S8" s="7" t="s">
        <v>27</v>
      </c>
      <c r="T8" s="10" t="s">
        <v>25</v>
      </c>
      <c r="U8" s="12">
        <v>2.1956426139731151E-2</v>
      </c>
      <c r="V8" s="12">
        <v>2.9977951530469572E-3</v>
      </c>
      <c r="W8" s="12">
        <v>1.9445181986222347E-3</v>
      </c>
      <c r="X8" s="12">
        <v>1.3755735610943875E-2</v>
      </c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ht="15" thickBot="1" x14ac:dyDescent="0.35">
      <c r="A9">
        <v>2010</v>
      </c>
      <c r="B9" s="11" t="s">
        <v>6</v>
      </c>
      <c r="C9" s="12">
        <v>1.5043975988076401E-2</v>
      </c>
      <c r="D9" s="12">
        <v>2.1956426139731151E-2</v>
      </c>
      <c r="E9" s="12">
        <v>1.5839294872538073E-2</v>
      </c>
      <c r="F9" s="12">
        <v>2.9131506186840504E-3</v>
      </c>
      <c r="G9" s="12">
        <v>8.3160461798210301E-3</v>
      </c>
      <c r="H9" s="12">
        <v>8.8888596383170562E-3</v>
      </c>
      <c r="I9" s="12">
        <v>8.8888596383170562E-3</v>
      </c>
      <c r="J9" s="12">
        <v>2.9131506186840504E-3</v>
      </c>
      <c r="K9" s="12">
        <v>8.3160461798210301E-3</v>
      </c>
      <c r="L9" s="12">
        <v>1.8106870033963312E-3</v>
      </c>
      <c r="M9" s="12">
        <v>8.3249264378304124E-3</v>
      </c>
      <c r="N9" s="12">
        <v>8.3249264378304124E-3</v>
      </c>
      <c r="O9" s="12">
        <v>4.8614015458222455E-3</v>
      </c>
      <c r="Q9" s="13"/>
      <c r="R9" t="s">
        <v>8</v>
      </c>
      <c r="S9" s="7" t="s">
        <v>28</v>
      </c>
      <c r="T9" s="10" t="s">
        <v>25</v>
      </c>
      <c r="U9" s="12">
        <v>1.5839294872538073E-2</v>
      </c>
      <c r="V9" s="12">
        <v>1.9070258199396157E-3</v>
      </c>
      <c r="W9" s="12">
        <v>1.5728886501896857E-3</v>
      </c>
      <c r="X9" s="12">
        <v>8.2049400049419123E-3</v>
      </c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5" thickBot="1" x14ac:dyDescent="0.35">
      <c r="A10">
        <v>2010</v>
      </c>
      <c r="B10" s="11" t="s">
        <v>19</v>
      </c>
      <c r="C10" s="12">
        <v>1.9239011279177632E-3</v>
      </c>
      <c r="D10" s="12">
        <v>2.9977951530469572E-3</v>
      </c>
      <c r="E10" s="12">
        <v>1.9070258199396157E-3</v>
      </c>
      <c r="F10" s="12">
        <v>4.227423040343E-4</v>
      </c>
      <c r="G10" s="12">
        <v>9.5797614236742788E-4</v>
      </c>
      <c r="H10" s="12">
        <v>9.5653565637687972E-4</v>
      </c>
      <c r="I10" s="12">
        <v>9.5653565637687972E-4</v>
      </c>
      <c r="J10" s="12">
        <v>4.227423040343E-4</v>
      </c>
      <c r="K10" s="12">
        <v>9.5797614236742788E-4</v>
      </c>
      <c r="L10" s="12">
        <v>3.0987615543418148E-4</v>
      </c>
      <c r="M10" s="12">
        <v>9.5846382143560725E-4</v>
      </c>
      <c r="N10" s="12">
        <v>9.5846382143560725E-4</v>
      </c>
      <c r="O10" s="12">
        <v>7.6563531875812165E-4</v>
      </c>
      <c r="R10" t="s">
        <v>9</v>
      </c>
      <c r="S10" s="7" t="s">
        <v>29</v>
      </c>
      <c r="T10" s="10" t="s">
        <v>25</v>
      </c>
      <c r="U10" s="12">
        <v>2.9131506186840504E-3</v>
      </c>
      <c r="V10" s="12">
        <v>4.227423040343E-4</v>
      </c>
      <c r="W10" s="12">
        <v>3.4366918498195343E-4</v>
      </c>
      <c r="X10" s="12">
        <v>1.718041287175281E-3</v>
      </c>
    </row>
    <row r="11" spans="1:34" ht="15" thickBot="1" x14ac:dyDescent="0.35">
      <c r="A11">
        <v>2010</v>
      </c>
      <c r="B11" s="11" t="s">
        <v>20</v>
      </c>
      <c r="C11" s="12">
        <v>1.5851326053946053E-3</v>
      </c>
      <c r="D11" s="12">
        <v>1.9445181986222347E-3</v>
      </c>
      <c r="E11" s="12">
        <v>1.5728886501896857E-3</v>
      </c>
      <c r="F11" s="12">
        <v>3.4366918498195343E-4</v>
      </c>
      <c r="G11" s="12">
        <v>7.745392237881128E-4</v>
      </c>
      <c r="H11" s="12">
        <v>8.2469307331372883E-4</v>
      </c>
      <c r="I11" s="12">
        <v>8.2469307331372883E-4</v>
      </c>
      <c r="J11" s="12">
        <v>3.4366918498195343E-4</v>
      </c>
      <c r="K11" s="12">
        <v>7.745392237881128E-4</v>
      </c>
      <c r="L11" s="12">
        <v>2.5019945207525575E-4</v>
      </c>
      <c r="M11" s="12">
        <v>7.7493994545114499E-4</v>
      </c>
      <c r="N11" s="12">
        <v>7.7493994545114499E-4</v>
      </c>
      <c r="O11" s="12">
        <v>6.01442835969106E-4</v>
      </c>
      <c r="R11" t="s">
        <v>10</v>
      </c>
      <c r="S11" s="7" t="s">
        <v>30</v>
      </c>
      <c r="T11" s="10" t="s">
        <v>25</v>
      </c>
      <c r="U11" s="12">
        <v>8.3160461798210301E-3</v>
      </c>
      <c r="V11" s="12">
        <v>9.5797614236742788E-4</v>
      </c>
      <c r="W11" s="12">
        <v>7.745392237881128E-4</v>
      </c>
      <c r="X11" s="12">
        <v>4.078791899867879E-3</v>
      </c>
    </row>
    <row r="12" spans="1:34" ht="15" thickBot="1" x14ac:dyDescent="0.35">
      <c r="A12">
        <v>2010</v>
      </c>
      <c r="B12" s="11" t="s">
        <v>21</v>
      </c>
      <c r="C12" s="12">
        <v>9.122243198853415E-3</v>
      </c>
      <c r="D12" s="12">
        <v>1.3755735610943875E-2</v>
      </c>
      <c r="E12" s="12">
        <v>8.2049400049419123E-3</v>
      </c>
      <c r="F12" s="12">
        <v>1.718041287175281E-3</v>
      </c>
      <c r="G12" s="12">
        <v>4.078791899867879E-3</v>
      </c>
      <c r="H12" s="12">
        <v>4.655292686178464E-3</v>
      </c>
      <c r="I12" s="12">
        <v>4.655292686178464E-3</v>
      </c>
      <c r="J12" s="12">
        <v>1.718041287175281E-3</v>
      </c>
      <c r="K12" s="12">
        <v>4.078791899867879E-3</v>
      </c>
      <c r="L12" s="12">
        <v>9.9865378862534532E-4</v>
      </c>
      <c r="M12" s="12">
        <v>4.0808154407331989E-3</v>
      </c>
      <c r="N12" s="12">
        <v>4.0808154407331989E-3</v>
      </c>
      <c r="O12" s="12">
        <v>2.6525539991795626E-3</v>
      </c>
      <c r="Q12" s="8"/>
      <c r="R12" t="s">
        <v>11</v>
      </c>
      <c r="S12" s="7" t="s">
        <v>31</v>
      </c>
      <c r="T12" s="10" t="s">
        <v>25</v>
      </c>
      <c r="U12" s="12">
        <v>8.8888596383170562E-3</v>
      </c>
      <c r="V12" s="12">
        <v>9.5653565637687972E-4</v>
      </c>
      <c r="W12" s="12">
        <v>8.2469307331372883E-4</v>
      </c>
      <c r="X12" s="12">
        <v>4.655292686178464E-3</v>
      </c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15" thickBot="1" x14ac:dyDescent="0.35">
      <c r="R13" t="s">
        <v>12</v>
      </c>
      <c r="S13" s="7" t="s">
        <v>32</v>
      </c>
      <c r="T13" s="10" t="s">
        <v>25</v>
      </c>
      <c r="U13" s="12">
        <v>8.8888596383170562E-3</v>
      </c>
      <c r="V13" s="12">
        <v>9.5653565637687972E-4</v>
      </c>
      <c r="W13" s="12">
        <v>8.2469307331372883E-4</v>
      </c>
      <c r="X13" s="12">
        <v>4.655292686178464E-3</v>
      </c>
    </row>
    <row r="14" spans="1:34" ht="15" thickBot="1" x14ac:dyDescent="0.35">
      <c r="B14" s="4"/>
      <c r="C14" s="5" t="s">
        <v>5</v>
      </c>
      <c r="D14" t="s">
        <v>7</v>
      </c>
      <c r="E14" t="s">
        <v>8</v>
      </c>
      <c r="F14" t="s">
        <v>9</v>
      </c>
      <c r="G14" t="s">
        <v>10</v>
      </c>
      <c r="H14" t="s">
        <v>11</v>
      </c>
      <c r="I14" t="s">
        <v>12</v>
      </c>
      <c r="J14" t="s">
        <v>13</v>
      </c>
      <c r="K14" t="s">
        <v>14</v>
      </c>
      <c r="L14" t="s">
        <v>15</v>
      </c>
      <c r="M14" t="s">
        <v>16</v>
      </c>
      <c r="N14" t="s">
        <v>17</v>
      </c>
      <c r="O14" t="s">
        <v>18</v>
      </c>
      <c r="R14" t="s">
        <v>13</v>
      </c>
      <c r="S14" s="7" t="s">
        <v>33</v>
      </c>
      <c r="T14" s="10" t="s">
        <v>25</v>
      </c>
      <c r="U14" s="12">
        <v>2.9131506186840504E-3</v>
      </c>
      <c r="V14" s="12">
        <v>4.227423040343E-4</v>
      </c>
      <c r="W14" s="12">
        <v>3.4366918498195343E-4</v>
      </c>
      <c r="X14" s="12">
        <v>1.718041287175281E-3</v>
      </c>
    </row>
    <row r="15" spans="1:34" ht="15" thickBot="1" x14ac:dyDescent="0.35">
      <c r="B15" s="6" t="s">
        <v>23</v>
      </c>
      <c r="C15" s="7" t="s">
        <v>39</v>
      </c>
      <c r="D15" s="7" t="s">
        <v>40</v>
      </c>
      <c r="E15" s="7" t="s">
        <v>41</v>
      </c>
      <c r="F15" s="7" t="s">
        <v>42</v>
      </c>
      <c r="G15" s="7" t="s">
        <v>43</v>
      </c>
      <c r="H15" s="7" t="s">
        <v>44</v>
      </c>
      <c r="I15" s="7" t="s">
        <v>45</v>
      </c>
      <c r="J15" s="7" t="s">
        <v>46</v>
      </c>
      <c r="K15" s="7" t="s">
        <v>47</v>
      </c>
      <c r="L15" s="7" t="s">
        <v>48</v>
      </c>
      <c r="M15" s="7" t="s">
        <v>49</v>
      </c>
      <c r="N15" s="7" t="s">
        <v>50</v>
      </c>
      <c r="O15" s="7" t="s">
        <v>51</v>
      </c>
      <c r="R15" t="s">
        <v>14</v>
      </c>
      <c r="S15" s="7" t="s">
        <v>34</v>
      </c>
      <c r="T15" s="10" t="s">
        <v>25</v>
      </c>
      <c r="U15" s="12">
        <v>8.3160461798210301E-3</v>
      </c>
      <c r="V15" s="12">
        <v>9.5797614236742788E-4</v>
      </c>
      <c r="W15" s="12">
        <v>7.745392237881128E-4</v>
      </c>
      <c r="X15" s="12">
        <v>4.078791899867879E-3</v>
      </c>
    </row>
    <row r="16" spans="1:34" s="8" customFormat="1" ht="15" thickBot="1" x14ac:dyDescent="0.35">
      <c r="B16" s="9" t="s">
        <v>24</v>
      </c>
      <c r="C16" s="10" t="s">
        <v>25</v>
      </c>
      <c r="D16" s="10" t="s">
        <v>25</v>
      </c>
      <c r="E16" s="10" t="s">
        <v>25</v>
      </c>
      <c r="F16" s="10" t="s">
        <v>25</v>
      </c>
      <c r="G16" s="10" t="s">
        <v>25</v>
      </c>
      <c r="H16" s="10" t="s">
        <v>25</v>
      </c>
      <c r="I16" s="10" t="s">
        <v>25</v>
      </c>
      <c r="J16" s="10" t="s">
        <v>25</v>
      </c>
      <c r="K16" s="10" t="s">
        <v>25</v>
      </c>
      <c r="L16" s="10" t="s">
        <v>25</v>
      </c>
      <c r="M16" s="10" t="s">
        <v>25</v>
      </c>
      <c r="N16" s="10" t="s">
        <v>25</v>
      </c>
      <c r="O16" s="10" t="s">
        <v>25</v>
      </c>
      <c r="Q16"/>
      <c r="R16" t="s">
        <v>15</v>
      </c>
      <c r="S16" s="7" t="s">
        <v>35</v>
      </c>
      <c r="T16" s="10" t="s">
        <v>25</v>
      </c>
      <c r="U16" s="12">
        <v>1.8106870033963312E-3</v>
      </c>
      <c r="V16" s="12">
        <v>3.0987615543418148E-4</v>
      </c>
      <c r="W16" s="12">
        <v>2.5019945207525575E-4</v>
      </c>
      <c r="X16" s="12">
        <v>9.9865378862534532E-4</v>
      </c>
      <c r="Y16"/>
      <c r="Z16"/>
      <c r="AA16"/>
      <c r="AB16"/>
      <c r="AC16"/>
      <c r="AD16"/>
      <c r="AE16"/>
      <c r="AF16"/>
      <c r="AG16"/>
      <c r="AH16"/>
    </row>
    <row r="17" spans="1:34" ht="15" thickBot="1" x14ac:dyDescent="0.35">
      <c r="A17">
        <v>2015</v>
      </c>
      <c r="B17" s="11" t="s">
        <v>6</v>
      </c>
      <c r="C17" s="12">
        <v>1.2121795351155687E-2</v>
      </c>
      <c r="D17" s="12">
        <v>1.82298941239647E-2</v>
      </c>
      <c r="E17" s="12">
        <v>1.2973180638091936E-2</v>
      </c>
      <c r="F17" s="12">
        <v>2.5959115314870651E-3</v>
      </c>
      <c r="G17" s="12">
        <v>7.1873929749777044E-3</v>
      </c>
      <c r="H17" s="12">
        <v>8.0016242893436538E-3</v>
      </c>
      <c r="I17" s="12">
        <v>8.0016242893436538E-3</v>
      </c>
      <c r="J17" s="12">
        <v>2.5959115314870651E-3</v>
      </c>
      <c r="K17" s="12">
        <v>1.2973180638091936E-2</v>
      </c>
      <c r="L17" s="12">
        <v>1.6301768480166611E-3</v>
      </c>
      <c r="M17" s="12">
        <v>7.1946938981165337E-3</v>
      </c>
      <c r="N17" s="12">
        <v>7.1946938981165337E-3</v>
      </c>
      <c r="O17" s="12">
        <v>4.3852208963523044E-3</v>
      </c>
      <c r="R17" t="s">
        <v>16</v>
      </c>
      <c r="S17" s="7" t="s">
        <v>36</v>
      </c>
      <c r="T17" s="10" t="s">
        <v>25</v>
      </c>
      <c r="U17" s="12">
        <v>8.3249264378304124E-3</v>
      </c>
      <c r="V17" s="12">
        <v>9.5846382143560725E-4</v>
      </c>
      <c r="W17" s="12">
        <v>7.7493994545114499E-4</v>
      </c>
      <c r="X17" s="12">
        <v>4.0808154407331989E-3</v>
      </c>
    </row>
    <row r="18" spans="1:34" ht="15" thickBot="1" x14ac:dyDescent="0.35">
      <c r="A18">
        <v>2015</v>
      </c>
      <c r="B18" s="11" t="s">
        <v>19</v>
      </c>
      <c r="C18" s="12">
        <v>1.5144385525198139E-3</v>
      </c>
      <c r="D18" s="12">
        <v>2.4431778538290343E-3</v>
      </c>
      <c r="E18" s="12">
        <v>1.4928444359286091E-3</v>
      </c>
      <c r="F18" s="12">
        <v>3.5096749111780353E-4</v>
      </c>
      <c r="G18" s="12">
        <v>7.6387953952104706E-4</v>
      </c>
      <c r="H18" s="12">
        <v>8.4030061386020094E-4</v>
      </c>
      <c r="I18" s="12">
        <v>8.4030061386020094E-4</v>
      </c>
      <c r="J18" s="12">
        <v>3.5096749111780353E-4</v>
      </c>
      <c r="K18" s="12">
        <v>1.4928444359286091E-3</v>
      </c>
      <c r="L18" s="12">
        <v>2.8378641580622139E-4</v>
      </c>
      <c r="M18" s="12">
        <v>7.6421482395201104E-4</v>
      </c>
      <c r="N18" s="12">
        <v>7.6421482395201104E-4</v>
      </c>
      <c r="O18" s="12">
        <v>6.6133010331900625E-4</v>
      </c>
      <c r="R18" t="s">
        <v>17</v>
      </c>
      <c r="S18" s="7" t="s">
        <v>37</v>
      </c>
      <c r="T18" s="10" t="s">
        <v>25</v>
      </c>
      <c r="U18" s="12">
        <v>8.3249264378304124E-3</v>
      </c>
      <c r="V18" s="12">
        <v>9.5846382143560725E-4</v>
      </c>
      <c r="W18" s="12">
        <v>7.7493994545114499E-4</v>
      </c>
      <c r="X18" s="12">
        <v>4.0808154407331989E-3</v>
      </c>
    </row>
    <row r="19" spans="1:34" ht="15" thickBot="1" x14ac:dyDescent="0.35">
      <c r="A19">
        <v>2015</v>
      </c>
      <c r="B19" s="11" t="s">
        <v>20</v>
      </c>
      <c r="C19" s="12">
        <v>1.2764054034070415E-3</v>
      </c>
      <c r="D19" s="12">
        <v>1.5585772694503457E-3</v>
      </c>
      <c r="E19" s="12">
        <v>1.2584981109849129E-3</v>
      </c>
      <c r="F19" s="12">
        <v>2.9352347858503132E-4</v>
      </c>
      <c r="G19" s="12">
        <v>6.3418448915709069E-4</v>
      </c>
      <c r="H19" s="12">
        <v>7.3741694488351633E-4</v>
      </c>
      <c r="I19" s="12">
        <v>7.3741694488351633E-4</v>
      </c>
      <c r="J19" s="12">
        <v>2.9352347858503132E-4</v>
      </c>
      <c r="K19" s="12">
        <v>1.2584981109849129E-3</v>
      </c>
      <c r="L19" s="12">
        <v>2.302701215104061E-4</v>
      </c>
      <c r="M19" s="12">
        <v>6.3446478302144928E-4</v>
      </c>
      <c r="N19" s="12">
        <v>6.3446478302144928E-4</v>
      </c>
      <c r="O19" s="12">
        <v>5.283611728024866E-4</v>
      </c>
      <c r="R19" t="s">
        <v>18</v>
      </c>
      <c r="S19" s="7" t="s">
        <v>38</v>
      </c>
      <c r="T19" s="10" t="s">
        <v>25</v>
      </c>
      <c r="U19" s="12">
        <v>4.8614015458222455E-3</v>
      </c>
      <c r="V19" s="12">
        <v>7.6563531875812165E-4</v>
      </c>
      <c r="W19" s="12">
        <v>6.01442835969106E-4</v>
      </c>
      <c r="X19" s="12">
        <v>2.6525539991795626E-3</v>
      </c>
    </row>
    <row r="20" spans="1:34" x14ac:dyDescent="0.3">
      <c r="A20">
        <v>2015</v>
      </c>
      <c r="B20" s="11" t="s">
        <v>21</v>
      </c>
      <c r="C20" s="12">
        <v>6.5313910751637798E-3</v>
      </c>
      <c r="D20" s="12">
        <v>1.0628579985697623E-2</v>
      </c>
      <c r="E20" s="12">
        <v>5.6345631238893775E-3</v>
      </c>
      <c r="F20" s="12">
        <v>1.2857598414259389E-3</v>
      </c>
      <c r="G20" s="12">
        <v>2.9664139223508695E-3</v>
      </c>
      <c r="H20" s="12">
        <v>4.0078093296952904E-3</v>
      </c>
      <c r="I20" s="12">
        <v>4.0078093296952904E-3</v>
      </c>
      <c r="J20" s="12">
        <v>1.2857598414259389E-3</v>
      </c>
      <c r="K20" s="12">
        <v>5.6345631238893775E-3</v>
      </c>
      <c r="L20" s="12">
        <v>8.2992154061529511E-4</v>
      </c>
      <c r="M20" s="12">
        <v>2.9677963994907738E-3</v>
      </c>
      <c r="N20" s="12">
        <v>2.9677963994907738E-3</v>
      </c>
      <c r="O20" s="12">
        <v>2.0236359074896552E-3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2" spans="1:34" x14ac:dyDescent="0.3">
      <c r="B22" s="4"/>
      <c r="C22" s="5" t="s">
        <v>5</v>
      </c>
      <c r="D22" t="s">
        <v>7</v>
      </c>
      <c r="E22" t="s">
        <v>8</v>
      </c>
      <c r="F22" t="s">
        <v>9</v>
      </c>
      <c r="G22" t="s">
        <v>10</v>
      </c>
      <c r="H22" t="s">
        <v>11</v>
      </c>
      <c r="I22" t="s">
        <v>12</v>
      </c>
      <c r="J22" t="s">
        <v>13</v>
      </c>
      <c r="K22" t="s">
        <v>14</v>
      </c>
      <c r="L22" t="s">
        <v>15</v>
      </c>
      <c r="M22" t="s">
        <v>16</v>
      </c>
      <c r="N22" t="s">
        <v>17</v>
      </c>
      <c r="O22" t="s">
        <v>18</v>
      </c>
      <c r="R22">
        <v>2015</v>
      </c>
    </row>
    <row r="23" spans="1:34" ht="27" thickBot="1" x14ac:dyDescent="0.35">
      <c r="B23" s="6" t="s">
        <v>23</v>
      </c>
      <c r="C23" s="7" t="s">
        <v>52</v>
      </c>
      <c r="D23" s="7" t="s">
        <v>53</v>
      </c>
      <c r="E23" s="7" t="s">
        <v>54</v>
      </c>
      <c r="F23" s="7" t="s">
        <v>55</v>
      </c>
      <c r="G23" s="7" t="s">
        <v>56</v>
      </c>
      <c r="H23" s="7" t="s">
        <v>57</v>
      </c>
      <c r="I23" s="7" t="s">
        <v>58</v>
      </c>
      <c r="J23" s="7" t="s">
        <v>59</v>
      </c>
      <c r="K23" s="7" t="s">
        <v>60</v>
      </c>
      <c r="L23" s="7" t="s">
        <v>61</v>
      </c>
      <c r="M23" s="7" t="s">
        <v>62</v>
      </c>
      <c r="N23" s="7" t="s">
        <v>63</v>
      </c>
      <c r="O23" s="7" t="s">
        <v>64</v>
      </c>
      <c r="R23" s="4"/>
      <c r="S23" s="6" t="s">
        <v>23</v>
      </c>
      <c r="T23" s="9" t="s">
        <v>24</v>
      </c>
      <c r="U23" s="11" t="s">
        <v>6</v>
      </c>
      <c r="V23" s="11" t="s">
        <v>19</v>
      </c>
      <c r="W23" s="11" t="s">
        <v>20</v>
      </c>
      <c r="X23" s="11" t="s">
        <v>21</v>
      </c>
    </row>
    <row r="24" spans="1:34" s="8" customFormat="1" ht="15" thickBot="1" x14ac:dyDescent="0.35">
      <c r="B24" s="9" t="s">
        <v>24</v>
      </c>
      <c r="C24" s="10" t="s">
        <v>25</v>
      </c>
      <c r="D24" s="10" t="s">
        <v>25</v>
      </c>
      <c r="E24" s="10" t="s">
        <v>25</v>
      </c>
      <c r="F24" s="10" t="s">
        <v>25</v>
      </c>
      <c r="G24" s="10" t="s">
        <v>25</v>
      </c>
      <c r="H24" s="10" t="s">
        <v>25</v>
      </c>
      <c r="I24" s="10" t="s">
        <v>25</v>
      </c>
      <c r="J24" s="10" t="s">
        <v>25</v>
      </c>
      <c r="K24" s="10" t="s">
        <v>25</v>
      </c>
      <c r="L24" s="10" t="s">
        <v>25</v>
      </c>
      <c r="M24" s="10" t="s">
        <v>25</v>
      </c>
      <c r="N24" s="10" t="s">
        <v>25</v>
      </c>
      <c r="O24" s="10" t="s">
        <v>25</v>
      </c>
      <c r="Q24"/>
      <c r="R24" s="5" t="s">
        <v>5</v>
      </c>
      <c r="S24" s="7" t="s">
        <v>39</v>
      </c>
      <c r="T24" s="10" t="s">
        <v>25</v>
      </c>
      <c r="U24" s="12">
        <v>1.2121795351155687E-2</v>
      </c>
      <c r="V24" s="12">
        <v>1.5144385525198139E-3</v>
      </c>
      <c r="W24" s="12">
        <v>1.2764054034070415E-3</v>
      </c>
      <c r="X24" s="12">
        <v>6.5313910751637798E-3</v>
      </c>
      <c r="Y24"/>
      <c r="Z24"/>
      <c r="AA24"/>
      <c r="AB24"/>
      <c r="AC24"/>
    </row>
    <row r="25" spans="1:34" ht="15" thickBot="1" x14ac:dyDescent="0.35">
      <c r="A25">
        <v>2020</v>
      </c>
      <c r="B25" s="11" t="s">
        <v>6</v>
      </c>
      <c r="C25" s="12">
        <v>9.8775253656738643E-3</v>
      </c>
      <c r="D25" s="12">
        <v>1.5165813226262433E-2</v>
      </c>
      <c r="E25" s="12">
        <v>1.0654375276651699E-2</v>
      </c>
      <c r="F25" s="12">
        <v>2.3130077792470876E-3</v>
      </c>
      <c r="G25" s="12">
        <v>6.1827390331627837E-3</v>
      </c>
      <c r="H25" s="12">
        <v>7.2117874381274674E-3</v>
      </c>
      <c r="I25" s="12">
        <v>7.2117874381274674E-3</v>
      </c>
      <c r="J25" s="12">
        <v>2.3130077792470876E-3</v>
      </c>
      <c r="K25" s="12">
        <v>1.0654375276651699E-2</v>
      </c>
      <c r="L25" s="12">
        <v>1.4882219908627931E-3</v>
      </c>
      <c r="M25" s="12">
        <v>6.1886895799089835E-3</v>
      </c>
      <c r="N25" s="12">
        <v>6.1886895799089835E-3</v>
      </c>
      <c r="O25" s="12">
        <v>3.9781363841230374E-3</v>
      </c>
      <c r="R25" t="s">
        <v>7</v>
      </c>
      <c r="S25" s="7" t="s">
        <v>40</v>
      </c>
      <c r="T25" s="10" t="s">
        <v>25</v>
      </c>
      <c r="U25" s="12">
        <v>1.82298941239647E-2</v>
      </c>
      <c r="V25" s="12">
        <v>2.4431778538290343E-3</v>
      </c>
      <c r="W25" s="12">
        <v>1.5585772694503457E-3</v>
      </c>
      <c r="X25" s="12">
        <v>1.0628579985697623E-2</v>
      </c>
    </row>
    <row r="26" spans="1:34" ht="15" thickBot="1" x14ac:dyDescent="0.35">
      <c r="A26">
        <v>2020</v>
      </c>
      <c r="B26" s="11" t="s">
        <v>19</v>
      </c>
      <c r="C26" s="12">
        <v>1.3561950523574757E-3</v>
      </c>
      <c r="D26" s="12">
        <v>2.2408422829306119E-3</v>
      </c>
      <c r="E26" s="12">
        <v>1.3365585345962911E-3</v>
      </c>
      <c r="F26" s="12">
        <v>3.287003245354671E-4</v>
      </c>
      <c r="G26" s="12">
        <v>6.9744441203407404E-4</v>
      </c>
      <c r="H26" s="12">
        <v>7.960362968839847E-4</v>
      </c>
      <c r="I26" s="12">
        <v>7.960362968839847E-4</v>
      </c>
      <c r="J26" s="12">
        <v>3.287003245354671E-4</v>
      </c>
      <c r="K26" s="12">
        <v>1.3365585345962911E-3</v>
      </c>
      <c r="L26" s="12">
        <v>2.7398007756483916E-4</v>
      </c>
      <c r="M26" s="12">
        <v>6.9771494972306787E-4</v>
      </c>
      <c r="N26" s="12">
        <v>6.9771494972306787E-4</v>
      </c>
      <c r="O26" s="12">
        <v>6.2905077655587747E-4</v>
      </c>
      <c r="R26" t="s">
        <v>8</v>
      </c>
      <c r="S26" s="7" t="s">
        <v>41</v>
      </c>
      <c r="T26" s="10" t="s">
        <v>25</v>
      </c>
      <c r="U26" s="12">
        <v>1.2973180638091936E-2</v>
      </c>
      <c r="V26" s="12">
        <v>1.4928444359286091E-3</v>
      </c>
      <c r="W26" s="12">
        <v>1.2584981109849129E-3</v>
      </c>
      <c r="X26" s="12">
        <v>5.6345631238893775E-3</v>
      </c>
    </row>
    <row r="27" spans="1:34" ht="15" thickBot="1" x14ac:dyDescent="0.35">
      <c r="A27">
        <v>2020</v>
      </c>
      <c r="B27" s="11" t="s">
        <v>20</v>
      </c>
      <c r="C27" s="12">
        <v>1.1573467520933571E-3</v>
      </c>
      <c r="D27" s="12">
        <v>1.4080621969194496E-3</v>
      </c>
      <c r="E27" s="12">
        <v>1.1408935356247217E-3</v>
      </c>
      <c r="F27" s="12">
        <v>2.7947836910018753E-4</v>
      </c>
      <c r="G27" s="12">
        <v>5.8818370160109627E-4</v>
      </c>
      <c r="H27" s="12">
        <v>7.0432113215694516E-4</v>
      </c>
      <c r="I27" s="12">
        <v>7.0432113215694516E-4</v>
      </c>
      <c r="J27" s="12">
        <v>2.7947836910018753E-4</v>
      </c>
      <c r="K27" s="12">
        <v>1.1408935356247217E-3</v>
      </c>
      <c r="L27" s="12">
        <v>2.2283751298287011E-4</v>
      </c>
      <c r="M27" s="12">
        <v>5.8841126838824311E-4</v>
      </c>
      <c r="N27" s="12">
        <v>5.8841126838824311E-4</v>
      </c>
      <c r="O27" s="12">
        <v>5.0801294791453957E-4</v>
      </c>
      <c r="R27" t="s">
        <v>9</v>
      </c>
      <c r="S27" s="7" t="s">
        <v>42</v>
      </c>
      <c r="T27" s="10" t="s">
        <v>25</v>
      </c>
      <c r="U27" s="12">
        <v>2.5959115314870651E-3</v>
      </c>
      <c r="V27" s="12">
        <v>3.5096749111780353E-4</v>
      </c>
      <c r="W27" s="12">
        <v>2.9352347858503132E-4</v>
      </c>
      <c r="X27" s="12">
        <v>1.2857598414259389E-3</v>
      </c>
    </row>
    <row r="28" spans="1:34" ht="15" thickBot="1" x14ac:dyDescent="0.35">
      <c r="A28">
        <v>2020</v>
      </c>
      <c r="B28" s="11" t="s">
        <v>21</v>
      </c>
      <c r="C28" s="12">
        <v>4.9282483091824406E-3</v>
      </c>
      <c r="D28" s="12">
        <v>7.6866905090672462E-3</v>
      </c>
      <c r="E28" s="12">
        <v>4.057920704170527E-3</v>
      </c>
      <c r="F28" s="12">
        <v>1.0061994957515205E-3</v>
      </c>
      <c r="G28" s="12">
        <v>2.2650893016569018E-3</v>
      </c>
      <c r="H28" s="12">
        <v>3.6071232071046371E-3</v>
      </c>
      <c r="I28" s="12">
        <v>3.6071232071046371E-3</v>
      </c>
      <c r="J28" s="12">
        <v>1.0061994957515205E-3</v>
      </c>
      <c r="K28" s="12">
        <v>4.057920704170527E-3</v>
      </c>
      <c r="L28" s="12">
        <v>7.2742261057504064E-4</v>
      </c>
      <c r="M28" s="12">
        <v>2.2661156979245783E-3</v>
      </c>
      <c r="N28" s="12">
        <v>2.2661156979245783E-3</v>
      </c>
      <c r="O28" s="12">
        <v>1.6159338689826085E-3</v>
      </c>
      <c r="Q28" s="8"/>
      <c r="R28" t="s">
        <v>10</v>
      </c>
      <c r="S28" s="7" t="s">
        <v>43</v>
      </c>
      <c r="T28" s="10" t="s">
        <v>25</v>
      </c>
      <c r="U28" s="12">
        <v>7.1873929749777044E-3</v>
      </c>
      <c r="V28" s="12">
        <v>7.6387953952104706E-4</v>
      </c>
      <c r="W28" s="12">
        <v>6.3418448915709069E-4</v>
      </c>
      <c r="X28" s="12">
        <v>2.9664139223508695E-3</v>
      </c>
      <c r="Y28" s="8"/>
      <c r="Z28" s="8"/>
      <c r="AA28" s="8"/>
      <c r="AB28" s="8"/>
      <c r="AC28" s="8"/>
    </row>
    <row r="29" spans="1:34" ht="15" thickBot="1" x14ac:dyDescent="0.35">
      <c r="R29" t="s">
        <v>11</v>
      </c>
      <c r="S29" s="7" t="s">
        <v>44</v>
      </c>
      <c r="T29" s="10" t="s">
        <v>25</v>
      </c>
      <c r="U29" s="12">
        <v>8.0016242893436538E-3</v>
      </c>
      <c r="V29" s="12">
        <v>8.4030061386020094E-4</v>
      </c>
      <c r="W29" s="12">
        <v>7.3741694488351633E-4</v>
      </c>
      <c r="X29" s="12">
        <v>4.0078093296952904E-3</v>
      </c>
    </row>
    <row r="30" spans="1:34" ht="15" thickBot="1" x14ac:dyDescent="0.35">
      <c r="R30" t="s">
        <v>12</v>
      </c>
      <c r="S30" s="7" t="s">
        <v>45</v>
      </c>
      <c r="T30" s="10" t="s">
        <v>25</v>
      </c>
      <c r="U30" s="12">
        <v>8.0016242893436538E-3</v>
      </c>
      <c r="V30" s="12">
        <v>8.4030061386020094E-4</v>
      </c>
      <c r="W30" s="12">
        <v>7.3741694488351633E-4</v>
      </c>
      <c r="X30" s="12">
        <v>4.0078093296952904E-3</v>
      </c>
    </row>
    <row r="31" spans="1:34" ht="15" thickBot="1" x14ac:dyDescent="0.35">
      <c r="R31" t="s">
        <v>13</v>
      </c>
      <c r="S31" s="7" t="s">
        <v>46</v>
      </c>
      <c r="T31" s="10" t="s">
        <v>25</v>
      </c>
      <c r="U31" s="12">
        <v>2.5959115314870651E-3</v>
      </c>
      <c r="V31" s="12">
        <v>3.5096749111780353E-4</v>
      </c>
      <c r="W31" s="12">
        <v>2.9352347858503132E-4</v>
      </c>
      <c r="X31" s="12">
        <v>1.2857598414259389E-3</v>
      </c>
    </row>
    <row r="32" spans="1:34" ht="15" thickBot="1" x14ac:dyDescent="0.35">
      <c r="R32" t="s">
        <v>14</v>
      </c>
      <c r="S32" s="7" t="s">
        <v>47</v>
      </c>
      <c r="T32" s="10" t="s">
        <v>25</v>
      </c>
      <c r="U32" s="12">
        <v>1.2973180638091936E-2</v>
      </c>
      <c r="V32" s="12">
        <v>1.4928444359286091E-3</v>
      </c>
      <c r="W32" s="12">
        <v>1.2584981109849129E-3</v>
      </c>
      <c r="X32" s="12">
        <v>5.6345631238893775E-3</v>
      </c>
    </row>
    <row r="33" spans="3:24" ht="15" thickBot="1" x14ac:dyDescent="0.35">
      <c r="I33">
        <v>2010</v>
      </c>
      <c r="J33">
        <v>2015</v>
      </c>
      <c r="K33" t="s">
        <v>65</v>
      </c>
      <c r="L33">
        <v>2010</v>
      </c>
      <c r="M33">
        <v>2015</v>
      </c>
      <c r="N33" t="s">
        <v>65</v>
      </c>
      <c r="O33">
        <v>2010</v>
      </c>
      <c r="P33">
        <v>2015</v>
      </c>
      <c r="Q33" t="s">
        <v>65</v>
      </c>
      <c r="R33" t="s">
        <v>15</v>
      </c>
      <c r="S33" s="7" t="s">
        <v>48</v>
      </c>
      <c r="T33" s="10" t="s">
        <v>25</v>
      </c>
      <c r="U33" s="12">
        <v>1.6301768480166611E-3</v>
      </c>
      <c r="V33" s="12">
        <v>2.8378641580622139E-4</v>
      </c>
      <c r="W33" s="12">
        <v>2.302701215104061E-4</v>
      </c>
      <c r="X33" s="12">
        <v>8.2992154061529511E-4</v>
      </c>
    </row>
    <row r="34" spans="3:24" ht="15" thickBot="1" x14ac:dyDescent="0.35">
      <c r="D34" s="15" t="s">
        <v>66</v>
      </c>
      <c r="E34" s="15" t="s">
        <v>67</v>
      </c>
      <c r="F34" s="15" t="s">
        <v>68</v>
      </c>
      <c r="G34" s="15" t="s">
        <v>69</v>
      </c>
      <c r="H34" s="15" t="s">
        <v>70</v>
      </c>
      <c r="I34" s="16" t="s">
        <v>71</v>
      </c>
      <c r="J34" s="16" t="s">
        <v>71</v>
      </c>
      <c r="K34" s="16" t="s">
        <v>71</v>
      </c>
      <c r="L34" s="15" t="s">
        <v>72</v>
      </c>
      <c r="M34" s="15" t="s">
        <v>72</v>
      </c>
      <c r="N34" s="15" t="s">
        <v>72</v>
      </c>
      <c r="O34" s="15" t="s">
        <v>73</v>
      </c>
      <c r="P34" s="15" t="s">
        <v>73</v>
      </c>
      <c r="Q34" s="15" t="s">
        <v>73</v>
      </c>
      <c r="R34" t="s">
        <v>16</v>
      </c>
      <c r="S34" s="7" t="s">
        <v>49</v>
      </c>
      <c r="T34" s="10" t="s">
        <v>25</v>
      </c>
      <c r="U34" s="12">
        <v>7.1946938981165337E-3</v>
      </c>
      <c r="V34" s="12">
        <v>7.6421482395201104E-4</v>
      </c>
      <c r="W34" s="12">
        <v>6.3446478302144928E-4</v>
      </c>
      <c r="X34" s="12">
        <v>2.9677963994907738E-3</v>
      </c>
    </row>
    <row r="35" spans="3:24" ht="15" thickBot="1" x14ac:dyDescent="0.35">
      <c r="C35" s="13" t="s">
        <v>74</v>
      </c>
      <c r="D35" s="14" t="e">
        <v>#REF!</v>
      </c>
      <c r="E35" s="14" t="e">
        <v>#REF!</v>
      </c>
      <c r="F35" s="14" t="e">
        <v>#REF!</v>
      </c>
      <c r="G35" s="14" t="e">
        <v>#REF!</v>
      </c>
      <c r="H35" t="e">
        <v>#REF!</v>
      </c>
      <c r="I35" s="14">
        <v>1.5839294872538073E-2</v>
      </c>
      <c r="J35" s="14">
        <v>1.2973180638091936E-2</v>
      </c>
      <c r="K35" s="14">
        <v>1.0654375276651699E-2</v>
      </c>
      <c r="L35" s="14">
        <v>1.9070258199396157E-3</v>
      </c>
      <c r="M35" s="14">
        <v>1.4928444359286091E-3</v>
      </c>
      <c r="N35" s="14">
        <v>1.3365585345962911E-3</v>
      </c>
      <c r="O35" s="14">
        <v>1.5728886501896857E-3</v>
      </c>
      <c r="P35" s="14">
        <f>E19</f>
        <v>1.2584981109849129E-3</v>
      </c>
      <c r="Q35" s="14">
        <f>E27</f>
        <v>1.1408935356247217E-3</v>
      </c>
      <c r="R35" t="s">
        <v>17</v>
      </c>
      <c r="S35" s="7" t="s">
        <v>50</v>
      </c>
      <c r="T35" s="10" t="s">
        <v>25</v>
      </c>
      <c r="U35" s="12">
        <v>7.1946938981165337E-3</v>
      </c>
      <c r="V35" s="12">
        <v>7.6421482395201104E-4</v>
      </c>
      <c r="W35" s="12">
        <v>6.3446478302144928E-4</v>
      </c>
      <c r="X35" s="12">
        <v>2.9677963994907738E-3</v>
      </c>
    </row>
    <row r="36" spans="3:24" ht="15" thickBot="1" x14ac:dyDescent="0.35">
      <c r="R36" t="s">
        <v>18</v>
      </c>
      <c r="S36" s="7" t="s">
        <v>51</v>
      </c>
      <c r="T36" s="10" t="s">
        <v>25</v>
      </c>
      <c r="U36" s="12">
        <v>4.3852208963523044E-3</v>
      </c>
      <c r="V36" s="12">
        <v>6.6133010331900625E-4</v>
      </c>
      <c r="W36" s="12">
        <v>5.283611728024866E-4</v>
      </c>
      <c r="X36" s="12">
        <v>2.0236359074896552E-3</v>
      </c>
    </row>
    <row r="39" spans="3:24" x14ac:dyDescent="0.3">
      <c r="R39">
        <v>2020</v>
      </c>
    </row>
    <row r="40" spans="3:24" ht="27" thickBot="1" x14ac:dyDescent="0.35">
      <c r="R40" s="4"/>
      <c r="S40" s="6" t="s">
        <v>23</v>
      </c>
      <c r="T40" s="9" t="s">
        <v>24</v>
      </c>
      <c r="U40" s="11" t="s">
        <v>6</v>
      </c>
      <c r="V40" s="11" t="s">
        <v>19</v>
      </c>
      <c r="W40" s="11" t="s">
        <v>20</v>
      </c>
      <c r="X40" s="11" t="s">
        <v>21</v>
      </c>
    </row>
    <row r="41" spans="3:24" ht="15" thickBot="1" x14ac:dyDescent="0.35">
      <c r="R41" s="5" t="s">
        <v>5</v>
      </c>
      <c r="S41" s="7" t="s">
        <v>52</v>
      </c>
      <c r="T41" s="10" t="s">
        <v>25</v>
      </c>
      <c r="U41" s="12">
        <v>9.8775253656738643E-3</v>
      </c>
      <c r="V41" s="12">
        <v>1.3561950523574757E-3</v>
      </c>
      <c r="W41" s="12">
        <v>1.1573467520933571E-3</v>
      </c>
      <c r="X41" s="12">
        <v>4.9282483091824406E-3</v>
      </c>
    </row>
    <row r="42" spans="3:24" ht="15" thickBot="1" x14ac:dyDescent="0.35">
      <c r="R42" t="s">
        <v>7</v>
      </c>
      <c r="S42" s="7" t="s">
        <v>53</v>
      </c>
      <c r="T42" s="10" t="s">
        <v>25</v>
      </c>
      <c r="U42" s="12">
        <v>1.5165813226262433E-2</v>
      </c>
      <c r="V42" s="12">
        <v>2.2408422829306119E-3</v>
      </c>
      <c r="W42" s="12">
        <v>1.4080621969194496E-3</v>
      </c>
      <c r="X42" s="12">
        <v>7.6866905090672462E-3</v>
      </c>
    </row>
    <row r="43" spans="3:24" ht="15" thickBot="1" x14ac:dyDescent="0.35">
      <c r="R43" t="s">
        <v>8</v>
      </c>
      <c r="S43" s="7" t="s">
        <v>54</v>
      </c>
      <c r="T43" s="10" t="s">
        <v>25</v>
      </c>
      <c r="U43" s="12">
        <v>1.0654375276651699E-2</v>
      </c>
      <c r="V43" s="12">
        <v>1.3365585345962911E-3</v>
      </c>
      <c r="W43" s="12">
        <v>1.1408935356247217E-3</v>
      </c>
      <c r="X43" s="12">
        <v>4.057920704170527E-3</v>
      </c>
    </row>
    <row r="44" spans="3:24" ht="15" thickBot="1" x14ac:dyDescent="0.35">
      <c r="R44" t="s">
        <v>9</v>
      </c>
      <c r="S44" s="7" t="s">
        <v>55</v>
      </c>
      <c r="T44" s="10" t="s">
        <v>25</v>
      </c>
      <c r="U44" s="12">
        <v>2.3130077792470876E-3</v>
      </c>
      <c r="V44" s="12">
        <v>3.287003245354671E-4</v>
      </c>
      <c r="W44" s="12">
        <v>2.7947836910018753E-4</v>
      </c>
      <c r="X44" s="12">
        <v>1.0061994957515205E-3</v>
      </c>
    </row>
    <row r="45" spans="3:24" ht="15" thickBot="1" x14ac:dyDescent="0.35">
      <c r="R45" t="s">
        <v>10</v>
      </c>
      <c r="S45" s="7" t="s">
        <v>56</v>
      </c>
      <c r="T45" s="10" t="s">
        <v>25</v>
      </c>
      <c r="U45" s="12">
        <v>6.1827390331627837E-3</v>
      </c>
      <c r="V45" s="12">
        <v>6.9744441203407404E-4</v>
      </c>
      <c r="W45" s="12">
        <v>5.8818370160109627E-4</v>
      </c>
      <c r="X45" s="12">
        <v>2.2650893016569018E-3</v>
      </c>
    </row>
    <row r="46" spans="3:24" ht="15" thickBot="1" x14ac:dyDescent="0.35">
      <c r="R46" t="s">
        <v>11</v>
      </c>
      <c r="S46" s="7" t="s">
        <v>57</v>
      </c>
      <c r="T46" s="10" t="s">
        <v>25</v>
      </c>
      <c r="U46" s="12">
        <v>7.2117874381274674E-3</v>
      </c>
      <c r="V46" s="12">
        <v>7.960362968839847E-4</v>
      </c>
      <c r="W46" s="12">
        <v>7.0432113215694516E-4</v>
      </c>
      <c r="X46" s="12">
        <v>3.6071232071046371E-3</v>
      </c>
    </row>
    <row r="47" spans="3:24" ht="15" thickBot="1" x14ac:dyDescent="0.35">
      <c r="R47" t="s">
        <v>12</v>
      </c>
      <c r="S47" s="7" t="s">
        <v>58</v>
      </c>
      <c r="T47" s="10" t="s">
        <v>25</v>
      </c>
      <c r="U47" s="12">
        <v>7.2117874381274674E-3</v>
      </c>
      <c r="V47" s="12">
        <v>7.960362968839847E-4</v>
      </c>
      <c r="W47" s="12">
        <v>7.0432113215694516E-4</v>
      </c>
      <c r="X47" s="12">
        <v>3.6071232071046371E-3</v>
      </c>
    </row>
    <row r="48" spans="3:24" ht="15" thickBot="1" x14ac:dyDescent="0.35">
      <c r="R48" t="s">
        <v>13</v>
      </c>
      <c r="S48" s="7" t="s">
        <v>59</v>
      </c>
      <c r="T48" s="10" t="s">
        <v>25</v>
      </c>
      <c r="U48" s="12">
        <v>2.3130077792470876E-3</v>
      </c>
      <c r="V48" s="12">
        <v>3.287003245354671E-4</v>
      </c>
      <c r="W48" s="12">
        <v>2.7947836910018753E-4</v>
      </c>
      <c r="X48" s="12">
        <v>1.0061994957515205E-3</v>
      </c>
    </row>
    <row r="49" spans="18:24" ht="15" thickBot="1" x14ac:dyDescent="0.35">
      <c r="R49" t="s">
        <v>14</v>
      </c>
      <c r="S49" s="7" t="s">
        <v>60</v>
      </c>
      <c r="T49" s="10" t="s">
        <v>25</v>
      </c>
      <c r="U49" s="12">
        <v>1.0654375276651699E-2</v>
      </c>
      <c r="V49" s="12">
        <v>1.3365585345962911E-3</v>
      </c>
      <c r="W49" s="12">
        <v>1.1408935356247217E-3</v>
      </c>
      <c r="X49" s="12">
        <v>4.057920704170527E-3</v>
      </c>
    </row>
    <row r="50" spans="18:24" ht="15" thickBot="1" x14ac:dyDescent="0.35">
      <c r="R50" t="s">
        <v>15</v>
      </c>
      <c r="S50" s="7" t="s">
        <v>61</v>
      </c>
      <c r="T50" s="10" t="s">
        <v>25</v>
      </c>
      <c r="U50" s="12">
        <v>1.4882219908627931E-3</v>
      </c>
      <c r="V50" s="12">
        <v>2.7398007756483916E-4</v>
      </c>
      <c r="W50" s="12">
        <v>2.2283751298287011E-4</v>
      </c>
      <c r="X50" s="12">
        <v>7.2742261057504064E-4</v>
      </c>
    </row>
    <row r="51" spans="18:24" ht="15" thickBot="1" x14ac:dyDescent="0.35">
      <c r="R51" t="s">
        <v>16</v>
      </c>
      <c r="S51" s="7" t="s">
        <v>62</v>
      </c>
      <c r="T51" s="10" t="s">
        <v>25</v>
      </c>
      <c r="U51" s="12">
        <v>6.1886895799089835E-3</v>
      </c>
      <c r="V51" s="12">
        <v>6.9771494972306787E-4</v>
      </c>
      <c r="W51" s="12">
        <v>5.8841126838824311E-4</v>
      </c>
      <c r="X51" s="12">
        <v>2.2661156979245783E-3</v>
      </c>
    </row>
    <row r="52" spans="18:24" ht="15" thickBot="1" x14ac:dyDescent="0.35">
      <c r="R52" t="s">
        <v>17</v>
      </c>
      <c r="S52" s="7" t="s">
        <v>63</v>
      </c>
      <c r="T52" s="10" t="s">
        <v>25</v>
      </c>
      <c r="U52" s="12">
        <v>6.1886895799089835E-3</v>
      </c>
      <c r="V52" s="12">
        <v>6.9771494972306787E-4</v>
      </c>
      <c r="W52" s="12">
        <v>5.8841126838824311E-4</v>
      </c>
      <c r="X52" s="12">
        <v>2.2661156979245783E-3</v>
      </c>
    </row>
    <row r="53" spans="18:24" ht="15" thickBot="1" x14ac:dyDescent="0.35">
      <c r="R53" t="s">
        <v>18</v>
      </c>
      <c r="S53" s="7" t="s">
        <v>64</v>
      </c>
      <c r="T53" s="10" t="s">
        <v>25</v>
      </c>
      <c r="U53" s="12">
        <v>3.9781363841230374E-3</v>
      </c>
      <c r="V53" s="12">
        <v>6.2905077655587747E-4</v>
      </c>
      <c r="W53" s="12">
        <v>5.0801294791453957E-4</v>
      </c>
      <c r="X53" s="12">
        <v>1.6159338689826085E-3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B69DE8-1B80-4AE4-B2F6-BD4C3822CAE0}"/>
</file>

<file path=customXml/itemProps2.xml><?xml version="1.0" encoding="utf-8"?>
<ds:datastoreItem xmlns:ds="http://schemas.openxmlformats.org/officeDocument/2006/customXml" ds:itemID="{2CA55C25-C832-49BB-A72F-A97F61F4C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TFM_INS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Lenox, Carol</cp:lastModifiedBy>
  <dcterms:created xsi:type="dcterms:W3CDTF">2018-01-30T18:37:27Z</dcterms:created>
  <dcterms:modified xsi:type="dcterms:W3CDTF">2020-02-13T20:22:05Z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977315783500671</vt:r8>
  </property>
</Properties>
</file>