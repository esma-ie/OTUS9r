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lenox_carol_epa_gov/Documents/EPAUS9rT_20/"/>
    </mc:Choice>
  </mc:AlternateContent>
  <xr:revisionPtr revIDLastSave="0" documentId="8_{136E14BD-45B4-4C34-B391-FC27A0685537}" xr6:coauthVersionLast="44" xr6:coauthVersionMax="44" xr10:uidLastSave="{00000000-0000-0000-0000-000000000000}"/>
  <bookViews>
    <workbookView xWindow="-108" yWindow="-108" windowWidth="23256" windowHeight="14016" activeTab="1" xr2:uid="{00000000-000D-0000-FFFF-FFFF00000000}"/>
  </bookViews>
  <sheets>
    <sheet name="COM" sheetId="1" r:id="rId1"/>
    <sheet name="RES" sheetId="2" r:id="rId2"/>
    <sheet name="ComConstr" sheetId="4" r:id="rId3"/>
    <sheet name="COM results" sheetId="3" r:id="rId4"/>
    <sheet name="RESConstr" sheetId="6" r:id="rId5"/>
    <sheet name="RES result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2" i="6" l="1"/>
  <c r="K23" i="6"/>
  <c r="K24" i="6"/>
  <c r="H21" i="6"/>
  <c r="C18" i="6"/>
  <c r="K17" i="6"/>
  <c r="J16" i="6"/>
  <c r="E11" i="6"/>
  <c r="H6" i="6"/>
  <c r="F4" i="6"/>
  <c r="O3" i="6"/>
  <c r="D17" i="6" s="1"/>
  <c r="P3" i="6"/>
  <c r="E18" i="6" s="1"/>
  <c r="Q3" i="6"/>
  <c r="F18" i="6" s="1"/>
  <c r="R3" i="6"/>
  <c r="G18" i="6" s="1"/>
  <c r="S3" i="6"/>
  <c r="H18" i="6" s="1"/>
  <c r="T3" i="6"/>
  <c r="I18" i="6" s="1"/>
  <c r="U3" i="6"/>
  <c r="J15" i="6" s="1"/>
  <c r="V3" i="6"/>
  <c r="K16" i="6" s="1"/>
  <c r="O4" i="6"/>
  <c r="D9" i="6" s="1"/>
  <c r="P4" i="6"/>
  <c r="E10" i="6" s="1"/>
  <c r="Q4" i="6"/>
  <c r="F3" i="6" s="1"/>
  <c r="R4" i="6"/>
  <c r="G4" i="6" s="1"/>
  <c r="S4" i="6"/>
  <c r="H4" i="6" s="1"/>
  <c r="T4" i="6"/>
  <c r="I6" i="6" s="1"/>
  <c r="U4" i="6"/>
  <c r="J5" i="6" s="1"/>
  <c r="V4" i="6"/>
  <c r="K7" i="6" s="1"/>
  <c r="O5" i="6"/>
  <c r="D12" i="6" s="1"/>
  <c r="P5" i="6"/>
  <c r="E12" i="6" s="1"/>
  <c r="Q5" i="6"/>
  <c r="F11" i="6" s="1"/>
  <c r="R5" i="6"/>
  <c r="G11" i="6" s="1"/>
  <c r="S5" i="6"/>
  <c r="H11" i="6" s="1"/>
  <c r="T5" i="6"/>
  <c r="I12" i="6" s="1"/>
  <c r="U5" i="6"/>
  <c r="J12" i="6" s="1"/>
  <c r="V5" i="6"/>
  <c r="K12" i="6" s="1"/>
  <c r="O6" i="6"/>
  <c r="D22" i="6" s="1"/>
  <c r="P6" i="6"/>
  <c r="E22" i="6" s="1"/>
  <c r="Q6" i="6"/>
  <c r="F19" i="6" s="1"/>
  <c r="R6" i="6"/>
  <c r="G19" i="6" s="1"/>
  <c r="S6" i="6"/>
  <c r="H25" i="6" s="1"/>
  <c r="T6" i="6"/>
  <c r="I21" i="6" s="1"/>
  <c r="U6" i="6"/>
  <c r="J21" i="6" s="1"/>
  <c r="V6" i="6"/>
  <c r="K21" i="6" s="1"/>
  <c r="N4" i="6"/>
  <c r="C9" i="6" s="1"/>
  <c r="N5" i="6"/>
  <c r="C14" i="6" s="1"/>
  <c r="N6" i="6"/>
  <c r="C24" i="6" s="1"/>
  <c r="N3" i="6"/>
  <c r="C17" i="6" s="1"/>
  <c r="B683" i="5"/>
  <c r="B684" i="5"/>
  <c r="B685" i="5"/>
  <c r="B686" i="5"/>
  <c r="B687" i="5"/>
  <c r="J8" i="6" s="1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K9" i="6" s="1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E3" i="6" s="1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I5" i="6" s="1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H13" i="6" s="1"/>
  <c r="B848" i="5"/>
  <c r="B849" i="5"/>
  <c r="B850" i="5"/>
  <c r="B851" i="5"/>
  <c r="B852" i="5"/>
  <c r="B853" i="5"/>
  <c r="B854" i="5"/>
  <c r="B855" i="5"/>
  <c r="B856" i="5"/>
  <c r="B682" i="5"/>
  <c r="B625" i="5"/>
  <c r="B626" i="5"/>
  <c r="B627" i="5"/>
  <c r="B628" i="5"/>
  <c r="B629" i="5"/>
  <c r="B630" i="5"/>
  <c r="I15" i="6" s="1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24" i="5"/>
  <c r="A463" i="5"/>
  <c r="B463" i="5"/>
  <c r="A464" i="5"/>
  <c r="B464" i="5"/>
  <c r="E19" i="6" s="1"/>
  <c r="A465" i="5"/>
  <c r="B465" i="5"/>
  <c r="A466" i="5"/>
  <c r="B466" i="5"/>
  <c r="A467" i="5"/>
  <c r="B467" i="5"/>
  <c r="A468" i="5"/>
  <c r="B468" i="5"/>
  <c r="A469" i="5"/>
  <c r="B469" i="5"/>
  <c r="A470" i="5"/>
  <c r="B470" i="5"/>
  <c r="A471" i="5"/>
  <c r="B471" i="5"/>
  <c r="A472" i="5"/>
  <c r="B472" i="5"/>
  <c r="A473" i="5"/>
  <c r="B473" i="5"/>
  <c r="A474" i="5"/>
  <c r="B474" i="5"/>
  <c r="A475" i="5"/>
  <c r="B475" i="5"/>
  <c r="A476" i="5"/>
  <c r="B476" i="5"/>
  <c r="A477" i="5"/>
  <c r="B477" i="5"/>
  <c r="A478" i="5"/>
  <c r="B478" i="5"/>
  <c r="A479" i="5"/>
  <c r="B479" i="5"/>
  <c r="A480" i="5"/>
  <c r="B480" i="5"/>
  <c r="A481" i="5"/>
  <c r="B481" i="5"/>
  <c r="A482" i="5"/>
  <c r="B482" i="5"/>
  <c r="A483" i="5"/>
  <c r="B483" i="5"/>
  <c r="A484" i="5"/>
  <c r="B484" i="5"/>
  <c r="G20" i="6" s="1"/>
  <c r="A485" i="5"/>
  <c r="B485" i="5"/>
  <c r="A486" i="5"/>
  <c r="B486" i="5"/>
  <c r="A487" i="5"/>
  <c r="B487" i="5"/>
  <c r="A488" i="5"/>
  <c r="B488" i="5"/>
  <c r="A489" i="5"/>
  <c r="B489" i="5"/>
  <c r="A490" i="5"/>
  <c r="B490" i="5"/>
  <c r="A491" i="5"/>
  <c r="B491" i="5"/>
  <c r="A492" i="5"/>
  <c r="B492" i="5"/>
  <c r="A493" i="5"/>
  <c r="B493" i="5"/>
  <c r="A494" i="5"/>
  <c r="B494" i="5"/>
  <c r="A495" i="5"/>
  <c r="B495" i="5"/>
  <c r="A496" i="5"/>
  <c r="B496" i="5"/>
  <c r="A497" i="5"/>
  <c r="B497" i="5"/>
  <c r="A498" i="5"/>
  <c r="B498" i="5"/>
  <c r="A499" i="5"/>
  <c r="B499" i="5"/>
  <c r="A500" i="5"/>
  <c r="B500" i="5"/>
  <c r="A501" i="5"/>
  <c r="B501" i="5"/>
  <c r="A502" i="5"/>
  <c r="B502" i="5"/>
  <c r="A503" i="5"/>
  <c r="B503" i="5"/>
  <c r="A504" i="5"/>
  <c r="B504" i="5"/>
  <c r="A505" i="5"/>
  <c r="B505" i="5"/>
  <c r="A506" i="5"/>
  <c r="B506" i="5"/>
  <c r="A507" i="5"/>
  <c r="B507" i="5"/>
  <c r="A508" i="5"/>
  <c r="B508" i="5"/>
  <c r="A509" i="5"/>
  <c r="B509" i="5"/>
  <c r="A510" i="5"/>
  <c r="B510" i="5"/>
  <c r="A511" i="5"/>
  <c r="B511" i="5"/>
  <c r="A512" i="5"/>
  <c r="B512" i="5"/>
  <c r="A513" i="5"/>
  <c r="B513" i="5"/>
  <c r="A514" i="5"/>
  <c r="B514" i="5"/>
  <c r="A515" i="5"/>
  <c r="B515" i="5"/>
  <c r="A516" i="5"/>
  <c r="B516" i="5"/>
  <c r="A517" i="5"/>
  <c r="B517" i="5"/>
  <c r="A518" i="5"/>
  <c r="B518" i="5"/>
  <c r="A519" i="5"/>
  <c r="B519" i="5"/>
  <c r="A520" i="5"/>
  <c r="B520" i="5"/>
  <c r="A521" i="5"/>
  <c r="B521" i="5"/>
  <c r="A522" i="5"/>
  <c r="B522" i="5"/>
  <c r="A523" i="5"/>
  <c r="B523" i="5"/>
  <c r="A524" i="5"/>
  <c r="B524" i="5"/>
  <c r="A525" i="5"/>
  <c r="B525" i="5"/>
  <c r="A526" i="5"/>
  <c r="B526" i="5"/>
  <c r="A527" i="5"/>
  <c r="B527" i="5"/>
  <c r="A528" i="5"/>
  <c r="B528" i="5"/>
  <c r="A529" i="5"/>
  <c r="B529" i="5"/>
  <c r="A530" i="5"/>
  <c r="B530" i="5"/>
  <c r="A531" i="5"/>
  <c r="B531" i="5"/>
  <c r="A532" i="5"/>
  <c r="B532" i="5"/>
  <c r="A533" i="5"/>
  <c r="B533" i="5"/>
  <c r="A534" i="5"/>
  <c r="B534" i="5"/>
  <c r="A535" i="5"/>
  <c r="B535" i="5"/>
  <c r="A536" i="5"/>
  <c r="B536" i="5"/>
  <c r="A537" i="5"/>
  <c r="B537" i="5"/>
  <c r="A538" i="5"/>
  <c r="B538" i="5"/>
  <c r="A539" i="5"/>
  <c r="B539" i="5"/>
  <c r="A540" i="5"/>
  <c r="B540" i="5"/>
  <c r="A541" i="5"/>
  <c r="B541" i="5"/>
  <c r="A542" i="5"/>
  <c r="B542" i="5"/>
  <c r="A543" i="5"/>
  <c r="B543" i="5"/>
  <c r="A544" i="5"/>
  <c r="B544" i="5"/>
  <c r="A545" i="5"/>
  <c r="B545" i="5"/>
  <c r="A546" i="5"/>
  <c r="B546" i="5"/>
  <c r="A547" i="5"/>
  <c r="B547" i="5"/>
  <c r="A548" i="5"/>
  <c r="B548" i="5"/>
  <c r="A549" i="5"/>
  <c r="B549" i="5"/>
  <c r="A550" i="5"/>
  <c r="B550" i="5"/>
  <c r="A551" i="5"/>
  <c r="B551" i="5"/>
  <c r="A552" i="5"/>
  <c r="B552" i="5"/>
  <c r="A553" i="5"/>
  <c r="B553" i="5"/>
  <c r="A554" i="5"/>
  <c r="B554" i="5"/>
  <c r="A555" i="5"/>
  <c r="B555" i="5"/>
  <c r="A556" i="5"/>
  <c r="B556" i="5"/>
  <c r="A557" i="5"/>
  <c r="B557" i="5"/>
  <c r="A558" i="5"/>
  <c r="B558" i="5"/>
  <c r="A559" i="5"/>
  <c r="B559" i="5"/>
  <c r="A560" i="5"/>
  <c r="B560" i="5"/>
  <c r="A561" i="5"/>
  <c r="B561" i="5"/>
  <c r="A562" i="5"/>
  <c r="B562" i="5"/>
  <c r="A563" i="5"/>
  <c r="B563" i="5"/>
  <c r="A564" i="5"/>
  <c r="B564" i="5"/>
  <c r="A565" i="5"/>
  <c r="B565" i="5"/>
  <c r="A566" i="5"/>
  <c r="B566" i="5"/>
  <c r="A567" i="5"/>
  <c r="B567" i="5"/>
  <c r="A568" i="5"/>
  <c r="B568" i="5"/>
  <c r="A569" i="5"/>
  <c r="B569" i="5"/>
  <c r="A570" i="5"/>
  <c r="B570" i="5"/>
  <c r="A571" i="5"/>
  <c r="B571" i="5"/>
  <c r="A572" i="5"/>
  <c r="B572" i="5"/>
  <c r="A573" i="5"/>
  <c r="B573" i="5"/>
  <c r="A574" i="5"/>
  <c r="B574" i="5"/>
  <c r="A575" i="5"/>
  <c r="B575" i="5"/>
  <c r="A576" i="5"/>
  <c r="B576" i="5"/>
  <c r="A577" i="5"/>
  <c r="B577" i="5"/>
  <c r="A578" i="5"/>
  <c r="B578" i="5"/>
  <c r="B462" i="5"/>
  <c r="A462" i="5"/>
  <c r="D18" i="6" l="1"/>
  <c r="C3" i="6"/>
  <c r="D3" i="6"/>
  <c r="E4" i="6"/>
  <c r="H5" i="6"/>
  <c r="G6" i="6"/>
  <c r="I8" i="6"/>
  <c r="I7" i="6"/>
  <c r="J9" i="6"/>
  <c r="K10" i="6"/>
  <c r="C11" i="6"/>
  <c r="D11" i="6"/>
  <c r="G14" i="6"/>
  <c r="G13" i="6"/>
  <c r="G12" i="6"/>
  <c r="H15" i="6"/>
  <c r="I16" i="6"/>
  <c r="J17" i="6"/>
  <c r="K18" i="6"/>
  <c r="C19" i="6"/>
  <c r="D19" i="6"/>
  <c r="F20" i="6"/>
  <c r="F25" i="6"/>
  <c r="G21" i="6"/>
  <c r="J24" i="6"/>
  <c r="J23" i="6"/>
  <c r="J22" i="6"/>
  <c r="K3" i="6"/>
  <c r="C4" i="6"/>
  <c r="D4" i="6"/>
  <c r="G5" i="6"/>
  <c r="F6" i="6"/>
  <c r="H8" i="6"/>
  <c r="H7" i="6"/>
  <c r="I9" i="6"/>
  <c r="J10" i="6"/>
  <c r="K11" i="6"/>
  <c r="C12" i="6"/>
  <c r="F14" i="6"/>
  <c r="F13" i="6"/>
  <c r="F12" i="6"/>
  <c r="G15" i="6"/>
  <c r="H16" i="6"/>
  <c r="I17" i="6"/>
  <c r="J18" i="6"/>
  <c r="K19" i="6"/>
  <c r="C25" i="6"/>
  <c r="E20" i="6"/>
  <c r="E25" i="6"/>
  <c r="F21" i="6"/>
  <c r="I24" i="6"/>
  <c r="I23" i="6"/>
  <c r="I22" i="6"/>
  <c r="J7" i="6"/>
  <c r="C10" i="6"/>
  <c r="D10" i="6"/>
  <c r="J3" i="6"/>
  <c r="K4" i="6"/>
  <c r="C5" i="6"/>
  <c r="F5" i="6"/>
  <c r="E6" i="6"/>
  <c r="G8" i="6"/>
  <c r="G7" i="6"/>
  <c r="H9" i="6"/>
  <c r="I10" i="6"/>
  <c r="J11" i="6"/>
  <c r="C13" i="6"/>
  <c r="E14" i="6"/>
  <c r="E13" i="6"/>
  <c r="F15" i="6"/>
  <c r="G16" i="6"/>
  <c r="H17" i="6"/>
  <c r="J19" i="6"/>
  <c r="C20" i="6"/>
  <c r="D20" i="6"/>
  <c r="D25" i="6"/>
  <c r="E21" i="6"/>
  <c r="H24" i="6"/>
  <c r="H23" i="6"/>
  <c r="H22" i="6"/>
  <c r="H12" i="6"/>
  <c r="I3" i="6"/>
  <c r="J4" i="6"/>
  <c r="E5" i="6"/>
  <c r="C6" i="6"/>
  <c r="D6" i="6"/>
  <c r="F8" i="6"/>
  <c r="F7" i="6"/>
  <c r="G9" i="6"/>
  <c r="H10" i="6"/>
  <c r="I11" i="6"/>
  <c r="D14" i="6"/>
  <c r="D13" i="6"/>
  <c r="E15" i="6"/>
  <c r="F16" i="6"/>
  <c r="G17" i="6"/>
  <c r="I19" i="6"/>
  <c r="I1" i="6" s="1"/>
  <c r="K20" i="6"/>
  <c r="K25" i="6"/>
  <c r="C21" i="6"/>
  <c r="D21" i="6"/>
  <c r="G24" i="6"/>
  <c r="G23" i="6"/>
  <c r="G22" i="6"/>
  <c r="G25" i="6"/>
  <c r="H3" i="6"/>
  <c r="I4" i="6"/>
  <c r="D5" i="6"/>
  <c r="K6" i="6"/>
  <c r="C7" i="6"/>
  <c r="E8" i="6"/>
  <c r="E7" i="6"/>
  <c r="F9" i="6"/>
  <c r="G10" i="6"/>
  <c r="K14" i="6"/>
  <c r="K13" i="6"/>
  <c r="C15" i="6"/>
  <c r="D15" i="6"/>
  <c r="E16" i="6"/>
  <c r="F17" i="6"/>
  <c r="H19" i="6"/>
  <c r="H1" i="6" s="1"/>
  <c r="J20" i="6"/>
  <c r="J25" i="6"/>
  <c r="C22" i="6"/>
  <c r="F24" i="6"/>
  <c r="F23" i="6"/>
  <c r="F22" i="6"/>
  <c r="H14" i="6"/>
  <c r="G3" i="6"/>
  <c r="K5" i="6"/>
  <c r="J6" i="6"/>
  <c r="C8" i="6"/>
  <c r="D8" i="6"/>
  <c r="D7" i="6"/>
  <c r="E9" i="6"/>
  <c r="F10" i="6"/>
  <c r="J14" i="6"/>
  <c r="J13" i="6"/>
  <c r="K15" i="6"/>
  <c r="C16" i="6"/>
  <c r="D16" i="6"/>
  <c r="E17" i="6"/>
  <c r="I20" i="6"/>
  <c r="I25" i="6"/>
  <c r="C23" i="6"/>
  <c r="E24" i="6"/>
  <c r="E23" i="6"/>
  <c r="K8" i="6"/>
  <c r="I14" i="6"/>
  <c r="I13" i="6"/>
  <c r="H20" i="6"/>
  <c r="D24" i="6"/>
  <c r="D23" i="6"/>
  <c r="J1" i="6"/>
  <c r="C1" i="6"/>
  <c r="K1" i="6"/>
  <c r="E1" i="6"/>
  <c r="G1" i="6"/>
  <c r="F1" i="6"/>
  <c r="D1" i="6"/>
  <c r="A792" i="3" l="1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780" i="3" l="1"/>
  <c r="A781" i="3"/>
  <c r="A782" i="3"/>
  <c r="A783" i="3"/>
  <c r="A784" i="3"/>
  <c r="A785" i="3"/>
  <c r="A786" i="3"/>
  <c r="A787" i="3"/>
  <c r="A788" i="3"/>
  <c r="A789" i="3"/>
  <c r="A790" i="3"/>
  <c r="A791" i="3"/>
  <c r="A108" i="3"/>
  <c r="A109" i="3"/>
  <c r="A110" i="3"/>
  <c r="A111" i="3"/>
  <c r="A112" i="3"/>
  <c r="A113" i="3"/>
  <c r="A114" i="3"/>
  <c r="A115" i="3"/>
  <c r="A107" i="3"/>
  <c r="A162" i="3" l="1"/>
  <c r="A163" i="3"/>
  <c r="A164" i="3"/>
  <c r="A165" i="3"/>
  <c r="A166" i="3"/>
  <c r="A167" i="3"/>
  <c r="A168" i="3"/>
  <c r="A169" i="3"/>
  <c r="A161" i="3"/>
  <c r="A180" i="3"/>
  <c r="A181" i="3"/>
  <c r="A182" i="3"/>
  <c r="A183" i="3"/>
  <c r="A184" i="3"/>
  <c r="A185" i="3"/>
  <c r="A186" i="3"/>
  <c r="A187" i="3"/>
  <c r="A179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242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70" i="3"/>
  <c r="A171" i="3"/>
  <c r="A172" i="3"/>
  <c r="A173" i="3"/>
  <c r="A174" i="3"/>
  <c r="A175" i="3"/>
  <c r="A176" i="3"/>
  <c r="A177" i="3"/>
  <c r="A178" i="3"/>
  <c r="A53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386" i="3"/>
  <c r="A387" i="3"/>
  <c r="N4" i="4" l="1"/>
  <c r="O4" i="4"/>
  <c r="P4" i="4"/>
  <c r="Q4" i="4"/>
  <c r="R4" i="4"/>
  <c r="G12" i="4" s="1"/>
  <c r="S4" i="4"/>
  <c r="H13" i="4" s="1"/>
  <c r="T4" i="4"/>
  <c r="U4" i="4"/>
  <c r="V4" i="4"/>
  <c r="N5" i="4"/>
  <c r="O5" i="4"/>
  <c r="D18" i="4" s="1"/>
  <c r="I22" i="1" s="1"/>
  <c r="P5" i="4"/>
  <c r="E18" i="4" s="1"/>
  <c r="J22" i="1" s="1"/>
  <c r="Q5" i="4"/>
  <c r="F18" i="4" s="1"/>
  <c r="K22" i="1" s="1"/>
  <c r="R5" i="4"/>
  <c r="G18" i="4" s="1"/>
  <c r="L22" i="1" s="1"/>
  <c r="S5" i="4"/>
  <c r="H18" i="4" s="1"/>
  <c r="M22" i="1" s="1"/>
  <c r="T5" i="4"/>
  <c r="I18" i="4" s="1"/>
  <c r="N22" i="1" s="1"/>
  <c r="U5" i="4"/>
  <c r="J18" i="4" s="1"/>
  <c r="O22" i="1" s="1"/>
  <c r="V5" i="4"/>
  <c r="K18" i="4" s="1"/>
  <c r="P22" i="1" s="1"/>
  <c r="N6" i="4"/>
  <c r="O6" i="4"/>
  <c r="P6" i="4"/>
  <c r="Q6" i="4"/>
  <c r="R6" i="4"/>
  <c r="S6" i="4"/>
  <c r="T6" i="4"/>
  <c r="I21" i="4" s="1"/>
  <c r="U6" i="4"/>
  <c r="V6" i="4"/>
  <c r="K23" i="4" s="1"/>
  <c r="N7" i="4"/>
  <c r="O7" i="4"/>
  <c r="P7" i="4"/>
  <c r="Q7" i="4"/>
  <c r="R7" i="4"/>
  <c r="S7" i="4"/>
  <c r="T7" i="4"/>
  <c r="U7" i="4"/>
  <c r="V7" i="4"/>
  <c r="N8" i="4"/>
  <c r="O8" i="4"/>
  <c r="P8" i="4"/>
  <c r="Q8" i="4"/>
  <c r="R8" i="4"/>
  <c r="S8" i="4"/>
  <c r="T8" i="4"/>
  <c r="U8" i="4"/>
  <c r="V8" i="4"/>
  <c r="N9" i="4"/>
  <c r="O9" i="4"/>
  <c r="P9" i="4"/>
  <c r="Q9" i="4"/>
  <c r="R9" i="4"/>
  <c r="S9" i="4"/>
  <c r="T9" i="4"/>
  <c r="U9" i="4"/>
  <c r="V9" i="4"/>
  <c r="O3" i="4"/>
  <c r="P3" i="4"/>
  <c r="Q3" i="4"/>
  <c r="R3" i="4"/>
  <c r="S3" i="4"/>
  <c r="T3" i="4"/>
  <c r="U3" i="4"/>
  <c r="J3" i="4" s="1"/>
  <c r="O7" i="1" s="1"/>
  <c r="V3" i="4"/>
  <c r="N3" i="4"/>
  <c r="C3" i="4" s="1"/>
  <c r="H7" i="1" s="1"/>
  <c r="I14" i="4"/>
  <c r="C17" i="4" l="1"/>
  <c r="C18" i="4"/>
  <c r="H22" i="1" s="1"/>
  <c r="N18" i="1"/>
  <c r="AG18" i="1" s="1"/>
  <c r="M17" i="1"/>
  <c r="AF17" i="1" s="1"/>
  <c r="L16" i="1"/>
  <c r="AE16" i="1" s="1"/>
  <c r="AH7" i="1"/>
  <c r="N25" i="1"/>
  <c r="AG25" i="1" s="1"/>
  <c r="C9" i="4"/>
  <c r="C13" i="4"/>
  <c r="K12" i="4"/>
  <c r="J12" i="4"/>
  <c r="F11" i="4"/>
  <c r="F19" i="4"/>
  <c r="I12" i="4"/>
  <c r="E12" i="4"/>
  <c r="G13" i="4"/>
  <c r="J15" i="4"/>
  <c r="H12" i="4"/>
  <c r="D12" i="4"/>
  <c r="H23" i="4"/>
  <c r="G23" i="4"/>
  <c r="H20" i="4"/>
  <c r="C8" i="4"/>
  <c r="G5" i="4"/>
  <c r="J21" i="4"/>
  <c r="F23" i="4"/>
  <c r="K15" i="4"/>
  <c r="C16" i="4"/>
  <c r="K16" i="4"/>
  <c r="P20" i="1" s="1"/>
  <c r="AI20" i="1" s="1"/>
  <c r="W7" i="4"/>
  <c r="C28" i="4" s="1"/>
  <c r="AA7" i="1"/>
  <c r="K5" i="4"/>
  <c r="P9" i="1" s="1"/>
  <c r="AI9" i="1" s="1"/>
  <c r="J5" i="4"/>
  <c r="I20" i="4"/>
  <c r="J14" i="4"/>
  <c r="K17" i="4"/>
  <c r="P21" i="1" s="1"/>
  <c r="J22" i="4"/>
  <c r="C29" i="4"/>
  <c r="I3" i="4"/>
  <c r="N7" i="1" s="1"/>
  <c r="E5" i="4"/>
  <c r="W9" i="4"/>
  <c r="G19" i="4"/>
  <c r="F10" i="4"/>
  <c r="W8" i="4"/>
  <c r="E23" i="4"/>
  <c r="F9" i="4"/>
  <c r="E17" i="4"/>
  <c r="J21" i="1" s="1"/>
  <c r="E16" i="4"/>
  <c r="J20" i="1" s="1"/>
  <c r="E15" i="4"/>
  <c r="E14" i="4"/>
  <c r="E19" i="4"/>
  <c r="F12" i="4"/>
  <c r="F13" i="4"/>
  <c r="F8" i="4"/>
  <c r="D23" i="4"/>
  <c r="D22" i="4"/>
  <c r="D21" i="4"/>
  <c r="D20" i="4"/>
  <c r="H5" i="4"/>
  <c r="K22" i="4"/>
  <c r="C23" i="4"/>
  <c r="D17" i="4"/>
  <c r="I21" i="1" s="1"/>
  <c r="F7" i="4"/>
  <c r="I5" i="4"/>
  <c r="N9" i="1" s="1"/>
  <c r="AG9" i="1" s="1"/>
  <c r="I6" i="4"/>
  <c r="I7" i="4"/>
  <c r="I8" i="4"/>
  <c r="I9" i="4"/>
  <c r="I10" i="4"/>
  <c r="I11" i="4"/>
  <c r="F6" i="4"/>
  <c r="F5" i="4"/>
  <c r="I19" i="4"/>
  <c r="D5" i="4"/>
  <c r="H19" i="4"/>
  <c r="C10" i="4"/>
  <c r="E11" i="4"/>
  <c r="E10" i="4"/>
  <c r="E9" i="4"/>
  <c r="E8" i="4"/>
  <c r="E7" i="4"/>
  <c r="E6" i="4"/>
  <c r="H14" i="4"/>
  <c r="I15" i="4"/>
  <c r="J16" i="4"/>
  <c r="O20" i="1" s="1"/>
  <c r="J17" i="4"/>
  <c r="O21" i="1" s="1"/>
  <c r="G20" i="4"/>
  <c r="H21" i="4"/>
  <c r="I22" i="4"/>
  <c r="J23" i="4"/>
  <c r="C11" i="4"/>
  <c r="D11" i="4"/>
  <c r="D10" i="4"/>
  <c r="D9" i="4"/>
  <c r="D8" i="4"/>
  <c r="D7" i="4"/>
  <c r="D6" i="4"/>
  <c r="G14" i="4"/>
  <c r="H15" i="4"/>
  <c r="I16" i="4"/>
  <c r="N20" i="1" s="1"/>
  <c r="I17" i="4"/>
  <c r="N21" i="1" s="1"/>
  <c r="C19" i="4"/>
  <c r="D19" i="4"/>
  <c r="F20" i="4"/>
  <c r="G21" i="4"/>
  <c r="H22" i="4"/>
  <c r="I23" i="4"/>
  <c r="K11" i="4"/>
  <c r="K10" i="4"/>
  <c r="K9" i="4"/>
  <c r="K8" i="4"/>
  <c r="K7" i="4"/>
  <c r="K6" i="4"/>
  <c r="C12" i="4"/>
  <c r="E13" i="4"/>
  <c r="F14" i="4"/>
  <c r="G15" i="4"/>
  <c r="H16" i="4"/>
  <c r="M20" i="1" s="1"/>
  <c r="H17" i="4"/>
  <c r="M21" i="1" s="1"/>
  <c r="K19" i="4"/>
  <c r="E20" i="4"/>
  <c r="F21" i="4"/>
  <c r="G22" i="4"/>
  <c r="D4" i="4"/>
  <c r="I8" i="1" s="1"/>
  <c r="K3" i="4"/>
  <c r="P7" i="1" s="1"/>
  <c r="C5" i="4"/>
  <c r="J11" i="4"/>
  <c r="J10" i="4"/>
  <c r="J9" i="4"/>
  <c r="J8" i="4"/>
  <c r="J7" i="4"/>
  <c r="J6" i="4"/>
  <c r="D13" i="4"/>
  <c r="F15" i="4"/>
  <c r="G16" i="4"/>
  <c r="L20" i="1" s="1"/>
  <c r="G17" i="4"/>
  <c r="L21" i="1" s="1"/>
  <c r="J19" i="4"/>
  <c r="C20" i="4"/>
  <c r="H24" i="1" s="1"/>
  <c r="E21" i="4"/>
  <c r="J25" i="1" s="1"/>
  <c r="F22" i="4"/>
  <c r="C6" i="4"/>
  <c r="K13" i="4"/>
  <c r="C14" i="4"/>
  <c r="D14" i="4"/>
  <c r="F16" i="4"/>
  <c r="K20" i="1" s="1"/>
  <c r="F17" i="4"/>
  <c r="K21" i="1" s="1"/>
  <c r="K20" i="4"/>
  <c r="C21" i="4"/>
  <c r="E22" i="4"/>
  <c r="H3" i="4"/>
  <c r="M7" i="1" s="1"/>
  <c r="F4" i="4"/>
  <c r="K8" i="1" s="1"/>
  <c r="C7" i="4"/>
  <c r="H11" i="4"/>
  <c r="H10" i="4"/>
  <c r="H9" i="4"/>
  <c r="H8" i="4"/>
  <c r="H7" i="4"/>
  <c r="H6" i="4"/>
  <c r="J13" i="4"/>
  <c r="K14" i="4"/>
  <c r="C15" i="4"/>
  <c r="D15" i="4"/>
  <c r="J20" i="4"/>
  <c r="K21" i="4"/>
  <c r="C22" i="4"/>
  <c r="G11" i="4"/>
  <c r="G10" i="4"/>
  <c r="G9" i="4"/>
  <c r="G8" i="4"/>
  <c r="G7" i="4"/>
  <c r="G6" i="4"/>
  <c r="I13" i="4"/>
  <c r="D16" i="4"/>
  <c r="I20" i="1" s="1"/>
  <c r="I4" i="4"/>
  <c r="N8" i="1" s="1"/>
  <c r="H4" i="4"/>
  <c r="M8" i="1" s="1"/>
  <c r="G4" i="4"/>
  <c r="L8" i="1" s="1"/>
  <c r="K4" i="4"/>
  <c r="P8" i="1" s="1"/>
  <c r="E4" i="4"/>
  <c r="J8" i="1" s="1"/>
  <c r="J4" i="4"/>
  <c r="O8" i="1" s="1"/>
  <c r="G3" i="4"/>
  <c r="L7" i="1" s="1"/>
  <c r="F3" i="4"/>
  <c r="K7" i="1" s="1"/>
  <c r="E3" i="4"/>
  <c r="J7" i="1" s="1"/>
  <c r="D3" i="4"/>
  <c r="I7" i="1" s="1"/>
  <c r="C4" i="4"/>
  <c r="H8" i="1" s="1"/>
  <c r="H21" i="1" l="1"/>
  <c r="AA21" i="1" s="1"/>
  <c r="I36" i="1"/>
  <c r="L36" i="1" s="1"/>
  <c r="I35" i="1"/>
  <c r="L35" i="1" s="1"/>
  <c r="C36" i="4"/>
  <c r="I43" i="1" s="1"/>
  <c r="L43" i="1" s="1"/>
  <c r="C31" i="4"/>
  <c r="I38" i="1" s="1"/>
  <c r="L38" i="1" s="1"/>
  <c r="AA8" i="1"/>
  <c r="L13" i="1"/>
  <c r="AE13" i="1" s="1"/>
  <c r="AD21" i="1"/>
  <c r="AB7" i="1"/>
  <c r="AF8" i="1"/>
  <c r="L14" i="1"/>
  <c r="AE14" i="1" s="1"/>
  <c r="P18" i="1"/>
  <c r="AI18" i="1" s="1"/>
  <c r="H11" i="1"/>
  <c r="AA11" i="1" s="1"/>
  <c r="O23" i="1"/>
  <c r="AH23" i="1" s="1"/>
  <c r="O12" i="1"/>
  <c r="AH12" i="1" s="1"/>
  <c r="K25" i="1"/>
  <c r="AD25" i="1" s="1"/>
  <c r="J17" i="1"/>
  <c r="AC17" i="1" s="1"/>
  <c r="I15" i="1"/>
  <c r="AB15" i="1" s="1"/>
  <c r="AH21" i="1"/>
  <c r="J14" i="1"/>
  <c r="AC14" i="1" s="1"/>
  <c r="I26" i="1"/>
  <c r="AB26" i="1" s="1"/>
  <c r="O9" i="1"/>
  <c r="AH9" i="1" s="1"/>
  <c r="O25" i="1"/>
  <c r="AH25" i="1" s="1"/>
  <c r="O19" i="1"/>
  <c r="AH19" i="1" s="1"/>
  <c r="H17" i="1"/>
  <c r="AA17" i="1" s="1"/>
  <c r="AG8" i="1"/>
  <c r="AG22" i="1"/>
  <c r="M26" i="1"/>
  <c r="AF26" i="1" s="1"/>
  <c r="K10" i="1"/>
  <c r="AD10" i="1" s="1"/>
  <c r="J9" i="1"/>
  <c r="AC9" i="1" s="1"/>
  <c r="AE8" i="1"/>
  <c r="AD8" i="1"/>
  <c r="O13" i="1"/>
  <c r="AH13" i="1" s="1"/>
  <c r="L9" i="1"/>
  <c r="AE9" i="1" s="1"/>
  <c r="L17" i="1"/>
  <c r="AE17" i="1" s="1"/>
  <c r="H26" i="1"/>
  <c r="AA26" i="1" s="1"/>
  <c r="M10" i="1"/>
  <c r="AF10" i="1" s="1"/>
  <c r="AF7" i="1"/>
  <c r="H18" i="1"/>
  <c r="AA18" i="1" s="1"/>
  <c r="AE21" i="1"/>
  <c r="O14" i="1"/>
  <c r="AH14" i="1" s="1"/>
  <c r="P23" i="1"/>
  <c r="AI23" i="1" s="1"/>
  <c r="P10" i="1"/>
  <c r="AI10" i="1" s="1"/>
  <c r="L25" i="1"/>
  <c r="AE25" i="1" s="1"/>
  <c r="L18" i="1"/>
  <c r="AE18" i="1" s="1"/>
  <c r="N19" i="1"/>
  <c r="AG19" i="1" s="1"/>
  <c r="H14" i="1"/>
  <c r="AA14" i="1" s="1"/>
  <c r="N15" i="1"/>
  <c r="AG15" i="1" s="1"/>
  <c r="AB21" i="1"/>
  <c r="K12" i="1"/>
  <c r="AD12" i="1" s="1"/>
  <c r="K13" i="1"/>
  <c r="AD13" i="1" s="1"/>
  <c r="AG7" i="1"/>
  <c r="H12" i="1"/>
  <c r="AA12" i="1" s="1"/>
  <c r="J16" i="1"/>
  <c r="AC16" i="1" s="1"/>
  <c r="AD7" i="1"/>
  <c r="AE7" i="1"/>
  <c r="N17" i="1"/>
  <c r="AG17" i="1" s="1"/>
  <c r="P25" i="1"/>
  <c r="AI25" i="1" s="1"/>
  <c r="M11" i="1"/>
  <c r="AF11" i="1" s="1"/>
  <c r="J26" i="1"/>
  <c r="AC26" i="1" s="1"/>
  <c r="P17" i="1"/>
  <c r="AI17" i="1" s="1"/>
  <c r="O15" i="1"/>
  <c r="AH15" i="1" s="1"/>
  <c r="AH22" i="1"/>
  <c r="P11" i="1"/>
  <c r="AI11" i="1" s="1"/>
  <c r="K24" i="1"/>
  <c r="AD24" i="1" s="1"/>
  <c r="I10" i="1"/>
  <c r="AB10" i="1" s="1"/>
  <c r="N26" i="1"/>
  <c r="AG26" i="1" s="1"/>
  <c r="M18" i="1"/>
  <c r="AF18" i="1" s="1"/>
  <c r="AC22" i="1"/>
  <c r="N14" i="1"/>
  <c r="AG14" i="1" s="1"/>
  <c r="K17" i="1"/>
  <c r="AD17" i="1" s="1"/>
  <c r="AD22" i="1"/>
  <c r="M24" i="1"/>
  <c r="AF24" i="1" s="1"/>
  <c r="N16" i="1"/>
  <c r="AG16" i="1" s="1"/>
  <c r="I18" i="1"/>
  <c r="AB18" i="1" s="1"/>
  <c r="H16" i="1"/>
  <c r="AA16" i="1" s="1"/>
  <c r="J15" i="1"/>
  <c r="AC15" i="1" s="1"/>
  <c r="H13" i="1"/>
  <c r="AA13" i="1" s="1"/>
  <c r="O24" i="1"/>
  <c r="AH24" i="1" s="1"/>
  <c r="H25" i="1"/>
  <c r="AA25" i="1" s="1"/>
  <c r="H10" i="1"/>
  <c r="AA10" i="1" s="1"/>
  <c r="H9" i="1"/>
  <c r="AA9" i="1" s="1"/>
  <c r="AF21" i="1"/>
  <c r="P12" i="1"/>
  <c r="AI12" i="1" s="1"/>
  <c r="I23" i="1"/>
  <c r="AB23" i="1" s="1"/>
  <c r="I11" i="1"/>
  <c r="AB11" i="1" s="1"/>
  <c r="M25" i="1"/>
  <c r="AF25" i="1" s="1"/>
  <c r="J10" i="1"/>
  <c r="AC10" i="1" s="1"/>
  <c r="M23" i="1"/>
  <c r="AF23" i="1" s="1"/>
  <c r="N13" i="1"/>
  <c r="AG13" i="1" s="1"/>
  <c r="P26" i="1"/>
  <c r="AI26" i="1" s="1"/>
  <c r="K16" i="1"/>
  <c r="AD16" i="1" s="1"/>
  <c r="O26" i="1"/>
  <c r="AH26" i="1" s="1"/>
  <c r="K23" i="1"/>
  <c r="AD23" i="1" s="1"/>
  <c r="H19" i="1"/>
  <c r="AA19" i="1" s="1"/>
  <c r="M15" i="1"/>
  <c r="AF15" i="1" s="1"/>
  <c r="L15" i="1"/>
  <c r="AE15" i="1" s="1"/>
  <c r="J24" i="1"/>
  <c r="AC24" i="1" s="1"/>
  <c r="H15" i="1"/>
  <c r="AA15" i="1" s="1"/>
  <c r="K11" i="1"/>
  <c r="AD11" i="1" s="1"/>
  <c r="AH8" i="1"/>
  <c r="L10" i="1"/>
  <c r="AE10" i="1" s="1"/>
  <c r="M12" i="1"/>
  <c r="AF12" i="1" s="1"/>
  <c r="K19" i="1"/>
  <c r="AD19" i="1" s="1"/>
  <c r="AC8" i="1"/>
  <c r="L11" i="1"/>
  <c r="AE11" i="1" s="1"/>
  <c r="AE22" i="1"/>
  <c r="M13" i="1"/>
  <c r="AF13" i="1" s="1"/>
  <c r="P24" i="1"/>
  <c r="AI24" i="1" s="1"/>
  <c r="K26" i="1"/>
  <c r="AD26" i="1" s="1"/>
  <c r="I17" i="1"/>
  <c r="AB17" i="1" s="1"/>
  <c r="AI7" i="1"/>
  <c r="P13" i="1"/>
  <c r="AI13" i="1" s="1"/>
  <c r="H23" i="1"/>
  <c r="AA23" i="1" s="1"/>
  <c r="I12" i="1"/>
  <c r="AB12" i="1" s="1"/>
  <c r="L24" i="1"/>
  <c r="AE24" i="1" s="1"/>
  <c r="J11" i="1"/>
  <c r="AC11" i="1" s="1"/>
  <c r="I9" i="1"/>
  <c r="AB9" i="1" s="1"/>
  <c r="N12" i="1"/>
  <c r="AG12" i="1" s="1"/>
  <c r="M9" i="1"/>
  <c r="AF9" i="1" s="1"/>
  <c r="J23" i="1"/>
  <c r="AC23" i="1" s="1"/>
  <c r="AI21" i="1"/>
  <c r="H20" i="1"/>
  <c r="AA20" i="1" s="1"/>
  <c r="K15" i="1"/>
  <c r="AD15" i="1" s="1"/>
  <c r="AC7" i="1"/>
  <c r="O17" i="1"/>
  <c r="AH17" i="1" s="1"/>
  <c r="M19" i="1"/>
  <c r="AF19" i="1" s="1"/>
  <c r="AC21" i="1"/>
  <c r="AI8" i="1"/>
  <c r="L12" i="1"/>
  <c r="AE12" i="1" s="1"/>
  <c r="I19" i="1"/>
  <c r="AB19" i="1" s="1"/>
  <c r="M14" i="1"/>
  <c r="AF14" i="1" s="1"/>
  <c r="AF22" i="1"/>
  <c r="O10" i="1"/>
  <c r="AH10" i="1" s="1"/>
  <c r="AB8" i="1"/>
  <c r="L19" i="1"/>
  <c r="AE19" i="1" s="1"/>
  <c r="P14" i="1"/>
  <c r="AI14" i="1" s="1"/>
  <c r="AI22" i="1"/>
  <c r="I13" i="1"/>
  <c r="AB13" i="1" s="1"/>
  <c r="AB22" i="1"/>
  <c r="J12" i="1"/>
  <c r="AC12" i="1" s="1"/>
  <c r="N23" i="1"/>
  <c r="AG23" i="1" s="1"/>
  <c r="N11" i="1"/>
  <c r="AG11" i="1" s="1"/>
  <c r="I24" i="1"/>
  <c r="AB24" i="1" s="1"/>
  <c r="J18" i="1"/>
  <c r="AC18" i="1" s="1"/>
  <c r="K14" i="1"/>
  <c r="AD14" i="1" s="1"/>
  <c r="O18" i="1"/>
  <c r="AH18" i="1" s="1"/>
  <c r="P19" i="1"/>
  <c r="AI19" i="1" s="1"/>
  <c r="I16" i="1"/>
  <c r="AB16" i="1" s="1"/>
  <c r="O16" i="1"/>
  <c r="AH16" i="1" s="1"/>
  <c r="O11" i="1"/>
  <c r="AH11" i="1" s="1"/>
  <c r="L26" i="1"/>
  <c r="AE26" i="1" s="1"/>
  <c r="K18" i="1"/>
  <c r="AD18" i="1" s="1"/>
  <c r="P15" i="1"/>
  <c r="AI15" i="1" s="1"/>
  <c r="AG21" i="1"/>
  <c r="I14" i="1"/>
  <c r="AB14" i="1" s="1"/>
  <c r="AA22" i="1"/>
  <c r="J13" i="1"/>
  <c r="AC13" i="1" s="1"/>
  <c r="K9" i="1"/>
  <c r="AD9" i="1" s="1"/>
  <c r="N10" i="1"/>
  <c r="AG10" i="1" s="1"/>
  <c r="I25" i="1"/>
  <c r="AB25" i="1" s="1"/>
  <c r="J19" i="1"/>
  <c r="AC19" i="1" s="1"/>
  <c r="L23" i="1"/>
  <c r="AE23" i="1" s="1"/>
  <c r="N24" i="1"/>
  <c r="AG24" i="1" s="1"/>
  <c r="M16" i="1"/>
  <c r="AF16" i="1" s="1"/>
  <c r="P16" i="1"/>
  <c r="AI16" i="1" s="1"/>
  <c r="AC25" i="1"/>
  <c r="AA24" i="1"/>
  <c r="AD20" i="1"/>
  <c r="F1" i="4"/>
  <c r="I1" i="4"/>
  <c r="AG20" i="1"/>
  <c r="K1" i="4"/>
  <c r="C32" i="4"/>
  <c r="C30" i="4"/>
  <c r="C37" i="4"/>
  <c r="C35" i="4"/>
  <c r="C34" i="4"/>
  <c r="C33" i="4"/>
  <c r="AH20" i="1"/>
  <c r="J1" i="4"/>
  <c r="AE20" i="1"/>
  <c r="G1" i="4"/>
  <c r="C1" i="4"/>
  <c r="AC20" i="1"/>
  <c r="E1" i="4"/>
  <c r="C40" i="4"/>
  <c r="I47" i="1" s="1"/>
  <c r="L47" i="1" s="1"/>
  <c r="C39" i="4"/>
  <c r="I46" i="1" s="1"/>
  <c r="L46" i="1" s="1"/>
  <c r="C38" i="4"/>
  <c r="I45" i="1" s="1"/>
  <c r="L45" i="1" s="1"/>
  <c r="C44" i="4"/>
  <c r="I51" i="1" s="1"/>
  <c r="L51" i="1" s="1"/>
  <c r="C43" i="4"/>
  <c r="C42" i="4"/>
  <c r="I49" i="1" s="1"/>
  <c r="C41" i="4"/>
  <c r="AB20" i="1"/>
  <c r="D1" i="4"/>
  <c r="H1" i="4"/>
  <c r="AF20" i="1"/>
  <c r="E51" i="1"/>
  <c r="E50" i="1"/>
  <c r="I39" i="1" l="1"/>
  <c r="L39" i="1" s="1"/>
  <c r="I40" i="1"/>
  <c r="L40" i="1" s="1"/>
  <c r="I41" i="1"/>
  <c r="L41" i="1" s="1"/>
  <c r="I48" i="1"/>
  <c r="L48" i="1" s="1"/>
  <c r="I42" i="1"/>
  <c r="L42" i="1" s="1"/>
  <c r="I50" i="1"/>
  <c r="L50" i="1" s="1"/>
  <c r="I44" i="1"/>
  <c r="L44" i="1" s="1"/>
  <c r="I37" i="1"/>
  <c r="L37" i="1" s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7" i="1"/>
</calcChain>
</file>

<file path=xl/sharedStrings.xml><?xml version="1.0" encoding="utf-8"?>
<sst xmlns="http://schemas.openxmlformats.org/spreadsheetml/2006/main" count="9135" uniqueCount="412">
  <si>
    <t>R1</t>
  </si>
  <si>
    <t>R2</t>
  </si>
  <si>
    <t>R3</t>
  </si>
  <si>
    <t>R4</t>
  </si>
  <si>
    <t>R5</t>
  </si>
  <si>
    <t>R6</t>
  </si>
  <si>
    <t>R7</t>
  </si>
  <si>
    <t>R8</t>
  </si>
  <si>
    <t>R9</t>
  </si>
  <si>
    <t>S_CSCELC</t>
  </si>
  <si>
    <t>Commercial Space Cooling - ELC</t>
  </si>
  <si>
    <t>CSC-ELC</t>
  </si>
  <si>
    <t>S_CSCNG</t>
  </si>
  <si>
    <t>Commercial Space Cooling - NG</t>
  </si>
  <si>
    <t>CSC-NG</t>
  </si>
  <si>
    <t>S_CSCRF</t>
  </si>
  <si>
    <t>Commercial Space Cooling - Rooftop</t>
  </si>
  <si>
    <t>CSC-RF</t>
  </si>
  <si>
    <t>S_CSCCEN</t>
  </si>
  <si>
    <t>Commercial Space Cooling - Central</t>
  </si>
  <si>
    <t>CSC-CEN</t>
  </si>
  <si>
    <t>S_CSCWWL</t>
  </si>
  <si>
    <t>Commercial Space Cooling - Wall/Wiindow low</t>
  </si>
  <si>
    <t>CSC-WW</t>
  </si>
  <si>
    <t>S_CSCGHP</t>
  </si>
  <si>
    <t>Commercial Space Cooling - GHP</t>
  </si>
  <si>
    <t>CSC-GHP</t>
  </si>
  <si>
    <t>S_CSCAHP</t>
  </si>
  <si>
    <t>Commercial Space Cooling - AHP</t>
  </si>
  <si>
    <t>CSC-AHP</t>
  </si>
  <si>
    <t>S_CSCCC</t>
  </si>
  <si>
    <t>Commercial Space Cooling - Centr. Chiller</t>
  </si>
  <si>
    <t>CSC-CC</t>
  </si>
  <si>
    <t>S_CSCRC</t>
  </si>
  <si>
    <t>Commercial Space Cooling - Reciprocating Chiller</t>
  </si>
  <si>
    <t>CSC-RC</t>
  </si>
  <si>
    <t>S_CCKELC</t>
  </si>
  <si>
    <t>Commercial Cooking - ELC</t>
  </si>
  <si>
    <t>CCK-ELC</t>
  </si>
  <si>
    <t>S_CCKNG</t>
  </si>
  <si>
    <t>Commercial Cooking - NG</t>
  </si>
  <si>
    <t>CCK-NG</t>
  </si>
  <si>
    <t>S_CSHELC</t>
  </si>
  <si>
    <t>Commercial Space Heatng - ELC</t>
  </si>
  <si>
    <t>CSH-ELC</t>
  </si>
  <si>
    <t>S_CSHNG</t>
  </si>
  <si>
    <t>Commercial Space Heatng - NG</t>
  </si>
  <si>
    <t>CSH-NG</t>
  </si>
  <si>
    <t>S_CSHDSL</t>
  </si>
  <si>
    <t>Commercial Space Heating - DSL</t>
  </si>
  <si>
    <t>CSH-DSL</t>
  </si>
  <si>
    <t>S_CSHBLR</t>
  </si>
  <si>
    <t>Commercial Space Heating - Boilers</t>
  </si>
  <si>
    <t>CSH-BLR</t>
  </si>
  <si>
    <t>S_CSHFUR</t>
  </si>
  <si>
    <t>Commercial Space Heating - Furnace</t>
  </si>
  <si>
    <t>CSH-FUR</t>
  </si>
  <si>
    <t>S_CSHELO</t>
  </si>
  <si>
    <t>Commercial Space Heating - ELO</t>
  </si>
  <si>
    <t>CSH-ELO</t>
  </si>
  <si>
    <t>S_CWHELC</t>
  </si>
  <si>
    <t>Commercial Water Heating - ELC</t>
  </si>
  <si>
    <t>CWH-ELC</t>
  </si>
  <si>
    <t>S_CWHNG</t>
  </si>
  <si>
    <t>Commercial Water Heating - NG</t>
  </si>
  <si>
    <t>CWH-NG</t>
  </si>
  <si>
    <t>S_CWHDSL</t>
  </si>
  <si>
    <t>Commercial Water Heating - DSL</t>
  </si>
  <si>
    <t>CWH-DSL</t>
  </si>
  <si>
    <t>S_CWHSOL</t>
  </si>
  <si>
    <t>CWH-SOL</t>
  </si>
  <si>
    <t>S_CVTCAV</t>
  </si>
  <si>
    <t>Commercial Ventilation - CAV</t>
  </si>
  <si>
    <t>CVT-CAV</t>
  </si>
  <si>
    <t>S_CVTVAV</t>
  </si>
  <si>
    <t>Commercial Ventilation - VAV</t>
  </si>
  <si>
    <t>CVT-VAV</t>
  </si>
  <si>
    <t>S_CRFCR</t>
  </si>
  <si>
    <t>Commercial Refrigeration - Central</t>
  </si>
  <si>
    <t>CRF-CEN</t>
  </si>
  <si>
    <t>S_CRFWIC</t>
  </si>
  <si>
    <t>Commercial Refrigeration - Walk-In Cooler</t>
  </si>
  <si>
    <t>CRF-WIC</t>
  </si>
  <si>
    <t>S_CRFWIF</t>
  </si>
  <si>
    <t>Commercial Refrigeration - Walk-In Freezer</t>
  </si>
  <si>
    <t>CRF-WIF</t>
  </si>
  <si>
    <t>S_CRFRIR</t>
  </si>
  <si>
    <t>Commercial Refrigeration - Reach-In Cooler</t>
  </si>
  <si>
    <t>CRF-RIR</t>
  </si>
  <si>
    <t>S_CRFRIF</t>
  </si>
  <si>
    <t>Commercial Refrigeration - Reach-In Freezer</t>
  </si>
  <si>
    <t>CRF-RIF</t>
  </si>
  <si>
    <t>S_CRFICE</t>
  </si>
  <si>
    <t>Commercial Refrigeration - Ice Machine</t>
  </si>
  <si>
    <t>CRF-ICM</t>
  </si>
  <si>
    <t>S_CRFBEV</t>
  </si>
  <si>
    <t>Commercial Refrigeration - Beverage Machine</t>
  </si>
  <si>
    <t>CRF-BEV</t>
  </si>
  <si>
    <t>S_CRFRVM</t>
  </si>
  <si>
    <t>Commercial Refrigeration - Vending Machine</t>
  </si>
  <si>
    <t>CRF-RVM</t>
  </si>
  <si>
    <t>S_CLTINC</t>
  </si>
  <si>
    <t>Commercial Lighting - Incandescent</t>
  </si>
  <si>
    <t>CLT-INC</t>
  </si>
  <si>
    <t>S_CLTCFL</t>
  </si>
  <si>
    <t>Commercial Lighting - Compact Fluorescent</t>
  </si>
  <si>
    <t>CLT-CFL</t>
  </si>
  <si>
    <t>S_CLTT8</t>
  </si>
  <si>
    <t>Commercial Lighting - T8</t>
  </si>
  <si>
    <t>CLT-T8</t>
  </si>
  <si>
    <t>UC_Desc</t>
  </si>
  <si>
    <t>UC_N</t>
  </si>
  <si>
    <t>CSET_CN</t>
  </si>
  <si>
    <t>CSET_SET</t>
  </si>
  <si>
    <t>DEM</t>
  </si>
  <si>
    <t>UC_FLO</t>
  </si>
  <si>
    <t>~UC_T: UC_COMPRD~2055~LO</t>
  </si>
  <si>
    <t>PSET_SET</t>
  </si>
  <si>
    <t>UC_DESC</t>
  </si>
  <si>
    <t>UC_RHSRT</t>
  </si>
  <si>
    <t>UC_RHSRT~0</t>
  </si>
  <si>
    <t>LimType</t>
  </si>
  <si>
    <t>~UC_Sets: R_E: R1,R2,R3,R4,R5,R6,R7,R8,R9</t>
  </si>
  <si>
    <t>~UC_Sets: T_E:</t>
  </si>
  <si>
    <t>S_RLTINC</t>
  </si>
  <si>
    <t>RLT-INC</t>
  </si>
  <si>
    <t>RLT</t>
  </si>
  <si>
    <t>S_RSHDSL</t>
  </si>
  <si>
    <t>RSH-DSL</t>
  </si>
  <si>
    <t>RSH</t>
  </si>
  <si>
    <t>Residential Space Heating - DSL</t>
  </si>
  <si>
    <t>S_RSHELC</t>
  </si>
  <si>
    <t>RSH-ELC</t>
  </si>
  <si>
    <t>Residential Space Heating - ELC</t>
  </si>
  <si>
    <t>S_RSHLPG</t>
  </si>
  <si>
    <t>RSH-LPG</t>
  </si>
  <si>
    <t>Residential Space Heating - LPG</t>
  </si>
  <si>
    <t>S_RSHNG</t>
  </si>
  <si>
    <t>RSH-NG</t>
  </si>
  <si>
    <t>Residential Space Heating - NG</t>
  </si>
  <si>
    <t>S_RSHBIO</t>
  </si>
  <si>
    <t>RSH-BIO</t>
  </si>
  <si>
    <t>FX</t>
  </si>
  <si>
    <t>Residential Space Heating - BIO</t>
  </si>
  <si>
    <t>S_RSHKER</t>
  </si>
  <si>
    <t>RSH-KER</t>
  </si>
  <si>
    <t>Residential Space Heating - KER</t>
  </si>
  <si>
    <t>S_RSHFUR</t>
  </si>
  <si>
    <t>RSH-FUR</t>
  </si>
  <si>
    <t>Residential Space Heating - Furnaces</t>
  </si>
  <si>
    <t>S_RSHRD</t>
  </si>
  <si>
    <t>RSH-RD</t>
  </si>
  <si>
    <t>Residential Space Heating - Radiant</t>
  </si>
  <si>
    <t>S_RWHDSL</t>
  </si>
  <si>
    <t>RWH-DSL</t>
  </si>
  <si>
    <t>RWH</t>
  </si>
  <si>
    <t>Residential Water Heating - DSL</t>
  </si>
  <si>
    <t>S_RWHELC</t>
  </si>
  <si>
    <t>RWH-ELC</t>
  </si>
  <si>
    <t>Residential Water Heating - ELC</t>
  </si>
  <si>
    <t>S_RWHLPG</t>
  </si>
  <si>
    <t>RWH-LPG</t>
  </si>
  <si>
    <t>Residential Water Heating - LPG</t>
  </si>
  <si>
    <t>S_RWHNG</t>
  </si>
  <si>
    <t>RWH-NG</t>
  </si>
  <si>
    <t>Residential Water Heating - NG</t>
  </si>
  <si>
    <t>S_RSCHP</t>
  </si>
  <si>
    <t>RSC-HP</t>
  </si>
  <si>
    <t>RSC</t>
  </si>
  <si>
    <t>Residential Space Cooling - Central Heat Pump</t>
  </si>
  <si>
    <t>S_RSCCAC</t>
  </si>
  <si>
    <t>RSC-CEN</t>
  </si>
  <si>
    <t>Residential Space Cooling - Central AC</t>
  </si>
  <si>
    <t>S_RSCRAC</t>
  </si>
  <si>
    <t>RSC-RAC</t>
  </si>
  <si>
    <t>Residential Space Cooling - Room AC</t>
  </si>
  <si>
    <t>Residential Lighting - Incandescent</t>
  </si>
  <si>
    <t>S_RLTCFL</t>
  </si>
  <si>
    <t>RLT-CFL</t>
  </si>
  <si>
    <t>Residential Lighting - Compact Fluorescent</t>
  </si>
  <si>
    <t>S_RLTLFL</t>
  </si>
  <si>
    <t>RLT-LFL</t>
  </si>
  <si>
    <t>Residential Lighting - Linear Fluorescent</t>
  </si>
  <si>
    <t>S_RLTREF</t>
  </si>
  <si>
    <t>RLT-REF</t>
  </si>
  <si>
    <t>Residential Lighting - Reflector</t>
  </si>
  <si>
    <t>S_RLTEXT</t>
  </si>
  <si>
    <t>RLT-EXT</t>
  </si>
  <si>
    <t>Residential Lighting - Exterior</t>
  </si>
  <si>
    <t>S_RSCNG</t>
  </si>
  <si>
    <t>RSC-NG</t>
  </si>
  <si>
    <t>Residential Space Cooling - Natural Gas</t>
  </si>
  <si>
    <t>S_RLTGSL</t>
  </si>
  <si>
    <t>RLT-GSL</t>
  </si>
  <si>
    <t>Residential Lighting - General Services</t>
  </si>
  <si>
    <t>~UC_T: UC_COMPRD~2011~LO</t>
  </si>
  <si>
    <t>S_CLTT5</t>
  </si>
  <si>
    <t>CLT-T5</t>
  </si>
  <si>
    <t>Commercial Lighting - T5</t>
  </si>
  <si>
    <t>S_CLTHAL</t>
  </si>
  <si>
    <t>CLT-HAL</t>
  </si>
  <si>
    <t>CLT-LED</t>
  </si>
  <si>
    <t>S_CLTLED</t>
  </si>
  <si>
    <t>Commercial Lighting - LED</t>
  </si>
  <si>
    <t xml:space="preserve">Page Fields: </t>
  </si>
  <si>
    <t>Table Name: Commercial Summary</t>
  </si>
  <si>
    <t xml:space="preserve">Active Unit:  </t>
  </si>
  <si>
    <t>Attribute</t>
  </si>
  <si>
    <t>ProcessSet</t>
  </si>
  <si>
    <t>Commodity</t>
  </si>
  <si>
    <t>Process</t>
  </si>
  <si>
    <t>Region\Period</t>
  </si>
  <si>
    <t>CCK-ALL</t>
  </si>
  <si>
    <t>CCKNGC</t>
  </si>
  <si>
    <t>CCKNGCR</t>
  </si>
  <si>
    <t>CCKNGRR</t>
  </si>
  <si>
    <t>CCKELBR</t>
  </si>
  <si>
    <t>CCKELI</t>
  </si>
  <si>
    <t>CLT-ALL</t>
  </si>
  <si>
    <t>CLTCFLR</t>
  </si>
  <si>
    <t>CLTHALR</t>
  </si>
  <si>
    <t>CLTHIDR</t>
  </si>
  <si>
    <t>CLTHLEDHE</t>
  </si>
  <si>
    <t>CLTINCR</t>
  </si>
  <si>
    <t>CLTLED</t>
  </si>
  <si>
    <t>CLTLEDR</t>
  </si>
  <si>
    <t>CLTT5R</t>
  </si>
  <si>
    <t>CLTT8R</t>
  </si>
  <si>
    <t>CRF-ALL</t>
  </si>
  <si>
    <t>CRFBVMR</t>
  </si>
  <si>
    <t>CRFBVMST</t>
  </si>
  <si>
    <t>CRFCENR</t>
  </si>
  <si>
    <t>CRFICMR</t>
  </si>
  <si>
    <t>CRFRIFR</t>
  </si>
  <si>
    <t>CRFRIRR</t>
  </si>
  <si>
    <t>CRFRVMR</t>
  </si>
  <si>
    <t>CRFWIFR</t>
  </si>
  <si>
    <t>CRFWIRR</t>
  </si>
  <si>
    <t>CSC-ALL</t>
  </si>
  <si>
    <t>CSCCHAR</t>
  </si>
  <si>
    <t>CSCNRCR</t>
  </si>
  <si>
    <t>CSCAHPR</t>
  </si>
  <si>
    <t>CSCCACR</t>
  </si>
  <si>
    <t>CSCCCCR</t>
  </si>
  <si>
    <t>CSCCCCST</t>
  </si>
  <si>
    <t>CSCCRCR</t>
  </si>
  <si>
    <t>CSCGHPR</t>
  </si>
  <si>
    <t>CSCRACR</t>
  </si>
  <si>
    <t>CSCWACR</t>
  </si>
  <si>
    <t>CSCWACST</t>
  </si>
  <si>
    <t>CSH-ALL</t>
  </si>
  <si>
    <t>CSHDSBR</t>
  </si>
  <si>
    <t>CSHDSFR</t>
  </si>
  <si>
    <t>CSHNGBR</t>
  </si>
  <si>
    <t>CSHNGFHE</t>
  </si>
  <si>
    <t>CSHNGFR</t>
  </si>
  <si>
    <t>CSHNGFST</t>
  </si>
  <si>
    <t>CSHNHPR</t>
  </si>
  <si>
    <t>CSHAHPMD</t>
  </si>
  <si>
    <t>CSHAHPR</t>
  </si>
  <si>
    <t>CSHAHPST</t>
  </si>
  <si>
    <t>CSHELBR</t>
  </si>
  <si>
    <t>CSHELOR</t>
  </si>
  <si>
    <t>CSHGHPR</t>
  </si>
  <si>
    <t>CVT-ALL</t>
  </si>
  <si>
    <t>CVTCAVR</t>
  </si>
  <si>
    <t>CVTCAVST</t>
  </si>
  <si>
    <t>CVTVAVR</t>
  </si>
  <si>
    <t>CVTVAVST</t>
  </si>
  <si>
    <t>CWH-ALL</t>
  </si>
  <si>
    <t>CWHNWHHE</t>
  </si>
  <si>
    <t>CWHNWHR</t>
  </si>
  <si>
    <t>CWHEHPR</t>
  </si>
  <si>
    <t>CWHEWHR</t>
  </si>
  <si>
    <t>CWHEWHST</t>
  </si>
  <si>
    <t>CWHSLNR</t>
  </si>
  <si>
    <t>VAR_FOut</t>
  </si>
  <si>
    <t>CCK</t>
  </si>
  <si>
    <t>CLT</t>
  </si>
  <si>
    <t>CRF</t>
  </si>
  <si>
    <t>CSC</t>
  </si>
  <si>
    <t>CSH</t>
  </si>
  <si>
    <t>CVT</t>
  </si>
  <si>
    <t>CWH</t>
  </si>
  <si>
    <t>S_CLTHID</t>
  </si>
  <si>
    <t>CLT-HID</t>
  </si>
  <si>
    <t>elc</t>
  </si>
  <si>
    <t>ng</t>
  </si>
  <si>
    <t>Commercial Lighting - HID</t>
  </si>
  <si>
    <t>Commercial Lighting - HAL</t>
  </si>
  <si>
    <t>CLTCFL</t>
  </si>
  <si>
    <t>CLTHAL</t>
  </si>
  <si>
    <t>CLTHID</t>
  </si>
  <si>
    <t>CLTINC</t>
  </si>
  <si>
    <t>CLTT5</t>
  </si>
  <si>
    <t>CLTT8</t>
  </si>
  <si>
    <t>CRFCENST</t>
  </si>
  <si>
    <t>CRFICMHE</t>
  </si>
  <si>
    <t>CRFICMST</t>
  </si>
  <si>
    <t>CRFRIFST</t>
  </si>
  <si>
    <t>CRFRIRST</t>
  </si>
  <si>
    <t>CRFRVMST</t>
  </si>
  <si>
    <t>CRFWIFST</t>
  </si>
  <si>
    <t>CSCNCEST</t>
  </si>
  <si>
    <t>CSCNHPST</t>
  </si>
  <si>
    <t>CSCAHPMD</t>
  </si>
  <si>
    <t>CSCAHPST</t>
  </si>
  <si>
    <t>CSCCACMD</t>
  </si>
  <si>
    <t>CSCCACST</t>
  </si>
  <si>
    <t>CSCCRCST</t>
  </si>
  <si>
    <t>CSCGHPMD</t>
  </si>
  <si>
    <t>CSCGHPST</t>
  </si>
  <si>
    <t>CSCRACMD</t>
  </si>
  <si>
    <t>CSCRACST</t>
  </si>
  <si>
    <t>CSHDSFST</t>
  </si>
  <si>
    <t>CSHNGBST</t>
  </si>
  <si>
    <t>CSHELBST</t>
  </si>
  <si>
    <t>CSHELOST</t>
  </si>
  <si>
    <t>CWHDWHR</t>
  </si>
  <si>
    <t>CWHEHPHE</t>
  </si>
  <si>
    <t>CWHSLNST</t>
  </si>
  <si>
    <t>CSHDSBST</t>
  </si>
  <si>
    <t>CWHDWHST</t>
  </si>
  <si>
    <t>CWHNWHST</t>
  </si>
  <si>
    <t>CMISC</t>
  </si>
  <si>
    <t>CMD</t>
  </si>
  <si>
    <t>CMDSLBS</t>
  </si>
  <si>
    <t>CME</t>
  </si>
  <si>
    <t>CMELCBS</t>
  </si>
  <si>
    <t>CML</t>
  </si>
  <si>
    <t>CMLPGBS</t>
  </si>
  <si>
    <t>CMN</t>
  </si>
  <si>
    <t>CMNGABS</t>
  </si>
  <si>
    <t>CMR</t>
  </si>
  <si>
    <t>CMRFLBS</t>
  </si>
  <si>
    <t>COF</t>
  </si>
  <si>
    <t>COFELCBS</t>
  </si>
  <si>
    <t>CRFWIRST</t>
  </si>
  <si>
    <t>Table Name: Residential Summary</t>
  </si>
  <si>
    <t>VAR_FIn</t>
  </si>
  <si>
    <t>RES-PV</t>
  </si>
  <si>
    <t>SOL</t>
  </si>
  <si>
    <t>ESOLPVRES</t>
  </si>
  <si>
    <t>RFZ</t>
  </si>
  <si>
    <t>ELC</t>
  </si>
  <si>
    <t>RFZCV1</t>
  </si>
  <si>
    <t>RFZR</t>
  </si>
  <si>
    <t>RLT-ALL</t>
  </si>
  <si>
    <t>RLTECFLR</t>
  </si>
  <si>
    <t>RLTEHPSR</t>
  </si>
  <si>
    <t>RLTEINCR</t>
  </si>
  <si>
    <t>RLTGCFLR</t>
  </si>
  <si>
    <t>RLTGINCR</t>
  </si>
  <si>
    <t>RLTGLED</t>
  </si>
  <si>
    <t>RLTGLEDR</t>
  </si>
  <si>
    <t>RLTLT12R</t>
  </si>
  <si>
    <t>RLTLT8</t>
  </si>
  <si>
    <t>RLTLT8R</t>
  </si>
  <si>
    <t>RLTRCFLR</t>
  </si>
  <si>
    <t>RLTRHALR</t>
  </si>
  <si>
    <t>RLTRINCR</t>
  </si>
  <si>
    <t>RMISC</t>
  </si>
  <si>
    <t>ROTHCELC</t>
  </si>
  <si>
    <t>RESLPG</t>
  </si>
  <si>
    <t>ROTHLPG</t>
  </si>
  <si>
    <t>RESNGA</t>
  </si>
  <si>
    <t>ROTHNGA</t>
  </si>
  <si>
    <t>RRF</t>
  </si>
  <si>
    <t>RRFR</t>
  </si>
  <si>
    <t>RRFTFV1</t>
  </si>
  <si>
    <t>RSC-ALL</t>
  </si>
  <si>
    <t>RSCCACR</t>
  </si>
  <si>
    <t>RSCEHPR</t>
  </si>
  <si>
    <t>RSCEHPV1</t>
  </si>
  <si>
    <t>RSCEHPV2</t>
  </si>
  <si>
    <t>RSCGHPR</t>
  </si>
  <si>
    <t>RSCRACR</t>
  </si>
  <si>
    <t>RSCNHPR</t>
  </si>
  <si>
    <t>RSH-ALL</t>
  </si>
  <si>
    <t>RSHEHPR</t>
  </si>
  <si>
    <t>RSHEHPV1</t>
  </si>
  <si>
    <t>RSHEHPV2</t>
  </si>
  <si>
    <t>RSHERDR</t>
  </si>
  <si>
    <t>RSHGHPR</t>
  </si>
  <si>
    <t>RESBIO</t>
  </si>
  <si>
    <t>RSHWDHR</t>
  </si>
  <si>
    <t>RSHWDHV1</t>
  </si>
  <si>
    <t>RESDSL</t>
  </si>
  <si>
    <t>RSHDFRR</t>
  </si>
  <si>
    <t>RSHDRDR</t>
  </si>
  <si>
    <t>RESKER</t>
  </si>
  <si>
    <t>RSHKFRR</t>
  </si>
  <si>
    <t>RSHLFRR</t>
  </si>
  <si>
    <t>RSHNFRR</t>
  </si>
  <si>
    <t>RSHNHPR</t>
  </si>
  <si>
    <t>RSHNRDR</t>
  </si>
  <si>
    <t>RWH-ALL</t>
  </si>
  <si>
    <t>RWHEWHR</t>
  </si>
  <si>
    <t>RWHEWHV1</t>
  </si>
  <si>
    <t>RWHEWHV2</t>
  </si>
  <si>
    <t>RWHEWHV3</t>
  </si>
  <si>
    <t>RWHSWHR</t>
  </si>
  <si>
    <t>RWHDWHR</t>
  </si>
  <si>
    <t>RWHLWHR</t>
  </si>
  <si>
    <t>RWHNWHR</t>
  </si>
  <si>
    <t>RWHNWHV1</t>
  </si>
  <si>
    <t>ROE</t>
  </si>
  <si>
    <t>ROG</t>
  </si>
  <si>
    <t>ROL</t>
  </si>
  <si>
    <t>RLT-LED</t>
  </si>
  <si>
    <t>S_RLTLED</t>
  </si>
  <si>
    <t>~UC_T: UC_COMPRD~2020~LO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</si>
</sst>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"/>
    <numFmt numFmtId="166" formatCode="#.00"/>
    <numFmt numFmtId="167" formatCode="#."/>
    <numFmt numFmtId="168" formatCode="m\o\n\th\ d\,\ yyyy"/>
    <numFmt numFmtId="169" formatCode="_-* #,##0.00_-;\-* #,##0.00_-;_-* &quot;-&quot;??_-;_-@_-"/>
    <numFmt numFmtId="170" formatCode="_-&quot;$&quot;* #,##0.00_-;\-&quot;$&quot;* #,##0.00_-;_-&quot;$&quot;* &quot;-&quot;??_-;_-@_-"/>
    <numFmt numFmtId="171" formatCode="yyyy"/>
    <numFmt numFmtId="172" formatCode="0.0000"/>
  </numFmts>
  <fonts count="5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Helv"/>
    </font>
    <font>
      <sz val="10"/>
      <name val="MS Sans Serif"/>
      <family val="2"/>
    </font>
    <font>
      <sz val="10"/>
      <name val="Verdana"/>
      <family val="2"/>
    </font>
    <font>
      <u/>
      <sz val="11"/>
      <color indexed="12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8000000000000007"/>
      <color theme="10"/>
      <name val="Calibri"/>
      <family val="2"/>
    </font>
    <font>
      <u/>
      <sz val="8.25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3">
    <xf numFmtId="0" fontId="0" fillId="0" borderId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0" fillId="31" borderId="0" applyNumberFormat="0" applyBorder="0" applyAlignment="0" applyProtection="0"/>
    <xf numFmtId="0" fontId="16" fillId="7" borderId="0" applyNumberFormat="0" applyBorder="0" applyAlignment="0" applyProtection="0"/>
    <xf numFmtId="0" fontId="30" fillId="32" borderId="0" applyNumberFormat="0" applyBorder="0" applyAlignment="0" applyProtection="0"/>
    <xf numFmtId="0" fontId="16" fillId="5" borderId="0" applyNumberFormat="0" applyBorder="0" applyAlignment="0" applyProtection="0"/>
    <xf numFmtId="0" fontId="30" fillId="33" borderId="0" applyNumberFormat="0" applyBorder="0" applyAlignment="0" applyProtection="0"/>
    <xf numFmtId="0" fontId="16" fillId="6" borderId="0" applyNumberFormat="0" applyBorder="0" applyAlignment="0" applyProtection="0"/>
    <xf numFmtId="0" fontId="30" fillId="34" borderId="0" applyNumberFormat="0" applyBorder="0" applyAlignment="0" applyProtection="0"/>
    <xf numFmtId="0" fontId="16" fillId="8" borderId="0" applyNumberFormat="0" applyBorder="0" applyAlignment="0" applyProtection="0"/>
    <xf numFmtId="0" fontId="30" fillId="35" borderId="0" applyNumberFormat="0" applyBorder="0" applyAlignment="0" applyProtection="0"/>
    <xf numFmtId="0" fontId="16" fillId="9" borderId="0" applyNumberFormat="0" applyBorder="0" applyAlignment="0" applyProtection="0"/>
    <xf numFmtId="0" fontId="30" fillId="36" borderId="0" applyNumberFormat="0" applyBorder="0" applyAlignment="0" applyProtection="0"/>
    <xf numFmtId="0" fontId="16" fillId="10" borderId="0" applyNumberFormat="0" applyBorder="0" applyAlignment="0" applyProtection="0"/>
    <xf numFmtId="0" fontId="30" fillId="37" borderId="0" applyNumberFormat="0" applyBorder="0" applyAlignment="0" applyProtection="0"/>
    <xf numFmtId="0" fontId="16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38" borderId="0" applyNumberFormat="0" applyBorder="0" applyAlignment="0" applyProtection="0"/>
    <xf numFmtId="0" fontId="16" fillId="12" borderId="0" applyNumberFormat="0" applyBorder="0" applyAlignment="0" applyProtection="0"/>
    <xf numFmtId="0" fontId="30" fillId="39" borderId="0" applyNumberFormat="0" applyBorder="0" applyAlignment="0" applyProtection="0"/>
    <xf numFmtId="0" fontId="16" fillId="13" borderId="0" applyNumberFormat="0" applyBorder="0" applyAlignment="0" applyProtection="0"/>
    <xf numFmtId="0" fontId="30" fillId="40" borderId="0" applyNumberFormat="0" applyBorder="0" applyAlignment="0" applyProtection="0"/>
    <xf numFmtId="0" fontId="16" fillId="8" borderId="0" applyNumberFormat="0" applyBorder="0" applyAlignment="0" applyProtection="0"/>
    <xf numFmtId="0" fontId="30" fillId="41" borderId="0" applyNumberFormat="0" applyBorder="0" applyAlignment="0" applyProtection="0"/>
    <xf numFmtId="0" fontId="16" fillId="9" borderId="0" applyNumberFormat="0" applyBorder="0" applyAlignment="0" applyProtection="0"/>
    <xf numFmtId="0" fontId="30" fillId="42" borderId="0" applyNumberFormat="0" applyBorder="0" applyAlignment="0" applyProtection="0"/>
    <xf numFmtId="0" fontId="16" fillId="14" borderId="0" applyNumberFormat="0" applyBorder="0" applyAlignment="0" applyProtection="0"/>
    <xf numFmtId="0" fontId="31" fillId="43" borderId="0" applyNumberFormat="0" applyBorder="0" applyAlignment="0" applyProtection="0"/>
    <xf numFmtId="0" fontId="7" fillId="2" borderId="0" applyNumberFormat="0" applyBorder="0" applyAlignment="0" applyProtection="0"/>
    <xf numFmtId="0" fontId="32" fillId="44" borderId="10" applyNumberFormat="0" applyAlignment="0" applyProtection="0"/>
    <xf numFmtId="0" fontId="11" fillId="15" borderId="1" applyNumberFormat="0" applyAlignment="0" applyProtection="0"/>
    <xf numFmtId="0" fontId="33" fillId="45" borderId="11" applyNumberFormat="0" applyAlignment="0" applyProtection="0"/>
    <xf numFmtId="0" fontId="13" fillId="16" borderId="2" applyNumberForma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29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20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0" fontId="3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6" fontId="20" fillId="0" borderId="0">
      <protection locked="0"/>
    </xf>
    <xf numFmtId="166" fontId="20" fillId="0" borderId="0">
      <protection locked="0"/>
    </xf>
    <xf numFmtId="166" fontId="20" fillId="0" borderId="0">
      <protection locked="0"/>
    </xf>
    <xf numFmtId="166" fontId="20" fillId="0" borderId="0">
      <protection locked="0"/>
    </xf>
    <xf numFmtId="0" fontId="35" fillId="46" borderId="0" applyNumberFormat="0" applyBorder="0" applyAlignment="0" applyProtection="0"/>
    <xf numFmtId="0" fontId="6" fillId="3" borderId="0" applyNumberFormat="0" applyBorder="0" applyAlignment="0" applyProtection="0"/>
    <xf numFmtId="0" fontId="36" fillId="0" borderId="12" applyNumberFormat="0" applyFill="0" applyAlignment="0" applyProtection="0"/>
    <xf numFmtId="0" fontId="3" fillId="0" borderId="3" applyNumberFormat="0" applyFill="0" applyAlignment="0" applyProtection="0"/>
    <xf numFmtId="0" fontId="37" fillId="0" borderId="13" applyNumberFormat="0" applyFill="0" applyAlignment="0" applyProtection="0"/>
    <xf numFmtId="0" fontId="4" fillId="0" borderId="4" applyNumberFormat="0" applyFill="0" applyAlignment="0" applyProtection="0"/>
    <xf numFmtId="0" fontId="38" fillId="0" borderId="14" applyNumberFormat="0" applyFill="0" applyAlignment="0" applyProtection="0"/>
    <xf numFmtId="0" fontId="5" fillId="0" borderId="5" applyNumberFormat="0" applyFill="0" applyAlignment="0" applyProtection="0"/>
    <xf numFmtId="0" fontId="3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47" borderId="10" applyNumberFormat="0" applyAlignment="0" applyProtection="0"/>
    <xf numFmtId="0" fontId="9" fillId="4" borderId="1" applyNumberFormat="0" applyAlignment="0" applyProtection="0"/>
    <xf numFmtId="0" fontId="43" fillId="0" borderId="15" applyNumberFormat="0" applyFill="0" applyAlignment="0" applyProtection="0"/>
    <xf numFmtId="0" fontId="12" fillId="0" borderId="6" applyNumberFormat="0" applyFill="0" applyAlignment="0" applyProtection="0"/>
    <xf numFmtId="0" fontId="44" fillId="48" borderId="0" applyNumberFormat="0" applyBorder="0" applyAlignment="0" applyProtection="0"/>
    <xf numFmtId="0" fontId="8" fillId="17" borderId="0" applyNumberFormat="0" applyBorder="0" applyAlignment="0" applyProtection="0"/>
    <xf numFmtId="0" fontId="18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29" fillId="0" borderId="0"/>
    <xf numFmtId="0" fontId="18" fillId="0" borderId="0"/>
    <xf numFmtId="0" fontId="18" fillId="0" borderId="0"/>
    <xf numFmtId="0" fontId="18" fillId="0" borderId="0"/>
    <xf numFmtId="0" fontId="45" fillId="0" borderId="0"/>
    <xf numFmtId="0" fontId="29" fillId="0" borderId="0"/>
    <xf numFmtId="0" fontId="25" fillId="0" borderId="0"/>
    <xf numFmtId="0" fontId="18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18" fillId="0" borderId="0"/>
    <xf numFmtId="0" fontId="29" fillId="0" borderId="0"/>
    <xf numFmtId="0" fontId="24" fillId="0" borderId="0"/>
    <xf numFmtId="0" fontId="46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47" fillId="0" borderId="0"/>
    <xf numFmtId="0" fontId="2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24" fillId="0" borderId="0"/>
    <xf numFmtId="0" fontId="29" fillId="0" borderId="0"/>
    <xf numFmtId="0" fontId="18" fillId="0" borderId="0"/>
    <xf numFmtId="0" fontId="18" fillId="0" borderId="0"/>
    <xf numFmtId="0" fontId="18" fillId="0" borderId="0"/>
    <xf numFmtId="0" fontId="45" fillId="0" borderId="0"/>
    <xf numFmtId="0" fontId="25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25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9" fillId="0" borderId="0"/>
    <xf numFmtId="0" fontId="24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29" fillId="0" borderId="0"/>
    <xf numFmtId="0" fontId="18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24" fillId="0" borderId="0"/>
    <xf numFmtId="0" fontId="19" fillId="0" borderId="0"/>
    <xf numFmtId="0" fontId="19" fillId="0" borderId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8" fillId="0" borderId="0"/>
    <xf numFmtId="0" fontId="29" fillId="0" borderId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9" fillId="49" borderId="16" applyNumberFormat="0" applyFont="0" applyAlignment="0" applyProtection="0"/>
    <xf numFmtId="0" fontId="29" fillId="49" borderId="16" applyNumberFormat="0" applyFont="0" applyAlignment="0" applyProtection="0"/>
    <xf numFmtId="0" fontId="29" fillId="49" borderId="16" applyNumberFormat="0" applyFont="0" applyAlignment="0" applyProtection="0"/>
    <xf numFmtId="0" fontId="29" fillId="49" borderId="16" applyNumberFormat="0" applyFont="0" applyAlignment="0" applyProtection="0"/>
    <xf numFmtId="0" fontId="49" fillId="44" borderId="17" applyNumberFormat="0" applyAlignment="0" applyProtection="0"/>
    <xf numFmtId="0" fontId="10" fillId="15" borderId="7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8" fillId="0" borderId="0"/>
    <xf numFmtId="171" fontId="18" fillId="0" borderId="0" applyFill="0" applyBorder="0" applyAlignment="0" applyProtection="0">
      <alignment wrapText="1"/>
    </xf>
    <xf numFmtId="171" fontId="18" fillId="0" borderId="0" applyFill="0" applyBorder="0" applyAlignment="0" applyProtection="0">
      <alignment wrapText="1"/>
    </xf>
    <xf numFmtId="0" fontId="22" fillId="0" borderId="0" applyNumberFormat="0" applyFill="0" applyBorder="0">
      <alignment horizontal="center" wrapText="1"/>
    </xf>
    <xf numFmtId="0" fontId="22" fillId="0" borderId="0" applyNumberFormat="0" applyFill="0" applyBorder="0">
      <alignment horizontal="center" wrapText="1"/>
    </xf>
    <xf numFmtId="0" fontId="5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1" fillId="0" borderId="18" applyNumberFormat="0" applyFill="0" applyAlignment="0" applyProtection="0"/>
    <xf numFmtId="167" fontId="20" fillId="0" borderId="8">
      <protection locked="0"/>
    </xf>
    <xf numFmtId="167" fontId="20" fillId="0" borderId="8">
      <protection locked="0"/>
    </xf>
    <xf numFmtId="167" fontId="20" fillId="0" borderId="8">
      <protection locked="0"/>
    </xf>
    <xf numFmtId="167" fontId="20" fillId="0" borderId="8">
      <protection locked="0"/>
    </xf>
    <xf numFmtId="167" fontId="20" fillId="0" borderId="8">
      <protection locked="0"/>
    </xf>
    <xf numFmtId="167" fontId="20" fillId="0" borderId="8">
      <protection locked="0"/>
    </xf>
    <xf numFmtId="167" fontId="20" fillId="0" borderId="8">
      <protection locked="0"/>
    </xf>
    <xf numFmtId="0" fontId="52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18" borderId="9" xfId="137" applyFont="1" applyFill="1" applyBorder="1"/>
    <xf numFmtId="0" fontId="0" fillId="0" borderId="0" xfId="0"/>
    <xf numFmtId="0" fontId="18" fillId="0" borderId="0" xfId="164"/>
    <xf numFmtId="0" fontId="0" fillId="0" borderId="0" xfId="0"/>
    <xf numFmtId="0" fontId="18" fillId="18" borderId="0" xfId="137" applyFont="1" applyFill="1" applyBorder="1"/>
    <xf numFmtId="2" fontId="0" fillId="0" borderId="0" xfId="0" applyNumberFormat="1"/>
    <xf numFmtId="1" fontId="28" fillId="0" borderId="0" xfId="0" applyNumberFormat="1" applyFont="1" applyFill="1" applyAlignment="1">
      <alignment horizontal="right"/>
    </xf>
    <xf numFmtId="165" fontId="28" fillId="0" borderId="0" xfId="0" applyNumberFormat="1" applyFont="1" applyFill="1" applyAlignment="1">
      <alignment horizontal="right"/>
    </xf>
    <xf numFmtId="2" fontId="28" fillId="0" borderId="0" xfId="0" applyNumberFormat="1" applyFont="1" applyFill="1" applyAlignment="1">
      <alignment horizontal="right"/>
    </xf>
    <xf numFmtId="0" fontId="0" fillId="0" borderId="0" xfId="0"/>
    <xf numFmtId="2" fontId="52" fillId="0" borderId="0" xfId="0" applyNumberFormat="1" applyFont="1"/>
    <xf numFmtId="165" fontId="0" fillId="0" borderId="0" xfId="0" applyNumberFormat="1"/>
    <xf numFmtId="0" fontId="52" fillId="0" borderId="0" xfId="0" applyFont="1"/>
    <xf numFmtId="172" fontId="0" fillId="0" borderId="0" xfId="0" applyNumberFormat="1"/>
    <xf numFmtId="0" fontId="53" fillId="0" borderId="0" xfId="0" applyFont="1"/>
    <xf numFmtId="165" fontId="52" fillId="0" borderId="0" xfId="0" applyNumberFormat="1" applyFont="1"/>
  </cellXfs>
  <cellStyles count="473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3 3" xfId="19" xr:uid="{00000000-0005-0000-0000-000012000000}"/>
    <cellStyle name="40% - Accent3 3 2" xfId="20" xr:uid="{00000000-0005-0000-0000-000013000000}"/>
    <cellStyle name="40% - Accent3 4" xfId="21" xr:uid="{00000000-0005-0000-0000-000014000000}"/>
    <cellStyle name="40% - Accent4" xfId="22" builtinId="43" customBuiltin="1"/>
    <cellStyle name="40% - Accent4 2" xfId="23" xr:uid="{00000000-0005-0000-0000-000016000000}"/>
    <cellStyle name="40% - Accent5" xfId="24" builtinId="47" customBuiltin="1"/>
    <cellStyle name="40% - Accent5 2" xfId="25" xr:uid="{00000000-0005-0000-0000-000018000000}"/>
    <cellStyle name="40% - Accent6" xfId="26" builtinId="51" customBuiltin="1"/>
    <cellStyle name="40% - Accent6 2" xfId="27" xr:uid="{00000000-0005-0000-0000-00001A000000}"/>
    <cellStyle name="60% - Accent1" xfId="28" builtinId="32" customBuiltin="1"/>
    <cellStyle name="60% - Accent1 2" xfId="29" xr:uid="{00000000-0005-0000-0000-00001C000000}"/>
    <cellStyle name="60% - Accent2" xfId="30" builtinId="36" customBuiltin="1"/>
    <cellStyle name="60% - Accent2 2" xfId="31" xr:uid="{00000000-0005-0000-0000-00001E000000}"/>
    <cellStyle name="60% - Accent3" xfId="32" builtinId="40" customBuiltin="1"/>
    <cellStyle name="60% - Accent3 2" xfId="33" xr:uid="{00000000-0005-0000-0000-000020000000}"/>
    <cellStyle name="60% - Accent4" xfId="34" builtinId="44" customBuiltin="1"/>
    <cellStyle name="60% - Accent4 2" xfId="35" xr:uid="{00000000-0005-0000-0000-000022000000}"/>
    <cellStyle name="60% - Accent5" xfId="36" builtinId="48" customBuiltin="1"/>
    <cellStyle name="60% - Accent5 2" xfId="37" xr:uid="{00000000-0005-0000-0000-000024000000}"/>
    <cellStyle name="60% - Accent6" xfId="38" builtinId="52" customBuiltin="1"/>
    <cellStyle name="60% - Accent6 2" xfId="39" xr:uid="{00000000-0005-0000-0000-000026000000}"/>
    <cellStyle name="Accent1" xfId="40" builtinId="29" customBuiltin="1"/>
    <cellStyle name="Accent1 2" xfId="41" xr:uid="{00000000-0005-0000-0000-000028000000}"/>
    <cellStyle name="Accent1 2 2" xfId="42" xr:uid="{00000000-0005-0000-0000-000029000000}"/>
    <cellStyle name="Accent2" xfId="43" builtinId="33" customBuiltin="1"/>
    <cellStyle name="Accent2 2" xfId="44" xr:uid="{00000000-0005-0000-0000-00002B000000}"/>
    <cellStyle name="Accent3" xfId="45" builtinId="37" customBuiltin="1"/>
    <cellStyle name="Accent3 2" xfId="46" xr:uid="{00000000-0005-0000-0000-00002D000000}"/>
    <cellStyle name="Accent4" xfId="47" builtinId="41" customBuiltin="1"/>
    <cellStyle name="Accent4 2" xfId="48" xr:uid="{00000000-0005-0000-0000-00002F000000}"/>
    <cellStyle name="Accent5" xfId="49" builtinId="45" customBuiltin="1"/>
    <cellStyle name="Accent5 2" xfId="50" xr:uid="{00000000-0005-0000-0000-000031000000}"/>
    <cellStyle name="Accent6" xfId="51" builtinId="49" customBuiltin="1"/>
    <cellStyle name="Accent6 2" xfId="52" xr:uid="{00000000-0005-0000-0000-000033000000}"/>
    <cellStyle name="Bad" xfId="53" builtinId="27" customBuiltin="1"/>
    <cellStyle name="Bad 2" xfId="54" xr:uid="{00000000-0005-0000-0000-000035000000}"/>
    <cellStyle name="Calculation" xfId="55" builtinId="22" customBuiltin="1"/>
    <cellStyle name="Calculation 2" xfId="56" xr:uid="{00000000-0005-0000-0000-000037000000}"/>
    <cellStyle name="Check Cell" xfId="57" builtinId="23" customBuiltin="1"/>
    <cellStyle name="Check Cell 2" xfId="58" xr:uid="{00000000-0005-0000-0000-000039000000}"/>
    <cellStyle name="Comma 2" xfId="59" xr:uid="{00000000-0005-0000-0000-00003A000000}"/>
    <cellStyle name="Comma 2 2" xfId="60" xr:uid="{00000000-0005-0000-0000-00003B000000}"/>
    <cellStyle name="Comma 2 2 2" xfId="61" xr:uid="{00000000-0005-0000-0000-00003C000000}"/>
    <cellStyle name="Comma 2 2 3" xfId="62" xr:uid="{00000000-0005-0000-0000-00003D000000}"/>
    <cellStyle name="Comma 2 3" xfId="63" xr:uid="{00000000-0005-0000-0000-00003E000000}"/>
    <cellStyle name="Comma 2 4" xfId="64" xr:uid="{00000000-0005-0000-0000-00003F000000}"/>
    <cellStyle name="Comma 3" xfId="65" xr:uid="{00000000-0005-0000-0000-000040000000}"/>
    <cellStyle name="Comma 3 2" xfId="66" xr:uid="{00000000-0005-0000-0000-000041000000}"/>
    <cellStyle name="Comma 3 2 2" xfId="67" xr:uid="{00000000-0005-0000-0000-000042000000}"/>
    <cellStyle name="Comma 3 2 3" xfId="68" xr:uid="{00000000-0005-0000-0000-000043000000}"/>
    <cellStyle name="Comma 3 3" xfId="69" xr:uid="{00000000-0005-0000-0000-000044000000}"/>
    <cellStyle name="Comma 4" xfId="70" xr:uid="{00000000-0005-0000-0000-000045000000}"/>
    <cellStyle name="Comma 4 2" xfId="71" xr:uid="{00000000-0005-0000-0000-000046000000}"/>
    <cellStyle name="Comma 4 2 2" xfId="72" xr:uid="{00000000-0005-0000-0000-000047000000}"/>
    <cellStyle name="Comma 4 2 2 2" xfId="73" xr:uid="{00000000-0005-0000-0000-000048000000}"/>
    <cellStyle name="Comma 4 3" xfId="74" xr:uid="{00000000-0005-0000-0000-000049000000}"/>
    <cellStyle name="Comma 4 3 2" xfId="75" xr:uid="{00000000-0005-0000-0000-00004A000000}"/>
    <cellStyle name="Comma 4 4" xfId="76" xr:uid="{00000000-0005-0000-0000-00004B000000}"/>
    <cellStyle name="Comma 4 4 2" xfId="77" xr:uid="{00000000-0005-0000-0000-00004C000000}"/>
    <cellStyle name="Comma 4 5" xfId="78" xr:uid="{00000000-0005-0000-0000-00004D000000}"/>
    <cellStyle name="Comma 5" xfId="79" xr:uid="{00000000-0005-0000-0000-00004E000000}"/>
    <cellStyle name="Currency 2" xfId="80" xr:uid="{00000000-0005-0000-0000-00004F000000}"/>
    <cellStyle name="Currency 2 2" xfId="81" xr:uid="{00000000-0005-0000-0000-000050000000}"/>
    <cellStyle name="Currency 2 2 2" xfId="82" xr:uid="{00000000-0005-0000-0000-000051000000}"/>
    <cellStyle name="Currency 2 2 2 2" xfId="83" xr:uid="{00000000-0005-0000-0000-000052000000}"/>
    <cellStyle name="Currency 2 2 2 3" xfId="84" xr:uid="{00000000-0005-0000-0000-000053000000}"/>
    <cellStyle name="Currency 2 2 3" xfId="85" xr:uid="{00000000-0005-0000-0000-000054000000}"/>
    <cellStyle name="Currency 2 3" xfId="86" xr:uid="{00000000-0005-0000-0000-000055000000}"/>
    <cellStyle name="Currency 2 3 2" xfId="87" xr:uid="{00000000-0005-0000-0000-000056000000}"/>
    <cellStyle name="Currency 2 3 3" xfId="88" xr:uid="{00000000-0005-0000-0000-000057000000}"/>
    <cellStyle name="Currency 2 4" xfId="89" xr:uid="{00000000-0005-0000-0000-000058000000}"/>
    <cellStyle name="Currency 2 4 2" xfId="90" xr:uid="{00000000-0005-0000-0000-000059000000}"/>
    <cellStyle name="Currency 2 5" xfId="91" xr:uid="{00000000-0005-0000-0000-00005A000000}"/>
    <cellStyle name="Currency 3" xfId="92" xr:uid="{00000000-0005-0000-0000-00005B000000}"/>
    <cellStyle name="Currency 3 2" xfId="93" xr:uid="{00000000-0005-0000-0000-00005C000000}"/>
    <cellStyle name="Currency 3 2 2" xfId="94" xr:uid="{00000000-0005-0000-0000-00005D000000}"/>
    <cellStyle name="Currency 3 3" xfId="95" xr:uid="{00000000-0005-0000-0000-00005E000000}"/>
    <cellStyle name="Date" xfId="96" xr:uid="{00000000-0005-0000-0000-00005F000000}"/>
    <cellStyle name="Date 2" xfId="97" xr:uid="{00000000-0005-0000-0000-000060000000}"/>
    <cellStyle name="Date 2 2" xfId="98" xr:uid="{00000000-0005-0000-0000-000061000000}"/>
    <cellStyle name="Date 2 3" xfId="99" xr:uid="{00000000-0005-0000-0000-000062000000}"/>
    <cellStyle name="Explanatory Text" xfId="100" builtinId="53" customBuiltin="1"/>
    <cellStyle name="Explanatory Text 2" xfId="101" xr:uid="{00000000-0005-0000-0000-000064000000}"/>
    <cellStyle name="Fixed" xfId="102" xr:uid="{00000000-0005-0000-0000-000065000000}"/>
    <cellStyle name="Fixed 2" xfId="103" xr:uid="{00000000-0005-0000-0000-000066000000}"/>
    <cellStyle name="Fixed 2 2" xfId="104" xr:uid="{00000000-0005-0000-0000-000067000000}"/>
    <cellStyle name="Fixed 2 3" xfId="105" xr:uid="{00000000-0005-0000-0000-000068000000}"/>
    <cellStyle name="Good" xfId="106" builtinId="26" customBuiltin="1"/>
    <cellStyle name="Good 2" xfId="107" xr:uid="{00000000-0005-0000-0000-00006A000000}"/>
    <cellStyle name="Heading 1" xfId="108" builtinId="16" customBuiltin="1"/>
    <cellStyle name="Heading 1 2" xfId="109" xr:uid="{00000000-0005-0000-0000-00006C000000}"/>
    <cellStyle name="Heading 2" xfId="110" builtinId="17" customBuiltin="1"/>
    <cellStyle name="Heading 2 2" xfId="111" xr:uid="{00000000-0005-0000-0000-00006E000000}"/>
    <cellStyle name="Heading 3" xfId="112" builtinId="18" customBuiltin="1"/>
    <cellStyle name="Heading 3 2" xfId="113" xr:uid="{00000000-0005-0000-0000-000070000000}"/>
    <cellStyle name="Heading 4" xfId="114" builtinId="19" customBuiltin="1"/>
    <cellStyle name="Heading 4 2" xfId="115" xr:uid="{00000000-0005-0000-0000-000072000000}"/>
    <cellStyle name="Heading1" xfId="116" xr:uid="{00000000-0005-0000-0000-000073000000}"/>
    <cellStyle name="Heading1 2" xfId="117" xr:uid="{00000000-0005-0000-0000-000074000000}"/>
    <cellStyle name="Heading1 2 2" xfId="118" xr:uid="{00000000-0005-0000-0000-000075000000}"/>
    <cellStyle name="Heading1 2 3" xfId="119" xr:uid="{00000000-0005-0000-0000-000076000000}"/>
    <cellStyle name="Heading2" xfId="120" xr:uid="{00000000-0005-0000-0000-000077000000}"/>
    <cellStyle name="Heading2 2" xfId="121" xr:uid="{00000000-0005-0000-0000-000078000000}"/>
    <cellStyle name="Heading2 2 2" xfId="122" xr:uid="{00000000-0005-0000-0000-000079000000}"/>
    <cellStyle name="Heading2 2 3" xfId="123" xr:uid="{00000000-0005-0000-0000-00007A000000}"/>
    <cellStyle name="Hyperlink 2" xfId="124" xr:uid="{00000000-0005-0000-0000-00007B000000}"/>
    <cellStyle name="Hyperlink 2 2" xfId="125" xr:uid="{00000000-0005-0000-0000-00007C000000}"/>
    <cellStyle name="Hyperlink 2 3" xfId="126" xr:uid="{00000000-0005-0000-0000-00007D000000}"/>
    <cellStyle name="Hyperlink 2 4" xfId="127" xr:uid="{00000000-0005-0000-0000-00007E000000}"/>
    <cellStyle name="Hyperlink 2 5" xfId="128" xr:uid="{00000000-0005-0000-0000-00007F000000}"/>
    <cellStyle name="Hyperlink 3" xfId="129" xr:uid="{00000000-0005-0000-0000-000080000000}"/>
    <cellStyle name="Hyperlink 4" xfId="130" xr:uid="{00000000-0005-0000-0000-000081000000}"/>
    <cellStyle name="Input" xfId="131" builtinId="20" customBuiltin="1"/>
    <cellStyle name="Input 2" xfId="132" xr:uid="{00000000-0005-0000-0000-000083000000}"/>
    <cellStyle name="Linked Cell" xfId="133" builtinId="24" customBuiltin="1"/>
    <cellStyle name="Linked Cell 2" xfId="134" xr:uid="{00000000-0005-0000-0000-000085000000}"/>
    <cellStyle name="Neutral" xfId="135" builtinId="28" customBuiltin="1"/>
    <cellStyle name="Neutral 2" xfId="136" xr:uid="{00000000-0005-0000-0000-000087000000}"/>
    <cellStyle name="Normal" xfId="0" builtinId="0"/>
    <cellStyle name="Normal 10" xfId="137" xr:uid="{00000000-0005-0000-0000-000089000000}"/>
    <cellStyle name="Normal 10 2" xfId="138" xr:uid="{00000000-0005-0000-0000-00008A000000}"/>
    <cellStyle name="Normal 100" xfId="139" xr:uid="{00000000-0005-0000-0000-00008B000000}"/>
    <cellStyle name="Normal 101" xfId="140" xr:uid="{00000000-0005-0000-0000-00008C000000}"/>
    <cellStyle name="Normal 102" xfId="141" xr:uid="{00000000-0005-0000-0000-00008D000000}"/>
    <cellStyle name="Normal 103" xfId="142" xr:uid="{00000000-0005-0000-0000-00008E000000}"/>
    <cellStyle name="Normal 104" xfId="143" xr:uid="{00000000-0005-0000-0000-00008F000000}"/>
    <cellStyle name="Normal 105" xfId="144" xr:uid="{00000000-0005-0000-0000-000090000000}"/>
    <cellStyle name="Normal 106" xfId="145" xr:uid="{00000000-0005-0000-0000-000091000000}"/>
    <cellStyle name="Normal 11" xfId="146" xr:uid="{00000000-0005-0000-0000-000092000000}"/>
    <cellStyle name="Normal 11 2" xfId="147" xr:uid="{00000000-0005-0000-0000-000093000000}"/>
    <cellStyle name="Normal 12" xfId="148" xr:uid="{00000000-0005-0000-0000-000094000000}"/>
    <cellStyle name="Normal 12 2" xfId="149" xr:uid="{00000000-0005-0000-0000-000095000000}"/>
    <cellStyle name="Normal 13" xfId="150" xr:uid="{00000000-0005-0000-0000-000096000000}"/>
    <cellStyle name="Normal 13 2" xfId="151" xr:uid="{00000000-0005-0000-0000-000097000000}"/>
    <cellStyle name="Normal 14" xfId="152" xr:uid="{00000000-0005-0000-0000-000098000000}"/>
    <cellStyle name="Normal 14 2" xfId="153" xr:uid="{00000000-0005-0000-0000-000099000000}"/>
    <cellStyle name="Normal 15" xfId="154" xr:uid="{00000000-0005-0000-0000-00009A000000}"/>
    <cellStyle name="Normal 15 2" xfId="155" xr:uid="{00000000-0005-0000-0000-00009B000000}"/>
    <cellStyle name="Normal 16" xfId="156" xr:uid="{00000000-0005-0000-0000-00009C000000}"/>
    <cellStyle name="Normal 16 2" xfId="157" xr:uid="{00000000-0005-0000-0000-00009D000000}"/>
    <cellStyle name="Normal 17" xfId="158" xr:uid="{00000000-0005-0000-0000-00009E000000}"/>
    <cellStyle name="Normal 17 2" xfId="159" xr:uid="{00000000-0005-0000-0000-00009F000000}"/>
    <cellStyle name="Normal 18" xfId="160" xr:uid="{00000000-0005-0000-0000-0000A0000000}"/>
    <cellStyle name="Normal 19" xfId="161" xr:uid="{00000000-0005-0000-0000-0000A1000000}"/>
    <cellStyle name="Normal 19 2" xfId="162" xr:uid="{00000000-0005-0000-0000-0000A2000000}"/>
    <cellStyle name="Normal 2" xfId="163" xr:uid="{00000000-0005-0000-0000-0000A3000000}"/>
    <cellStyle name="Normal 2 2" xfId="164" xr:uid="{00000000-0005-0000-0000-0000A4000000}"/>
    <cellStyle name="Normal 2 2 2" xfId="165" xr:uid="{00000000-0005-0000-0000-0000A5000000}"/>
    <cellStyle name="Normal 2 2 2 2" xfId="166" xr:uid="{00000000-0005-0000-0000-0000A6000000}"/>
    <cellStyle name="Normal 2 2 3" xfId="167" xr:uid="{00000000-0005-0000-0000-0000A7000000}"/>
    <cellStyle name="Normal 2 2 4" xfId="168" xr:uid="{00000000-0005-0000-0000-0000A8000000}"/>
    <cellStyle name="Normal 2 3" xfId="169" xr:uid="{00000000-0005-0000-0000-0000A9000000}"/>
    <cellStyle name="Normal 2 3 2" xfId="170" xr:uid="{00000000-0005-0000-0000-0000AA000000}"/>
    <cellStyle name="Normal 2 3 3" xfId="171" xr:uid="{00000000-0005-0000-0000-0000AB000000}"/>
    <cellStyle name="Normal 2 3 4" xfId="172" xr:uid="{00000000-0005-0000-0000-0000AC000000}"/>
    <cellStyle name="Normal 2 4" xfId="173" xr:uid="{00000000-0005-0000-0000-0000AD000000}"/>
    <cellStyle name="Normal 2 4 2" xfId="174" xr:uid="{00000000-0005-0000-0000-0000AE000000}"/>
    <cellStyle name="Normal 2 4 2 2" xfId="175" xr:uid="{00000000-0005-0000-0000-0000AF000000}"/>
    <cellStyle name="Normal 2 4 3" xfId="176" xr:uid="{00000000-0005-0000-0000-0000B0000000}"/>
    <cellStyle name="Normal 2 41" xfId="177" xr:uid="{00000000-0005-0000-0000-0000B1000000}"/>
    <cellStyle name="Normal 2 5" xfId="178" xr:uid="{00000000-0005-0000-0000-0000B2000000}"/>
    <cellStyle name="Normal 2 6" xfId="179" xr:uid="{00000000-0005-0000-0000-0000B3000000}"/>
    <cellStyle name="Normal 2 7" xfId="180" xr:uid="{00000000-0005-0000-0000-0000B4000000}"/>
    <cellStyle name="Normal 20" xfId="181" xr:uid="{00000000-0005-0000-0000-0000B5000000}"/>
    <cellStyle name="Normal 20 2" xfId="182" xr:uid="{00000000-0005-0000-0000-0000B6000000}"/>
    <cellStyle name="Normal 21" xfId="183" xr:uid="{00000000-0005-0000-0000-0000B7000000}"/>
    <cellStyle name="Normal 21 2" xfId="184" xr:uid="{00000000-0005-0000-0000-0000B8000000}"/>
    <cellStyle name="Normal 22" xfId="185" xr:uid="{00000000-0005-0000-0000-0000B9000000}"/>
    <cellStyle name="Normal 22 2" xfId="186" xr:uid="{00000000-0005-0000-0000-0000BA000000}"/>
    <cellStyle name="Normal 23" xfId="187" xr:uid="{00000000-0005-0000-0000-0000BB000000}"/>
    <cellStyle name="Normal 24" xfId="188" xr:uid="{00000000-0005-0000-0000-0000BC000000}"/>
    <cellStyle name="Normal 25" xfId="189" xr:uid="{00000000-0005-0000-0000-0000BD000000}"/>
    <cellStyle name="Normal 25 2" xfId="190" xr:uid="{00000000-0005-0000-0000-0000BE000000}"/>
    <cellStyle name="Normal 26" xfId="191" xr:uid="{00000000-0005-0000-0000-0000BF000000}"/>
    <cellStyle name="Normal 26 2" xfId="192" xr:uid="{00000000-0005-0000-0000-0000C0000000}"/>
    <cellStyle name="Normal 27" xfId="193" xr:uid="{00000000-0005-0000-0000-0000C1000000}"/>
    <cellStyle name="Normal 28" xfId="194" xr:uid="{00000000-0005-0000-0000-0000C2000000}"/>
    <cellStyle name="Normal 28 2" xfId="195" xr:uid="{00000000-0005-0000-0000-0000C3000000}"/>
    <cellStyle name="Normal 29" xfId="196" xr:uid="{00000000-0005-0000-0000-0000C4000000}"/>
    <cellStyle name="Normal 29 2" xfId="197" xr:uid="{00000000-0005-0000-0000-0000C5000000}"/>
    <cellStyle name="Normal 3" xfId="198" xr:uid="{00000000-0005-0000-0000-0000C6000000}"/>
    <cellStyle name="Normal 3 2" xfId="199" xr:uid="{00000000-0005-0000-0000-0000C7000000}"/>
    <cellStyle name="Normal 3 2 2" xfId="200" xr:uid="{00000000-0005-0000-0000-0000C8000000}"/>
    <cellStyle name="Normal 3 2 2 2" xfId="201" xr:uid="{00000000-0005-0000-0000-0000C9000000}"/>
    <cellStyle name="Normal 3 2 3" xfId="202" xr:uid="{00000000-0005-0000-0000-0000CA000000}"/>
    <cellStyle name="Normal 3 2 3 2" xfId="203" xr:uid="{00000000-0005-0000-0000-0000CB000000}"/>
    <cellStyle name="Normal 3 2 4" xfId="204" xr:uid="{00000000-0005-0000-0000-0000CC000000}"/>
    <cellStyle name="Normal 3 2 4 2" xfId="205" xr:uid="{00000000-0005-0000-0000-0000CD000000}"/>
    <cellStyle name="Normal 3 2 5" xfId="206" xr:uid="{00000000-0005-0000-0000-0000CE000000}"/>
    <cellStyle name="Normal 3 2 5 2" xfId="207" xr:uid="{00000000-0005-0000-0000-0000CF000000}"/>
    <cellStyle name="Normal 3 2 6" xfId="208" xr:uid="{00000000-0005-0000-0000-0000D0000000}"/>
    <cellStyle name="Normal 3 2 6 2" xfId="209" xr:uid="{00000000-0005-0000-0000-0000D1000000}"/>
    <cellStyle name="Normal 3 2 7" xfId="210" xr:uid="{00000000-0005-0000-0000-0000D2000000}"/>
    <cellStyle name="Normal 3 2 8" xfId="211" xr:uid="{00000000-0005-0000-0000-0000D3000000}"/>
    <cellStyle name="Normal 3 3" xfId="212" xr:uid="{00000000-0005-0000-0000-0000D4000000}"/>
    <cellStyle name="Normal 3 3 2" xfId="213" xr:uid="{00000000-0005-0000-0000-0000D5000000}"/>
    <cellStyle name="Normal 3 3 2 2" xfId="214" xr:uid="{00000000-0005-0000-0000-0000D6000000}"/>
    <cellStyle name="Normal 3 3 3" xfId="215" xr:uid="{00000000-0005-0000-0000-0000D7000000}"/>
    <cellStyle name="Normal 3 4" xfId="216" xr:uid="{00000000-0005-0000-0000-0000D8000000}"/>
    <cellStyle name="Normal 3 4 2" xfId="217" xr:uid="{00000000-0005-0000-0000-0000D9000000}"/>
    <cellStyle name="Normal 3 5" xfId="218" xr:uid="{00000000-0005-0000-0000-0000DA000000}"/>
    <cellStyle name="Normal 30" xfId="219" xr:uid="{00000000-0005-0000-0000-0000DB000000}"/>
    <cellStyle name="Normal 30 2" xfId="220" xr:uid="{00000000-0005-0000-0000-0000DC000000}"/>
    <cellStyle name="Normal 31" xfId="221" xr:uid="{00000000-0005-0000-0000-0000DD000000}"/>
    <cellStyle name="Normal 32" xfId="222" xr:uid="{00000000-0005-0000-0000-0000DE000000}"/>
    <cellStyle name="Normal 32 2" xfId="223" xr:uid="{00000000-0005-0000-0000-0000DF000000}"/>
    <cellStyle name="Normal 33" xfId="224" xr:uid="{00000000-0005-0000-0000-0000E0000000}"/>
    <cellStyle name="Normal 33 2" xfId="225" xr:uid="{00000000-0005-0000-0000-0000E1000000}"/>
    <cellStyle name="Normal 34" xfId="226" xr:uid="{00000000-0005-0000-0000-0000E2000000}"/>
    <cellStyle name="Normal 34 2" xfId="227" xr:uid="{00000000-0005-0000-0000-0000E3000000}"/>
    <cellStyle name="Normal 35" xfId="228" xr:uid="{00000000-0005-0000-0000-0000E4000000}"/>
    <cellStyle name="Normal 35 2" xfId="229" xr:uid="{00000000-0005-0000-0000-0000E5000000}"/>
    <cellStyle name="Normal 36" xfId="230" xr:uid="{00000000-0005-0000-0000-0000E6000000}"/>
    <cellStyle name="Normal 36 2" xfId="231" xr:uid="{00000000-0005-0000-0000-0000E7000000}"/>
    <cellStyle name="Normal 37" xfId="232" xr:uid="{00000000-0005-0000-0000-0000E8000000}"/>
    <cellStyle name="Normal 38" xfId="233" xr:uid="{00000000-0005-0000-0000-0000E9000000}"/>
    <cellStyle name="Normal 38 2" xfId="234" xr:uid="{00000000-0005-0000-0000-0000EA000000}"/>
    <cellStyle name="Normal 39" xfId="235" xr:uid="{00000000-0005-0000-0000-0000EB000000}"/>
    <cellStyle name="Normal 39 2" xfId="236" xr:uid="{00000000-0005-0000-0000-0000EC000000}"/>
    <cellStyle name="Normal 4" xfId="237" xr:uid="{00000000-0005-0000-0000-0000ED000000}"/>
    <cellStyle name="Normal 4 2" xfId="238" xr:uid="{00000000-0005-0000-0000-0000EE000000}"/>
    <cellStyle name="Normal 4 2 2" xfId="239" xr:uid="{00000000-0005-0000-0000-0000EF000000}"/>
    <cellStyle name="Normal 4 3" xfId="240" xr:uid="{00000000-0005-0000-0000-0000F0000000}"/>
    <cellStyle name="Normal 4 3 2" xfId="241" xr:uid="{00000000-0005-0000-0000-0000F1000000}"/>
    <cellStyle name="Normal 4 3 2 2" xfId="242" xr:uid="{00000000-0005-0000-0000-0000F2000000}"/>
    <cellStyle name="Normal 4 3 3" xfId="243" xr:uid="{00000000-0005-0000-0000-0000F3000000}"/>
    <cellStyle name="Normal 4 4" xfId="244" xr:uid="{00000000-0005-0000-0000-0000F4000000}"/>
    <cellStyle name="Normal 4 4 2" xfId="245" xr:uid="{00000000-0005-0000-0000-0000F5000000}"/>
    <cellStyle name="Normal 4 5" xfId="246" xr:uid="{00000000-0005-0000-0000-0000F6000000}"/>
    <cellStyle name="Normal 4 6" xfId="247" xr:uid="{00000000-0005-0000-0000-0000F7000000}"/>
    <cellStyle name="Normal 40" xfId="248" xr:uid="{00000000-0005-0000-0000-0000F8000000}"/>
    <cellStyle name="Normal 40 2" xfId="249" xr:uid="{00000000-0005-0000-0000-0000F9000000}"/>
    <cellStyle name="Normal 41" xfId="250" xr:uid="{00000000-0005-0000-0000-0000FA000000}"/>
    <cellStyle name="Normal 41 2" xfId="251" xr:uid="{00000000-0005-0000-0000-0000FB000000}"/>
    <cellStyle name="Normal 42" xfId="252" xr:uid="{00000000-0005-0000-0000-0000FC000000}"/>
    <cellStyle name="Normal 42 2" xfId="253" xr:uid="{00000000-0005-0000-0000-0000FD000000}"/>
    <cellStyle name="Normal 43" xfId="254" xr:uid="{00000000-0005-0000-0000-0000FE000000}"/>
    <cellStyle name="Normal 43 2" xfId="255" xr:uid="{00000000-0005-0000-0000-0000FF000000}"/>
    <cellStyle name="Normal 44" xfId="256" xr:uid="{00000000-0005-0000-0000-000000010000}"/>
    <cellStyle name="Normal 44 2" xfId="257" xr:uid="{00000000-0005-0000-0000-000001010000}"/>
    <cellStyle name="Normal 45" xfId="258" xr:uid="{00000000-0005-0000-0000-000002010000}"/>
    <cellStyle name="Normal 45 2" xfId="259" xr:uid="{00000000-0005-0000-0000-000003010000}"/>
    <cellStyle name="Normal 46" xfId="260" xr:uid="{00000000-0005-0000-0000-000004010000}"/>
    <cellStyle name="Normal 47" xfId="261" xr:uid="{00000000-0005-0000-0000-000005010000}"/>
    <cellStyle name="Normal 47 2" xfId="262" xr:uid="{00000000-0005-0000-0000-000006010000}"/>
    <cellStyle name="Normal 48" xfId="263" xr:uid="{00000000-0005-0000-0000-000007010000}"/>
    <cellStyle name="Normal 48 2" xfId="264" xr:uid="{00000000-0005-0000-0000-000008010000}"/>
    <cellStyle name="Normal 49" xfId="265" xr:uid="{00000000-0005-0000-0000-000009010000}"/>
    <cellStyle name="Normal 49 2" xfId="266" xr:uid="{00000000-0005-0000-0000-00000A010000}"/>
    <cellStyle name="Normal 5" xfId="267" xr:uid="{00000000-0005-0000-0000-00000B010000}"/>
    <cellStyle name="Normal 5 2" xfId="268" xr:uid="{00000000-0005-0000-0000-00000C010000}"/>
    <cellStyle name="Normal 5 2 2" xfId="269" xr:uid="{00000000-0005-0000-0000-00000D010000}"/>
    <cellStyle name="Normal 5 2 2 2" xfId="270" xr:uid="{00000000-0005-0000-0000-00000E010000}"/>
    <cellStyle name="Normal 5 2 3" xfId="271" xr:uid="{00000000-0005-0000-0000-00000F010000}"/>
    <cellStyle name="Normal 5 3" xfId="272" xr:uid="{00000000-0005-0000-0000-000010010000}"/>
    <cellStyle name="Normal 5 3 2" xfId="273" xr:uid="{00000000-0005-0000-0000-000011010000}"/>
    <cellStyle name="Normal 5 4" xfId="274" xr:uid="{00000000-0005-0000-0000-000012010000}"/>
    <cellStyle name="Normal 5 5" xfId="275" xr:uid="{00000000-0005-0000-0000-000013010000}"/>
    <cellStyle name="Normal 5 6" xfId="276" xr:uid="{00000000-0005-0000-0000-000014010000}"/>
    <cellStyle name="Normal 50" xfId="277" xr:uid="{00000000-0005-0000-0000-000015010000}"/>
    <cellStyle name="Normal 50 2" xfId="278" xr:uid="{00000000-0005-0000-0000-000016010000}"/>
    <cellStyle name="Normal 51" xfId="279" xr:uid="{00000000-0005-0000-0000-000017010000}"/>
    <cellStyle name="Normal 51 2" xfId="280" xr:uid="{00000000-0005-0000-0000-000018010000}"/>
    <cellStyle name="Normal 52" xfId="281" xr:uid="{00000000-0005-0000-0000-000019010000}"/>
    <cellStyle name="Normal 52 2" xfId="282" xr:uid="{00000000-0005-0000-0000-00001A010000}"/>
    <cellStyle name="Normal 53" xfId="283" xr:uid="{00000000-0005-0000-0000-00001B010000}"/>
    <cellStyle name="Normal 54" xfId="284" xr:uid="{00000000-0005-0000-0000-00001C010000}"/>
    <cellStyle name="Normal 54 2" xfId="285" xr:uid="{00000000-0005-0000-0000-00001D010000}"/>
    <cellStyle name="Normal 55" xfId="286" xr:uid="{00000000-0005-0000-0000-00001E010000}"/>
    <cellStyle name="Normal 55 2" xfId="287" xr:uid="{00000000-0005-0000-0000-00001F010000}"/>
    <cellStyle name="Normal 56" xfId="288" xr:uid="{00000000-0005-0000-0000-000020010000}"/>
    <cellStyle name="Normal 56 2" xfId="289" xr:uid="{00000000-0005-0000-0000-000021010000}"/>
    <cellStyle name="Normal 57" xfId="290" xr:uid="{00000000-0005-0000-0000-000022010000}"/>
    <cellStyle name="Normal 57 2" xfId="291" xr:uid="{00000000-0005-0000-0000-000023010000}"/>
    <cellStyle name="Normal 58" xfId="292" xr:uid="{00000000-0005-0000-0000-000024010000}"/>
    <cellStyle name="Normal 58 2" xfId="293" xr:uid="{00000000-0005-0000-0000-000025010000}"/>
    <cellStyle name="Normal 59" xfId="294" xr:uid="{00000000-0005-0000-0000-000026010000}"/>
    <cellStyle name="Normal 6" xfId="295" xr:uid="{00000000-0005-0000-0000-000027010000}"/>
    <cellStyle name="Normal 6 2" xfId="296" xr:uid="{00000000-0005-0000-0000-000028010000}"/>
    <cellStyle name="Normal 6 2 2" xfId="297" xr:uid="{00000000-0005-0000-0000-000029010000}"/>
    <cellStyle name="Normal 6 2 2 2" xfId="298" xr:uid="{00000000-0005-0000-0000-00002A010000}"/>
    <cellStyle name="Normal 6 2 3" xfId="299" xr:uid="{00000000-0005-0000-0000-00002B010000}"/>
    <cellStyle name="Normal 6 3" xfId="300" xr:uid="{00000000-0005-0000-0000-00002C010000}"/>
    <cellStyle name="Normal 6 3 2" xfId="301" xr:uid="{00000000-0005-0000-0000-00002D010000}"/>
    <cellStyle name="Normal 6 4" xfId="302" xr:uid="{00000000-0005-0000-0000-00002E010000}"/>
    <cellStyle name="Normal 6 5" xfId="303" xr:uid="{00000000-0005-0000-0000-00002F010000}"/>
    <cellStyle name="Normal 60" xfId="304" xr:uid="{00000000-0005-0000-0000-000030010000}"/>
    <cellStyle name="Normal 60 2" xfId="305" xr:uid="{00000000-0005-0000-0000-000031010000}"/>
    <cellStyle name="Normal 61" xfId="306" xr:uid="{00000000-0005-0000-0000-000032010000}"/>
    <cellStyle name="Normal 61 2" xfId="307" xr:uid="{00000000-0005-0000-0000-000033010000}"/>
    <cellStyle name="Normal 62" xfId="308" xr:uid="{00000000-0005-0000-0000-000034010000}"/>
    <cellStyle name="Normal 62 2" xfId="309" xr:uid="{00000000-0005-0000-0000-000035010000}"/>
    <cellStyle name="Normal 63" xfId="310" xr:uid="{00000000-0005-0000-0000-000036010000}"/>
    <cellStyle name="Normal 63 2" xfId="311" xr:uid="{00000000-0005-0000-0000-000037010000}"/>
    <cellStyle name="Normal 64" xfId="312" xr:uid="{00000000-0005-0000-0000-000038010000}"/>
    <cellStyle name="Normal 64 2" xfId="313" xr:uid="{00000000-0005-0000-0000-000039010000}"/>
    <cellStyle name="Normal 65" xfId="314" xr:uid="{00000000-0005-0000-0000-00003A010000}"/>
    <cellStyle name="Normal 65 2" xfId="315" xr:uid="{00000000-0005-0000-0000-00003B010000}"/>
    <cellStyle name="Normal 66" xfId="316" xr:uid="{00000000-0005-0000-0000-00003C010000}"/>
    <cellStyle name="Normal 66 2" xfId="317" xr:uid="{00000000-0005-0000-0000-00003D010000}"/>
    <cellStyle name="Normal 67" xfId="318" xr:uid="{00000000-0005-0000-0000-00003E010000}"/>
    <cellStyle name="Normal 68" xfId="319" xr:uid="{00000000-0005-0000-0000-00003F010000}"/>
    <cellStyle name="Normal 69" xfId="320" xr:uid="{00000000-0005-0000-0000-000040010000}"/>
    <cellStyle name="Normal 7" xfId="321" xr:uid="{00000000-0005-0000-0000-000041010000}"/>
    <cellStyle name="Normal 7 2" xfId="322" xr:uid="{00000000-0005-0000-0000-000042010000}"/>
    <cellStyle name="Normal 7 2 2" xfId="323" xr:uid="{00000000-0005-0000-0000-000043010000}"/>
    <cellStyle name="Normal 7 3" xfId="324" xr:uid="{00000000-0005-0000-0000-000044010000}"/>
    <cellStyle name="Normal 70" xfId="325" xr:uid="{00000000-0005-0000-0000-000045010000}"/>
    <cellStyle name="Normal 71" xfId="326" xr:uid="{00000000-0005-0000-0000-000046010000}"/>
    <cellStyle name="Normal 72" xfId="327" xr:uid="{00000000-0005-0000-0000-000047010000}"/>
    <cellStyle name="Normal 73" xfId="328" xr:uid="{00000000-0005-0000-0000-000048010000}"/>
    <cellStyle name="Normal 74" xfId="329" xr:uid="{00000000-0005-0000-0000-000049010000}"/>
    <cellStyle name="Normal 75" xfId="330" xr:uid="{00000000-0005-0000-0000-00004A010000}"/>
    <cellStyle name="Normal 76" xfId="331" xr:uid="{00000000-0005-0000-0000-00004B010000}"/>
    <cellStyle name="Normal 77" xfId="332" xr:uid="{00000000-0005-0000-0000-00004C010000}"/>
    <cellStyle name="Normal 78" xfId="333" xr:uid="{00000000-0005-0000-0000-00004D010000}"/>
    <cellStyle name="Normal 79" xfId="334" xr:uid="{00000000-0005-0000-0000-00004E010000}"/>
    <cellStyle name="Normal 8" xfId="335" xr:uid="{00000000-0005-0000-0000-00004F010000}"/>
    <cellStyle name="Normal 8 2" xfId="336" xr:uid="{00000000-0005-0000-0000-000050010000}"/>
    <cellStyle name="Normal 80" xfId="337" xr:uid="{00000000-0005-0000-0000-000051010000}"/>
    <cellStyle name="Normal 81" xfId="338" xr:uid="{00000000-0005-0000-0000-000052010000}"/>
    <cellStyle name="Normal 82" xfId="339" xr:uid="{00000000-0005-0000-0000-000053010000}"/>
    <cellStyle name="Normal 83" xfId="340" xr:uid="{00000000-0005-0000-0000-000054010000}"/>
    <cellStyle name="Normal 84" xfId="341" xr:uid="{00000000-0005-0000-0000-000055010000}"/>
    <cellStyle name="Normal 85" xfId="342" xr:uid="{00000000-0005-0000-0000-000056010000}"/>
    <cellStyle name="Normal 86" xfId="343" xr:uid="{00000000-0005-0000-0000-000057010000}"/>
    <cellStyle name="Normal 87" xfId="344" xr:uid="{00000000-0005-0000-0000-000058010000}"/>
    <cellStyle name="Normal 88" xfId="345" xr:uid="{00000000-0005-0000-0000-000059010000}"/>
    <cellStyle name="Normal 89" xfId="346" xr:uid="{00000000-0005-0000-0000-00005A010000}"/>
    <cellStyle name="Normal 9" xfId="347" xr:uid="{00000000-0005-0000-0000-00005B010000}"/>
    <cellStyle name="Normal 9 2" xfId="348" xr:uid="{00000000-0005-0000-0000-00005C010000}"/>
    <cellStyle name="Normal 90" xfId="349" xr:uid="{00000000-0005-0000-0000-00005D010000}"/>
    <cellStyle name="Normal 91" xfId="350" xr:uid="{00000000-0005-0000-0000-00005E010000}"/>
    <cellStyle name="Normal 92" xfId="351" xr:uid="{00000000-0005-0000-0000-00005F010000}"/>
    <cellStyle name="Normal 93" xfId="352" xr:uid="{00000000-0005-0000-0000-000060010000}"/>
    <cellStyle name="Normal 94" xfId="353" xr:uid="{00000000-0005-0000-0000-000061010000}"/>
    <cellStyle name="Normal 95" xfId="354" xr:uid="{00000000-0005-0000-0000-000062010000}"/>
    <cellStyle name="Normal 96" xfId="355" xr:uid="{00000000-0005-0000-0000-000063010000}"/>
    <cellStyle name="Normal 97" xfId="356" xr:uid="{00000000-0005-0000-0000-000064010000}"/>
    <cellStyle name="Normal 98" xfId="357" xr:uid="{00000000-0005-0000-0000-000065010000}"/>
    <cellStyle name="Normal 99" xfId="358" xr:uid="{00000000-0005-0000-0000-000066010000}"/>
    <cellStyle name="Normale_B2020" xfId="359" xr:uid="{00000000-0005-0000-0000-000067010000}"/>
    <cellStyle name="Note" xfId="360" builtinId="10" customBuiltin="1"/>
    <cellStyle name="Note 2" xfId="361" xr:uid="{00000000-0005-0000-0000-000069010000}"/>
    <cellStyle name="Note 3" xfId="362" xr:uid="{00000000-0005-0000-0000-00006A010000}"/>
    <cellStyle name="Note 4" xfId="363" xr:uid="{00000000-0005-0000-0000-00006B010000}"/>
    <cellStyle name="Output" xfId="364" builtinId="21" customBuiltin="1"/>
    <cellStyle name="Output 2" xfId="365" xr:uid="{00000000-0005-0000-0000-00006D010000}"/>
    <cellStyle name="Percent 11" xfId="366" xr:uid="{00000000-0005-0000-0000-00006E010000}"/>
    <cellStyle name="Percent 12" xfId="367" xr:uid="{00000000-0005-0000-0000-00006F010000}"/>
    <cellStyle name="Percent 13" xfId="368" xr:uid="{00000000-0005-0000-0000-000070010000}"/>
    <cellStyle name="Percent 14" xfId="369" xr:uid="{00000000-0005-0000-0000-000071010000}"/>
    <cellStyle name="Percent 15" xfId="370" xr:uid="{00000000-0005-0000-0000-000072010000}"/>
    <cellStyle name="Percent 16" xfId="371" xr:uid="{00000000-0005-0000-0000-000073010000}"/>
    <cellStyle name="Percent 17" xfId="372" xr:uid="{00000000-0005-0000-0000-000074010000}"/>
    <cellStyle name="Percent 18" xfId="373" xr:uid="{00000000-0005-0000-0000-000075010000}"/>
    <cellStyle name="Percent 19" xfId="374" xr:uid="{00000000-0005-0000-0000-000076010000}"/>
    <cellStyle name="Percent 2" xfId="375" xr:uid="{00000000-0005-0000-0000-000077010000}"/>
    <cellStyle name="Percent 2 2" xfId="376" xr:uid="{00000000-0005-0000-0000-000078010000}"/>
    <cellStyle name="Percent 2 2 2" xfId="377" xr:uid="{00000000-0005-0000-0000-000079010000}"/>
    <cellStyle name="Percent 2 2 3" xfId="378" xr:uid="{00000000-0005-0000-0000-00007A010000}"/>
    <cellStyle name="Percent 2 3" xfId="379" xr:uid="{00000000-0005-0000-0000-00007B010000}"/>
    <cellStyle name="Percent 2 4" xfId="380" xr:uid="{00000000-0005-0000-0000-00007C010000}"/>
    <cellStyle name="Percent 2 5" xfId="381" xr:uid="{00000000-0005-0000-0000-00007D010000}"/>
    <cellStyle name="Percent 20" xfId="382" xr:uid="{00000000-0005-0000-0000-00007E010000}"/>
    <cellStyle name="Percent 21" xfId="383" xr:uid="{00000000-0005-0000-0000-00007F010000}"/>
    <cellStyle name="Percent 22" xfId="384" xr:uid="{00000000-0005-0000-0000-000080010000}"/>
    <cellStyle name="Percent 23" xfId="385" xr:uid="{00000000-0005-0000-0000-000081010000}"/>
    <cellStyle name="Percent 24" xfId="386" xr:uid="{00000000-0005-0000-0000-000082010000}"/>
    <cellStyle name="Percent 25" xfId="387" xr:uid="{00000000-0005-0000-0000-000083010000}"/>
    <cellStyle name="Percent 26" xfId="388" xr:uid="{00000000-0005-0000-0000-000084010000}"/>
    <cellStyle name="Percent 27" xfId="389" xr:uid="{00000000-0005-0000-0000-000085010000}"/>
    <cellStyle name="Percent 28" xfId="390" xr:uid="{00000000-0005-0000-0000-000086010000}"/>
    <cellStyle name="Percent 29" xfId="391" xr:uid="{00000000-0005-0000-0000-000087010000}"/>
    <cellStyle name="Percent 3" xfId="392" xr:uid="{00000000-0005-0000-0000-000088010000}"/>
    <cellStyle name="Percent 3 2" xfId="393" xr:uid="{00000000-0005-0000-0000-000089010000}"/>
    <cellStyle name="Percent 3 2 2" xfId="394" xr:uid="{00000000-0005-0000-0000-00008A010000}"/>
    <cellStyle name="Percent 3 2 2 2" xfId="395" xr:uid="{00000000-0005-0000-0000-00008B010000}"/>
    <cellStyle name="Percent 3 2 2 3" xfId="396" xr:uid="{00000000-0005-0000-0000-00008C010000}"/>
    <cellStyle name="Percent 3 2 3" xfId="397" xr:uid="{00000000-0005-0000-0000-00008D010000}"/>
    <cellStyle name="Percent 3 3" xfId="398" xr:uid="{00000000-0005-0000-0000-00008E010000}"/>
    <cellStyle name="Percent 3 3 2" xfId="399" xr:uid="{00000000-0005-0000-0000-00008F010000}"/>
    <cellStyle name="Percent 3 3 3" xfId="400" xr:uid="{00000000-0005-0000-0000-000090010000}"/>
    <cellStyle name="Percent 3 4" xfId="401" xr:uid="{00000000-0005-0000-0000-000091010000}"/>
    <cellStyle name="Percent 3 4 2" xfId="402" xr:uid="{00000000-0005-0000-0000-000092010000}"/>
    <cellStyle name="Percent 3 4 3" xfId="403" xr:uid="{00000000-0005-0000-0000-000093010000}"/>
    <cellStyle name="Percent 30" xfId="404" xr:uid="{00000000-0005-0000-0000-000094010000}"/>
    <cellStyle name="Percent 31" xfId="405" xr:uid="{00000000-0005-0000-0000-000095010000}"/>
    <cellStyle name="Percent 32" xfId="406" xr:uid="{00000000-0005-0000-0000-000096010000}"/>
    <cellStyle name="Percent 33" xfId="407" xr:uid="{00000000-0005-0000-0000-000097010000}"/>
    <cellStyle name="Percent 34" xfId="408" xr:uid="{00000000-0005-0000-0000-000098010000}"/>
    <cellStyle name="Percent 35" xfId="409" xr:uid="{00000000-0005-0000-0000-000099010000}"/>
    <cellStyle name="Percent 36" xfId="410" xr:uid="{00000000-0005-0000-0000-00009A010000}"/>
    <cellStyle name="Percent 37" xfId="411" xr:uid="{00000000-0005-0000-0000-00009B010000}"/>
    <cellStyle name="Percent 4" xfId="412" xr:uid="{00000000-0005-0000-0000-00009C010000}"/>
    <cellStyle name="Percent 4 2" xfId="413" xr:uid="{00000000-0005-0000-0000-00009D010000}"/>
    <cellStyle name="Percent 4 3" xfId="414" xr:uid="{00000000-0005-0000-0000-00009E010000}"/>
    <cellStyle name="Percent 40" xfId="415" xr:uid="{00000000-0005-0000-0000-00009F010000}"/>
    <cellStyle name="Percent 41" xfId="416" xr:uid="{00000000-0005-0000-0000-0000A0010000}"/>
    <cellStyle name="Percent 42" xfId="417" xr:uid="{00000000-0005-0000-0000-0000A1010000}"/>
    <cellStyle name="Percent 43" xfId="418" xr:uid="{00000000-0005-0000-0000-0000A2010000}"/>
    <cellStyle name="Percent 44" xfId="419" xr:uid="{00000000-0005-0000-0000-0000A3010000}"/>
    <cellStyle name="Percent 45" xfId="420" xr:uid="{00000000-0005-0000-0000-0000A4010000}"/>
    <cellStyle name="Percent 46" xfId="421" xr:uid="{00000000-0005-0000-0000-0000A5010000}"/>
    <cellStyle name="Percent 47" xfId="422" xr:uid="{00000000-0005-0000-0000-0000A6010000}"/>
    <cellStyle name="Percent 48" xfId="423" xr:uid="{00000000-0005-0000-0000-0000A7010000}"/>
    <cellStyle name="Percent 49" xfId="424" xr:uid="{00000000-0005-0000-0000-0000A8010000}"/>
    <cellStyle name="Percent 5" xfId="425" xr:uid="{00000000-0005-0000-0000-0000A9010000}"/>
    <cellStyle name="Percent 5 2" xfId="426" xr:uid="{00000000-0005-0000-0000-0000AA010000}"/>
    <cellStyle name="Percent 5 3" xfId="427" xr:uid="{00000000-0005-0000-0000-0000AB010000}"/>
    <cellStyle name="Percent 50" xfId="428" xr:uid="{00000000-0005-0000-0000-0000AC010000}"/>
    <cellStyle name="Percent 51" xfId="429" xr:uid="{00000000-0005-0000-0000-0000AD010000}"/>
    <cellStyle name="Percent 52" xfId="430" xr:uid="{00000000-0005-0000-0000-0000AE010000}"/>
    <cellStyle name="Percent 53" xfId="431" xr:uid="{00000000-0005-0000-0000-0000AF010000}"/>
    <cellStyle name="Percent 54" xfId="432" xr:uid="{00000000-0005-0000-0000-0000B0010000}"/>
    <cellStyle name="Percent 55" xfId="433" xr:uid="{00000000-0005-0000-0000-0000B1010000}"/>
    <cellStyle name="Percent 56" xfId="434" xr:uid="{00000000-0005-0000-0000-0000B2010000}"/>
    <cellStyle name="Percent 57" xfId="435" xr:uid="{00000000-0005-0000-0000-0000B3010000}"/>
    <cellStyle name="Percent 58" xfId="436" xr:uid="{00000000-0005-0000-0000-0000B4010000}"/>
    <cellStyle name="Percent 59" xfId="437" xr:uid="{00000000-0005-0000-0000-0000B5010000}"/>
    <cellStyle name="Percent 6" xfId="438" xr:uid="{00000000-0005-0000-0000-0000B6010000}"/>
    <cellStyle name="Percent 6 2" xfId="439" xr:uid="{00000000-0005-0000-0000-0000B7010000}"/>
    <cellStyle name="Percent 60" xfId="440" xr:uid="{00000000-0005-0000-0000-0000B8010000}"/>
    <cellStyle name="Percent 61" xfId="441" xr:uid="{00000000-0005-0000-0000-0000B9010000}"/>
    <cellStyle name="Percent 62" xfId="442" xr:uid="{00000000-0005-0000-0000-0000BA010000}"/>
    <cellStyle name="Percent 63" xfId="443" xr:uid="{00000000-0005-0000-0000-0000BB010000}"/>
    <cellStyle name="Percent 64" xfId="444" xr:uid="{00000000-0005-0000-0000-0000BC010000}"/>
    <cellStyle name="Percent 65" xfId="445" xr:uid="{00000000-0005-0000-0000-0000BD010000}"/>
    <cellStyle name="Percent 66" xfId="446" xr:uid="{00000000-0005-0000-0000-0000BE010000}"/>
    <cellStyle name="Percent 67" xfId="447" xr:uid="{00000000-0005-0000-0000-0000BF010000}"/>
    <cellStyle name="Percent 68" xfId="448" xr:uid="{00000000-0005-0000-0000-0000C0010000}"/>
    <cellStyle name="Percent 69" xfId="449" xr:uid="{00000000-0005-0000-0000-0000C1010000}"/>
    <cellStyle name="Percent 7" xfId="450" xr:uid="{00000000-0005-0000-0000-0000C2010000}"/>
    <cellStyle name="Percent 7 2" xfId="451" xr:uid="{00000000-0005-0000-0000-0000C3010000}"/>
    <cellStyle name="Percent 70" xfId="452" xr:uid="{00000000-0005-0000-0000-0000C4010000}"/>
    <cellStyle name="Percent 8" xfId="453" xr:uid="{00000000-0005-0000-0000-0000C5010000}"/>
    <cellStyle name="Percent 8 2" xfId="454" xr:uid="{00000000-0005-0000-0000-0000C6010000}"/>
    <cellStyle name="Percent 9" xfId="455" xr:uid="{00000000-0005-0000-0000-0000C7010000}"/>
    <cellStyle name="Standard_Sce_D_Extraction" xfId="456" xr:uid="{00000000-0005-0000-0000-0000C8010000}"/>
    <cellStyle name="Style 29" xfId="457" xr:uid="{00000000-0005-0000-0000-0000C9010000}"/>
    <cellStyle name="Style 29 2" xfId="458" xr:uid="{00000000-0005-0000-0000-0000CA010000}"/>
    <cellStyle name="Style 35" xfId="459" xr:uid="{00000000-0005-0000-0000-0000CB010000}"/>
    <cellStyle name="Style 36" xfId="460" xr:uid="{00000000-0005-0000-0000-0000CC010000}"/>
    <cellStyle name="Title" xfId="461" builtinId="15" customBuiltin="1"/>
    <cellStyle name="Title 2" xfId="462" xr:uid="{00000000-0005-0000-0000-0000CE010000}"/>
    <cellStyle name="Total" xfId="463" builtinId="25" customBuiltin="1"/>
    <cellStyle name="Total 2" xfId="464" xr:uid="{00000000-0005-0000-0000-0000D0010000}"/>
    <cellStyle name="Total 2 2" xfId="465" xr:uid="{00000000-0005-0000-0000-0000D1010000}"/>
    <cellStyle name="Total 2 3" xfId="466" xr:uid="{00000000-0005-0000-0000-0000D2010000}"/>
    <cellStyle name="Total 3" xfId="467" xr:uid="{00000000-0005-0000-0000-0000D3010000}"/>
    <cellStyle name="Total 3 2" xfId="468" xr:uid="{00000000-0005-0000-0000-0000D4010000}"/>
    <cellStyle name="Total 4" xfId="469" xr:uid="{00000000-0005-0000-0000-0000D5010000}"/>
    <cellStyle name="Total 4 2" xfId="470" xr:uid="{00000000-0005-0000-0000-0000D6010000}"/>
    <cellStyle name="Warning Text" xfId="471" builtinId="11" customBuiltin="1"/>
    <cellStyle name="Warning Text 2" xfId="472" xr:uid="{00000000-0005-0000-0000-0000D8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54"/>
  <sheetViews>
    <sheetView workbookViewId="0">
      <selection activeCell="A5" sqref="A5:XFD8"/>
    </sheetView>
  </sheetViews>
  <sheetFormatPr defaultRowHeight="14.4" x14ac:dyDescent="0.3"/>
  <cols>
    <col min="1" max="1" width="9.109375" style="7" customWidth="1"/>
    <col min="3" max="3" width="11.5546875" bestFit="1" customWidth="1"/>
    <col min="4" max="4" width="13.5546875" customWidth="1"/>
    <col min="5" max="5" width="10.44140625" customWidth="1"/>
    <col min="6" max="6" width="9.109375" bestFit="1" customWidth="1"/>
    <col min="7" max="7" width="7.6640625" bestFit="1" customWidth="1"/>
    <col min="8" max="8" width="6.6640625" bestFit="1" customWidth="1"/>
    <col min="9" max="9" width="9.21875" bestFit="1" customWidth="1"/>
    <col min="10" max="11" width="6.6640625" bestFit="1" customWidth="1"/>
    <col min="12" max="12" width="7.21875" bestFit="1" customWidth="1"/>
    <col min="13" max="14" width="6.6640625" bestFit="1" customWidth="1"/>
    <col min="15" max="15" width="10.6640625" style="2" bestFit="1" customWidth="1"/>
    <col min="16" max="16" width="12.88671875" bestFit="1" customWidth="1"/>
    <col min="17" max="17" width="18.109375" style="1" customWidth="1"/>
    <col min="18" max="18" width="18.33203125" style="1" customWidth="1"/>
    <col min="19" max="19" width="45.33203125" style="1" bestFit="1" customWidth="1"/>
    <col min="20" max="20" width="10.88671875" bestFit="1" customWidth="1"/>
    <col min="21" max="21" width="9.44140625" bestFit="1" customWidth="1"/>
    <col min="22" max="22" width="10.88671875" bestFit="1" customWidth="1"/>
    <col min="23" max="23" width="9.109375" bestFit="1" customWidth="1"/>
    <col min="24" max="24" width="7.6640625" bestFit="1" customWidth="1"/>
    <col min="25" max="26" width="5.6640625" bestFit="1" customWidth="1"/>
    <col min="27" max="34" width="6.21875" bestFit="1" customWidth="1"/>
    <col min="35" max="35" width="6.33203125" customWidth="1"/>
    <col min="36" max="36" width="52.109375" customWidth="1"/>
  </cols>
  <sheetData>
    <row r="1" spans="2:36" s="7" customFormat="1" x14ac:dyDescent="0.3"/>
    <row r="2" spans="2:36" x14ac:dyDescent="0.3">
      <c r="B2" s="8" t="s">
        <v>122</v>
      </c>
      <c r="C2" s="8"/>
      <c r="D2" s="8"/>
    </row>
    <row r="3" spans="2:36" x14ac:dyDescent="0.3">
      <c r="B3" s="8" t="s">
        <v>123</v>
      </c>
      <c r="C3" s="8"/>
      <c r="D3" s="8"/>
      <c r="H3" s="17"/>
      <c r="I3" s="17"/>
      <c r="J3" s="17"/>
      <c r="K3" s="17"/>
      <c r="L3" s="17"/>
      <c r="M3" s="17"/>
      <c r="N3" s="17"/>
      <c r="O3" s="17"/>
      <c r="P3" s="17"/>
    </row>
    <row r="4" spans="2:36" x14ac:dyDescent="0.3">
      <c r="H4" s="17"/>
      <c r="I4" s="17"/>
      <c r="J4" s="17"/>
      <c r="K4" s="17"/>
      <c r="L4" s="17"/>
      <c r="M4" s="17"/>
      <c r="N4" s="17"/>
      <c r="O4" s="17"/>
      <c r="P4" s="17"/>
      <c r="Q4" s="9"/>
      <c r="R4" s="9"/>
      <c r="T4" s="1"/>
      <c r="U4" s="1"/>
    </row>
    <row r="5" spans="2:36" x14ac:dyDescent="0.3">
      <c r="F5" s="1" t="s">
        <v>195</v>
      </c>
      <c r="N5" s="2"/>
      <c r="P5" s="2"/>
      <c r="Q5" s="9"/>
      <c r="R5" s="9"/>
      <c r="T5" s="1"/>
      <c r="U5" s="1"/>
      <c r="V5" s="2"/>
      <c r="W5" s="2"/>
      <c r="Y5" s="1" t="s">
        <v>116</v>
      </c>
    </row>
    <row r="6" spans="2:36" ht="15" thickBot="1" x14ac:dyDescent="0.35">
      <c r="C6" s="6" t="s">
        <v>111</v>
      </c>
      <c r="D6" s="6" t="s">
        <v>117</v>
      </c>
      <c r="E6" s="6" t="s">
        <v>112</v>
      </c>
      <c r="F6" s="6" t="s">
        <v>113</v>
      </c>
      <c r="G6" s="6" t="s">
        <v>115</v>
      </c>
      <c r="H6" s="6" t="s">
        <v>0</v>
      </c>
      <c r="I6" s="6" t="s">
        <v>1</v>
      </c>
      <c r="J6" s="6" t="s">
        <v>2</v>
      </c>
      <c r="K6" s="6" t="s">
        <v>3</v>
      </c>
      <c r="L6" s="6" t="s">
        <v>4</v>
      </c>
      <c r="M6" s="6" t="s">
        <v>5</v>
      </c>
      <c r="N6" s="6" t="s">
        <v>6</v>
      </c>
      <c r="O6" s="6" t="s">
        <v>7</v>
      </c>
      <c r="P6" s="6" t="s">
        <v>8</v>
      </c>
      <c r="Q6" s="10" t="s">
        <v>119</v>
      </c>
      <c r="R6" s="10" t="s">
        <v>120</v>
      </c>
      <c r="S6" s="6" t="s">
        <v>110</v>
      </c>
      <c r="T6" s="1"/>
      <c r="U6" s="1"/>
      <c r="V6" s="6" t="s">
        <v>111</v>
      </c>
      <c r="W6" s="6" t="s">
        <v>117</v>
      </c>
      <c r="X6" s="6" t="s">
        <v>112</v>
      </c>
      <c r="Y6" s="6" t="s">
        <v>113</v>
      </c>
      <c r="Z6" s="6" t="s">
        <v>115</v>
      </c>
      <c r="AA6" s="6" t="s">
        <v>0</v>
      </c>
      <c r="AB6" s="6" t="s">
        <v>1</v>
      </c>
      <c r="AC6" s="6" t="s">
        <v>2</v>
      </c>
      <c r="AD6" s="6" t="s">
        <v>3</v>
      </c>
      <c r="AE6" s="6" t="s">
        <v>4</v>
      </c>
      <c r="AF6" s="6" t="s">
        <v>5</v>
      </c>
      <c r="AG6" s="6" t="s">
        <v>6</v>
      </c>
      <c r="AH6" s="6" t="s">
        <v>7</v>
      </c>
      <c r="AI6" s="6" t="s">
        <v>8</v>
      </c>
      <c r="AJ6" s="6" t="s">
        <v>110</v>
      </c>
    </row>
    <row r="7" spans="2:36" x14ac:dyDescent="0.3">
      <c r="C7" t="s">
        <v>9</v>
      </c>
      <c r="D7" t="s">
        <v>11</v>
      </c>
      <c r="E7" s="2" t="str">
        <f t="shared" ref="E7:E26" si="0">LEFT(D7,3)</f>
        <v>CSC</v>
      </c>
      <c r="F7" s="2" t="s">
        <v>114</v>
      </c>
      <c r="G7" s="2">
        <v>1</v>
      </c>
      <c r="H7" s="17">
        <f>-ComConstr!C3*0.99</f>
        <v>-0.96226162382560909</v>
      </c>
      <c r="I7" s="17">
        <f>-ComConstr!D3*0.99</f>
        <v>-0.97057032946071653</v>
      </c>
      <c r="J7" s="17">
        <f>-ComConstr!E3*0.99</f>
        <v>-0.96498333685467785</v>
      </c>
      <c r="K7" s="17">
        <f>-ComConstr!F3*0.99</f>
        <v>-0.98893959382597285</v>
      </c>
      <c r="L7" s="17">
        <f>-ComConstr!G3*0.99</f>
        <v>-0.98610353380733518</v>
      </c>
      <c r="M7" s="17">
        <f>-ComConstr!H3*0.99</f>
        <v>-0.98194617400276551</v>
      </c>
      <c r="N7" s="17">
        <f>-ComConstr!I3*0.99</f>
        <v>-0.98875460955570083</v>
      </c>
      <c r="O7" s="17">
        <f>-ComConstr!J3*0.99</f>
        <v>-0.97452371322151432</v>
      </c>
      <c r="P7" s="17">
        <f>-ComConstr!K3*0.99</f>
        <v>-0.9856898742175173</v>
      </c>
      <c r="Q7" s="9">
        <v>0</v>
      </c>
      <c r="R7" s="9">
        <v>15</v>
      </c>
      <c r="S7" s="1" t="s">
        <v>10</v>
      </c>
      <c r="T7" s="1"/>
      <c r="U7" s="1"/>
      <c r="V7" s="1" t="s">
        <v>9</v>
      </c>
      <c r="W7" s="1" t="s">
        <v>11</v>
      </c>
      <c r="X7" s="1" t="str">
        <f t="shared" ref="X7:X26" si="1">LEFT(W7,3)</f>
        <v>CSC</v>
      </c>
      <c r="Y7" s="1" t="s">
        <v>114</v>
      </c>
      <c r="Z7" s="1">
        <v>1</v>
      </c>
      <c r="AA7" s="17">
        <f>H7*0.76</f>
        <v>-0.7313188341074629</v>
      </c>
      <c r="AB7" s="17">
        <f t="shared" ref="AB7:AI7" si="2">I7*0.76</f>
        <v>-0.73763345039014461</v>
      </c>
      <c r="AC7" s="17">
        <f t="shared" si="2"/>
        <v>-0.73338733600955519</v>
      </c>
      <c r="AD7" s="17">
        <f t="shared" si="2"/>
        <v>-0.75159409130773935</v>
      </c>
      <c r="AE7" s="17">
        <f t="shared" si="2"/>
        <v>-0.74943868569357475</v>
      </c>
      <c r="AF7" s="17">
        <f t="shared" si="2"/>
        <v>-0.74627909224210176</v>
      </c>
      <c r="AG7" s="17">
        <f t="shared" si="2"/>
        <v>-0.75145350326233262</v>
      </c>
      <c r="AH7" s="17">
        <f t="shared" si="2"/>
        <v>-0.74063802204835094</v>
      </c>
      <c r="AI7" s="17">
        <f t="shared" si="2"/>
        <v>-0.74912430440531319</v>
      </c>
      <c r="AJ7" t="s">
        <v>10</v>
      </c>
    </row>
    <row r="8" spans="2:36" x14ac:dyDescent="0.3">
      <c r="C8" t="s">
        <v>12</v>
      </c>
      <c r="D8" t="s">
        <v>14</v>
      </c>
      <c r="E8" s="2" t="str">
        <f t="shared" si="0"/>
        <v>CSC</v>
      </c>
      <c r="F8" s="2" t="s">
        <v>114</v>
      </c>
      <c r="G8" s="2">
        <v>1</v>
      </c>
      <c r="H8" s="17">
        <f>-ComConstr!C4*0.99</f>
        <v>-2.7738376174390837E-2</v>
      </c>
      <c r="I8" s="17">
        <f>-ComConstr!D4*0.99</f>
        <v>-1.9429670539283399E-2</v>
      </c>
      <c r="J8" s="17">
        <f>-ComConstr!E4*0.99</f>
        <v>-2.5016663145321839E-2</v>
      </c>
      <c r="K8" s="17">
        <f>-ComConstr!F4*0.99</f>
        <v>-1.0604061740272252E-3</v>
      </c>
      <c r="L8" s="17">
        <f>-ComConstr!G4*0.99</f>
        <v>-3.8964661926648306E-3</v>
      </c>
      <c r="M8" s="17">
        <f>-ComConstr!H4*0.99</f>
        <v>-8.0538259972344883E-3</v>
      </c>
      <c r="N8" s="17">
        <f>-ComConstr!I4*0.99</f>
        <v>-1.2453904442992047E-3</v>
      </c>
      <c r="O8" s="17">
        <f>-ComConstr!J4*0.99</f>
        <v>-1.5476286778485527E-2</v>
      </c>
      <c r="P8" s="17">
        <f>-ComConstr!K4*0.99</f>
        <v>-4.3101257824828083E-3</v>
      </c>
      <c r="Q8" s="9">
        <v>0</v>
      </c>
      <c r="R8" s="9">
        <v>15</v>
      </c>
      <c r="S8" s="1" t="s">
        <v>13</v>
      </c>
      <c r="T8" s="1"/>
      <c r="U8" s="1"/>
      <c r="V8" s="1" t="s">
        <v>12</v>
      </c>
      <c r="W8" s="1" t="s">
        <v>14</v>
      </c>
      <c r="X8" s="1" t="str">
        <f t="shared" si="1"/>
        <v>CSC</v>
      </c>
      <c r="Y8" s="1" t="s">
        <v>114</v>
      </c>
      <c r="Z8" s="1">
        <v>1</v>
      </c>
      <c r="AA8" s="17">
        <f t="shared" ref="AA8:AA26" si="3">H8*0.76</f>
        <v>-2.1081165892537036E-2</v>
      </c>
      <c r="AB8" s="17">
        <f t="shared" ref="AB8:AB26" si="4">I8*0.76</f>
        <v>-1.4766549609855384E-2</v>
      </c>
      <c r="AC8" s="17">
        <f t="shared" ref="AC8:AC26" si="5">J8*0.76</f>
        <v>-1.9012663990444597E-2</v>
      </c>
      <c r="AD8" s="17">
        <f t="shared" ref="AD8:AD26" si="6">K8*0.76</f>
        <v>-8.0590869226069119E-4</v>
      </c>
      <c r="AE8" s="17">
        <f t="shared" ref="AE8:AE26" si="7">L8*0.76</f>
        <v>-2.9613143064252715E-3</v>
      </c>
      <c r="AF8" s="17">
        <f t="shared" ref="AF8:AF26" si="8">M8*0.76</f>
        <v>-6.1209077578982113E-3</v>
      </c>
      <c r="AG8" s="17">
        <f t="shared" ref="AG8:AG26" si="9">N8*0.76</f>
        <v>-9.464967376673956E-4</v>
      </c>
      <c r="AH8" s="17">
        <f t="shared" ref="AH8:AH26" si="10">O8*0.76</f>
        <v>-1.1761977951649001E-2</v>
      </c>
      <c r="AI8" s="17">
        <f t="shared" ref="AI8:AI26" si="11">P8*0.76</f>
        <v>-3.2756955946869342E-3</v>
      </c>
      <c r="AJ8" t="s">
        <v>13</v>
      </c>
    </row>
    <row r="9" spans="2:36" x14ac:dyDescent="0.3">
      <c r="C9" t="s">
        <v>15</v>
      </c>
      <c r="D9" t="s">
        <v>17</v>
      </c>
      <c r="E9" s="2" t="str">
        <f t="shared" si="0"/>
        <v>CSC</v>
      </c>
      <c r="F9" s="2" t="s">
        <v>114</v>
      </c>
      <c r="G9" s="2">
        <v>1</v>
      </c>
      <c r="H9" s="17">
        <f>-ComConstr!C5*0.99</f>
        <v>-0.44959770408260474</v>
      </c>
      <c r="I9" s="17">
        <f>-ComConstr!D5*0.99</f>
        <v>-0.49222652176081155</v>
      </c>
      <c r="J9" s="17">
        <f>-ComConstr!E5*0.99</f>
        <v>-0.4464759672288956</v>
      </c>
      <c r="K9" s="17">
        <f>-ComConstr!F5*0.99</f>
        <v>-0.48911949101856855</v>
      </c>
      <c r="L9" s="17">
        <f>-ComConstr!G5*0.99</f>
        <v>-0.40085748727175696</v>
      </c>
      <c r="M9" s="17">
        <f>-ComConstr!H5*0.99</f>
        <v>-0.47483534567219837</v>
      </c>
      <c r="N9" s="17">
        <f>-ComConstr!I5*0.99</f>
        <v>-0.47050675414673521</v>
      </c>
      <c r="O9" s="17">
        <f>-ComConstr!J5*0.99</f>
        <v>-0.42627258426807346</v>
      </c>
      <c r="P9" s="17">
        <f>-ComConstr!K5*0.99</f>
        <v>-0.50953848289043058</v>
      </c>
      <c r="Q9" s="9">
        <v>0</v>
      </c>
      <c r="R9" s="9">
        <v>15</v>
      </c>
      <c r="S9" s="1" t="s">
        <v>16</v>
      </c>
      <c r="T9" s="1"/>
      <c r="U9" s="1"/>
      <c r="V9" s="1" t="s">
        <v>15</v>
      </c>
      <c r="W9" s="1" t="s">
        <v>17</v>
      </c>
      <c r="X9" s="1" t="str">
        <f t="shared" si="1"/>
        <v>CSC</v>
      </c>
      <c r="Y9" s="1" t="s">
        <v>114</v>
      </c>
      <c r="Z9" s="1">
        <v>1</v>
      </c>
      <c r="AA9" s="17">
        <f>H9*0.85</f>
        <v>-0.38215804847021401</v>
      </c>
      <c r="AB9" s="17">
        <f t="shared" ref="AB9:AI13" si="12">I9*0.85</f>
        <v>-0.41839254349668981</v>
      </c>
      <c r="AC9" s="17">
        <f t="shared" si="12"/>
        <v>-0.37950457214456124</v>
      </c>
      <c r="AD9" s="17">
        <f t="shared" si="12"/>
        <v>-0.41575156736578328</v>
      </c>
      <c r="AE9" s="17">
        <f t="shared" si="12"/>
        <v>-0.34072886418099341</v>
      </c>
      <c r="AF9" s="17">
        <f t="shared" si="12"/>
        <v>-0.40361004382136861</v>
      </c>
      <c r="AG9" s="17">
        <f t="shared" si="12"/>
        <v>-0.39993074102472492</v>
      </c>
      <c r="AH9" s="17">
        <f t="shared" si="12"/>
        <v>-0.36233169662786241</v>
      </c>
      <c r="AI9" s="17">
        <f t="shared" si="12"/>
        <v>-0.43310771045686597</v>
      </c>
      <c r="AJ9" t="s">
        <v>16</v>
      </c>
    </row>
    <row r="10" spans="2:36" x14ac:dyDescent="0.3">
      <c r="C10" t="s">
        <v>18</v>
      </c>
      <c r="D10" t="s">
        <v>20</v>
      </c>
      <c r="E10" s="2" t="str">
        <f t="shared" si="0"/>
        <v>CSC</v>
      </c>
      <c r="F10" s="2" t="s">
        <v>114</v>
      </c>
      <c r="G10" s="2">
        <v>1</v>
      </c>
      <c r="H10" s="17">
        <f>-ComConstr!C6*0.99</f>
        <v>-9.0731993348100753E-2</v>
      </c>
      <c r="I10" s="17">
        <f>-ComConstr!D6*0.99</f>
        <v>-8.1271617032377008E-2</v>
      </c>
      <c r="J10" s="17">
        <f>-ComConstr!E6*0.99</f>
        <v>-0.17320522643920253</v>
      </c>
      <c r="K10" s="17">
        <f>-ComConstr!F6*0.99</f>
        <v>-0.21479186056552965</v>
      </c>
      <c r="L10" s="17">
        <f>-ComConstr!G6*0.99</f>
        <v>-0.10169059384603049</v>
      </c>
      <c r="M10" s="17">
        <f>-ComConstr!H6*0.99</f>
        <v>-0.14594980235501429</v>
      </c>
      <c r="N10" s="17">
        <f>-ComConstr!I6*0.99</f>
        <v>-0.19860544145024472</v>
      </c>
      <c r="O10" s="17">
        <f>-ComConstr!J6*0.99</f>
        <v>-0.12133100930164356</v>
      </c>
      <c r="P10" s="17">
        <f>-ComConstr!K6*0.99</f>
        <v>-0.12323200803676201</v>
      </c>
      <c r="Q10" s="9">
        <v>0</v>
      </c>
      <c r="R10" s="9">
        <v>15</v>
      </c>
      <c r="S10" s="1" t="s">
        <v>19</v>
      </c>
      <c r="T10" s="1"/>
      <c r="U10" s="1"/>
      <c r="V10" s="1" t="s">
        <v>18</v>
      </c>
      <c r="W10" s="1" t="s">
        <v>20</v>
      </c>
      <c r="X10" s="1" t="str">
        <f t="shared" si="1"/>
        <v>CSC</v>
      </c>
      <c r="Y10" s="1" t="s">
        <v>114</v>
      </c>
      <c r="Z10" s="1">
        <v>1</v>
      </c>
      <c r="AA10" s="17">
        <f>H10*0.85</f>
        <v>-7.7122194345885645E-2</v>
      </c>
      <c r="AB10" s="17">
        <f t="shared" si="12"/>
        <v>-6.9080874477520454E-2</v>
      </c>
      <c r="AC10" s="17">
        <f t="shared" si="12"/>
        <v>-0.14722444247332214</v>
      </c>
      <c r="AD10" s="17">
        <f t="shared" si="12"/>
        <v>-0.1825730814807002</v>
      </c>
      <c r="AE10" s="17">
        <f t="shared" si="12"/>
        <v>-8.6437004769125914E-2</v>
      </c>
      <c r="AF10" s="17">
        <f t="shared" si="12"/>
        <v>-0.12405733200176214</v>
      </c>
      <c r="AG10" s="17">
        <f t="shared" si="12"/>
        <v>-0.16881462523270802</v>
      </c>
      <c r="AH10" s="17">
        <f t="shared" si="12"/>
        <v>-0.10313135790639702</v>
      </c>
      <c r="AI10" s="17">
        <f t="shared" si="12"/>
        <v>-0.10474720683124771</v>
      </c>
      <c r="AJ10" t="s">
        <v>19</v>
      </c>
    </row>
    <row r="11" spans="2:36" x14ac:dyDescent="0.3">
      <c r="C11" t="s">
        <v>21</v>
      </c>
      <c r="D11" t="s">
        <v>23</v>
      </c>
      <c r="E11" s="2" t="str">
        <f t="shared" si="0"/>
        <v>CSC</v>
      </c>
      <c r="F11" s="2" t="s">
        <v>114</v>
      </c>
      <c r="G11" s="2">
        <v>1</v>
      </c>
      <c r="H11" s="17">
        <f>-ComConstr!C7*0.99</f>
        <v>-0.12254017677609458</v>
      </c>
      <c r="I11" s="17">
        <f>-ComConstr!D7*0.99</f>
        <v>-0.10491885526702385</v>
      </c>
      <c r="J11" s="17">
        <f>-ComConstr!E7*0.99</f>
        <v>-4.3794446978116255E-2</v>
      </c>
      <c r="K11" s="17">
        <f>-ComConstr!F7*0.99</f>
        <v>-4.2357562890097698E-2</v>
      </c>
      <c r="L11" s="17">
        <f>-ComConstr!G7*0.99</f>
        <v>-5.8145826847889007E-2</v>
      </c>
      <c r="M11" s="17">
        <f>-ComConstr!H7*0.99</f>
        <v>-7.6556214761093089E-2</v>
      </c>
      <c r="N11" s="17">
        <f>-ComConstr!I7*0.99</f>
        <v>-5.1770985900726797E-2</v>
      </c>
      <c r="O11" s="17">
        <f>-ComConstr!J7*0.99</f>
        <v>-0.12778805948822153</v>
      </c>
      <c r="P11" s="17">
        <f>-ComConstr!K7*0.99</f>
        <v>-7.3596795499833764E-2</v>
      </c>
      <c r="Q11" s="9">
        <v>0</v>
      </c>
      <c r="R11" s="9">
        <v>15</v>
      </c>
      <c r="S11" s="1" t="s">
        <v>22</v>
      </c>
      <c r="T11" s="1"/>
      <c r="U11" s="1"/>
      <c r="V11" s="1" t="s">
        <v>21</v>
      </c>
      <c r="W11" s="1" t="s">
        <v>23</v>
      </c>
      <c r="X11" s="1" t="str">
        <f t="shared" si="1"/>
        <v>CSC</v>
      </c>
      <c r="Y11" s="1" t="s">
        <v>114</v>
      </c>
      <c r="Z11" s="1">
        <v>1</v>
      </c>
      <c r="AA11" s="17">
        <f>H11*0.85</f>
        <v>-0.10415915025968039</v>
      </c>
      <c r="AB11" s="17">
        <f t="shared" si="12"/>
        <v>-8.9181026976970279E-2</v>
      </c>
      <c r="AC11" s="17">
        <f t="shared" si="12"/>
        <v>-3.7225279931398819E-2</v>
      </c>
      <c r="AD11" s="17">
        <f t="shared" si="12"/>
        <v>-3.600392845658304E-2</v>
      </c>
      <c r="AE11" s="17">
        <f t="shared" si="12"/>
        <v>-4.9423952820705656E-2</v>
      </c>
      <c r="AF11" s="17">
        <f t="shared" si="12"/>
        <v>-6.5072782546929123E-2</v>
      </c>
      <c r="AG11" s="17">
        <f t="shared" si="12"/>
        <v>-4.4005338015617776E-2</v>
      </c>
      <c r="AH11" s="17">
        <f t="shared" si="12"/>
        <v>-0.1086198505649883</v>
      </c>
      <c r="AI11" s="17">
        <f t="shared" si="12"/>
        <v>-6.2557276174858692E-2</v>
      </c>
      <c r="AJ11" t="s">
        <v>22</v>
      </c>
    </row>
    <row r="12" spans="2:36" x14ac:dyDescent="0.3">
      <c r="C12" t="s">
        <v>24</v>
      </c>
      <c r="D12" t="s">
        <v>26</v>
      </c>
      <c r="E12" s="2" t="str">
        <f t="shared" si="0"/>
        <v>CSC</v>
      </c>
      <c r="F12" s="2" t="s">
        <v>114</v>
      </c>
      <c r="G12" s="2">
        <v>1</v>
      </c>
      <c r="H12" s="17">
        <f>-ComConstr!C8*0.99</f>
        <v>-1.8623291535785246E-2</v>
      </c>
      <c r="I12" s="17">
        <f>-ComConstr!D8*0.99</f>
        <v>-1.6251134881077742E-2</v>
      </c>
      <c r="J12" s="17">
        <f>-ComConstr!E8*0.99</f>
        <v>-8.188288406670843E-3</v>
      </c>
      <c r="K12" s="17">
        <f>-ComConstr!F8*0.99</f>
        <v>-1.3802886315213592E-2</v>
      </c>
      <c r="L12" s="17">
        <f>-ComConstr!G8*0.99</f>
        <v>-5.4111228553512601E-2</v>
      </c>
      <c r="M12" s="17">
        <f>-ComConstr!H8*0.99</f>
        <v>-3.9295945814315135E-2</v>
      </c>
      <c r="N12" s="17">
        <f>-ComConstr!I8*0.99</f>
        <v>-2.1935053564514567E-2</v>
      </c>
      <c r="O12" s="17">
        <f>-ComConstr!J8*0.99</f>
        <v>-2.6153462054052598E-2</v>
      </c>
      <c r="P12" s="17">
        <f>-ComConstr!K8*0.99</f>
        <v>-3.6361695592134265E-2</v>
      </c>
      <c r="Q12" s="9">
        <v>0</v>
      </c>
      <c r="R12" s="9">
        <v>15</v>
      </c>
      <c r="S12" s="1" t="s">
        <v>25</v>
      </c>
      <c r="T12" s="1"/>
      <c r="U12" s="1"/>
      <c r="V12" s="1" t="s">
        <v>24</v>
      </c>
      <c r="W12" s="1" t="s">
        <v>26</v>
      </c>
      <c r="X12" s="1" t="str">
        <f t="shared" si="1"/>
        <v>CSC</v>
      </c>
      <c r="Y12" s="1" t="s">
        <v>114</v>
      </c>
      <c r="Z12" s="1">
        <v>1</v>
      </c>
      <c r="AA12" s="17">
        <f>H12*0.85</f>
        <v>-1.5829797805417458E-2</v>
      </c>
      <c r="AB12" s="17">
        <f t="shared" si="12"/>
        <v>-1.381346464891608E-2</v>
      </c>
      <c r="AC12" s="17">
        <f t="shared" si="12"/>
        <v>-6.9600451456702161E-3</v>
      </c>
      <c r="AD12" s="17">
        <f t="shared" si="12"/>
        <v>-1.1732453367931552E-2</v>
      </c>
      <c r="AE12" s="17">
        <f t="shared" si="12"/>
        <v>-4.5994544270485709E-2</v>
      </c>
      <c r="AF12" s="17">
        <f t="shared" si="12"/>
        <v>-3.3401553942167865E-2</v>
      </c>
      <c r="AG12" s="17">
        <f t="shared" si="12"/>
        <v>-1.8644795529837381E-2</v>
      </c>
      <c r="AH12" s="17">
        <f t="shared" si="12"/>
        <v>-2.2230442745944708E-2</v>
      </c>
      <c r="AI12" s="17">
        <f t="shared" si="12"/>
        <v>-3.0907441253314124E-2</v>
      </c>
      <c r="AJ12" t="s">
        <v>25</v>
      </c>
    </row>
    <row r="13" spans="2:36" x14ac:dyDescent="0.3">
      <c r="C13" t="s">
        <v>27</v>
      </c>
      <c r="D13" t="s">
        <v>29</v>
      </c>
      <c r="E13" s="2" t="str">
        <f t="shared" si="0"/>
        <v>CSC</v>
      </c>
      <c r="F13" s="2" t="s">
        <v>114</v>
      </c>
      <c r="G13" s="2">
        <v>1</v>
      </c>
      <c r="H13" s="17">
        <f>-ComConstr!C9*0.99</f>
        <v>-4.788846394916204E-2</v>
      </c>
      <c r="I13" s="17">
        <f>-ComConstr!D9*0.99</f>
        <v>-4.1788632551342714E-2</v>
      </c>
      <c r="J13" s="17">
        <f>-ComConstr!E9*0.99</f>
        <v>-2.1055598760010619E-2</v>
      </c>
      <c r="K13" s="17">
        <f>-ComConstr!F9*0.99</f>
        <v>-3.5493136239120739E-2</v>
      </c>
      <c r="L13" s="17">
        <f>-ComConstr!G9*0.99</f>
        <v>-0.13914315913760344</v>
      </c>
      <c r="M13" s="17">
        <f>-ComConstr!H9*0.99</f>
        <v>-0.10104671780823864</v>
      </c>
      <c r="N13" s="17">
        <f>-ComConstr!I9*0.99</f>
        <v>-5.6404423451608697E-2</v>
      </c>
      <c r="O13" s="17">
        <f>-ComConstr!J9*0.99</f>
        <v>-6.7251759567563532E-2</v>
      </c>
      <c r="P13" s="17">
        <f>-ComConstr!K9*0.99</f>
        <v>-9.3501502951201992E-2</v>
      </c>
      <c r="Q13" s="9">
        <v>0</v>
      </c>
      <c r="R13" s="9">
        <v>15</v>
      </c>
      <c r="S13" s="1" t="s">
        <v>28</v>
      </c>
      <c r="T13" s="1"/>
      <c r="U13" s="1"/>
      <c r="V13" s="1" t="s">
        <v>27</v>
      </c>
      <c r="W13" s="1" t="s">
        <v>29</v>
      </c>
      <c r="X13" s="1" t="str">
        <f t="shared" si="1"/>
        <v>CSC</v>
      </c>
      <c r="Y13" s="1" t="s">
        <v>114</v>
      </c>
      <c r="Z13" s="1">
        <v>1</v>
      </c>
      <c r="AA13" s="17">
        <f>H13*0.85</f>
        <v>-4.0705194356787731E-2</v>
      </c>
      <c r="AB13" s="17">
        <f t="shared" si="12"/>
        <v>-3.5520337668641308E-2</v>
      </c>
      <c r="AC13" s="17">
        <f t="shared" si="12"/>
        <v>-1.7897258946009024E-2</v>
      </c>
      <c r="AD13" s="17">
        <f t="shared" si="12"/>
        <v>-3.0169165803252625E-2</v>
      </c>
      <c r="AE13" s="17">
        <f t="shared" si="12"/>
        <v>-0.11827168526696293</v>
      </c>
      <c r="AF13" s="17">
        <f t="shared" si="12"/>
        <v>-8.5889710137002834E-2</v>
      </c>
      <c r="AG13" s="17">
        <f t="shared" si="12"/>
        <v>-4.7943759933867389E-2</v>
      </c>
      <c r="AH13" s="17">
        <f t="shared" si="12"/>
        <v>-5.7163995632429E-2</v>
      </c>
      <c r="AI13" s="17">
        <f t="shared" si="12"/>
        <v>-7.9476277508521695E-2</v>
      </c>
      <c r="AJ13" t="s">
        <v>28</v>
      </c>
    </row>
    <row r="14" spans="2:36" x14ac:dyDescent="0.3">
      <c r="C14" t="s">
        <v>30</v>
      </c>
      <c r="D14" t="s">
        <v>32</v>
      </c>
      <c r="E14" s="2" t="str">
        <f t="shared" si="0"/>
        <v>CSC</v>
      </c>
      <c r="F14" s="2" t="s">
        <v>114</v>
      </c>
      <c r="G14" s="2">
        <v>1</v>
      </c>
      <c r="H14" s="17">
        <f>-ComConstr!C10*0.99</f>
        <v>-5.2920915371537224E-2</v>
      </c>
      <c r="I14" s="17">
        <f>-ComConstr!D10*0.99</f>
        <v>-5.2736318365090538E-2</v>
      </c>
      <c r="J14" s="17">
        <f>-ComConstr!E10*0.99</f>
        <v>-6.1721949773800869E-2</v>
      </c>
      <c r="K14" s="17">
        <f>-ComConstr!F10*0.99</f>
        <v>-4.2542424495437478E-2</v>
      </c>
      <c r="L14" s="17">
        <f>-ComConstr!G10*0.99</f>
        <v>-5.1162028027484617E-2</v>
      </c>
      <c r="M14" s="17">
        <f>-ComConstr!H10*0.99</f>
        <v>-3.173767247021949E-2</v>
      </c>
      <c r="N14" s="17">
        <f>-ComConstr!I10*0.99</f>
        <v>-4.1710076176723211E-2</v>
      </c>
      <c r="O14" s="17">
        <f>-ComConstr!J10*0.99</f>
        <v>-4.6094934528263368E-2</v>
      </c>
      <c r="P14" s="17">
        <f>-ComConstr!K10*0.99</f>
        <v>-3.3338307492623974E-2</v>
      </c>
      <c r="Q14" s="9">
        <v>0</v>
      </c>
      <c r="R14" s="9">
        <v>15</v>
      </c>
      <c r="S14" s="1" t="s">
        <v>31</v>
      </c>
      <c r="T14" s="1"/>
      <c r="U14" s="1"/>
      <c r="V14" s="1" t="s">
        <v>30</v>
      </c>
      <c r="W14" s="1" t="s">
        <v>32</v>
      </c>
      <c r="X14" s="1" t="str">
        <f t="shared" si="1"/>
        <v>CSC</v>
      </c>
      <c r="Y14" s="1" t="s">
        <v>114</v>
      </c>
      <c r="Z14" s="1">
        <v>1</v>
      </c>
      <c r="AA14" s="17">
        <f t="shared" si="3"/>
        <v>-4.0219895682368292E-2</v>
      </c>
      <c r="AB14" s="17">
        <f t="shared" si="4"/>
        <v>-4.0079601957468812E-2</v>
      </c>
      <c r="AC14" s="17">
        <f t="shared" si="5"/>
        <v>-4.6908681828088661E-2</v>
      </c>
      <c r="AD14" s="17">
        <f t="shared" si="6"/>
        <v>-3.2332242616532482E-2</v>
      </c>
      <c r="AE14" s="17">
        <f t="shared" si="7"/>
        <v>-3.888314130088831E-2</v>
      </c>
      <c r="AF14" s="17">
        <f t="shared" si="8"/>
        <v>-2.4120631077366811E-2</v>
      </c>
      <c r="AG14" s="17">
        <f t="shared" si="9"/>
        <v>-3.1699657894309639E-2</v>
      </c>
      <c r="AH14" s="17">
        <f t="shared" si="10"/>
        <v>-3.503215024148016E-2</v>
      </c>
      <c r="AI14" s="17">
        <f t="shared" si="11"/>
        <v>-2.5337113694394221E-2</v>
      </c>
      <c r="AJ14" t="s">
        <v>31</v>
      </c>
    </row>
    <row r="15" spans="2:36" x14ac:dyDescent="0.3">
      <c r="C15" t="s">
        <v>33</v>
      </c>
      <c r="D15" t="s">
        <v>35</v>
      </c>
      <c r="E15" s="2" t="str">
        <f t="shared" si="0"/>
        <v>CSC</v>
      </c>
      <c r="F15" s="2" t="s">
        <v>114</v>
      </c>
      <c r="G15" s="2">
        <v>1</v>
      </c>
      <c r="H15" s="17">
        <f>-ComConstr!C11*0.99</f>
        <v>-0.18762869995363277</v>
      </c>
      <c r="I15" s="17">
        <f>-ComConstr!D11*0.99</f>
        <v>-0.1869742196580482</v>
      </c>
      <c r="J15" s="17">
        <f>-ComConstr!E11*0.99</f>
        <v>-0.21883236737983877</v>
      </c>
      <c r="K15" s="17">
        <f>-ComConstr!F11*0.99</f>
        <v>-0.15083223230200521</v>
      </c>
      <c r="L15" s="17">
        <f>-ComConstr!G11*0.99</f>
        <v>-0.18139264482471912</v>
      </c>
      <c r="M15" s="17">
        <f>-ComConstr!H11*0.99</f>
        <v>-0.11252447512168669</v>
      </c>
      <c r="N15" s="17">
        <f>-ComConstr!I11*0.99</f>
        <v>-0.14788117917201896</v>
      </c>
      <c r="O15" s="17">
        <f>-ComConstr!J11*0.99</f>
        <v>-0.16342749514566107</v>
      </c>
      <c r="P15" s="17">
        <f>-ComConstr!K11*0.99</f>
        <v>-0.11819945383748515</v>
      </c>
      <c r="Q15" s="9">
        <v>0</v>
      </c>
      <c r="R15" s="9">
        <v>15</v>
      </c>
      <c r="S15" s="1" t="s">
        <v>34</v>
      </c>
      <c r="T15" s="1"/>
      <c r="U15" s="1"/>
      <c r="V15" s="1" t="s">
        <v>33</v>
      </c>
      <c r="W15" s="1" t="s">
        <v>35</v>
      </c>
      <c r="X15" s="1" t="str">
        <f t="shared" si="1"/>
        <v>CSC</v>
      </c>
      <c r="Y15" s="1" t="s">
        <v>114</v>
      </c>
      <c r="Z15" s="1">
        <v>1</v>
      </c>
      <c r="AA15" s="17">
        <f t="shared" si="3"/>
        <v>-0.1425978119647609</v>
      </c>
      <c r="AB15" s="17">
        <f t="shared" si="4"/>
        <v>-0.14210040694011664</v>
      </c>
      <c r="AC15" s="17">
        <f t="shared" si="5"/>
        <v>-0.16631259920867747</v>
      </c>
      <c r="AD15" s="17">
        <f t="shared" si="6"/>
        <v>-0.11463249654952395</v>
      </c>
      <c r="AE15" s="17">
        <f t="shared" si="7"/>
        <v>-0.13785841006678654</v>
      </c>
      <c r="AF15" s="17">
        <f t="shared" si="8"/>
        <v>-8.5518601092481883E-2</v>
      </c>
      <c r="AG15" s="17">
        <f t="shared" si="9"/>
        <v>-0.11238969617073441</v>
      </c>
      <c r="AH15" s="17">
        <f t="shared" si="10"/>
        <v>-0.12420489631070242</v>
      </c>
      <c r="AI15" s="17">
        <f t="shared" si="11"/>
        <v>-8.983158491648871E-2</v>
      </c>
      <c r="AJ15" t="s">
        <v>34</v>
      </c>
    </row>
    <row r="16" spans="2:36" x14ac:dyDescent="0.3">
      <c r="C16" t="s">
        <v>36</v>
      </c>
      <c r="D16" t="s">
        <v>38</v>
      </c>
      <c r="E16" s="2" t="str">
        <f t="shared" si="0"/>
        <v>CCK</v>
      </c>
      <c r="F16" s="2" t="s">
        <v>114</v>
      </c>
      <c r="G16" s="2">
        <v>1</v>
      </c>
      <c r="H16" s="17">
        <f>-ComConstr!C12*0.99</f>
        <v>-0.36079473046134636</v>
      </c>
      <c r="I16" s="17">
        <f>-ComConstr!D12*0.99</f>
        <v>-0.3318907732232263</v>
      </c>
      <c r="J16" s="17">
        <f>-ComConstr!E12*0.99</f>
        <v>-0.36787955396046357</v>
      </c>
      <c r="K16" s="17">
        <f>-ComConstr!F12*0.99</f>
        <v>-0.44002557009279936</v>
      </c>
      <c r="L16" s="17">
        <f>-ComConstr!G12*0.99</f>
        <v>-0.41043373299701363</v>
      </c>
      <c r="M16" s="17">
        <f>-ComConstr!H12*0.99</f>
        <v>-0.37812763008681766</v>
      </c>
      <c r="N16" s="17">
        <f>-ComConstr!I12*0.99</f>
        <v>-0.38144646083736872</v>
      </c>
      <c r="O16" s="17">
        <f>-ComConstr!J12*0.99</f>
        <v>-0.35888943240344451</v>
      </c>
      <c r="P16" s="17">
        <f>-ComConstr!K12*0.99</f>
        <v>-0.26752941462028618</v>
      </c>
      <c r="Q16" s="9">
        <v>0</v>
      </c>
      <c r="R16" s="9">
        <v>15</v>
      </c>
      <c r="S16" s="1" t="s">
        <v>37</v>
      </c>
      <c r="T16" s="1"/>
      <c r="U16" s="1"/>
      <c r="V16" s="1" t="s">
        <v>36</v>
      </c>
      <c r="W16" s="1" t="s">
        <v>38</v>
      </c>
      <c r="X16" s="1" t="str">
        <f t="shared" si="1"/>
        <v>CCK</v>
      </c>
      <c r="Y16" s="1" t="s">
        <v>114</v>
      </c>
      <c r="Z16" s="1">
        <v>1</v>
      </c>
      <c r="AA16" s="17">
        <f t="shared" si="3"/>
        <v>-0.27420399515062321</v>
      </c>
      <c r="AB16" s="17">
        <f t="shared" si="4"/>
        <v>-0.25223698764965197</v>
      </c>
      <c r="AC16" s="17">
        <f t="shared" si="5"/>
        <v>-0.27958846100995233</v>
      </c>
      <c r="AD16" s="17">
        <f t="shared" si="6"/>
        <v>-0.33441943327052753</v>
      </c>
      <c r="AE16" s="17">
        <f t="shared" si="7"/>
        <v>-0.31192963707773036</v>
      </c>
      <c r="AF16" s="17">
        <f t="shared" si="8"/>
        <v>-0.28737699886598145</v>
      </c>
      <c r="AG16" s="17">
        <f t="shared" si="9"/>
        <v>-0.28989931023640025</v>
      </c>
      <c r="AH16" s="17">
        <f t="shared" si="10"/>
        <v>-0.27275596862661783</v>
      </c>
      <c r="AI16" s="17">
        <f t="shared" si="11"/>
        <v>-0.2033223551114175</v>
      </c>
      <c r="AJ16" t="s">
        <v>37</v>
      </c>
    </row>
    <row r="17" spans="3:36" x14ac:dyDescent="0.3">
      <c r="C17" t="s">
        <v>39</v>
      </c>
      <c r="D17" t="s">
        <v>41</v>
      </c>
      <c r="E17" s="2" t="str">
        <f t="shared" si="0"/>
        <v>CCK</v>
      </c>
      <c r="F17" s="2" t="s">
        <v>114</v>
      </c>
      <c r="G17" s="2">
        <v>1</v>
      </c>
      <c r="H17" s="17">
        <f>-ComConstr!C13*0.99</f>
        <v>-0.62920526953865363</v>
      </c>
      <c r="I17" s="17">
        <f>-ComConstr!D13*0.99</f>
        <v>-0.65810922677677364</v>
      </c>
      <c r="J17" s="17">
        <f>-ComConstr!E13*0.99</f>
        <v>-0.62212044603953642</v>
      </c>
      <c r="K17" s="17">
        <f>-ComConstr!F13*0.99</f>
        <v>-0.54997442990720058</v>
      </c>
      <c r="L17" s="17">
        <f>-ComConstr!G13*0.99</f>
        <v>-0.57956626700298641</v>
      </c>
      <c r="M17" s="17">
        <f>-ComConstr!H13*0.99</f>
        <v>-0.61187236991318239</v>
      </c>
      <c r="N17" s="17">
        <f>-ComConstr!I13*0.99</f>
        <v>-0.60855353916263144</v>
      </c>
      <c r="O17" s="17">
        <f>-ComConstr!J13*0.99</f>
        <v>-0.63111056759655548</v>
      </c>
      <c r="P17" s="17">
        <f>-ComConstr!K13*0.99</f>
        <v>-0.72247058537971354</v>
      </c>
      <c r="Q17" s="9">
        <v>0</v>
      </c>
      <c r="R17" s="9">
        <v>15</v>
      </c>
      <c r="S17" s="1" t="s">
        <v>40</v>
      </c>
      <c r="T17" s="1"/>
      <c r="U17" s="1"/>
      <c r="V17" s="1" t="s">
        <v>39</v>
      </c>
      <c r="W17" s="1" t="s">
        <v>41</v>
      </c>
      <c r="X17" s="1" t="str">
        <f t="shared" si="1"/>
        <v>CCK</v>
      </c>
      <c r="Y17" s="1" t="s">
        <v>114</v>
      </c>
      <c r="Z17" s="1">
        <v>1</v>
      </c>
      <c r="AA17" s="17">
        <f t="shared" si="3"/>
        <v>-0.47819600484937674</v>
      </c>
      <c r="AB17" s="17">
        <f t="shared" si="4"/>
        <v>-0.50016301235034799</v>
      </c>
      <c r="AC17" s="17">
        <f t="shared" si="5"/>
        <v>-0.47281153899004769</v>
      </c>
      <c r="AD17" s="17">
        <f t="shared" si="6"/>
        <v>-0.41798056672947242</v>
      </c>
      <c r="AE17" s="17">
        <f t="shared" si="7"/>
        <v>-0.44047036292226965</v>
      </c>
      <c r="AF17" s="17">
        <f t="shared" si="8"/>
        <v>-0.46502300113401862</v>
      </c>
      <c r="AG17" s="17">
        <f t="shared" si="9"/>
        <v>-0.46250068976359993</v>
      </c>
      <c r="AH17" s="17">
        <f t="shared" si="10"/>
        <v>-0.47964403137338218</v>
      </c>
      <c r="AI17" s="17">
        <f t="shared" si="11"/>
        <v>-0.54907764488858224</v>
      </c>
      <c r="AJ17" t="s">
        <v>40</v>
      </c>
    </row>
    <row r="18" spans="3:36" x14ac:dyDescent="0.3">
      <c r="C18" t="s">
        <v>42</v>
      </c>
      <c r="D18" t="s">
        <v>44</v>
      </c>
      <c r="E18" s="2" t="str">
        <f t="shared" si="0"/>
        <v>CSH</v>
      </c>
      <c r="F18" s="2" t="s">
        <v>114</v>
      </c>
      <c r="G18" s="2">
        <v>1</v>
      </c>
      <c r="H18" s="17">
        <f>-ComConstr!C14*0.99</f>
        <v>-0.11188280041165843</v>
      </c>
      <c r="I18" s="17">
        <f>-ComConstr!D14*0.99</f>
        <v>-9.699339803005104E-2</v>
      </c>
      <c r="J18" s="17">
        <f>-ComConstr!E14*0.99</f>
        <v>-6.9090816581292361E-2</v>
      </c>
      <c r="K18" s="17">
        <f>-ComConstr!F14*0.99</f>
        <v>-0.10128473523715871</v>
      </c>
      <c r="L18" s="17">
        <f>-ComConstr!G14*0.99</f>
        <v>-0.27727513761758771</v>
      </c>
      <c r="M18" s="17">
        <f>-ComConstr!H14*0.99</f>
        <v>-0.21229546760679116</v>
      </c>
      <c r="N18" s="17">
        <f>-ComConstr!I14*0.99</f>
        <v>-0.16121273602636274</v>
      </c>
      <c r="O18" s="17">
        <f>-ComConstr!J14*0.99</f>
        <v>-9.7071127568335788E-2</v>
      </c>
      <c r="P18" s="17">
        <f>-ComConstr!K14*0.99</f>
        <v>-0.163792066745795</v>
      </c>
      <c r="Q18" s="9">
        <v>0</v>
      </c>
      <c r="R18" s="9">
        <v>15</v>
      </c>
      <c r="S18" s="1" t="s">
        <v>43</v>
      </c>
      <c r="T18" s="1"/>
      <c r="U18" s="1"/>
      <c r="V18" s="1" t="s">
        <v>42</v>
      </c>
      <c r="W18" s="1" t="s">
        <v>44</v>
      </c>
      <c r="X18" s="1" t="str">
        <f t="shared" si="1"/>
        <v>CSH</v>
      </c>
      <c r="Y18" s="1" t="s">
        <v>114</v>
      </c>
      <c r="Z18" s="1">
        <v>1</v>
      </c>
      <c r="AA18" s="17">
        <f t="shared" si="3"/>
        <v>-8.503092831286041E-2</v>
      </c>
      <c r="AB18" s="17">
        <f t="shared" si="4"/>
        <v>-7.3714982502838797E-2</v>
      </c>
      <c r="AC18" s="17">
        <f t="shared" si="5"/>
        <v>-5.2509020601782197E-2</v>
      </c>
      <c r="AD18" s="17">
        <f t="shared" si="6"/>
        <v>-7.6976398780240624E-2</v>
      </c>
      <c r="AE18" s="17">
        <f t="shared" si="7"/>
        <v>-0.21072910458936667</v>
      </c>
      <c r="AF18" s="17">
        <f t="shared" si="8"/>
        <v>-0.1613445553811613</v>
      </c>
      <c r="AG18" s="17">
        <f t="shared" si="9"/>
        <v>-0.12252167938003568</v>
      </c>
      <c r="AH18" s="17">
        <f t="shared" si="10"/>
        <v>-7.3774056951935202E-2</v>
      </c>
      <c r="AI18" s="17">
        <f t="shared" si="11"/>
        <v>-0.1244819707268042</v>
      </c>
      <c r="AJ18" t="s">
        <v>43</v>
      </c>
    </row>
    <row r="19" spans="3:36" x14ac:dyDescent="0.3">
      <c r="C19" t="s">
        <v>45</v>
      </c>
      <c r="D19" t="s">
        <v>47</v>
      </c>
      <c r="E19" s="2" t="str">
        <f t="shared" si="0"/>
        <v>CSH</v>
      </c>
      <c r="F19" s="2" t="s">
        <v>114</v>
      </c>
      <c r="G19" s="2">
        <v>1</v>
      </c>
      <c r="H19" s="17">
        <f>-ComConstr!C15*0.99</f>
        <v>-0.49777187998432665</v>
      </c>
      <c r="I19" s="17">
        <f>-ComConstr!D15*0.99</f>
        <v>-0.66624125462135309</v>
      </c>
      <c r="J19" s="17">
        <f>-ComConstr!E15*0.99</f>
        <v>-0.90989786476834611</v>
      </c>
      <c r="K19" s="17">
        <f>-ComConstr!F15*0.99</f>
        <v>-0.88871526476284146</v>
      </c>
      <c r="L19" s="17">
        <f>-ComConstr!G15*0.99</f>
        <v>-0.65422887278258635</v>
      </c>
      <c r="M19" s="17">
        <f>-ComConstr!H15*0.99</f>
        <v>-0.77591099925353768</v>
      </c>
      <c r="N19" s="17">
        <f>-ComConstr!I15*0.99</f>
        <v>-0.82694929565207065</v>
      </c>
      <c r="O19" s="17">
        <f>-ComConstr!J15*0.99</f>
        <v>-0.88907192796442402</v>
      </c>
      <c r="P19" s="17">
        <f>-ComConstr!K15*0.99</f>
        <v>-0.82565287803392862</v>
      </c>
      <c r="Q19" s="9">
        <v>0</v>
      </c>
      <c r="R19" s="9">
        <v>15</v>
      </c>
      <c r="S19" s="1" t="s">
        <v>46</v>
      </c>
      <c r="T19" s="1"/>
      <c r="U19" s="1"/>
      <c r="V19" s="1" t="s">
        <v>45</v>
      </c>
      <c r="W19" s="1" t="s">
        <v>47</v>
      </c>
      <c r="X19" s="1" t="str">
        <f t="shared" si="1"/>
        <v>CSH</v>
      </c>
      <c r="Y19" s="1" t="s">
        <v>114</v>
      </c>
      <c r="Z19" s="1">
        <v>1</v>
      </c>
      <c r="AA19" s="17">
        <f t="shared" si="3"/>
        <v>-0.37830662878808824</v>
      </c>
      <c r="AB19" s="17">
        <f t="shared" si="4"/>
        <v>-0.50634335351222837</v>
      </c>
      <c r="AC19" s="17">
        <f t="shared" si="5"/>
        <v>-0.69152237722394305</v>
      </c>
      <c r="AD19" s="17">
        <f t="shared" si="6"/>
        <v>-0.67542360121975953</v>
      </c>
      <c r="AE19" s="17">
        <f t="shared" si="7"/>
        <v>-0.49721394331476565</v>
      </c>
      <c r="AF19" s="17">
        <f t="shared" si="8"/>
        <v>-0.58969235943268861</v>
      </c>
      <c r="AG19" s="17">
        <f t="shared" si="9"/>
        <v>-0.62848146469557375</v>
      </c>
      <c r="AH19" s="17">
        <f t="shared" si="10"/>
        <v>-0.67569466525296229</v>
      </c>
      <c r="AI19" s="17">
        <f t="shared" si="11"/>
        <v>-0.62749618730578571</v>
      </c>
      <c r="AJ19" t="s">
        <v>46</v>
      </c>
    </row>
    <row r="20" spans="3:36" x14ac:dyDescent="0.3">
      <c r="C20" t="s">
        <v>48</v>
      </c>
      <c r="D20" t="s">
        <v>50</v>
      </c>
      <c r="E20" s="2" t="str">
        <f t="shared" si="0"/>
        <v>CSH</v>
      </c>
      <c r="F20" s="2" t="s">
        <v>114</v>
      </c>
      <c r="G20" s="2">
        <v>1</v>
      </c>
      <c r="H20" s="17">
        <f>-ComConstr!C16*0.99</f>
        <v>-0.38034531960401496</v>
      </c>
      <c r="I20" s="17">
        <f>-ComConstr!D16*0.99</f>
        <v>-0.22676534734859594</v>
      </c>
      <c r="J20" s="17">
        <f>-ComConstr!E16*0.99</f>
        <v>-1.1011318650361394E-2</v>
      </c>
      <c r="K20" s="17">
        <f>-ComConstr!F16*0.99</f>
        <v>0</v>
      </c>
      <c r="L20" s="17">
        <f>-ComConstr!G16*0.99</f>
        <v>-5.8495989599825951E-2</v>
      </c>
      <c r="M20" s="17">
        <f>-ComConstr!H16*0.99</f>
        <v>-1.7935331396710542E-3</v>
      </c>
      <c r="N20" s="17">
        <f>-ComConstr!I16*0.99</f>
        <v>-1.83796832156664E-3</v>
      </c>
      <c r="O20" s="17">
        <f>-ComConstr!J16*0.99</f>
        <v>-3.8569444672400888E-3</v>
      </c>
      <c r="P20" s="17">
        <f>-ComConstr!K16*0.99</f>
        <v>-5.5505522027641727E-4</v>
      </c>
      <c r="Q20" s="9">
        <v>0</v>
      </c>
      <c r="R20" s="9">
        <v>15</v>
      </c>
      <c r="S20" s="1" t="s">
        <v>49</v>
      </c>
      <c r="T20" s="1"/>
      <c r="U20" s="1"/>
      <c r="V20" s="1" t="s">
        <v>48</v>
      </c>
      <c r="W20" s="1" t="s">
        <v>50</v>
      </c>
      <c r="X20" s="1" t="str">
        <f t="shared" si="1"/>
        <v>CSH</v>
      </c>
      <c r="Y20" s="1" t="s">
        <v>114</v>
      </c>
      <c r="Z20" s="1">
        <v>1</v>
      </c>
      <c r="AA20" s="17">
        <f t="shared" si="3"/>
        <v>-0.28906244289905136</v>
      </c>
      <c r="AB20" s="17">
        <f t="shared" si="4"/>
        <v>-0.17234166398493292</v>
      </c>
      <c r="AC20" s="17">
        <f t="shared" si="5"/>
        <v>-8.36860217427466E-3</v>
      </c>
      <c r="AD20" s="17">
        <f t="shared" si="6"/>
        <v>0</v>
      </c>
      <c r="AE20" s="17">
        <f t="shared" si="7"/>
        <v>-4.4456952095867724E-2</v>
      </c>
      <c r="AF20" s="17">
        <f t="shared" si="8"/>
        <v>-1.3630851861500012E-3</v>
      </c>
      <c r="AG20" s="17">
        <f t="shared" si="9"/>
        <v>-1.3968559243906465E-3</v>
      </c>
      <c r="AH20" s="17">
        <f t="shared" si="10"/>
        <v>-2.9312777951024677E-3</v>
      </c>
      <c r="AI20" s="17">
        <f t="shared" si="11"/>
        <v>-4.2184196741007712E-4</v>
      </c>
      <c r="AJ20" t="s">
        <v>49</v>
      </c>
    </row>
    <row r="21" spans="3:36" x14ac:dyDescent="0.3">
      <c r="C21" t="s">
        <v>51</v>
      </c>
      <c r="D21" t="s">
        <v>53</v>
      </c>
      <c r="E21" s="2" t="str">
        <f t="shared" si="0"/>
        <v>CSH</v>
      </c>
      <c r="F21" s="2" t="s">
        <v>114</v>
      </c>
      <c r="G21" s="2">
        <v>1</v>
      </c>
      <c r="H21" s="17">
        <f>-ComConstr!C17*0.98</f>
        <v>-0.57372386713421797</v>
      </c>
      <c r="I21" s="17">
        <f>-ComConstr!D17*0.98</f>
        <v>-0.56173357787312739</v>
      </c>
      <c r="J21" s="17">
        <f>-ComConstr!E17*0.98</f>
        <v>-0.40277857429414976</v>
      </c>
      <c r="K21" s="17">
        <f>-ComConstr!F17*0.98</f>
        <v>-0.31760496213572359</v>
      </c>
      <c r="L21" s="17">
        <f>-ComConstr!G17*0.98</f>
        <v>-0.30882116254322434</v>
      </c>
      <c r="M21" s="17">
        <f>-ComConstr!H17*0.98</f>
        <v>-0.26888845715224641</v>
      </c>
      <c r="N21" s="17">
        <f>-ComConstr!I17*0.98</f>
        <v>-0.23028038957946997</v>
      </c>
      <c r="O21" s="17">
        <f>-ComConstr!J17*0.98</f>
        <v>-0.28598435004357503</v>
      </c>
      <c r="P21" s="17">
        <f>-ComConstr!K17*0.98</f>
        <v>-0.23888646809260403</v>
      </c>
      <c r="Q21" s="9">
        <v>0</v>
      </c>
      <c r="R21" s="9">
        <v>15</v>
      </c>
      <c r="S21" s="1" t="s">
        <v>52</v>
      </c>
      <c r="T21" s="1"/>
      <c r="U21" s="1"/>
      <c r="V21" s="1" t="s">
        <v>51</v>
      </c>
      <c r="W21" s="1" t="s">
        <v>53</v>
      </c>
      <c r="X21" s="1" t="str">
        <f t="shared" si="1"/>
        <v>CSH</v>
      </c>
      <c r="Y21" s="1" t="s">
        <v>114</v>
      </c>
      <c r="Z21" s="1">
        <v>1</v>
      </c>
      <c r="AA21" s="17">
        <f>H21*0.85</f>
        <v>-0.48766528706408524</v>
      </c>
      <c r="AB21" s="17">
        <f t="shared" ref="AB21:AI22" si="13">I21*0.85</f>
        <v>-0.47747354119215829</v>
      </c>
      <c r="AC21" s="17">
        <f t="shared" si="13"/>
        <v>-0.34236178815002727</v>
      </c>
      <c r="AD21" s="17">
        <f t="shared" si="13"/>
        <v>-0.26996421781536506</v>
      </c>
      <c r="AE21" s="17">
        <f t="shared" si="13"/>
        <v>-0.26249798816174069</v>
      </c>
      <c r="AF21" s="17">
        <f t="shared" si="13"/>
        <v>-0.22855518857940943</v>
      </c>
      <c r="AG21" s="17">
        <f t="shared" si="13"/>
        <v>-0.19573833114254946</v>
      </c>
      <c r="AH21" s="17">
        <f t="shared" si="13"/>
        <v>-0.24308669753703877</v>
      </c>
      <c r="AI21" s="17">
        <f t="shared" si="13"/>
        <v>-0.20305349787871341</v>
      </c>
      <c r="AJ21" t="s">
        <v>52</v>
      </c>
    </row>
    <row r="22" spans="3:36" x14ac:dyDescent="0.3">
      <c r="C22" t="s">
        <v>54</v>
      </c>
      <c r="D22" t="s">
        <v>56</v>
      </c>
      <c r="E22" s="2" t="str">
        <f t="shared" si="0"/>
        <v>CSH</v>
      </c>
      <c r="F22" s="2" t="s">
        <v>114</v>
      </c>
      <c r="G22" s="2">
        <v>1</v>
      </c>
      <c r="H22" s="17">
        <f>-ComConstr!C18*0.98</f>
        <v>-0.29755481858433735</v>
      </c>
      <c r="I22" s="17">
        <f>-ComConstr!D18*0.98</f>
        <v>-0.32281547015814244</v>
      </c>
      <c r="J22" s="17">
        <f>-ComConstr!E18*0.98</f>
        <v>-0.53029777397285094</v>
      </c>
      <c r="K22" s="17">
        <f>-ComConstr!F18*0.98</f>
        <v>-0.56710788129550094</v>
      </c>
      <c r="L22" s="17">
        <f>-ComConstr!G18*0.98</f>
        <v>-0.39930400414727396</v>
      </c>
      <c r="M22" s="17">
        <f>-ComConstr!H18*0.98</f>
        <v>-0.53389980414877136</v>
      </c>
      <c r="N22" s="17">
        <f>-ComConstr!I18*0.98</f>
        <v>-0.59490185758966307</v>
      </c>
      <c r="O22" s="17">
        <f>-ComConstr!J18*0.98</f>
        <v>-0.59897591824127872</v>
      </c>
      <c r="P22" s="17">
        <f>-ComConstr!K18*0.98</f>
        <v>-0.58846060393804989</v>
      </c>
      <c r="Q22" s="9">
        <v>0</v>
      </c>
      <c r="R22" s="9">
        <v>15</v>
      </c>
      <c r="S22" s="1" t="s">
        <v>55</v>
      </c>
      <c r="T22" s="1"/>
      <c r="U22" s="1"/>
      <c r="V22" s="1" t="s">
        <v>54</v>
      </c>
      <c r="W22" s="1" t="s">
        <v>56</v>
      </c>
      <c r="X22" s="1" t="str">
        <f t="shared" si="1"/>
        <v>CSH</v>
      </c>
      <c r="Y22" s="1" t="s">
        <v>114</v>
      </c>
      <c r="Z22" s="1">
        <v>1</v>
      </c>
      <c r="AA22" s="17">
        <f>H22*0.85</f>
        <v>-0.25292159579668677</v>
      </c>
      <c r="AB22" s="17">
        <f t="shared" si="13"/>
        <v>-0.27439314963442107</v>
      </c>
      <c r="AC22" s="17">
        <f t="shared" si="13"/>
        <v>-0.4507531078769233</v>
      </c>
      <c r="AD22" s="17">
        <f t="shared" si="13"/>
        <v>-0.48204169910117578</v>
      </c>
      <c r="AE22" s="17">
        <f t="shared" si="13"/>
        <v>-0.33940840352518287</v>
      </c>
      <c r="AF22" s="17">
        <f t="shared" si="13"/>
        <v>-0.45381483352645563</v>
      </c>
      <c r="AG22" s="17">
        <f t="shared" si="13"/>
        <v>-0.50566657895121359</v>
      </c>
      <c r="AH22" s="17">
        <f t="shared" si="13"/>
        <v>-0.50912953050508691</v>
      </c>
      <c r="AI22" s="17">
        <f t="shared" si="13"/>
        <v>-0.50019151334734235</v>
      </c>
      <c r="AJ22" t="s">
        <v>55</v>
      </c>
    </row>
    <row r="23" spans="3:36" x14ac:dyDescent="0.3">
      <c r="C23" t="s">
        <v>57</v>
      </c>
      <c r="D23" t="s">
        <v>59</v>
      </c>
      <c r="E23" s="2" t="str">
        <f t="shared" si="0"/>
        <v>CSH</v>
      </c>
      <c r="F23" s="2" t="s">
        <v>114</v>
      </c>
      <c r="G23" s="2">
        <v>1</v>
      </c>
      <c r="H23" s="17">
        <f>-ComConstr!C19*0.99</f>
        <v>-6.2523328818415186E-2</v>
      </c>
      <c r="I23" s="17">
        <f>-ComConstr!D19*0.99</f>
        <v>-5.1795280738056997E-2</v>
      </c>
      <c r="J23" s="17">
        <f>-ComConstr!E19*0.99</f>
        <v>-2.8660311891254842E-2</v>
      </c>
      <c r="K23" s="17">
        <f>-ComConstr!F19*0.99</f>
        <v>-5.853432275871609E-2</v>
      </c>
      <c r="L23" s="17">
        <f>-ComConstr!G19*0.99</f>
        <v>-4.8439141065986027E-2</v>
      </c>
      <c r="M23" s="17">
        <f>-ComConstr!H19*0.99</f>
        <v>-4.8105182992674855E-2</v>
      </c>
      <c r="N23" s="17">
        <f>-ComConstr!I19*0.99</f>
        <v>-6.1154842678215249E-2</v>
      </c>
      <c r="O23" s="17">
        <f>-ComConstr!J19*0.99</f>
        <v>-4.5959398678736586E-2</v>
      </c>
      <c r="P23" s="17">
        <f>-ComConstr!K19*0.99</f>
        <v>-4.4348828155153543E-2</v>
      </c>
      <c r="Q23" s="9">
        <v>0</v>
      </c>
      <c r="R23" s="9">
        <v>15</v>
      </c>
      <c r="S23" s="1" t="s">
        <v>58</v>
      </c>
      <c r="T23" s="1"/>
      <c r="U23" s="1"/>
      <c r="V23" s="1" t="s">
        <v>57</v>
      </c>
      <c r="W23" s="1" t="s">
        <v>59</v>
      </c>
      <c r="X23" s="1" t="str">
        <f t="shared" si="1"/>
        <v>CSH</v>
      </c>
      <c r="Y23" s="1" t="s">
        <v>114</v>
      </c>
      <c r="Z23" s="1">
        <v>1</v>
      </c>
      <c r="AA23" s="17">
        <f t="shared" si="3"/>
        <v>-4.7517729901995542E-2</v>
      </c>
      <c r="AB23" s="17">
        <f t="shared" si="4"/>
        <v>-3.936441336092332E-2</v>
      </c>
      <c r="AC23" s="17">
        <f t="shared" si="5"/>
        <v>-2.1781837037353681E-2</v>
      </c>
      <c r="AD23" s="17">
        <f t="shared" si="6"/>
        <v>-4.4486085296624227E-2</v>
      </c>
      <c r="AE23" s="17">
        <f t="shared" si="7"/>
        <v>-3.6813747210149378E-2</v>
      </c>
      <c r="AF23" s="17">
        <f t="shared" si="8"/>
        <v>-3.655993907443289E-2</v>
      </c>
      <c r="AG23" s="17">
        <f t="shared" si="9"/>
        <v>-4.6477680435443591E-2</v>
      </c>
      <c r="AH23" s="17">
        <f t="shared" si="10"/>
        <v>-3.4929142995839803E-2</v>
      </c>
      <c r="AI23" s="17">
        <f t="shared" si="11"/>
        <v>-3.370510939791669E-2</v>
      </c>
      <c r="AJ23" t="s">
        <v>58</v>
      </c>
    </row>
    <row r="24" spans="3:36" x14ac:dyDescent="0.3">
      <c r="C24" t="s">
        <v>60</v>
      </c>
      <c r="D24" t="s">
        <v>62</v>
      </c>
      <c r="E24" s="2" t="str">
        <f t="shared" si="0"/>
        <v>CWH</v>
      </c>
      <c r="F24" s="2" t="s">
        <v>114</v>
      </c>
      <c r="G24" s="2">
        <v>1</v>
      </c>
      <c r="H24" s="17">
        <f>-ComConstr!C20*0.99</f>
        <v>-4.1902451659009958E-2</v>
      </c>
      <c r="I24" s="17">
        <f>-ComConstr!D20*0.99</f>
        <v>-4.4528536768945366E-2</v>
      </c>
      <c r="J24" s="17">
        <f>-ComConstr!E20*0.99</f>
        <v>-5.6927998949996277E-2</v>
      </c>
      <c r="K24" s="17">
        <f>-ComConstr!F20*0.99</f>
        <v>-8.1365565272736251E-2</v>
      </c>
      <c r="L24" s="17">
        <f>-ComConstr!G20*0.99</f>
        <v>-0.23085428257165308</v>
      </c>
      <c r="M24" s="17">
        <f>-ComConstr!H20*0.99</f>
        <v>-0.17309897500792551</v>
      </c>
      <c r="N24" s="17">
        <f>-ComConstr!I20*0.99</f>
        <v>-0.11039193429065221</v>
      </c>
      <c r="O24" s="17">
        <f>-ComConstr!J20*0.99</f>
        <v>-8.2003411397574236E-2</v>
      </c>
      <c r="P24" s="17">
        <f>-ComConstr!K20*0.99</f>
        <v>-2.5377385989212565E-2</v>
      </c>
      <c r="Q24" s="9">
        <v>0</v>
      </c>
      <c r="R24" s="9">
        <v>15</v>
      </c>
      <c r="S24" s="1" t="s">
        <v>61</v>
      </c>
      <c r="T24" s="1"/>
      <c r="U24" s="1"/>
      <c r="V24" s="1" t="s">
        <v>60</v>
      </c>
      <c r="W24" s="1" t="s">
        <v>62</v>
      </c>
      <c r="X24" s="1" t="str">
        <f t="shared" si="1"/>
        <v>CWH</v>
      </c>
      <c r="Y24" s="1" t="s">
        <v>114</v>
      </c>
      <c r="Z24" s="1">
        <v>1</v>
      </c>
      <c r="AA24" s="17">
        <f t="shared" si="3"/>
        <v>-3.1845863260847568E-2</v>
      </c>
      <c r="AB24" s="17">
        <f t="shared" si="4"/>
        <v>-3.3841687944398478E-2</v>
      </c>
      <c r="AC24" s="17">
        <f t="shared" si="5"/>
        <v>-4.3265279201997173E-2</v>
      </c>
      <c r="AD24" s="17">
        <f t="shared" si="6"/>
        <v>-6.183782960727955E-2</v>
      </c>
      <c r="AE24" s="17">
        <f t="shared" si="7"/>
        <v>-0.17544925475445633</v>
      </c>
      <c r="AF24" s="17">
        <f t="shared" si="8"/>
        <v>-0.13155522100602338</v>
      </c>
      <c r="AG24" s="17">
        <f t="shared" si="9"/>
        <v>-8.3897870060895677E-2</v>
      </c>
      <c r="AH24" s="17">
        <f t="shared" si="10"/>
        <v>-6.2322592662156423E-2</v>
      </c>
      <c r="AI24" s="17">
        <f t="shared" si="11"/>
        <v>-1.928681335180155E-2</v>
      </c>
      <c r="AJ24" t="s">
        <v>61</v>
      </c>
    </row>
    <row r="25" spans="3:36" x14ac:dyDescent="0.3">
      <c r="C25" t="s">
        <v>63</v>
      </c>
      <c r="D25" t="s">
        <v>65</v>
      </c>
      <c r="E25" s="2" t="str">
        <f t="shared" si="0"/>
        <v>CWH</v>
      </c>
      <c r="F25" s="2" t="s">
        <v>114</v>
      </c>
      <c r="G25" s="2">
        <v>1</v>
      </c>
      <c r="H25" s="17">
        <f>-ComConstr!C21*0.99</f>
        <v>-0.78576552115100651</v>
      </c>
      <c r="I25" s="17">
        <f>-ComConstr!D21*0.99</f>
        <v>-0.94547146323105469</v>
      </c>
      <c r="J25" s="17">
        <f>-ComConstr!E21*0.99</f>
        <v>-0.93307200105000387</v>
      </c>
      <c r="K25" s="17">
        <f>-ComConstr!F21*0.99</f>
        <v>-0.9086344347272638</v>
      </c>
      <c r="L25" s="17">
        <f>-ComConstr!G21*0.99</f>
        <v>-0.75151294496802967</v>
      </c>
      <c r="M25" s="17">
        <f>-ComConstr!H21*0.99</f>
        <v>-0.81690102499207451</v>
      </c>
      <c r="N25" s="17">
        <f>-ComConstr!I21*0.99</f>
        <v>-0.8796080657093478</v>
      </c>
      <c r="O25" s="17">
        <f>-ComConstr!J21*0.99</f>
        <v>-0.90799658860242571</v>
      </c>
      <c r="P25" s="17">
        <f>-ComConstr!K21*0.99</f>
        <v>-0.96462261401078742</v>
      </c>
      <c r="Q25" s="9">
        <v>0</v>
      </c>
      <c r="R25" s="9">
        <v>15</v>
      </c>
      <c r="S25" s="1" t="s">
        <v>64</v>
      </c>
      <c r="T25" s="1"/>
      <c r="U25" s="1"/>
      <c r="V25" s="1" t="s">
        <v>63</v>
      </c>
      <c r="W25" s="1" t="s">
        <v>65</v>
      </c>
      <c r="X25" s="1" t="str">
        <f t="shared" si="1"/>
        <v>CWH</v>
      </c>
      <c r="Y25" s="1" t="s">
        <v>114</v>
      </c>
      <c r="Z25" s="1">
        <v>1</v>
      </c>
      <c r="AA25" s="17">
        <f t="shared" si="3"/>
        <v>-0.59718179607476496</v>
      </c>
      <c r="AB25" s="17">
        <f t="shared" si="4"/>
        <v>-0.71855831205560161</v>
      </c>
      <c r="AC25" s="17">
        <f t="shared" si="5"/>
        <v>-0.70913472079800299</v>
      </c>
      <c r="AD25" s="17">
        <f t="shared" si="6"/>
        <v>-0.6905621703927205</v>
      </c>
      <c r="AE25" s="17">
        <f t="shared" si="7"/>
        <v>-0.57114983817570253</v>
      </c>
      <c r="AF25" s="17">
        <f t="shared" si="8"/>
        <v>-0.62084477899397661</v>
      </c>
      <c r="AG25" s="17">
        <f t="shared" si="9"/>
        <v>-0.66850212993910429</v>
      </c>
      <c r="AH25" s="17">
        <f t="shared" si="10"/>
        <v>-0.69007740733784351</v>
      </c>
      <c r="AI25" s="17">
        <f t="shared" si="11"/>
        <v>-0.73311318664819847</v>
      </c>
      <c r="AJ25" t="s">
        <v>64</v>
      </c>
    </row>
    <row r="26" spans="3:36" x14ac:dyDescent="0.3">
      <c r="C26" t="s">
        <v>66</v>
      </c>
      <c r="D26" t="s">
        <v>68</v>
      </c>
      <c r="E26" s="2" t="str">
        <f t="shared" si="0"/>
        <v>CWH</v>
      </c>
      <c r="F26" s="2" t="s">
        <v>114</v>
      </c>
      <c r="G26" s="2">
        <v>1</v>
      </c>
      <c r="H26" s="17">
        <f>-ComConstr!C22*0.99</f>
        <v>-0.16233202718998355</v>
      </c>
      <c r="I26" s="17">
        <f>-ComConstr!D22*0.99</f>
        <v>0</v>
      </c>
      <c r="J26" s="17">
        <f>-ComConstr!E22*0.99</f>
        <v>0</v>
      </c>
      <c r="K26" s="17">
        <f>-ComConstr!F22*0.99</f>
        <v>0</v>
      </c>
      <c r="L26" s="17">
        <f>-ComConstr!G22*0.99</f>
        <v>-7.6327724603173488E-3</v>
      </c>
      <c r="M26" s="17">
        <f>-ComConstr!H22*0.99</f>
        <v>0</v>
      </c>
      <c r="N26" s="17">
        <f>-ComConstr!I22*0.99</f>
        <v>0</v>
      </c>
      <c r="O26" s="17">
        <f>-ComConstr!J22*0.99</f>
        <v>0</v>
      </c>
      <c r="P26" s="17">
        <f>-ComConstr!K22*0.99</f>
        <v>0</v>
      </c>
      <c r="Q26" s="9">
        <v>0</v>
      </c>
      <c r="R26" s="9">
        <v>15</v>
      </c>
      <c r="S26" s="1" t="s">
        <v>67</v>
      </c>
      <c r="T26" s="1"/>
      <c r="U26" s="1"/>
      <c r="V26" s="1" t="s">
        <v>66</v>
      </c>
      <c r="W26" s="1" t="s">
        <v>68</v>
      </c>
      <c r="X26" s="1" t="str">
        <f t="shared" si="1"/>
        <v>CWH</v>
      </c>
      <c r="Y26" s="1" t="s">
        <v>114</v>
      </c>
      <c r="Z26" s="1">
        <v>1</v>
      </c>
      <c r="AA26" s="17">
        <f t="shared" si="3"/>
        <v>-0.1233723406643875</v>
      </c>
      <c r="AB26" s="17">
        <f t="shared" si="4"/>
        <v>0</v>
      </c>
      <c r="AC26" s="17">
        <f t="shared" si="5"/>
        <v>0</v>
      </c>
      <c r="AD26" s="17">
        <f t="shared" si="6"/>
        <v>0</v>
      </c>
      <c r="AE26" s="17">
        <f t="shared" si="7"/>
        <v>-5.800907069841185E-3</v>
      </c>
      <c r="AF26" s="17">
        <f t="shared" si="8"/>
        <v>0</v>
      </c>
      <c r="AG26" s="17">
        <f t="shared" si="9"/>
        <v>0</v>
      </c>
      <c r="AH26" s="17">
        <f t="shared" si="10"/>
        <v>0</v>
      </c>
      <c r="AI26" s="17">
        <f t="shared" si="11"/>
        <v>0</v>
      </c>
      <c r="AJ26" t="s">
        <v>67</v>
      </c>
    </row>
    <row r="27" spans="3:36" s="15" customFormat="1" x14ac:dyDescent="0.3">
      <c r="H27" s="17"/>
      <c r="I27" s="17"/>
      <c r="J27" s="17"/>
      <c r="K27" s="17"/>
      <c r="L27" s="17"/>
      <c r="M27" s="17"/>
      <c r="N27" s="17"/>
      <c r="O27" s="17"/>
      <c r="P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 spans="3:36" s="15" customFormat="1" x14ac:dyDescent="0.3">
      <c r="H28" s="17"/>
      <c r="I28" s="17"/>
      <c r="J28" s="17"/>
      <c r="K28" s="17"/>
      <c r="L28" s="17"/>
      <c r="M28" s="17"/>
      <c r="N28" s="17"/>
      <c r="O28" s="17"/>
      <c r="P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 spans="3:36" s="15" customFormat="1" x14ac:dyDescent="0.3">
      <c r="H29" s="17"/>
      <c r="I29" s="17"/>
      <c r="J29" s="17"/>
      <c r="K29" s="17"/>
      <c r="L29" s="17"/>
      <c r="M29" s="17"/>
      <c r="N29" s="17"/>
      <c r="O29" s="17"/>
      <c r="P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 spans="3:36" x14ac:dyDescent="0.3">
      <c r="E30" s="2"/>
      <c r="F30" s="2"/>
      <c r="G30" s="2"/>
      <c r="H30" s="17"/>
      <c r="I30" s="17"/>
      <c r="J30" s="17"/>
      <c r="K30" s="17"/>
      <c r="L30" s="17"/>
      <c r="M30" s="17"/>
      <c r="N30" s="17"/>
      <c r="O30" s="17"/>
      <c r="P30" s="17"/>
      <c r="Q30" s="9"/>
      <c r="R30" s="9"/>
      <c r="T30" s="1"/>
      <c r="U30" s="1"/>
      <c r="V30" s="1"/>
      <c r="W30" s="1"/>
      <c r="X30" s="1"/>
      <c r="Y30" s="1"/>
      <c r="Z30" s="1"/>
      <c r="AA30" s="17"/>
      <c r="AB30" s="17"/>
      <c r="AC30" s="17"/>
      <c r="AD30" s="17"/>
      <c r="AE30" s="17"/>
      <c r="AF30" s="17"/>
      <c r="AG30" s="17"/>
      <c r="AH30" s="17"/>
      <c r="AI30" s="17"/>
    </row>
    <row r="31" spans="3:36" x14ac:dyDescent="0.3">
      <c r="H31" s="21"/>
      <c r="I31" s="21"/>
      <c r="J31" s="21"/>
      <c r="K31" s="21"/>
      <c r="L31" s="21"/>
      <c r="M31" s="21"/>
      <c r="N31" s="21"/>
      <c r="O31" s="21"/>
      <c r="P31" s="21"/>
      <c r="Q31" s="9"/>
      <c r="R31" s="9"/>
      <c r="T31" s="1"/>
      <c r="U31" s="1"/>
    </row>
    <row r="32" spans="3:36" x14ac:dyDescent="0.3">
      <c r="H32" s="17"/>
      <c r="I32" s="17"/>
      <c r="J32" s="17"/>
      <c r="K32" s="17"/>
      <c r="L32" s="17"/>
      <c r="M32" s="17"/>
      <c r="N32" s="17"/>
      <c r="O32" s="17"/>
      <c r="P32" s="17"/>
      <c r="Q32" s="2"/>
      <c r="R32"/>
      <c r="S32" s="9"/>
      <c r="T32" s="9"/>
      <c r="U32" s="1"/>
      <c r="V32" s="1"/>
      <c r="W32" s="1"/>
    </row>
    <row r="33" spans="3:22" x14ac:dyDescent="0.3">
      <c r="C33" s="3"/>
      <c r="D33" s="3"/>
      <c r="E33" s="3"/>
      <c r="G33" s="3" t="s">
        <v>195</v>
      </c>
      <c r="M33" s="9"/>
      <c r="N33" s="9"/>
      <c r="O33"/>
      <c r="Q33" s="2"/>
      <c r="R33"/>
      <c r="T33" s="1"/>
      <c r="U33" s="1"/>
    </row>
    <row r="34" spans="3:22" ht="15" thickBot="1" x14ac:dyDescent="0.35">
      <c r="C34" s="6" t="s">
        <v>111</v>
      </c>
      <c r="D34" s="6" t="s">
        <v>117</v>
      </c>
      <c r="E34" s="6" t="s">
        <v>112</v>
      </c>
      <c r="F34" s="6" t="s">
        <v>113</v>
      </c>
      <c r="G34" s="6" t="s">
        <v>121</v>
      </c>
      <c r="H34" s="6" t="s">
        <v>115</v>
      </c>
      <c r="I34" s="6">
        <v>2011</v>
      </c>
      <c r="J34" s="6">
        <v>2020</v>
      </c>
      <c r="K34" s="6">
        <v>2025</v>
      </c>
      <c r="L34" s="6">
        <v>2055</v>
      </c>
      <c r="M34" s="10" t="s">
        <v>119</v>
      </c>
      <c r="N34" s="10" t="s">
        <v>120</v>
      </c>
      <c r="O34" s="6" t="s">
        <v>118</v>
      </c>
      <c r="Q34"/>
      <c r="R34" s="2"/>
      <c r="S34"/>
      <c r="T34" s="1"/>
      <c r="U34" s="1"/>
      <c r="V34" s="1"/>
    </row>
    <row r="35" spans="3:22" x14ac:dyDescent="0.3">
      <c r="C35" t="s">
        <v>71</v>
      </c>
      <c r="D35" t="s">
        <v>73</v>
      </c>
      <c r="E35" s="4" t="str">
        <f t="shared" ref="E35:E49" si="14">LEFT(D35,3)</f>
        <v>CVT</v>
      </c>
      <c r="F35" t="s">
        <v>114</v>
      </c>
      <c r="G35" s="5"/>
      <c r="H35">
        <v>1</v>
      </c>
      <c r="I35" s="17">
        <f>-ComConstr!C28*0.99</f>
        <v>-0.64027787555645599</v>
      </c>
      <c r="L35" s="17">
        <f>I35</f>
        <v>-0.64027787555645599</v>
      </c>
      <c r="M35" s="9">
        <v>0</v>
      </c>
      <c r="N35" s="9">
        <v>15</v>
      </c>
      <c r="O35" t="s">
        <v>72</v>
      </c>
      <c r="Q35"/>
      <c r="R35" s="2"/>
      <c r="S35"/>
      <c r="T35" s="1"/>
      <c r="U35" s="1"/>
      <c r="V35" s="1"/>
    </row>
    <row r="36" spans="3:22" x14ac:dyDescent="0.3">
      <c r="C36" t="s">
        <v>74</v>
      </c>
      <c r="D36" t="s">
        <v>76</v>
      </c>
      <c r="E36" s="4" t="str">
        <f t="shared" si="14"/>
        <v>CVT</v>
      </c>
      <c r="F36" s="4" t="s">
        <v>114</v>
      </c>
      <c r="G36" s="5"/>
      <c r="H36" s="4">
        <v>1</v>
      </c>
      <c r="I36" s="17">
        <f>-ComConstr!C29*0.99</f>
        <v>-0.34972212444354372</v>
      </c>
      <c r="L36" s="17">
        <f t="shared" ref="L36:L50" si="15">I36</f>
        <v>-0.34972212444354372</v>
      </c>
      <c r="M36" s="9">
        <v>0</v>
      </c>
      <c r="N36" s="9">
        <v>15</v>
      </c>
      <c r="O36" t="s">
        <v>75</v>
      </c>
      <c r="Q36"/>
      <c r="R36" s="2"/>
      <c r="S36"/>
      <c r="T36" s="1"/>
      <c r="U36" s="1"/>
      <c r="V36" s="1"/>
    </row>
    <row r="37" spans="3:22" x14ac:dyDescent="0.3">
      <c r="C37" t="s">
        <v>77</v>
      </c>
      <c r="D37" t="s">
        <v>79</v>
      </c>
      <c r="E37" s="4" t="str">
        <f t="shared" si="14"/>
        <v>CRF</v>
      </c>
      <c r="F37" s="4" t="s">
        <v>114</v>
      </c>
      <c r="G37" s="5"/>
      <c r="H37" s="4">
        <v>1</v>
      </c>
      <c r="I37" s="17">
        <f>-ComConstr!C30*0.99</f>
        <v>-7.0373032654131557E-2</v>
      </c>
      <c r="L37" s="17">
        <f t="shared" si="15"/>
        <v>-7.0373032654131557E-2</v>
      </c>
      <c r="M37" s="9">
        <v>0</v>
      </c>
      <c r="N37" s="9">
        <v>15</v>
      </c>
      <c r="O37" t="s">
        <v>78</v>
      </c>
      <c r="Q37"/>
      <c r="R37" s="2"/>
      <c r="S37"/>
      <c r="T37" s="1"/>
      <c r="U37" s="1"/>
      <c r="V37" s="1"/>
    </row>
    <row r="38" spans="3:22" x14ac:dyDescent="0.3">
      <c r="C38" t="s">
        <v>80</v>
      </c>
      <c r="D38" t="s">
        <v>82</v>
      </c>
      <c r="E38" s="4" t="str">
        <f t="shared" si="14"/>
        <v>CRF</v>
      </c>
      <c r="F38" s="4" t="s">
        <v>114</v>
      </c>
      <c r="G38" s="5"/>
      <c r="H38" s="4">
        <v>1</v>
      </c>
      <c r="I38" s="17">
        <f>-ComConstr!C31*0.99</f>
        <v>-0.22415105923126014</v>
      </c>
      <c r="L38" s="17">
        <f t="shared" si="15"/>
        <v>-0.22415105923126014</v>
      </c>
      <c r="M38" s="9">
        <v>0</v>
      </c>
      <c r="N38" s="9">
        <v>15</v>
      </c>
      <c r="O38" t="s">
        <v>81</v>
      </c>
      <c r="Q38"/>
      <c r="R38" s="2"/>
      <c r="S38"/>
      <c r="T38" s="1"/>
      <c r="U38" s="1"/>
      <c r="V38" s="1"/>
    </row>
    <row r="39" spans="3:22" x14ac:dyDescent="0.3">
      <c r="C39" t="s">
        <v>83</v>
      </c>
      <c r="D39" t="s">
        <v>85</v>
      </c>
      <c r="E39" s="4" t="str">
        <f t="shared" si="14"/>
        <v>CRF</v>
      </c>
      <c r="F39" s="4" t="s">
        <v>114</v>
      </c>
      <c r="G39" s="5"/>
      <c r="H39" s="4">
        <v>1</v>
      </c>
      <c r="I39" s="17">
        <f>-ComConstr!C32*0.99</f>
        <v>-8.3490712286826765E-2</v>
      </c>
      <c r="L39" s="17">
        <f t="shared" si="15"/>
        <v>-8.3490712286826765E-2</v>
      </c>
      <c r="M39" s="9">
        <v>0</v>
      </c>
      <c r="N39" s="9">
        <v>15</v>
      </c>
      <c r="O39" t="s">
        <v>84</v>
      </c>
      <c r="Q39"/>
      <c r="R39" s="2"/>
      <c r="S39"/>
      <c r="T39" s="1"/>
      <c r="U39" s="1"/>
      <c r="V39" s="1"/>
    </row>
    <row r="40" spans="3:22" x14ac:dyDescent="0.3">
      <c r="C40" t="s">
        <v>86</v>
      </c>
      <c r="D40" t="s">
        <v>88</v>
      </c>
      <c r="E40" s="4" t="str">
        <f t="shared" si="14"/>
        <v>CRF</v>
      </c>
      <c r="F40" s="4" t="s">
        <v>114</v>
      </c>
      <c r="G40" s="5"/>
      <c r="H40" s="4">
        <v>1</v>
      </c>
      <c r="I40" s="17">
        <f>-ComConstr!C33*0.99</f>
        <v>-9.1479587742076221E-2</v>
      </c>
      <c r="L40" s="17">
        <f t="shared" si="15"/>
        <v>-9.1479587742076221E-2</v>
      </c>
      <c r="M40" s="9">
        <v>0</v>
      </c>
      <c r="N40" s="9">
        <v>15</v>
      </c>
      <c r="O40" t="s">
        <v>87</v>
      </c>
      <c r="Q40"/>
      <c r="R40" s="2"/>
      <c r="S40"/>
      <c r="T40" s="1"/>
      <c r="U40" s="1"/>
      <c r="V40" s="1"/>
    </row>
    <row r="41" spans="3:22" x14ac:dyDescent="0.3">
      <c r="C41" t="s">
        <v>89</v>
      </c>
      <c r="D41" t="s">
        <v>91</v>
      </c>
      <c r="E41" s="4" t="str">
        <f t="shared" si="14"/>
        <v>CRF</v>
      </c>
      <c r="F41" s="4" t="s">
        <v>114</v>
      </c>
      <c r="G41" s="5"/>
      <c r="H41" s="4">
        <v>1</v>
      </c>
      <c r="I41" s="17">
        <f>-ComConstr!C34*0.99</f>
        <v>-0.31576144750643859</v>
      </c>
      <c r="L41" s="17">
        <f t="shared" si="15"/>
        <v>-0.31576144750643859</v>
      </c>
      <c r="M41" s="9">
        <v>0</v>
      </c>
      <c r="N41" s="9">
        <v>15</v>
      </c>
      <c r="O41" t="s">
        <v>90</v>
      </c>
      <c r="Q41"/>
      <c r="R41" s="2"/>
      <c r="S41"/>
      <c r="T41" s="1"/>
      <c r="U41" s="1"/>
      <c r="V41" s="1"/>
    </row>
    <row r="42" spans="3:22" x14ac:dyDescent="0.3">
      <c r="C42" t="s">
        <v>92</v>
      </c>
      <c r="D42" t="s">
        <v>94</v>
      </c>
      <c r="E42" s="4" t="str">
        <f t="shared" si="14"/>
        <v>CRF</v>
      </c>
      <c r="F42" s="4" t="s">
        <v>114</v>
      </c>
      <c r="G42" s="5"/>
      <c r="H42" s="4">
        <v>1</v>
      </c>
      <c r="I42" s="17">
        <f>-ComConstr!C35*0.99</f>
        <v>-3.6769783470949925E-2</v>
      </c>
      <c r="L42" s="17">
        <f t="shared" si="15"/>
        <v>-3.6769783470949925E-2</v>
      </c>
      <c r="M42" s="9">
        <v>0</v>
      </c>
      <c r="N42" s="9">
        <v>15</v>
      </c>
      <c r="O42" t="s">
        <v>93</v>
      </c>
      <c r="Q42"/>
      <c r="R42" s="2"/>
      <c r="S42"/>
      <c r="T42" s="1"/>
      <c r="U42" s="1"/>
      <c r="V42" s="1"/>
    </row>
    <row r="43" spans="3:22" x14ac:dyDescent="0.3">
      <c r="C43" t="s">
        <v>95</v>
      </c>
      <c r="D43" t="s">
        <v>97</v>
      </c>
      <c r="E43" s="4" t="str">
        <f t="shared" si="14"/>
        <v>CRF</v>
      </c>
      <c r="F43" s="4" t="s">
        <v>114</v>
      </c>
      <c r="G43" s="5"/>
      <c r="H43" s="4">
        <v>1</v>
      </c>
      <c r="I43" s="17">
        <f>-ComConstr!C36*0.99</f>
        <v>-0.12095140772095893</v>
      </c>
      <c r="L43" s="17">
        <f t="shared" si="15"/>
        <v>-0.12095140772095893</v>
      </c>
      <c r="M43" s="9">
        <v>0</v>
      </c>
      <c r="N43" s="9">
        <v>15</v>
      </c>
      <c r="O43" t="s">
        <v>96</v>
      </c>
      <c r="Q43"/>
      <c r="R43" s="2"/>
      <c r="S43"/>
      <c r="T43" s="1"/>
      <c r="U43" s="1"/>
      <c r="V43" s="1"/>
    </row>
    <row r="44" spans="3:22" x14ac:dyDescent="0.3">
      <c r="C44" t="s">
        <v>98</v>
      </c>
      <c r="D44" t="s">
        <v>100</v>
      </c>
      <c r="E44" s="4" t="str">
        <f t="shared" si="14"/>
        <v>CRF</v>
      </c>
      <c r="F44" s="4" t="s">
        <v>114</v>
      </c>
      <c r="G44" s="5"/>
      <c r="H44" s="4">
        <v>1</v>
      </c>
      <c r="I44" s="17">
        <f>-ComConstr!C37*0.99</f>
        <v>-4.7022969387357928E-2</v>
      </c>
      <c r="L44" s="17">
        <f t="shared" si="15"/>
        <v>-4.7022969387357928E-2</v>
      </c>
      <c r="M44" s="9">
        <v>0</v>
      </c>
      <c r="N44" s="9">
        <v>15</v>
      </c>
      <c r="O44" t="s">
        <v>99</v>
      </c>
      <c r="Q44"/>
      <c r="R44" s="2"/>
      <c r="S44"/>
      <c r="T44" s="1"/>
      <c r="U44" s="1"/>
      <c r="V44" s="1"/>
    </row>
    <row r="45" spans="3:22" x14ac:dyDescent="0.3">
      <c r="C45" s="20" t="s">
        <v>101</v>
      </c>
      <c r="D45" s="20" t="s">
        <v>103</v>
      </c>
      <c r="E45" s="4" t="str">
        <f t="shared" si="14"/>
        <v>CLT</v>
      </c>
      <c r="F45" s="4" t="s">
        <v>114</v>
      </c>
      <c r="G45" s="5"/>
      <c r="H45" s="4">
        <v>1</v>
      </c>
      <c r="I45" s="17">
        <f>-ComConstr!C38*0.99</f>
        <v>-3.2377892761505558E-2</v>
      </c>
      <c r="L45" s="17">
        <f>I45*0.5</f>
        <v>-1.6188946380752779E-2</v>
      </c>
      <c r="M45" s="9">
        <v>0</v>
      </c>
      <c r="N45" s="9">
        <v>15</v>
      </c>
      <c r="O45" t="s">
        <v>102</v>
      </c>
      <c r="Q45"/>
      <c r="R45" s="2"/>
      <c r="S45"/>
      <c r="T45" s="1"/>
      <c r="U45" s="1"/>
      <c r="V45" s="1"/>
    </row>
    <row r="46" spans="3:22" s="18" customFormat="1" x14ac:dyDescent="0.3">
      <c r="C46" s="20" t="s">
        <v>104</v>
      </c>
      <c r="D46" s="20" t="s">
        <v>106</v>
      </c>
      <c r="E46" s="20" t="str">
        <f t="shared" si="14"/>
        <v>CLT</v>
      </c>
      <c r="F46" s="20" t="s">
        <v>114</v>
      </c>
      <c r="G46" s="20"/>
      <c r="H46" s="20">
        <v>1</v>
      </c>
      <c r="I46" s="17">
        <f>-ComConstr!C39*0.99</f>
        <v>-0.12728810537873853</v>
      </c>
      <c r="K46" s="20"/>
      <c r="L46" s="17">
        <f>I46*0.5</f>
        <v>-6.3644052689369263E-2</v>
      </c>
      <c r="M46" s="20">
        <v>0</v>
      </c>
      <c r="N46" s="20">
        <v>15</v>
      </c>
      <c r="O46" s="20" t="s">
        <v>105</v>
      </c>
      <c r="P46" s="20"/>
    </row>
    <row r="47" spans="3:22" s="18" customFormat="1" x14ac:dyDescent="0.3">
      <c r="C47" s="20" t="s">
        <v>107</v>
      </c>
      <c r="D47" s="20" t="s">
        <v>109</v>
      </c>
      <c r="E47" s="20" t="str">
        <f t="shared" si="14"/>
        <v>CLT</v>
      </c>
      <c r="F47" s="20" t="s">
        <v>114</v>
      </c>
      <c r="G47" s="20"/>
      <c r="H47" s="20">
        <v>1</v>
      </c>
      <c r="I47" s="17">
        <f>-ComConstr!C40*0.99</f>
        <v>-0.67439954605241059</v>
      </c>
      <c r="K47" s="20"/>
      <c r="L47" s="17">
        <f>I47*0.5</f>
        <v>-0.3371997730262053</v>
      </c>
      <c r="M47" s="20">
        <v>0</v>
      </c>
      <c r="N47" s="20">
        <v>15</v>
      </c>
      <c r="O47" s="20" t="s">
        <v>108</v>
      </c>
      <c r="P47" s="20"/>
    </row>
    <row r="48" spans="3:22" s="18" customFormat="1" x14ac:dyDescent="0.3">
      <c r="C48" s="20" t="s">
        <v>284</v>
      </c>
      <c r="D48" s="20" t="s">
        <v>285</v>
      </c>
      <c r="E48" s="20" t="str">
        <f t="shared" si="14"/>
        <v>CLT</v>
      </c>
      <c r="F48" s="20" t="s">
        <v>114</v>
      </c>
      <c r="G48" s="20"/>
      <c r="H48" s="20">
        <v>1</v>
      </c>
      <c r="I48" s="17">
        <f>-ComConstr!C41*0.99</f>
        <v>-6.960255826321031E-2</v>
      </c>
      <c r="K48" s="20"/>
      <c r="L48" s="17">
        <f t="shared" si="15"/>
        <v>-6.960255826321031E-2</v>
      </c>
      <c r="M48" s="20">
        <v>0</v>
      </c>
      <c r="N48" s="20">
        <v>15</v>
      </c>
      <c r="O48" s="20" t="s">
        <v>288</v>
      </c>
      <c r="P48" s="20"/>
    </row>
    <row r="49" spans="3:16" s="18" customFormat="1" x14ac:dyDescent="0.3">
      <c r="C49" s="20" t="s">
        <v>196</v>
      </c>
      <c r="D49" s="20" t="s">
        <v>197</v>
      </c>
      <c r="E49" s="20" t="str">
        <f t="shared" si="14"/>
        <v>CLT</v>
      </c>
      <c r="F49" s="20" t="s">
        <v>114</v>
      </c>
      <c r="G49" s="20"/>
      <c r="H49" s="20">
        <v>1</v>
      </c>
      <c r="I49" s="17">
        <f>-ComConstr!C42*0.99</f>
        <v>-4.8206390744290985E-2</v>
      </c>
      <c r="K49" s="20"/>
      <c r="L49" s="17">
        <v>0</v>
      </c>
      <c r="M49" s="20">
        <v>0</v>
      </c>
      <c r="N49" s="20">
        <v>15</v>
      </c>
      <c r="O49" s="20" t="s">
        <v>198</v>
      </c>
      <c r="P49" s="20"/>
    </row>
    <row r="50" spans="3:16" s="18" customFormat="1" x14ac:dyDescent="0.3">
      <c r="C50" s="20" t="s">
        <v>199</v>
      </c>
      <c r="D50" s="20" t="s">
        <v>200</v>
      </c>
      <c r="E50" s="20" t="str">
        <f t="shared" ref="E50:E51" si="16">LEFT(D50,3)</f>
        <v>CLT</v>
      </c>
      <c r="F50" s="20" t="s">
        <v>114</v>
      </c>
      <c r="G50" s="20"/>
      <c r="H50" s="20">
        <v>1</v>
      </c>
      <c r="I50" s="17">
        <f>-ComConstr!C43*0.99</f>
        <v>-3.37617991604117E-2</v>
      </c>
      <c r="K50" s="20"/>
      <c r="L50" s="17">
        <f t="shared" si="15"/>
        <v>-3.37617991604117E-2</v>
      </c>
      <c r="M50" s="20">
        <v>0</v>
      </c>
      <c r="N50" s="20">
        <v>15</v>
      </c>
      <c r="O50" s="20" t="s">
        <v>289</v>
      </c>
      <c r="P50" s="20"/>
    </row>
    <row r="51" spans="3:16" s="18" customFormat="1" x14ac:dyDescent="0.3">
      <c r="C51" s="20" t="s">
        <v>202</v>
      </c>
      <c r="D51" s="20" t="s">
        <v>201</v>
      </c>
      <c r="E51" s="20" t="str">
        <f t="shared" si="16"/>
        <v>CLT</v>
      </c>
      <c r="F51" s="20" t="s">
        <v>114</v>
      </c>
      <c r="G51" s="20"/>
      <c r="H51" s="20">
        <v>1</v>
      </c>
      <c r="I51" s="17">
        <f>-ComConstr!C44*0.99</f>
        <v>-4.3637076394322247E-3</v>
      </c>
      <c r="K51" s="20"/>
      <c r="L51" s="17">
        <f>I51</f>
        <v>-4.3637076394322247E-3</v>
      </c>
      <c r="M51" s="20">
        <v>0</v>
      </c>
      <c r="N51" s="20">
        <v>15</v>
      </c>
      <c r="O51" s="20" t="s">
        <v>203</v>
      </c>
      <c r="P51" s="20"/>
    </row>
    <row r="52" spans="3:16" s="18" customFormat="1" x14ac:dyDescent="0.3">
      <c r="I52" s="17"/>
      <c r="L52" s="17"/>
    </row>
    <row r="53" spans="3:16" s="18" customFormat="1" x14ac:dyDescent="0.3">
      <c r="I53" s="17"/>
    </row>
    <row r="54" spans="3:16" x14ac:dyDescent="0.3">
      <c r="I54" s="17"/>
      <c r="J54" s="15"/>
      <c r="K54" s="15"/>
      <c r="L54" s="15"/>
    </row>
  </sheetData>
  <pageMargins left="0.2" right="0.2" top="0.25" bottom="0.25" header="0.3" footer="0.3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4"/>
  <sheetViews>
    <sheetView tabSelected="1" workbookViewId="0">
      <selection activeCell="I13" sqref="I13"/>
    </sheetView>
  </sheetViews>
  <sheetFormatPr defaultRowHeight="14.4" x14ac:dyDescent="0.3"/>
  <cols>
    <col min="3" max="3" width="14.109375" customWidth="1"/>
  </cols>
  <sheetData>
    <row r="1" spans="1:40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x14ac:dyDescent="0.3">
      <c r="A2" s="15"/>
      <c r="B2" s="15" t="s">
        <v>122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x14ac:dyDescent="0.3">
      <c r="A3" s="15"/>
      <c r="B3" s="15" t="s">
        <v>123</v>
      </c>
      <c r="C3" s="15"/>
      <c r="D3" s="15"/>
      <c r="E3" s="15"/>
      <c r="F3" s="15"/>
      <c r="G3" s="15"/>
      <c r="H3" s="15"/>
      <c r="I3" s="17"/>
      <c r="J3" s="17"/>
      <c r="K3" s="17"/>
      <c r="L3" s="17"/>
      <c r="M3" s="17"/>
      <c r="N3" s="17"/>
      <c r="O3" s="17"/>
      <c r="P3" s="17"/>
      <c r="Q3" s="17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1:40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</row>
    <row r="5" spans="1:40" x14ac:dyDescent="0.3">
      <c r="A5" s="15"/>
      <c r="B5" s="15"/>
      <c r="C5" s="15"/>
      <c r="D5" s="15"/>
      <c r="E5" s="15"/>
      <c r="F5" s="15" t="s">
        <v>411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6" spans="1:40" ht="15" thickBot="1" x14ac:dyDescent="0.35">
      <c r="A6" s="15"/>
      <c r="B6" s="15"/>
      <c r="C6" s="6" t="s">
        <v>111</v>
      </c>
      <c r="D6" s="6" t="s">
        <v>117</v>
      </c>
      <c r="E6" s="6" t="s">
        <v>112</v>
      </c>
      <c r="F6" s="6" t="s">
        <v>113</v>
      </c>
      <c r="G6" s="6" t="s">
        <v>115</v>
      </c>
      <c r="H6" s="6" t="s">
        <v>0</v>
      </c>
      <c r="I6" s="6" t="s">
        <v>1</v>
      </c>
      <c r="J6" s="6" t="s">
        <v>2</v>
      </c>
      <c r="K6" s="6" t="s">
        <v>3</v>
      </c>
      <c r="L6" s="6" t="s">
        <v>4</v>
      </c>
      <c r="M6" s="6" t="s">
        <v>5</v>
      </c>
      <c r="N6" s="6" t="s">
        <v>6</v>
      </c>
      <c r="O6" s="6" t="s">
        <v>7</v>
      </c>
      <c r="P6" s="6" t="s">
        <v>8</v>
      </c>
      <c r="Q6" s="10" t="s">
        <v>119</v>
      </c>
      <c r="R6" s="10" t="s">
        <v>120</v>
      </c>
      <c r="S6" s="6" t="s">
        <v>110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x14ac:dyDescent="0.3">
      <c r="A7" s="15"/>
      <c r="B7" s="15"/>
      <c r="C7" s="15" t="s">
        <v>124</v>
      </c>
      <c r="D7" s="15" t="s">
        <v>125</v>
      </c>
      <c r="E7" s="15" t="s">
        <v>126</v>
      </c>
      <c r="F7" s="15" t="s">
        <v>114</v>
      </c>
      <c r="G7" s="15">
        <v>1</v>
      </c>
      <c r="H7" s="14">
        <v>-0.25</v>
      </c>
      <c r="I7" s="14">
        <v>-0.25</v>
      </c>
      <c r="J7" s="14">
        <v>-0.25</v>
      </c>
      <c r="K7" s="14">
        <v>-0.25</v>
      </c>
      <c r="L7" s="14">
        <v>-0.25</v>
      </c>
      <c r="M7" s="14">
        <v>-0.25</v>
      </c>
      <c r="N7" s="14">
        <v>-0.25</v>
      </c>
      <c r="O7" s="14">
        <v>-0.25</v>
      </c>
      <c r="P7" s="14">
        <v>-0.25</v>
      </c>
      <c r="Q7" s="15">
        <v>0</v>
      </c>
      <c r="R7" s="15">
        <v>15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</row>
    <row r="8" spans="1:4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 spans="1:40" x14ac:dyDescent="0.3">
      <c r="A10" s="15"/>
      <c r="B10" s="15"/>
      <c r="C10" s="15"/>
      <c r="D10" s="15"/>
      <c r="E10" s="15"/>
      <c r="F10" s="15"/>
      <c r="G10" s="15" t="s">
        <v>195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 t="s">
        <v>116</v>
      </c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 spans="1:40" ht="15" thickBot="1" x14ac:dyDescent="0.35">
      <c r="A11" s="15"/>
      <c r="B11" s="15"/>
      <c r="C11" s="6" t="s">
        <v>111</v>
      </c>
      <c r="D11" s="6" t="s">
        <v>117</v>
      </c>
      <c r="E11" s="6" t="s">
        <v>112</v>
      </c>
      <c r="F11" s="6" t="s">
        <v>113</v>
      </c>
      <c r="G11" s="6" t="s">
        <v>121</v>
      </c>
      <c r="H11" s="6" t="s">
        <v>115</v>
      </c>
      <c r="I11" s="6" t="s">
        <v>0</v>
      </c>
      <c r="J11" s="6" t="s">
        <v>1</v>
      </c>
      <c r="K11" s="6" t="s">
        <v>2</v>
      </c>
      <c r="L11" s="6" t="s">
        <v>3</v>
      </c>
      <c r="M11" s="6" t="s">
        <v>4</v>
      </c>
      <c r="N11" s="6" t="s">
        <v>5</v>
      </c>
      <c r="O11" s="6" t="s">
        <v>6</v>
      </c>
      <c r="P11" s="6" t="s">
        <v>7</v>
      </c>
      <c r="Q11" s="6" t="s">
        <v>8</v>
      </c>
      <c r="R11" s="10" t="s">
        <v>119</v>
      </c>
      <c r="S11" s="10" t="s">
        <v>120</v>
      </c>
      <c r="T11" s="6" t="s">
        <v>110</v>
      </c>
      <c r="U11" s="15"/>
      <c r="V11" s="15"/>
      <c r="W11" s="15"/>
      <c r="X11" s="15"/>
      <c r="Y11" s="6" t="s">
        <v>111</v>
      </c>
      <c r="Z11" s="6" t="s">
        <v>117</v>
      </c>
      <c r="AA11" s="6" t="s">
        <v>112</v>
      </c>
      <c r="AB11" s="6" t="s">
        <v>113</v>
      </c>
      <c r="AC11" s="6" t="s">
        <v>121</v>
      </c>
      <c r="AD11" s="6" t="s">
        <v>115</v>
      </c>
      <c r="AE11" s="6" t="s">
        <v>0</v>
      </c>
      <c r="AF11" s="6" t="s">
        <v>1</v>
      </c>
      <c r="AG11" s="6" t="s">
        <v>2</v>
      </c>
      <c r="AH11" s="6" t="s">
        <v>3</v>
      </c>
      <c r="AI11" s="6" t="s">
        <v>4</v>
      </c>
      <c r="AJ11" s="6" t="s">
        <v>5</v>
      </c>
      <c r="AK11" s="6" t="s">
        <v>6</v>
      </c>
      <c r="AL11" s="6" t="s">
        <v>7</v>
      </c>
      <c r="AM11" s="6" t="s">
        <v>8</v>
      </c>
      <c r="AN11" s="6" t="s">
        <v>110</v>
      </c>
    </row>
    <row r="12" spans="1:40" x14ac:dyDescent="0.3">
      <c r="A12" s="15"/>
      <c r="B12" s="15"/>
      <c r="C12" s="18" t="s">
        <v>127</v>
      </c>
      <c r="D12" s="15" t="s">
        <v>128</v>
      </c>
      <c r="E12" s="15" t="s">
        <v>129</v>
      </c>
      <c r="F12" s="15" t="s">
        <v>114</v>
      </c>
      <c r="G12" s="15"/>
      <c r="H12" s="15">
        <v>1</v>
      </c>
      <c r="I12" s="13">
        <v>-0.48</v>
      </c>
      <c r="J12" s="13">
        <v>-0.26</v>
      </c>
      <c r="K12" s="13">
        <v>-0.02</v>
      </c>
      <c r="L12" s="13">
        <v>-0.02</v>
      </c>
      <c r="M12" s="13">
        <v>-0.06</v>
      </c>
      <c r="N12" s="13"/>
      <c r="O12" s="13"/>
      <c r="P12" s="13"/>
      <c r="Q12" s="13">
        <v>-0.02</v>
      </c>
      <c r="R12" s="15">
        <v>0</v>
      </c>
      <c r="S12" s="15">
        <v>15</v>
      </c>
      <c r="T12" s="15" t="s">
        <v>130</v>
      </c>
      <c r="U12" s="15"/>
      <c r="V12" s="15"/>
      <c r="W12" s="15"/>
      <c r="X12" s="15"/>
      <c r="Y12" s="15" t="s">
        <v>127</v>
      </c>
      <c r="Z12" s="15" t="s">
        <v>128</v>
      </c>
      <c r="AA12" s="15" t="s">
        <v>129</v>
      </c>
      <c r="AB12" s="15" t="s">
        <v>114</v>
      </c>
      <c r="AC12" s="15"/>
      <c r="AD12" s="15">
        <v>1</v>
      </c>
      <c r="AE12" s="14">
        <v>-0.24</v>
      </c>
      <c r="AF12" s="14">
        <v>-0.13</v>
      </c>
      <c r="AG12" s="14">
        <v>-0.01</v>
      </c>
      <c r="AH12" s="14">
        <v>-0.01</v>
      </c>
      <c r="AI12" s="14">
        <v>-0.03</v>
      </c>
      <c r="AJ12" s="14"/>
      <c r="AK12" s="14"/>
      <c r="AL12" s="14"/>
      <c r="AM12" s="14">
        <v>-0.01</v>
      </c>
      <c r="AN12" s="15"/>
    </row>
    <row r="13" spans="1:40" x14ac:dyDescent="0.3">
      <c r="A13" s="15"/>
      <c r="B13" s="15"/>
      <c r="C13" s="18" t="s">
        <v>131</v>
      </c>
      <c r="D13" s="15" t="s">
        <v>132</v>
      </c>
      <c r="E13" s="15" t="s">
        <v>129</v>
      </c>
      <c r="F13" s="15" t="s">
        <v>114</v>
      </c>
      <c r="G13" s="15"/>
      <c r="H13" s="15">
        <v>1</v>
      </c>
      <c r="I13" s="13">
        <v>-0.02</v>
      </c>
      <c r="J13" s="13">
        <v>-0.04</v>
      </c>
      <c r="K13" s="13">
        <v>-0.05</v>
      </c>
      <c r="L13" s="13">
        <v>-0.08</v>
      </c>
      <c r="M13" s="13">
        <v>-0.34199999999999997</v>
      </c>
      <c r="N13" s="13">
        <v>-0.28050000000000003</v>
      </c>
      <c r="O13" s="13">
        <v>-0.18</v>
      </c>
      <c r="P13" s="13">
        <v>-0.1</v>
      </c>
      <c r="Q13" s="13">
        <v>-0.15</v>
      </c>
      <c r="R13" s="15">
        <v>0</v>
      </c>
      <c r="S13" s="15">
        <v>15</v>
      </c>
      <c r="T13" s="15" t="s">
        <v>133</v>
      </c>
      <c r="U13" s="15"/>
      <c r="V13" s="15"/>
      <c r="W13" s="15"/>
      <c r="X13" s="15"/>
      <c r="Y13" s="15" t="s">
        <v>131</v>
      </c>
      <c r="Z13" s="15" t="s">
        <v>132</v>
      </c>
      <c r="AA13" s="15" t="s">
        <v>129</v>
      </c>
      <c r="AB13" s="15" t="s">
        <v>114</v>
      </c>
      <c r="AC13" s="15"/>
      <c r="AD13" s="15">
        <v>1</v>
      </c>
      <c r="AE13" s="14">
        <v>-0.01</v>
      </c>
      <c r="AF13" s="14">
        <v>-0.03</v>
      </c>
      <c r="AG13" s="14">
        <v>-0.04</v>
      </c>
      <c r="AH13" s="14">
        <v>-0.06</v>
      </c>
      <c r="AI13" s="14">
        <v>-0.247</v>
      </c>
      <c r="AJ13" s="14">
        <v>-0.20399999999999999</v>
      </c>
      <c r="AK13" s="14">
        <v>-0.13500000000000001</v>
      </c>
      <c r="AL13" s="14">
        <v>-7.0000000000000007E-2</v>
      </c>
      <c r="AM13" s="14">
        <v>-0.11</v>
      </c>
      <c r="AN13" s="15"/>
    </row>
    <row r="14" spans="1:40" x14ac:dyDescent="0.3">
      <c r="A14" s="15"/>
      <c r="B14" s="15"/>
      <c r="C14" s="18" t="s">
        <v>134</v>
      </c>
      <c r="D14" s="15" t="s">
        <v>135</v>
      </c>
      <c r="E14" s="15" t="s">
        <v>129</v>
      </c>
      <c r="F14" s="15" t="s">
        <v>114</v>
      </c>
      <c r="G14" s="15"/>
      <c r="H14" s="15">
        <v>1</v>
      </c>
      <c r="I14" s="13">
        <v>-0.02</v>
      </c>
      <c r="J14" s="13">
        <v>-0.03</v>
      </c>
      <c r="K14" s="13">
        <v>-0.06</v>
      </c>
      <c r="L14" s="13">
        <v>-0.15</v>
      </c>
      <c r="M14" s="13">
        <v>-0.04</v>
      </c>
      <c r="N14" s="13">
        <v>-0.11</v>
      </c>
      <c r="O14" s="13">
        <v>-0.06</v>
      </c>
      <c r="P14" s="13">
        <v>-0.09</v>
      </c>
      <c r="Q14" s="13">
        <v>-0.03</v>
      </c>
      <c r="R14" s="15">
        <v>0</v>
      </c>
      <c r="S14" s="15">
        <v>15</v>
      </c>
      <c r="T14" s="15" t="s">
        <v>136</v>
      </c>
      <c r="U14" s="15"/>
      <c r="V14" s="15"/>
      <c r="W14" s="15"/>
      <c r="X14" s="15"/>
      <c r="Y14" s="15" t="s">
        <v>134</v>
      </c>
      <c r="Z14" s="15" t="s">
        <v>135</v>
      </c>
      <c r="AA14" s="15" t="s">
        <v>129</v>
      </c>
      <c r="AB14" s="15" t="s">
        <v>114</v>
      </c>
      <c r="AC14" s="15"/>
      <c r="AD14" s="15">
        <v>1</v>
      </c>
      <c r="AE14" s="14">
        <v>-0.01</v>
      </c>
      <c r="AF14" s="14">
        <v>-0.02</v>
      </c>
      <c r="AG14" s="14">
        <v>-0.03</v>
      </c>
      <c r="AH14" s="14">
        <v>-0.08</v>
      </c>
      <c r="AI14" s="14">
        <v>-0.02</v>
      </c>
      <c r="AJ14" s="14">
        <v>-0.06</v>
      </c>
      <c r="AK14" s="14">
        <v>-0.03</v>
      </c>
      <c r="AL14" s="14">
        <v>-0.05</v>
      </c>
      <c r="AM14" s="14">
        <v>-0.02</v>
      </c>
      <c r="AN14" s="15"/>
    </row>
    <row r="15" spans="1:40" x14ac:dyDescent="0.3">
      <c r="A15" s="15"/>
      <c r="B15" s="15"/>
      <c r="C15" s="18" t="s">
        <v>137</v>
      </c>
      <c r="D15" s="15" t="s">
        <v>138</v>
      </c>
      <c r="E15" s="15" t="s">
        <v>129</v>
      </c>
      <c r="F15" s="15" t="s">
        <v>114</v>
      </c>
      <c r="G15" s="15"/>
      <c r="H15" s="15">
        <v>1</v>
      </c>
      <c r="I15" s="13">
        <v>-0.38</v>
      </c>
      <c r="J15" s="13">
        <v>-0.6</v>
      </c>
      <c r="K15" s="13">
        <v>-0.81</v>
      </c>
      <c r="L15" s="13">
        <v>-0.65</v>
      </c>
      <c r="M15" s="13">
        <v>-0.42</v>
      </c>
      <c r="N15" s="13">
        <v>-0.43</v>
      </c>
      <c r="O15" s="13">
        <v>-0.62</v>
      </c>
      <c r="P15" s="13">
        <v>-0.73</v>
      </c>
      <c r="Q15" s="13">
        <v>-0.66</v>
      </c>
      <c r="R15" s="15">
        <v>0</v>
      </c>
      <c r="S15" s="15">
        <v>15</v>
      </c>
      <c r="T15" s="15" t="s">
        <v>139</v>
      </c>
      <c r="U15" s="15"/>
      <c r="V15" s="15"/>
      <c r="W15" s="15"/>
      <c r="X15" s="15"/>
      <c r="Y15" s="15" t="s">
        <v>137</v>
      </c>
      <c r="Z15" s="15" t="s">
        <v>138</v>
      </c>
      <c r="AA15" s="15" t="s">
        <v>129</v>
      </c>
      <c r="AB15" s="15" t="s">
        <v>114</v>
      </c>
      <c r="AC15" s="15"/>
      <c r="AD15" s="15">
        <v>1</v>
      </c>
      <c r="AE15" s="14">
        <v>-0.28000000000000003</v>
      </c>
      <c r="AF15" s="14">
        <v>-0.44</v>
      </c>
      <c r="AG15" s="14">
        <v>-0.59</v>
      </c>
      <c r="AH15" s="14">
        <v>-0.47</v>
      </c>
      <c r="AI15" s="14">
        <v>-0.31</v>
      </c>
      <c r="AJ15" s="14">
        <v>-0.31</v>
      </c>
      <c r="AK15" s="14">
        <v>-0.45</v>
      </c>
      <c r="AL15" s="14">
        <v>-0.53</v>
      </c>
      <c r="AM15" s="14">
        <v>-0.48</v>
      </c>
      <c r="AN15" s="15"/>
    </row>
    <row r="16" spans="1:40" x14ac:dyDescent="0.3">
      <c r="A16" s="15"/>
      <c r="B16" s="15"/>
      <c r="C16" s="18" t="s">
        <v>140</v>
      </c>
      <c r="D16" s="15" t="s">
        <v>141</v>
      </c>
      <c r="E16" s="15" t="s">
        <v>129</v>
      </c>
      <c r="F16" s="15" t="s">
        <v>114</v>
      </c>
      <c r="G16" s="15" t="s">
        <v>142</v>
      </c>
      <c r="H16" s="15">
        <v>1</v>
      </c>
      <c r="I16" s="13">
        <v>-0.08</v>
      </c>
      <c r="J16" s="13">
        <v>-0.04</v>
      </c>
      <c r="K16" s="13">
        <v>-0.05</v>
      </c>
      <c r="L16" s="13">
        <v>-0.08</v>
      </c>
      <c r="M16" s="13">
        <v>-0.09</v>
      </c>
      <c r="N16" s="13">
        <v>-0.12</v>
      </c>
      <c r="O16" s="13">
        <v>-0.06</v>
      </c>
      <c r="P16" s="13">
        <v>-0.06</v>
      </c>
      <c r="Q16" s="13">
        <v>-0.13</v>
      </c>
      <c r="R16" s="15">
        <v>0</v>
      </c>
      <c r="S16" s="15">
        <v>15</v>
      </c>
      <c r="T16" s="15" t="s">
        <v>143</v>
      </c>
      <c r="U16" s="15"/>
      <c r="V16" s="15"/>
      <c r="W16" s="15"/>
      <c r="X16" s="15"/>
      <c r="Y16" s="15" t="s">
        <v>140</v>
      </c>
      <c r="Z16" s="15" t="s">
        <v>141</v>
      </c>
      <c r="AA16" s="15" t="s">
        <v>129</v>
      </c>
      <c r="AB16" s="15" t="s">
        <v>114</v>
      </c>
      <c r="AC16" s="15" t="s">
        <v>142</v>
      </c>
      <c r="AD16" s="15">
        <v>1</v>
      </c>
      <c r="AE16" s="14">
        <v>-0.06</v>
      </c>
      <c r="AF16" s="14">
        <v>-0.03</v>
      </c>
      <c r="AG16" s="14">
        <v>-0.04</v>
      </c>
      <c r="AH16" s="14">
        <v>-0.06</v>
      </c>
      <c r="AI16" s="14">
        <v>-7.0000000000000007E-2</v>
      </c>
      <c r="AJ16" s="14">
        <v>-0.09</v>
      </c>
      <c r="AK16" s="14">
        <v>-0.04</v>
      </c>
      <c r="AL16" s="14">
        <v>-0.04</v>
      </c>
      <c r="AM16" s="14">
        <v>-0.09</v>
      </c>
      <c r="AN16" s="15"/>
    </row>
    <row r="17" spans="1:39" x14ac:dyDescent="0.3">
      <c r="C17" s="18" t="s">
        <v>144</v>
      </c>
      <c r="D17" s="15" t="s">
        <v>145</v>
      </c>
      <c r="E17" s="15" t="s">
        <v>129</v>
      </c>
      <c r="F17" s="15" t="s">
        <v>114</v>
      </c>
      <c r="G17" s="15"/>
      <c r="H17" s="15">
        <v>1</v>
      </c>
      <c r="I17" s="13">
        <v>-8.9999999999999993E-3</v>
      </c>
      <c r="J17" s="13">
        <v>-1.0999999999999999E-2</v>
      </c>
      <c r="K17" s="13"/>
      <c r="L17" s="13"/>
      <c r="M17" s="13"/>
      <c r="N17" s="13"/>
      <c r="O17" s="13"/>
      <c r="P17" s="13"/>
      <c r="Q17" s="13"/>
      <c r="R17" s="15">
        <v>0</v>
      </c>
      <c r="S17" s="15">
        <v>15</v>
      </c>
      <c r="T17" s="15" t="s">
        <v>146</v>
      </c>
      <c r="U17" s="15"/>
      <c r="V17" s="15"/>
      <c r="W17" s="15"/>
      <c r="X17" s="15"/>
      <c r="Y17" s="15" t="s">
        <v>144</v>
      </c>
      <c r="Z17" s="15" t="s">
        <v>145</v>
      </c>
      <c r="AA17" s="15" t="s">
        <v>129</v>
      </c>
      <c r="AB17" s="15" t="s">
        <v>114</v>
      </c>
      <c r="AC17" s="15"/>
      <c r="AD17" s="15">
        <v>1</v>
      </c>
      <c r="AE17" s="14">
        <v>-5.0000000000000001E-3</v>
      </c>
      <c r="AF17" s="14">
        <v>-6.0000000000000001E-3</v>
      </c>
      <c r="AG17" s="14"/>
      <c r="AH17" s="14"/>
      <c r="AI17" s="14"/>
      <c r="AJ17" s="14"/>
      <c r="AK17" s="14"/>
      <c r="AL17" s="14"/>
      <c r="AM17" s="14"/>
    </row>
    <row r="18" spans="1:39" x14ac:dyDescent="0.3">
      <c r="C18" s="15" t="s">
        <v>147</v>
      </c>
      <c r="D18" s="15" t="s">
        <v>148</v>
      </c>
      <c r="E18" s="15" t="s">
        <v>129</v>
      </c>
      <c r="F18" s="15" t="s">
        <v>114</v>
      </c>
      <c r="G18" s="15"/>
      <c r="H18" s="15">
        <v>1</v>
      </c>
      <c r="I18" s="13">
        <v>-0.37</v>
      </c>
      <c r="J18" s="13">
        <v>-0.5</v>
      </c>
      <c r="K18" s="13">
        <v>-0.8</v>
      </c>
      <c r="L18" s="13">
        <v>-0.74</v>
      </c>
      <c r="M18" s="13">
        <v>-0.45</v>
      </c>
      <c r="N18" s="13">
        <v>-0.5</v>
      </c>
      <c r="O18" s="13">
        <v>-0.56999999999999995</v>
      </c>
      <c r="P18" s="13">
        <v>-0.75</v>
      </c>
      <c r="Q18" s="13">
        <v>-0.55000000000000004</v>
      </c>
      <c r="R18" s="15">
        <v>0</v>
      </c>
      <c r="S18" s="15">
        <v>15</v>
      </c>
      <c r="T18" s="15" t="s">
        <v>149</v>
      </c>
      <c r="U18" s="15"/>
      <c r="V18" s="15"/>
      <c r="W18" s="15"/>
      <c r="X18" s="15"/>
      <c r="Y18" s="15" t="s">
        <v>147</v>
      </c>
      <c r="Z18" s="15" t="s">
        <v>148</v>
      </c>
      <c r="AA18" s="15" t="s">
        <v>129</v>
      </c>
      <c r="AB18" s="15" t="s">
        <v>114</v>
      </c>
      <c r="AC18" s="15"/>
      <c r="AD18" s="15">
        <v>1</v>
      </c>
      <c r="AE18" s="14">
        <v>-0.27</v>
      </c>
      <c r="AF18" s="14">
        <v>-0.37</v>
      </c>
      <c r="AG18" s="14">
        <v>-0.57999999999999996</v>
      </c>
      <c r="AH18" s="14">
        <v>-0.54</v>
      </c>
      <c r="AI18" s="14">
        <v>-0.33</v>
      </c>
      <c r="AJ18" s="14">
        <v>-0.37</v>
      </c>
      <c r="AK18" s="14">
        <v>-0.42</v>
      </c>
      <c r="AL18" s="14">
        <v>-0.55000000000000004</v>
      </c>
      <c r="AM18" s="14">
        <v>-0.4</v>
      </c>
    </row>
    <row r="19" spans="1:39" x14ac:dyDescent="0.3">
      <c r="C19" s="15" t="s">
        <v>150</v>
      </c>
      <c r="D19" s="15" t="s">
        <v>151</v>
      </c>
      <c r="E19" s="15" t="s">
        <v>129</v>
      </c>
      <c r="F19" s="15" t="s">
        <v>114</v>
      </c>
      <c r="G19" s="15"/>
      <c r="H19" s="15">
        <v>1</v>
      </c>
      <c r="I19" s="13">
        <v>-0.53</v>
      </c>
      <c r="J19" s="13">
        <v>-0.42</v>
      </c>
      <c r="K19" s="13">
        <v>-0.12</v>
      </c>
      <c r="L19" s="13">
        <v>-0.14000000000000001</v>
      </c>
      <c r="M19" s="13">
        <v>-0.24</v>
      </c>
      <c r="N19" s="13">
        <v>-0.21</v>
      </c>
      <c r="O19" s="13">
        <v>-0.31</v>
      </c>
      <c r="P19" s="13">
        <v>-0.12</v>
      </c>
      <c r="Q19" s="13">
        <v>-0.28000000000000003</v>
      </c>
      <c r="R19" s="15">
        <v>0</v>
      </c>
      <c r="S19" s="15">
        <v>15</v>
      </c>
      <c r="T19" s="15" t="s">
        <v>152</v>
      </c>
      <c r="U19" s="15"/>
      <c r="V19" s="15"/>
      <c r="W19" s="15"/>
      <c r="X19" s="15"/>
      <c r="Y19" s="15" t="s">
        <v>150</v>
      </c>
      <c r="Z19" s="15" t="s">
        <v>151</v>
      </c>
      <c r="AA19" s="15" t="s">
        <v>129</v>
      </c>
      <c r="AB19" s="15" t="s">
        <v>114</v>
      </c>
      <c r="AC19" s="15"/>
      <c r="AD19" s="15">
        <v>1</v>
      </c>
      <c r="AE19" s="14">
        <v>-0.39</v>
      </c>
      <c r="AF19" s="14">
        <v>-0.31</v>
      </c>
      <c r="AG19" s="14">
        <v>-0.09</v>
      </c>
      <c r="AH19" s="14">
        <v>-0.1</v>
      </c>
      <c r="AI19" s="14">
        <v>-0.18</v>
      </c>
      <c r="AJ19" s="14">
        <v>-0.15</v>
      </c>
      <c r="AK19" s="14">
        <v>-0.23</v>
      </c>
      <c r="AL19" s="14">
        <v>-0.09</v>
      </c>
      <c r="AM19" s="14">
        <v>-0.2</v>
      </c>
    </row>
    <row r="20" spans="1:39" x14ac:dyDescent="0.3">
      <c r="C20" s="15" t="s">
        <v>153</v>
      </c>
      <c r="D20" s="15" t="s">
        <v>154</v>
      </c>
      <c r="E20" s="15" t="s">
        <v>155</v>
      </c>
      <c r="F20" s="15" t="s">
        <v>114</v>
      </c>
      <c r="G20" s="15"/>
      <c r="H20" s="15">
        <v>1</v>
      </c>
      <c r="I20" s="13">
        <v>-0.3</v>
      </c>
      <c r="J20" s="13">
        <v>-0.11</v>
      </c>
      <c r="K20" s="13"/>
      <c r="L20" s="13"/>
      <c r="M20" s="13"/>
      <c r="N20" s="13"/>
      <c r="O20" s="13"/>
      <c r="P20" s="13"/>
      <c r="Q20" s="13"/>
      <c r="R20" s="15">
        <v>0</v>
      </c>
      <c r="S20" s="15">
        <v>15</v>
      </c>
      <c r="T20" s="15" t="s">
        <v>156</v>
      </c>
      <c r="U20" s="15"/>
      <c r="V20" s="15"/>
      <c r="W20" s="15"/>
      <c r="X20" s="15"/>
      <c r="Y20" s="15" t="s">
        <v>153</v>
      </c>
      <c r="Z20" s="15" t="s">
        <v>154</v>
      </c>
      <c r="AA20" s="15" t="s">
        <v>155</v>
      </c>
      <c r="AB20" s="15" t="s">
        <v>114</v>
      </c>
      <c r="AC20" s="15"/>
      <c r="AD20" s="15">
        <v>1</v>
      </c>
      <c r="AE20" s="14">
        <v>-0.08</v>
      </c>
      <c r="AF20" s="14">
        <v>-0.03</v>
      </c>
      <c r="AG20" s="14"/>
      <c r="AH20" s="14"/>
      <c r="AI20" s="14"/>
      <c r="AJ20" s="14"/>
      <c r="AK20" s="14"/>
      <c r="AL20" s="14"/>
      <c r="AM20" s="14"/>
    </row>
    <row r="21" spans="1:39" x14ac:dyDescent="0.3">
      <c r="C21" s="15" t="s">
        <v>157</v>
      </c>
      <c r="D21" s="15" t="s">
        <v>158</v>
      </c>
      <c r="E21" s="15" t="s">
        <v>155</v>
      </c>
      <c r="F21" s="15" t="s">
        <v>114</v>
      </c>
      <c r="G21" s="15"/>
      <c r="H21" s="15">
        <v>1</v>
      </c>
      <c r="I21" s="13">
        <v>-0.16</v>
      </c>
      <c r="J21" s="13">
        <v>-0.16</v>
      </c>
      <c r="K21" s="13">
        <v>-0.19</v>
      </c>
      <c r="L21" s="13">
        <v>-0.25</v>
      </c>
      <c r="M21" s="13">
        <v>-0.59</v>
      </c>
      <c r="N21" s="13">
        <v>-0.56000000000000005</v>
      </c>
      <c r="O21" s="13">
        <v>-0.38</v>
      </c>
      <c r="P21" s="13">
        <v>-0.23</v>
      </c>
      <c r="Q21" s="13">
        <v>-0.22</v>
      </c>
      <c r="R21" s="15">
        <v>0</v>
      </c>
      <c r="S21" s="15">
        <v>15</v>
      </c>
      <c r="T21" s="15" t="s">
        <v>159</v>
      </c>
      <c r="U21" s="15"/>
      <c r="V21" s="15"/>
      <c r="W21" s="15"/>
      <c r="X21" s="15"/>
      <c r="Y21" s="15" t="s">
        <v>157</v>
      </c>
      <c r="Z21" s="15" t="s">
        <v>158</v>
      </c>
      <c r="AA21" s="15" t="s">
        <v>155</v>
      </c>
      <c r="AB21" s="15" t="s">
        <v>114</v>
      </c>
      <c r="AC21" s="15"/>
      <c r="AD21" s="15">
        <v>1</v>
      </c>
      <c r="AE21" s="14">
        <v>-0.12</v>
      </c>
      <c r="AF21" s="14">
        <v>-0.12</v>
      </c>
      <c r="AG21" s="14">
        <v>-0.14000000000000001</v>
      </c>
      <c r="AH21" s="14">
        <v>-0.18</v>
      </c>
      <c r="AI21" s="14">
        <v>-0.43</v>
      </c>
      <c r="AJ21" s="14">
        <v>-0.41</v>
      </c>
      <c r="AK21" s="14">
        <v>-0.28000000000000003</v>
      </c>
      <c r="AL21" s="14">
        <v>-0.17</v>
      </c>
      <c r="AM21" s="14">
        <v>-0.16</v>
      </c>
    </row>
    <row r="22" spans="1:39" x14ac:dyDescent="0.3">
      <c r="C22" s="15" t="s">
        <v>160</v>
      </c>
      <c r="D22" s="15" t="s">
        <v>161</v>
      </c>
      <c r="E22" s="15" t="s">
        <v>155</v>
      </c>
      <c r="F22" s="15" t="s">
        <v>114</v>
      </c>
      <c r="G22" s="15"/>
      <c r="H22" s="15">
        <v>1</v>
      </c>
      <c r="I22" s="13">
        <v>-0.03</v>
      </c>
      <c r="J22" s="13">
        <v>-0.03</v>
      </c>
      <c r="K22" s="13">
        <v>-0.05</v>
      </c>
      <c r="L22" s="13">
        <v>-7.0000000000000007E-2</v>
      </c>
      <c r="M22" s="13">
        <v>-0.03</v>
      </c>
      <c r="N22" s="13">
        <v>-0.04</v>
      </c>
      <c r="O22" s="13">
        <v>-0.05</v>
      </c>
      <c r="P22" s="13">
        <v>-7.0000000000000007E-2</v>
      </c>
      <c r="Q22" s="13">
        <v>-0.04</v>
      </c>
      <c r="R22" s="15">
        <v>0</v>
      </c>
      <c r="S22" s="15">
        <v>15</v>
      </c>
      <c r="T22" s="15" t="s">
        <v>162</v>
      </c>
      <c r="U22" s="15"/>
      <c r="V22" s="15"/>
      <c r="W22" s="15"/>
      <c r="X22" s="15"/>
      <c r="Y22" s="15" t="s">
        <v>160</v>
      </c>
      <c r="Z22" s="15" t="s">
        <v>161</v>
      </c>
      <c r="AA22" s="15" t="s">
        <v>155</v>
      </c>
      <c r="AB22" s="15" t="s">
        <v>114</v>
      </c>
      <c r="AC22" s="15"/>
      <c r="AD22" s="15">
        <v>1</v>
      </c>
      <c r="AE22" s="14">
        <v>-0.02</v>
      </c>
      <c r="AF22" s="14">
        <v>-0.02</v>
      </c>
      <c r="AG22" s="14">
        <v>-0.03</v>
      </c>
      <c r="AH22" s="14">
        <v>-0.04</v>
      </c>
      <c r="AI22" s="14">
        <v>-0.02</v>
      </c>
      <c r="AJ22" s="14">
        <v>-0.02</v>
      </c>
      <c r="AK22" s="14">
        <v>-0.03</v>
      </c>
      <c r="AL22" s="14">
        <v>-0.04</v>
      </c>
      <c r="AM22" s="14">
        <v>-0.02</v>
      </c>
    </row>
    <row r="23" spans="1:39" x14ac:dyDescent="0.3">
      <c r="C23" s="15" t="s">
        <v>163</v>
      </c>
      <c r="D23" s="15" t="s">
        <v>164</v>
      </c>
      <c r="E23" s="15" t="s">
        <v>155</v>
      </c>
      <c r="F23" s="15" t="s">
        <v>114</v>
      </c>
      <c r="G23" s="15"/>
      <c r="H23" s="15">
        <v>1</v>
      </c>
      <c r="I23" s="13">
        <v>-0.49</v>
      </c>
      <c r="J23" s="13">
        <v>-0.67</v>
      </c>
      <c r="K23" s="13">
        <v>-0.75</v>
      </c>
      <c r="L23" s="13">
        <v>-0.66</v>
      </c>
      <c r="M23" s="13">
        <v>-0.36</v>
      </c>
      <c r="N23" s="13">
        <v>-0.38</v>
      </c>
      <c r="O23" s="13">
        <v>-0.55000000000000004</v>
      </c>
      <c r="P23" s="13">
        <v>-0.68</v>
      </c>
      <c r="Q23" s="13">
        <v>-0.72</v>
      </c>
      <c r="R23" s="15">
        <v>0</v>
      </c>
      <c r="S23" s="15">
        <v>15</v>
      </c>
      <c r="T23" s="15" t="s">
        <v>165</v>
      </c>
      <c r="U23" s="15"/>
      <c r="V23" s="15"/>
      <c r="W23" s="15"/>
      <c r="X23" s="15"/>
      <c r="Y23" s="15" t="s">
        <v>163</v>
      </c>
      <c r="Z23" s="15" t="s">
        <v>164</v>
      </c>
      <c r="AA23" s="15" t="s">
        <v>155</v>
      </c>
      <c r="AB23" s="15" t="s">
        <v>114</v>
      </c>
      <c r="AC23" s="15"/>
      <c r="AD23" s="15">
        <v>1</v>
      </c>
      <c r="AE23" s="14">
        <v>-0.36</v>
      </c>
      <c r="AF23" s="14">
        <v>-0.49</v>
      </c>
      <c r="AG23" s="14">
        <v>-0.55000000000000004</v>
      </c>
      <c r="AH23" s="14">
        <v>-0.48</v>
      </c>
      <c r="AI23" s="14">
        <v>-0.26</v>
      </c>
      <c r="AJ23" s="14">
        <v>-0.28000000000000003</v>
      </c>
      <c r="AK23" s="14">
        <v>-0.4</v>
      </c>
      <c r="AL23" s="14">
        <v>-0.5</v>
      </c>
      <c r="AM23" s="14">
        <v>-0.53</v>
      </c>
    </row>
    <row r="24" spans="1:39" s="15" customFormat="1" x14ac:dyDescent="0.3">
      <c r="C24" s="15" t="s">
        <v>189</v>
      </c>
      <c r="D24" s="15" t="s">
        <v>190</v>
      </c>
      <c r="E24" s="15" t="s">
        <v>168</v>
      </c>
      <c r="F24" s="15" t="s">
        <v>114</v>
      </c>
      <c r="H24" s="15">
        <v>1</v>
      </c>
      <c r="I24" s="13">
        <v>0</v>
      </c>
      <c r="J24" s="13">
        <v>0</v>
      </c>
      <c r="K24" s="13">
        <v>0</v>
      </c>
      <c r="L24" s="13">
        <v>-0.01</v>
      </c>
      <c r="M24" s="13">
        <v>-0.01</v>
      </c>
      <c r="N24" s="13">
        <v>-0.01</v>
      </c>
      <c r="O24" s="13">
        <v>0</v>
      </c>
      <c r="P24" s="13">
        <v>-0.01</v>
      </c>
      <c r="Q24" s="13">
        <v>0</v>
      </c>
      <c r="R24" s="15">
        <v>0</v>
      </c>
      <c r="S24" s="15">
        <v>15</v>
      </c>
      <c r="T24" s="15" t="s">
        <v>191</v>
      </c>
      <c r="Y24" s="15" t="s">
        <v>189</v>
      </c>
      <c r="Z24" s="15" t="s">
        <v>190</v>
      </c>
      <c r="AA24" s="15" t="s">
        <v>168</v>
      </c>
      <c r="AB24" s="15" t="s">
        <v>114</v>
      </c>
      <c r="AD24" s="15">
        <v>1</v>
      </c>
      <c r="AE24" s="14">
        <v>0</v>
      </c>
      <c r="AF24" s="14">
        <v>0</v>
      </c>
      <c r="AG24" s="14">
        <v>0</v>
      </c>
      <c r="AH24" s="14">
        <v>-0.01</v>
      </c>
      <c r="AI24" s="14">
        <v>-0.01</v>
      </c>
      <c r="AJ24" s="14">
        <v>-0.01</v>
      </c>
      <c r="AK24" s="14">
        <v>0</v>
      </c>
      <c r="AL24" s="14">
        <v>-0.01</v>
      </c>
      <c r="AM24" s="14">
        <v>0</v>
      </c>
    </row>
    <row r="25" spans="1:39" x14ac:dyDescent="0.3">
      <c r="C25" s="15" t="s">
        <v>166</v>
      </c>
      <c r="D25" s="15" t="s">
        <v>167</v>
      </c>
      <c r="E25" s="15" t="s">
        <v>168</v>
      </c>
      <c r="F25" s="15" t="s">
        <v>114</v>
      </c>
      <c r="G25" s="15"/>
      <c r="H25" s="15">
        <v>1</v>
      </c>
      <c r="I25" s="13">
        <v>-0.01</v>
      </c>
      <c r="J25" s="13">
        <v>-0.04</v>
      </c>
      <c r="K25" s="13">
        <v>-0.03</v>
      </c>
      <c r="L25" s="13">
        <v>-0.05</v>
      </c>
      <c r="M25" s="13">
        <v>-0.28999999999999998</v>
      </c>
      <c r="N25" s="13">
        <v>-0.22</v>
      </c>
      <c r="O25" s="13">
        <v>-0.05</v>
      </c>
      <c r="P25" s="13">
        <v>-0.16</v>
      </c>
      <c r="Q25" s="13">
        <v>-7.0000000000000007E-2</v>
      </c>
      <c r="R25" s="15">
        <v>0</v>
      </c>
      <c r="S25" s="15">
        <v>15</v>
      </c>
      <c r="T25" s="15" t="s">
        <v>169</v>
      </c>
      <c r="U25" s="15"/>
      <c r="V25" s="15"/>
      <c r="W25" s="15"/>
      <c r="X25" s="15"/>
      <c r="Y25" s="15" t="s">
        <v>166</v>
      </c>
      <c r="Z25" s="15" t="s">
        <v>167</v>
      </c>
      <c r="AA25" s="15" t="s">
        <v>168</v>
      </c>
      <c r="AB25" s="15" t="s">
        <v>114</v>
      </c>
      <c r="AC25" s="15"/>
      <c r="AD25" s="15">
        <v>1</v>
      </c>
      <c r="AE25" s="14">
        <v>-0.01</v>
      </c>
      <c r="AF25" s="14">
        <v>-0.03</v>
      </c>
      <c r="AG25" s="14">
        <v>-0.02</v>
      </c>
      <c r="AH25" s="14">
        <v>-0.04</v>
      </c>
      <c r="AI25" s="14">
        <v>-0.21</v>
      </c>
      <c r="AJ25" s="14">
        <v>-0.16</v>
      </c>
      <c r="AK25" s="14">
        <v>-0.04</v>
      </c>
      <c r="AL25" s="14">
        <v>-0.12</v>
      </c>
      <c r="AM25" s="14">
        <v>-0.05</v>
      </c>
    </row>
    <row r="26" spans="1:39" x14ac:dyDescent="0.3">
      <c r="C26" s="15" t="s">
        <v>170</v>
      </c>
      <c r="D26" s="15" t="s">
        <v>171</v>
      </c>
      <c r="E26" s="15" t="s">
        <v>168</v>
      </c>
      <c r="F26" s="15" t="s">
        <v>114</v>
      </c>
      <c r="G26" s="15"/>
      <c r="H26" s="15">
        <v>1</v>
      </c>
      <c r="I26" s="13">
        <v>-0.48</v>
      </c>
      <c r="J26" s="13">
        <v>-0.63</v>
      </c>
      <c r="K26" s="13">
        <v>-0.81</v>
      </c>
      <c r="L26" s="13">
        <v>-0.87</v>
      </c>
      <c r="M26" s="13">
        <v>-0.63</v>
      </c>
      <c r="N26" s="13">
        <v>-0.7</v>
      </c>
      <c r="O26" s="13">
        <v>-0.83</v>
      </c>
      <c r="P26" s="13">
        <v>-0.79</v>
      </c>
      <c r="Q26" s="13">
        <v>-0.78</v>
      </c>
      <c r="R26" s="15">
        <v>0</v>
      </c>
      <c r="S26" s="15">
        <v>15</v>
      </c>
      <c r="T26" s="15" t="s">
        <v>172</v>
      </c>
      <c r="U26" s="15"/>
      <c r="V26" s="15"/>
      <c r="W26" s="15"/>
      <c r="X26" s="15"/>
      <c r="Y26" s="15" t="s">
        <v>170</v>
      </c>
      <c r="Z26" s="15" t="s">
        <v>171</v>
      </c>
      <c r="AA26" s="15" t="s">
        <v>168</v>
      </c>
      <c r="AB26" s="15" t="s">
        <v>114</v>
      </c>
      <c r="AC26" s="15"/>
      <c r="AD26" s="15">
        <v>1</v>
      </c>
      <c r="AE26" s="14">
        <v>-0.35</v>
      </c>
      <c r="AF26" s="14">
        <v>-0.46</v>
      </c>
      <c r="AG26" s="14">
        <v>-0.59</v>
      </c>
      <c r="AH26" s="14">
        <v>-0.64</v>
      </c>
      <c r="AI26" s="14">
        <v>-0.46</v>
      </c>
      <c r="AJ26" s="14">
        <v>-0.51</v>
      </c>
      <c r="AK26" s="14">
        <v>-0.61</v>
      </c>
      <c r="AL26" s="14">
        <v>-0.57999999999999996</v>
      </c>
      <c r="AM26" s="14">
        <v>-0.56999999999999995</v>
      </c>
    </row>
    <row r="27" spans="1:39" x14ac:dyDescent="0.3">
      <c r="C27" s="15" t="s">
        <v>173</v>
      </c>
      <c r="D27" s="15" t="s">
        <v>174</v>
      </c>
      <c r="E27" s="15" t="s">
        <v>168</v>
      </c>
      <c r="F27" s="15" t="s">
        <v>114</v>
      </c>
      <c r="G27" s="15"/>
      <c r="H27" s="15">
        <v>1</v>
      </c>
      <c r="I27" s="13">
        <v>-0.5</v>
      </c>
      <c r="J27" s="13">
        <v>-0.31</v>
      </c>
      <c r="K27" s="13">
        <v>-0.14000000000000001</v>
      </c>
      <c r="L27" s="13">
        <v>-0.06</v>
      </c>
      <c r="M27" s="13">
        <v>-0.06</v>
      </c>
      <c r="N27" s="13">
        <v>-0.06</v>
      </c>
      <c r="O27" s="13">
        <v>-0.1</v>
      </c>
      <c r="P27" s="13">
        <v>-0.03</v>
      </c>
      <c r="Q27" s="13">
        <v>-0.13</v>
      </c>
      <c r="R27" s="15">
        <v>0</v>
      </c>
      <c r="S27" s="15">
        <v>15</v>
      </c>
      <c r="T27" s="15" t="s">
        <v>175</v>
      </c>
      <c r="U27" s="15"/>
      <c r="V27" s="15"/>
      <c r="W27" s="15"/>
      <c r="X27" s="15"/>
      <c r="Y27" s="15" t="s">
        <v>173</v>
      </c>
      <c r="Z27" s="15" t="s">
        <v>174</v>
      </c>
      <c r="AA27" s="15" t="s">
        <v>168</v>
      </c>
      <c r="AB27" s="15" t="s">
        <v>114</v>
      </c>
      <c r="AC27" s="15"/>
      <c r="AD27" s="15">
        <v>1</v>
      </c>
      <c r="AE27" s="14">
        <v>-0.37</v>
      </c>
      <c r="AF27" s="14">
        <v>-0.23</v>
      </c>
      <c r="AG27" s="14">
        <v>-0.1</v>
      </c>
      <c r="AH27" s="14">
        <v>-0.04</v>
      </c>
      <c r="AI27" s="14">
        <v>-0.04</v>
      </c>
      <c r="AJ27" s="14">
        <v>-0.04</v>
      </c>
      <c r="AK27" s="14">
        <v>-7.0000000000000007E-2</v>
      </c>
      <c r="AL27" s="14">
        <v>-0.02</v>
      </c>
      <c r="AM27" s="14">
        <v>-0.09</v>
      </c>
    </row>
    <row r="28" spans="1:39" x14ac:dyDescent="0.3">
      <c r="C28" s="15" t="s">
        <v>124</v>
      </c>
      <c r="D28" s="15" t="s">
        <v>125</v>
      </c>
      <c r="E28" s="15" t="s">
        <v>126</v>
      </c>
      <c r="F28" s="15" t="s">
        <v>114</v>
      </c>
      <c r="G28" s="15"/>
      <c r="H28" s="15">
        <v>1</v>
      </c>
      <c r="I28" s="13">
        <v>-0.49</v>
      </c>
      <c r="J28" s="13">
        <v>-0.49</v>
      </c>
      <c r="K28" s="13">
        <v>-0.49</v>
      </c>
      <c r="L28" s="13">
        <v>-0.49</v>
      </c>
      <c r="M28" s="13">
        <v>-0.49</v>
      </c>
      <c r="N28" s="13">
        <v>-0.49</v>
      </c>
      <c r="O28" s="13">
        <v>-0.49</v>
      </c>
      <c r="P28" s="13">
        <v>-0.49</v>
      </c>
      <c r="Q28" s="13">
        <v>-0.49</v>
      </c>
      <c r="R28" s="15">
        <v>0</v>
      </c>
      <c r="S28" s="15">
        <v>15</v>
      </c>
      <c r="T28" s="15" t="s">
        <v>176</v>
      </c>
      <c r="U28" s="15"/>
      <c r="V28" s="15"/>
      <c r="W28" s="15"/>
      <c r="X28" s="15"/>
      <c r="Y28" s="15" t="s">
        <v>124</v>
      </c>
      <c r="Z28" s="15" t="s">
        <v>125</v>
      </c>
      <c r="AA28" s="15" t="s">
        <v>126</v>
      </c>
      <c r="AB28" s="15" t="s">
        <v>114</v>
      </c>
      <c r="AC28" s="15"/>
      <c r="AD28" s="15">
        <v>1</v>
      </c>
      <c r="AE28" s="14">
        <v>-0.05</v>
      </c>
      <c r="AF28" s="14">
        <v>-0.05</v>
      </c>
      <c r="AG28" s="14">
        <v>-0.05</v>
      </c>
      <c r="AH28" s="14">
        <v>-0.05</v>
      </c>
      <c r="AI28" s="14">
        <v>-0.05</v>
      </c>
      <c r="AJ28" s="14">
        <v>-0.05</v>
      </c>
      <c r="AK28" s="14">
        <v>-0.05</v>
      </c>
      <c r="AL28" s="14">
        <v>-0.05</v>
      </c>
      <c r="AM28" s="14">
        <v>-0.05</v>
      </c>
    </row>
    <row r="29" spans="1:39" x14ac:dyDescent="0.3">
      <c r="C29" s="15" t="s">
        <v>177</v>
      </c>
      <c r="D29" s="15" t="s">
        <v>178</v>
      </c>
      <c r="E29" s="15" t="s">
        <v>126</v>
      </c>
      <c r="F29" s="15" t="s">
        <v>114</v>
      </c>
      <c r="G29" s="15"/>
      <c r="H29" s="15">
        <v>1</v>
      </c>
      <c r="I29" s="13">
        <v>-0.26</v>
      </c>
      <c r="J29" s="13">
        <v>-0.26</v>
      </c>
      <c r="K29" s="13">
        <v>-0.26</v>
      </c>
      <c r="L29" s="13">
        <v>-0.26</v>
      </c>
      <c r="M29" s="13">
        <v>-0.26</v>
      </c>
      <c r="N29" s="13">
        <v>-0.26</v>
      </c>
      <c r="O29" s="13">
        <v>-0.26</v>
      </c>
      <c r="P29" s="13">
        <v>-0.26</v>
      </c>
      <c r="Q29" s="13">
        <v>-0.26</v>
      </c>
      <c r="R29" s="15">
        <v>0</v>
      </c>
      <c r="S29" s="15">
        <v>15</v>
      </c>
      <c r="T29" s="15" t="s">
        <v>179</v>
      </c>
      <c r="U29" s="15"/>
      <c r="V29" s="15"/>
      <c r="W29" s="15"/>
      <c r="X29" s="15"/>
      <c r="Y29" s="15" t="s">
        <v>177</v>
      </c>
      <c r="Z29" s="15" t="s">
        <v>178</v>
      </c>
      <c r="AA29" s="15" t="s">
        <v>126</v>
      </c>
      <c r="AB29" s="15" t="s">
        <v>114</v>
      </c>
      <c r="AC29" s="15"/>
      <c r="AD29" s="15">
        <v>1</v>
      </c>
      <c r="AE29" s="14">
        <v>-0.19</v>
      </c>
      <c r="AF29" s="14">
        <v>-0.19</v>
      </c>
      <c r="AG29" s="14">
        <v>-0.19</v>
      </c>
      <c r="AH29" s="14">
        <v>-0.19</v>
      </c>
      <c r="AI29" s="14">
        <v>-0.19</v>
      </c>
      <c r="AJ29" s="14">
        <v>-0.19</v>
      </c>
      <c r="AK29" s="14">
        <v>-0.19</v>
      </c>
      <c r="AL29" s="14">
        <v>-0.19</v>
      </c>
      <c r="AM29" s="14">
        <v>-0.19</v>
      </c>
    </row>
    <row r="30" spans="1:39" x14ac:dyDescent="0.3">
      <c r="C30" s="15" t="s">
        <v>180</v>
      </c>
      <c r="D30" s="15" t="s">
        <v>181</v>
      </c>
      <c r="E30" s="15" t="s">
        <v>126</v>
      </c>
      <c r="F30" s="15" t="s">
        <v>114</v>
      </c>
      <c r="G30" s="15"/>
      <c r="H30" s="15">
        <v>1</v>
      </c>
      <c r="I30" s="13">
        <v>-0.18</v>
      </c>
      <c r="J30" s="13">
        <v>-0.18</v>
      </c>
      <c r="K30" s="13">
        <v>-0.18</v>
      </c>
      <c r="L30" s="13">
        <v>-0.18</v>
      </c>
      <c r="M30" s="13">
        <v>-0.18</v>
      </c>
      <c r="N30" s="13">
        <v>-0.18</v>
      </c>
      <c r="O30" s="13">
        <v>-0.18</v>
      </c>
      <c r="P30" s="13">
        <v>-0.18</v>
      </c>
      <c r="Q30" s="13">
        <v>-0.18</v>
      </c>
      <c r="R30" s="15">
        <v>0</v>
      </c>
      <c r="S30" s="15">
        <v>15</v>
      </c>
      <c r="T30" s="15" t="s">
        <v>182</v>
      </c>
      <c r="U30" s="15"/>
      <c r="V30" s="15"/>
      <c r="W30" s="15"/>
      <c r="X30" s="15"/>
      <c r="Y30" s="15" t="s">
        <v>180</v>
      </c>
      <c r="Z30" s="15" t="s">
        <v>181</v>
      </c>
      <c r="AA30" s="15" t="s">
        <v>126</v>
      </c>
      <c r="AB30" s="15" t="s">
        <v>114</v>
      </c>
      <c r="AC30" s="15"/>
      <c r="AD30" s="15">
        <v>1</v>
      </c>
      <c r="AE30" s="14">
        <v>-0.13</v>
      </c>
      <c r="AF30" s="14">
        <v>-0.13</v>
      </c>
      <c r="AG30" s="14">
        <v>-0.13</v>
      </c>
      <c r="AH30" s="14">
        <v>-0.13</v>
      </c>
      <c r="AI30" s="14">
        <v>-0.13</v>
      </c>
      <c r="AJ30" s="14">
        <v>-0.13</v>
      </c>
      <c r="AK30" s="14">
        <v>-0.13</v>
      </c>
      <c r="AL30" s="14">
        <v>-0.13</v>
      </c>
      <c r="AM30" s="14">
        <v>-0.13</v>
      </c>
    </row>
    <row r="31" spans="1:39" x14ac:dyDescent="0.3">
      <c r="A31" s="15"/>
      <c r="B31" s="15"/>
      <c r="C31" s="15" t="s">
        <v>183</v>
      </c>
      <c r="D31" s="15" t="s">
        <v>184</v>
      </c>
      <c r="E31" s="15" t="s">
        <v>126</v>
      </c>
      <c r="F31" s="15" t="s">
        <v>114</v>
      </c>
      <c r="G31" s="15"/>
      <c r="H31" s="15">
        <v>1</v>
      </c>
      <c r="I31" s="13">
        <v>-0.08</v>
      </c>
      <c r="J31" s="13">
        <v>-0.08</v>
      </c>
      <c r="K31" s="13">
        <v>-0.08</v>
      </c>
      <c r="L31" s="13">
        <v>-0.08</v>
      </c>
      <c r="M31" s="13">
        <v>-0.08</v>
      </c>
      <c r="N31" s="13">
        <v>-0.08</v>
      </c>
      <c r="O31" s="13">
        <v>-0.08</v>
      </c>
      <c r="P31" s="13">
        <v>-0.08</v>
      </c>
      <c r="Q31" s="13">
        <v>-0.08</v>
      </c>
      <c r="R31" s="15">
        <v>0</v>
      </c>
      <c r="S31" s="15">
        <v>15</v>
      </c>
      <c r="T31" s="15" t="s">
        <v>185</v>
      </c>
      <c r="U31" s="15"/>
      <c r="V31" s="15"/>
      <c r="W31" s="15"/>
      <c r="X31" s="15"/>
      <c r="Y31" s="15" t="s">
        <v>183</v>
      </c>
      <c r="Z31" s="15" t="s">
        <v>184</v>
      </c>
      <c r="AA31" s="15" t="s">
        <v>126</v>
      </c>
      <c r="AB31" s="15" t="s">
        <v>114</v>
      </c>
      <c r="AC31" s="15"/>
      <c r="AD31" s="15">
        <v>1</v>
      </c>
      <c r="AE31" s="14">
        <v>-0.08</v>
      </c>
      <c r="AF31" s="14">
        <v>-0.08</v>
      </c>
      <c r="AG31" s="14">
        <v>-0.08</v>
      </c>
      <c r="AH31" s="14">
        <v>-0.08</v>
      </c>
      <c r="AI31" s="14">
        <v>-0.08</v>
      </c>
      <c r="AJ31" s="14">
        <v>-0.08</v>
      </c>
      <c r="AK31" s="14">
        <v>-0.08</v>
      </c>
      <c r="AL31" s="14">
        <v>-0.08</v>
      </c>
      <c r="AM31" s="14">
        <v>-0.08</v>
      </c>
    </row>
    <row r="32" spans="1:39" x14ac:dyDescent="0.3">
      <c r="A32" s="15"/>
      <c r="B32" s="15"/>
      <c r="C32" s="15" t="s">
        <v>186</v>
      </c>
      <c r="D32" s="15" t="s">
        <v>187</v>
      </c>
      <c r="E32" s="15" t="s">
        <v>126</v>
      </c>
      <c r="F32" s="15" t="s">
        <v>114</v>
      </c>
      <c r="G32" s="15"/>
      <c r="H32" s="15">
        <v>1</v>
      </c>
      <c r="I32" s="13">
        <v>-0.04</v>
      </c>
      <c r="J32" s="13">
        <v>-0.04</v>
      </c>
      <c r="K32" s="13">
        <v>-0.04</v>
      </c>
      <c r="L32" s="13">
        <v>-0.04</v>
      </c>
      <c r="M32" s="13">
        <v>-0.04</v>
      </c>
      <c r="N32" s="13">
        <v>-0.04</v>
      </c>
      <c r="O32" s="13">
        <v>-0.04</v>
      </c>
      <c r="P32" s="13">
        <v>-0.04</v>
      </c>
      <c r="Q32" s="13">
        <v>-0.04</v>
      </c>
      <c r="R32" s="15">
        <v>0</v>
      </c>
      <c r="S32" s="15">
        <v>15</v>
      </c>
      <c r="T32" s="15" t="s">
        <v>188</v>
      </c>
      <c r="U32" s="15"/>
      <c r="V32" s="15"/>
      <c r="W32" s="15"/>
      <c r="X32" s="15"/>
      <c r="Y32" s="15" t="s">
        <v>186</v>
      </c>
      <c r="Z32" s="15" t="s">
        <v>187</v>
      </c>
      <c r="AA32" s="15" t="s">
        <v>126</v>
      </c>
      <c r="AB32" s="15" t="s">
        <v>114</v>
      </c>
      <c r="AC32" s="15"/>
      <c r="AD32" s="15">
        <v>1</v>
      </c>
      <c r="AE32" s="14">
        <v>-0.04</v>
      </c>
      <c r="AF32" s="14">
        <v>-0.04</v>
      </c>
      <c r="AG32" s="14">
        <v>-0.04</v>
      </c>
      <c r="AH32" s="14">
        <v>-0.04</v>
      </c>
      <c r="AI32" s="14">
        <v>-0.04</v>
      </c>
      <c r="AJ32" s="14">
        <v>-0.04</v>
      </c>
      <c r="AK32" s="14">
        <v>-0.04</v>
      </c>
      <c r="AL32" s="14">
        <v>-0.04</v>
      </c>
      <c r="AM32" s="14">
        <v>-0.04</v>
      </c>
    </row>
    <row r="33" spans="1:39" x14ac:dyDescent="0.3">
      <c r="A33" s="15"/>
      <c r="B33" s="15"/>
      <c r="C33" s="15" t="s">
        <v>192</v>
      </c>
      <c r="D33" s="15" t="s">
        <v>193</v>
      </c>
      <c r="E33" s="15" t="s">
        <v>126</v>
      </c>
      <c r="F33" s="15" t="s">
        <v>114</v>
      </c>
      <c r="G33" s="15"/>
      <c r="H33" s="15">
        <v>1</v>
      </c>
      <c r="I33" s="13">
        <v>-0.68</v>
      </c>
      <c r="J33" s="13">
        <v>-0.68</v>
      </c>
      <c r="K33" s="13">
        <v>-0.68</v>
      </c>
      <c r="L33" s="13">
        <v>-0.68</v>
      </c>
      <c r="M33" s="13">
        <v>-0.68</v>
      </c>
      <c r="N33" s="13">
        <v>-0.68</v>
      </c>
      <c r="O33" s="13">
        <v>-0.68</v>
      </c>
      <c r="P33" s="13">
        <v>-0.68</v>
      </c>
      <c r="Q33" s="13">
        <v>-0.68</v>
      </c>
      <c r="R33" s="12">
        <v>0</v>
      </c>
      <c r="S33" s="15">
        <v>15</v>
      </c>
      <c r="T33" s="15" t="s">
        <v>194</v>
      </c>
      <c r="U33" s="15"/>
      <c r="V33" s="15"/>
      <c r="W33" s="15"/>
      <c r="X33" s="15"/>
      <c r="Y33" s="15" t="s">
        <v>192</v>
      </c>
      <c r="Z33" s="15" t="s">
        <v>193</v>
      </c>
      <c r="AA33" s="15" t="s">
        <v>126</v>
      </c>
      <c r="AB33" s="15" t="s">
        <v>114</v>
      </c>
      <c r="AC33" s="15"/>
      <c r="AD33" s="15">
        <v>1</v>
      </c>
      <c r="AE33" s="14">
        <v>-0.68</v>
      </c>
      <c r="AF33" s="14">
        <v>-0.68</v>
      </c>
      <c r="AG33" s="14">
        <v>-0.68</v>
      </c>
      <c r="AH33" s="14">
        <v>-0.68</v>
      </c>
      <c r="AI33" s="14">
        <v>-0.68</v>
      </c>
      <c r="AJ33" s="14">
        <v>-0.68</v>
      </c>
      <c r="AK33" s="14">
        <v>-0.68</v>
      </c>
      <c r="AL33" s="14">
        <v>-0.68</v>
      </c>
      <c r="AM33" s="14">
        <v>-0.68</v>
      </c>
    </row>
    <row r="34" spans="1:39" x14ac:dyDescent="0.3">
      <c r="A34" s="15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3"/>
      <c r="M34" s="13"/>
      <c r="N34" s="13"/>
      <c r="O34" s="13"/>
      <c r="P34" s="13"/>
      <c r="Q34" s="13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4"/>
      <c r="AF34" s="14"/>
      <c r="AG34" s="14"/>
      <c r="AH34" s="14"/>
      <c r="AI34" s="14"/>
      <c r="AJ34" s="14"/>
      <c r="AK34" s="14"/>
      <c r="AL34" s="14"/>
      <c r="AM34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5"/>
  <sheetViews>
    <sheetView workbookViewId="0">
      <selection sqref="A1:XFD1048576"/>
    </sheetView>
  </sheetViews>
  <sheetFormatPr defaultRowHeight="14.4" x14ac:dyDescent="0.3"/>
  <cols>
    <col min="1" max="1" width="10.44140625" bestFit="1" customWidth="1"/>
  </cols>
  <sheetData>
    <row r="1" spans="1:23" x14ac:dyDescent="0.3">
      <c r="C1" s="19">
        <f>C16+C17+C18+C19</f>
        <v>1.3364019524998467</v>
      </c>
      <c r="D1" s="19">
        <f t="shared" ref="D1:K1" si="0">D16+D17+D18+D19</f>
        <v>1.183975441224363</v>
      </c>
      <c r="E1" s="19">
        <f t="shared" si="0"/>
        <v>0.99219107680386998</v>
      </c>
      <c r="F1" s="19">
        <f t="shared" si="0"/>
        <v>0.96189378612703991</v>
      </c>
      <c r="G1" s="19">
        <f t="shared" si="0"/>
        <v>0.83059198420541036</v>
      </c>
      <c r="H1" s="19">
        <f t="shared" si="0"/>
        <v>0.86957443877314633</v>
      </c>
      <c r="I1" s="19">
        <f t="shared" si="0"/>
        <v>0.90565180321297456</v>
      </c>
      <c r="J1" s="19">
        <f t="shared" si="0"/>
        <v>0.95334022045460975</v>
      </c>
      <c r="K1" s="19">
        <f t="shared" si="0"/>
        <v>0.88958916410870814</v>
      </c>
    </row>
    <row r="2" spans="1:23" ht="15" thickBot="1" x14ac:dyDescent="0.35">
      <c r="A2" s="6" t="s">
        <v>111</v>
      </c>
      <c r="B2" s="6" t="s">
        <v>117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N2" s="6" t="s">
        <v>0</v>
      </c>
      <c r="O2" s="6" t="s">
        <v>1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</row>
    <row r="3" spans="1:23" x14ac:dyDescent="0.3">
      <c r="A3" s="15" t="s">
        <v>9</v>
      </c>
      <c r="B3" s="15" t="s">
        <v>11</v>
      </c>
      <c r="C3" s="19">
        <f>(SUMIFS('COM results'!$G:$G,'COM results'!$D:$D,"CSC",'COM results'!$F:$F,C$2,'COM results'!$A:$A,"AHP",'COM results'!$B:$B,"VAR_Fout")+SUMIFS('COM results'!$G:$G,'COM results'!$D:$D,"CSC",'COM results'!$F:$F,C$2,'COM results'!$A:$A,"GHP",'COM results'!$B:$B,"VAR_Fout")+SUMIFS('COM results'!$G:$G,'COM results'!$D:$D,"CSC",'COM results'!$F:$F,C$2,'COM results'!$A:$A,"CSC",'COM results'!$B:$B,"VAR_Fout")+SUMIFS('COM results'!$G:$G,'COM results'!$D:$D,"CSC",'COM results'!$F:$F,C$2,'COM results'!$A:$A,"CSW",'COM results'!$B:$B,"VAR_Fout")+SUMIFS('COM results'!$G:$G,'COM results'!$D:$D,"CSC",'COM results'!$F:$F,C$2,'COM results'!$A:$A,"CRC",'COM results'!$B:$B,"VAR_Fout")+SUMIFS('COM results'!$G:$G,'COM results'!$D:$D,"CSC",'COM results'!$F:$F,C$2,'COM results'!$A:$A,"CCC",'COM results'!$B:$B,"VAR_Fout")+SUMIFS('COM results'!$G:$G,'COM results'!$D:$D,"CSC",'COM results'!$F:$F,C$2,'COM results'!$A:$A,"RAC",'COM results'!$B:$B,"VAR_Fout")+SUMIFS('COM results'!$G:$G,'COM results'!$D:$D,"CSC",'COM results'!$F:$F,C$2,'COM results'!$A:$A,"WAC",'COM results'!$B:$B,"VAR_Fout")+SUMIFS('COM results'!$G:$G,'COM results'!$D:$D,"CSC",'COM results'!$F:$F,C$2,'COM results'!$A:$A,"CAC",'COM results'!$B:$B,"VAR_Fout"))/N3</f>
        <v>0.97198143820768601</v>
      </c>
      <c r="D3" s="19">
        <f>(SUMIFS('COM results'!$G:$G,'COM results'!$D:$D,"CSC",'COM results'!$F:$F,D$2,'COM results'!$A:$A,"AHP",'COM results'!$B:$B,"VAR_Fout")+SUMIFS('COM results'!$G:$G,'COM results'!$D:$D,"CSC",'COM results'!$F:$F,D$2,'COM results'!$A:$A,"GHP",'COM results'!$B:$B,"VAR_Fout")+SUMIFS('COM results'!$G:$G,'COM results'!$D:$D,"CSC",'COM results'!$F:$F,D$2,'COM results'!$A:$A,"CSC",'COM results'!$B:$B,"VAR_Fout")+SUMIFS('COM results'!$G:$G,'COM results'!$D:$D,"CSC",'COM results'!$F:$F,D$2,'COM results'!$A:$A,"CSW",'COM results'!$B:$B,"VAR_Fout")+SUMIFS('COM results'!$G:$G,'COM results'!$D:$D,"CSC",'COM results'!$F:$F,D$2,'COM results'!$A:$A,"CRC",'COM results'!$B:$B,"VAR_Fout")+SUMIFS('COM results'!$G:$G,'COM results'!$D:$D,"CSC",'COM results'!$F:$F,D$2,'COM results'!$A:$A,"CCC",'COM results'!$B:$B,"VAR_Fout")+SUMIFS('COM results'!$G:$G,'COM results'!$D:$D,"CSC",'COM results'!$F:$F,D$2,'COM results'!$A:$A,"RAC",'COM results'!$B:$B,"VAR_Fout")+SUMIFS('COM results'!$G:$G,'COM results'!$D:$D,"CSC",'COM results'!$F:$F,D$2,'COM results'!$A:$A,"WAC",'COM results'!$B:$B,"VAR_Fout")+SUMIFS('COM results'!$G:$G,'COM results'!$D:$D,"CSC",'COM results'!$F:$F,D$2,'COM results'!$A:$A,"CAC",'COM results'!$B:$B,"VAR_Fout"))/O3</f>
        <v>0.98037407016233991</v>
      </c>
      <c r="E3" s="19">
        <f>(SUMIFS('COM results'!$G:$G,'COM results'!$D:$D,"CSC",'COM results'!$F:$F,E$2,'COM results'!$A:$A,"AHP",'COM results'!$B:$B,"VAR_Fout")+SUMIFS('COM results'!$G:$G,'COM results'!$D:$D,"CSC",'COM results'!$F:$F,E$2,'COM results'!$A:$A,"GHP",'COM results'!$B:$B,"VAR_Fout")+SUMIFS('COM results'!$G:$G,'COM results'!$D:$D,"CSC",'COM results'!$F:$F,E$2,'COM results'!$A:$A,"CSC",'COM results'!$B:$B,"VAR_Fout")+SUMIFS('COM results'!$G:$G,'COM results'!$D:$D,"CSC",'COM results'!$F:$F,E$2,'COM results'!$A:$A,"CSW",'COM results'!$B:$B,"VAR_Fout")+SUMIFS('COM results'!$G:$G,'COM results'!$D:$D,"CSC",'COM results'!$F:$F,E$2,'COM results'!$A:$A,"CRC",'COM results'!$B:$B,"VAR_Fout")+SUMIFS('COM results'!$G:$G,'COM results'!$D:$D,"CSC",'COM results'!$F:$F,E$2,'COM results'!$A:$A,"CCC",'COM results'!$B:$B,"VAR_Fout")+SUMIFS('COM results'!$G:$G,'COM results'!$D:$D,"CSC",'COM results'!$F:$F,E$2,'COM results'!$A:$A,"RAC",'COM results'!$B:$B,"VAR_Fout")+SUMIFS('COM results'!$G:$G,'COM results'!$D:$D,"CSC",'COM results'!$F:$F,E$2,'COM results'!$A:$A,"WAC",'COM results'!$B:$B,"VAR_Fout")+SUMIFS('COM results'!$G:$G,'COM results'!$D:$D,"CSC",'COM results'!$F:$F,E$2,'COM results'!$A:$A,"CAC",'COM results'!$B:$B,"VAR_Fout"))/P3</f>
        <v>0.97473064328755343</v>
      </c>
      <c r="F3" s="19">
        <f>(SUMIFS('COM results'!$G:$G,'COM results'!$D:$D,"CSC",'COM results'!$F:$F,F$2,'COM results'!$A:$A,"AHP",'COM results'!$B:$B,"VAR_Fout")+SUMIFS('COM results'!$G:$G,'COM results'!$D:$D,"CSC",'COM results'!$F:$F,F$2,'COM results'!$A:$A,"GHP",'COM results'!$B:$B,"VAR_Fout")+SUMIFS('COM results'!$G:$G,'COM results'!$D:$D,"CSC",'COM results'!$F:$F,F$2,'COM results'!$A:$A,"CSC",'COM results'!$B:$B,"VAR_Fout")+SUMIFS('COM results'!$G:$G,'COM results'!$D:$D,"CSC",'COM results'!$F:$F,F$2,'COM results'!$A:$A,"CSW",'COM results'!$B:$B,"VAR_Fout")+SUMIFS('COM results'!$G:$G,'COM results'!$D:$D,"CSC",'COM results'!$F:$F,F$2,'COM results'!$A:$A,"CRC",'COM results'!$B:$B,"VAR_Fout")+SUMIFS('COM results'!$G:$G,'COM results'!$D:$D,"CSC",'COM results'!$F:$F,F$2,'COM results'!$A:$A,"CCC",'COM results'!$B:$B,"VAR_Fout")+SUMIFS('COM results'!$G:$G,'COM results'!$D:$D,"CSC",'COM results'!$F:$F,F$2,'COM results'!$A:$A,"RAC",'COM results'!$B:$B,"VAR_Fout")+SUMIFS('COM results'!$G:$G,'COM results'!$D:$D,"CSC",'COM results'!$F:$F,F$2,'COM results'!$A:$A,"WAC",'COM results'!$B:$B,"VAR_Fout")+SUMIFS('COM results'!$G:$G,'COM results'!$D:$D,"CSC",'COM results'!$F:$F,F$2,'COM results'!$A:$A,"CAC",'COM results'!$B:$B,"VAR_Fout"))/Q3</f>
        <v>0.9989288826524978</v>
      </c>
      <c r="G3" s="19">
        <f>(SUMIFS('COM results'!$G:$G,'COM results'!$D:$D,"CSC",'COM results'!$F:$F,G$2,'COM results'!$A:$A,"AHP",'COM results'!$B:$B,"VAR_Fout")+SUMIFS('COM results'!$G:$G,'COM results'!$D:$D,"CSC",'COM results'!$F:$F,G$2,'COM results'!$A:$A,"GHP",'COM results'!$B:$B,"VAR_Fout")+SUMIFS('COM results'!$G:$G,'COM results'!$D:$D,"CSC",'COM results'!$F:$F,G$2,'COM results'!$A:$A,"CSC",'COM results'!$B:$B,"VAR_Fout")+SUMIFS('COM results'!$G:$G,'COM results'!$D:$D,"CSC",'COM results'!$F:$F,G$2,'COM results'!$A:$A,"CSW",'COM results'!$B:$B,"VAR_Fout")+SUMIFS('COM results'!$G:$G,'COM results'!$D:$D,"CSC",'COM results'!$F:$F,G$2,'COM results'!$A:$A,"CRC",'COM results'!$B:$B,"VAR_Fout")+SUMIFS('COM results'!$G:$G,'COM results'!$D:$D,"CSC",'COM results'!$F:$F,G$2,'COM results'!$A:$A,"CCC",'COM results'!$B:$B,"VAR_Fout")+SUMIFS('COM results'!$G:$G,'COM results'!$D:$D,"CSC",'COM results'!$F:$F,G$2,'COM results'!$A:$A,"RAC",'COM results'!$B:$B,"VAR_Fout")+SUMIFS('COM results'!$G:$G,'COM results'!$D:$D,"CSC",'COM results'!$F:$F,G$2,'COM results'!$A:$A,"WAC",'COM results'!$B:$B,"VAR_Fout")+SUMIFS('COM results'!$G:$G,'COM results'!$D:$D,"CSC",'COM results'!$F:$F,G$2,'COM results'!$A:$A,"CAC",'COM results'!$B:$B,"VAR_Fout"))/R3</f>
        <v>0.99606417556296478</v>
      </c>
      <c r="H3" s="19">
        <f>(SUMIFS('COM results'!$G:$G,'COM results'!$D:$D,"CSC",'COM results'!$F:$F,H$2,'COM results'!$A:$A,"AHP",'COM results'!$B:$B,"VAR_Fout")+SUMIFS('COM results'!$G:$G,'COM results'!$D:$D,"CSC",'COM results'!$F:$F,H$2,'COM results'!$A:$A,"GHP",'COM results'!$B:$B,"VAR_Fout")+SUMIFS('COM results'!$G:$G,'COM results'!$D:$D,"CSC",'COM results'!$F:$F,H$2,'COM results'!$A:$A,"CSC",'COM results'!$B:$B,"VAR_Fout")+SUMIFS('COM results'!$G:$G,'COM results'!$D:$D,"CSC",'COM results'!$F:$F,H$2,'COM results'!$A:$A,"CSW",'COM results'!$B:$B,"VAR_Fout")+SUMIFS('COM results'!$G:$G,'COM results'!$D:$D,"CSC",'COM results'!$F:$F,H$2,'COM results'!$A:$A,"CRC",'COM results'!$B:$B,"VAR_Fout")+SUMIFS('COM results'!$G:$G,'COM results'!$D:$D,"CSC",'COM results'!$F:$F,H$2,'COM results'!$A:$A,"CCC",'COM results'!$B:$B,"VAR_Fout")+SUMIFS('COM results'!$G:$G,'COM results'!$D:$D,"CSC",'COM results'!$F:$F,H$2,'COM results'!$A:$A,"RAC",'COM results'!$B:$B,"VAR_Fout")+SUMIFS('COM results'!$G:$G,'COM results'!$D:$D,"CSC",'COM results'!$F:$F,H$2,'COM results'!$A:$A,"WAC",'COM results'!$B:$B,"VAR_Fout")+SUMIFS('COM results'!$G:$G,'COM results'!$D:$D,"CSC",'COM results'!$F:$F,H$2,'COM results'!$A:$A,"CAC",'COM results'!$B:$B,"VAR_Fout"))/S3</f>
        <v>0.99186482222501571</v>
      </c>
      <c r="I3" s="19">
        <f>(SUMIFS('COM results'!$G:$G,'COM results'!$D:$D,"CSC",'COM results'!$F:$F,I$2,'COM results'!$A:$A,"AHP",'COM results'!$B:$B,"VAR_Fout")+SUMIFS('COM results'!$G:$G,'COM results'!$D:$D,"CSC",'COM results'!$F:$F,I$2,'COM results'!$A:$A,"GHP",'COM results'!$B:$B,"VAR_Fout")+SUMIFS('COM results'!$G:$G,'COM results'!$D:$D,"CSC",'COM results'!$F:$F,I$2,'COM results'!$A:$A,"CSC",'COM results'!$B:$B,"VAR_Fout")+SUMIFS('COM results'!$G:$G,'COM results'!$D:$D,"CSC",'COM results'!$F:$F,I$2,'COM results'!$A:$A,"CSW",'COM results'!$B:$B,"VAR_Fout")+SUMIFS('COM results'!$G:$G,'COM results'!$D:$D,"CSC",'COM results'!$F:$F,I$2,'COM results'!$A:$A,"CRC",'COM results'!$B:$B,"VAR_Fout")+SUMIFS('COM results'!$G:$G,'COM results'!$D:$D,"CSC",'COM results'!$F:$F,I$2,'COM results'!$A:$A,"CCC",'COM results'!$B:$B,"VAR_Fout")+SUMIFS('COM results'!$G:$G,'COM results'!$D:$D,"CSC",'COM results'!$F:$F,I$2,'COM results'!$A:$A,"RAC",'COM results'!$B:$B,"VAR_Fout")+SUMIFS('COM results'!$G:$G,'COM results'!$D:$D,"CSC",'COM results'!$F:$F,I$2,'COM results'!$A:$A,"WAC",'COM results'!$B:$B,"VAR_Fout")+SUMIFS('COM results'!$G:$G,'COM results'!$D:$D,"CSC",'COM results'!$F:$F,I$2,'COM results'!$A:$A,"CAC",'COM results'!$B:$B,"VAR_Fout"))/T3</f>
        <v>0.99874202985424332</v>
      </c>
      <c r="J3" s="19">
        <f>(SUMIFS('COM results'!$G:$G,'COM results'!$D:$D,"CSC",'COM results'!$F:$F,J$2,'COM results'!$A:$A,"AHP",'COM results'!$B:$B,"VAR_Fout")+SUMIFS('COM results'!$G:$G,'COM results'!$D:$D,"CSC",'COM results'!$F:$F,J$2,'COM results'!$A:$A,"GHP",'COM results'!$B:$B,"VAR_Fout")+SUMIFS('COM results'!$G:$G,'COM results'!$D:$D,"CSC",'COM results'!$F:$F,J$2,'COM results'!$A:$A,"CSC",'COM results'!$B:$B,"VAR_Fout")+SUMIFS('COM results'!$G:$G,'COM results'!$D:$D,"CSC",'COM results'!$F:$F,J$2,'COM results'!$A:$A,"CSW",'COM results'!$B:$B,"VAR_Fout")+SUMIFS('COM results'!$G:$G,'COM results'!$D:$D,"CSC",'COM results'!$F:$F,J$2,'COM results'!$A:$A,"CRC",'COM results'!$B:$B,"VAR_Fout")+SUMIFS('COM results'!$G:$G,'COM results'!$D:$D,"CSC",'COM results'!$F:$F,J$2,'COM results'!$A:$A,"CCC",'COM results'!$B:$B,"VAR_Fout")+SUMIFS('COM results'!$G:$G,'COM results'!$D:$D,"CSC",'COM results'!$F:$F,J$2,'COM results'!$A:$A,"RAC",'COM results'!$B:$B,"VAR_Fout")+SUMIFS('COM results'!$G:$G,'COM results'!$D:$D,"CSC",'COM results'!$F:$F,J$2,'COM results'!$A:$A,"WAC",'COM results'!$B:$B,"VAR_Fout")+SUMIFS('COM results'!$G:$G,'COM results'!$D:$D,"CSC",'COM results'!$F:$F,J$2,'COM results'!$A:$A,"CAC",'COM results'!$B:$B,"VAR_Fout"))/U3</f>
        <v>0.98436738709243876</v>
      </c>
      <c r="K3" s="19">
        <f>(SUMIFS('COM results'!$G:$G,'COM results'!$D:$D,"CSC",'COM results'!$F:$F,K$2,'COM results'!$A:$A,"AHP",'COM results'!$B:$B,"VAR_Fout")+SUMIFS('COM results'!$G:$G,'COM results'!$D:$D,"CSC",'COM results'!$F:$F,K$2,'COM results'!$A:$A,"GHP",'COM results'!$B:$B,"VAR_Fout")+SUMIFS('COM results'!$G:$G,'COM results'!$D:$D,"CSC",'COM results'!$F:$F,K$2,'COM results'!$A:$A,"CSC",'COM results'!$B:$B,"VAR_Fout")+SUMIFS('COM results'!$G:$G,'COM results'!$D:$D,"CSC",'COM results'!$F:$F,K$2,'COM results'!$A:$A,"CSW",'COM results'!$B:$B,"VAR_Fout")+SUMIFS('COM results'!$G:$G,'COM results'!$D:$D,"CSC",'COM results'!$F:$F,K$2,'COM results'!$A:$A,"CRC",'COM results'!$B:$B,"VAR_Fout")+SUMIFS('COM results'!$G:$G,'COM results'!$D:$D,"CSC",'COM results'!$F:$F,K$2,'COM results'!$A:$A,"CCC",'COM results'!$B:$B,"VAR_Fout")+SUMIFS('COM results'!$G:$G,'COM results'!$D:$D,"CSC",'COM results'!$F:$F,K$2,'COM results'!$A:$A,"RAC",'COM results'!$B:$B,"VAR_Fout")+SUMIFS('COM results'!$G:$G,'COM results'!$D:$D,"CSC",'COM results'!$F:$F,K$2,'COM results'!$A:$A,"WAC",'COM results'!$B:$B,"VAR_Fout")+SUMIFS('COM results'!$G:$G,'COM results'!$D:$D,"CSC",'COM results'!$F:$F,K$2,'COM results'!$A:$A,"CAC",'COM results'!$B:$B,"VAR_Fout"))/V3</f>
        <v>0.99564633759345178</v>
      </c>
      <c r="M3" t="s">
        <v>280</v>
      </c>
      <c r="N3" s="11">
        <f>SUMIFS('COM results'!$G:$G,'COM results'!$D:$D,$M3,'COM results'!$F:$F,N$2,'COM results'!$B:$B,"VAR_Fout")</f>
        <v>34.718518826846832</v>
      </c>
      <c r="O3" s="11">
        <f>SUMIFS('COM results'!$G:$G,'COM results'!$D:$D,$M3,'COM results'!$F:$F,O$2,'COM results'!$B:$B,"VAR_Fout")</f>
        <v>164.33821780873996</v>
      </c>
      <c r="P3" s="11">
        <f>SUMIFS('COM results'!$G:$G,'COM results'!$D:$D,$M3,'COM results'!$F:$F,P$2,'COM results'!$B:$B,"VAR_Fout")</f>
        <v>175.94294371322442</v>
      </c>
      <c r="Q3" s="11">
        <f>SUMIFS('COM results'!$G:$G,'COM results'!$D:$D,$M3,'COM results'!$F:$F,Q$2,'COM results'!$B:$B,"VAR_Fout")</f>
        <v>95.974842345331609</v>
      </c>
      <c r="R3" s="11">
        <f>SUMIFS('COM results'!$G:$G,'COM results'!$D:$D,$M3,'COM results'!$F:$F,R$2,'COM results'!$B:$B,"VAR_Fout")</f>
        <v>640.49584718756944</v>
      </c>
      <c r="S3" s="11">
        <f>SUMIFS('COM results'!$G:$G,'COM results'!$D:$D,$M3,'COM results'!$F:$F,S$2,'COM results'!$B:$B,"VAR_Fout")</f>
        <v>151.86447491273779</v>
      </c>
      <c r="T3" s="11">
        <f>SUMIFS('COM results'!$G:$G,'COM results'!$D:$D,$M3,'COM results'!$F:$F,T$2,'COM results'!$B:$B,"VAR_Fout")</f>
        <v>446.54526536440517</v>
      </c>
      <c r="U3" s="11">
        <f>SUMIFS('COM results'!$G:$G,'COM results'!$D:$D,$M3,'COM results'!$F:$F,U$2,'COM results'!$B:$B,"VAR_Fout")</f>
        <v>110.09750621546041</v>
      </c>
      <c r="V3" s="11">
        <f>SUMIFS('COM results'!$G:$G,'COM results'!$D:$D,$M3,'COM results'!$F:$F,V$2,'COM results'!$B:$B,"VAR_Fout")</f>
        <v>136.21116957852374</v>
      </c>
    </row>
    <row r="4" spans="1:23" x14ac:dyDescent="0.3">
      <c r="A4" s="15" t="s">
        <v>12</v>
      </c>
      <c r="B4" s="15" t="s">
        <v>14</v>
      </c>
      <c r="C4" s="19">
        <f>(SUMIFS('COM results'!$G:$G,'COM results'!$D:$D,"CSC",'COM results'!$F:$F,C$2,'COM results'!$A:$A,"NHP",'COM results'!$B:$B,"VAR_Fout")+SUMIFS('COM results'!$G:$G,'COM results'!$D:$D,"CSC",'COM results'!$F:$F,C$2,'COM results'!$A:$A,"NRC",'COM results'!$B:$B,"VAR_Fout")+SUMIFS('COM results'!$G:$G,'COM results'!$D:$D,"CSC",'COM results'!$F:$F,C$2,'COM results'!$A:$A,"CHA",'COM results'!$B:$B,"VAR_Fout")+SUMIFS('COM results'!$G:$G,'COM results'!$D:$D,"CSC",'COM results'!$F:$F,C$2,'COM results'!$A:$A,"CHE",'COM results'!$B:$B,"VAR_Fout"))/N3</f>
        <v>2.8018561792313976E-2</v>
      </c>
      <c r="D4" s="19">
        <f>(SUMIFS('COM results'!$G:$G,'COM results'!$D:$D,"CSC",'COM results'!$F:$F,D$2,'COM results'!$A:$A,"NHP",'COM results'!$B:$B,"VAR_Fout")+SUMIFS('COM results'!$G:$G,'COM results'!$D:$D,"CSC",'COM results'!$F:$F,D$2,'COM results'!$A:$A,"NRC",'COM results'!$B:$B,"VAR_Fout")+SUMIFS('COM results'!$G:$G,'COM results'!$D:$D,"CSC",'COM results'!$F:$F,D$2,'COM results'!$A:$A,"CHA",'COM results'!$B:$B,"VAR_Fout")+SUMIFS('COM results'!$G:$G,'COM results'!$D:$D,"CSC",'COM results'!$F:$F,D$2,'COM results'!$A:$A,"CHE",'COM results'!$B:$B,"VAR_Fout"))/O3</f>
        <v>1.9625929837659997E-2</v>
      </c>
      <c r="E4" s="19">
        <f>(SUMIFS('COM results'!$G:$G,'COM results'!$D:$D,"CSC",'COM results'!$F:$F,E$2,'COM results'!$A:$A,"NHP",'COM results'!$B:$B,"VAR_Fout")+SUMIFS('COM results'!$G:$G,'COM results'!$D:$D,"CSC",'COM results'!$F:$F,E$2,'COM results'!$A:$A,"NRC",'COM results'!$B:$B,"VAR_Fout")+SUMIFS('COM results'!$G:$G,'COM results'!$D:$D,"CSC",'COM results'!$F:$F,E$2,'COM results'!$A:$A,"CHA",'COM results'!$B:$B,"VAR_Fout")+SUMIFS('COM results'!$G:$G,'COM results'!$D:$D,"CSC",'COM results'!$F:$F,E$2,'COM results'!$A:$A,"CHE",'COM results'!$B:$B,"VAR_Fout"))/P3</f>
        <v>2.5269356712446303E-2</v>
      </c>
      <c r="F4" s="19">
        <f>(SUMIFS('COM results'!$G:$G,'COM results'!$D:$D,"CSC",'COM results'!$F:$F,F$2,'COM results'!$A:$A,"NHP",'COM results'!$B:$B,"VAR_Fout")+SUMIFS('COM results'!$G:$G,'COM results'!$D:$D,"CSC",'COM results'!$F:$F,F$2,'COM results'!$A:$A,"NRC",'COM results'!$B:$B,"VAR_Fout")+SUMIFS('COM results'!$G:$G,'COM results'!$D:$D,"CSC",'COM results'!$F:$F,F$2,'COM results'!$A:$A,"CHA",'COM results'!$B:$B,"VAR_Fout")+SUMIFS('COM results'!$G:$G,'COM results'!$D:$D,"CSC",'COM results'!$F:$F,F$2,'COM results'!$A:$A,"CHE",'COM results'!$B:$B,"VAR_Fout"))/Q3</f>
        <v>1.0711173475022478E-3</v>
      </c>
      <c r="G4" s="19">
        <f>(SUMIFS('COM results'!$G:$G,'COM results'!$D:$D,"CSC",'COM results'!$F:$F,G$2,'COM results'!$A:$A,"NHP",'COM results'!$B:$B,"VAR_Fout")+SUMIFS('COM results'!$G:$G,'COM results'!$D:$D,"CSC",'COM results'!$F:$F,G$2,'COM results'!$A:$A,"NRC",'COM results'!$B:$B,"VAR_Fout")+SUMIFS('COM results'!$G:$G,'COM results'!$D:$D,"CSC",'COM results'!$F:$F,G$2,'COM results'!$A:$A,"CHA",'COM results'!$B:$B,"VAR_Fout")+SUMIFS('COM results'!$G:$G,'COM results'!$D:$D,"CSC",'COM results'!$F:$F,G$2,'COM results'!$A:$A,"CHE",'COM results'!$B:$B,"VAR_Fout"))/R3</f>
        <v>3.9358244370351824E-3</v>
      </c>
      <c r="H4" s="19">
        <f>(SUMIFS('COM results'!$G:$G,'COM results'!$D:$D,"CSC",'COM results'!$F:$F,H$2,'COM results'!$A:$A,"NHP",'COM results'!$B:$B,"VAR_Fout")+SUMIFS('COM results'!$G:$G,'COM results'!$D:$D,"CSC",'COM results'!$F:$F,H$2,'COM results'!$A:$A,"NRC",'COM results'!$B:$B,"VAR_Fout")+SUMIFS('COM results'!$G:$G,'COM results'!$D:$D,"CSC",'COM results'!$F:$F,H$2,'COM results'!$A:$A,"CHA",'COM results'!$B:$B,"VAR_Fout")+SUMIFS('COM results'!$G:$G,'COM results'!$D:$D,"CSC",'COM results'!$F:$F,H$2,'COM results'!$A:$A,"CHE",'COM results'!$B:$B,"VAR_Fout"))/S3</f>
        <v>8.1351777749843323E-3</v>
      </c>
      <c r="I4" s="19">
        <f>(SUMIFS('COM results'!$G:$G,'COM results'!$D:$D,"CSC",'COM results'!$F:$F,I$2,'COM results'!$A:$A,"NHP",'COM results'!$B:$B,"VAR_Fout")+SUMIFS('COM results'!$G:$G,'COM results'!$D:$D,"CSC",'COM results'!$F:$F,I$2,'COM results'!$A:$A,"NRC",'COM results'!$B:$B,"VAR_Fout")+SUMIFS('COM results'!$G:$G,'COM results'!$D:$D,"CSC",'COM results'!$F:$F,I$2,'COM results'!$A:$A,"CHA",'COM results'!$B:$B,"VAR_Fout")+SUMIFS('COM results'!$G:$G,'COM results'!$D:$D,"CSC",'COM results'!$F:$F,I$2,'COM results'!$A:$A,"CHE",'COM results'!$B:$B,"VAR_Fout"))/T3</f>
        <v>1.2579701457567725E-3</v>
      </c>
      <c r="J4" s="19">
        <f>(SUMIFS('COM results'!$G:$G,'COM results'!$D:$D,"CSC",'COM results'!$F:$F,J$2,'COM results'!$A:$A,"NHP",'COM results'!$B:$B,"VAR_Fout")+SUMIFS('COM results'!$G:$G,'COM results'!$D:$D,"CSC",'COM results'!$F:$F,J$2,'COM results'!$A:$A,"NRC",'COM results'!$B:$B,"VAR_Fout")+SUMIFS('COM results'!$G:$G,'COM results'!$D:$D,"CSC",'COM results'!$F:$F,J$2,'COM results'!$A:$A,"CHA",'COM results'!$B:$B,"VAR_Fout")+SUMIFS('COM results'!$G:$G,'COM results'!$D:$D,"CSC",'COM results'!$F:$F,J$2,'COM results'!$A:$A,"CHE",'COM results'!$B:$B,"VAR_Fout"))/U3</f>
        <v>1.5632612907561138E-2</v>
      </c>
      <c r="K4" s="19">
        <f>(SUMIFS('COM results'!$G:$G,'COM results'!$D:$D,"CSC",'COM results'!$F:$F,K$2,'COM results'!$A:$A,"NHP",'COM results'!$B:$B,"VAR_Fout")+SUMIFS('COM results'!$G:$G,'COM results'!$D:$D,"CSC",'COM results'!$F:$F,K$2,'COM results'!$A:$A,"NRC",'COM results'!$B:$B,"VAR_Fout")+SUMIFS('COM results'!$G:$G,'COM results'!$D:$D,"CSC",'COM results'!$F:$F,K$2,'COM results'!$A:$A,"CHA",'COM results'!$B:$B,"VAR_Fout")+SUMIFS('COM results'!$G:$G,'COM results'!$D:$D,"CSC",'COM results'!$F:$F,K$2,'COM results'!$A:$A,"CHE",'COM results'!$B:$B,"VAR_Fout"))/V3</f>
        <v>4.353662406548291E-3</v>
      </c>
      <c r="M4" t="s">
        <v>277</v>
      </c>
      <c r="N4" s="11">
        <f>SUMIFS('COM results'!$G:$G,'COM results'!$D:$D,$M4,'COM results'!$F:$F,N$2,'COM results'!$B:$B,"VAR_Fout")</f>
        <v>10.583499620304201</v>
      </c>
      <c r="O4" s="11">
        <f>SUMIFS('COM results'!$G:$G,'COM results'!$D:$D,$M4,'COM results'!$F:$F,O$2,'COM results'!$B:$B,"VAR_Fout")</f>
        <v>27.632233318283678</v>
      </c>
      <c r="P4" s="11">
        <f>SUMIFS('COM results'!$G:$G,'COM results'!$D:$D,$M4,'COM results'!$F:$F,P$2,'COM results'!$B:$B,"VAR_Fout")</f>
        <v>31.347036764740977</v>
      </c>
      <c r="Q4" s="11">
        <f>SUMIFS('COM results'!$G:$G,'COM results'!$D:$D,$M4,'COM results'!$F:$F,Q$2,'COM results'!$B:$B,"VAR_Fout")</f>
        <v>15.1987123789491</v>
      </c>
      <c r="R4" s="11">
        <f>SUMIFS('COM results'!$G:$G,'COM results'!$D:$D,$M4,'COM results'!$F:$F,R$2,'COM results'!$B:$B,"VAR_Fout")</f>
        <v>44.235682629634901</v>
      </c>
      <c r="S4" s="11">
        <f>SUMIFS('COM results'!$G:$G,'COM results'!$D:$D,$M4,'COM results'!$F:$F,S$2,'COM results'!$B:$B,"VAR_Fout")</f>
        <v>12.064500729421599</v>
      </c>
      <c r="T4" s="11">
        <f>SUMIFS('COM results'!$G:$G,'COM results'!$D:$D,$M4,'COM results'!$F:$F,T$2,'COM results'!$B:$B,"VAR_Fout")</f>
        <v>28.030775144989697</v>
      </c>
      <c r="U4" s="11">
        <f>SUMIFS('COM results'!$G:$G,'COM results'!$D:$D,$M4,'COM results'!$F:$F,U$2,'COM results'!$B:$B,"VAR_Fout")</f>
        <v>12.2539311038436</v>
      </c>
      <c r="V4" s="11">
        <f>SUMIFS('COM results'!$G:$G,'COM results'!$D:$D,$M4,'COM results'!$F:$F,V$2,'COM results'!$B:$B,"VAR_Fout")</f>
        <v>32.914142589504706</v>
      </c>
    </row>
    <row r="5" spans="1:23" x14ac:dyDescent="0.3">
      <c r="A5" s="15" t="s">
        <v>15</v>
      </c>
      <c r="B5" s="15" t="s">
        <v>17</v>
      </c>
      <c r="C5" s="19">
        <f>(SUMIFS('COM results'!$G:$G,'COM results'!$D:$D,"CSC",'COM results'!$F:$F,C$2,'COM results'!$A:$A,"RAC",'COM results'!$B:$B,"VAR_Fout")+SUMIFS('COM results'!$G:$G,'COM results'!$D:$D,"CSC",'COM results'!$F:$F,C$2,'COM results'!$A:$A,"NRC",'COM results'!$B:$B,"VAR_Fout"))/N3</f>
        <v>0.45413909503293409</v>
      </c>
      <c r="D5" s="19">
        <f>(SUMIFS('COM results'!$G:$G,'COM results'!$D:$D,"CSC",'COM results'!$F:$F,D$2,'COM results'!$A:$A,"RAC",'COM results'!$B:$B,"VAR_Fout")+SUMIFS('COM results'!$G:$G,'COM results'!$D:$D,"CSC",'COM results'!$F:$F,D$2,'COM results'!$A:$A,"NRC",'COM results'!$B:$B,"VAR_Fout"))/O3</f>
        <v>0.4971985068291026</v>
      </c>
      <c r="E5" s="19">
        <f>(SUMIFS('COM results'!$G:$G,'COM results'!$D:$D,"CSC",'COM results'!$F:$F,E$2,'COM results'!$A:$A,"RAC",'COM results'!$B:$B,"VAR_Fout")+SUMIFS('COM results'!$G:$G,'COM results'!$D:$D,"CSC",'COM results'!$F:$F,E$2,'COM results'!$A:$A,"NRC",'COM results'!$B:$B,"VAR_Fout"))/P3</f>
        <v>0.45098582548373295</v>
      </c>
      <c r="F5" s="19">
        <f>(SUMIFS('COM results'!$G:$G,'COM results'!$D:$D,"CSC",'COM results'!$F:$F,F$2,'COM results'!$A:$A,"RAC",'COM results'!$B:$B,"VAR_Fout")+SUMIFS('COM results'!$G:$G,'COM results'!$D:$D,"CSC",'COM results'!$F:$F,F$2,'COM results'!$A:$A,"NRC",'COM results'!$B:$B,"VAR_Fout"))/Q3</f>
        <v>0.49406009193794803</v>
      </c>
      <c r="G5" s="19">
        <f>(SUMIFS('COM results'!$G:$G,'COM results'!$D:$D,"CSC",'COM results'!$F:$F,G$2,'COM results'!$A:$A,"RAC",'COM results'!$B:$B,"VAR_Fout")+SUMIFS('COM results'!$G:$G,'COM results'!$D:$D,"CSC",'COM results'!$F:$F,G$2,'COM results'!$A:$A,"NRC",'COM results'!$B:$B,"VAR_Fout"))/R3</f>
        <v>0.40490655279975452</v>
      </c>
      <c r="H5" s="19">
        <f>(SUMIFS('COM results'!$G:$G,'COM results'!$D:$D,"CSC",'COM results'!$F:$F,H$2,'COM results'!$A:$A,"RAC",'COM results'!$B:$B,"VAR_Fout")+SUMIFS('COM results'!$G:$G,'COM results'!$D:$D,"CSC",'COM results'!$F:$F,H$2,'COM results'!$A:$A,"NRC",'COM results'!$B:$B,"VAR_Fout"))/S3</f>
        <v>0.47963166229514986</v>
      </c>
      <c r="I5" s="19">
        <f>(SUMIFS('COM results'!$G:$G,'COM results'!$D:$D,"CSC",'COM results'!$F:$F,I$2,'COM results'!$A:$A,"RAC",'COM results'!$B:$B,"VAR_Fout")+SUMIFS('COM results'!$G:$G,'COM results'!$D:$D,"CSC",'COM results'!$F:$F,I$2,'COM results'!$A:$A,"NRC",'COM results'!$B:$B,"VAR_Fout"))/T3</f>
        <v>0.47525934762296485</v>
      </c>
      <c r="J5" s="19">
        <f>(SUMIFS('COM results'!$G:$G,'COM results'!$D:$D,"CSC",'COM results'!$F:$F,J$2,'COM results'!$A:$A,"RAC",'COM results'!$B:$B,"VAR_Fout")+SUMIFS('COM results'!$G:$G,'COM results'!$D:$D,"CSC",'COM results'!$F:$F,J$2,'COM results'!$A:$A,"NRC",'COM results'!$B:$B,"VAR_Fout"))/U3</f>
        <v>0.43057836794754895</v>
      </c>
      <c r="K5" s="19">
        <f>(SUMIFS('COM results'!$G:$G,'COM results'!$D:$D,"CSC",'COM results'!$F:$F,K$2,'COM results'!$A:$A,"RAC",'COM results'!$B:$B,"VAR_Fout")+SUMIFS('COM results'!$G:$G,'COM results'!$D:$D,"CSC",'COM results'!$F:$F,K$2,'COM results'!$A:$A,"NRC",'COM results'!$B:$B,"VAR_Fout"))/V3</f>
        <v>0.5146853362529602</v>
      </c>
      <c r="M5" t="s">
        <v>281</v>
      </c>
      <c r="N5" s="11">
        <f>SUMIFS('COM results'!$G:$G,'COM results'!$D:$D,$M5,'COM results'!$F:$F,N$2,'COM results'!$B:$B,"VAR_Fout")</f>
        <v>119.89630939661204</v>
      </c>
      <c r="O5" s="11">
        <f>SUMIFS('COM results'!$G:$G,'COM results'!$D:$D,$M5,'COM results'!$F:$F,O$2,'COM results'!$B:$B,"VAR_Fout")</f>
        <v>330.03368041884187</v>
      </c>
      <c r="P5" s="11">
        <f>SUMIFS('COM results'!$G:$G,'COM results'!$D:$D,$M5,'COM results'!$F:$F,P$2,'COM results'!$B:$B,"VAR_Fout")</f>
        <v>370.9504214222369</v>
      </c>
      <c r="Q5" s="11">
        <f>SUMIFS('COM results'!$G:$G,'COM results'!$D:$D,$M5,'COM results'!$F:$F,Q$2,'COM results'!$B:$B,"VAR_Fout")</f>
        <v>190.74813106869658</v>
      </c>
      <c r="R5" s="11">
        <f>SUMIFS('COM results'!$G:$G,'COM results'!$D:$D,$M5,'COM results'!$F:$F,R$2,'COM results'!$B:$B,"VAR_Fout")</f>
        <v>268.35339119970558</v>
      </c>
      <c r="S5" s="11">
        <f>SUMIFS('COM results'!$G:$G,'COM results'!$D:$D,$M5,'COM results'!$F:$F,S$2,'COM results'!$B:$B,"VAR_Fout")</f>
        <v>92.043401502031827</v>
      </c>
      <c r="T5" s="11">
        <f>SUMIFS('COM results'!$G:$G,'COM results'!$D:$D,$M5,'COM results'!$F:$F,T$2,'COM results'!$B:$B,"VAR_Fout")</f>
        <v>132.72045939947148</v>
      </c>
      <c r="U5" s="11">
        <f>SUMIFS('COM results'!$G:$G,'COM results'!$D:$D,$M5,'COM results'!$F:$F,U$2,'COM results'!$B:$B,"VAR_Fout")</f>
        <v>114.01734531218604</v>
      </c>
      <c r="V5" s="11">
        <f>SUMIFS('COM results'!$G:$G,'COM results'!$D:$D,$M5,'COM results'!$F:$F,V$2,'COM results'!$B:$B,"VAR_Fout")</f>
        <v>180.77738461280643</v>
      </c>
    </row>
    <row r="6" spans="1:23" x14ac:dyDescent="0.3">
      <c r="A6" s="15" t="s">
        <v>18</v>
      </c>
      <c r="B6" s="15" t="s">
        <v>20</v>
      </c>
      <c r="C6" s="19">
        <f>(SUMIFS('COM results'!$G:$G,'COM results'!$D:$D,"CSC",'COM results'!$F:$F,C$2,'COM results'!$A:$A,"CAC",'COM results'!$B:$B,"VAR_Fout")/N3)</f>
        <v>9.1648478129394695E-2</v>
      </c>
      <c r="D6" s="19">
        <f>(SUMIFS('COM results'!$G:$G,'COM results'!$D:$D,"CSC",'COM results'!$F:$F,D$2,'COM results'!$A:$A,"CAC",'COM results'!$B:$B,"VAR_Fout")/O3)</f>
        <v>8.2092542456946471E-2</v>
      </c>
      <c r="E6" s="19">
        <f>(SUMIFS('COM results'!$G:$G,'COM results'!$D:$D,"CSC",'COM results'!$F:$F,E$2,'COM results'!$A:$A,"CAC",'COM results'!$B:$B,"VAR_Fout")/P3)</f>
        <v>0.17495477418101266</v>
      </c>
      <c r="F6" s="19">
        <f>(SUMIFS('COM results'!$G:$G,'COM results'!$D:$D,"CSC",'COM results'!$F:$F,F$2,'COM results'!$A:$A,"CAC",'COM results'!$B:$B,"VAR_Fout")/Q3)</f>
        <v>0.21696147531871682</v>
      </c>
      <c r="G6" s="19">
        <f>(SUMIFS('COM results'!$G:$G,'COM results'!$D:$D,"CSC",'COM results'!$F:$F,G$2,'COM results'!$A:$A,"CAC",'COM results'!$B:$B,"VAR_Fout")/R3)</f>
        <v>0.10271777156164696</v>
      </c>
      <c r="H6" s="19">
        <f>(SUMIFS('COM results'!$G:$G,'COM results'!$D:$D,"CSC",'COM results'!$F:$F,H$2,'COM results'!$A:$A,"CAC",'COM results'!$B:$B,"VAR_Fout")/S3)</f>
        <v>0.14742404278284271</v>
      </c>
      <c r="I6" s="19">
        <f>(SUMIFS('COM results'!$G:$G,'COM results'!$D:$D,"CSC",'COM results'!$F:$F,I$2,'COM results'!$A:$A,"CAC",'COM results'!$B:$B,"VAR_Fout")/T3)</f>
        <v>0.20061155702044922</v>
      </c>
      <c r="J6" s="19">
        <f>(SUMIFS('COM results'!$G:$G,'COM results'!$D:$D,"CSC",'COM results'!$F:$F,J$2,'COM results'!$A:$A,"CAC",'COM results'!$B:$B,"VAR_Fout")/U3)</f>
        <v>0.12255657505216522</v>
      </c>
      <c r="K6" s="19">
        <f>(SUMIFS('COM results'!$G:$G,'COM results'!$D:$D,"CSC",'COM results'!$F:$F,K$2,'COM results'!$A:$A,"CAC",'COM results'!$B:$B,"VAR_Fout")/V3)</f>
        <v>0.1244767757947091</v>
      </c>
      <c r="M6" t="s">
        <v>283</v>
      </c>
      <c r="N6" s="11">
        <f>SUMIFS('COM results'!$G:$G,'COM results'!$D:$D,$M6,'COM results'!$F:$F,N$2,'COM results'!$B:$B,"VAR_Fout")</f>
        <v>24.099554107174775</v>
      </c>
      <c r="O6" s="11">
        <f>SUMIFS('COM results'!$G:$G,'COM results'!$D:$D,$M6,'COM results'!$F:$F,O$2,'COM results'!$B:$B,"VAR_Fout")</f>
        <v>62.921011560155023</v>
      </c>
      <c r="P6" s="11">
        <f>SUMIFS('COM results'!$G:$G,'COM results'!$D:$D,$M6,'COM results'!$F:$F,P$2,'COM results'!$B:$B,"VAR_Fout")</f>
        <v>71.379943847889521</v>
      </c>
      <c r="Q6" s="11">
        <f>SUMIFS('COM results'!$G:$G,'COM results'!$D:$D,$M6,'COM results'!$F:$F,Q$2,'COM results'!$B:$B,"VAR_Fout")</f>
        <v>34.608797134850157</v>
      </c>
      <c r="R6" s="11">
        <f>SUMIFS('COM results'!$G:$G,'COM results'!$D:$D,$M6,'COM results'!$F:$F,R$2,'COM results'!$B:$B,"VAR_Fout")</f>
        <v>100.36264668104543</v>
      </c>
      <c r="S6" s="11">
        <f>SUMIFS('COM results'!$G:$G,'COM results'!$D:$D,$M6,'COM results'!$F:$F,S$2,'COM results'!$B:$B,"VAR_Fout")</f>
        <v>27.471923138443817</v>
      </c>
      <c r="T6" s="11">
        <f>SUMIFS('COM results'!$G:$G,'COM results'!$D:$D,$M6,'COM results'!$F:$F,T$2,'COM results'!$B:$B,"VAR_Fout")</f>
        <v>63.828526149964972</v>
      </c>
      <c r="U6" s="11">
        <f>SUMIFS('COM results'!$G:$G,'COM results'!$D:$D,$M6,'COM results'!$F:$F,U$2,'COM results'!$B:$B,"VAR_Fout")</f>
        <v>27.903272665699141</v>
      </c>
      <c r="V6" s="11">
        <f>SUMIFS('COM results'!$G:$G,'COM results'!$D:$D,$M6,'COM results'!$F:$F,V$2,'COM results'!$B:$B,"VAR_Fout")</f>
        <v>74.948380846092832</v>
      </c>
    </row>
    <row r="7" spans="1:23" x14ac:dyDescent="0.3">
      <c r="A7" s="15" t="s">
        <v>21</v>
      </c>
      <c r="B7" s="15" t="s">
        <v>23</v>
      </c>
      <c r="C7" s="19">
        <f>(SUMIFS('COM results'!$G:$G,'COM results'!$D:$D,"CSC",'COM results'!$F:$F,C$2,'COM results'!$A:$A,"WAC",'COM results'!$B:$B,"VAR_Fout")/N3)</f>
        <v>0.12377795633948947</v>
      </c>
      <c r="D7" s="19">
        <f>(SUMIFS('COM results'!$G:$G,'COM results'!$D:$D,"CSC",'COM results'!$F:$F,D$2,'COM results'!$A:$A,"WAC",'COM results'!$B:$B,"VAR_Fout")/O3)</f>
        <v>0.10597864168386248</v>
      </c>
      <c r="E7" s="19">
        <f>(SUMIFS('COM results'!$G:$G,'COM results'!$D:$D,"CSC",'COM results'!$F:$F,E$2,'COM results'!$A:$A,"WAC",'COM results'!$B:$B,"VAR_Fout")/P3)</f>
        <v>4.4236815129410356E-2</v>
      </c>
      <c r="F7" s="19">
        <f>(SUMIFS('COM results'!$G:$G,'COM results'!$D:$D,"CSC",'COM results'!$F:$F,F$2,'COM results'!$A:$A,"WAC",'COM results'!$B:$B,"VAR_Fout")/Q3)</f>
        <v>4.2785417060704746E-2</v>
      </c>
      <c r="G7" s="19">
        <f>(SUMIFS('COM results'!$G:$G,'COM results'!$D:$D,"CSC",'COM results'!$F:$F,G$2,'COM results'!$A:$A,"WAC",'COM results'!$B:$B,"VAR_Fout")/R3)</f>
        <v>5.8733158432211122E-2</v>
      </c>
      <c r="H7" s="19">
        <f>(SUMIFS('COM results'!$G:$G,'COM results'!$D:$D,"CSC",'COM results'!$F:$F,H$2,'COM results'!$A:$A,"WAC",'COM results'!$B:$B,"VAR_Fout")/S3)</f>
        <v>7.732950985968999E-2</v>
      </c>
      <c r="I7" s="19">
        <f>(SUMIFS('COM results'!$G:$G,'COM results'!$D:$D,"CSC",'COM results'!$F:$F,I$2,'COM results'!$A:$A,"WAC",'COM results'!$B:$B,"VAR_Fout")/T3)</f>
        <v>5.2293925152249288E-2</v>
      </c>
      <c r="J7" s="19">
        <f>(SUMIFS('COM results'!$G:$G,'COM results'!$D:$D,"CSC",'COM results'!$F:$F,J$2,'COM results'!$A:$A,"WAC",'COM results'!$B:$B,"VAR_Fout")/U3)</f>
        <v>0.12907884796790053</v>
      </c>
      <c r="K7" s="19">
        <f>(SUMIFS('COM results'!$G:$G,'COM results'!$D:$D,"CSC",'COM results'!$F:$F,K$2,'COM results'!$A:$A,"WAC",'COM results'!$B:$B,"VAR_Fout")/V3)</f>
        <v>7.4340197474579567E-2</v>
      </c>
      <c r="M7" t="s">
        <v>282</v>
      </c>
      <c r="N7" s="11">
        <f>SUMIFS('COM results'!$G:$G,'COM results'!$D:$D,$M7,'COM results'!$F:$F,N$2,'COM results'!$B:$B,"VAR_Fout")</f>
        <v>14.217512288943098</v>
      </c>
      <c r="O7" s="11">
        <f>SUMIFS('COM results'!$G:$G,'COM results'!$D:$D,$M7,'COM results'!$F:$F,O$2,'COM results'!$B:$B,"VAR_Fout")</f>
        <v>37.120199448955901</v>
      </c>
      <c r="P7" s="11">
        <f>SUMIFS('COM results'!$G:$G,'COM results'!$D:$D,$M7,'COM results'!$F:$F,P$2,'COM results'!$B:$B,"VAR_Fout")</f>
        <v>42.110539652652804</v>
      </c>
      <c r="Q7" s="11">
        <f>SUMIFS('COM results'!$G:$G,'COM results'!$D:$D,$M7,'COM results'!$F:$F,Q$2,'COM results'!$B:$B,"VAR_Fout")</f>
        <v>20.417431641350561</v>
      </c>
      <c r="R7" s="11">
        <f>SUMIFS('COM results'!$G:$G,'COM results'!$D:$D,$M7,'COM results'!$F:$F,R$2,'COM results'!$B:$B,"VAR_Fout")</f>
        <v>59.424706756737606</v>
      </c>
      <c r="S7" s="11">
        <f>SUMIFS('COM results'!$G:$G,'COM results'!$D:$D,$M7,'COM results'!$F:$F,S$2,'COM results'!$B:$B,"VAR_Fout")</f>
        <v>16.207038648297662</v>
      </c>
      <c r="T7" s="11">
        <f>SUMIFS('COM results'!$G:$G,'COM results'!$D:$D,$M7,'COM results'!$F:$F,T$2,'COM results'!$B:$B,"VAR_Fout")</f>
        <v>37.655586941008202</v>
      </c>
      <c r="U7" s="11">
        <f>SUMIFS('COM results'!$G:$G,'COM results'!$D:$D,$M7,'COM results'!$F:$F,U$2,'COM results'!$B:$B,"VAR_Fout")</f>
        <v>16.790743209077078</v>
      </c>
      <c r="V7" s="11">
        <f>SUMIFS('COM results'!$G:$G,'COM results'!$D:$D,$M7,'COM results'!$F:$F,V$2,'COM results'!$B:$B,"VAR_Fout")</f>
        <v>44.2157361491792</v>
      </c>
      <c r="W7" s="11">
        <f>SUM(N7:V7)</f>
        <v>288.15949473620213</v>
      </c>
    </row>
    <row r="8" spans="1:23" x14ac:dyDescent="0.3">
      <c r="A8" s="15" t="s">
        <v>24</v>
      </c>
      <c r="B8" s="15" t="s">
        <v>26</v>
      </c>
      <c r="C8" s="19">
        <f>(SUMIFS('COM results'!$G:$G,'COM results'!$D:$D,"CSC",'COM results'!$F:$F,C$2,'COM results'!$A:$A,"GHP",'COM results'!$B:$B,"VAR_Fout")/N3)</f>
        <v>1.881140559170227E-2</v>
      </c>
      <c r="D8" s="19">
        <f>(SUMIFS('COM results'!$G:$G,'COM results'!$D:$D,"CSC",'COM results'!$F:$F,D$2,'COM results'!$A:$A,"GHP",'COM results'!$B:$B,"VAR_Fout")/O3)</f>
        <v>1.6415287758664385E-2</v>
      </c>
      <c r="E8" s="19">
        <f>(SUMIFS('COM results'!$G:$G,'COM results'!$D:$D,"CSC",'COM results'!$F:$F,E$2,'COM results'!$A:$A,"GHP",'COM results'!$B:$B,"VAR_Fout")/P3)</f>
        <v>8.2709983905766091E-3</v>
      </c>
      <c r="F8" s="19">
        <f>(SUMIFS('COM results'!$G:$G,'COM results'!$D:$D,"CSC",'COM results'!$F:$F,F$2,'COM results'!$A:$A,"GHP",'COM results'!$B:$B,"VAR_Fout")/Q3)</f>
        <v>1.3942309409306658E-2</v>
      </c>
      <c r="G8" s="19">
        <f>(SUMIFS('COM results'!$G:$G,'COM results'!$D:$D,"CSC",'COM results'!$F:$F,G$2,'COM results'!$A:$A,"GHP",'COM results'!$B:$B,"VAR_Fout")/R3)</f>
        <v>5.4657806619709697E-2</v>
      </c>
      <c r="H8" s="19">
        <f>(SUMIFS('COM results'!$G:$G,'COM results'!$D:$D,"CSC",'COM results'!$F:$F,H$2,'COM results'!$A:$A,"GHP",'COM results'!$B:$B,"VAR_Fout")/S3)</f>
        <v>3.9692874559914278E-2</v>
      </c>
      <c r="I8" s="19">
        <f>(SUMIFS('COM results'!$G:$G,'COM results'!$D:$D,"CSC",'COM results'!$F:$F,I$2,'COM results'!$A:$A,"GHP",'COM results'!$B:$B,"VAR_Fout")/T3)</f>
        <v>2.2156619762135926E-2</v>
      </c>
      <c r="J8" s="19">
        <f>(SUMIFS('COM results'!$G:$G,'COM results'!$D:$D,"CSC",'COM results'!$F:$F,J$2,'COM results'!$A:$A,"GHP",'COM results'!$B:$B,"VAR_Fout")/U3)</f>
        <v>2.6417638438436968E-2</v>
      </c>
      <c r="K8" s="19">
        <f>(SUMIFS('COM results'!$G:$G,'COM results'!$D:$D,"CSC",'COM results'!$F:$F,K$2,'COM results'!$A:$A,"GHP",'COM results'!$B:$B,"VAR_Fout")/V3)</f>
        <v>3.6728985446600269E-2</v>
      </c>
      <c r="M8" t="s">
        <v>279</v>
      </c>
      <c r="N8" s="11">
        <f>SUMIFS('COM results'!$G:$G,'COM results'!$D:$D,$M8,'COM results'!$F:$F,N$2,'COM results'!$B:$B,"VAR_Fout")</f>
        <v>83.458781276979394</v>
      </c>
      <c r="O8" s="11">
        <f>SUMIFS('COM results'!$G:$G,'COM results'!$D:$D,$M8,'COM results'!$F:$F,O$2,'COM results'!$B:$B,"VAR_Fout")</f>
        <v>217.90075111646502</v>
      </c>
      <c r="P8" s="11">
        <f>SUMIFS('COM results'!$G:$G,'COM results'!$D:$D,$M8,'COM results'!$F:$F,P$2,'COM results'!$B:$B,"VAR_Fout")</f>
        <v>247.194744544694</v>
      </c>
      <c r="Q8" s="11">
        <f>SUMIFS('COM results'!$G:$G,'COM results'!$D:$D,$M8,'COM results'!$F:$F,Q$2,'COM results'!$B:$B,"VAR_Fout")</f>
        <v>119.85317311231501</v>
      </c>
      <c r="R8" s="11">
        <f>SUMIFS('COM results'!$G:$G,'COM results'!$D:$D,$M8,'COM results'!$F:$F,R$2,'COM results'!$B:$B,"VAR_Fout")</f>
        <v>348.83132174369308</v>
      </c>
      <c r="S8" s="11">
        <f>SUMIFS('COM results'!$G:$G,'COM results'!$D:$D,$M8,'COM results'!$F:$F,S$2,'COM results'!$B:$B,"VAR_Fout")</f>
        <v>95.137578656975194</v>
      </c>
      <c r="T8" s="11">
        <f>SUMIFS('COM results'!$G:$G,'COM results'!$D:$D,$M8,'COM results'!$F:$F,T$2,'COM results'!$B:$B,"VAR_Fout")</f>
        <v>221.043550411414</v>
      </c>
      <c r="U8" s="11">
        <f>SUMIFS('COM results'!$G:$G,'COM results'!$D:$D,$M8,'COM results'!$F:$F,U$2,'COM results'!$B:$B,"VAR_Fout")</f>
        <v>96.631378321858321</v>
      </c>
      <c r="V8" s="11">
        <f>SUMIFS('COM results'!$G:$G,'COM results'!$D:$D,$M8,'COM results'!$F:$F,V$2,'COM results'!$B:$B,"VAR_Fout")</f>
        <v>259.55254177236299</v>
      </c>
      <c r="W8" s="11">
        <f t="shared" ref="W8:W9" si="1">SUM(N8:V8)</f>
        <v>1689.6038209567569</v>
      </c>
    </row>
    <row r="9" spans="1:23" x14ac:dyDescent="0.3">
      <c r="A9" s="15" t="s">
        <v>27</v>
      </c>
      <c r="B9" s="15" t="s">
        <v>29</v>
      </c>
      <c r="C9" s="19">
        <f>(SUMIFS('COM results'!$G:$G,'COM results'!$D:$D,"CSC",'COM results'!$F:$F,C$2,'COM results'!$A:$A,"AHP",'COM results'!$B:$B,"VAR_Fout")/N3)</f>
        <v>4.8372185807234382E-2</v>
      </c>
      <c r="D9" s="19">
        <f>(SUMIFS('COM results'!$G:$G,'COM results'!$D:$D,"CSC",'COM results'!$F:$F,D$2,'COM results'!$A:$A,"AHP",'COM results'!$B:$B,"VAR_Fout")/O3)</f>
        <v>4.2210739950851228E-2</v>
      </c>
      <c r="E9" s="19">
        <f>(SUMIFS('COM results'!$G:$G,'COM results'!$D:$D,"CSC",'COM results'!$F:$F,E$2,'COM results'!$A:$A,"AHP",'COM results'!$B:$B,"VAR_Fout")/P3)</f>
        <v>2.1268281575768301E-2</v>
      </c>
      <c r="F9" s="19">
        <f>(SUMIFS('COM results'!$G:$G,'COM results'!$D:$D,"CSC",'COM results'!$F:$F,F$2,'COM results'!$A:$A,"AHP",'COM results'!$B:$B,"VAR_Fout")/Q3)</f>
        <v>3.5851652766788623E-2</v>
      </c>
      <c r="G9" s="19">
        <f>(SUMIFS('COM results'!$G:$G,'COM results'!$D:$D,"CSC",'COM results'!$F:$F,G$2,'COM results'!$A:$A,"AHP",'COM results'!$B:$B,"VAR_Fout")/R3)</f>
        <v>0.14054864559353883</v>
      </c>
      <c r="H9" s="19">
        <f>(SUMIFS('COM results'!$G:$G,'COM results'!$D:$D,"CSC",'COM results'!$F:$F,H$2,'COM results'!$A:$A,"AHP",'COM results'!$B:$B,"VAR_Fout")/S3)</f>
        <v>0.10206739172549358</v>
      </c>
      <c r="I9" s="19">
        <f>(SUMIFS('COM results'!$G:$G,'COM results'!$D:$D,"CSC",'COM results'!$F:$F,I$2,'COM results'!$A:$A,"AHP",'COM results'!$B:$B,"VAR_Fout")/T3)</f>
        <v>5.6974165102635047E-2</v>
      </c>
      <c r="J9" s="19">
        <f>(SUMIFS('COM results'!$G:$G,'COM results'!$D:$D,"CSC",'COM results'!$F:$F,J$2,'COM results'!$A:$A,"AHP",'COM results'!$B:$B,"VAR_Fout")/U3)</f>
        <v>6.7931070270266194E-2</v>
      </c>
      <c r="K9" s="19">
        <f>(SUMIFS('COM results'!$G:$G,'COM results'!$D:$D,"CSC",'COM results'!$F:$F,K$2,'COM results'!$A:$A,"AHP",'COM results'!$B:$B,"VAR_Fout")/V3)</f>
        <v>9.4445962576971715E-2</v>
      </c>
      <c r="M9" t="s">
        <v>278</v>
      </c>
      <c r="N9" s="11">
        <f>SUMIFS('COM results'!$G:$G,'COM results'!$D:$D,$M9,'COM results'!$F:$F,N$2,'COM results'!$B:$B,"VAR_Fout")</f>
        <v>47.451240637978749</v>
      </c>
      <c r="O9" s="11">
        <f>SUMIFS('COM results'!$G:$G,'COM results'!$D:$D,$M9,'COM results'!$F:$F,O$2,'COM results'!$B:$B,"VAR_Fout")</f>
        <v>123.88943162384393</v>
      </c>
      <c r="P9" s="11">
        <f>SUMIFS('COM results'!$G:$G,'COM results'!$D:$D,$M9,'COM results'!$F:$F,P$2,'COM results'!$B:$B,"VAR_Fout")</f>
        <v>140.54479502769104</v>
      </c>
      <c r="Q9" s="11">
        <f>SUMIFS('COM results'!$G:$G,'COM results'!$D:$D,$M9,'COM results'!$F:$F,Q$2,'COM results'!$B:$B,"VAR_Fout")</f>
        <v>68.143599409909953</v>
      </c>
      <c r="R9" s="11">
        <f>SUMIFS('COM results'!$G:$G,'COM results'!$D:$D,$M9,'COM results'!$F:$F,R$2,'COM results'!$B:$B,"VAR_Fout")</f>
        <v>198.33118500964619</v>
      </c>
      <c r="S9" s="11">
        <f>SUMIFS('COM results'!$G:$G,'COM results'!$D:$D,$M9,'COM results'!$F:$F,S$2,'COM results'!$B:$B,"VAR_Fout")</f>
        <v>54.091325915538704</v>
      </c>
      <c r="T9" s="11">
        <f>SUMIFS('COM results'!$G:$G,'COM results'!$D:$D,$M9,'COM results'!$F:$F,T$2,'COM results'!$B:$B,"VAR_Fout")</f>
        <v>125.67629842611096</v>
      </c>
      <c r="U9" s="11">
        <f>SUMIFS('COM results'!$G:$G,'COM results'!$D:$D,$M9,'COM results'!$F:$F,U$2,'COM results'!$B:$B,"VAR_Fout")</f>
        <v>56.546624794300996</v>
      </c>
      <c r="V9" s="11">
        <f>SUMIFS('COM results'!$G:$G,'COM results'!$D:$D,$M9,'COM results'!$F:$F,V$2,'COM results'!$B:$B,"VAR_Fout")</f>
        <v>147.57093177487627</v>
      </c>
      <c r="W9" s="11">
        <f t="shared" si="1"/>
        <v>962.24543261989686</v>
      </c>
    </row>
    <row r="10" spans="1:23" x14ac:dyDescent="0.3">
      <c r="A10" s="15" t="s">
        <v>30</v>
      </c>
      <c r="B10" s="15" t="s">
        <v>32</v>
      </c>
      <c r="C10" s="19">
        <f>(SUMIFS('COM results'!$G:$G,'COM results'!$D:$D,"CSC",'COM results'!$F:$F,C$2,'COM results'!$A:$A,"CCC",'COM results'!$B:$B,"VAR_Fout")/N3)</f>
        <v>5.3455470072259821E-2</v>
      </c>
      <c r="D10" s="19">
        <f>(SUMIFS('COM results'!$G:$G,'COM results'!$D:$D,"CSC",'COM results'!$F:$F,D$2,'COM results'!$A:$A,"CCC",'COM results'!$B:$B,"VAR_Fout")/O3)</f>
        <v>5.3269008449586402E-2</v>
      </c>
      <c r="E10" s="19">
        <f>(SUMIFS('COM results'!$G:$G,'COM results'!$D:$D,"CSC",'COM results'!$F:$F,E$2,'COM results'!$A:$A,"CCC",'COM results'!$B:$B,"VAR_Fout")/P3)</f>
        <v>6.2345403811920073E-2</v>
      </c>
      <c r="F10" s="19">
        <f>(SUMIFS('COM results'!$G:$G,'COM results'!$D:$D,"CSC",'COM results'!$F:$F,F$2,'COM results'!$A:$A,"CCC",'COM results'!$B:$B,"VAR_Fout")/Q3)</f>
        <v>4.2972145954987349E-2</v>
      </c>
      <c r="G10" s="19">
        <f>(SUMIFS('COM results'!$G:$G,'COM results'!$D:$D,"CSC",'COM results'!$F:$F,G$2,'COM results'!$A:$A,"CCC",'COM results'!$B:$B,"VAR_Fout")/R3)</f>
        <v>5.1678816189378404E-2</v>
      </c>
      <c r="H10" s="19">
        <f>(SUMIFS('COM results'!$G:$G,'COM results'!$D:$D,"CSC",'COM results'!$F:$F,H$2,'COM results'!$A:$A,"CCC",'COM results'!$B:$B,"VAR_Fout")/S3)</f>
        <v>3.2058255020423726E-2</v>
      </c>
      <c r="I10" s="19">
        <f>(SUMIFS('COM results'!$G:$G,'COM results'!$D:$D,"CSC",'COM results'!$F:$F,I$2,'COM results'!$A:$A,"CCC",'COM results'!$B:$B,"VAR_Fout")/T3)</f>
        <v>4.2131390077498193E-2</v>
      </c>
      <c r="J10" s="19">
        <f>(SUMIFS('COM results'!$G:$G,'COM results'!$D:$D,"CSC",'COM results'!$F:$F,J$2,'COM results'!$A:$A,"CCC",'COM results'!$B:$B,"VAR_Fout")/U3)</f>
        <v>4.6560539927538752E-2</v>
      </c>
      <c r="K10" s="19">
        <f>(SUMIFS('COM results'!$G:$G,'COM results'!$D:$D,"CSC",'COM results'!$F:$F,K$2,'COM results'!$A:$A,"CCC",'COM results'!$B:$B,"VAR_Fout")/V3)</f>
        <v>3.367505807335755E-2</v>
      </c>
    </row>
    <row r="11" spans="1:23" x14ac:dyDescent="0.3">
      <c r="A11" s="15" t="s">
        <v>33</v>
      </c>
      <c r="B11" s="15" t="s">
        <v>35</v>
      </c>
      <c r="C11" s="19">
        <f>(SUMIFS('COM results'!$G:$G,'COM results'!$D:$D,"CSC",'COM results'!$F:$F,C$2,'COM results'!$A:$A,"CRC",'COM results'!$B:$B,"VAR_Fout")/N3)</f>
        <v>0.18952393934710379</v>
      </c>
      <c r="D11" s="19">
        <f>(SUMIFS('COM results'!$G:$G,'COM results'!$D:$D,"CSC",'COM results'!$F:$F,D$2,'COM results'!$A:$A,"CRC",'COM results'!$B:$B,"VAR_Fout")/O3)</f>
        <v>0.18886284813944262</v>
      </c>
      <c r="E11" s="19">
        <f>(SUMIFS('COM results'!$G:$G,'COM results'!$D:$D,"CSC",'COM results'!$F:$F,E$2,'COM results'!$A:$A,"CRC",'COM results'!$B:$B,"VAR_Fout")/P3)</f>
        <v>0.22104279533317048</v>
      </c>
      <c r="F11" s="19">
        <f>(SUMIFS('COM results'!$G:$G,'COM results'!$D:$D,"CSC",'COM results'!$F:$F,F$2,'COM results'!$A:$A,"CRC",'COM results'!$B:$B,"VAR_Fout")/Q3)</f>
        <v>0.15235579020404566</v>
      </c>
      <c r="G11" s="19">
        <f>(SUMIFS('COM results'!$G:$G,'COM results'!$D:$D,"CSC",'COM results'!$F:$F,G$2,'COM results'!$A:$A,"CRC",'COM results'!$B:$B,"VAR_Fout")/R3)</f>
        <v>0.18322489376234255</v>
      </c>
      <c r="H11" s="19">
        <f>(SUMIFS('COM results'!$G:$G,'COM results'!$D:$D,"CSC",'COM results'!$F:$F,H$2,'COM results'!$A:$A,"CRC",'COM results'!$B:$B,"VAR_Fout")/S3)</f>
        <v>0.11366108598150171</v>
      </c>
      <c r="I11" s="19">
        <f>(SUMIFS('COM results'!$G:$G,'COM results'!$D:$D,"CSC",'COM results'!$F:$F,I$2,'COM results'!$A:$A,"CRC",'COM results'!$B:$B,"VAR_Fout")/T3)</f>
        <v>0.14937492845658482</v>
      </c>
      <c r="J11" s="19">
        <f>(SUMIFS('COM results'!$G:$G,'COM results'!$D:$D,"CSC",'COM results'!$F:$F,J$2,'COM results'!$A:$A,"CRC",'COM results'!$B:$B,"VAR_Fout")/U3)</f>
        <v>0.16507827792491017</v>
      </c>
      <c r="K11" s="19">
        <f>(SUMIFS('COM results'!$G:$G,'COM results'!$D:$D,"CSC",'COM results'!$F:$F,K$2,'COM results'!$A:$A,"CRC",'COM results'!$B:$B,"VAR_Fout")/V3)</f>
        <v>0.11939338771463147</v>
      </c>
    </row>
    <row r="12" spans="1:23" x14ac:dyDescent="0.3">
      <c r="A12" s="15" t="s">
        <v>36</v>
      </c>
      <c r="B12" s="15" t="s">
        <v>38</v>
      </c>
      <c r="C12" s="19">
        <f>SUMIFS('COM results'!$G:$G,'COM results'!$D:$D,"CCK",'COM results'!$F:$F,C$2,'COM results'!$A:$A,"elc",'COM results'!$B:$B,"VAR_Fout")/N4</f>
        <v>0.36443912167812764</v>
      </c>
      <c r="D12" s="19">
        <f>SUMIFS('COM results'!$G:$G,'COM results'!$D:$D,"CCK",'COM results'!$F:$F,D$2,'COM results'!$A:$A,"elc",'COM results'!$B:$B,"VAR_Fout")/O4</f>
        <v>0.33524320527598617</v>
      </c>
      <c r="E12" s="19">
        <f>SUMIFS('COM results'!$G:$G,'COM results'!$D:$D,"CCK",'COM results'!$F:$F,E$2,'COM results'!$A:$A,"elc",'COM results'!$B:$B,"VAR_Fout")/P4</f>
        <v>0.37159550905097333</v>
      </c>
      <c r="F12" s="19">
        <f>SUMIFS('COM results'!$G:$G,'COM results'!$D:$D,"CCK",'COM results'!$F:$F,F$2,'COM results'!$A:$A,"elc",'COM results'!$B:$B,"VAR_Fout")/Q4</f>
        <v>0.44447027282100948</v>
      </c>
      <c r="G12" s="19">
        <f>SUMIFS('COM results'!$G:$G,'COM results'!$D:$D,"CCK",'COM results'!$F:$F,G$2,'COM results'!$A:$A,"elc",'COM results'!$B:$B,"VAR_Fout")/R4</f>
        <v>0.41457952827981176</v>
      </c>
      <c r="H12" s="19">
        <f>SUMIFS('COM results'!$G:$G,'COM results'!$D:$D,"CCK",'COM results'!$F:$F,H$2,'COM results'!$A:$A,"elc",'COM results'!$B:$B,"VAR_Fout")/S4</f>
        <v>0.38194710109779562</v>
      </c>
      <c r="I12" s="19">
        <f>SUMIFS('COM results'!$G:$G,'COM results'!$D:$D,"CCK",'COM results'!$F:$F,I$2,'COM results'!$A:$A,"elc",'COM results'!$B:$B,"VAR_Fout")/T4</f>
        <v>0.38529945539128152</v>
      </c>
      <c r="J12" s="19">
        <f>SUMIFS('COM results'!$G:$G,'COM results'!$D:$D,"CCK",'COM results'!$F:$F,J$2,'COM results'!$A:$A,"elc",'COM results'!$B:$B,"VAR_Fout")/U4</f>
        <v>0.36251457818529748</v>
      </c>
      <c r="K12" s="19">
        <f>SUMIFS('COM results'!$G:$G,'COM results'!$D:$D,"CCK",'COM results'!$F:$F,K$2,'COM results'!$A:$A,"elc",'COM results'!$B:$B,"VAR_Fout")/V4</f>
        <v>0.27023173193968303</v>
      </c>
    </row>
    <row r="13" spans="1:23" x14ac:dyDescent="0.3">
      <c r="A13" s="15" t="s">
        <v>39</v>
      </c>
      <c r="B13" s="15" t="s">
        <v>41</v>
      </c>
      <c r="C13" s="19">
        <f>SUMIFS('COM results'!$G:$G,'COM results'!$D:$D,"CCK",'COM results'!$F:$F,C$2,'COM results'!$A:$A,"ng",'COM results'!$B:$B,"VAR_Fout")/N4</f>
        <v>0.63556087832187236</v>
      </c>
      <c r="D13" s="19">
        <f>SUMIFS('COM results'!$G:$G,'COM results'!$D:$D,"CCK",'COM results'!$F:$F,D$2,'COM results'!$A:$A,"ng",'COM results'!$B:$B,"VAR_Fout")/O4</f>
        <v>0.66475679472401383</v>
      </c>
      <c r="E13" s="19">
        <f>SUMIFS('COM results'!$G:$G,'COM results'!$D:$D,"CCK",'COM results'!$F:$F,E$2,'COM results'!$A:$A,"ng",'COM results'!$B:$B,"VAR_Fout")/P4</f>
        <v>0.62840449094902673</v>
      </c>
      <c r="F13" s="19">
        <f>SUMIFS('COM results'!$G:$G,'COM results'!$D:$D,"CCK",'COM results'!$F:$F,F$2,'COM results'!$A:$A,"ng",'COM results'!$B:$B,"VAR_Fout")/Q4</f>
        <v>0.55552972717899052</v>
      </c>
      <c r="G13" s="19">
        <f>SUMIFS('COM results'!$G:$G,'COM results'!$D:$D,"CCK",'COM results'!$F:$F,G$2,'COM results'!$A:$A,"ng",'COM results'!$B:$B,"VAR_Fout")/R4</f>
        <v>0.5854204717201883</v>
      </c>
      <c r="H13" s="19">
        <f>SUMIFS('COM results'!$G:$G,'COM results'!$D:$D,"CCK",'COM results'!$F:$F,H$2,'COM results'!$A:$A,"ng",'COM results'!$B:$B,"VAR_Fout")/S4</f>
        <v>0.6180528989022045</v>
      </c>
      <c r="I13" s="19">
        <f>SUMIFS('COM results'!$G:$G,'COM results'!$D:$D,"CCK",'COM results'!$F:$F,I$2,'COM results'!$A:$A,"ng",'COM results'!$B:$B,"VAR_Fout")/T4</f>
        <v>0.61470054460871859</v>
      </c>
      <c r="J13" s="19">
        <f>SUMIFS('COM results'!$G:$G,'COM results'!$D:$D,"CCK",'COM results'!$F:$F,J$2,'COM results'!$A:$A,"ng",'COM results'!$B:$B,"VAR_Fout")/U4</f>
        <v>0.63748542181470247</v>
      </c>
      <c r="K13" s="19">
        <f>SUMIFS('COM results'!$G:$G,'COM results'!$D:$D,"CCK",'COM results'!$F:$F,K$2,'COM results'!$A:$A,"ng",'COM results'!$B:$B,"VAR_Fout")/V4</f>
        <v>0.72976826806031669</v>
      </c>
    </row>
    <row r="14" spans="1:23" x14ac:dyDescent="0.3">
      <c r="A14" s="15" t="s">
        <v>42</v>
      </c>
      <c r="B14" s="15" t="s">
        <v>44</v>
      </c>
      <c r="C14" s="19">
        <f>(SUMIFS('COM results'!$G:$G,'COM results'!$D:$D,"CSH",'COM results'!$F:$F,C$2,'COM results'!$A:$A,"AHP",'COM results'!$B:$B,"VAR_Fout")+SUMIFS('COM results'!$G:$G,'COM results'!$D:$D,"CSH",'COM results'!$F:$F,C$2,'COM results'!$A:$A,"GHP",'COM results'!$B:$B,"VAR_Fout")+SUMIFS('COM results'!$G:$G,'COM results'!$D:$D,"CSH",'COM results'!$F:$F,C$2,'COM results'!$A:$A,"ELB",'COM results'!$B:$B,"VAR_Fout")+SUMIFS('COM results'!$G:$G,'COM results'!$D:$D,"CSH",'COM results'!$F:$F,C$2,'COM results'!$A:$A,"ELO",'COM results'!$B:$B,"VAR_Fout"))/N5</f>
        <v>0.11301292970874589</v>
      </c>
      <c r="D14" s="19">
        <f>(SUMIFS('COM results'!$G:$G,'COM results'!$D:$D,"CSH",'COM results'!$F:$F,D$2,'COM results'!$A:$A,"AHP",'COM results'!$B:$B,"VAR_Fout")+SUMIFS('COM results'!$G:$G,'COM results'!$D:$D,"CSH",'COM results'!$F:$F,D$2,'COM results'!$A:$A,"GHP",'COM results'!$B:$B,"VAR_Fout")+SUMIFS('COM results'!$G:$G,'COM results'!$D:$D,"CSH",'COM results'!$F:$F,D$2,'COM results'!$A:$A,"ELB",'COM results'!$B:$B,"VAR_Fout")+SUMIFS('COM results'!$G:$G,'COM results'!$D:$D,"CSH",'COM results'!$F:$F,D$2,'COM results'!$A:$A,"ELO",'COM results'!$B:$B,"VAR_Fout"))/O5</f>
        <v>9.7973129323283878E-2</v>
      </c>
      <c r="E14" s="19">
        <f>(SUMIFS('COM results'!$G:$G,'COM results'!$D:$D,"CSH",'COM results'!$F:$F,E$2,'COM results'!$A:$A,"AHP",'COM results'!$B:$B,"VAR_Fout")+SUMIFS('COM results'!$G:$G,'COM results'!$D:$D,"CSH",'COM results'!$F:$F,E$2,'COM results'!$A:$A,"GHP",'COM results'!$B:$B,"VAR_Fout")+SUMIFS('COM results'!$G:$G,'COM results'!$D:$D,"CSH",'COM results'!$F:$F,E$2,'COM results'!$A:$A,"ELB",'COM results'!$B:$B,"VAR_Fout")+SUMIFS('COM results'!$G:$G,'COM results'!$D:$D,"CSH",'COM results'!$F:$F,E$2,'COM results'!$A:$A,"ELO",'COM results'!$B:$B,"VAR_Fout"))/P5</f>
        <v>6.9788703617467029E-2</v>
      </c>
      <c r="F14" s="19">
        <f>(SUMIFS('COM results'!$G:$G,'COM results'!$D:$D,"CSH",'COM results'!$F:$F,F$2,'COM results'!$A:$A,"AHP",'COM results'!$B:$B,"VAR_Fout")+SUMIFS('COM results'!$G:$G,'COM results'!$D:$D,"CSH",'COM results'!$F:$F,F$2,'COM results'!$A:$A,"GHP",'COM results'!$B:$B,"VAR_Fout")+SUMIFS('COM results'!$G:$G,'COM results'!$D:$D,"CSH",'COM results'!$F:$F,F$2,'COM results'!$A:$A,"ELB",'COM results'!$B:$B,"VAR_Fout")+SUMIFS('COM results'!$G:$G,'COM results'!$D:$D,"CSH",'COM results'!$F:$F,F$2,'COM results'!$A:$A,"ELO",'COM results'!$B:$B,"VAR_Fout"))/Q5</f>
        <v>0.10230781337086739</v>
      </c>
      <c r="G14" s="19">
        <f>(SUMIFS('COM results'!$G:$G,'COM results'!$D:$D,"CSH",'COM results'!$F:$F,G$2,'COM results'!$A:$A,"AHP",'COM results'!$B:$B,"VAR_Fout")+SUMIFS('COM results'!$G:$G,'COM results'!$D:$D,"CSH",'COM results'!$F:$F,G$2,'COM results'!$A:$A,"GHP",'COM results'!$B:$B,"VAR_Fout")+SUMIFS('COM results'!$G:$G,'COM results'!$D:$D,"CSH",'COM results'!$F:$F,G$2,'COM results'!$A:$A,"ELB",'COM results'!$B:$B,"VAR_Fout")+SUMIFS('COM results'!$G:$G,'COM results'!$D:$D,"CSH",'COM results'!$F:$F,G$2,'COM results'!$A:$A,"ELO",'COM results'!$B:$B,"VAR_Fout"))/R5</f>
        <v>0.28007589658342191</v>
      </c>
      <c r="H14" s="19">
        <f>(SUMIFS('COM results'!$G:$G,'COM results'!$D:$D,"CSH",'COM results'!$F:$F,H$2,'COM results'!$A:$A,"AHP",'COM results'!$B:$B,"VAR_Fout")+SUMIFS('COM results'!$G:$G,'COM results'!$D:$D,"CSH",'COM results'!$F:$F,H$2,'COM results'!$A:$A,"GHP",'COM results'!$B:$B,"VAR_Fout")+SUMIFS('COM results'!$G:$G,'COM results'!$D:$D,"CSH",'COM results'!$F:$F,H$2,'COM results'!$A:$A,"ELB",'COM results'!$B:$B,"VAR_Fout")+SUMIFS('COM results'!$G:$G,'COM results'!$D:$D,"CSH",'COM results'!$F:$F,H$2,'COM results'!$A:$A,"ELO",'COM results'!$B:$B,"VAR_Fout"))/S5</f>
        <v>0.21443986626948602</v>
      </c>
      <c r="I14" s="19">
        <f>(SUMIFS('COM results'!$G:$G,'COM results'!$D:$D,"CSH",'COM results'!$F:$F,I$2,'COM results'!$A:$A,"AHP",'COM results'!$B:$B,"VAR_Fout")+SUMIFS('COM results'!$G:$G,'COM results'!$D:$D,"CSH",'COM results'!$F:$F,I$2,'COM results'!$A:$A,"GHP",'COM results'!$B:$B,"VAR_Fout")+SUMIFS('COM results'!$G:$G,'COM results'!$D:$D,"CSH",'COM results'!$F:$F,I$2,'COM results'!$A:$A,"ELB",'COM results'!$B:$B,"VAR_Fout")+SUMIFS('COM results'!$G:$G,'COM results'!$D:$D,"CSH",'COM results'!$F:$F,I$2,'COM results'!$A:$A,"ELO",'COM results'!$B:$B,"VAR_Fout"))/T5</f>
        <v>0.16284114750137652</v>
      </c>
      <c r="J14" s="19">
        <f>(SUMIFS('COM results'!$G:$G,'COM results'!$D:$D,"CSH",'COM results'!$F:$F,J$2,'COM results'!$A:$A,"AHP",'COM results'!$B:$B,"VAR_Fout")+SUMIFS('COM results'!$G:$G,'COM results'!$D:$D,"CSH",'COM results'!$F:$F,J$2,'COM results'!$A:$A,"GHP",'COM results'!$B:$B,"VAR_Fout")+SUMIFS('COM results'!$G:$G,'COM results'!$D:$D,"CSH",'COM results'!$F:$F,J$2,'COM results'!$A:$A,"ELB",'COM results'!$B:$B,"VAR_Fout")+SUMIFS('COM results'!$G:$G,'COM results'!$D:$D,"CSH",'COM results'!$F:$F,J$2,'COM results'!$A:$A,"ELO",'COM results'!$B:$B,"VAR_Fout"))/U5</f>
        <v>9.8051644008419994E-2</v>
      </c>
      <c r="K14" s="19">
        <f>(SUMIFS('COM results'!$G:$G,'COM results'!$D:$D,"CSH",'COM results'!$F:$F,K$2,'COM results'!$A:$A,"AHP",'COM results'!$B:$B,"VAR_Fout")+SUMIFS('COM results'!$G:$G,'COM results'!$D:$D,"CSH",'COM results'!$F:$F,K$2,'COM results'!$A:$A,"GHP",'COM results'!$B:$B,"VAR_Fout")+SUMIFS('COM results'!$G:$G,'COM results'!$D:$D,"CSH",'COM results'!$F:$F,K$2,'COM results'!$A:$A,"ELB",'COM results'!$B:$B,"VAR_Fout")+SUMIFS('COM results'!$G:$G,'COM results'!$D:$D,"CSH",'COM results'!$F:$F,K$2,'COM results'!$A:$A,"ELO",'COM results'!$B:$B,"VAR_Fout"))/V5</f>
        <v>0.1654465320664596</v>
      </c>
    </row>
    <row r="15" spans="1:23" x14ac:dyDescent="0.3">
      <c r="A15" s="15" t="s">
        <v>45</v>
      </c>
      <c r="B15" s="15" t="s">
        <v>47</v>
      </c>
      <c r="C15" s="19">
        <f>(SUMIFS('COM results'!$G:$G,'COM results'!$D:$D,"CSH",'COM results'!$F:$F,C$2,'COM results'!$A:$A,"NGB",'COM results'!$B:$B,"VAR_Fout")+SUMIFS('COM results'!$G:$G,'COM results'!$D:$D,"CSH",'COM results'!$F:$F,C$2,'COM results'!$A:$A,"NGF",'COM results'!$B:$B,"VAR_Fout")+SUMIFS('COM results'!$G:$G,'COM results'!$D:$D,"CSH",'COM results'!$F:$F,C$2,'COM results'!$A:$A,"NHP",'COM results'!$B:$B,"VAR_Fout"))/N5</f>
        <v>0.50279987877204713</v>
      </c>
      <c r="D15" s="19">
        <f>(SUMIFS('COM results'!$G:$G,'COM results'!$D:$D,"CSH",'COM results'!$F:$F,D$2,'COM results'!$A:$A,"NGB",'COM results'!$B:$B,"VAR_Fout")+SUMIFS('COM results'!$G:$G,'COM results'!$D:$D,"CSH",'COM results'!$F:$F,D$2,'COM results'!$A:$A,"NGF",'COM results'!$B:$B,"VAR_Fout")+SUMIFS('COM results'!$G:$G,'COM results'!$D:$D,"CSH",'COM results'!$F:$F,D$2,'COM results'!$A:$A,"NHP",'COM results'!$B:$B,"VAR_Fout"))/O5</f>
        <v>0.67297096426399305</v>
      </c>
      <c r="E15" s="19">
        <f>(SUMIFS('COM results'!$G:$G,'COM results'!$D:$D,"CSH",'COM results'!$F:$F,E$2,'COM results'!$A:$A,"NGB",'COM results'!$B:$B,"VAR_Fout")+SUMIFS('COM results'!$G:$G,'COM results'!$D:$D,"CSH",'COM results'!$F:$F,E$2,'COM results'!$A:$A,"NGF",'COM results'!$B:$B,"VAR_Fout")+SUMIFS('COM results'!$G:$G,'COM results'!$D:$D,"CSH",'COM results'!$F:$F,E$2,'COM results'!$A:$A,"NHP",'COM results'!$B:$B,"VAR_Fout"))/P5</f>
        <v>0.91908875229125875</v>
      </c>
      <c r="F15" s="19">
        <f>(SUMIFS('COM results'!$G:$G,'COM results'!$D:$D,"CSH",'COM results'!$F:$F,F$2,'COM results'!$A:$A,"NGB",'COM results'!$B:$B,"VAR_Fout")+SUMIFS('COM results'!$G:$G,'COM results'!$D:$D,"CSH",'COM results'!$F:$F,F$2,'COM results'!$A:$A,"NGF",'COM results'!$B:$B,"VAR_Fout")+SUMIFS('COM results'!$G:$G,'COM results'!$D:$D,"CSH",'COM results'!$F:$F,F$2,'COM results'!$A:$A,"NHP",'COM results'!$B:$B,"VAR_Fout"))/Q5</f>
        <v>0.89769218662913275</v>
      </c>
      <c r="G15" s="19">
        <f>(SUMIFS('COM results'!$G:$G,'COM results'!$D:$D,"CSH",'COM results'!$F:$F,G$2,'COM results'!$A:$A,"NGB",'COM results'!$B:$B,"VAR_Fout")+SUMIFS('COM results'!$G:$G,'COM results'!$D:$D,"CSH",'COM results'!$F:$F,G$2,'COM results'!$A:$A,"NGF",'COM results'!$B:$B,"VAR_Fout")+SUMIFS('COM results'!$G:$G,'COM results'!$D:$D,"CSH",'COM results'!$F:$F,G$2,'COM results'!$A:$A,"NHP",'COM results'!$B:$B,"VAR_Fout"))/R5</f>
        <v>0.6608372452349357</v>
      </c>
      <c r="H15" s="19">
        <f>(SUMIFS('COM results'!$G:$G,'COM results'!$D:$D,"CSH",'COM results'!$F:$F,H$2,'COM results'!$A:$A,"NGB",'COM results'!$B:$B,"VAR_Fout")+SUMIFS('COM results'!$G:$G,'COM results'!$D:$D,"CSH",'COM results'!$F:$F,H$2,'COM results'!$A:$A,"NGF",'COM results'!$B:$B,"VAR_Fout")+SUMIFS('COM results'!$G:$G,'COM results'!$D:$D,"CSH",'COM results'!$F:$F,H$2,'COM results'!$A:$A,"NHP",'COM results'!$B:$B,"VAR_Fout"))/S5</f>
        <v>0.7837484840944825</v>
      </c>
      <c r="I15" s="19">
        <f>(SUMIFS('COM results'!$G:$G,'COM results'!$D:$D,"CSH",'COM results'!$F:$F,I$2,'COM results'!$A:$A,"NGB",'COM results'!$B:$B,"VAR_Fout")+SUMIFS('COM results'!$G:$G,'COM results'!$D:$D,"CSH",'COM results'!$F:$F,I$2,'COM results'!$A:$A,"NGF",'COM results'!$B:$B,"VAR_Fout")+SUMIFS('COM results'!$G:$G,'COM results'!$D:$D,"CSH",'COM results'!$F:$F,I$2,'COM results'!$A:$A,"NHP",'COM results'!$B:$B,"VAR_Fout"))/T5</f>
        <v>0.83530231884047546</v>
      </c>
      <c r="J15" s="19">
        <f>(SUMIFS('COM results'!$G:$G,'COM results'!$D:$D,"CSH",'COM results'!$F:$F,J$2,'COM results'!$A:$A,"NGB",'COM results'!$B:$B,"VAR_Fout")+SUMIFS('COM results'!$G:$G,'COM results'!$D:$D,"CSH",'COM results'!$F:$F,J$2,'COM results'!$A:$A,"NGF",'COM results'!$B:$B,"VAR_Fout")+SUMIFS('COM results'!$G:$G,'COM results'!$D:$D,"CSH",'COM results'!$F:$F,J$2,'COM results'!$A:$A,"NHP",'COM results'!$B:$B,"VAR_Fout"))/U5</f>
        <v>0.8980524524893172</v>
      </c>
      <c r="K15" s="19">
        <f>(SUMIFS('COM results'!$G:$G,'COM results'!$D:$D,"CSH",'COM results'!$F:$F,K$2,'COM results'!$A:$A,"NGB",'COM results'!$B:$B,"VAR_Fout")+SUMIFS('COM results'!$G:$G,'COM results'!$D:$D,"CSH",'COM results'!$F:$F,K$2,'COM results'!$A:$A,"NGF",'COM results'!$B:$B,"VAR_Fout")+SUMIFS('COM results'!$G:$G,'COM results'!$D:$D,"CSH",'COM results'!$F:$F,K$2,'COM results'!$A:$A,"NHP",'COM results'!$B:$B,"VAR_Fout"))/V5</f>
        <v>0.83399280609487736</v>
      </c>
    </row>
    <row r="16" spans="1:23" x14ac:dyDescent="0.3">
      <c r="A16" s="15" t="s">
        <v>48</v>
      </c>
      <c r="B16" s="15" t="s">
        <v>50</v>
      </c>
      <c r="C16" s="19">
        <f>(SUMIFS('COM results'!$G:$G,'COM results'!$D:$D,"CSH",'COM results'!$F:$F,C$2,'COM results'!$A:$A,"DSB",'COM results'!$B:$B,"VAR_Fout")+SUMIFS('COM results'!$G:$G,'COM results'!$D:$D,"CSH",'COM results'!$F:$F,C$2,'COM results'!$A:$A,"DSF",'COM results'!$B:$B,"VAR_Fout"))/N5</f>
        <v>0.38418719151920705</v>
      </c>
      <c r="D16" s="19">
        <f>(SUMIFS('COM results'!$G:$G,'COM results'!$D:$D,"CSH",'COM results'!$F:$F,D$2,'COM results'!$A:$A,"DSB",'COM results'!$B:$B,"VAR_Fout")+SUMIFS('COM results'!$G:$G,'COM results'!$D:$D,"CSH",'COM results'!$F:$F,D$2,'COM results'!$A:$A,"DSF",'COM results'!$B:$B,"VAR_Fout"))/O5</f>
        <v>0.22905590641272316</v>
      </c>
      <c r="E16" s="19">
        <f>(SUMIFS('COM results'!$G:$G,'COM results'!$D:$D,"CSH",'COM results'!$F:$F,E$2,'COM results'!$A:$A,"DSB",'COM results'!$B:$B,"VAR_Fout")+SUMIFS('COM results'!$G:$G,'COM results'!$D:$D,"CSH",'COM results'!$F:$F,E$2,'COM results'!$A:$A,"DSF",'COM results'!$B:$B,"VAR_Fout"))/P5</f>
        <v>1.1122544091274136E-2</v>
      </c>
      <c r="F16" s="19">
        <f>(SUMIFS('COM results'!$G:$G,'COM results'!$D:$D,"CSH",'COM results'!$F:$F,F$2,'COM results'!$A:$A,"DSB",'COM results'!$B:$B,"VAR_Fout")+SUMIFS('COM results'!$G:$G,'COM results'!$D:$D,"CSH",'COM results'!$F:$F,F$2,'COM results'!$A:$A,"DSF",'COM results'!$B:$B,"VAR_Fout"))/Q5</f>
        <v>0</v>
      </c>
      <c r="G16" s="19">
        <f>(SUMIFS('COM results'!$G:$G,'COM results'!$D:$D,"CSH",'COM results'!$F:$F,G$2,'COM results'!$A:$A,"DSB",'COM results'!$B:$B,"VAR_Fout")+SUMIFS('COM results'!$G:$G,'COM results'!$D:$D,"CSH",'COM results'!$F:$F,G$2,'COM results'!$A:$A,"DSF",'COM results'!$B:$B,"VAR_Fout"))/R5</f>
        <v>5.9086858181642374E-2</v>
      </c>
      <c r="H16" s="19">
        <f>(SUMIFS('COM results'!$G:$G,'COM results'!$D:$D,"CSH",'COM results'!$F:$F,H$2,'COM results'!$A:$A,"DSB",'COM results'!$B:$B,"VAR_Fout")+SUMIFS('COM results'!$G:$G,'COM results'!$D:$D,"CSH",'COM results'!$F:$F,H$2,'COM results'!$A:$A,"DSF",'COM results'!$B:$B,"VAR_Fout"))/S5</f>
        <v>1.8116496360313678E-3</v>
      </c>
      <c r="I16" s="19">
        <f>(SUMIFS('COM results'!$G:$G,'COM results'!$D:$D,"CSH",'COM results'!$F:$F,I$2,'COM results'!$A:$A,"DSB",'COM results'!$B:$B,"VAR_Fout")+SUMIFS('COM results'!$G:$G,'COM results'!$D:$D,"CSH",'COM results'!$F:$F,I$2,'COM results'!$A:$A,"DSF",'COM results'!$B:$B,"VAR_Fout"))/T5</f>
        <v>1.8565336581481213E-3</v>
      </c>
      <c r="J16" s="19">
        <f>(SUMIFS('COM results'!$G:$G,'COM results'!$D:$D,"CSH",'COM results'!$F:$F,J$2,'COM results'!$A:$A,"DSB",'COM results'!$B:$B,"VAR_Fout")+SUMIFS('COM results'!$G:$G,'COM results'!$D:$D,"CSH",'COM results'!$F:$F,J$2,'COM results'!$A:$A,"DSF",'COM results'!$B:$B,"VAR_Fout"))/U5</f>
        <v>3.8959035022627158E-3</v>
      </c>
      <c r="K16" s="19">
        <f>(SUMIFS('COM results'!$G:$G,'COM results'!$D:$D,"CSH",'COM results'!$F:$F,K$2,'COM results'!$A:$A,"DSB",'COM results'!$B:$B,"VAR_Fout")+SUMIFS('COM results'!$G:$G,'COM results'!$D:$D,"CSH",'COM results'!$F:$F,K$2,'COM results'!$A:$A,"DSF",'COM results'!$B:$B,"VAR_Fout"))/V5</f>
        <v>5.606618386630477E-4</v>
      </c>
    </row>
    <row r="17" spans="1:14" x14ac:dyDescent="0.3">
      <c r="A17" s="15" t="s">
        <v>51</v>
      </c>
      <c r="B17" s="15" t="s">
        <v>53</v>
      </c>
      <c r="C17" s="19">
        <f>(SUMIFS('COM results'!$G:$G,'COM results'!$D:$D,"CSH",'COM results'!$F:$F,C$2,'COM results'!$A:$A,"NGB",'COM results'!$B:$B,"VAR_Fout")+SUMIFS('COM results'!$G:$G,'COM results'!$D:$D,"CSH",'COM results'!$F:$F,C$2,'COM results'!$A:$A,"ELB",'COM results'!$B:$B,"VAR_Fout")+SUMIFS('COM results'!$G:$G,'COM results'!$D:$D,"CSH",'COM results'!$F:$F,C$2,'COM results'!$A:$A,"DSB",'COM results'!$B:$B,"VAR_Fout"))/N5</f>
        <v>0.58543251748389591</v>
      </c>
      <c r="D17" s="19">
        <f>(SUMIFS('COM results'!$G:$G,'COM results'!$D:$D,"CSH",'COM results'!$F:$F,D$2,'COM results'!$A:$A,"NGB",'COM results'!$B:$B,"VAR_Fout")+SUMIFS('COM results'!$G:$G,'COM results'!$D:$D,"CSH",'COM results'!$F:$F,D$2,'COM results'!$A:$A,"ELB",'COM results'!$B:$B,"VAR_Fout")+SUMIFS('COM results'!$G:$G,'COM results'!$D:$D,"CSH",'COM results'!$F:$F,D$2,'COM results'!$A:$A,"DSB",'COM results'!$B:$B,"VAR_Fout"))/O5</f>
        <v>0.5731975284419667</v>
      </c>
      <c r="E17" s="19">
        <f>(SUMIFS('COM results'!$G:$G,'COM results'!$D:$D,"CSH",'COM results'!$F:$F,E$2,'COM results'!$A:$A,"NGB",'COM results'!$B:$B,"VAR_Fout")+SUMIFS('COM results'!$G:$G,'COM results'!$D:$D,"CSH",'COM results'!$F:$F,E$2,'COM results'!$A:$A,"ELB",'COM results'!$B:$B,"VAR_Fout")+SUMIFS('COM results'!$G:$G,'COM results'!$D:$D,"CSH",'COM results'!$F:$F,E$2,'COM results'!$A:$A,"DSB",'COM results'!$B:$B,"VAR_Fout"))/P5</f>
        <v>0.41099854519811202</v>
      </c>
      <c r="F17" s="19">
        <f>(SUMIFS('COM results'!$G:$G,'COM results'!$D:$D,"CSH",'COM results'!$F:$F,F$2,'COM results'!$A:$A,"NGB",'COM results'!$B:$B,"VAR_Fout")+SUMIFS('COM results'!$G:$G,'COM results'!$D:$D,"CSH",'COM results'!$F:$F,F$2,'COM results'!$A:$A,"ELB",'COM results'!$B:$B,"VAR_Fout")+SUMIFS('COM results'!$G:$G,'COM results'!$D:$D,"CSH",'COM results'!$F:$F,F$2,'COM results'!$A:$A,"DSB",'COM results'!$B:$B,"VAR_Fout"))/Q5</f>
        <v>0.3240866960568608</v>
      </c>
      <c r="G17" s="19">
        <f>(SUMIFS('COM results'!$G:$G,'COM results'!$D:$D,"CSH",'COM results'!$F:$F,G$2,'COM results'!$A:$A,"NGB",'COM results'!$B:$B,"VAR_Fout")+SUMIFS('COM results'!$G:$G,'COM results'!$D:$D,"CSH",'COM results'!$F:$F,G$2,'COM results'!$A:$A,"ELB",'COM results'!$B:$B,"VAR_Fout")+SUMIFS('COM results'!$G:$G,'COM results'!$D:$D,"CSH",'COM results'!$F:$F,G$2,'COM results'!$A:$A,"DSB",'COM results'!$B:$B,"VAR_Fout"))/R5</f>
        <v>0.31512363524818809</v>
      </c>
      <c r="H17" s="19">
        <f>(SUMIFS('COM results'!$G:$G,'COM results'!$D:$D,"CSH",'COM results'!$F:$F,H$2,'COM results'!$A:$A,"NGB",'COM results'!$B:$B,"VAR_Fout")+SUMIFS('COM results'!$G:$G,'COM results'!$D:$D,"CSH",'COM results'!$F:$F,H$2,'COM results'!$A:$A,"ELB",'COM results'!$B:$B,"VAR_Fout")+SUMIFS('COM results'!$G:$G,'COM results'!$D:$D,"CSH",'COM results'!$F:$F,H$2,'COM results'!$A:$A,"DSB",'COM results'!$B:$B,"VAR_Fout"))/S5</f>
        <v>0.27437597668596575</v>
      </c>
      <c r="I17" s="19">
        <f>(SUMIFS('COM results'!$G:$G,'COM results'!$D:$D,"CSH",'COM results'!$F:$F,I$2,'COM results'!$A:$A,"NGB",'COM results'!$B:$B,"VAR_Fout")+SUMIFS('COM results'!$G:$G,'COM results'!$D:$D,"CSH",'COM results'!$F:$F,I$2,'COM results'!$A:$A,"ELB",'COM results'!$B:$B,"VAR_Fout")+SUMIFS('COM results'!$G:$G,'COM results'!$D:$D,"CSH",'COM results'!$F:$F,I$2,'COM results'!$A:$A,"DSB",'COM results'!$B:$B,"VAR_Fout"))/T5</f>
        <v>0.23497998936680611</v>
      </c>
      <c r="J17" s="19">
        <f>(SUMIFS('COM results'!$G:$G,'COM results'!$D:$D,"CSH",'COM results'!$F:$F,J$2,'COM results'!$A:$A,"NGB",'COM results'!$B:$B,"VAR_Fout")+SUMIFS('COM results'!$G:$G,'COM results'!$D:$D,"CSH",'COM results'!$F:$F,J$2,'COM results'!$A:$A,"ELB",'COM results'!$B:$B,"VAR_Fout")+SUMIFS('COM results'!$G:$G,'COM results'!$D:$D,"CSH",'COM results'!$F:$F,J$2,'COM results'!$A:$A,"DSB",'COM results'!$B:$B,"VAR_Fout"))/U5</f>
        <v>0.29182076535058676</v>
      </c>
      <c r="K17" s="19">
        <f>(SUMIFS('COM results'!$G:$G,'COM results'!$D:$D,"CSH",'COM results'!$F:$F,K$2,'COM results'!$A:$A,"NGB",'COM results'!$B:$B,"VAR_Fout")+SUMIFS('COM results'!$G:$G,'COM results'!$D:$D,"CSH",'COM results'!$F:$F,K$2,'COM results'!$A:$A,"ELB",'COM results'!$B:$B,"VAR_Fout")+SUMIFS('COM results'!$G:$G,'COM results'!$D:$D,"CSH",'COM results'!$F:$F,K$2,'COM results'!$A:$A,"DSB",'COM results'!$B:$B,"VAR_Fout"))/V5</f>
        <v>0.24376170213531023</v>
      </c>
    </row>
    <row r="18" spans="1:14" x14ac:dyDescent="0.3">
      <c r="A18" s="15" t="s">
        <v>54</v>
      </c>
      <c r="B18" s="15" t="s">
        <v>56</v>
      </c>
      <c r="C18" s="19">
        <f>(SUMIFS('COM results'!$G:$G,'COM results'!$D:$D,"CSH",'COM results'!$F:$F,C$2,'COM results'!$A:$A,"DSF",'COM results'!$B:$B,"VAR_Fout")+SUMIFS('COM results'!$G:$G,'COM results'!$D:$D,"CSH",'COM results'!$F:$F,C$2,'COM results'!$A:$A,"NGF",'COM results'!$B:$B,"VAR_Fout"))/N5</f>
        <v>0.30362736590238504</v>
      </c>
      <c r="D18" s="19">
        <f>(SUMIFS('COM results'!$G:$G,'COM results'!$D:$D,"CSH",'COM results'!$F:$F,D$2,'COM results'!$A:$A,"DSF",'COM results'!$B:$B,"VAR_Fout")+SUMIFS('COM results'!$G:$G,'COM results'!$D:$D,"CSH",'COM results'!$F:$F,D$2,'COM results'!$A:$A,"NGF",'COM results'!$B:$B,"VAR_Fout"))/O5</f>
        <v>0.32940354097769636</v>
      </c>
      <c r="E18" s="19">
        <f>(SUMIFS('COM results'!$G:$G,'COM results'!$D:$D,"CSH",'COM results'!$F:$F,E$2,'COM results'!$A:$A,"DSF",'COM results'!$B:$B,"VAR_Fout")+SUMIFS('COM results'!$G:$G,'COM results'!$D:$D,"CSH",'COM results'!$F:$F,E$2,'COM results'!$A:$A,"NGF",'COM results'!$B:$B,"VAR_Fout"))/P5</f>
        <v>0.54112017752331731</v>
      </c>
      <c r="F18" s="19">
        <f>(SUMIFS('COM results'!$G:$G,'COM results'!$D:$D,"CSH",'COM results'!$F:$F,F$2,'COM results'!$A:$A,"DSF",'COM results'!$B:$B,"VAR_Fout")+SUMIFS('COM results'!$G:$G,'COM results'!$D:$D,"CSH",'COM results'!$F:$F,F$2,'COM results'!$A:$A,"NGF",'COM results'!$B:$B,"VAR_Fout"))/Q5</f>
        <v>0.57868151152602143</v>
      </c>
      <c r="G18" s="19">
        <f>(SUMIFS('COM results'!$G:$G,'COM results'!$D:$D,"CSH",'COM results'!$F:$F,G$2,'COM results'!$A:$A,"DSF",'COM results'!$B:$B,"VAR_Fout")+SUMIFS('COM results'!$G:$G,'COM results'!$D:$D,"CSH",'COM results'!$F:$F,G$2,'COM results'!$A:$A,"NGF",'COM results'!$B:$B,"VAR_Fout"))/R5</f>
        <v>0.40745306545640203</v>
      </c>
      <c r="H18" s="19">
        <f>(SUMIFS('COM results'!$G:$G,'COM results'!$D:$D,"CSH",'COM results'!$F:$F,H$2,'COM results'!$A:$A,"DSF",'COM results'!$B:$B,"VAR_Fout")+SUMIFS('COM results'!$G:$G,'COM results'!$D:$D,"CSH",'COM results'!$F:$F,H$2,'COM results'!$A:$A,"NGF",'COM results'!$B:$B,"VAR_Fout"))/S5</f>
        <v>0.54479571851915443</v>
      </c>
      <c r="I18" s="19">
        <f>(SUMIFS('COM results'!$G:$G,'COM results'!$D:$D,"CSH",'COM results'!$F:$F,I$2,'COM results'!$A:$A,"DSF",'COM results'!$B:$B,"VAR_Fout")+SUMIFS('COM results'!$G:$G,'COM results'!$D:$D,"CSH",'COM results'!$F:$F,I$2,'COM results'!$A:$A,"NGF",'COM results'!$B:$B,"VAR_Fout"))/T5</f>
        <v>0.60704271182618685</v>
      </c>
      <c r="J18" s="19">
        <f>(SUMIFS('COM results'!$G:$G,'COM results'!$D:$D,"CSH",'COM results'!$F:$F,J$2,'COM results'!$A:$A,"DSF",'COM results'!$B:$B,"VAR_Fout")+SUMIFS('COM results'!$G:$G,'COM results'!$D:$D,"CSH",'COM results'!$F:$F,J$2,'COM results'!$A:$A,"NGF",'COM results'!$B:$B,"VAR_Fout"))/U5</f>
        <v>0.61119991657273343</v>
      </c>
      <c r="K18" s="19">
        <f>(SUMIFS('COM results'!$G:$G,'COM results'!$D:$D,"CSH",'COM results'!$F:$F,K$2,'COM results'!$A:$A,"DSF",'COM results'!$B:$B,"VAR_Fout")+SUMIFS('COM results'!$G:$G,'COM results'!$D:$D,"CSH",'COM results'!$F:$F,K$2,'COM results'!$A:$A,"NGF",'COM results'!$B:$B,"VAR_Fout"))/V5</f>
        <v>0.60047000401841821</v>
      </c>
    </row>
    <row r="19" spans="1:14" x14ac:dyDescent="0.3">
      <c r="A19" s="15" t="s">
        <v>57</v>
      </c>
      <c r="B19" s="15" t="s">
        <v>59</v>
      </c>
      <c r="C19" s="19">
        <f>(SUMIFS('COM results'!$G:$G,'COM results'!$D:$D,"CSH",'COM results'!$F:$F,C$2,'COM results'!$A:$A,"ELO",'COM results'!$B:$B,"VAR_Fout"))/N5</f>
        <v>6.3154877594358769E-2</v>
      </c>
      <c r="D19" s="19">
        <f>(SUMIFS('COM results'!$G:$G,'COM results'!$D:$D,"CSH",'COM results'!$F:$F,D$2,'COM results'!$A:$A,"ELO",'COM results'!$B:$B,"VAR_Fout"))/O5</f>
        <v>5.2318465391976765E-2</v>
      </c>
      <c r="E19" s="19">
        <f>(SUMIFS('COM results'!$G:$G,'COM results'!$D:$D,"CSH",'COM results'!$F:$F,E$2,'COM results'!$A:$A,"ELO",'COM results'!$B:$B,"VAR_Fout"))/P5</f>
        <v>2.8949809991166506E-2</v>
      </c>
      <c r="F19" s="19">
        <f>(SUMIFS('COM results'!$G:$G,'COM results'!$D:$D,"CSH",'COM results'!$F:$F,F$2,'COM results'!$A:$A,"ELO",'COM results'!$B:$B,"VAR_Fout"))/Q5</f>
        <v>5.9125578544157668E-2</v>
      </c>
      <c r="G19" s="19">
        <f>(SUMIFS('COM results'!$G:$G,'COM results'!$D:$D,"CSH",'COM results'!$F:$F,G$2,'COM results'!$A:$A,"ELO",'COM results'!$B:$B,"VAR_Fout"))/R5</f>
        <v>4.8928425319177807E-2</v>
      </c>
      <c r="H19" s="19">
        <f>(SUMIFS('COM results'!$G:$G,'COM results'!$D:$D,"CSH",'COM results'!$F:$F,H$2,'COM results'!$A:$A,"ELO",'COM results'!$B:$B,"VAR_Fout"))/S5</f>
        <v>4.8591093931994803E-2</v>
      </c>
      <c r="I19" s="19">
        <f>(SUMIFS('COM results'!$G:$G,'COM results'!$D:$D,"CSH",'COM results'!$F:$F,I$2,'COM results'!$A:$A,"ELO",'COM results'!$B:$B,"VAR_Fout"))/T5</f>
        <v>6.1772568361833584E-2</v>
      </c>
      <c r="J19" s="19">
        <f>(SUMIFS('COM results'!$G:$G,'COM results'!$D:$D,"CSH",'COM results'!$F:$F,J$2,'COM results'!$A:$A,"ELO",'COM results'!$B:$B,"VAR_Fout"))/U5</f>
        <v>4.6423635029026855E-2</v>
      </c>
      <c r="K19" s="19">
        <f>(SUMIFS('COM results'!$G:$G,'COM results'!$D:$D,"CSH",'COM results'!$F:$F,K$2,'COM results'!$A:$A,"ELO",'COM results'!$B:$B,"VAR_Fout"))/V5</f>
        <v>4.4796796116316713E-2</v>
      </c>
    </row>
    <row r="20" spans="1:14" x14ac:dyDescent="0.3">
      <c r="A20" s="15" t="s">
        <v>60</v>
      </c>
      <c r="B20" s="15" t="s">
        <v>62</v>
      </c>
      <c r="C20" s="19">
        <f>(SUMIFS('COM results'!$G:$G,'COM results'!$D:$D,"CWH",'COM results'!$F:$F,C$2,'COM results'!$A:$A,"EHP",'COM results'!$B:$B,"VAR_Fout")+SUMIFS('COM results'!$G:$G,'COM results'!$D:$D,"CWH",'COM results'!$F:$F,C$2,'COM results'!$A:$A,"EWH",'COM results'!$B:$B,"VAR_Fout")+SUMIFS('COM results'!$G:$G,'COM results'!$D:$D,"CWH",'COM results'!$F:$F,C$2,'COM results'!$A:$A,"SLN",'COM results'!$B:$B,"VAR_Fout"))/N6</f>
        <v>4.2325708746474705E-2</v>
      </c>
      <c r="D20" s="19">
        <f>(SUMIFS('COM results'!$G:$G,'COM results'!$D:$D,"CWH",'COM results'!$F:$F,D$2,'COM results'!$A:$A,"EHP",'COM results'!$B:$B,"VAR_Fout")+SUMIFS('COM results'!$G:$G,'COM results'!$D:$D,"CWH",'COM results'!$F:$F,D$2,'COM results'!$A:$A,"EWH",'COM results'!$B:$B,"VAR_Fout")+SUMIFS('COM results'!$G:$G,'COM results'!$D:$D,"CWH",'COM results'!$F:$F,D$2,'COM results'!$A:$A,"SLN",'COM results'!$B:$B,"VAR_Fout"))/O6</f>
        <v>4.4978319968631685E-2</v>
      </c>
      <c r="E20" s="19">
        <f>(SUMIFS('COM results'!$G:$G,'COM results'!$D:$D,"CWH",'COM results'!$F:$F,E$2,'COM results'!$A:$A,"EHP",'COM results'!$B:$B,"VAR_Fout")+SUMIFS('COM results'!$G:$G,'COM results'!$D:$D,"CWH",'COM results'!$F:$F,E$2,'COM results'!$A:$A,"EWH",'COM results'!$B:$B,"VAR_Fout")+SUMIFS('COM results'!$G:$G,'COM results'!$D:$D,"CWH",'COM results'!$F:$F,E$2,'COM results'!$A:$A,"SLN",'COM results'!$B:$B,"VAR_Fout"))/P6</f>
        <v>5.7503029242420484E-2</v>
      </c>
      <c r="F20" s="19">
        <f>(SUMIFS('COM results'!$G:$G,'COM results'!$D:$D,"CWH",'COM results'!$F:$F,F$2,'COM results'!$A:$A,"EHP",'COM results'!$B:$B,"VAR_Fout")+SUMIFS('COM results'!$G:$G,'COM results'!$D:$D,"CWH",'COM results'!$F:$F,F$2,'COM results'!$A:$A,"EWH",'COM results'!$B:$B,"VAR_Fout")+SUMIFS('COM results'!$G:$G,'COM results'!$D:$D,"CWH",'COM results'!$F:$F,F$2,'COM results'!$A:$A,"SLN",'COM results'!$B:$B,"VAR_Fout"))/Q6</f>
        <v>8.2187439669430554E-2</v>
      </c>
      <c r="G20" s="19">
        <f>(SUMIFS('COM results'!$G:$G,'COM results'!$D:$D,"CWH",'COM results'!$F:$F,G$2,'COM results'!$A:$A,"EHP",'COM results'!$B:$B,"VAR_Fout")+SUMIFS('COM results'!$G:$G,'COM results'!$D:$D,"CWH",'COM results'!$F:$F,G$2,'COM results'!$A:$A,"EWH",'COM results'!$B:$B,"VAR_Fout")+SUMIFS('COM results'!$G:$G,'COM results'!$D:$D,"CWH",'COM results'!$F:$F,G$2,'COM results'!$A:$A,"SLN",'COM results'!$B:$B,"VAR_Fout"))/R6</f>
        <v>0.23318614401177079</v>
      </c>
      <c r="H20" s="19">
        <f>(SUMIFS('COM results'!$G:$G,'COM results'!$D:$D,"CWH",'COM results'!$F:$F,H$2,'COM results'!$A:$A,"EHP",'COM results'!$B:$B,"VAR_Fout")+SUMIFS('COM results'!$G:$G,'COM results'!$D:$D,"CWH",'COM results'!$F:$F,H$2,'COM results'!$A:$A,"EWH",'COM results'!$B:$B,"VAR_Fout")+SUMIFS('COM results'!$G:$G,'COM results'!$D:$D,"CWH",'COM results'!$F:$F,H$2,'COM results'!$A:$A,"SLN",'COM results'!$B:$B,"VAR_Fout"))/S6</f>
        <v>0.17484744950295505</v>
      </c>
      <c r="I20" s="19">
        <f>(SUMIFS('COM results'!$G:$G,'COM results'!$D:$D,"CWH",'COM results'!$F:$F,I$2,'COM results'!$A:$A,"EHP",'COM results'!$B:$B,"VAR_Fout")+SUMIFS('COM results'!$G:$G,'COM results'!$D:$D,"CWH",'COM results'!$F:$F,I$2,'COM results'!$A:$A,"EWH",'COM results'!$B:$B,"VAR_Fout")+SUMIFS('COM results'!$G:$G,'COM results'!$D:$D,"CWH",'COM results'!$F:$F,I$2,'COM results'!$A:$A,"SLN",'COM results'!$B:$B,"VAR_Fout"))/T6</f>
        <v>0.11150700433399213</v>
      </c>
      <c r="J20" s="19">
        <f>(SUMIFS('COM results'!$G:$G,'COM results'!$D:$D,"CWH",'COM results'!$F:$F,J$2,'COM results'!$A:$A,"EHP",'COM results'!$B:$B,"VAR_Fout")+SUMIFS('COM results'!$G:$G,'COM results'!$D:$D,"CWH",'COM results'!$F:$F,J$2,'COM results'!$A:$A,"EWH",'COM results'!$B:$B,"VAR_Fout")+SUMIFS('COM results'!$G:$G,'COM results'!$D:$D,"CWH",'COM results'!$F:$F,J$2,'COM results'!$A:$A,"SLN",'COM results'!$B:$B,"VAR_Fout"))/U6</f>
        <v>8.2831728684418418E-2</v>
      </c>
      <c r="K20" s="19">
        <f>(SUMIFS('COM results'!$G:$G,'COM results'!$D:$D,"CWH",'COM results'!$F:$F,K$2,'COM results'!$A:$A,"EHP",'COM results'!$B:$B,"VAR_Fout")+SUMIFS('COM results'!$G:$G,'COM results'!$D:$D,"CWH",'COM results'!$F:$F,K$2,'COM results'!$A:$A,"EWH",'COM results'!$B:$B,"VAR_Fout")+SUMIFS('COM results'!$G:$G,'COM results'!$D:$D,"CWH",'COM results'!$F:$F,K$2,'COM results'!$A:$A,"SLN",'COM results'!$B:$B,"VAR_Fout"))/V6</f>
        <v>2.5633723221426832E-2</v>
      </c>
    </row>
    <row r="21" spans="1:14" x14ac:dyDescent="0.3">
      <c r="A21" s="15" t="s">
        <v>63</v>
      </c>
      <c r="B21" s="15" t="s">
        <v>65</v>
      </c>
      <c r="C21" s="19">
        <f>(SUMIFS('COM results'!$G:$G,'COM results'!$D:$D,"CWH",'COM results'!$F:$F,C$2,'COM results'!$A:$A,"NWH",'COM results'!$B:$B,"VAR_Fout"))/N6</f>
        <v>0.79370254661717832</v>
      </c>
      <c r="D21" s="19">
        <f>(SUMIFS('COM results'!$G:$G,'COM results'!$D:$D,"CWH",'COM results'!$F:$F,D$2,'COM results'!$A:$A,"NWH",'COM results'!$B:$B,"VAR_Fout"))/O6</f>
        <v>0.95502168003136834</v>
      </c>
      <c r="E21" s="19">
        <f>(SUMIFS('COM results'!$G:$G,'COM results'!$D:$D,"CWH",'COM results'!$F:$F,E$2,'COM results'!$A:$A,"NWH",'COM results'!$B:$B,"VAR_Fout"))/P6</f>
        <v>0.94249697075757966</v>
      </c>
      <c r="F21" s="19">
        <f>(SUMIFS('COM results'!$G:$G,'COM results'!$D:$D,"CWH",'COM results'!$F:$F,F$2,'COM results'!$A:$A,"NWH",'COM results'!$B:$B,"VAR_Fout"))/Q6</f>
        <v>0.91781256033056946</v>
      </c>
      <c r="G21" s="19">
        <f>(SUMIFS('COM results'!$G:$G,'COM results'!$D:$D,"CWH",'COM results'!$F:$F,G$2,'COM results'!$A:$A,"NWH",'COM results'!$B:$B,"VAR_Fout"))/R6</f>
        <v>0.75910398481619157</v>
      </c>
      <c r="H21" s="19">
        <f>(SUMIFS('COM results'!$G:$G,'COM results'!$D:$D,"CWH",'COM results'!$F:$F,H$2,'COM results'!$A:$A,"NWH",'COM results'!$B:$B,"VAR_Fout"))/S6</f>
        <v>0.82515255049704495</v>
      </c>
      <c r="I21" s="19">
        <f>(SUMIFS('COM results'!$G:$G,'COM results'!$D:$D,"CWH",'COM results'!$F:$F,I$2,'COM results'!$A:$A,"NWH",'COM results'!$B:$B,"VAR_Fout"))/T6</f>
        <v>0.88849299566600792</v>
      </c>
      <c r="J21" s="19">
        <f>(SUMIFS('COM results'!$G:$G,'COM results'!$D:$D,"CWH",'COM results'!$F:$F,J$2,'COM results'!$A:$A,"NWH",'COM results'!$B:$B,"VAR_Fout"))/U6</f>
        <v>0.91716827131558154</v>
      </c>
      <c r="K21" s="19">
        <f>(SUMIFS('COM results'!$G:$G,'COM results'!$D:$D,"CWH",'COM results'!$F:$F,K$2,'COM results'!$A:$A,"NWH",'COM results'!$B:$B,"VAR_Fout"))/V6</f>
        <v>0.97436627677857313</v>
      </c>
    </row>
    <row r="22" spans="1:14" x14ac:dyDescent="0.3">
      <c r="A22" s="15" t="s">
        <v>66</v>
      </c>
      <c r="B22" s="15" t="s">
        <v>68</v>
      </c>
      <c r="C22" s="19">
        <f>(SUMIFS('COM results'!$G:$G,'COM results'!$D:$D,"CWH",'COM results'!$F:$F,C$2,'COM results'!$A:$A,"DWH",'COM results'!$B:$B,"VAR_Fout"))/N6</f>
        <v>0.16397174463634701</v>
      </c>
      <c r="D22" s="19">
        <f>(SUMIFS('COM results'!$G:$G,'COM results'!$D:$D,"CWH",'COM results'!$F:$F,D$2,'COM results'!$A:$A,"DWH",'COM results'!$B:$B,"VAR_Fout"))/O6</f>
        <v>0</v>
      </c>
      <c r="E22" s="19">
        <f>(SUMIFS('COM results'!$G:$G,'COM results'!$D:$D,"CWH",'COM results'!$F:$F,E$2,'COM results'!$A:$A,"DWH",'COM results'!$B:$B,"VAR_Fout"))/P6</f>
        <v>0</v>
      </c>
      <c r="F22" s="19">
        <f>(SUMIFS('COM results'!$G:$G,'COM results'!$D:$D,"CWH",'COM results'!$F:$F,F$2,'COM results'!$A:$A,"DWH",'COM results'!$B:$B,"VAR_Fout"))/Q6</f>
        <v>0</v>
      </c>
      <c r="G22" s="19">
        <f>(SUMIFS('COM results'!$G:$G,'COM results'!$D:$D,"CWH",'COM results'!$F:$F,G$2,'COM results'!$A:$A,"DWH",'COM results'!$B:$B,"VAR_Fout"))/R6</f>
        <v>7.7098711720377262E-3</v>
      </c>
      <c r="H22" s="19">
        <f>(SUMIFS('COM results'!$G:$G,'COM results'!$D:$D,"CWH",'COM results'!$F:$F,H$2,'COM results'!$A:$A,"DWH",'COM results'!$B:$B,"VAR_Fout"))/S6</f>
        <v>0</v>
      </c>
      <c r="I22" s="19">
        <f>(SUMIFS('COM results'!$G:$G,'COM results'!$D:$D,"CWH",'COM results'!$F:$F,I$2,'COM results'!$A:$A,"DWH",'COM results'!$B:$B,"VAR_Fout"))/T6</f>
        <v>0</v>
      </c>
      <c r="J22" s="19">
        <f>(SUMIFS('COM results'!$G:$G,'COM results'!$D:$D,"CWH",'COM results'!$F:$F,J$2,'COM results'!$A:$A,"DWH",'COM results'!$B:$B,"VAR_Fout"))/U6</f>
        <v>0</v>
      </c>
      <c r="K22" s="19">
        <f>(SUMIFS('COM results'!$G:$G,'COM results'!$D:$D,"CWH",'COM results'!$F:$F,K$2,'COM results'!$A:$A,"DWH",'COM results'!$B:$B,"VAR_Fout"))/V6</f>
        <v>0</v>
      </c>
    </row>
    <row r="23" spans="1:14" x14ac:dyDescent="0.3">
      <c r="A23" s="15" t="s">
        <v>69</v>
      </c>
      <c r="B23" s="15" t="s">
        <v>70</v>
      </c>
      <c r="C23" s="19">
        <f>(SUMIFS('COM results'!$G:$G,'COM results'!$D:$D,"CWH",'COM results'!$F:$F,C$2,'COM results'!$A:$A,"SLN",'COM results'!$B:$B,"VAR_Fout"))/N6</f>
        <v>2.2566882308699882E-3</v>
      </c>
      <c r="D23" s="19">
        <f>(SUMIFS('COM results'!$G:$G,'COM results'!$D:$D,"CWH",'COM results'!$F:$F,D$2,'COM results'!$A:$A,"SLN",'COM results'!$B:$B,"VAR_Fout"))/O6</f>
        <v>0</v>
      </c>
      <c r="E23" s="19">
        <f>(SUMIFS('COM results'!$G:$G,'COM results'!$D:$D,"CWH",'COM results'!$F:$F,E$2,'COM results'!$A:$A,"SLN",'COM results'!$B:$B,"VAR_Fout"))/P6</f>
        <v>1.6157216985814979E-3</v>
      </c>
      <c r="F23" s="19">
        <f>(SUMIFS('COM results'!$G:$G,'COM results'!$D:$D,"CWH",'COM results'!$F:$F,F$2,'COM results'!$A:$A,"SLN",'COM results'!$B:$B,"VAR_Fout"))/Q6</f>
        <v>0</v>
      </c>
      <c r="G23" s="19">
        <f>(SUMIFS('COM results'!$G:$G,'COM results'!$D:$D,"CWH",'COM results'!$F:$F,G$2,'COM results'!$A:$A,"SLN",'COM results'!$B:$B,"VAR_Fout"))/R6</f>
        <v>0</v>
      </c>
      <c r="H23" s="19">
        <f>(SUMIFS('COM results'!$G:$G,'COM results'!$D:$D,"CWH",'COM results'!$F:$F,H$2,'COM results'!$A:$A,"SLN",'COM results'!$B:$B,"VAR_Fout"))/S6</f>
        <v>0</v>
      </c>
      <c r="I23" s="19">
        <f>(SUMIFS('COM results'!$G:$G,'COM results'!$D:$D,"CWH",'COM results'!$F:$F,I$2,'COM results'!$A:$A,"SLN",'COM results'!$B:$B,"VAR_Fout"))/T6</f>
        <v>0</v>
      </c>
      <c r="J23" s="19">
        <f>(SUMIFS('COM results'!$G:$G,'COM results'!$D:$D,"CWH",'COM results'!$F:$F,J$2,'COM results'!$A:$A,"SLN",'COM results'!$B:$B,"VAR_Fout"))/U6</f>
        <v>0</v>
      </c>
      <c r="K23" s="19">
        <f>(SUMIFS('COM results'!$G:$G,'COM results'!$D:$D,"CWH",'COM results'!$F:$F,K$2,'COM results'!$A:$A,"SLN",'COM results'!$B:$B,"VAR_Fout"))/V6</f>
        <v>0</v>
      </c>
    </row>
    <row r="24" spans="1:14" x14ac:dyDescent="0.3">
      <c r="A24" s="15"/>
      <c r="B24" s="15"/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</row>
    <row r="25" spans="1:14" x14ac:dyDescent="0.3">
      <c r="A25" s="15"/>
      <c r="B25" s="15"/>
      <c r="C25" s="15"/>
      <c r="D25" s="15"/>
      <c r="E25" s="15"/>
      <c r="F25" s="17"/>
      <c r="G25" s="17"/>
      <c r="H25" s="17"/>
      <c r="I25" s="17"/>
      <c r="J25" s="17"/>
      <c r="K25" s="17"/>
      <c r="L25" s="17"/>
      <c r="M25" s="17"/>
      <c r="N25" s="17"/>
    </row>
    <row r="26" spans="1:14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15" thickBot="1" x14ac:dyDescent="0.35">
      <c r="A27" s="6" t="s">
        <v>111</v>
      </c>
      <c r="B27" s="6" t="s">
        <v>117</v>
      </c>
      <c r="C27" s="6">
        <v>2012</v>
      </c>
      <c r="D27" s="6"/>
      <c r="E27" s="6"/>
      <c r="F27" s="6"/>
      <c r="G27" s="10"/>
    </row>
    <row r="28" spans="1:14" x14ac:dyDescent="0.3">
      <c r="A28" s="15" t="s">
        <v>71</v>
      </c>
      <c r="B28" s="15" t="s">
        <v>73</v>
      </c>
      <c r="C28" s="19">
        <f>(SUMIFS('COM results'!$G:$G,'COM results'!$D:$D,"CVT",'COM results'!$A:$A,"CAV",'COM results'!$B:$B,"VAR_Fout"))/$W$7</f>
        <v>0.6467453288449051</v>
      </c>
      <c r="D28" s="15"/>
      <c r="E28" s="15"/>
      <c r="F28" s="15"/>
      <c r="G28" s="15"/>
    </row>
    <row r="29" spans="1:14" x14ac:dyDescent="0.3">
      <c r="A29" s="15" t="s">
        <v>74</v>
      </c>
      <c r="B29" s="15" t="s">
        <v>76</v>
      </c>
      <c r="C29" s="19">
        <f>(SUMIFS('COM results'!$G:$G,'COM results'!$D:$D,"CVT",'COM results'!$A:$A,"VAV",'COM results'!$B:$B,"VAR_Fout"))/$W$7</f>
        <v>0.35325467115509468</v>
      </c>
      <c r="D29" s="15"/>
      <c r="E29" s="15"/>
      <c r="F29" s="15"/>
      <c r="G29" s="15"/>
    </row>
    <row r="30" spans="1:14" x14ac:dyDescent="0.3">
      <c r="A30" s="15" t="s">
        <v>77</v>
      </c>
      <c r="B30" s="15" t="s">
        <v>79</v>
      </c>
      <c r="C30" s="19">
        <f>(SUMIFS('COM results'!$G:$G,'COM results'!$D:$D,"CRF",'COM results'!$A:$A,"CEN",'COM results'!$B:$B,"VAR_Fout"))/$W$8</f>
        <v>7.1083871367809651E-2</v>
      </c>
      <c r="D30" s="15"/>
      <c r="E30" s="15"/>
      <c r="F30" s="15"/>
      <c r="G30" s="15"/>
    </row>
    <row r="31" spans="1:14" x14ac:dyDescent="0.3">
      <c r="A31" s="15" t="s">
        <v>80</v>
      </c>
      <c r="B31" s="15" t="s">
        <v>82</v>
      </c>
      <c r="C31" s="19">
        <f>(SUMIFS('COM results'!$G:$G,'COM results'!$D:$D,"CRF",'COM results'!$A:$A,"WIR",'COM results'!$B:$B,"VAR_Fout"))/$W$8</f>
        <v>0.22641521134470721</v>
      </c>
      <c r="D31" s="15"/>
      <c r="E31" s="15"/>
      <c r="F31" s="15"/>
      <c r="G31" s="15"/>
    </row>
    <row r="32" spans="1:14" x14ac:dyDescent="0.3">
      <c r="A32" s="15" t="s">
        <v>83</v>
      </c>
      <c r="B32" s="15" t="s">
        <v>85</v>
      </c>
      <c r="C32" s="19">
        <f>(SUMIFS('COM results'!$G:$G,'COM results'!$D:$D,"CRF",'COM results'!$A:$A,"WIF",'COM results'!$B:$B,"VAR_Fout"))/$W$8</f>
        <v>8.4334052814976537E-2</v>
      </c>
      <c r="D32" s="15"/>
      <c r="E32" s="15"/>
      <c r="F32" s="15"/>
      <c r="G32" s="15"/>
    </row>
    <row r="33" spans="1:11" x14ac:dyDescent="0.3">
      <c r="A33" s="15" t="s">
        <v>86</v>
      </c>
      <c r="B33" s="15" t="s">
        <v>88</v>
      </c>
      <c r="C33" s="19">
        <f>(SUMIFS('COM results'!$G:$G,'COM results'!$D:$D,"CRF",'COM results'!$A:$A,"RIR",'COM results'!$B:$B,"VAR_Fout"))/$W$8</f>
        <v>9.2403623981895167E-2</v>
      </c>
      <c r="D33" s="15"/>
      <c r="E33" s="15"/>
      <c r="F33" s="15"/>
      <c r="G33" s="15"/>
    </row>
    <row r="34" spans="1:11" x14ac:dyDescent="0.3">
      <c r="A34" s="15" t="s">
        <v>89</v>
      </c>
      <c r="B34" s="15" t="s">
        <v>91</v>
      </c>
      <c r="C34" s="19">
        <f>(SUMIFS('COM results'!$G:$G,'COM results'!$D:$D,"CRF",'COM results'!$A:$A,"RIF",'COM results'!$B:$B,"VAR_Fout"))/$W$8</f>
        <v>0.31895095707721072</v>
      </c>
      <c r="D34" s="15"/>
      <c r="E34" s="15"/>
      <c r="F34" s="15"/>
      <c r="G34" s="15"/>
    </row>
    <row r="35" spans="1:11" x14ac:dyDescent="0.3">
      <c r="A35" s="15" t="s">
        <v>92</v>
      </c>
      <c r="B35" s="15" t="s">
        <v>94</v>
      </c>
      <c r="C35" s="19">
        <f>(SUMIFS('COM results'!$G:$G,'COM results'!$D:$D,"CRF",'COM results'!$A:$A,"ICM",'COM results'!$B:$B,"VAR_Fout"))/$W$8</f>
        <v>3.7141195425201945E-2</v>
      </c>
      <c r="D35" s="15"/>
      <c r="E35" s="15"/>
      <c r="F35" s="15"/>
      <c r="G35" s="15"/>
    </row>
    <row r="36" spans="1:11" x14ac:dyDescent="0.3">
      <c r="A36" s="15" t="s">
        <v>95</v>
      </c>
      <c r="B36" s="15" t="s">
        <v>97</v>
      </c>
      <c r="C36" s="19">
        <f>(SUMIFS('COM results'!$G:$G,'COM results'!$D:$D,"CRF",'COM results'!$A:$A,"BVM",'COM results'!$B:$B,"VAR_Fout"))/$W$8</f>
        <v>0.12217313911207972</v>
      </c>
      <c r="D36" s="15"/>
      <c r="E36" s="15"/>
      <c r="F36" s="15"/>
      <c r="G36" s="15"/>
    </row>
    <row r="37" spans="1:11" x14ac:dyDescent="0.3">
      <c r="A37" s="15" t="s">
        <v>98</v>
      </c>
      <c r="B37" s="15" t="s">
        <v>100</v>
      </c>
      <c r="C37" s="19">
        <f>(SUMIFS('COM results'!$G:$G,'COM results'!$D:$D,"CRF",'COM results'!$A:$A,"RVM",'COM results'!$B:$B,"VAR_Fout"))/$W$8</f>
        <v>4.749794887611912E-2</v>
      </c>
      <c r="D37" s="15"/>
      <c r="E37" s="15"/>
      <c r="F37" s="15"/>
      <c r="G37" s="15"/>
    </row>
    <row r="38" spans="1:11" x14ac:dyDescent="0.3">
      <c r="A38" s="15" t="s">
        <v>101</v>
      </c>
      <c r="B38" s="15" t="s">
        <v>103</v>
      </c>
      <c r="C38" s="19">
        <f>(SUMIFS('COM results'!$G:$G,'COM results'!$D:$D,"CLT",'COM results'!$A:$A,"INC",'COM results'!$B:$B,"VAR_Fout"))/$W$9</f>
        <v>3.2704942183338949E-2</v>
      </c>
      <c r="D38" s="15"/>
      <c r="E38" s="15"/>
      <c r="F38" s="15"/>
      <c r="G38" s="15"/>
    </row>
    <row r="39" spans="1:11" x14ac:dyDescent="0.3">
      <c r="A39" s="18" t="s">
        <v>104</v>
      </c>
      <c r="B39" s="18" t="s">
        <v>106</v>
      </c>
      <c r="C39" s="19">
        <f>(SUMIFS('COM results'!$G:$G,'COM results'!$D:$D,"CLT",'COM results'!$A:$A,"CFL",'COM results'!$B:$B,"VAR_Fout"))/$W$9</f>
        <v>0.12857384381690759</v>
      </c>
      <c r="D39" s="18"/>
      <c r="E39" s="18"/>
      <c r="F39" s="18"/>
      <c r="G39" s="18"/>
    </row>
    <row r="40" spans="1:11" x14ac:dyDescent="0.3">
      <c r="A40" s="18" t="s">
        <v>107</v>
      </c>
      <c r="B40" s="18" t="s">
        <v>109</v>
      </c>
      <c r="C40" s="19">
        <f>(SUMIFS('COM results'!$G:$G,'COM results'!$D:$D,"CLT",'COM results'!$A:$A,"T8",'COM results'!$B:$B,"VAR_Fout"))/$W$9</f>
        <v>0.68121166267920263</v>
      </c>
      <c r="D40" s="18"/>
      <c r="E40" s="18"/>
      <c r="F40" s="18"/>
      <c r="G40" s="18"/>
    </row>
    <row r="41" spans="1:11" x14ac:dyDescent="0.3">
      <c r="A41" s="18" t="s">
        <v>284</v>
      </c>
      <c r="B41" s="18" t="s">
        <v>285</v>
      </c>
      <c r="C41" s="19">
        <f>(SUMIFS('COM results'!$G:$G,'COM results'!$D:$D,"CLT",'COM results'!$A:$A,"HID",'COM results'!$B:$B,"VAR_Fout"))/$W$9</f>
        <v>7.030561440728314E-2</v>
      </c>
      <c r="D41" s="18"/>
      <c r="E41" s="18"/>
      <c r="F41" s="18"/>
      <c r="G41" s="18"/>
    </row>
    <row r="42" spans="1:11" x14ac:dyDescent="0.3">
      <c r="A42" s="18" t="s">
        <v>196</v>
      </c>
      <c r="B42" s="18" t="s">
        <v>197</v>
      </c>
      <c r="C42" s="19">
        <f>(SUMIFS('COM results'!$G:$G,'COM results'!$D:$D,"CLT",'COM results'!$A:$A,"T5",'COM results'!$B:$B,"VAR_Fout"))/$W$9</f>
        <v>4.8693323984132307E-2</v>
      </c>
      <c r="D42" s="18"/>
      <c r="E42" s="18"/>
      <c r="F42" s="18"/>
      <c r="G42" s="18"/>
    </row>
    <row r="43" spans="1:11" x14ac:dyDescent="0.3">
      <c r="A43" s="18" t="s">
        <v>199</v>
      </c>
      <c r="B43" s="18" t="s">
        <v>200</v>
      </c>
      <c r="C43" s="19">
        <f>(SUMIFS('COM results'!$G:$G,'COM results'!$D:$D,"CLT",'COM results'!$A:$A,"HAL",'COM results'!$B:$B,"VAR_Fout"))/$W$9</f>
        <v>3.4102827434759293E-2</v>
      </c>
      <c r="D43" s="18"/>
      <c r="E43" s="18"/>
      <c r="F43" s="18"/>
      <c r="G43" s="18"/>
    </row>
    <row r="44" spans="1:11" x14ac:dyDescent="0.3">
      <c r="A44" s="18" t="s">
        <v>202</v>
      </c>
      <c r="B44" s="18" t="s">
        <v>201</v>
      </c>
      <c r="C44" s="19">
        <f>(SUMIFS('COM results'!$G:$G,'COM results'!$D:$D,"CLT",'COM results'!$A:$A,"LED",'COM results'!$B:$B,"VAR_Fout"))/$W$9</f>
        <v>4.4077854943759846E-3</v>
      </c>
      <c r="D44" s="18"/>
      <c r="E44" s="18"/>
      <c r="F44" s="18"/>
      <c r="G44" s="18"/>
    </row>
    <row r="45" spans="1:1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P831"/>
  <sheetViews>
    <sheetView workbookViewId="0">
      <selection activeCell="F25" sqref="F25"/>
    </sheetView>
  </sheetViews>
  <sheetFormatPr defaultRowHeight="14.4" x14ac:dyDescent="0.3"/>
  <cols>
    <col min="1" max="16384" width="8.88671875" style="15"/>
  </cols>
  <sheetData>
    <row r="4" spans="1:16" x14ac:dyDescent="0.3">
      <c r="B4" s="15" t="s">
        <v>204</v>
      </c>
    </row>
    <row r="5" spans="1:16" x14ac:dyDescent="0.3">
      <c r="B5" s="15" t="s">
        <v>205</v>
      </c>
    </row>
    <row r="6" spans="1:16" x14ac:dyDescent="0.3">
      <c r="B6" s="15" t="s">
        <v>206</v>
      </c>
    </row>
    <row r="7" spans="1:16" x14ac:dyDescent="0.3">
      <c r="B7" s="15" t="s">
        <v>207</v>
      </c>
      <c r="C7" s="15" t="s">
        <v>208</v>
      </c>
      <c r="D7" s="15" t="s">
        <v>209</v>
      </c>
      <c r="E7" s="15" t="s">
        <v>210</v>
      </c>
      <c r="F7" s="15" t="s">
        <v>211</v>
      </c>
      <c r="G7" s="15">
        <v>2010</v>
      </c>
      <c r="H7" s="15">
        <v>2011</v>
      </c>
      <c r="I7" s="15">
        <v>2015</v>
      </c>
      <c r="J7" s="15">
        <v>2020</v>
      </c>
      <c r="K7" s="15">
        <v>2025</v>
      </c>
      <c r="L7" s="15">
        <v>2030</v>
      </c>
      <c r="M7" s="15">
        <v>2035</v>
      </c>
      <c r="N7" s="15">
        <v>2040</v>
      </c>
      <c r="O7" s="15">
        <v>2045</v>
      </c>
      <c r="P7" s="15">
        <v>2050</v>
      </c>
    </row>
    <row r="8" spans="1:16" x14ac:dyDescent="0.3">
      <c r="A8" s="15" t="s">
        <v>286</v>
      </c>
      <c r="B8" s="15" t="s">
        <v>276</v>
      </c>
      <c r="C8" s="15" t="s">
        <v>212</v>
      </c>
      <c r="D8" s="15" t="s">
        <v>277</v>
      </c>
      <c r="E8" s="15" t="s">
        <v>216</v>
      </c>
      <c r="F8" s="15" t="s">
        <v>0</v>
      </c>
      <c r="G8" s="15">
        <v>3.8570413059044601</v>
      </c>
    </row>
    <row r="9" spans="1:16" x14ac:dyDescent="0.3">
      <c r="A9" s="15" t="s">
        <v>286</v>
      </c>
      <c r="B9" s="15" t="s">
        <v>276</v>
      </c>
      <c r="C9" s="15" t="s">
        <v>212</v>
      </c>
      <c r="D9" s="15" t="s">
        <v>277</v>
      </c>
      <c r="E9" s="15" t="s">
        <v>216</v>
      </c>
      <c r="F9" s="15" t="s">
        <v>1</v>
      </c>
      <c r="G9" s="15">
        <v>9.2635184665553201</v>
      </c>
      <c r="H9" s="15">
        <v>4.8677004865034199</v>
      </c>
      <c r="I9" s="15">
        <v>4.63175923327766</v>
      </c>
    </row>
    <row r="10" spans="1:16" x14ac:dyDescent="0.3">
      <c r="A10" s="15" t="s">
        <v>286</v>
      </c>
      <c r="B10" s="15" t="s">
        <v>276</v>
      </c>
      <c r="C10" s="15" t="s">
        <v>212</v>
      </c>
      <c r="D10" s="15" t="s">
        <v>277</v>
      </c>
      <c r="E10" s="15" t="s">
        <v>216</v>
      </c>
      <c r="F10" s="15" t="s">
        <v>2</v>
      </c>
      <c r="G10" s="15">
        <v>11.6484180838335</v>
      </c>
      <c r="H10" s="15">
        <v>6.1682650467028797</v>
      </c>
      <c r="I10" s="15">
        <v>5.8242090419167498</v>
      </c>
    </row>
    <row r="11" spans="1:16" x14ac:dyDescent="0.3">
      <c r="A11" s="15" t="s">
        <v>286</v>
      </c>
      <c r="B11" s="15" t="s">
        <v>276</v>
      </c>
      <c r="C11" s="15" t="s">
        <v>212</v>
      </c>
      <c r="D11" s="15" t="s">
        <v>277</v>
      </c>
      <c r="E11" s="15" t="s">
        <v>216</v>
      </c>
      <c r="F11" s="15" t="s">
        <v>3</v>
      </c>
      <c r="G11" s="15">
        <v>6.7553758375995603</v>
      </c>
      <c r="H11" s="15">
        <v>3.4073348508368699</v>
      </c>
      <c r="I11" s="15">
        <v>3.3776879187997801</v>
      </c>
    </row>
    <row r="12" spans="1:16" x14ac:dyDescent="0.3">
      <c r="A12" s="15" t="s">
        <v>286</v>
      </c>
      <c r="B12" s="15" t="s">
        <v>276</v>
      </c>
      <c r="C12" s="15" t="s">
        <v>212</v>
      </c>
      <c r="D12" s="15" t="s">
        <v>277</v>
      </c>
      <c r="E12" s="15" t="s">
        <v>216</v>
      </c>
      <c r="F12" s="15" t="s">
        <v>4</v>
      </c>
      <c r="G12" s="15">
        <v>18.3392084377295</v>
      </c>
      <c r="H12" s="15">
        <v>8.9260209672162301</v>
      </c>
      <c r="I12" s="15">
        <v>9.1696042188647695</v>
      </c>
    </row>
    <row r="13" spans="1:16" x14ac:dyDescent="0.3">
      <c r="A13" s="15" t="s">
        <v>286</v>
      </c>
      <c r="B13" s="15" t="s">
        <v>276</v>
      </c>
      <c r="C13" s="15" t="s">
        <v>212</v>
      </c>
      <c r="D13" s="15" t="s">
        <v>277</v>
      </c>
      <c r="E13" s="15" t="s">
        <v>216</v>
      </c>
      <c r="F13" s="15" t="s">
        <v>5</v>
      </c>
      <c r="G13" s="15">
        <v>4.6080010797948203</v>
      </c>
      <c r="H13" s="15">
        <v>2.3625759995876598</v>
      </c>
      <c r="I13" s="15">
        <v>2.3040005398974102</v>
      </c>
    </row>
    <row r="14" spans="1:16" x14ac:dyDescent="0.3">
      <c r="A14" s="15" t="s">
        <v>286</v>
      </c>
      <c r="B14" s="15" t="s">
        <v>276</v>
      </c>
      <c r="C14" s="15" t="s">
        <v>212</v>
      </c>
      <c r="D14" s="15" t="s">
        <v>277</v>
      </c>
      <c r="E14" s="15" t="s">
        <v>216</v>
      </c>
      <c r="F14" s="15" t="s">
        <v>6</v>
      </c>
      <c r="G14" s="15">
        <v>10.80024239756</v>
      </c>
      <c r="H14" s="15">
        <v>5.1744226124646904</v>
      </c>
      <c r="I14" s="15">
        <v>5.40012119878</v>
      </c>
    </row>
    <row r="15" spans="1:16" x14ac:dyDescent="0.3">
      <c r="A15" s="15" t="s">
        <v>286</v>
      </c>
      <c r="B15" s="15" t="s">
        <v>276</v>
      </c>
      <c r="C15" s="15" t="s">
        <v>212</v>
      </c>
      <c r="D15" s="15" t="s">
        <v>277</v>
      </c>
      <c r="E15" s="15" t="s">
        <v>216</v>
      </c>
      <c r="F15" s="15" t="s">
        <v>7</v>
      </c>
      <c r="G15" s="15">
        <v>4.4422286652215597</v>
      </c>
      <c r="H15" s="15">
        <v>2.2135672993061202</v>
      </c>
      <c r="I15" s="15">
        <v>2.2211143326107798</v>
      </c>
    </row>
    <row r="16" spans="1:16" x14ac:dyDescent="0.3">
      <c r="A16" s="15" t="s">
        <v>286</v>
      </c>
      <c r="B16" s="15" t="s">
        <v>276</v>
      </c>
      <c r="C16" s="15" t="s">
        <v>212</v>
      </c>
      <c r="D16" s="15" t="s">
        <v>277</v>
      </c>
      <c r="E16" s="15" t="s">
        <v>216</v>
      </c>
      <c r="F16" s="15" t="s">
        <v>8</v>
      </c>
      <c r="G16" s="15">
        <v>8.8944457572715407</v>
      </c>
      <c r="H16" s="15">
        <v>5.0186877480706799E-2</v>
      </c>
    </row>
    <row r="17" spans="1:16" x14ac:dyDescent="0.3">
      <c r="A17" s="15" t="s">
        <v>286</v>
      </c>
      <c r="B17" s="15" t="s">
        <v>276</v>
      </c>
      <c r="C17" s="15" t="s">
        <v>212</v>
      </c>
      <c r="D17" s="15" t="s">
        <v>277</v>
      </c>
      <c r="E17" s="15" t="s">
        <v>217</v>
      </c>
      <c r="F17" s="15" t="s">
        <v>0</v>
      </c>
      <c r="H17" s="15">
        <v>3.8819225352001698</v>
      </c>
      <c r="I17" s="15">
        <v>3.8819225352001698</v>
      </c>
      <c r="J17" s="15">
        <v>3.8678497146210598</v>
      </c>
      <c r="K17" s="15">
        <v>3.7703718404512196</v>
      </c>
      <c r="L17" s="15">
        <v>3.7406300979021596</v>
      </c>
      <c r="M17" s="15">
        <v>3.7213934749034596</v>
      </c>
      <c r="N17" s="15">
        <v>3.6625172098570098</v>
      </c>
      <c r="O17" s="15">
        <v>3.5934580997147001</v>
      </c>
      <c r="P17" s="15">
        <v>3.5217865982247303</v>
      </c>
    </row>
    <row r="18" spans="1:16" x14ac:dyDescent="0.3">
      <c r="A18" s="15" t="s">
        <v>286</v>
      </c>
      <c r="B18" s="15" t="s">
        <v>276</v>
      </c>
      <c r="C18" s="15" t="s">
        <v>212</v>
      </c>
      <c r="D18" s="15" t="s">
        <v>277</v>
      </c>
      <c r="E18" s="15" t="s">
        <v>217</v>
      </c>
      <c r="F18" s="15" t="s">
        <v>1</v>
      </c>
      <c r="H18" s="15">
        <v>4.6654410530504498</v>
      </c>
      <c r="I18" s="15">
        <v>4.6654410530504498</v>
      </c>
      <c r="J18" s="15">
        <v>9.1964268624377787</v>
      </c>
      <c r="K18" s="15">
        <v>8.8899598304468199</v>
      </c>
      <c r="L18" s="15">
        <v>8.7507711466848512</v>
      </c>
      <c r="M18" s="15">
        <v>8.6484650530646707</v>
      </c>
      <c r="N18" s="15">
        <v>8.4666243356915505</v>
      </c>
      <c r="O18" s="15">
        <v>8.265425510238039</v>
      </c>
      <c r="P18" s="15">
        <v>8.0620582641127605</v>
      </c>
    </row>
    <row r="19" spans="1:16" x14ac:dyDescent="0.3">
      <c r="A19" s="15" t="s">
        <v>286</v>
      </c>
      <c r="B19" s="15" t="s">
        <v>276</v>
      </c>
      <c r="C19" s="15" t="s">
        <v>212</v>
      </c>
      <c r="D19" s="15" t="s">
        <v>277</v>
      </c>
      <c r="E19" s="15" t="s">
        <v>217</v>
      </c>
      <c r="F19" s="15" t="s">
        <v>2</v>
      </c>
      <c r="H19" s="15">
        <v>5.7558169730837996</v>
      </c>
      <c r="I19" s="15">
        <v>5.7558169730837996</v>
      </c>
      <c r="J19" s="15">
        <v>11.46386513328895</v>
      </c>
      <c r="K19" s="15">
        <v>11.139635672165181</v>
      </c>
      <c r="L19" s="15">
        <v>11.033429686602</v>
      </c>
      <c r="M19" s="15">
        <v>10.972639930258449</v>
      </c>
      <c r="N19" s="15">
        <v>10.806039319577661</v>
      </c>
      <c r="O19" s="15">
        <v>10.613788564899931</v>
      </c>
      <c r="P19" s="15">
        <v>10.37783078280845</v>
      </c>
    </row>
    <row r="20" spans="1:16" x14ac:dyDescent="0.3">
      <c r="A20" s="15" t="s">
        <v>286</v>
      </c>
      <c r="B20" s="15" t="s">
        <v>276</v>
      </c>
      <c r="C20" s="15" t="s">
        <v>212</v>
      </c>
      <c r="D20" s="15" t="s">
        <v>277</v>
      </c>
      <c r="E20" s="15" t="s">
        <v>217</v>
      </c>
      <c r="F20" s="15" t="s">
        <v>3</v>
      </c>
      <c r="H20" s="15">
        <v>3.5274060353940002</v>
      </c>
      <c r="I20" s="15">
        <v>3.5274060353940002</v>
      </c>
      <c r="J20" s="15">
        <v>6.96023184801457</v>
      </c>
      <c r="K20" s="15">
        <v>6.8578157329702094</v>
      </c>
      <c r="L20" s="15">
        <v>6.8774364094913203</v>
      </c>
      <c r="M20" s="15">
        <v>6.9310772311726705</v>
      </c>
      <c r="N20" s="15">
        <v>6.9252921723054399</v>
      </c>
      <c r="O20" s="15">
        <v>6.90501931291913</v>
      </c>
      <c r="P20" s="15">
        <v>6.8578717298353808</v>
      </c>
    </row>
    <row r="21" spans="1:16" x14ac:dyDescent="0.3">
      <c r="A21" s="15" t="s">
        <v>286</v>
      </c>
      <c r="B21" s="15" t="s">
        <v>276</v>
      </c>
      <c r="C21" s="15" t="s">
        <v>212</v>
      </c>
      <c r="D21" s="15" t="s">
        <v>277</v>
      </c>
      <c r="E21" s="15" t="s">
        <v>217</v>
      </c>
      <c r="F21" s="15" t="s">
        <v>4</v>
      </c>
      <c r="H21" s="15">
        <v>10.0559097398082</v>
      </c>
      <c r="I21" s="15">
        <v>10.0559097398082</v>
      </c>
      <c r="J21" s="15">
        <v>19.936804698456967</v>
      </c>
      <c r="K21" s="15">
        <v>20.15357936610258</v>
      </c>
      <c r="L21" s="15">
        <v>20.739963763666278</v>
      </c>
      <c r="M21" s="15">
        <v>21.432077065592239</v>
      </c>
      <c r="N21" s="15">
        <v>21.94629429283674</v>
      </c>
      <c r="O21" s="15">
        <v>22.436386862942541</v>
      </c>
      <c r="P21" s="15">
        <v>22.820464464890541</v>
      </c>
    </row>
    <row r="22" spans="1:16" x14ac:dyDescent="0.3">
      <c r="A22" s="15" t="s">
        <v>286</v>
      </c>
      <c r="B22" s="15" t="s">
        <v>276</v>
      </c>
      <c r="C22" s="15" t="s">
        <v>212</v>
      </c>
      <c r="D22" s="15" t="s">
        <v>277</v>
      </c>
      <c r="E22" s="15" t="s">
        <v>217</v>
      </c>
      <c r="F22" s="15" t="s">
        <v>5</v>
      </c>
      <c r="H22" s="15">
        <v>2.3774606115594801</v>
      </c>
      <c r="I22" s="15">
        <v>2.3774606115594801</v>
      </c>
      <c r="J22" s="15">
        <v>5.47599736382658</v>
      </c>
      <c r="K22" s="15">
        <v>5.7737094600110996</v>
      </c>
      <c r="L22" s="15">
        <v>4.6489997094489199</v>
      </c>
      <c r="M22" s="15">
        <v>4.6803843299394003</v>
      </c>
      <c r="N22" s="15">
        <v>4.6706570821083098</v>
      </c>
      <c r="O22" s="15">
        <v>4.6536673612133104</v>
      </c>
      <c r="P22" s="15">
        <v>4.6326671120751204</v>
      </c>
    </row>
    <row r="23" spans="1:16" x14ac:dyDescent="0.3">
      <c r="A23" s="15" t="s">
        <v>286</v>
      </c>
      <c r="B23" s="15" t="s">
        <v>276</v>
      </c>
      <c r="C23" s="15" t="s">
        <v>212</v>
      </c>
      <c r="D23" s="15" t="s">
        <v>277</v>
      </c>
      <c r="E23" s="15" t="s">
        <v>217</v>
      </c>
      <c r="F23" s="15" t="s">
        <v>6</v>
      </c>
      <c r="H23" s="15">
        <v>6.0609589519925304</v>
      </c>
      <c r="I23" s="15">
        <v>6.0609589519925304</v>
      </c>
      <c r="J23" s="15">
        <v>11.99871154116542</v>
      </c>
      <c r="K23" s="15">
        <v>12.22926961754739</v>
      </c>
      <c r="L23" s="15">
        <v>12.67285153284868</v>
      </c>
      <c r="M23" s="15">
        <v>13.179209730917449</v>
      </c>
      <c r="N23" s="15">
        <v>13.578993512654741</v>
      </c>
      <c r="O23" s="15">
        <v>13.962712616094091</v>
      </c>
      <c r="P23" s="15">
        <v>14.306742061394559</v>
      </c>
    </row>
    <row r="24" spans="1:16" x14ac:dyDescent="0.3">
      <c r="A24" s="15" t="s">
        <v>286</v>
      </c>
      <c r="B24" s="15" t="s">
        <v>276</v>
      </c>
      <c r="C24" s="15" t="s">
        <v>212</v>
      </c>
      <c r="D24" s="15" t="s">
        <v>277</v>
      </c>
      <c r="E24" s="15" t="s">
        <v>217</v>
      </c>
      <c r="F24" s="15" t="s">
        <v>7</v>
      </c>
      <c r="H24" s="15">
        <v>2.38731487212991</v>
      </c>
      <c r="I24" s="15">
        <v>2.38731487212991</v>
      </c>
      <c r="J24" s="15">
        <v>4.8522828921299297</v>
      </c>
      <c r="K24" s="15">
        <v>4.9864750844869103</v>
      </c>
      <c r="L24" s="15">
        <v>5.2142739096101103</v>
      </c>
      <c r="M24" s="15">
        <v>5.4763052803781198</v>
      </c>
      <c r="N24" s="15">
        <v>5.6991890668844301</v>
      </c>
      <c r="O24" s="15">
        <v>5.9209108927273899</v>
      </c>
      <c r="P24" s="15">
        <v>6.1382787242642092</v>
      </c>
    </row>
    <row r="25" spans="1:16" x14ac:dyDescent="0.3">
      <c r="A25" s="15" t="s">
        <v>286</v>
      </c>
      <c r="B25" s="15" t="s">
        <v>276</v>
      </c>
      <c r="C25" s="15" t="s">
        <v>212</v>
      </c>
      <c r="D25" s="15" t="s">
        <v>277</v>
      </c>
      <c r="E25" s="15" t="s">
        <v>217</v>
      </c>
      <c r="F25" s="15" t="s">
        <v>8</v>
      </c>
      <c r="H25" s="15">
        <v>9.2544119265360294</v>
      </c>
      <c r="I25" s="15">
        <v>9.2544119265360294</v>
      </c>
      <c r="J25" s="15">
        <v>11.716548911549861</v>
      </c>
      <c r="K25" s="15">
        <v>9.5443833875512798</v>
      </c>
      <c r="L25" s="15">
        <v>9.7223980911750196</v>
      </c>
      <c r="M25" s="15">
        <v>9.9401670689258097</v>
      </c>
      <c r="N25" s="15">
        <v>10.07271118098841</v>
      </c>
      <c r="O25" s="15">
        <v>10.20343053590995</v>
      </c>
      <c r="P25" s="15">
        <v>10.30411871692912</v>
      </c>
    </row>
    <row r="26" spans="1:16" x14ac:dyDescent="0.3">
      <c r="A26" s="15" t="s">
        <v>287</v>
      </c>
      <c r="B26" s="15" t="s">
        <v>276</v>
      </c>
      <c r="C26" s="15" t="s">
        <v>212</v>
      </c>
      <c r="D26" s="15" t="s">
        <v>277</v>
      </c>
      <c r="E26" s="15" t="s">
        <v>213</v>
      </c>
      <c r="F26" s="15" t="s">
        <v>0</v>
      </c>
      <c r="H26" s="15">
        <v>4.3840151368614304</v>
      </c>
      <c r="I26" s="15">
        <v>5.7721376019892796</v>
      </c>
      <c r="J26" s="15">
        <v>7.4059523594156502</v>
      </c>
      <c r="K26" s="15">
        <v>7.5438053132221903</v>
      </c>
      <c r="L26" s="15">
        <v>7.8258269197637498</v>
      </c>
      <c r="M26" s="15">
        <v>8.1466792468433411</v>
      </c>
      <c r="N26" s="15">
        <v>8.3962021122236798</v>
      </c>
      <c r="O26" s="15">
        <v>8.63402510300579</v>
      </c>
      <c r="P26" s="15">
        <v>8.8769559917696608</v>
      </c>
    </row>
    <row r="27" spans="1:16" x14ac:dyDescent="0.3">
      <c r="A27" s="15" t="s">
        <v>287</v>
      </c>
      <c r="B27" s="15" t="s">
        <v>276</v>
      </c>
      <c r="C27" s="15" t="s">
        <v>212</v>
      </c>
      <c r="D27" s="15" t="s">
        <v>277</v>
      </c>
      <c r="E27" s="15" t="s">
        <v>213</v>
      </c>
      <c r="F27" s="15" t="s">
        <v>1</v>
      </c>
      <c r="H27" s="15">
        <v>10.9239412622195</v>
      </c>
      <c r="I27" s="15">
        <v>10.9239412622195</v>
      </c>
      <c r="J27" s="15">
        <v>19.943264197021659</v>
      </c>
      <c r="K27" s="15">
        <v>20.110414045172821</v>
      </c>
      <c r="L27" s="15">
        <v>20.664097777887719</v>
      </c>
      <c r="M27" s="15">
        <v>21.3347810050244</v>
      </c>
      <c r="N27" s="15">
        <v>21.837156060241298</v>
      </c>
      <c r="O27" s="15">
        <v>22.308747083084899</v>
      </c>
      <c r="P27" s="15">
        <v>22.792941446993602</v>
      </c>
    </row>
    <row r="28" spans="1:16" x14ac:dyDescent="0.3">
      <c r="A28" s="15" t="s">
        <v>287</v>
      </c>
      <c r="B28" s="15" t="s">
        <v>276</v>
      </c>
      <c r="C28" s="15" t="s">
        <v>212</v>
      </c>
      <c r="D28" s="15" t="s">
        <v>277</v>
      </c>
      <c r="E28" s="15" t="s">
        <v>213</v>
      </c>
      <c r="F28" s="15" t="s">
        <v>2</v>
      </c>
      <c r="H28" s="15">
        <v>11.9446783327513</v>
      </c>
      <c r="I28" s="15">
        <v>11.9446783327513</v>
      </c>
      <c r="J28" s="15">
        <v>21.306887633308492</v>
      </c>
      <c r="K28" s="15">
        <v>21.644543396171763</v>
      </c>
      <c r="L28" s="15">
        <v>22.42616306197926</v>
      </c>
      <c r="M28" s="15">
        <v>23.3468061438024</v>
      </c>
      <c r="N28" s="15">
        <v>24.087304574208801</v>
      </c>
      <c r="O28" s="15">
        <v>24.806284778457531</v>
      </c>
      <c r="P28" s="15">
        <v>25.454555135764629</v>
      </c>
    </row>
    <row r="29" spans="1:16" x14ac:dyDescent="0.3">
      <c r="A29" s="15" t="s">
        <v>287</v>
      </c>
      <c r="B29" s="15" t="s">
        <v>276</v>
      </c>
      <c r="C29" s="15" t="s">
        <v>212</v>
      </c>
      <c r="D29" s="15" t="s">
        <v>277</v>
      </c>
      <c r="E29" s="15" t="s">
        <v>213</v>
      </c>
      <c r="F29" s="15" t="s">
        <v>3</v>
      </c>
      <c r="H29" s="15">
        <v>5.3543803260959804</v>
      </c>
      <c r="I29" s="15">
        <v>5.3543803260959804</v>
      </c>
      <c r="J29" s="15">
        <v>9.6741548290142312</v>
      </c>
      <c r="K29" s="15">
        <v>10.015750266225391</v>
      </c>
      <c r="L29" s="15">
        <v>10.559269367454579</v>
      </c>
      <c r="M29" s="15">
        <v>11.19307146918152</v>
      </c>
      <c r="N29" s="15">
        <v>11.77041447002906</v>
      </c>
      <c r="O29" s="15">
        <v>12.36009803920078</v>
      </c>
      <c r="P29" s="15">
        <v>12.938529008283119</v>
      </c>
    </row>
    <row r="30" spans="1:16" x14ac:dyDescent="0.3">
      <c r="A30" s="15" t="s">
        <v>287</v>
      </c>
      <c r="B30" s="15" t="s">
        <v>276</v>
      </c>
      <c r="C30" s="15" t="s">
        <v>212</v>
      </c>
      <c r="D30" s="15" t="s">
        <v>277</v>
      </c>
      <c r="E30" s="15" t="s">
        <v>213</v>
      </c>
      <c r="F30" s="15" t="s">
        <v>4</v>
      </c>
      <c r="H30" s="15">
        <v>16.5517830197217</v>
      </c>
      <c r="I30" s="15">
        <v>16.5517830197217</v>
      </c>
      <c r="J30" s="15">
        <v>31.145855717708198</v>
      </c>
      <c r="K30" s="15">
        <v>33.009254060150397</v>
      </c>
      <c r="L30" s="15">
        <v>35.634278284126204</v>
      </c>
      <c r="M30" s="15">
        <v>38.651531413058805</v>
      </c>
      <c r="N30" s="15">
        <v>41.5721495264944</v>
      </c>
      <c r="O30" s="15">
        <v>44.674742553207295</v>
      </c>
      <c r="P30" s="15">
        <v>47.804171922462501</v>
      </c>
    </row>
    <row r="31" spans="1:16" x14ac:dyDescent="0.3">
      <c r="A31" s="15" t="s">
        <v>287</v>
      </c>
      <c r="B31" s="15" t="s">
        <v>276</v>
      </c>
      <c r="C31" s="15" t="s">
        <v>212</v>
      </c>
      <c r="D31" s="15" t="s">
        <v>277</v>
      </c>
      <c r="E31" s="15" t="s">
        <v>213</v>
      </c>
      <c r="F31" s="15" t="s">
        <v>5</v>
      </c>
      <c r="H31" s="15">
        <v>4.5951726916072202</v>
      </c>
      <c r="I31" s="15">
        <v>4.5951726916072202</v>
      </c>
      <c r="J31" s="15">
        <v>7.6193055694145091</v>
      </c>
      <c r="K31" s="15">
        <v>7.50369011678589</v>
      </c>
      <c r="L31" s="15">
        <v>9.0672971685432806</v>
      </c>
      <c r="M31" s="15">
        <v>9.5618424491479104</v>
      </c>
      <c r="N31" s="15">
        <v>10.00242234488519</v>
      </c>
      <c r="O31" s="15">
        <v>10.45553715950998</v>
      </c>
      <c r="P31" s="15">
        <v>10.92940683900758</v>
      </c>
    </row>
    <row r="32" spans="1:16" x14ac:dyDescent="0.3">
      <c r="A32" s="15" t="s">
        <v>287</v>
      </c>
      <c r="B32" s="15" t="s">
        <v>276</v>
      </c>
      <c r="C32" s="15" t="s">
        <v>212</v>
      </c>
      <c r="D32" s="15" t="s">
        <v>277</v>
      </c>
      <c r="E32" s="15" t="s">
        <v>213</v>
      </c>
      <c r="F32" s="15" t="s">
        <v>6</v>
      </c>
      <c r="H32" s="15">
        <v>10.842436559226201</v>
      </c>
      <c r="I32" s="15">
        <v>10.842436559226201</v>
      </c>
      <c r="J32" s="15">
        <v>21.081023592669709</v>
      </c>
      <c r="K32" s="15">
        <v>22.481633020831353</v>
      </c>
      <c r="L32" s="15">
        <v>24.391510344717354</v>
      </c>
      <c r="M32" s="15">
        <v>26.575681762394602</v>
      </c>
      <c r="N32" s="15">
        <v>28.708864692440201</v>
      </c>
      <c r="O32" s="15">
        <v>30.976026729301303</v>
      </c>
      <c r="P32" s="15">
        <v>33.334376605178704</v>
      </c>
    </row>
    <row r="33" spans="1:16" x14ac:dyDescent="0.3">
      <c r="A33" s="15" t="s">
        <v>287</v>
      </c>
      <c r="B33" s="15" t="s">
        <v>276</v>
      </c>
      <c r="C33" s="15" t="s">
        <v>212</v>
      </c>
      <c r="D33" s="15" t="s">
        <v>277</v>
      </c>
      <c r="E33" s="15" t="s">
        <v>213</v>
      </c>
      <c r="F33" s="15" t="s">
        <v>7</v>
      </c>
      <c r="H33" s="15">
        <v>4.7945240574206798</v>
      </c>
      <c r="I33" s="15">
        <v>4.7945240574206798</v>
      </c>
      <c r="J33" s="15">
        <v>9.3659768152868601</v>
      </c>
      <c r="K33" s="15">
        <v>10.05643847645989</v>
      </c>
      <c r="L33" s="15">
        <v>10.9944543316003</v>
      </c>
      <c r="M33" s="15">
        <v>12.08115814761609</v>
      </c>
      <c r="N33" s="15">
        <v>13.16482417117548</v>
      </c>
      <c r="O33" s="15">
        <v>14.33316952881041</v>
      </c>
      <c r="P33" s="15">
        <v>15.586768408778379</v>
      </c>
    </row>
    <row r="34" spans="1:16" x14ac:dyDescent="0.3">
      <c r="A34" s="15" t="s">
        <v>287</v>
      </c>
      <c r="B34" s="15" t="s">
        <v>276</v>
      </c>
      <c r="C34" s="15" t="s">
        <v>212</v>
      </c>
      <c r="D34" s="15" t="s">
        <v>277</v>
      </c>
      <c r="E34" s="15" t="s">
        <v>213</v>
      </c>
      <c r="F34" s="15" t="s">
        <v>8</v>
      </c>
      <c r="H34" s="15">
        <v>15.574842350101999</v>
      </c>
      <c r="I34" s="15">
        <v>15.574842350101999</v>
      </c>
      <c r="J34" s="15">
        <v>25.716974855154419</v>
      </c>
      <c r="K34" s="15">
        <v>29.081223317250398</v>
      </c>
      <c r="L34" s="15">
        <v>30.820765202046399</v>
      </c>
      <c r="M34" s="15">
        <v>32.811882249004597</v>
      </c>
      <c r="N34" s="15">
        <v>34.652926432001799</v>
      </c>
      <c r="O34" s="15">
        <v>36.6195815869849</v>
      </c>
      <c r="P34" s="15">
        <v>38.618996981429902</v>
      </c>
    </row>
    <row r="35" spans="1:16" x14ac:dyDescent="0.3">
      <c r="A35" s="15" t="s">
        <v>287</v>
      </c>
      <c r="B35" s="15" t="s">
        <v>276</v>
      </c>
      <c r="C35" s="15" t="s">
        <v>212</v>
      </c>
      <c r="D35" s="15" t="s">
        <v>277</v>
      </c>
      <c r="E35" s="15" t="s">
        <v>214</v>
      </c>
      <c r="F35" s="15" t="s">
        <v>0</v>
      </c>
      <c r="G35" s="15">
        <v>2.6905833257599001</v>
      </c>
      <c r="H35" s="15">
        <v>2.42152499318391</v>
      </c>
      <c r="I35" s="15">
        <v>1.3452916628799501</v>
      </c>
    </row>
    <row r="36" spans="1:16" x14ac:dyDescent="0.3">
      <c r="A36" s="15" t="s">
        <v>287</v>
      </c>
      <c r="B36" s="15" t="s">
        <v>276</v>
      </c>
      <c r="C36" s="15" t="s">
        <v>212</v>
      </c>
      <c r="D36" s="15" t="s">
        <v>277</v>
      </c>
      <c r="E36" s="15" t="s">
        <v>214</v>
      </c>
      <c r="F36" s="15" t="s">
        <v>1</v>
      </c>
      <c r="G36" s="15">
        <v>8.2516726959533599</v>
      </c>
      <c r="H36" s="15">
        <v>7.4265054263580303</v>
      </c>
      <c r="I36" s="15">
        <v>4.12583634797668</v>
      </c>
    </row>
    <row r="37" spans="1:16" x14ac:dyDescent="0.3">
      <c r="A37" s="15" t="s">
        <v>287</v>
      </c>
      <c r="B37" s="15" t="s">
        <v>276</v>
      </c>
      <c r="C37" s="15" t="s">
        <v>212</v>
      </c>
      <c r="D37" s="15" t="s">
        <v>277</v>
      </c>
      <c r="E37" s="15" t="s">
        <v>214</v>
      </c>
      <c r="F37" s="15" t="s">
        <v>2</v>
      </c>
      <c r="G37" s="15">
        <v>8.5405388325999798</v>
      </c>
      <c r="H37" s="15">
        <v>7.6864849493399801</v>
      </c>
      <c r="I37" s="15">
        <v>4.2702694162999899</v>
      </c>
    </row>
    <row r="38" spans="1:16" x14ac:dyDescent="0.3">
      <c r="A38" s="15" t="s">
        <v>287</v>
      </c>
      <c r="B38" s="15" t="s">
        <v>276</v>
      </c>
      <c r="C38" s="15" t="s">
        <v>212</v>
      </c>
      <c r="D38" s="15" t="s">
        <v>277</v>
      </c>
      <c r="E38" s="15" t="s">
        <v>214</v>
      </c>
      <c r="F38" s="15" t="s">
        <v>3</v>
      </c>
      <c r="G38" s="15">
        <v>3.4672649734704999</v>
      </c>
      <c r="H38" s="15">
        <v>3.1205384761234498</v>
      </c>
      <c r="I38" s="15">
        <v>1.7336324867352499</v>
      </c>
    </row>
    <row r="39" spans="1:16" x14ac:dyDescent="0.3">
      <c r="A39" s="15" t="s">
        <v>287</v>
      </c>
      <c r="B39" s="15" t="s">
        <v>276</v>
      </c>
      <c r="C39" s="15" t="s">
        <v>212</v>
      </c>
      <c r="D39" s="15" t="s">
        <v>277</v>
      </c>
      <c r="E39" s="15" t="s">
        <v>214</v>
      </c>
      <c r="F39" s="15" t="s">
        <v>4</v>
      </c>
      <c r="G39" s="15">
        <v>10.683038544837601</v>
      </c>
      <c r="H39" s="15">
        <v>9.6147346903537994</v>
      </c>
      <c r="I39" s="15">
        <v>5.3415192724187799</v>
      </c>
    </row>
    <row r="40" spans="1:16" x14ac:dyDescent="0.3">
      <c r="A40" s="15" t="s">
        <v>287</v>
      </c>
      <c r="B40" s="15" t="s">
        <v>276</v>
      </c>
      <c r="C40" s="15" t="s">
        <v>212</v>
      </c>
      <c r="D40" s="15" t="s">
        <v>277</v>
      </c>
      <c r="E40" s="15" t="s">
        <v>214</v>
      </c>
      <c r="F40" s="15" t="s">
        <v>5</v>
      </c>
      <c r="G40" s="15">
        <v>3.19706961643538</v>
      </c>
      <c r="H40" s="15">
        <v>2.8773626547918401</v>
      </c>
      <c r="I40" s="15">
        <v>1.59853480821769</v>
      </c>
    </row>
    <row r="41" spans="1:16" x14ac:dyDescent="0.3">
      <c r="A41" s="15" t="s">
        <v>287</v>
      </c>
      <c r="B41" s="15" t="s">
        <v>276</v>
      </c>
      <c r="C41" s="15" t="s">
        <v>212</v>
      </c>
      <c r="D41" s="15" t="s">
        <v>277</v>
      </c>
      <c r="E41" s="15" t="s">
        <v>214</v>
      </c>
      <c r="F41" s="15" t="s">
        <v>6</v>
      </c>
      <c r="G41" s="15">
        <v>7.3604440520512204</v>
      </c>
      <c r="H41" s="15">
        <v>6.6243996468460997</v>
      </c>
      <c r="I41" s="15">
        <v>3.6802220260256102</v>
      </c>
    </row>
    <row r="42" spans="1:16" x14ac:dyDescent="0.3">
      <c r="A42" s="15" t="s">
        <v>287</v>
      </c>
      <c r="B42" s="15" t="s">
        <v>276</v>
      </c>
      <c r="C42" s="15" t="s">
        <v>212</v>
      </c>
      <c r="D42" s="15" t="s">
        <v>277</v>
      </c>
      <c r="E42" s="15" t="s">
        <v>214</v>
      </c>
      <c r="F42" s="15" t="s">
        <v>7</v>
      </c>
      <c r="G42" s="15">
        <v>3.4187181571159999</v>
      </c>
      <c r="H42" s="15">
        <v>3.0768463414044001</v>
      </c>
      <c r="I42" s="15">
        <v>1.709359078558</v>
      </c>
    </row>
    <row r="43" spans="1:16" x14ac:dyDescent="0.3">
      <c r="A43" s="15" t="s">
        <v>287</v>
      </c>
      <c r="B43" s="15" t="s">
        <v>276</v>
      </c>
      <c r="C43" s="15" t="s">
        <v>212</v>
      </c>
      <c r="D43" s="15" t="s">
        <v>277</v>
      </c>
      <c r="E43" s="15" t="s">
        <v>214</v>
      </c>
      <c r="F43" s="15" t="s">
        <v>8</v>
      </c>
      <c r="G43" s="15">
        <v>9.6078787328932602</v>
      </c>
      <c r="H43" s="15">
        <v>8.6470908596039404</v>
      </c>
      <c r="I43" s="15">
        <v>4.8039393664466301</v>
      </c>
    </row>
    <row r="44" spans="1:16" x14ac:dyDescent="0.3">
      <c r="A44" s="15" t="s">
        <v>287</v>
      </c>
      <c r="B44" s="15" t="s">
        <v>276</v>
      </c>
      <c r="C44" s="15" t="s">
        <v>212</v>
      </c>
      <c r="D44" s="15" t="s">
        <v>277</v>
      </c>
      <c r="E44" s="15" t="s">
        <v>215</v>
      </c>
      <c r="F44" s="15" t="s">
        <v>0</v>
      </c>
      <c r="G44" s="15">
        <v>4.03587498863984</v>
      </c>
    </row>
    <row r="45" spans="1:16" x14ac:dyDescent="0.3">
      <c r="A45" s="15" t="s">
        <v>287</v>
      </c>
      <c r="B45" s="15" t="s">
        <v>276</v>
      </c>
      <c r="C45" s="15" t="s">
        <v>212</v>
      </c>
      <c r="D45" s="15" t="s">
        <v>277</v>
      </c>
      <c r="E45" s="15" t="s">
        <v>215</v>
      </c>
      <c r="F45" s="15" t="s">
        <v>1</v>
      </c>
      <c r="G45" s="15">
        <v>10.117042155775</v>
      </c>
      <c r="I45" s="15">
        <v>4.2906750611500497</v>
      </c>
    </row>
    <row r="46" spans="1:16" x14ac:dyDescent="0.3">
      <c r="A46" s="15" t="s">
        <v>287</v>
      </c>
      <c r="B46" s="15" t="s">
        <v>276</v>
      </c>
      <c r="C46" s="15" t="s">
        <v>212</v>
      </c>
      <c r="D46" s="15" t="s">
        <v>277</v>
      </c>
      <c r="E46" s="15" t="s">
        <v>215</v>
      </c>
      <c r="F46" s="15" t="s">
        <v>2</v>
      </c>
      <c r="G46" s="15">
        <v>11.1580798483075</v>
      </c>
      <c r="I46" s="15">
        <v>4.38489714923712</v>
      </c>
    </row>
    <row r="47" spans="1:16" x14ac:dyDescent="0.3">
      <c r="A47" s="15" t="s">
        <v>287</v>
      </c>
      <c r="B47" s="15" t="s">
        <v>276</v>
      </c>
      <c r="C47" s="15" t="s">
        <v>212</v>
      </c>
      <c r="D47" s="15" t="s">
        <v>277</v>
      </c>
      <c r="E47" s="15" t="s">
        <v>215</v>
      </c>
      <c r="F47" s="15" t="s">
        <v>3</v>
      </c>
      <c r="G47" s="15">
        <v>4.9760715678790399</v>
      </c>
      <c r="I47" s="15">
        <v>2.04939484992898</v>
      </c>
    </row>
    <row r="48" spans="1:16" x14ac:dyDescent="0.3">
      <c r="A48" s="15" t="s">
        <v>287</v>
      </c>
      <c r="B48" s="15" t="s">
        <v>276</v>
      </c>
      <c r="C48" s="15" t="s">
        <v>212</v>
      </c>
      <c r="D48" s="15" t="s">
        <v>277</v>
      </c>
      <c r="E48" s="15" t="s">
        <v>215</v>
      </c>
      <c r="F48" s="15" t="s">
        <v>4</v>
      </c>
      <c r="G48" s="15">
        <v>15.213435647067801</v>
      </c>
      <c r="I48" s="15">
        <v>6.7679295286815799</v>
      </c>
    </row>
    <row r="49" spans="1:16" x14ac:dyDescent="0.3">
      <c r="A49" s="15" t="s">
        <v>287</v>
      </c>
      <c r="B49" s="15" t="s">
        <v>276</v>
      </c>
      <c r="C49" s="15" t="s">
        <v>212</v>
      </c>
      <c r="D49" s="15" t="s">
        <v>277</v>
      </c>
      <c r="E49" s="15" t="s">
        <v>215</v>
      </c>
      <c r="F49" s="15" t="s">
        <v>5</v>
      </c>
      <c r="G49" s="15">
        <v>4.2594300331913999</v>
      </c>
      <c r="I49" s="15">
        <v>1.7816169906382</v>
      </c>
    </row>
    <row r="50" spans="1:16" x14ac:dyDescent="0.3">
      <c r="A50" s="15" t="s">
        <v>287</v>
      </c>
      <c r="B50" s="15" t="s">
        <v>276</v>
      </c>
      <c r="C50" s="15" t="s">
        <v>212</v>
      </c>
      <c r="D50" s="15" t="s">
        <v>277</v>
      </c>
      <c r="E50" s="15" t="s">
        <v>215</v>
      </c>
      <c r="F50" s="15" t="s">
        <v>6</v>
      </c>
      <c r="G50" s="15">
        <v>9.8700886953784792</v>
      </c>
      <c r="I50" s="15">
        <v>4.7328069111245803</v>
      </c>
    </row>
    <row r="51" spans="1:16" x14ac:dyDescent="0.3">
      <c r="A51" s="15" t="s">
        <v>287</v>
      </c>
      <c r="B51" s="15" t="s">
        <v>276</v>
      </c>
      <c r="C51" s="15" t="s">
        <v>212</v>
      </c>
      <c r="D51" s="15" t="s">
        <v>277</v>
      </c>
      <c r="E51" s="15" t="s">
        <v>215</v>
      </c>
      <c r="F51" s="15" t="s">
        <v>7</v>
      </c>
      <c r="G51" s="15">
        <v>4.39298428150604</v>
      </c>
      <c r="I51" s="15">
        <v>2.0149046287942398</v>
      </c>
    </row>
    <row r="52" spans="1:16" x14ac:dyDescent="0.3">
      <c r="A52" s="15" t="s">
        <v>287</v>
      </c>
      <c r="B52" s="15" t="s">
        <v>276</v>
      </c>
      <c r="C52" s="15" t="s">
        <v>212</v>
      </c>
      <c r="D52" s="15" t="s">
        <v>277</v>
      </c>
      <c r="E52" s="15" t="s">
        <v>215</v>
      </c>
      <c r="F52" s="15" t="s">
        <v>8</v>
      </c>
      <c r="G52" s="15">
        <v>14.4118180993399</v>
      </c>
      <c r="I52" s="15">
        <v>5.73050664329201</v>
      </c>
    </row>
    <row r="53" spans="1:16" x14ac:dyDescent="0.3">
      <c r="A53" s="15" t="str">
        <f>MID(E53,4,3)</f>
        <v>CFL</v>
      </c>
      <c r="B53" s="15" t="s">
        <v>276</v>
      </c>
      <c r="C53" s="15" t="s">
        <v>218</v>
      </c>
      <c r="D53" s="15" t="s">
        <v>278</v>
      </c>
      <c r="E53" s="15" t="s">
        <v>290</v>
      </c>
      <c r="F53" s="15" t="s">
        <v>0</v>
      </c>
      <c r="H53" s="15">
        <v>2.7423791929175101</v>
      </c>
      <c r="I53" s="15">
        <v>2.7423791929175101</v>
      </c>
      <c r="J53" s="15">
        <v>4.9350600840781</v>
      </c>
      <c r="K53" s="15">
        <v>6.8344950365421795</v>
      </c>
      <c r="L53" s="15">
        <v>6.6103510055655299</v>
      </c>
      <c r="M53" s="15">
        <v>6.4050225732184796</v>
      </c>
      <c r="N53" s="15">
        <v>6.0423524604219798</v>
      </c>
      <c r="O53" s="15">
        <v>5.6571562544021603</v>
      </c>
      <c r="P53" s="15">
        <v>5.1420967528735293</v>
      </c>
    </row>
    <row r="54" spans="1:16" x14ac:dyDescent="0.3">
      <c r="A54" s="15" t="str">
        <f t="shared" ref="A54:A117" si="0">MID(E54,4,3)</f>
        <v>CFL</v>
      </c>
      <c r="B54" s="15" t="s">
        <v>276</v>
      </c>
      <c r="C54" s="15" t="s">
        <v>218</v>
      </c>
      <c r="D54" s="15" t="s">
        <v>278</v>
      </c>
      <c r="E54" s="15" t="s">
        <v>290</v>
      </c>
      <c r="F54" s="15" t="s">
        <v>1</v>
      </c>
      <c r="H54" s="15">
        <v>7.1102435411123901</v>
      </c>
      <c r="I54" s="15">
        <v>7.1102435411123901</v>
      </c>
      <c r="J54" s="15">
        <v>12.70250456527917</v>
      </c>
      <c r="K54" s="15">
        <v>17.518102166752669</v>
      </c>
      <c r="L54" s="15">
        <v>16.810904849873019</v>
      </c>
      <c r="M54" s="15">
        <v>16.181512560883512</v>
      </c>
      <c r="N54" s="15">
        <v>15.184541338495681</v>
      </c>
      <c r="O54" s="15">
        <v>14.145418876633979</v>
      </c>
      <c r="P54" s="15">
        <v>12.796410012772551</v>
      </c>
    </row>
    <row r="55" spans="1:16" x14ac:dyDescent="0.3">
      <c r="A55" s="15" t="str">
        <f t="shared" si="0"/>
        <v>CFL</v>
      </c>
      <c r="B55" s="15" t="s">
        <v>276</v>
      </c>
      <c r="C55" s="15" t="s">
        <v>218</v>
      </c>
      <c r="D55" s="15" t="s">
        <v>278</v>
      </c>
      <c r="E55" s="15" t="s">
        <v>290</v>
      </c>
      <c r="F55" s="15" t="s">
        <v>2</v>
      </c>
      <c r="H55" s="15">
        <v>7.8754063204555402</v>
      </c>
      <c r="I55" s="15">
        <v>7.8754063204555402</v>
      </c>
      <c r="J55" s="15">
        <v>14.233075050993961</v>
      </c>
      <c r="K55" s="15">
        <v>19.803765318179678</v>
      </c>
      <c r="L55" s="15">
        <v>19.122506765345861</v>
      </c>
      <c r="M55" s="15">
        <v>18.521695304573562</v>
      </c>
      <c r="N55" s="15">
        <v>17.484268162947089</v>
      </c>
      <c r="O55" s="15">
        <v>16.387418909001251</v>
      </c>
      <c r="P55" s="15">
        <v>14.860667841293502</v>
      </c>
    </row>
    <row r="56" spans="1:16" x14ac:dyDescent="0.3">
      <c r="A56" s="15" t="str">
        <f t="shared" si="0"/>
        <v>CFL</v>
      </c>
      <c r="B56" s="15" t="s">
        <v>276</v>
      </c>
      <c r="C56" s="15" t="s">
        <v>218</v>
      </c>
      <c r="D56" s="15" t="s">
        <v>278</v>
      </c>
      <c r="E56" s="15" t="s">
        <v>290</v>
      </c>
      <c r="F56" s="15" t="s">
        <v>3</v>
      </c>
      <c r="H56" s="15">
        <v>4.0910844114657801</v>
      </c>
      <c r="I56" s="15">
        <v>4.0910844114657801</v>
      </c>
      <c r="J56" s="15">
        <v>7.36192284968108</v>
      </c>
      <c r="K56" s="15">
        <v>10.19272559585359</v>
      </c>
      <c r="L56" s="15">
        <v>9.9652594904679397</v>
      </c>
      <c r="M56" s="15">
        <v>9.7813338583125304</v>
      </c>
      <c r="N56" s="15">
        <v>9.3679972153249604</v>
      </c>
      <c r="O56" s="15">
        <v>8.9131816673514397</v>
      </c>
      <c r="P56" s="15">
        <v>8.2101073730016001</v>
      </c>
    </row>
    <row r="57" spans="1:16" x14ac:dyDescent="0.3">
      <c r="A57" s="15" t="str">
        <f t="shared" si="0"/>
        <v>CFL</v>
      </c>
      <c r="B57" s="15" t="s">
        <v>276</v>
      </c>
      <c r="C57" s="15" t="s">
        <v>218</v>
      </c>
      <c r="D57" s="15" t="s">
        <v>278</v>
      </c>
      <c r="E57" s="15" t="s">
        <v>290</v>
      </c>
      <c r="F57" s="15" t="s">
        <v>4</v>
      </c>
      <c r="H57" s="15">
        <v>12.6477582037049</v>
      </c>
      <c r="I57" s="15">
        <v>12.6477582037049</v>
      </c>
      <c r="J57" s="15">
        <v>23.077067745868771</v>
      </c>
      <c r="K57" s="15">
        <v>32.113791064538603</v>
      </c>
      <c r="L57" s="15">
        <v>32.218468199851699</v>
      </c>
      <c r="M57" s="15">
        <v>32.426231083081902</v>
      </c>
      <c r="N57" s="15">
        <v>31.827660553565799</v>
      </c>
      <c r="O57" s="15">
        <v>31.049574080142101</v>
      </c>
      <c r="P57" s="15">
        <v>29.289963139757802</v>
      </c>
    </row>
    <row r="58" spans="1:16" x14ac:dyDescent="0.3">
      <c r="A58" s="15" t="str">
        <f t="shared" si="0"/>
        <v>CFL</v>
      </c>
      <c r="B58" s="15" t="s">
        <v>276</v>
      </c>
      <c r="C58" s="15" t="s">
        <v>218</v>
      </c>
      <c r="D58" s="15" t="s">
        <v>278</v>
      </c>
      <c r="E58" s="15" t="s">
        <v>290</v>
      </c>
      <c r="F58" s="15" t="s">
        <v>5</v>
      </c>
      <c r="H58" s="15">
        <v>3.1994096398819001</v>
      </c>
      <c r="I58" s="15">
        <v>3.1994096398819001</v>
      </c>
      <c r="J58" s="15">
        <v>5.7764852270962095</v>
      </c>
      <c r="K58" s="15">
        <v>8.0204084020678508</v>
      </c>
      <c r="L58" s="15">
        <v>7.8390069423669004</v>
      </c>
      <c r="M58" s="15">
        <v>7.6863182550101996</v>
      </c>
      <c r="N58" s="15">
        <v>7.3523493838450893</v>
      </c>
      <c r="O58" s="15">
        <v>6.9904108176924993</v>
      </c>
      <c r="P58" s="15">
        <v>6.4540165545832195</v>
      </c>
    </row>
    <row r="59" spans="1:16" x14ac:dyDescent="0.3">
      <c r="A59" s="15" t="str">
        <f t="shared" si="0"/>
        <v>CFL</v>
      </c>
      <c r="B59" s="15" t="s">
        <v>276</v>
      </c>
      <c r="C59" s="15" t="s">
        <v>218</v>
      </c>
      <c r="D59" s="15" t="s">
        <v>278</v>
      </c>
      <c r="E59" s="15" t="s">
        <v>290</v>
      </c>
      <c r="F59" s="15" t="s">
        <v>6</v>
      </c>
      <c r="H59" s="15">
        <v>8.2451533664842493</v>
      </c>
      <c r="I59" s="15">
        <v>8.2451533664842493</v>
      </c>
      <c r="J59" s="15">
        <v>15.062459378928189</v>
      </c>
      <c r="K59" s="15">
        <v>20.9676310149408</v>
      </c>
      <c r="L59" s="15">
        <v>21.182669976968903</v>
      </c>
      <c r="M59" s="15">
        <v>21.455124465485802</v>
      </c>
      <c r="N59" s="15">
        <v>21.189492619141721</v>
      </c>
      <c r="O59" s="15">
        <v>20.791316261729818</v>
      </c>
      <c r="P59" s="15">
        <v>19.758071418979192</v>
      </c>
    </row>
    <row r="60" spans="1:16" x14ac:dyDescent="0.3">
      <c r="A60" s="15" t="str">
        <f t="shared" si="0"/>
        <v>CFL</v>
      </c>
      <c r="B60" s="15" t="s">
        <v>276</v>
      </c>
      <c r="C60" s="15" t="s">
        <v>218</v>
      </c>
      <c r="D60" s="15" t="s">
        <v>278</v>
      </c>
      <c r="E60" s="15" t="s">
        <v>290</v>
      </c>
      <c r="F60" s="15" t="s">
        <v>7</v>
      </c>
      <c r="H60" s="15">
        <v>3.4180234019280702</v>
      </c>
      <c r="I60" s="15">
        <v>3.4180234019280702</v>
      </c>
      <c r="J60" s="15">
        <v>6.4345012163676696</v>
      </c>
      <c r="K60" s="15">
        <v>9.0868930785694904</v>
      </c>
      <c r="L60" s="15">
        <v>9.2634575016858207</v>
      </c>
      <c r="M60" s="15">
        <v>9.4755022337113708</v>
      </c>
      <c r="N60" s="15">
        <v>9.4523318569750217</v>
      </c>
      <c r="O60" s="15">
        <v>9.3707344213217709</v>
      </c>
      <c r="P60" s="15">
        <v>9.0099696407112404</v>
      </c>
    </row>
    <row r="61" spans="1:16" x14ac:dyDescent="0.3">
      <c r="A61" s="15" t="str">
        <f t="shared" si="0"/>
        <v>CFL</v>
      </c>
      <c r="B61" s="15" t="s">
        <v>276</v>
      </c>
      <c r="C61" s="15" t="s">
        <v>218</v>
      </c>
      <c r="D61" s="15" t="s">
        <v>278</v>
      </c>
      <c r="E61" s="15" t="s">
        <v>290</v>
      </c>
      <c r="F61" s="15" t="s">
        <v>8</v>
      </c>
      <c r="H61" s="15">
        <v>9.2452266232449301</v>
      </c>
      <c r="I61" s="15">
        <v>9.2452266232449301</v>
      </c>
      <c r="J61" s="15">
        <v>16.815070315750262</v>
      </c>
      <c r="K61" s="15">
        <v>23.332365555340999</v>
      </c>
      <c r="L61" s="15">
        <v>23.1708413246009</v>
      </c>
      <c r="M61" s="15">
        <v>23.072646027095701</v>
      </c>
      <c r="N61" s="15">
        <v>22.411008935247501</v>
      </c>
      <c r="O61" s="15">
        <v>21.6630921907173</v>
      </c>
      <c r="P61" s="15">
        <v>20.289750557124862</v>
      </c>
    </row>
    <row r="62" spans="1:16" x14ac:dyDescent="0.3">
      <c r="A62" s="15" t="str">
        <f t="shared" si="0"/>
        <v>CFL</v>
      </c>
      <c r="B62" s="15" t="s">
        <v>276</v>
      </c>
      <c r="C62" s="15" t="s">
        <v>218</v>
      </c>
      <c r="D62" s="15" t="s">
        <v>278</v>
      </c>
      <c r="E62" s="15" t="s">
        <v>219</v>
      </c>
      <c r="F62" s="15" t="s">
        <v>0</v>
      </c>
      <c r="G62" s="15">
        <v>6.1111879628318002</v>
      </c>
      <c r="H62" s="15">
        <v>3.5728796845724702</v>
      </c>
      <c r="I62" s="15">
        <v>4.0741253085545299</v>
      </c>
      <c r="J62" s="15">
        <v>2.0370626542772698</v>
      </c>
    </row>
    <row r="63" spans="1:16" x14ac:dyDescent="0.3">
      <c r="A63" s="15" t="str">
        <f t="shared" si="0"/>
        <v>CFL</v>
      </c>
      <c r="B63" s="15" t="s">
        <v>276</v>
      </c>
      <c r="C63" s="15" t="s">
        <v>218</v>
      </c>
      <c r="D63" s="15" t="s">
        <v>278</v>
      </c>
      <c r="E63" s="15" t="s">
        <v>219</v>
      </c>
      <c r="F63" s="15" t="s">
        <v>1</v>
      </c>
      <c r="G63" s="15">
        <v>15.955570246054499</v>
      </c>
      <c r="H63" s="15">
        <v>9.3650945890585202</v>
      </c>
      <c r="I63" s="15">
        <v>10.637046830703</v>
      </c>
      <c r="J63" s="15">
        <v>5.3185234153515104</v>
      </c>
    </row>
    <row r="64" spans="1:16" x14ac:dyDescent="0.3">
      <c r="A64" s="15" t="str">
        <f t="shared" si="0"/>
        <v>CFL</v>
      </c>
      <c r="B64" s="15" t="s">
        <v>276</v>
      </c>
      <c r="C64" s="15" t="s">
        <v>218</v>
      </c>
      <c r="D64" s="15" t="s">
        <v>278</v>
      </c>
      <c r="E64" s="15" t="s">
        <v>219</v>
      </c>
      <c r="F64" s="15" t="s">
        <v>2</v>
      </c>
      <c r="G64" s="15">
        <v>18.100594379916899</v>
      </c>
      <c r="H64" s="15">
        <v>10.764881847683</v>
      </c>
      <c r="I64" s="15">
        <v>12.0670629199446</v>
      </c>
      <c r="J64" s="15">
        <v>6.03353145997231</v>
      </c>
    </row>
    <row r="65" spans="1:16" x14ac:dyDescent="0.3">
      <c r="A65" s="15" t="str">
        <f t="shared" si="0"/>
        <v>CFL</v>
      </c>
      <c r="B65" s="15" t="s">
        <v>276</v>
      </c>
      <c r="C65" s="15" t="s">
        <v>218</v>
      </c>
      <c r="D65" s="15" t="s">
        <v>278</v>
      </c>
      <c r="E65" s="15" t="s">
        <v>219</v>
      </c>
      <c r="F65" s="15" t="s">
        <v>3</v>
      </c>
      <c r="G65" s="15">
        <v>8.7761318536436193</v>
      </c>
      <c r="H65" s="15">
        <v>5.0181328065650703</v>
      </c>
      <c r="I65" s="15">
        <v>5.8507545690957397</v>
      </c>
      <c r="J65" s="15">
        <v>2.9253772845478698</v>
      </c>
    </row>
    <row r="66" spans="1:16" x14ac:dyDescent="0.3">
      <c r="A66" s="15" t="str">
        <f t="shared" si="0"/>
        <v>CFL</v>
      </c>
      <c r="B66" s="15" t="s">
        <v>276</v>
      </c>
      <c r="C66" s="15" t="s">
        <v>218</v>
      </c>
      <c r="D66" s="15" t="s">
        <v>278</v>
      </c>
      <c r="E66" s="15" t="s">
        <v>219</v>
      </c>
      <c r="F66" s="15" t="s">
        <v>4</v>
      </c>
      <c r="G66" s="15">
        <v>25.5428337423706</v>
      </c>
      <c r="H66" s="15">
        <v>14.0585103400929</v>
      </c>
      <c r="I66" s="15">
        <v>17.0285558282471</v>
      </c>
      <c r="J66" s="15">
        <v>8.5142779141235394</v>
      </c>
    </row>
    <row r="67" spans="1:16" x14ac:dyDescent="0.3">
      <c r="A67" s="15" t="str">
        <f t="shared" si="0"/>
        <v>CFL</v>
      </c>
      <c r="B67" s="15" t="s">
        <v>276</v>
      </c>
      <c r="C67" s="15" t="s">
        <v>218</v>
      </c>
      <c r="D67" s="15" t="s">
        <v>278</v>
      </c>
      <c r="E67" s="15" t="s">
        <v>219</v>
      </c>
      <c r="F67" s="15" t="s">
        <v>5</v>
      </c>
      <c r="G67" s="15">
        <v>6.96635652480873</v>
      </c>
      <c r="H67" s="15">
        <v>4.0187657396459198</v>
      </c>
      <c r="I67" s="15">
        <v>4.6442376832058203</v>
      </c>
      <c r="J67" s="15">
        <v>2.3221188416029102</v>
      </c>
    </row>
    <row r="68" spans="1:16" x14ac:dyDescent="0.3">
      <c r="A68" s="15" t="str">
        <f t="shared" si="0"/>
        <v>CFL</v>
      </c>
      <c r="B68" s="15" t="s">
        <v>276</v>
      </c>
      <c r="C68" s="15" t="s">
        <v>218</v>
      </c>
      <c r="D68" s="15" t="s">
        <v>278</v>
      </c>
      <c r="E68" s="15" t="s">
        <v>219</v>
      </c>
      <c r="F68" s="15" t="s">
        <v>6</v>
      </c>
      <c r="G68" s="15">
        <v>16.185698663064901</v>
      </c>
      <c r="H68" s="15">
        <v>8.7381893708290193</v>
      </c>
      <c r="I68" s="15">
        <v>10.7904657753766</v>
      </c>
      <c r="J68" s="15">
        <v>5.3952328876883104</v>
      </c>
    </row>
    <row r="69" spans="1:16" x14ac:dyDescent="0.3">
      <c r="A69" s="15" t="str">
        <f t="shared" si="0"/>
        <v>CFL</v>
      </c>
      <c r="B69" s="15" t="s">
        <v>276</v>
      </c>
      <c r="C69" s="15" t="s">
        <v>218</v>
      </c>
      <c r="D69" s="15" t="s">
        <v>278</v>
      </c>
      <c r="E69" s="15" t="s">
        <v>219</v>
      </c>
      <c r="F69" s="15" t="s">
        <v>7</v>
      </c>
      <c r="G69" s="15">
        <v>7.0757385501778503</v>
      </c>
      <c r="H69" s="15">
        <v>3.9575870160146001</v>
      </c>
      <c r="I69" s="15">
        <v>4.7171590334518996</v>
      </c>
      <c r="J69" s="15">
        <v>2.3585795167259498</v>
      </c>
    </row>
    <row r="70" spans="1:16" x14ac:dyDescent="0.3">
      <c r="A70" s="15" t="str">
        <f t="shared" si="0"/>
        <v>CFL</v>
      </c>
      <c r="B70" s="15" t="s">
        <v>276</v>
      </c>
      <c r="C70" s="15" t="s">
        <v>218</v>
      </c>
      <c r="D70" s="15" t="s">
        <v>278</v>
      </c>
      <c r="E70" s="15" t="s">
        <v>219</v>
      </c>
      <c r="F70" s="15" t="s">
        <v>8</v>
      </c>
      <c r="G70" s="15">
        <v>19.0054820443344</v>
      </c>
      <c r="H70" s="15">
        <v>10.582577990025399</v>
      </c>
      <c r="I70" s="15">
        <v>12.670321362889601</v>
      </c>
      <c r="J70" s="15">
        <v>6.3351606814447798</v>
      </c>
    </row>
    <row r="71" spans="1:16" x14ac:dyDescent="0.3">
      <c r="A71" s="15" t="str">
        <f t="shared" si="0"/>
        <v>HAL</v>
      </c>
      <c r="B71" s="15" t="s">
        <v>276</v>
      </c>
      <c r="C71" s="15" t="s">
        <v>218</v>
      </c>
      <c r="D71" s="15" t="s">
        <v>278</v>
      </c>
      <c r="E71" s="15" t="s">
        <v>291</v>
      </c>
      <c r="F71" s="15" t="s">
        <v>0</v>
      </c>
      <c r="H71" s="15">
        <v>0.162189398733845</v>
      </c>
      <c r="I71" s="15">
        <v>1.8940998588313249</v>
      </c>
      <c r="J71" s="15">
        <v>2.0599579942955968</v>
      </c>
      <c r="K71" s="15">
        <v>2.155733867053959</v>
      </c>
      <c r="L71" s="15">
        <v>2.2361238928976701</v>
      </c>
      <c r="M71" s="15">
        <v>2.3359369832772998</v>
      </c>
      <c r="N71" s="15">
        <v>2.3904214382305828</v>
      </c>
      <c r="O71" s="15">
        <v>2.4452588900220529</v>
      </c>
      <c r="P71" s="15">
        <v>2.4494275365944089</v>
      </c>
    </row>
    <row r="72" spans="1:16" x14ac:dyDescent="0.3">
      <c r="A72" s="15" t="str">
        <f t="shared" si="0"/>
        <v>HAL</v>
      </c>
      <c r="B72" s="15" t="s">
        <v>276</v>
      </c>
      <c r="C72" s="15" t="s">
        <v>218</v>
      </c>
      <c r="D72" s="15" t="s">
        <v>278</v>
      </c>
      <c r="E72" s="15" t="s">
        <v>291</v>
      </c>
      <c r="F72" s="15" t="s">
        <v>1</v>
      </c>
      <c r="H72" s="15">
        <v>2.11007160605944</v>
      </c>
      <c r="I72" s="15">
        <v>2.11007160605944</v>
      </c>
      <c r="J72" s="15">
        <v>5.3244273010147198</v>
      </c>
      <c r="K72" s="15">
        <v>5.5255532304090202</v>
      </c>
      <c r="L72" s="15">
        <v>5.6867276736713004</v>
      </c>
      <c r="M72" s="15">
        <v>5.9014614240993</v>
      </c>
      <c r="N72" s="15">
        <v>6.00717243540337</v>
      </c>
      <c r="O72" s="15">
        <v>6.11424003610633</v>
      </c>
      <c r="P72" s="15">
        <v>6.09554439778322</v>
      </c>
    </row>
    <row r="73" spans="1:16" x14ac:dyDescent="0.3">
      <c r="A73" s="15" t="str">
        <f t="shared" si="0"/>
        <v>HAL</v>
      </c>
      <c r="B73" s="15" t="s">
        <v>276</v>
      </c>
      <c r="C73" s="15" t="s">
        <v>218</v>
      </c>
      <c r="D73" s="15" t="s">
        <v>278</v>
      </c>
      <c r="E73" s="15" t="s">
        <v>291</v>
      </c>
      <c r="F73" s="15" t="s">
        <v>2</v>
      </c>
      <c r="H73" s="15">
        <v>2.34074886711484</v>
      </c>
      <c r="I73" s="15">
        <v>2.34074886711484</v>
      </c>
      <c r="J73" s="15">
        <v>4.3875685125537798</v>
      </c>
      <c r="K73" s="15">
        <v>6.2464962463690394</v>
      </c>
      <c r="L73" s="15">
        <v>6.46868740163504</v>
      </c>
      <c r="M73" s="15">
        <v>6.7549352965365701</v>
      </c>
      <c r="N73" s="15">
        <v>6.9169697931792697</v>
      </c>
      <c r="O73" s="15">
        <v>7.0833259626811405</v>
      </c>
      <c r="P73" s="15">
        <v>7.0788494989531294</v>
      </c>
    </row>
    <row r="74" spans="1:16" x14ac:dyDescent="0.3">
      <c r="A74" s="15" t="str">
        <f t="shared" si="0"/>
        <v>HAL</v>
      </c>
      <c r="B74" s="15" t="s">
        <v>276</v>
      </c>
      <c r="C74" s="15" t="s">
        <v>218</v>
      </c>
      <c r="D74" s="15" t="s">
        <v>278</v>
      </c>
      <c r="E74" s="15" t="s">
        <v>291</v>
      </c>
      <c r="F74" s="15" t="s">
        <v>3</v>
      </c>
      <c r="H74" s="15">
        <v>1.21068587880482</v>
      </c>
      <c r="I74" s="15">
        <v>1.21068587880482</v>
      </c>
      <c r="J74" s="15">
        <v>2.2635234142414329</v>
      </c>
      <c r="K74" s="15">
        <v>3.2149856934691901</v>
      </c>
      <c r="L74" s="15">
        <v>3.3710093195957702</v>
      </c>
      <c r="M74" s="15">
        <v>3.5672910195433598</v>
      </c>
      <c r="N74" s="15">
        <v>3.7060832719502401</v>
      </c>
      <c r="O74" s="15">
        <v>3.8526488805241601</v>
      </c>
      <c r="P74" s="15">
        <v>3.9108682788959399</v>
      </c>
    </row>
    <row r="75" spans="1:16" x14ac:dyDescent="0.3">
      <c r="A75" s="15" t="str">
        <f t="shared" si="0"/>
        <v>HAL</v>
      </c>
      <c r="B75" s="15" t="s">
        <v>276</v>
      </c>
      <c r="C75" s="15" t="s">
        <v>218</v>
      </c>
      <c r="D75" s="15" t="s">
        <v>278</v>
      </c>
      <c r="E75" s="15" t="s">
        <v>291</v>
      </c>
      <c r="F75" s="15" t="s">
        <v>4</v>
      </c>
      <c r="H75" s="15">
        <v>3.7295065480698502</v>
      </c>
      <c r="I75" s="15">
        <v>3.7295065480698502</v>
      </c>
      <c r="J75" s="15">
        <v>9.3338639443125402</v>
      </c>
      <c r="K75" s="15">
        <v>10.129319961046601</v>
      </c>
      <c r="L75" s="15">
        <v>10.898738429108359</v>
      </c>
      <c r="M75" s="15">
        <v>11.82597431146999</v>
      </c>
      <c r="N75" s="15">
        <v>12.591374404970809</v>
      </c>
      <c r="O75" s="15">
        <v>13.420920978059389</v>
      </c>
      <c r="P75" s="15">
        <v>13.952215547143489</v>
      </c>
    </row>
    <row r="76" spans="1:16" x14ac:dyDescent="0.3">
      <c r="A76" s="15" t="str">
        <f t="shared" si="0"/>
        <v>HAL</v>
      </c>
      <c r="B76" s="15" t="s">
        <v>276</v>
      </c>
      <c r="C76" s="15" t="s">
        <v>218</v>
      </c>
      <c r="D76" s="15" t="s">
        <v>278</v>
      </c>
      <c r="E76" s="15" t="s">
        <v>291</v>
      </c>
      <c r="F76" s="15" t="s">
        <v>5</v>
      </c>
      <c r="H76" s="15">
        <v>0.94767766534895803</v>
      </c>
      <c r="I76" s="15">
        <v>0.94767766534895803</v>
      </c>
      <c r="J76" s="15">
        <v>1.776867050547948</v>
      </c>
      <c r="K76" s="15">
        <v>2.5297942170559198</v>
      </c>
      <c r="L76" s="15">
        <v>2.6517488565522402</v>
      </c>
      <c r="M76" s="15">
        <v>2.8032305697395401</v>
      </c>
      <c r="N76" s="15">
        <v>2.9086707046012599</v>
      </c>
      <c r="O76" s="15">
        <v>3.0215471215891503</v>
      </c>
      <c r="P76" s="15">
        <v>3.0743579186054899</v>
      </c>
    </row>
    <row r="77" spans="1:16" x14ac:dyDescent="0.3">
      <c r="A77" s="15" t="str">
        <f t="shared" si="0"/>
        <v>HAL</v>
      </c>
      <c r="B77" s="15" t="s">
        <v>276</v>
      </c>
      <c r="C77" s="15" t="s">
        <v>218</v>
      </c>
      <c r="D77" s="15" t="s">
        <v>278</v>
      </c>
      <c r="E77" s="15" t="s">
        <v>291</v>
      </c>
      <c r="F77" s="15" t="s">
        <v>6</v>
      </c>
      <c r="H77" s="15">
        <v>2.42736637383216</v>
      </c>
      <c r="I77" s="15">
        <v>2.42736637383216</v>
      </c>
      <c r="J77" s="15">
        <v>4.6133278363843404</v>
      </c>
      <c r="K77" s="15">
        <v>6.6136023289392103</v>
      </c>
      <c r="L77" s="15">
        <v>7.1655914203324595</v>
      </c>
      <c r="M77" s="15">
        <v>7.8247684761182992</v>
      </c>
      <c r="N77" s="15">
        <v>8.3827975534032007</v>
      </c>
      <c r="O77" s="15">
        <v>8.9868740826618403</v>
      </c>
      <c r="P77" s="15">
        <v>9.4117179293839506</v>
      </c>
    </row>
    <row r="78" spans="1:16" x14ac:dyDescent="0.3">
      <c r="A78" s="15" t="str">
        <f t="shared" si="0"/>
        <v>HAL</v>
      </c>
      <c r="B78" s="15" t="s">
        <v>276</v>
      </c>
      <c r="C78" s="15" t="s">
        <v>218</v>
      </c>
      <c r="D78" s="15" t="s">
        <v>278</v>
      </c>
      <c r="E78" s="15" t="s">
        <v>291</v>
      </c>
      <c r="F78" s="15" t="s">
        <v>7</v>
      </c>
      <c r="H78" s="15">
        <v>1.0093448280519299</v>
      </c>
      <c r="I78" s="15">
        <v>1.0093448280519299</v>
      </c>
      <c r="J78" s="15">
        <v>1.972383795350154</v>
      </c>
      <c r="K78" s="15">
        <v>2.8661844146544699</v>
      </c>
      <c r="L78" s="15">
        <v>3.13360646551472</v>
      </c>
      <c r="M78" s="15">
        <v>3.4557530203567799</v>
      </c>
      <c r="N78" s="15">
        <v>3.7394469885997101</v>
      </c>
      <c r="O78" s="15">
        <v>4.0504222650633199</v>
      </c>
      <c r="P78" s="15">
        <v>4.2918810754591394</v>
      </c>
    </row>
    <row r="79" spans="1:16" x14ac:dyDescent="0.3">
      <c r="A79" s="15" t="str">
        <f t="shared" si="0"/>
        <v>HAL</v>
      </c>
      <c r="B79" s="15" t="s">
        <v>276</v>
      </c>
      <c r="C79" s="15" t="s">
        <v>218</v>
      </c>
      <c r="D79" s="15" t="s">
        <v>278</v>
      </c>
      <c r="E79" s="15" t="s">
        <v>291</v>
      </c>
      <c r="F79" s="15" t="s">
        <v>8</v>
      </c>
      <c r="H79" s="15">
        <v>0.55417883487833697</v>
      </c>
      <c r="I79" s="15">
        <v>6.0896660946654269</v>
      </c>
      <c r="J79" s="15">
        <v>6.839882945564856</v>
      </c>
      <c r="K79" s="15">
        <v>7.3594860128217761</v>
      </c>
      <c r="L79" s="15">
        <v>7.8381423105758801</v>
      </c>
      <c r="M79" s="15">
        <v>8.4146849664694692</v>
      </c>
      <c r="N79" s="15">
        <v>8.8660429132681902</v>
      </c>
      <c r="O79" s="15">
        <v>9.3636920004637396</v>
      </c>
      <c r="P79" s="15">
        <v>9.6649822268476093</v>
      </c>
    </row>
    <row r="80" spans="1:16" x14ac:dyDescent="0.3">
      <c r="A80" s="15" t="str">
        <f t="shared" si="0"/>
        <v>HAL</v>
      </c>
      <c r="B80" s="15" t="s">
        <v>276</v>
      </c>
      <c r="C80" s="15" t="s">
        <v>218</v>
      </c>
      <c r="D80" s="15" t="s">
        <v>278</v>
      </c>
      <c r="E80" s="15" t="s">
        <v>220</v>
      </c>
      <c r="F80" s="15" t="s">
        <v>0</v>
      </c>
      <c r="G80" s="15">
        <v>1.6209267945244701</v>
      </c>
      <c r="H80" s="15">
        <v>1.5128650082228401</v>
      </c>
    </row>
    <row r="81" spans="1:16" x14ac:dyDescent="0.3">
      <c r="A81" s="15" t="str">
        <f t="shared" si="0"/>
        <v>HAL</v>
      </c>
      <c r="B81" s="15" t="s">
        <v>276</v>
      </c>
      <c r="C81" s="15" t="s">
        <v>218</v>
      </c>
      <c r="D81" s="15" t="s">
        <v>278</v>
      </c>
      <c r="E81" s="15" t="s">
        <v>220</v>
      </c>
      <c r="F81" s="15" t="s">
        <v>1</v>
      </c>
      <c r="G81" s="15">
        <v>4.2320431790095201</v>
      </c>
      <c r="H81" s="15">
        <v>2.25983440672666</v>
      </c>
      <c r="I81" s="15">
        <v>2.8213621193396801</v>
      </c>
    </row>
    <row r="82" spans="1:16" x14ac:dyDescent="0.3">
      <c r="A82" s="15" t="str">
        <f t="shared" si="0"/>
        <v>HAL</v>
      </c>
      <c r="B82" s="15" t="s">
        <v>276</v>
      </c>
      <c r="C82" s="15" t="s">
        <v>218</v>
      </c>
      <c r="D82" s="15" t="s">
        <v>278</v>
      </c>
      <c r="E82" s="15" t="s">
        <v>220</v>
      </c>
      <c r="F82" s="15" t="s">
        <v>2</v>
      </c>
      <c r="G82" s="15">
        <v>4.8009877303186697</v>
      </c>
      <c r="H82" s="15">
        <v>2.60338682845825</v>
      </c>
      <c r="I82" s="15">
        <v>3.2006584868791101</v>
      </c>
      <c r="J82" s="15">
        <v>1.60032924343956</v>
      </c>
    </row>
    <row r="83" spans="1:16" x14ac:dyDescent="0.3">
      <c r="A83" s="15" t="str">
        <f t="shared" si="0"/>
        <v>HAL</v>
      </c>
      <c r="B83" s="15" t="s">
        <v>276</v>
      </c>
      <c r="C83" s="15" t="s">
        <v>218</v>
      </c>
      <c r="D83" s="15" t="s">
        <v>278</v>
      </c>
      <c r="E83" s="15" t="s">
        <v>220</v>
      </c>
      <c r="F83" s="15" t="s">
        <v>3</v>
      </c>
      <c r="G83" s="15">
        <v>2.3277744622436498</v>
      </c>
      <c r="H83" s="15">
        <v>1.20543588927902</v>
      </c>
      <c r="I83" s="15">
        <v>1.5518496414957701</v>
      </c>
      <c r="J83" s="15">
        <v>0.77592482074788405</v>
      </c>
    </row>
    <row r="84" spans="1:16" x14ac:dyDescent="0.3">
      <c r="A84" s="15" t="str">
        <f t="shared" si="0"/>
        <v>HAL</v>
      </c>
      <c r="B84" s="15" t="s">
        <v>276</v>
      </c>
      <c r="C84" s="15" t="s">
        <v>218</v>
      </c>
      <c r="D84" s="15" t="s">
        <v>278</v>
      </c>
      <c r="E84" s="15" t="s">
        <v>220</v>
      </c>
      <c r="F84" s="15" t="s">
        <v>4</v>
      </c>
      <c r="G84" s="15">
        <v>6.7749615742316296</v>
      </c>
      <c r="H84" s="15">
        <v>3.35404357797613</v>
      </c>
      <c r="I84" s="15">
        <v>4.5166410494877596</v>
      </c>
    </row>
    <row r="85" spans="1:16" x14ac:dyDescent="0.3">
      <c r="A85" s="15" t="str">
        <f t="shared" si="0"/>
        <v>HAL</v>
      </c>
      <c r="B85" s="15" t="s">
        <v>276</v>
      </c>
      <c r="C85" s="15" t="s">
        <v>218</v>
      </c>
      <c r="D85" s="15" t="s">
        <v>278</v>
      </c>
      <c r="E85" s="15" t="s">
        <v>220</v>
      </c>
      <c r="F85" s="15" t="s">
        <v>5</v>
      </c>
      <c r="G85" s="15">
        <v>1.8477510461060001</v>
      </c>
      <c r="H85" s="15">
        <v>0.96686562008320798</v>
      </c>
      <c r="I85" s="15">
        <v>1.2318340307373301</v>
      </c>
      <c r="J85" s="15">
        <v>0.61591701536866605</v>
      </c>
    </row>
    <row r="86" spans="1:16" x14ac:dyDescent="0.3">
      <c r="A86" s="15" t="str">
        <f t="shared" si="0"/>
        <v>HAL</v>
      </c>
      <c r="B86" s="15" t="s">
        <v>276</v>
      </c>
      <c r="C86" s="15" t="s">
        <v>218</v>
      </c>
      <c r="D86" s="15" t="s">
        <v>278</v>
      </c>
      <c r="E86" s="15" t="s">
        <v>220</v>
      </c>
      <c r="F86" s="15" t="s">
        <v>6</v>
      </c>
      <c r="G86" s="15">
        <v>4.2930822633221499</v>
      </c>
      <c r="H86" s="15">
        <v>2.0772823901942998</v>
      </c>
      <c r="I86" s="15">
        <v>2.8620548422147598</v>
      </c>
      <c r="J86" s="15">
        <v>1.4310274211073799</v>
      </c>
    </row>
    <row r="87" spans="1:16" x14ac:dyDescent="0.3">
      <c r="A87" s="15" t="str">
        <f t="shared" si="0"/>
        <v>HAL</v>
      </c>
      <c r="B87" s="15" t="s">
        <v>276</v>
      </c>
      <c r="C87" s="15" t="s">
        <v>218</v>
      </c>
      <c r="D87" s="15" t="s">
        <v>278</v>
      </c>
      <c r="E87" s="15" t="s">
        <v>220</v>
      </c>
      <c r="F87" s="15" t="s">
        <v>7</v>
      </c>
      <c r="G87" s="15">
        <v>1.8767634503780599</v>
      </c>
      <c r="H87" s="15">
        <v>0.94695640587007401</v>
      </c>
      <c r="I87" s="15">
        <v>1.2511756335853701</v>
      </c>
      <c r="J87" s="15">
        <v>0.62558781679268605</v>
      </c>
    </row>
    <row r="88" spans="1:16" x14ac:dyDescent="0.3">
      <c r="A88" s="15" t="str">
        <f t="shared" si="0"/>
        <v>HAL</v>
      </c>
      <c r="B88" s="15" t="s">
        <v>276</v>
      </c>
      <c r="C88" s="15" t="s">
        <v>218</v>
      </c>
      <c r="D88" s="15" t="s">
        <v>278</v>
      </c>
      <c r="E88" s="15" t="s">
        <v>220</v>
      </c>
      <c r="F88" s="15" t="s">
        <v>8</v>
      </c>
      <c r="G88" s="15">
        <v>5.0409994383874901</v>
      </c>
      <c r="H88" s="15">
        <v>4.70493280916165</v>
      </c>
    </row>
    <row r="89" spans="1:16" x14ac:dyDescent="0.3">
      <c r="A89" s="15" t="str">
        <f t="shared" si="0"/>
        <v>HID</v>
      </c>
      <c r="B89" s="15" t="s">
        <v>276</v>
      </c>
      <c r="C89" s="15" t="s">
        <v>218</v>
      </c>
      <c r="D89" s="15" t="s">
        <v>278</v>
      </c>
      <c r="E89" s="15" t="s">
        <v>292</v>
      </c>
      <c r="F89" s="15" t="s">
        <v>0</v>
      </c>
      <c r="H89" s="15">
        <v>3.4532541171845601</v>
      </c>
      <c r="I89" s="15">
        <v>3.9048332452386498</v>
      </c>
      <c r="J89" s="15">
        <v>4.2467626099099398</v>
      </c>
      <c r="K89" s="15">
        <v>4.4442119736775698</v>
      </c>
      <c r="L89" s="15">
        <v>4.6099422249293696</v>
      </c>
      <c r="M89" s="15">
        <v>4.8157146248412097</v>
      </c>
      <c r="N89" s="15">
        <v>4.9280385395800899</v>
      </c>
      <c r="O89" s="15">
        <v>5.0410901845823801</v>
      </c>
      <c r="P89" s="15">
        <v>5.0496841716667902</v>
      </c>
    </row>
    <row r="90" spans="1:16" x14ac:dyDescent="0.3">
      <c r="A90" s="15" t="str">
        <f t="shared" si="0"/>
        <v>HID</v>
      </c>
      <c r="B90" s="15" t="s">
        <v>276</v>
      </c>
      <c r="C90" s="15" t="s">
        <v>218</v>
      </c>
      <c r="D90" s="15" t="s">
        <v>278</v>
      </c>
      <c r="E90" s="15" t="s">
        <v>292</v>
      </c>
      <c r="F90" s="15" t="s">
        <v>1</v>
      </c>
      <c r="H90" s="15">
        <v>9.0088989752757307</v>
      </c>
      <c r="I90" s="15">
        <v>10.1665317527192</v>
      </c>
      <c r="J90" s="15">
        <v>10.97671838151488</v>
      </c>
      <c r="K90" s="15">
        <v>11.391355029058349</v>
      </c>
      <c r="L90" s="15">
        <v>11.72362860027423</v>
      </c>
      <c r="M90" s="15">
        <v>12.166318822564509</v>
      </c>
      <c r="N90" s="15">
        <v>12.384250242285241</v>
      </c>
      <c r="O90" s="15">
        <v>12.604978375896319</v>
      </c>
      <c r="P90" s="15">
        <v>12.56643587259342</v>
      </c>
    </row>
    <row r="91" spans="1:16" x14ac:dyDescent="0.3">
      <c r="A91" s="15" t="str">
        <f t="shared" si="0"/>
        <v>HID</v>
      </c>
      <c r="B91" s="15" t="s">
        <v>276</v>
      </c>
      <c r="C91" s="15" t="s">
        <v>218</v>
      </c>
      <c r="D91" s="15" t="s">
        <v>278</v>
      </c>
      <c r="E91" s="15" t="s">
        <v>292</v>
      </c>
      <c r="F91" s="15" t="s">
        <v>2</v>
      </c>
      <c r="H91" s="15">
        <v>10.1927178459096</v>
      </c>
      <c r="I91" s="15">
        <v>11.424039530120901</v>
      </c>
      <c r="J91" s="15">
        <v>12.344514001030209</v>
      </c>
      <c r="K91" s="15">
        <v>12.87763477482649</v>
      </c>
      <c r="L91" s="15">
        <v>13.3356990135388</v>
      </c>
      <c r="M91" s="15">
        <v>13.92582117166026</v>
      </c>
      <c r="N91" s="15">
        <v>14.25986780938943</v>
      </c>
      <c r="O91" s="15">
        <v>14.602823909719991</v>
      </c>
      <c r="P91" s="15">
        <v>14.59359533377944</v>
      </c>
    </row>
    <row r="92" spans="1:16" x14ac:dyDescent="0.3">
      <c r="A92" s="15" t="str">
        <f t="shared" si="0"/>
        <v>HID</v>
      </c>
      <c r="B92" s="15" t="s">
        <v>276</v>
      </c>
      <c r="C92" s="15" t="s">
        <v>218</v>
      </c>
      <c r="D92" s="15" t="s">
        <v>278</v>
      </c>
      <c r="E92" s="15" t="s">
        <v>292</v>
      </c>
      <c r="F92" s="15" t="s">
        <v>3</v>
      </c>
      <c r="H92" s="15">
        <v>4.9810217558327503</v>
      </c>
      <c r="I92" s="15">
        <v>5.69518047875163</v>
      </c>
      <c r="J92" s="15">
        <v>6.26605744139128</v>
      </c>
      <c r="K92" s="15">
        <v>6.6279414785295501</v>
      </c>
      <c r="L92" s="15">
        <v>6.9495962421372299</v>
      </c>
      <c r="M92" s="15">
        <v>7.35424613628813</v>
      </c>
      <c r="N92" s="15">
        <v>7.6403770912391202</v>
      </c>
      <c r="O92" s="15">
        <v>7.9425334206953693</v>
      </c>
      <c r="P92" s="15">
        <v>8.0625572099480696</v>
      </c>
    </row>
    <row r="93" spans="1:16" x14ac:dyDescent="0.3">
      <c r="A93" s="15" t="str">
        <f t="shared" si="0"/>
        <v>HID</v>
      </c>
      <c r="B93" s="15" t="s">
        <v>276</v>
      </c>
      <c r="C93" s="15" t="s">
        <v>218</v>
      </c>
      <c r="D93" s="15" t="s">
        <v>278</v>
      </c>
      <c r="E93" s="15" t="s">
        <v>292</v>
      </c>
      <c r="F93" s="15" t="s">
        <v>4</v>
      </c>
      <c r="H93" s="15">
        <v>14.603286039821199</v>
      </c>
      <c r="I93" s="15">
        <v>17.000070579148499</v>
      </c>
      <c r="J93" s="15">
        <v>19.242481892572492</v>
      </c>
      <c r="K93" s="15">
        <v>20.882375948203091</v>
      </c>
      <c r="L93" s="15">
        <v>22.468591584923502</v>
      </c>
      <c r="M93" s="15">
        <v>24.380160018204499</v>
      </c>
      <c r="N93" s="15">
        <v>25.958091465205801</v>
      </c>
      <c r="O93" s="15">
        <v>27.668265837463402</v>
      </c>
      <c r="P93" s="15">
        <v>28.7635706529415</v>
      </c>
    </row>
    <row r="94" spans="1:16" x14ac:dyDescent="0.3">
      <c r="A94" s="15" t="str">
        <f t="shared" si="0"/>
        <v>HID</v>
      </c>
      <c r="B94" s="15" t="s">
        <v>276</v>
      </c>
      <c r="C94" s="15" t="s">
        <v>218</v>
      </c>
      <c r="D94" s="15" t="s">
        <v>278</v>
      </c>
      <c r="E94" s="15" t="s">
        <v>292</v>
      </c>
      <c r="F94" s="15" t="s">
        <v>5</v>
      </c>
      <c r="H94" s="15">
        <v>3.9469789491545999</v>
      </c>
      <c r="I94" s="15">
        <v>4.4932318059066496</v>
      </c>
      <c r="J94" s="15">
        <v>4.9329092791514402</v>
      </c>
      <c r="K94" s="15">
        <v>5.2153662946089199</v>
      </c>
      <c r="L94" s="15">
        <v>5.4667852092432101</v>
      </c>
      <c r="M94" s="15">
        <v>5.77907646830303</v>
      </c>
      <c r="N94" s="15">
        <v>5.9964494553030594</v>
      </c>
      <c r="O94" s="15">
        <v>6.2291529126221992</v>
      </c>
      <c r="P94" s="15">
        <v>6.3380264521747502</v>
      </c>
    </row>
    <row r="95" spans="1:16" x14ac:dyDescent="0.3">
      <c r="A95" s="15" t="str">
        <f t="shared" si="0"/>
        <v>HID</v>
      </c>
      <c r="B95" s="15" t="s">
        <v>276</v>
      </c>
      <c r="C95" s="15" t="s">
        <v>218</v>
      </c>
      <c r="D95" s="15" t="s">
        <v>278</v>
      </c>
      <c r="E95" s="15" t="s">
        <v>292</v>
      </c>
      <c r="F95" s="15" t="s">
        <v>6</v>
      </c>
      <c r="H95" s="15">
        <v>9.2866815706046406</v>
      </c>
      <c r="I95" s="15">
        <v>10.904550631894599</v>
      </c>
      <c r="J95" s="15">
        <v>12.460905503709519</v>
      </c>
      <c r="K95" s="15">
        <v>13.634452335983909</v>
      </c>
      <c r="L95" s="15">
        <v>14.772420508586681</v>
      </c>
      <c r="M95" s="15">
        <v>16.131364953849062</v>
      </c>
      <c r="N95" s="15">
        <v>17.281785024170141</v>
      </c>
      <c r="O95" s="15">
        <v>18.527135475530621</v>
      </c>
      <c r="P95" s="15">
        <v>19.402983899773233</v>
      </c>
    </row>
    <row r="96" spans="1:16" x14ac:dyDescent="0.3">
      <c r="A96" s="15" t="str">
        <f t="shared" si="0"/>
        <v>HID</v>
      </c>
      <c r="B96" s="15" t="s">
        <v>276</v>
      </c>
      <c r="C96" s="15" t="s">
        <v>218</v>
      </c>
      <c r="D96" s="15" t="s">
        <v>278</v>
      </c>
      <c r="E96" s="15" t="s">
        <v>292</v>
      </c>
      <c r="F96" s="15" t="s">
        <v>7</v>
      </c>
      <c r="H96" s="15">
        <v>4.0330661872459803</v>
      </c>
      <c r="I96" s="15">
        <v>4.6602376368845899</v>
      </c>
      <c r="J96" s="15">
        <v>5.3559192636975901</v>
      </c>
      <c r="K96" s="15">
        <v>5.9088606850079897</v>
      </c>
      <c r="L96" s="15">
        <v>6.4601719106755393</v>
      </c>
      <c r="M96" s="15">
        <v>7.1243019307065598</v>
      </c>
      <c r="N96" s="15">
        <v>7.7091589716400701</v>
      </c>
      <c r="O96" s="15">
        <v>8.3502585379172203</v>
      </c>
      <c r="P96" s="15">
        <v>8.8480445367879987</v>
      </c>
    </row>
    <row r="97" spans="1:16" x14ac:dyDescent="0.3">
      <c r="A97" s="15" t="str">
        <f t="shared" si="0"/>
        <v>HID</v>
      </c>
      <c r="B97" s="15" t="s">
        <v>276</v>
      </c>
      <c r="C97" s="15" t="s">
        <v>218</v>
      </c>
      <c r="D97" s="15" t="s">
        <v>278</v>
      </c>
      <c r="E97" s="15" t="s">
        <v>292</v>
      </c>
      <c r="F97" s="15" t="s">
        <v>8</v>
      </c>
      <c r="H97" s="15">
        <v>10.842065106714999</v>
      </c>
      <c r="I97" s="15">
        <v>12.554317296409099</v>
      </c>
      <c r="J97" s="15">
        <v>14.100947315344751</v>
      </c>
      <c r="K97" s="15">
        <v>15.172149196223771</v>
      </c>
      <c r="L97" s="15">
        <v>16.158936147185429</v>
      </c>
      <c r="M97" s="15">
        <v>17.347523390637619</v>
      </c>
      <c r="N97" s="15">
        <v>18.278032681340889</v>
      </c>
      <c r="O97" s="15">
        <v>19.30397473560129</v>
      </c>
      <c r="P97" s="15">
        <v>19.925107822626131</v>
      </c>
    </row>
    <row r="98" spans="1:16" x14ac:dyDescent="0.3">
      <c r="A98" s="15" t="str">
        <f t="shared" si="0"/>
        <v>HID</v>
      </c>
      <c r="B98" s="15" t="s">
        <v>276</v>
      </c>
      <c r="C98" s="15" t="s">
        <v>218</v>
      </c>
      <c r="D98" s="15" t="s">
        <v>278</v>
      </c>
      <c r="E98" s="15" t="s">
        <v>221</v>
      </c>
      <c r="F98" s="15" t="s">
        <v>0</v>
      </c>
      <c r="G98" s="15">
        <v>3.3416658608815899</v>
      </c>
    </row>
    <row r="99" spans="1:16" x14ac:dyDescent="0.3">
      <c r="A99" s="15" t="str">
        <f t="shared" si="0"/>
        <v>HID</v>
      </c>
      <c r="B99" s="15" t="s">
        <v>276</v>
      </c>
      <c r="C99" s="15" t="s">
        <v>218</v>
      </c>
      <c r="D99" s="15" t="s">
        <v>278</v>
      </c>
      <c r="E99" s="15" t="s">
        <v>221</v>
      </c>
      <c r="F99" s="15" t="s">
        <v>1</v>
      </c>
      <c r="G99" s="15">
        <v>8.7246840886615598</v>
      </c>
    </row>
    <row r="100" spans="1:16" x14ac:dyDescent="0.3">
      <c r="A100" s="15" t="str">
        <f t="shared" si="0"/>
        <v>HID</v>
      </c>
      <c r="B100" s="15" t="s">
        <v>276</v>
      </c>
      <c r="C100" s="15" t="s">
        <v>218</v>
      </c>
      <c r="D100" s="15" t="s">
        <v>278</v>
      </c>
      <c r="E100" s="15" t="s">
        <v>221</v>
      </c>
      <c r="F100" s="15" t="s">
        <v>2</v>
      </c>
      <c r="G100" s="15">
        <v>9.8976072522903706</v>
      </c>
    </row>
    <row r="101" spans="1:16" x14ac:dyDescent="0.3">
      <c r="A101" s="15" t="str">
        <f t="shared" si="0"/>
        <v>HID</v>
      </c>
      <c r="B101" s="15" t="s">
        <v>276</v>
      </c>
      <c r="C101" s="15" t="s">
        <v>218</v>
      </c>
      <c r="D101" s="15" t="s">
        <v>278</v>
      </c>
      <c r="E101" s="15" t="s">
        <v>221</v>
      </c>
      <c r="F101" s="15" t="s">
        <v>3</v>
      </c>
      <c r="G101" s="15">
        <v>4.7988869568866503</v>
      </c>
    </row>
    <row r="102" spans="1:16" x14ac:dyDescent="0.3">
      <c r="A102" s="15" t="str">
        <f t="shared" si="0"/>
        <v>HID</v>
      </c>
      <c r="B102" s="15" t="s">
        <v>276</v>
      </c>
      <c r="C102" s="15" t="s">
        <v>218</v>
      </c>
      <c r="D102" s="15" t="s">
        <v>278</v>
      </c>
      <c r="E102" s="15" t="s">
        <v>221</v>
      </c>
      <c r="F102" s="15" t="s">
        <v>4</v>
      </c>
      <c r="G102" s="15">
        <v>13.9671068908675</v>
      </c>
    </row>
    <row r="103" spans="1:16" x14ac:dyDescent="0.3">
      <c r="A103" s="15" t="str">
        <f t="shared" si="0"/>
        <v>HID</v>
      </c>
      <c r="B103" s="15" t="s">
        <v>276</v>
      </c>
      <c r="C103" s="15" t="s">
        <v>218</v>
      </c>
      <c r="D103" s="15" t="s">
        <v>278</v>
      </c>
      <c r="E103" s="15" t="s">
        <v>221</v>
      </c>
      <c r="F103" s="15" t="s">
        <v>5</v>
      </c>
      <c r="G103" s="15">
        <v>3.8092815857190399</v>
      </c>
    </row>
    <row r="104" spans="1:16" x14ac:dyDescent="0.3">
      <c r="A104" s="15" t="str">
        <f t="shared" si="0"/>
        <v>HID</v>
      </c>
      <c r="B104" s="15" t="s">
        <v>276</v>
      </c>
      <c r="C104" s="15" t="s">
        <v>218</v>
      </c>
      <c r="D104" s="15" t="s">
        <v>278</v>
      </c>
      <c r="E104" s="15" t="s">
        <v>221</v>
      </c>
      <c r="F104" s="15" t="s">
        <v>6</v>
      </c>
      <c r="G104" s="15">
        <v>8.8505208784018699</v>
      </c>
    </row>
    <row r="105" spans="1:16" x14ac:dyDescent="0.3">
      <c r="A105" s="15" t="str">
        <f t="shared" si="0"/>
        <v>HID</v>
      </c>
      <c r="B105" s="15" t="s">
        <v>276</v>
      </c>
      <c r="C105" s="15" t="s">
        <v>218</v>
      </c>
      <c r="D105" s="15" t="s">
        <v>278</v>
      </c>
      <c r="E105" s="15" t="s">
        <v>221</v>
      </c>
      <c r="F105" s="15" t="s">
        <v>7</v>
      </c>
      <c r="G105" s="15">
        <v>3.8690928993610401</v>
      </c>
    </row>
    <row r="106" spans="1:16" x14ac:dyDescent="0.3">
      <c r="A106" s="15" t="str">
        <f t="shared" si="0"/>
        <v>HID</v>
      </c>
      <c r="B106" s="15" t="s">
        <v>276</v>
      </c>
      <c r="C106" s="15" t="s">
        <v>218</v>
      </c>
      <c r="D106" s="15" t="s">
        <v>278</v>
      </c>
      <c r="E106" s="15" t="s">
        <v>221</v>
      </c>
      <c r="F106" s="15" t="s">
        <v>8</v>
      </c>
      <c r="G106" s="15">
        <v>10.3924099378742</v>
      </c>
    </row>
    <row r="107" spans="1:16" x14ac:dyDescent="0.3">
      <c r="A107" s="15" t="str">
        <f>MID(E107,5,3)</f>
        <v>LED</v>
      </c>
      <c r="B107" s="15" t="s">
        <v>276</v>
      </c>
      <c r="C107" s="15" t="s">
        <v>218</v>
      </c>
      <c r="D107" s="15" t="s">
        <v>278</v>
      </c>
      <c r="E107" s="15" t="s">
        <v>222</v>
      </c>
      <c r="F107" s="15" t="s">
        <v>0</v>
      </c>
      <c r="H107" s="15">
        <v>0.21650053888930099</v>
      </c>
      <c r="J107" s="15">
        <v>6.4378738640713404</v>
      </c>
      <c r="K107" s="15">
        <v>6.4378738640713404</v>
      </c>
      <c r="N107" s="15">
        <v>14.502030332618901</v>
      </c>
      <c r="O107" s="15">
        <v>27.077966444883401</v>
      </c>
      <c r="P107" s="15">
        <v>30.959722415279</v>
      </c>
    </row>
    <row r="108" spans="1:16" x14ac:dyDescent="0.3">
      <c r="A108" s="15" t="str">
        <f t="shared" ref="A108:A115" si="1">MID(E108,5,3)</f>
        <v>LED</v>
      </c>
      <c r="B108" s="15" t="s">
        <v>276</v>
      </c>
      <c r="C108" s="15" t="s">
        <v>218</v>
      </c>
      <c r="D108" s="15" t="s">
        <v>278</v>
      </c>
      <c r="E108" s="15" t="s">
        <v>222</v>
      </c>
      <c r="F108" s="15" t="s">
        <v>1</v>
      </c>
      <c r="H108" s="15">
        <v>0.56480971766325105</v>
      </c>
      <c r="J108" s="15">
        <v>16.635526169679601</v>
      </c>
      <c r="K108" s="15">
        <v>16.635526169679601</v>
      </c>
      <c r="M108" s="15">
        <v>20.5527085524668</v>
      </c>
      <c r="N108" s="15">
        <v>57.114669605148904</v>
      </c>
      <c r="O108" s="15">
        <v>67.707017530629201</v>
      </c>
      <c r="P108" s="15">
        <v>77.045088987511704</v>
      </c>
    </row>
    <row r="109" spans="1:16" x14ac:dyDescent="0.3">
      <c r="A109" s="15" t="str">
        <f t="shared" si="1"/>
        <v>LED</v>
      </c>
      <c r="B109" s="15" t="s">
        <v>276</v>
      </c>
      <c r="C109" s="15" t="s">
        <v>218</v>
      </c>
      <c r="D109" s="15" t="s">
        <v>278</v>
      </c>
      <c r="E109" s="15" t="s">
        <v>222</v>
      </c>
      <c r="F109" s="15" t="s">
        <v>2</v>
      </c>
      <c r="H109" s="15">
        <v>0.63902882078807799</v>
      </c>
      <c r="J109" s="15">
        <v>18.709044025674199</v>
      </c>
      <c r="K109" s="15">
        <v>18.709044025674199</v>
      </c>
      <c r="M109" s="15">
        <v>23.7393639347539</v>
      </c>
      <c r="N109" s="15">
        <v>65.7647917808941</v>
      </c>
      <c r="O109" s="15">
        <v>78.438345942961291</v>
      </c>
      <c r="P109" s="15">
        <v>89.473647304478604</v>
      </c>
    </row>
    <row r="110" spans="1:16" x14ac:dyDescent="0.3">
      <c r="A110" s="15" t="str">
        <f t="shared" si="1"/>
        <v>LED</v>
      </c>
      <c r="B110" s="15" t="s">
        <v>276</v>
      </c>
      <c r="C110" s="15" t="s">
        <v>218</v>
      </c>
      <c r="D110" s="15" t="s">
        <v>278</v>
      </c>
      <c r="E110" s="15" t="s">
        <v>222</v>
      </c>
      <c r="F110" s="15" t="s">
        <v>3</v>
      </c>
      <c r="H110" s="15">
        <v>0.31228338771556702</v>
      </c>
      <c r="J110" s="15">
        <v>9.5031816857102793</v>
      </c>
      <c r="K110" s="15">
        <v>9.5031816857102793</v>
      </c>
      <c r="M110" s="15">
        <v>12.7984568457675</v>
      </c>
      <c r="N110" s="15">
        <v>35.236498349725501</v>
      </c>
      <c r="O110" s="15">
        <v>42.662925196362302</v>
      </c>
      <c r="P110" s="15">
        <v>49.431711903460801</v>
      </c>
    </row>
    <row r="111" spans="1:16" x14ac:dyDescent="0.3">
      <c r="A111" s="15" t="str">
        <f t="shared" si="1"/>
        <v>LED</v>
      </c>
      <c r="B111" s="15" t="s">
        <v>276</v>
      </c>
      <c r="C111" s="15" t="s">
        <v>218</v>
      </c>
      <c r="D111" s="15" t="s">
        <v>278</v>
      </c>
      <c r="E111" s="15" t="s">
        <v>222</v>
      </c>
      <c r="F111" s="15" t="s">
        <v>4</v>
      </c>
      <c r="H111" s="15">
        <v>0.91554782529400602</v>
      </c>
      <c r="J111" s="15">
        <v>29.214067103410098</v>
      </c>
      <c r="K111" s="15">
        <v>29.214067103410098</v>
      </c>
      <c r="N111" s="15">
        <v>75.777156183189504</v>
      </c>
      <c r="O111" s="15">
        <v>148.6187206541743</v>
      </c>
      <c r="P111" s="15">
        <v>176.35007117551982</v>
      </c>
    </row>
    <row r="112" spans="1:16" x14ac:dyDescent="0.3">
      <c r="A112" s="15" t="str">
        <f t="shared" si="1"/>
        <v>LED</v>
      </c>
      <c r="B112" s="15" t="s">
        <v>276</v>
      </c>
      <c r="C112" s="15" t="s">
        <v>218</v>
      </c>
      <c r="D112" s="15" t="s">
        <v>278</v>
      </c>
      <c r="E112" s="15" t="s">
        <v>222</v>
      </c>
      <c r="F112" s="15" t="s">
        <v>5</v>
      </c>
      <c r="H112" s="15">
        <v>0.24745444165962299</v>
      </c>
      <c r="J112" s="15">
        <v>7.4807016498888403</v>
      </c>
      <c r="K112" s="15">
        <v>12.16831740734548</v>
      </c>
      <c r="L112" s="15">
        <v>4.6876157574566397</v>
      </c>
      <c r="M112" s="15">
        <v>10.043069673074701</v>
      </c>
      <c r="N112" s="15">
        <v>27.654902213960099</v>
      </c>
      <c r="O112" s="15">
        <v>33.459586591785097</v>
      </c>
      <c r="P112" s="15">
        <v>38.858576685055702</v>
      </c>
    </row>
    <row r="113" spans="1:16" x14ac:dyDescent="0.3">
      <c r="A113" s="15" t="str">
        <f t="shared" si="1"/>
        <v>LED</v>
      </c>
      <c r="B113" s="15" t="s">
        <v>276</v>
      </c>
      <c r="C113" s="15" t="s">
        <v>218</v>
      </c>
      <c r="D113" s="15" t="s">
        <v>278</v>
      </c>
      <c r="E113" s="15" t="s">
        <v>222</v>
      </c>
      <c r="F113" s="15" t="s">
        <v>6</v>
      </c>
      <c r="H113" s="15">
        <v>0.58222519869706801</v>
      </c>
      <c r="J113" s="15">
        <v>18.9247663275614</v>
      </c>
      <c r="K113" s="15">
        <v>31.811446085977401</v>
      </c>
      <c r="L113" s="15">
        <v>12.886679758415999</v>
      </c>
      <c r="M113" s="15">
        <v>29.342455557907801</v>
      </c>
      <c r="N113" s="15">
        <v>79.701509783167197</v>
      </c>
      <c r="O113" s="15">
        <v>99.517591306053802</v>
      </c>
      <c r="P113" s="15">
        <v>118.9601121859523</v>
      </c>
    </row>
    <row r="114" spans="1:16" x14ac:dyDescent="0.3">
      <c r="A114" s="15" t="str">
        <f t="shared" si="1"/>
        <v>LED</v>
      </c>
      <c r="B114" s="15" t="s">
        <v>276</v>
      </c>
      <c r="C114" s="15" t="s">
        <v>218</v>
      </c>
      <c r="D114" s="15" t="s">
        <v>278</v>
      </c>
      <c r="E114" s="15" t="s">
        <v>222</v>
      </c>
      <c r="F114" s="15" t="s">
        <v>7</v>
      </c>
      <c r="H114" s="15">
        <v>0.25285165043888103</v>
      </c>
      <c r="J114" s="15">
        <v>8.1358778333797908</v>
      </c>
      <c r="K114" s="15">
        <v>8.1358778333797908</v>
      </c>
      <c r="M114" s="15">
        <v>13.1158704918175</v>
      </c>
      <c r="N114" s="15">
        <v>35.553712092751098</v>
      </c>
      <c r="O114" s="15">
        <v>44.853000485361399</v>
      </c>
      <c r="P114" s="15">
        <v>54.247551621938996</v>
      </c>
    </row>
    <row r="115" spans="1:16" x14ac:dyDescent="0.3">
      <c r="A115" s="15" t="str">
        <f t="shared" si="1"/>
        <v>LED</v>
      </c>
      <c r="B115" s="15" t="s">
        <v>276</v>
      </c>
      <c r="C115" s="15" t="s">
        <v>218</v>
      </c>
      <c r="D115" s="15" t="s">
        <v>278</v>
      </c>
      <c r="E115" s="15" t="s">
        <v>222</v>
      </c>
      <c r="F115" s="15" t="s">
        <v>8</v>
      </c>
      <c r="H115" s="15">
        <v>0.67973941639443103</v>
      </c>
      <c r="J115" s="15">
        <v>21.402097000522101</v>
      </c>
      <c r="N115" s="15">
        <v>32.044270759598497</v>
      </c>
      <c r="O115" s="15">
        <v>103.69034494604929</v>
      </c>
      <c r="P115" s="15">
        <v>122.1612652023332</v>
      </c>
    </row>
    <row r="116" spans="1:16" x14ac:dyDescent="0.3">
      <c r="A116" s="15" t="str">
        <f t="shared" si="0"/>
        <v>INC</v>
      </c>
      <c r="B116" s="15" t="s">
        <v>276</v>
      </c>
      <c r="C116" s="15" t="s">
        <v>218</v>
      </c>
      <c r="D116" s="15" t="s">
        <v>278</v>
      </c>
      <c r="E116" s="15" t="s">
        <v>293</v>
      </c>
      <c r="F116" s="15" t="s">
        <v>0</v>
      </c>
      <c r="J116" s="15">
        <v>0.81940558009971998</v>
      </c>
      <c r="K116" s="15">
        <v>1.738469959261149</v>
      </c>
      <c r="L116" s="15">
        <v>1.6814551158356781</v>
      </c>
      <c r="M116" s="15">
        <v>1.6292263396775299</v>
      </c>
      <c r="N116" s="15">
        <v>1.5369750332024359</v>
      </c>
      <c r="O116" s="15">
        <v>1.43899383210325</v>
      </c>
      <c r="P116" s="15">
        <v>1.307979694869702</v>
      </c>
    </row>
    <row r="117" spans="1:16" x14ac:dyDescent="0.3">
      <c r="A117" s="15" t="str">
        <f t="shared" si="0"/>
        <v>INC</v>
      </c>
      <c r="B117" s="15" t="s">
        <v>276</v>
      </c>
      <c r="C117" s="15" t="s">
        <v>218</v>
      </c>
      <c r="D117" s="15" t="s">
        <v>278</v>
      </c>
      <c r="E117" s="15" t="s">
        <v>293</v>
      </c>
      <c r="F117" s="15" t="s">
        <v>1</v>
      </c>
      <c r="J117" s="15">
        <v>2.0929876478341098</v>
      </c>
      <c r="K117" s="15">
        <v>4.4560269920944</v>
      </c>
      <c r="L117" s="15">
        <v>4.2761393362995097</v>
      </c>
      <c r="M117" s="15">
        <v>4.1160427115820202</v>
      </c>
      <c r="N117" s="15">
        <v>3.8624461384479303</v>
      </c>
      <c r="O117" s="15">
        <v>3.5981276812274201</v>
      </c>
      <c r="P117" s="15">
        <v>3.2549843513894601</v>
      </c>
    </row>
    <row r="118" spans="1:16" x14ac:dyDescent="0.3">
      <c r="A118" s="15" t="str">
        <f t="shared" ref="A118:A178" si="2">MID(E118,4,3)</f>
        <v>INC</v>
      </c>
      <c r="B118" s="15" t="s">
        <v>276</v>
      </c>
      <c r="C118" s="15" t="s">
        <v>218</v>
      </c>
      <c r="D118" s="15" t="s">
        <v>278</v>
      </c>
      <c r="E118" s="15" t="s">
        <v>293</v>
      </c>
      <c r="F118" s="15" t="s">
        <v>2</v>
      </c>
      <c r="J118" s="15">
        <v>2.3293097666443598</v>
      </c>
      <c r="K118" s="15">
        <v>5.0374242576568893</v>
      </c>
      <c r="L118" s="15">
        <v>4.8641345673053795</v>
      </c>
      <c r="M118" s="15">
        <v>4.7113079619530005</v>
      </c>
      <c r="N118" s="15">
        <v>4.4474207382449205</v>
      </c>
      <c r="O118" s="15">
        <v>4.1684184904376504</v>
      </c>
      <c r="P118" s="15">
        <v>3.78006341046635</v>
      </c>
    </row>
    <row r="119" spans="1:16" x14ac:dyDescent="0.3">
      <c r="A119" s="15" t="str">
        <f t="shared" si="2"/>
        <v>INC</v>
      </c>
      <c r="B119" s="15" t="s">
        <v>276</v>
      </c>
      <c r="C119" s="15" t="s">
        <v>218</v>
      </c>
      <c r="D119" s="15" t="s">
        <v>278</v>
      </c>
      <c r="E119" s="15" t="s">
        <v>293</v>
      </c>
      <c r="F119" s="15" t="s">
        <v>3</v>
      </c>
      <c r="J119" s="15">
        <v>1.2466290143241301</v>
      </c>
      <c r="K119" s="15">
        <v>2.5926929724348398</v>
      </c>
      <c r="L119" s="15">
        <v>2.53483310292747</v>
      </c>
      <c r="M119" s="15">
        <v>2.48804849272135</v>
      </c>
      <c r="N119" s="15">
        <v>2.3829092932554499</v>
      </c>
      <c r="O119" s="15">
        <v>2.2672192294059199</v>
      </c>
      <c r="P119" s="15">
        <v>2.0883803344589209</v>
      </c>
    </row>
    <row r="120" spans="1:16" x14ac:dyDescent="0.3">
      <c r="A120" s="15" t="str">
        <f t="shared" si="2"/>
        <v>INC</v>
      </c>
      <c r="B120" s="15" t="s">
        <v>276</v>
      </c>
      <c r="C120" s="15" t="s">
        <v>218</v>
      </c>
      <c r="D120" s="15" t="s">
        <v>278</v>
      </c>
      <c r="E120" s="15" t="s">
        <v>293</v>
      </c>
      <c r="F120" s="15" t="s">
        <v>4</v>
      </c>
      <c r="J120" s="15">
        <v>4.04807493654077</v>
      </c>
      <c r="K120" s="15">
        <v>8.1686885051767213</v>
      </c>
      <c r="L120" s="15">
        <v>8.1953149134468717</v>
      </c>
      <c r="M120" s="15">
        <v>8.248162933558671</v>
      </c>
      <c r="N120" s="15">
        <v>8.0959063471541199</v>
      </c>
      <c r="O120" s="15">
        <v>7.8979868296883708</v>
      </c>
      <c r="P120" s="15">
        <v>7.4503998838365604</v>
      </c>
    </row>
    <row r="121" spans="1:16" x14ac:dyDescent="0.3">
      <c r="A121" s="15" t="str">
        <f t="shared" si="2"/>
        <v>INC</v>
      </c>
      <c r="B121" s="15" t="s">
        <v>276</v>
      </c>
      <c r="C121" s="15" t="s">
        <v>218</v>
      </c>
      <c r="D121" s="15" t="s">
        <v>278</v>
      </c>
      <c r="E121" s="15" t="s">
        <v>293</v>
      </c>
      <c r="F121" s="15" t="s">
        <v>5</v>
      </c>
      <c r="J121" s="15">
        <v>0.97243722151098</v>
      </c>
      <c r="K121" s="15">
        <v>2.0401271774212999</v>
      </c>
      <c r="L121" s="15">
        <v>1.9939846333752409</v>
      </c>
      <c r="M121" s="15">
        <v>1.955145670925291</v>
      </c>
      <c r="N121" s="15">
        <v>1.8701950130135341</v>
      </c>
      <c r="O121" s="15">
        <v>1.7781297878593598</v>
      </c>
      <c r="P121" s="15">
        <v>1.641688791450751</v>
      </c>
    </row>
    <row r="122" spans="1:16" x14ac:dyDescent="0.3">
      <c r="A122" s="15" t="str">
        <f t="shared" si="2"/>
        <v>INC</v>
      </c>
      <c r="B122" s="15" t="s">
        <v>276</v>
      </c>
      <c r="C122" s="15" t="s">
        <v>218</v>
      </c>
      <c r="D122" s="15" t="s">
        <v>278</v>
      </c>
      <c r="E122" s="15" t="s">
        <v>293</v>
      </c>
      <c r="F122" s="15" t="s">
        <v>6</v>
      </c>
      <c r="J122" s="15">
        <v>2.6768672084238498</v>
      </c>
      <c r="K122" s="15">
        <v>5.3334732765844794</v>
      </c>
      <c r="L122" s="15">
        <v>5.3881720909896096</v>
      </c>
      <c r="M122" s="15">
        <v>5.4574755202876002</v>
      </c>
      <c r="N122" s="15">
        <v>5.3899075459715498</v>
      </c>
      <c r="O122" s="15">
        <v>5.2886246227786202</v>
      </c>
      <c r="P122" s="15">
        <v>5.0258012378643899</v>
      </c>
    </row>
    <row r="123" spans="1:16" x14ac:dyDescent="0.3">
      <c r="A123" s="15" t="str">
        <f t="shared" si="2"/>
        <v>INC</v>
      </c>
      <c r="B123" s="15" t="s">
        <v>276</v>
      </c>
      <c r="C123" s="15" t="s">
        <v>218</v>
      </c>
      <c r="D123" s="15" t="s">
        <v>278</v>
      </c>
      <c r="E123" s="15" t="s">
        <v>293</v>
      </c>
      <c r="F123" s="15" t="s">
        <v>7</v>
      </c>
      <c r="J123" s="15">
        <v>1.13201255485964</v>
      </c>
      <c r="K123" s="15">
        <v>2.3114056789341904</v>
      </c>
      <c r="L123" s="15">
        <v>2.3563178405234302</v>
      </c>
      <c r="M123" s="15">
        <v>2.4102550216428802</v>
      </c>
      <c r="N123" s="15">
        <v>2.4043612425581702</v>
      </c>
      <c r="O123" s="15">
        <v>2.3836055481173304</v>
      </c>
      <c r="P123" s="15">
        <v>2.2918388952633202</v>
      </c>
    </row>
    <row r="124" spans="1:16" x14ac:dyDescent="0.3">
      <c r="A124" s="15" t="str">
        <f t="shared" si="2"/>
        <v>INC</v>
      </c>
      <c r="B124" s="15" t="s">
        <v>276</v>
      </c>
      <c r="C124" s="15" t="s">
        <v>218</v>
      </c>
      <c r="D124" s="15" t="s">
        <v>278</v>
      </c>
      <c r="E124" s="15" t="s">
        <v>293</v>
      </c>
      <c r="F124" s="15" t="s">
        <v>8</v>
      </c>
      <c r="J124" s="15">
        <v>2.9215385362959601</v>
      </c>
      <c r="K124" s="15">
        <v>5.9349836936866307</v>
      </c>
      <c r="L124" s="15">
        <v>5.8938972606242004</v>
      </c>
      <c r="M124" s="15">
        <v>5.8689196179540604</v>
      </c>
      <c r="N124" s="15">
        <v>5.7006209796551008</v>
      </c>
      <c r="O124" s="15">
        <v>5.5103756454435597</v>
      </c>
      <c r="P124" s="15">
        <v>5.1610428621087703</v>
      </c>
    </row>
    <row r="125" spans="1:16" x14ac:dyDescent="0.3">
      <c r="A125" s="15" t="str">
        <f t="shared" si="2"/>
        <v>INC</v>
      </c>
      <c r="B125" s="15" t="s">
        <v>276</v>
      </c>
      <c r="C125" s="15" t="s">
        <v>218</v>
      </c>
      <c r="D125" s="15" t="s">
        <v>278</v>
      </c>
      <c r="E125" s="15" t="s">
        <v>223</v>
      </c>
      <c r="F125" s="15" t="s">
        <v>0</v>
      </c>
      <c r="G125" s="15">
        <v>1.4751560911581101</v>
      </c>
      <c r="H125" s="15">
        <v>1.6063934182075601</v>
      </c>
      <c r="I125" s="15">
        <v>1.73389376093146</v>
      </c>
      <c r="J125" s="15">
        <v>0.95407232398911601</v>
      </c>
    </row>
    <row r="126" spans="1:16" x14ac:dyDescent="0.3">
      <c r="A126" s="15" t="str">
        <f t="shared" si="2"/>
        <v>INC</v>
      </c>
      <c r="B126" s="15" t="s">
        <v>276</v>
      </c>
      <c r="C126" s="15" t="s">
        <v>218</v>
      </c>
      <c r="D126" s="15" t="s">
        <v>278</v>
      </c>
      <c r="E126" s="15" t="s">
        <v>223</v>
      </c>
      <c r="F126" s="15" t="s">
        <v>1</v>
      </c>
      <c r="G126" s="15">
        <v>3.8514535601784798</v>
      </c>
      <c r="H126" s="15">
        <v>4.1907822384582198</v>
      </c>
      <c r="I126" s="15">
        <v>4.5143249069203204</v>
      </c>
      <c r="J126" s="15">
        <v>2.49096707183769</v>
      </c>
    </row>
    <row r="127" spans="1:16" x14ac:dyDescent="0.3">
      <c r="A127" s="15" t="str">
        <f t="shared" si="2"/>
        <v>INC</v>
      </c>
      <c r="B127" s="15" t="s">
        <v>276</v>
      </c>
      <c r="C127" s="15" t="s">
        <v>218</v>
      </c>
      <c r="D127" s="15" t="s">
        <v>278</v>
      </c>
      <c r="E127" s="15" t="s">
        <v>223</v>
      </c>
      <c r="F127" s="15" t="s">
        <v>2</v>
      </c>
      <c r="G127" s="15">
        <v>4.3692326623755102</v>
      </c>
      <c r="H127" s="15">
        <v>4.7414740721905702</v>
      </c>
      <c r="I127" s="15">
        <v>5.0727059574346596</v>
      </c>
      <c r="J127" s="15">
        <v>2.8258460140096102</v>
      </c>
    </row>
    <row r="128" spans="1:16" x14ac:dyDescent="0.3">
      <c r="A128" s="15" t="str">
        <f t="shared" si="2"/>
        <v>INC</v>
      </c>
      <c r="B128" s="15" t="s">
        <v>276</v>
      </c>
      <c r="C128" s="15" t="s">
        <v>218</v>
      </c>
      <c r="D128" s="15" t="s">
        <v>278</v>
      </c>
      <c r="E128" s="15" t="s">
        <v>223</v>
      </c>
      <c r="F128" s="15" t="s">
        <v>3</v>
      </c>
      <c r="G128" s="15">
        <v>2.1184366181252399</v>
      </c>
      <c r="H128" s="15">
        <v>2.3170842031868801</v>
      </c>
      <c r="I128" s="15">
        <v>2.5288756982201401</v>
      </c>
      <c r="J128" s="15">
        <v>1.37012059916429</v>
      </c>
    </row>
    <row r="129" spans="1:14" x14ac:dyDescent="0.3">
      <c r="A129" s="15" t="str">
        <f t="shared" si="2"/>
        <v>INC</v>
      </c>
      <c r="B129" s="15" t="s">
        <v>276</v>
      </c>
      <c r="C129" s="15" t="s">
        <v>218</v>
      </c>
      <c r="D129" s="15" t="s">
        <v>278</v>
      </c>
      <c r="E129" s="15" t="s">
        <v>223</v>
      </c>
      <c r="F129" s="15" t="s">
        <v>4</v>
      </c>
      <c r="G129" s="15">
        <v>6.1656861169490798</v>
      </c>
      <c r="H129" s="15">
        <v>6.7931932555536703</v>
      </c>
      <c r="I129" s="15">
        <v>7.5486747989871201</v>
      </c>
      <c r="J129" s="15">
        <v>3.9877207014524201</v>
      </c>
    </row>
    <row r="130" spans="1:14" x14ac:dyDescent="0.3">
      <c r="A130" s="15" t="str">
        <f t="shared" si="2"/>
        <v>INC</v>
      </c>
      <c r="B130" s="15" t="s">
        <v>276</v>
      </c>
      <c r="C130" s="15" t="s">
        <v>218</v>
      </c>
      <c r="D130" s="15" t="s">
        <v>278</v>
      </c>
      <c r="E130" s="15" t="s">
        <v>223</v>
      </c>
      <c r="F130" s="15" t="s">
        <v>5</v>
      </c>
      <c r="G130" s="15">
        <v>1.68158193190123</v>
      </c>
      <c r="H130" s="15">
        <v>1.8360655748367201</v>
      </c>
      <c r="I130" s="15">
        <v>1.9951649930711</v>
      </c>
      <c r="J130" s="15">
        <v>1.0875803525901</v>
      </c>
    </row>
    <row r="131" spans="1:14" x14ac:dyDescent="0.3">
      <c r="A131" s="15" t="str">
        <f t="shared" si="2"/>
        <v>INC</v>
      </c>
      <c r="B131" s="15" t="s">
        <v>276</v>
      </c>
      <c r="C131" s="15" t="s">
        <v>218</v>
      </c>
      <c r="D131" s="15" t="s">
        <v>278</v>
      </c>
      <c r="E131" s="15" t="s">
        <v>223</v>
      </c>
      <c r="F131" s="15" t="s">
        <v>6</v>
      </c>
      <c r="G131" s="15">
        <v>3.9070033711427898</v>
      </c>
      <c r="H131" s="15">
        <v>4.3200018434123999</v>
      </c>
      <c r="I131" s="15">
        <v>4.8420332236870696</v>
      </c>
      <c r="J131" s="15">
        <v>2.5268944815276502</v>
      </c>
    </row>
    <row r="132" spans="1:14" x14ac:dyDescent="0.3">
      <c r="A132" s="15" t="str">
        <f t="shared" si="2"/>
        <v>INC</v>
      </c>
      <c r="B132" s="15" t="s">
        <v>276</v>
      </c>
      <c r="C132" s="15" t="s">
        <v>218</v>
      </c>
      <c r="D132" s="15" t="s">
        <v>278</v>
      </c>
      <c r="E132" s="15" t="s">
        <v>223</v>
      </c>
      <c r="F132" s="15" t="s">
        <v>7</v>
      </c>
      <c r="G132" s="15">
        <v>3.3139708826985901</v>
      </c>
      <c r="H132" s="15">
        <v>1.8761118523387099</v>
      </c>
      <c r="I132" s="15">
        <v>2.0693219032861201</v>
      </c>
      <c r="J132" s="15">
        <v>1.10465696089953</v>
      </c>
    </row>
    <row r="133" spans="1:14" x14ac:dyDescent="0.3">
      <c r="A133" s="15" t="str">
        <f t="shared" si="2"/>
        <v>INC</v>
      </c>
      <c r="B133" s="15" t="s">
        <v>276</v>
      </c>
      <c r="C133" s="15" t="s">
        <v>218</v>
      </c>
      <c r="D133" s="15" t="s">
        <v>278</v>
      </c>
      <c r="E133" s="15" t="s">
        <v>223</v>
      </c>
      <c r="F133" s="15" t="s">
        <v>8</v>
      </c>
      <c r="G133" s="15">
        <v>4.5876600054866703</v>
      </c>
      <c r="H133" s="15">
        <v>5.0435390608915602</v>
      </c>
      <c r="I133" s="15">
        <v>5.57459206729001</v>
      </c>
      <c r="J133" s="15">
        <v>2.9671161372967001</v>
      </c>
    </row>
    <row r="134" spans="1:14" x14ac:dyDescent="0.3">
      <c r="A134" s="15" t="str">
        <f t="shared" si="2"/>
        <v>LED</v>
      </c>
      <c r="B134" s="15" t="s">
        <v>276</v>
      </c>
      <c r="C134" s="15" t="s">
        <v>218</v>
      </c>
      <c r="D134" s="15" t="s">
        <v>278</v>
      </c>
      <c r="E134" s="15" t="s">
        <v>224</v>
      </c>
      <c r="F134" s="15" t="s">
        <v>0</v>
      </c>
      <c r="I134" s="15">
        <v>0.244812131739752</v>
      </c>
      <c r="J134" s="15">
        <v>0.244812131739752</v>
      </c>
      <c r="K134" s="15">
        <v>3.9312121917124299</v>
      </c>
      <c r="L134" s="15">
        <v>14.257340861460129</v>
      </c>
      <c r="M134" s="15">
        <v>18.551618169416948</v>
      </c>
      <c r="N134" s="15">
        <v>8.2254894996692496</v>
      </c>
    </row>
    <row r="135" spans="1:14" x14ac:dyDescent="0.3">
      <c r="A135" s="15" t="str">
        <f t="shared" si="2"/>
        <v>LED</v>
      </c>
      <c r="B135" s="15" t="s">
        <v>276</v>
      </c>
      <c r="C135" s="15" t="s">
        <v>218</v>
      </c>
      <c r="D135" s="15" t="s">
        <v>278</v>
      </c>
      <c r="E135" s="15" t="s">
        <v>224</v>
      </c>
      <c r="F135" s="15" t="s">
        <v>1</v>
      </c>
      <c r="I135" s="15">
        <v>0.63738709298735796</v>
      </c>
      <c r="J135" s="15">
        <v>0.63738709298735796</v>
      </c>
      <c r="K135" s="15">
        <v>9.9424006456673393</v>
      </c>
      <c r="L135" s="15">
        <v>36.258104967862742</v>
      </c>
      <c r="M135" s="15">
        <v>26.315704322195401</v>
      </c>
    </row>
    <row r="136" spans="1:14" x14ac:dyDescent="0.3">
      <c r="A136" s="15" t="str">
        <f t="shared" si="2"/>
        <v>LED</v>
      </c>
      <c r="B136" s="15" t="s">
        <v>276</v>
      </c>
      <c r="C136" s="15" t="s">
        <v>218</v>
      </c>
      <c r="D136" s="15" t="s">
        <v>278</v>
      </c>
      <c r="E136" s="15" t="s">
        <v>224</v>
      </c>
      <c r="F136" s="15" t="s">
        <v>2</v>
      </c>
      <c r="I136" s="15">
        <v>0.71622609591800002</v>
      </c>
      <c r="J136" s="15">
        <v>0.71622609591800002</v>
      </c>
      <c r="K136" s="15">
        <v>11.3366207549448</v>
      </c>
      <c r="L136" s="15">
        <v>41.243815472063204</v>
      </c>
      <c r="M136" s="15">
        <v>29.907194717118401</v>
      </c>
    </row>
    <row r="137" spans="1:14" x14ac:dyDescent="0.3">
      <c r="A137" s="15" t="str">
        <f t="shared" si="2"/>
        <v>LED</v>
      </c>
      <c r="B137" s="15" t="s">
        <v>276</v>
      </c>
      <c r="C137" s="15" t="s">
        <v>218</v>
      </c>
      <c r="D137" s="15" t="s">
        <v>278</v>
      </c>
      <c r="E137" s="15" t="s">
        <v>224</v>
      </c>
      <c r="F137" s="15" t="s">
        <v>3</v>
      </c>
      <c r="I137" s="15">
        <v>0.35705731489196901</v>
      </c>
      <c r="J137" s="15">
        <v>0.35705731489196901</v>
      </c>
      <c r="K137" s="15">
        <v>5.96090867960626</v>
      </c>
      <c r="L137" s="15">
        <v>21.493276409812459</v>
      </c>
      <c r="M137" s="15">
        <v>15.5323677302062</v>
      </c>
    </row>
    <row r="138" spans="1:14" x14ac:dyDescent="0.3">
      <c r="A138" s="15" t="str">
        <f t="shared" si="2"/>
        <v>LED</v>
      </c>
      <c r="B138" s="15" t="s">
        <v>276</v>
      </c>
      <c r="C138" s="15" t="s">
        <v>218</v>
      </c>
      <c r="D138" s="15" t="s">
        <v>278</v>
      </c>
      <c r="E138" s="15" t="s">
        <v>224</v>
      </c>
      <c r="F138" s="15" t="s">
        <v>4</v>
      </c>
      <c r="I138" s="15">
        <v>1.06581337968332</v>
      </c>
      <c r="J138" s="15">
        <v>1.06581337968332</v>
      </c>
      <c r="K138" s="15">
        <v>19.5079908314117</v>
      </c>
      <c r="L138" s="15">
        <v>69.489454156466493</v>
      </c>
      <c r="M138" s="15">
        <v>93.919896588956902</v>
      </c>
      <c r="N138" s="15">
        <v>43.938433263902098</v>
      </c>
    </row>
    <row r="139" spans="1:14" x14ac:dyDescent="0.3">
      <c r="A139" s="15" t="str">
        <f t="shared" si="2"/>
        <v>LED</v>
      </c>
      <c r="B139" s="15" t="s">
        <v>276</v>
      </c>
      <c r="C139" s="15" t="s">
        <v>218</v>
      </c>
      <c r="D139" s="15" t="s">
        <v>278</v>
      </c>
      <c r="E139" s="15" t="s">
        <v>224</v>
      </c>
      <c r="F139" s="15" t="s">
        <v>5</v>
      </c>
      <c r="I139" s="15">
        <v>0.28170157026452902</v>
      </c>
      <c r="J139" s="15">
        <v>0.28170157026452902</v>
      </c>
      <c r="L139" s="15">
        <v>12.219715471789501</v>
      </c>
      <c r="M139" s="15">
        <v>12.219715471789501</v>
      </c>
    </row>
    <row r="140" spans="1:14" x14ac:dyDescent="0.3">
      <c r="A140" s="15" t="str">
        <f t="shared" si="2"/>
        <v>LED</v>
      </c>
      <c r="B140" s="15" t="s">
        <v>276</v>
      </c>
      <c r="C140" s="15" t="s">
        <v>218</v>
      </c>
      <c r="D140" s="15" t="s">
        <v>278</v>
      </c>
      <c r="E140" s="15" t="s">
        <v>224</v>
      </c>
      <c r="F140" s="15" t="s">
        <v>6</v>
      </c>
      <c r="I140" s="15">
        <v>0.68365692417552304</v>
      </c>
      <c r="J140" s="15">
        <v>0.68365692417552304</v>
      </c>
      <c r="L140" s="15">
        <v>32.800538055462603</v>
      </c>
      <c r="M140" s="15">
        <v>32.800538055462603</v>
      </c>
    </row>
    <row r="141" spans="1:14" x14ac:dyDescent="0.3">
      <c r="A141" s="15" t="str">
        <f t="shared" si="2"/>
        <v>LED</v>
      </c>
      <c r="B141" s="15" t="s">
        <v>276</v>
      </c>
      <c r="C141" s="15" t="s">
        <v>218</v>
      </c>
      <c r="D141" s="15" t="s">
        <v>278</v>
      </c>
      <c r="E141" s="15" t="s">
        <v>224</v>
      </c>
      <c r="F141" s="15" t="s">
        <v>7</v>
      </c>
      <c r="I141" s="15">
        <v>0.29217194144991299</v>
      </c>
      <c r="J141" s="15">
        <v>0.29217194144991299</v>
      </c>
      <c r="K141" s="15">
        <v>5.6504773849076502</v>
      </c>
      <c r="L141" s="15">
        <v>19.979615461567349</v>
      </c>
      <c r="M141" s="15">
        <v>14.329138076659699</v>
      </c>
    </row>
    <row r="142" spans="1:14" x14ac:dyDescent="0.3">
      <c r="A142" s="15" t="str">
        <f t="shared" si="2"/>
        <v>LED</v>
      </c>
      <c r="B142" s="15" t="s">
        <v>276</v>
      </c>
      <c r="C142" s="15" t="s">
        <v>218</v>
      </c>
      <c r="D142" s="15" t="s">
        <v>278</v>
      </c>
      <c r="E142" s="15" t="s">
        <v>224</v>
      </c>
      <c r="F142" s="15" t="s">
        <v>8</v>
      </c>
      <c r="I142" s="15">
        <v>0.787088458545254</v>
      </c>
      <c r="J142" s="15">
        <v>0.787088458545254</v>
      </c>
      <c r="K142" s="15">
        <v>35.399148735169803</v>
      </c>
      <c r="L142" s="15">
        <v>49.975346624332403</v>
      </c>
      <c r="M142" s="15">
        <v>66.828011042857298</v>
      </c>
      <c r="N142" s="15">
        <v>52.251813153694698</v>
      </c>
    </row>
    <row r="143" spans="1:14" x14ac:dyDescent="0.3">
      <c r="A143" s="15" t="str">
        <f t="shared" si="2"/>
        <v>LED</v>
      </c>
      <c r="B143" s="15" t="s">
        <v>276</v>
      </c>
      <c r="C143" s="15" t="s">
        <v>218</v>
      </c>
      <c r="D143" s="15" t="s">
        <v>278</v>
      </c>
      <c r="E143" s="15" t="s">
        <v>225</v>
      </c>
      <c r="F143" s="15" t="s">
        <v>0</v>
      </c>
      <c r="G143" s="15">
        <v>0.20950455284150801</v>
      </c>
    </row>
    <row r="144" spans="1:14" x14ac:dyDescent="0.3">
      <c r="A144" s="15" t="str">
        <f t="shared" si="2"/>
        <v>LED</v>
      </c>
      <c r="B144" s="15" t="s">
        <v>276</v>
      </c>
      <c r="C144" s="15" t="s">
        <v>218</v>
      </c>
      <c r="D144" s="15" t="s">
        <v>278</v>
      </c>
      <c r="E144" s="15" t="s">
        <v>225</v>
      </c>
      <c r="F144" s="15" t="s">
        <v>1</v>
      </c>
      <c r="G144" s="15">
        <v>0.54699096641464795</v>
      </c>
    </row>
    <row r="145" spans="1:16" x14ac:dyDescent="0.3">
      <c r="A145" s="15" t="str">
        <f t="shared" si="2"/>
        <v>LED</v>
      </c>
      <c r="B145" s="15" t="s">
        <v>276</v>
      </c>
      <c r="C145" s="15" t="s">
        <v>218</v>
      </c>
      <c r="D145" s="15" t="s">
        <v>278</v>
      </c>
      <c r="E145" s="15" t="s">
        <v>225</v>
      </c>
      <c r="F145" s="15" t="s">
        <v>2</v>
      </c>
      <c r="G145" s="15">
        <v>0.62052696706333998</v>
      </c>
    </row>
    <row r="146" spans="1:16" x14ac:dyDescent="0.3">
      <c r="A146" s="15" t="str">
        <f t="shared" si="2"/>
        <v>LED</v>
      </c>
      <c r="B146" s="15" t="s">
        <v>276</v>
      </c>
      <c r="C146" s="15" t="s">
        <v>218</v>
      </c>
      <c r="D146" s="15" t="s">
        <v>278</v>
      </c>
      <c r="E146" s="15" t="s">
        <v>225</v>
      </c>
      <c r="F146" s="15" t="s">
        <v>3</v>
      </c>
      <c r="G146" s="15">
        <v>0.30086451126332697</v>
      </c>
    </row>
    <row r="147" spans="1:16" x14ac:dyDescent="0.3">
      <c r="A147" s="15" t="str">
        <f t="shared" si="2"/>
        <v>LED</v>
      </c>
      <c r="B147" s="15" t="s">
        <v>276</v>
      </c>
      <c r="C147" s="15" t="s">
        <v>218</v>
      </c>
      <c r="D147" s="15" t="s">
        <v>278</v>
      </c>
      <c r="E147" s="15" t="s">
        <v>225</v>
      </c>
      <c r="F147" s="15" t="s">
        <v>4</v>
      </c>
      <c r="G147" s="15">
        <v>0.87566279977758099</v>
      </c>
    </row>
    <row r="148" spans="1:16" x14ac:dyDescent="0.3">
      <c r="A148" s="15" t="str">
        <f t="shared" si="2"/>
        <v>LED</v>
      </c>
      <c r="B148" s="15" t="s">
        <v>276</v>
      </c>
      <c r="C148" s="15" t="s">
        <v>218</v>
      </c>
      <c r="D148" s="15" t="s">
        <v>278</v>
      </c>
      <c r="E148" s="15" t="s">
        <v>225</v>
      </c>
      <c r="F148" s="15" t="s">
        <v>5</v>
      </c>
      <c r="G148" s="15">
        <v>0.23882155442462899</v>
      </c>
    </row>
    <row r="149" spans="1:16" x14ac:dyDescent="0.3">
      <c r="A149" s="15" t="str">
        <f t="shared" si="2"/>
        <v>LED</v>
      </c>
      <c r="B149" s="15" t="s">
        <v>276</v>
      </c>
      <c r="C149" s="15" t="s">
        <v>218</v>
      </c>
      <c r="D149" s="15" t="s">
        <v>278</v>
      </c>
      <c r="E149" s="15" t="s">
        <v>225</v>
      </c>
      <c r="F149" s="15" t="s">
        <v>6</v>
      </c>
      <c r="G149" s="15">
        <v>0.55488025919947304</v>
      </c>
    </row>
    <row r="150" spans="1:16" x14ac:dyDescent="0.3">
      <c r="A150" s="15" t="str">
        <f t="shared" si="2"/>
        <v>LED</v>
      </c>
      <c r="B150" s="15" t="s">
        <v>276</v>
      </c>
      <c r="C150" s="15" t="s">
        <v>218</v>
      </c>
      <c r="D150" s="15" t="s">
        <v>278</v>
      </c>
      <c r="E150" s="15" t="s">
        <v>225</v>
      </c>
      <c r="F150" s="15" t="s">
        <v>7</v>
      </c>
      <c r="G150" s="15">
        <v>0.24257140346433001</v>
      </c>
    </row>
    <row r="151" spans="1:16" x14ac:dyDescent="0.3">
      <c r="A151" s="15" t="str">
        <f t="shared" si="2"/>
        <v>LED</v>
      </c>
      <c r="B151" s="15" t="s">
        <v>276</v>
      </c>
      <c r="C151" s="15" t="s">
        <v>218</v>
      </c>
      <c r="D151" s="15" t="s">
        <v>278</v>
      </c>
      <c r="E151" s="15" t="s">
        <v>225</v>
      </c>
      <c r="F151" s="15" t="s">
        <v>8</v>
      </c>
      <c r="G151" s="15">
        <v>0.65154844548268898</v>
      </c>
    </row>
    <row r="152" spans="1:16" x14ac:dyDescent="0.3">
      <c r="A152" s="15" t="str">
        <f t="shared" si="2"/>
        <v>T5</v>
      </c>
      <c r="B152" s="15" t="s">
        <v>276</v>
      </c>
      <c r="C152" s="15" t="s">
        <v>218</v>
      </c>
      <c r="D152" s="15" t="s">
        <v>278</v>
      </c>
      <c r="E152" s="15" t="s">
        <v>294</v>
      </c>
      <c r="F152" s="15" t="s">
        <v>0</v>
      </c>
      <c r="H152" s="15">
        <v>2.3917068778249302</v>
      </c>
      <c r="I152" s="15">
        <v>2.4586076080112398</v>
      </c>
      <c r="J152" s="15">
        <v>2.3396600906106357</v>
      </c>
      <c r="K152" s="15">
        <v>2.0986632495936162</v>
      </c>
      <c r="L152" s="15">
        <v>1.814104200307999</v>
      </c>
      <c r="M152" s="15">
        <v>1.5160637946681388</v>
      </c>
      <c r="N152" s="15">
        <v>1.1635688662977459</v>
      </c>
      <c r="O152" s="15">
        <v>0.79350780827822198</v>
      </c>
      <c r="P152" s="15">
        <v>0.397430285200155</v>
      </c>
    </row>
    <row r="153" spans="1:16" x14ac:dyDescent="0.3">
      <c r="A153" s="15" t="str">
        <f t="shared" si="2"/>
        <v>T5</v>
      </c>
      <c r="B153" s="15" t="s">
        <v>276</v>
      </c>
      <c r="C153" s="15" t="s">
        <v>218</v>
      </c>
      <c r="D153" s="15" t="s">
        <v>278</v>
      </c>
      <c r="E153" s="15" t="s">
        <v>294</v>
      </c>
      <c r="F153" s="15" t="s">
        <v>1</v>
      </c>
      <c r="H153" s="15">
        <v>6.2395192793873901</v>
      </c>
      <c r="I153" s="15">
        <v>6.4011727888256003</v>
      </c>
      <c r="J153" s="15">
        <v>6.0473806242838704</v>
      </c>
      <c r="K153" s="15">
        <v>5.3792704542793501</v>
      </c>
      <c r="L153" s="15">
        <v>4.6134816552791804</v>
      </c>
      <c r="M153" s="15">
        <v>3.8301512689589101</v>
      </c>
      <c r="N153" s="15">
        <v>2.924069667602736</v>
      </c>
      <c r="O153" s="15">
        <v>1.9841241474001661</v>
      </c>
      <c r="P153" s="15">
        <v>0.989028624961659</v>
      </c>
    </row>
    <row r="154" spans="1:16" x14ac:dyDescent="0.3">
      <c r="A154" s="15" t="str">
        <f t="shared" si="2"/>
        <v>T5</v>
      </c>
      <c r="B154" s="15" t="s">
        <v>276</v>
      </c>
      <c r="C154" s="15" t="s">
        <v>218</v>
      </c>
      <c r="D154" s="15" t="s">
        <v>278</v>
      </c>
      <c r="E154" s="15" t="s">
        <v>294</v>
      </c>
      <c r="F154" s="15" t="s">
        <v>2</v>
      </c>
      <c r="H154" s="15">
        <v>7.0594264275188197</v>
      </c>
      <c r="I154" s="15">
        <v>7.1929398104834696</v>
      </c>
      <c r="J154" s="15">
        <v>6.80093741967063</v>
      </c>
      <c r="K154" s="15">
        <v>6.0811273187884094</v>
      </c>
      <c r="L154" s="15">
        <v>5.2478635119716097</v>
      </c>
      <c r="M154" s="15">
        <v>4.3840706798678504</v>
      </c>
      <c r="N154" s="15">
        <v>3.3669254181483743</v>
      </c>
      <c r="O154" s="15">
        <v>2.2986009714156039</v>
      </c>
      <c r="P154" s="15">
        <v>1.1485741599727</v>
      </c>
    </row>
    <row r="155" spans="1:16" x14ac:dyDescent="0.3">
      <c r="A155" s="15" t="str">
        <f t="shared" si="2"/>
        <v>T5</v>
      </c>
      <c r="B155" s="15" t="s">
        <v>276</v>
      </c>
      <c r="C155" s="15" t="s">
        <v>218</v>
      </c>
      <c r="D155" s="15" t="s">
        <v>278</v>
      </c>
      <c r="E155" s="15" t="s">
        <v>294</v>
      </c>
      <c r="F155" s="15" t="s">
        <v>3</v>
      </c>
      <c r="H155" s="15">
        <v>3.4498312570560499</v>
      </c>
      <c r="I155" s="15">
        <v>3.5858673532677598</v>
      </c>
      <c r="J155" s="15">
        <v>3.4521459916046302</v>
      </c>
      <c r="K155" s="15">
        <v>3.1298725811984403</v>
      </c>
      <c r="L155" s="15">
        <v>2.734804715149993</v>
      </c>
      <c r="M155" s="15">
        <v>2.3152340146551129</v>
      </c>
      <c r="N155" s="15">
        <v>1.803984453193394</v>
      </c>
      <c r="O155" s="15">
        <v>1.250218118713271</v>
      </c>
      <c r="P155" s="15">
        <v>0.63455541029104701</v>
      </c>
    </row>
    <row r="156" spans="1:16" x14ac:dyDescent="0.3">
      <c r="A156" s="15" t="str">
        <f t="shared" si="2"/>
        <v>T5</v>
      </c>
      <c r="B156" s="15" t="s">
        <v>276</v>
      </c>
      <c r="C156" s="15" t="s">
        <v>218</v>
      </c>
      <c r="D156" s="15" t="s">
        <v>278</v>
      </c>
      <c r="E156" s="15" t="s">
        <v>294</v>
      </c>
      <c r="F156" s="15" t="s">
        <v>4</v>
      </c>
      <c r="H156" s="15">
        <v>10.1141643432719</v>
      </c>
      <c r="I156" s="15">
        <v>10.703786880934601</v>
      </c>
      <c r="J156" s="15">
        <v>10.60122052108405</v>
      </c>
      <c r="K156" s="15">
        <v>9.861157664454641</v>
      </c>
      <c r="L156" s="15">
        <v>8.8418388735532005</v>
      </c>
      <c r="M156" s="15">
        <v>7.6752633391423704</v>
      </c>
      <c r="N156" s="15">
        <v>6.12901599994313</v>
      </c>
      <c r="O156" s="15">
        <v>4.3552057550352394</v>
      </c>
      <c r="P156" s="15">
        <v>2.2638077351677302</v>
      </c>
    </row>
    <row r="157" spans="1:16" x14ac:dyDescent="0.3">
      <c r="A157" s="15" t="str">
        <f t="shared" si="2"/>
        <v>T5</v>
      </c>
      <c r="B157" s="15" t="s">
        <v>276</v>
      </c>
      <c r="C157" s="15" t="s">
        <v>218</v>
      </c>
      <c r="D157" s="15" t="s">
        <v>278</v>
      </c>
      <c r="E157" s="15" t="s">
        <v>294</v>
      </c>
      <c r="F157" s="15" t="s">
        <v>5</v>
      </c>
      <c r="H157" s="15">
        <v>2.7336582767965298</v>
      </c>
      <c r="I157" s="15">
        <v>2.8290821166385101</v>
      </c>
      <c r="J157" s="15">
        <v>2.717677447781397</v>
      </c>
      <c r="K157" s="15">
        <v>2.4628207746373167</v>
      </c>
      <c r="L157" s="15">
        <v>2.151289002417323</v>
      </c>
      <c r="M157" s="15">
        <v>1.8193454726362031</v>
      </c>
      <c r="N157" s="15">
        <v>1.4158334677133491</v>
      </c>
      <c r="O157" s="15">
        <v>0.98051835895378703</v>
      </c>
      <c r="P157" s="15">
        <v>0.49882796128663598</v>
      </c>
    </row>
    <row r="158" spans="1:16" x14ac:dyDescent="0.3">
      <c r="A158" s="15" t="str">
        <f t="shared" si="2"/>
        <v>T5</v>
      </c>
      <c r="B158" s="15" t="s">
        <v>276</v>
      </c>
      <c r="C158" s="15" t="s">
        <v>218</v>
      </c>
      <c r="D158" s="15" t="s">
        <v>278</v>
      </c>
      <c r="E158" s="15" t="s">
        <v>294</v>
      </c>
      <c r="F158" s="15" t="s">
        <v>6</v>
      </c>
      <c r="H158" s="15">
        <v>6.4319101435528898</v>
      </c>
      <c r="I158" s="15">
        <v>6.8658530241235498</v>
      </c>
      <c r="J158" s="15">
        <v>6.8650607481254697</v>
      </c>
      <c r="K158" s="15">
        <v>6.4385146827700197</v>
      </c>
      <c r="L158" s="15">
        <v>5.8132420724109597</v>
      </c>
      <c r="M158" s="15">
        <v>5.0784110501388797</v>
      </c>
      <c r="N158" s="15">
        <v>4.0804362317118619</v>
      </c>
      <c r="O158" s="15">
        <v>2.9163189164567518</v>
      </c>
      <c r="P158" s="15">
        <v>1.5270922225766801</v>
      </c>
    </row>
    <row r="159" spans="1:16" x14ac:dyDescent="0.3">
      <c r="A159" s="15" t="str">
        <f t="shared" si="2"/>
        <v>T5</v>
      </c>
      <c r="B159" s="15" t="s">
        <v>276</v>
      </c>
      <c r="C159" s="15" t="s">
        <v>218</v>
      </c>
      <c r="D159" s="15" t="s">
        <v>278</v>
      </c>
      <c r="E159" s="15" t="s">
        <v>294</v>
      </c>
      <c r="F159" s="15" t="s">
        <v>7</v>
      </c>
      <c r="H159" s="15">
        <v>2.7932818760015601</v>
      </c>
      <c r="I159" s="15">
        <v>2.9342343167037201</v>
      </c>
      <c r="J159" s="15">
        <v>2.9507254586268701</v>
      </c>
      <c r="K159" s="15">
        <v>2.7903054219831303</v>
      </c>
      <c r="L159" s="15">
        <v>2.5422064802662119</v>
      </c>
      <c r="M159" s="15">
        <v>2.2428439101672621</v>
      </c>
      <c r="N159" s="15">
        <v>1.8202246781748339</v>
      </c>
      <c r="O159" s="15">
        <v>1.31439730462353</v>
      </c>
      <c r="P159" s="15">
        <v>0.69637639586449895</v>
      </c>
    </row>
    <row r="160" spans="1:16" x14ac:dyDescent="0.3">
      <c r="A160" s="15" t="str">
        <f t="shared" si="2"/>
        <v>T5</v>
      </c>
      <c r="B160" s="15" t="s">
        <v>276</v>
      </c>
      <c r="C160" s="15" t="s">
        <v>218</v>
      </c>
      <c r="D160" s="15" t="s">
        <v>278</v>
      </c>
      <c r="E160" s="15" t="s">
        <v>294</v>
      </c>
      <c r="F160" s="15" t="s">
        <v>8</v>
      </c>
      <c r="H160" s="15">
        <v>7.5091611580261199</v>
      </c>
      <c r="I160" s="15">
        <v>7.9045987574437699</v>
      </c>
      <c r="J160" s="15">
        <v>7.7686055718134401</v>
      </c>
      <c r="K160" s="15">
        <v>7.1646519392093193</v>
      </c>
      <c r="L160" s="15">
        <v>6.3588636270961194</v>
      </c>
      <c r="M160" s="15">
        <v>5.4612771288480397</v>
      </c>
      <c r="N160" s="15">
        <v>4.3156622243041891</v>
      </c>
      <c r="O160" s="15">
        <v>3.0385996129077792</v>
      </c>
      <c r="P160" s="15">
        <v>1.5681854578197001</v>
      </c>
    </row>
    <row r="161" spans="1:16" x14ac:dyDescent="0.3">
      <c r="A161" s="15" t="str">
        <f>MID(E161,4,2)</f>
        <v>T5</v>
      </c>
      <c r="B161" s="15" t="s">
        <v>276</v>
      </c>
      <c r="C161" s="15" t="s">
        <v>218</v>
      </c>
      <c r="D161" s="15" t="s">
        <v>278</v>
      </c>
      <c r="E161" s="15" t="s">
        <v>226</v>
      </c>
      <c r="F161" s="15" t="s">
        <v>0</v>
      </c>
      <c r="G161" s="15">
        <v>2.3144213983821702</v>
      </c>
    </row>
    <row r="162" spans="1:16" x14ac:dyDescent="0.3">
      <c r="A162" s="15" t="str">
        <f t="shared" ref="A162:A169" si="3">MID(E162,4,2)</f>
        <v>T5</v>
      </c>
      <c r="B162" s="15" t="s">
        <v>276</v>
      </c>
      <c r="C162" s="15" t="s">
        <v>218</v>
      </c>
      <c r="D162" s="15" t="s">
        <v>278</v>
      </c>
      <c r="E162" s="15" t="s">
        <v>226</v>
      </c>
      <c r="F162" s="15" t="s">
        <v>1</v>
      </c>
      <c r="G162" s="15">
        <v>6.0426734418011199</v>
      </c>
    </row>
    <row r="163" spans="1:16" x14ac:dyDescent="0.3">
      <c r="A163" s="15" t="str">
        <f t="shared" si="3"/>
        <v>T5</v>
      </c>
      <c r="B163" s="15" t="s">
        <v>276</v>
      </c>
      <c r="C163" s="15" t="s">
        <v>218</v>
      </c>
      <c r="D163" s="15" t="s">
        <v>278</v>
      </c>
      <c r="E163" s="15" t="s">
        <v>226</v>
      </c>
      <c r="F163" s="15" t="s">
        <v>2</v>
      </c>
      <c r="G163" s="15">
        <v>6.8550342766586496</v>
      </c>
    </row>
    <row r="164" spans="1:16" x14ac:dyDescent="0.3">
      <c r="A164" s="15" t="str">
        <f t="shared" si="3"/>
        <v>T5</v>
      </c>
      <c r="B164" s="15" t="s">
        <v>276</v>
      </c>
      <c r="C164" s="15" t="s">
        <v>218</v>
      </c>
      <c r="D164" s="15" t="s">
        <v>278</v>
      </c>
      <c r="E164" s="15" t="s">
        <v>226</v>
      </c>
      <c r="F164" s="15" t="s">
        <v>3</v>
      </c>
      <c r="G164" s="15">
        <v>3.3236855879137699</v>
      </c>
    </row>
    <row r="165" spans="1:16" x14ac:dyDescent="0.3">
      <c r="A165" s="15" t="str">
        <f t="shared" si="3"/>
        <v>T5</v>
      </c>
      <c r="B165" s="15" t="s">
        <v>276</v>
      </c>
      <c r="C165" s="15" t="s">
        <v>218</v>
      </c>
      <c r="D165" s="15" t="s">
        <v>278</v>
      </c>
      <c r="E165" s="15" t="s">
        <v>226</v>
      </c>
      <c r="F165" s="15" t="s">
        <v>4</v>
      </c>
      <c r="G165" s="15">
        <v>9.6735497824987995</v>
      </c>
    </row>
    <row r="166" spans="1:16" x14ac:dyDescent="0.3">
      <c r="A166" s="15" t="str">
        <f t="shared" si="3"/>
        <v>T5</v>
      </c>
      <c r="B166" s="15" t="s">
        <v>276</v>
      </c>
      <c r="C166" s="15" t="s">
        <v>218</v>
      </c>
      <c r="D166" s="15" t="s">
        <v>278</v>
      </c>
      <c r="E166" s="15" t="s">
        <v>226</v>
      </c>
      <c r="F166" s="15" t="s">
        <v>5</v>
      </c>
      <c r="G166" s="15">
        <v>2.6382897577094702</v>
      </c>
    </row>
    <row r="167" spans="1:16" x14ac:dyDescent="0.3">
      <c r="A167" s="15" t="str">
        <f t="shared" si="3"/>
        <v>T5</v>
      </c>
      <c r="B167" s="15" t="s">
        <v>276</v>
      </c>
      <c r="C167" s="15" t="s">
        <v>218</v>
      </c>
      <c r="D167" s="15" t="s">
        <v>278</v>
      </c>
      <c r="E167" s="15" t="s">
        <v>226</v>
      </c>
      <c r="F167" s="15" t="s">
        <v>6</v>
      </c>
      <c r="G167" s="15">
        <v>6.1298273856732797</v>
      </c>
    </row>
    <row r="168" spans="1:16" x14ac:dyDescent="0.3">
      <c r="A168" s="15" t="str">
        <f t="shared" si="3"/>
        <v>T5</v>
      </c>
      <c r="B168" s="15" t="s">
        <v>276</v>
      </c>
      <c r="C168" s="15" t="s">
        <v>218</v>
      </c>
      <c r="D168" s="15" t="s">
        <v>278</v>
      </c>
      <c r="E168" s="15" t="s">
        <v>226</v>
      </c>
      <c r="F168" s="15" t="s">
        <v>7</v>
      </c>
      <c r="G168" s="15">
        <v>2.6797147804141299</v>
      </c>
    </row>
    <row r="169" spans="1:16" x14ac:dyDescent="0.3">
      <c r="A169" s="15" t="str">
        <f t="shared" si="3"/>
        <v>T5</v>
      </c>
      <c r="B169" s="15" t="s">
        <v>276</v>
      </c>
      <c r="C169" s="15" t="s">
        <v>218</v>
      </c>
      <c r="D169" s="15" t="s">
        <v>278</v>
      </c>
      <c r="E169" s="15" t="s">
        <v>226</v>
      </c>
      <c r="F169" s="15" t="s">
        <v>8</v>
      </c>
      <c r="G169" s="15">
        <v>7.1977321917608101</v>
      </c>
    </row>
    <row r="170" spans="1:16" x14ac:dyDescent="0.3">
      <c r="A170" s="15" t="str">
        <f t="shared" si="2"/>
        <v>T8</v>
      </c>
      <c r="B170" s="15" t="s">
        <v>276</v>
      </c>
      <c r="C170" s="15" t="s">
        <v>218</v>
      </c>
      <c r="D170" s="15" t="s">
        <v>278</v>
      </c>
      <c r="E170" s="15" t="s">
        <v>295</v>
      </c>
      <c r="F170" s="15" t="s">
        <v>0</v>
      </c>
      <c r="H170" s="15">
        <v>3.7359087515123099</v>
      </c>
      <c r="I170" s="15">
        <v>17.463527396001801</v>
      </c>
      <c r="J170" s="15">
        <v>26.147001485651401</v>
      </c>
      <c r="K170" s="15">
        <v>36.2106132103007</v>
      </c>
      <c r="L170" s="15">
        <v>35.023050301015196</v>
      </c>
      <c r="M170" s="15">
        <v>33.935176448588102</v>
      </c>
      <c r="N170" s="15">
        <v>32.013672795839199</v>
      </c>
      <c r="O170" s="15">
        <v>29.972821094040903</v>
      </c>
      <c r="P170" s="15">
        <v>27.243925939325962</v>
      </c>
    </row>
    <row r="171" spans="1:16" x14ac:dyDescent="0.3">
      <c r="A171" s="15" t="str">
        <f t="shared" si="2"/>
        <v>T8</v>
      </c>
      <c r="B171" s="15" t="s">
        <v>276</v>
      </c>
      <c r="C171" s="15" t="s">
        <v>218</v>
      </c>
      <c r="D171" s="15" t="s">
        <v>278</v>
      </c>
      <c r="E171" s="15" t="s">
        <v>295</v>
      </c>
      <c r="F171" s="15" t="s">
        <v>1</v>
      </c>
      <c r="H171" s="15">
        <v>9.6839100411710195</v>
      </c>
      <c r="I171" s="15">
        <v>45.310004904073303</v>
      </c>
      <c r="J171" s="15">
        <v>67.300579948641598</v>
      </c>
      <c r="K171" s="15">
        <v>92.814643707715192</v>
      </c>
      <c r="L171" s="15">
        <v>89.067761404344992</v>
      </c>
      <c r="M171" s="15">
        <v>85.733106742619498</v>
      </c>
      <c r="N171" s="15">
        <v>80.450940449036096</v>
      </c>
      <c r="O171" s="15">
        <v>74.945447893488591</v>
      </c>
      <c r="P171" s="15">
        <v>67.798111049233995</v>
      </c>
    </row>
    <row r="172" spans="1:16" x14ac:dyDescent="0.3">
      <c r="A172" s="15" t="str">
        <f t="shared" si="2"/>
        <v>T8</v>
      </c>
      <c r="B172" s="15" t="s">
        <v>276</v>
      </c>
      <c r="C172" s="15" t="s">
        <v>218</v>
      </c>
      <c r="D172" s="15" t="s">
        <v>278</v>
      </c>
      <c r="E172" s="15" t="s">
        <v>295</v>
      </c>
      <c r="F172" s="15" t="s">
        <v>2</v>
      </c>
      <c r="H172" s="15">
        <v>10.7172174410638</v>
      </c>
      <c r="I172" s="15">
        <v>50.308803541112802</v>
      </c>
      <c r="J172" s="15">
        <v>75.409869011401895</v>
      </c>
      <c r="K172" s="15">
        <v>104.9245748530065</v>
      </c>
      <c r="L172" s="15">
        <v>101.31512165698</v>
      </c>
      <c r="M172" s="15">
        <v>98.131894322404406</v>
      </c>
      <c r="N172" s="15">
        <v>92.6353839352508</v>
      </c>
      <c r="O172" s="15">
        <v>86.824042516128998</v>
      </c>
      <c r="P172" s="15">
        <v>78.734989545048194</v>
      </c>
    </row>
    <row r="173" spans="1:16" x14ac:dyDescent="0.3">
      <c r="A173" s="15" t="str">
        <f t="shared" si="2"/>
        <v>T8</v>
      </c>
      <c r="B173" s="15" t="s">
        <v>276</v>
      </c>
      <c r="C173" s="15" t="s">
        <v>218</v>
      </c>
      <c r="D173" s="15" t="s">
        <v>278</v>
      </c>
      <c r="E173" s="15" t="s">
        <v>295</v>
      </c>
      <c r="F173" s="15" t="s">
        <v>3</v>
      </c>
      <c r="H173" s="15">
        <v>5.5802497110983396</v>
      </c>
      <c r="I173" s="15">
        <v>25.9543965157836</v>
      </c>
      <c r="J173" s="15">
        <v>39.005038319370499</v>
      </c>
      <c r="K173" s="15">
        <v>54.003235372443598</v>
      </c>
      <c r="L173" s="15">
        <v>52.798071403996204</v>
      </c>
      <c r="M173" s="15">
        <v>51.823594154421897</v>
      </c>
      <c r="N173" s="15">
        <v>49.633648412294498</v>
      </c>
      <c r="O173" s="15">
        <v>47.223938579798599</v>
      </c>
      <c r="P173" s="15">
        <v>43.498900929659698</v>
      </c>
    </row>
    <row r="174" spans="1:16" x14ac:dyDescent="0.3">
      <c r="A174" s="15" t="str">
        <f t="shared" si="2"/>
        <v>T8</v>
      </c>
      <c r="B174" s="15" t="s">
        <v>276</v>
      </c>
      <c r="C174" s="15" t="s">
        <v>218</v>
      </c>
      <c r="D174" s="15" t="s">
        <v>278</v>
      </c>
      <c r="E174" s="15" t="s">
        <v>295</v>
      </c>
      <c r="F174" s="15" t="s">
        <v>4</v>
      </c>
      <c r="H174" s="15">
        <v>17.284314295397198</v>
      </c>
      <c r="I174" s="15">
        <v>79.7831800019094</v>
      </c>
      <c r="J174" s="15">
        <v>122.26722964983469</v>
      </c>
      <c r="K174" s="15">
        <v>170.1457182625665</v>
      </c>
      <c r="L174" s="15">
        <v>170.70032006394581</v>
      </c>
      <c r="M174" s="15">
        <v>171.80109215667261</v>
      </c>
      <c r="N174" s="15">
        <v>168.62973775411569</v>
      </c>
      <c r="O174" s="15">
        <v>164.50726957136521</v>
      </c>
      <c r="P174" s="15">
        <v>155.1844753016799</v>
      </c>
    </row>
    <row r="175" spans="1:16" x14ac:dyDescent="0.3">
      <c r="A175" s="15" t="str">
        <f t="shared" si="2"/>
        <v>T8</v>
      </c>
      <c r="B175" s="15" t="s">
        <v>276</v>
      </c>
      <c r="C175" s="15" t="s">
        <v>218</v>
      </c>
      <c r="D175" s="15" t="s">
        <v>278</v>
      </c>
      <c r="E175" s="15" t="s">
        <v>295</v>
      </c>
      <c r="F175" s="15" t="s">
        <v>5</v>
      </c>
      <c r="H175" s="15">
        <v>4.36188009857322</v>
      </c>
      <c r="I175" s="15">
        <v>20.327053551185202</v>
      </c>
      <c r="J175" s="15">
        <v>30.605051456621304</v>
      </c>
      <c r="K175" s="15">
        <v>42.493835299185506</v>
      </c>
      <c r="L175" s="15">
        <v>41.532731653942605</v>
      </c>
      <c r="M175" s="15">
        <v>40.723754403992103</v>
      </c>
      <c r="N175" s="15">
        <v>38.954316054358202</v>
      </c>
      <c r="O175" s="15">
        <v>37.036688291843603</v>
      </c>
      <c r="P175" s="15">
        <v>34.1947570173567</v>
      </c>
    </row>
    <row r="176" spans="1:16" x14ac:dyDescent="0.3">
      <c r="A176" s="15" t="str">
        <f t="shared" si="2"/>
        <v>T8</v>
      </c>
      <c r="B176" s="15" t="s">
        <v>276</v>
      </c>
      <c r="C176" s="15" t="s">
        <v>218</v>
      </c>
      <c r="D176" s="15" t="s">
        <v>278</v>
      </c>
      <c r="E176" s="15" t="s">
        <v>295</v>
      </c>
      <c r="F176" s="15" t="s">
        <v>6</v>
      </c>
      <c r="H176" s="15">
        <v>11.277351852690501</v>
      </c>
      <c r="I176" s="15">
        <v>51.877494857341802</v>
      </c>
      <c r="J176" s="15">
        <v>79.804124174502505</v>
      </c>
      <c r="K176" s="15">
        <v>111.0909836877221</v>
      </c>
      <c r="L176" s="15">
        <v>112.2303059986628</v>
      </c>
      <c r="M176" s="15">
        <v>113.673828021628</v>
      </c>
      <c r="N176" s="15">
        <v>112.26645381287129</v>
      </c>
      <c r="O176" s="15">
        <v>110.1568304989854</v>
      </c>
      <c r="P176" s="15">
        <v>104.68247882379421</v>
      </c>
    </row>
    <row r="177" spans="1:16" x14ac:dyDescent="0.3">
      <c r="A177" s="15" t="str">
        <f t="shared" si="2"/>
        <v>T8</v>
      </c>
      <c r="B177" s="15" t="s">
        <v>276</v>
      </c>
      <c r="C177" s="15" t="s">
        <v>218</v>
      </c>
      <c r="D177" s="15" t="s">
        <v>278</v>
      </c>
      <c r="E177" s="15" t="s">
        <v>295</v>
      </c>
      <c r="F177" s="15" t="s">
        <v>7</v>
      </c>
      <c r="H177" s="15">
        <v>4.6674789053371297</v>
      </c>
      <c r="I177" s="15">
        <v>21.6107923566958</v>
      </c>
      <c r="J177" s="15">
        <v>34.091360590844801</v>
      </c>
      <c r="K177" s="15">
        <v>48.144298707094002</v>
      </c>
      <c r="L177" s="15">
        <v>49.079774700269901</v>
      </c>
      <c r="M177" s="15">
        <v>50.203232941677001</v>
      </c>
      <c r="N177" s="15">
        <v>50.080471341083097</v>
      </c>
      <c r="O177" s="15">
        <v>49.648150713795403</v>
      </c>
      <c r="P177" s="15">
        <v>47.7367419175728</v>
      </c>
    </row>
    <row r="178" spans="1:16" x14ac:dyDescent="0.3">
      <c r="A178" s="15" t="str">
        <f t="shared" si="2"/>
        <v>T8</v>
      </c>
      <c r="B178" s="15" t="s">
        <v>276</v>
      </c>
      <c r="C178" s="15" t="s">
        <v>218</v>
      </c>
      <c r="D178" s="15" t="s">
        <v>278</v>
      </c>
      <c r="E178" s="15" t="s">
        <v>295</v>
      </c>
      <c r="F178" s="15" t="s">
        <v>8</v>
      </c>
      <c r="H178" s="15">
        <v>12.627557823224899</v>
      </c>
      <c r="I178" s="15">
        <v>58.4156150872194</v>
      </c>
      <c r="J178" s="15">
        <v>89.089830931488592</v>
      </c>
      <c r="K178" s="15">
        <v>123.6198519259226</v>
      </c>
      <c r="L178" s="15">
        <v>122.764062081589</v>
      </c>
      <c r="M178" s="15">
        <v>122.2438024401638</v>
      </c>
      <c r="N178" s="15">
        <v>118.7383079317319</v>
      </c>
      <c r="O178" s="15">
        <v>114.7756854109918</v>
      </c>
      <c r="P178" s="15">
        <v>107.4994283599985</v>
      </c>
    </row>
    <row r="179" spans="1:16" x14ac:dyDescent="0.3">
      <c r="A179" s="15" t="str">
        <f>MID(E179,4,2)</f>
        <v>T8</v>
      </c>
      <c r="B179" s="15" t="s">
        <v>276</v>
      </c>
      <c r="C179" s="15" t="s">
        <v>218</v>
      </c>
      <c r="D179" s="15" t="s">
        <v>278</v>
      </c>
      <c r="E179" s="15" t="s">
        <v>227</v>
      </c>
      <c r="F179" s="15" t="s">
        <v>0</v>
      </c>
      <c r="G179" s="15">
        <v>32.378377977359101</v>
      </c>
      <c r="H179" s="15">
        <v>30.219819445535101</v>
      </c>
      <c r="I179" s="15">
        <v>21.585585318239399</v>
      </c>
      <c r="J179" s="15">
        <v>10.7927926591197</v>
      </c>
    </row>
    <row r="180" spans="1:16" x14ac:dyDescent="0.3">
      <c r="A180" s="15" t="str">
        <f t="shared" ref="A180:A187" si="4">MID(E180,4,2)</f>
        <v>T8</v>
      </c>
      <c r="B180" s="15" t="s">
        <v>276</v>
      </c>
      <c r="C180" s="15" t="s">
        <v>218</v>
      </c>
      <c r="D180" s="15" t="s">
        <v>278</v>
      </c>
      <c r="E180" s="15" t="s">
        <v>227</v>
      </c>
      <c r="F180" s="15" t="s">
        <v>1</v>
      </c>
      <c r="G180" s="15">
        <v>84.536016141724105</v>
      </c>
      <c r="H180" s="15">
        <v>78.9002817322759</v>
      </c>
      <c r="I180" s="15">
        <v>56.357344094482798</v>
      </c>
      <c r="J180" s="15">
        <v>28.178672047241399</v>
      </c>
    </row>
    <row r="181" spans="1:16" x14ac:dyDescent="0.3">
      <c r="A181" s="15" t="str">
        <f t="shared" si="4"/>
        <v>T8</v>
      </c>
      <c r="B181" s="15" t="s">
        <v>276</v>
      </c>
      <c r="C181" s="15" t="s">
        <v>218</v>
      </c>
      <c r="D181" s="15" t="s">
        <v>278</v>
      </c>
      <c r="E181" s="15" t="s">
        <v>227</v>
      </c>
      <c r="F181" s="15" t="s">
        <v>2</v>
      </c>
      <c r="G181" s="15">
        <v>95.900811759067594</v>
      </c>
      <c r="H181" s="15">
        <v>89.507424308463001</v>
      </c>
      <c r="I181" s="15">
        <v>63.933874506045001</v>
      </c>
      <c r="J181" s="15">
        <v>31.9669372530225</v>
      </c>
    </row>
    <row r="182" spans="1:16" x14ac:dyDescent="0.3">
      <c r="A182" s="15" t="str">
        <f t="shared" si="4"/>
        <v>T8</v>
      </c>
      <c r="B182" s="15" t="s">
        <v>276</v>
      </c>
      <c r="C182" s="15" t="s">
        <v>218</v>
      </c>
      <c r="D182" s="15" t="s">
        <v>278</v>
      </c>
      <c r="E182" s="15" t="s">
        <v>227</v>
      </c>
      <c r="F182" s="15" t="s">
        <v>3</v>
      </c>
      <c r="G182" s="15">
        <v>46.497819419833696</v>
      </c>
      <c r="H182" s="15">
        <v>43.397964791844799</v>
      </c>
      <c r="I182" s="15">
        <v>30.998546279889201</v>
      </c>
      <c r="J182" s="15">
        <v>15.4992731399446</v>
      </c>
    </row>
    <row r="183" spans="1:16" x14ac:dyDescent="0.3">
      <c r="A183" s="15" t="str">
        <f t="shared" si="4"/>
        <v>T8</v>
      </c>
      <c r="B183" s="15" t="s">
        <v>276</v>
      </c>
      <c r="C183" s="15" t="s">
        <v>218</v>
      </c>
      <c r="D183" s="15" t="s">
        <v>278</v>
      </c>
      <c r="E183" s="15" t="s">
        <v>227</v>
      </c>
      <c r="F183" s="15" t="s">
        <v>4</v>
      </c>
      <c r="G183" s="15">
        <v>135.33138410295101</v>
      </c>
      <c r="H183" s="15">
        <v>126.309291829421</v>
      </c>
      <c r="I183" s="15">
        <v>90.220922735300604</v>
      </c>
      <c r="J183" s="15">
        <v>45.110461367650302</v>
      </c>
    </row>
    <row r="184" spans="1:16" x14ac:dyDescent="0.3">
      <c r="A184" s="15" t="str">
        <f t="shared" si="4"/>
        <v>T8</v>
      </c>
      <c r="B184" s="15" t="s">
        <v>276</v>
      </c>
      <c r="C184" s="15" t="s">
        <v>218</v>
      </c>
      <c r="D184" s="15" t="s">
        <v>278</v>
      </c>
      <c r="E184" s="15" t="s">
        <v>227</v>
      </c>
      <c r="F184" s="15" t="s">
        <v>5</v>
      </c>
      <c r="G184" s="15">
        <v>36.909243514869601</v>
      </c>
      <c r="H184" s="15">
        <v>34.448627280544997</v>
      </c>
      <c r="I184" s="15">
        <v>24.6061623432464</v>
      </c>
      <c r="J184" s="15">
        <v>12.3030811716232</v>
      </c>
    </row>
    <row r="185" spans="1:16" x14ac:dyDescent="0.3">
      <c r="A185" s="15" t="str">
        <f t="shared" si="4"/>
        <v>T8</v>
      </c>
      <c r="B185" s="15" t="s">
        <v>276</v>
      </c>
      <c r="C185" s="15" t="s">
        <v>218</v>
      </c>
      <c r="D185" s="15" t="s">
        <v>278</v>
      </c>
      <c r="E185" s="15" t="s">
        <v>227</v>
      </c>
      <c r="F185" s="15" t="s">
        <v>6</v>
      </c>
      <c r="G185" s="15">
        <v>85.755285605306497</v>
      </c>
      <c r="H185" s="15">
        <v>80.038266564952707</v>
      </c>
      <c r="I185" s="15">
        <v>57.170190403537703</v>
      </c>
      <c r="J185" s="15">
        <v>28.585095201768802</v>
      </c>
    </row>
    <row r="186" spans="1:16" x14ac:dyDescent="0.3">
      <c r="A186" s="15" t="str">
        <f t="shared" si="4"/>
        <v>T8</v>
      </c>
      <c r="B186" s="15" t="s">
        <v>276</v>
      </c>
      <c r="C186" s="15" t="s">
        <v>218</v>
      </c>
      <c r="D186" s="15" t="s">
        <v>278</v>
      </c>
      <c r="E186" s="15" t="s">
        <v>227</v>
      </c>
      <c r="F186" s="15" t="s">
        <v>7</v>
      </c>
      <c r="G186" s="15">
        <v>37.488772827806997</v>
      </c>
      <c r="H186" s="15">
        <v>34.989521305953197</v>
      </c>
      <c r="I186" s="15">
        <v>24.992515218537999</v>
      </c>
      <c r="J186" s="15">
        <v>12.496257609269</v>
      </c>
    </row>
    <row r="187" spans="1:16" x14ac:dyDescent="0.3">
      <c r="A187" s="15" t="str">
        <f t="shared" si="4"/>
        <v>T8</v>
      </c>
      <c r="B187" s="15" t="s">
        <v>276</v>
      </c>
      <c r="C187" s="15" t="s">
        <v>218</v>
      </c>
      <c r="D187" s="15" t="s">
        <v>278</v>
      </c>
      <c r="E187" s="15" t="s">
        <v>227</v>
      </c>
      <c r="F187" s="15" t="s">
        <v>8</v>
      </c>
      <c r="G187" s="15">
        <v>100.69509971155</v>
      </c>
      <c r="H187" s="15">
        <v>93.982093064113201</v>
      </c>
      <c r="I187" s="15">
        <v>67.1300664743666</v>
      </c>
      <c r="J187" s="15">
        <v>33.5650332371833</v>
      </c>
    </row>
    <row r="188" spans="1:16" x14ac:dyDescent="0.3">
      <c r="B188" s="15" t="s">
        <v>276</v>
      </c>
      <c r="C188" s="15" t="s">
        <v>324</v>
      </c>
      <c r="D188" s="15" t="s">
        <v>325</v>
      </c>
      <c r="E188" s="15" t="s">
        <v>326</v>
      </c>
      <c r="F188" s="15" t="s">
        <v>0</v>
      </c>
      <c r="G188" s="15">
        <v>5.5264693396713804</v>
      </c>
      <c r="H188" s="15">
        <v>5.4965375291350602</v>
      </c>
      <c r="I188" s="15">
        <v>5.4067420975260898</v>
      </c>
      <c r="J188" s="15">
        <v>6.9986020928399704</v>
      </c>
      <c r="K188" s="15">
        <v>6.8949369497393</v>
      </c>
      <c r="L188" s="15">
        <v>6.7373214486825796</v>
      </c>
      <c r="M188" s="15">
        <v>6.5861601148882398</v>
      </c>
      <c r="N188" s="15">
        <v>6.43617840163507</v>
      </c>
      <c r="O188" s="15">
        <v>6.32731946896903</v>
      </c>
      <c r="P188" s="15">
        <v>6.2518317523257396</v>
      </c>
    </row>
    <row r="189" spans="1:16" x14ac:dyDescent="0.3">
      <c r="B189" s="15" t="s">
        <v>276</v>
      </c>
      <c r="C189" s="15" t="s">
        <v>324</v>
      </c>
      <c r="D189" s="15" t="s">
        <v>325</v>
      </c>
      <c r="E189" s="15" t="s">
        <v>326</v>
      </c>
      <c r="F189" s="15" t="s">
        <v>1</v>
      </c>
      <c r="G189" s="15">
        <v>14.4289408701044</v>
      </c>
      <c r="H189" s="15">
        <v>14.340922208130699</v>
      </c>
      <c r="I189" s="15">
        <v>14.076866222209899</v>
      </c>
      <c r="J189" s="15">
        <v>18.089469860669801</v>
      </c>
      <c r="K189" s="15">
        <v>17.6730262108671</v>
      </c>
      <c r="L189" s="15">
        <v>17.133805711898301</v>
      </c>
      <c r="M189" s="15">
        <v>16.6391345867656</v>
      </c>
      <c r="N189" s="15">
        <v>16.1742330725831</v>
      </c>
      <c r="O189" s="15">
        <v>15.821126415803199</v>
      </c>
      <c r="P189" s="15">
        <v>15.558050787147099</v>
      </c>
    </row>
    <row r="190" spans="1:16" x14ac:dyDescent="0.3">
      <c r="B190" s="15" t="s">
        <v>276</v>
      </c>
      <c r="C190" s="15" t="s">
        <v>324</v>
      </c>
      <c r="D190" s="15" t="s">
        <v>325</v>
      </c>
      <c r="E190" s="15" t="s">
        <v>326</v>
      </c>
      <c r="F190" s="15" t="s">
        <v>2</v>
      </c>
      <c r="G190" s="15">
        <v>16.368729039073202</v>
      </c>
      <c r="H190" s="15">
        <v>16.231058506958199</v>
      </c>
      <c r="I190" s="15">
        <v>15.8180469106132</v>
      </c>
      <c r="J190" s="15">
        <v>20.343576851010901</v>
      </c>
      <c r="K190" s="15">
        <v>19.978902977646499</v>
      </c>
      <c r="L190" s="15">
        <v>19.489808464674802</v>
      </c>
      <c r="M190" s="15">
        <v>19.045498978436498</v>
      </c>
      <c r="N190" s="15">
        <v>18.623850537659099</v>
      </c>
      <c r="O190" s="15">
        <v>18.328720305080701</v>
      </c>
      <c r="P190" s="15">
        <v>18.067803764883699</v>
      </c>
    </row>
    <row r="191" spans="1:16" x14ac:dyDescent="0.3">
      <c r="B191" s="15" t="s">
        <v>276</v>
      </c>
      <c r="C191" s="15" t="s">
        <v>324</v>
      </c>
      <c r="D191" s="15" t="s">
        <v>325</v>
      </c>
      <c r="E191" s="15" t="s">
        <v>326</v>
      </c>
      <c r="F191" s="15" t="s">
        <v>3</v>
      </c>
      <c r="G191" s="15">
        <v>7.9364313297279896</v>
      </c>
      <c r="H191" s="15">
        <v>7.9237503235901601</v>
      </c>
      <c r="I191" s="15">
        <v>7.8857073051766902</v>
      </c>
      <c r="J191" s="15">
        <v>10.3263701674407</v>
      </c>
      <c r="K191" s="15">
        <v>10.282866540051</v>
      </c>
      <c r="L191" s="15">
        <v>10.156670417393901</v>
      </c>
      <c r="M191" s="15">
        <v>10.057955329836201</v>
      </c>
      <c r="N191" s="15">
        <v>9.9785806502987793</v>
      </c>
      <c r="O191" s="15">
        <v>9.9690631402315404</v>
      </c>
      <c r="P191" s="15">
        <v>9.9819611398505099</v>
      </c>
    </row>
    <row r="192" spans="1:16" x14ac:dyDescent="0.3">
      <c r="B192" s="15" t="s">
        <v>276</v>
      </c>
      <c r="C192" s="15" t="s">
        <v>324</v>
      </c>
      <c r="D192" s="15" t="s">
        <v>325</v>
      </c>
      <c r="E192" s="15" t="s">
        <v>326</v>
      </c>
      <c r="F192" s="15" t="s">
        <v>4</v>
      </c>
      <c r="G192" s="15">
        <v>23.098894745846401</v>
      </c>
      <c r="H192" s="15">
        <v>23.208865199222501</v>
      </c>
      <c r="I192" s="15">
        <v>23.538776559350801</v>
      </c>
      <c r="J192" s="15">
        <v>31.711326112398201</v>
      </c>
      <c r="K192" s="15">
        <v>32.397794339334297</v>
      </c>
      <c r="L192" s="15">
        <v>32.8373147906672</v>
      </c>
      <c r="M192" s="15">
        <v>33.343262634003302</v>
      </c>
      <c r="N192" s="15">
        <v>33.902110605300003</v>
      </c>
      <c r="O192" s="15">
        <v>34.727797102581697</v>
      </c>
      <c r="P192" s="15">
        <v>35.611138876229603</v>
      </c>
    </row>
    <row r="193" spans="2:16" x14ac:dyDescent="0.3">
      <c r="B193" s="15" t="s">
        <v>276</v>
      </c>
      <c r="C193" s="15" t="s">
        <v>324</v>
      </c>
      <c r="D193" s="15" t="s">
        <v>325</v>
      </c>
      <c r="E193" s="15" t="s">
        <v>326</v>
      </c>
      <c r="F193" s="15" t="s">
        <v>5</v>
      </c>
      <c r="G193" s="15">
        <v>6.2998153514059698</v>
      </c>
      <c r="H193" s="15">
        <v>6.2802253430189801</v>
      </c>
      <c r="I193" s="15">
        <v>6.2214553178580001</v>
      </c>
      <c r="J193" s="15">
        <v>8.1293616752435103</v>
      </c>
      <c r="K193" s="15">
        <v>8.0913381234081001</v>
      </c>
      <c r="L193" s="15">
        <v>7.9895771895794896</v>
      </c>
      <c r="M193" s="15">
        <v>7.9036915393801204</v>
      </c>
      <c r="N193" s="15">
        <v>7.8315577609112097</v>
      </c>
      <c r="O193" s="15">
        <v>7.8185152528638699</v>
      </c>
      <c r="P193" s="15">
        <v>7.8468818392868904</v>
      </c>
    </row>
    <row r="194" spans="2:16" x14ac:dyDescent="0.3">
      <c r="B194" s="15" t="s">
        <v>276</v>
      </c>
      <c r="C194" s="15" t="s">
        <v>324</v>
      </c>
      <c r="D194" s="15" t="s">
        <v>325</v>
      </c>
      <c r="E194" s="15" t="s">
        <v>326</v>
      </c>
      <c r="F194" s="15" t="s">
        <v>6</v>
      </c>
      <c r="G194" s="15">
        <v>14.637050594192401</v>
      </c>
      <c r="H194" s="15">
        <v>14.7524749331078</v>
      </c>
      <c r="I194" s="15">
        <v>15.098747949854101</v>
      </c>
      <c r="J194" s="15">
        <v>20.5353883293213</v>
      </c>
      <c r="K194" s="15">
        <v>21.1530615005844</v>
      </c>
      <c r="L194" s="15">
        <v>21.589542923823601</v>
      </c>
      <c r="M194" s="15">
        <v>22.061887120491502</v>
      </c>
      <c r="N194" s="15">
        <v>22.570572575867502</v>
      </c>
      <c r="O194" s="15">
        <v>23.254316170950101</v>
      </c>
      <c r="P194" s="15">
        <v>24.022134199024102</v>
      </c>
    </row>
    <row r="195" spans="2:16" x14ac:dyDescent="0.3">
      <c r="B195" s="15" t="s">
        <v>276</v>
      </c>
      <c r="C195" s="15" t="s">
        <v>324</v>
      </c>
      <c r="D195" s="15" t="s">
        <v>325</v>
      </c>
      <c r="E195" s="15" t="s">
        <v>326</v>
      </c>
      <c r="F195" s="15" t="s">
        <v>7</v>
      </c>
      <c r="G195" s="15">
        <v>6.3987317017441097</v>
      </c>
      <c r="H195" s="15">
        <v>6.4122228501653398</v>
      </c>
      <c r="I195" s="15">
        <v>6.4526962954289999</v>
      </c>
      <c r="J195" s="15">
        <v>8.8264758855430205</v>
      </c>
      <c r="K195" s="15">
        <v>9.16725442198255</v>
      </c>
      <c r="L195" s="15">
        <v>9.4413883411820692</v>
      </c>
      <c r="M195" s="15">
        <v>9.7434746196133002</v>
      </c>
      <c r="N195" s="15">
        <v>10.0684120202252</v>
      </c>
      <c r="O195" s="15">
        <v>10.480818926723</v>
      </c>
      <c r="P195" s="15">
        <v>10.954444654471301</v>
      </c>
    </row>
    <row r="196" spans="2:16" x14ac:dyDescent="0.3">
      <c r="B196" s="15" t="s">
        <v>276</v>
      </c>
      <c r="C196" s="15" t="s">
        <v>324</v>
      </c>
      <c r="D196" s="15" t="s">
        <v>325</v>
      </c>
      <c r="E196" s="15" t="s">
        <v>326</v>
      </c>
      <c r="F196" s="15" t="s">
        <v>8</v>
      </c>
      <c r="G196" s="15">
        <v>17.187037028234201</v>
      </c>
      <c r="H196" s="15">
        <v>17.2360431066712</v>
      </c>
      <c r="I196" s="15">
        <v>17.383061341982199</v>
      </c>
      <c r="J196" s="15">
        <v>23.2381530255327</v>
      </c>
      <c r="K196" s="15">
        <v>23.538708936386701</v>
      </c>
      <c r="L196" s="15">
        <v>23.615902712097999</v>
      </c>
      <c r="M196" s="15">
        <v>23.7251530765853</v>
      </c>
      <c r="N196" s="15">
        <v>23.871704375520199</v>
      </c>
      <c r="O196" s="15">
        <v>24.2293652167969</v>
      </c>
      <c r="P196" s="15">
        <v>24.668556986781098</v>
      </c>
    </row>
    <row r="197" spans="2:16" x14ac:dyDescent="0.3">
      <c r="B197" s="15" t="s">
        <v>276</v>
      </c>
      <c r="C197" s="15" t="s">
        <v>324</v>
      </c>
      <c r="D197" s="15" t="s">
        <v>327</v>
      </c>
      <c r="E197" s="15" t="s">
        <v>328</v>
      </c>
      <c r="F197" s="15" t="s">
        <v>0</v>
      </c>
      <c r="G197" s="15">
        <v>72.644368043822993</v>
      </c>
      <c r="H197" s="15">
        <v>73.464463299731193</v>
      </c>
      <c r="I197" s="15">
        <v>75.924749067455807</v>
      </c>
      <c r="J197" s="15">
        <v>77.652050125793494</v>
      </c>
      <c r="K197" s="15">
        <v>79.069705680574799</v>
      </c>
      <c r="L197" s="15">
        <v>80.679564949130395</v>
      </c>
      <c r="M197" s="15">
        <v>82.486107108751995</v>
      </c>
      <c r="N197" s="15">
        <v>84.833097911616207</v>
      </c>
      <c r="O197" s="15">
        <v>88.359770782730706</v>
      </c>
      <c r="P197" s="15">
        <v>93.838260256073397</v>
      </c>
    </row>
    <row r="198" spans="2:16" x14ac:dyDescent="0.3">
      <c r="B198" s="15" t="s">
        <v>276</v>
      </c>
      <c r="C198" s="15" t="s">
        <v>324</v>
      </c>
      <c r="D198" s="15" t="s">
        <v>327</v>
      </c>
      <c r="E198" s="15" t="s">
        <v>328</v>
      </c>
      <c r="F198" s="15" t="s">
        <v>1</v>
      </c>
      <c r="G198" s="15">
        <v>189.66563037383099</v>
      </c>
      <c r="H198" s="15">
        <v>191.66819433010099</v>
      </c>
      <c r="I198" s="15">
        <v>197.675886198912</v>
      </c>
      <c r="J198" s="15">
        <v>200.70928475943001</v>
      </c>
      <c r="K198" s="15">
        <v>202.67059599887699</v>
      </c>
      <c r="L198" s="15">
        <v>205.17768096536199</v>
      </c>
      <c r="M198" s="15">
        <v>208.391143515978</v>
      </c>
      <c r="N198" s="15">
        <v>213.187113884718</v>
      </c>
      <c r="O198" s="15">
        <v>220.93891583646499</v>
      </c>
      <c r="P198" s="15">
        <v>233.52202629227901</v>
      </c>
    </row>
    <row r="199" spans="2:16" x14ac:dyDescent="0.3">
      <c r="B199" s="15" t="s">
        <v>276</v>
      </c>
      <c r="C199" s="15" t="s">
        <v>324</v>
      </c>
      <c r="D199" s="15" t="s">
        <v>327</v>
      </c>
      <c r="E199" s="15" t="s">
        <v>328</v>
      </c>
      <c r="F199" s="15" t="s">
        <v>2</v>
      </c>
      <c r="G199" s="15">
        <v>215.163769784843</v>
      </c>
      <c r="H199" s="15">
        <v>216.904477487761</v>
      </c>
      <c r="I199" s="15">
        <v>222.12660059651699</v>
      </c>
      <c r="J199" s="15">
        <v>225.71942631068899</v>
      </c>
      <c r="K199" s="15">
        <v>229.11391210372199</v>
      </c>
      <c r="L199" s="15">
        <v>233.39086309727901</v>
      </c>
      <c r="M199" s="15">
        <v>238.52883034587401</v>
      </c>
      <c r="N199" s="15">
        <v>245.47469593931299</v>
      </c>
      <c r="O199" s="15">
        <v>255.95697085318801</v>
      </c>
      <c r="P199" s="15">
        <v>271.19272224721902</v>
      </c>
    </row>
    <row r="200" spans="2:16" x14ac:dyDescent="0.3">
      <c r="B200" s="15" t="s">
        <v>276</v>
      </c>
      <c r="C200" s="15" t="s">
        <v>324</v>
      </c>
      <c r="D200" s="15" t="s">
        <v>327</v>
      </c>
      <c r="E200" s="15" t="s">
        <v>328</v>
      </c>
      <c r="F200" s="15" t="s">
        <v>3</v>
      </c>
      <c r="G200" s="15">
        <v>104.322851179623</v>
      </c>
      <c r="H200" s="15">
        <v>105.926108581802</v>
      </c>
      <c r="I200" s="15">
        <v>110.735880788339</v>
      </c>
      <c r="J200" s="15">
        <v>114.57485412407701</v>
      </c>
      <c r="K200" s="15">
        <v>117.92177895190299</v>
      </c>
      <c r="L200" s="15">
        <v>121.62634020783899</v>
      </c>
      <c r="M200" s="15">
        <v>125.967417457173</v>
      </c>
      <c r="N200" s="15">
        <v>131.52430782694</v>
      </c>
      <c r="O200" s="15">
        <v>139.21600423519601</v>
      </c>
      <c r="P200" s="15">
        <v>149.82646757229901</v>
      </c>
    </row>
    <row r="201" spans="2:16" x14ac:dyDescent="0.3">
      <c r="B201" s="15" t="s">
        <v>276</v>
      </c>
      <c r="C201" s="15" t="s">
        <v>324</v>
      </c>
      <c r="D201" s="15" t="s">
        <v>327</v>
      </c>
      <c r="E201" s="15" t="s">
        <v>328</v>
      </c>
      <c r="F201" s="15" t="s">
        <v>4</v>
      </c>
      <c r="G201" s="15">
        <v>303.63049321152499</v>
      </c>
      <c r="H201" s="15">
        <v>310.35931119744498</v>
      </c>
      <c r="I201" s="15">
        <v>330.545765155205</v>
      </c>
      <c r="J201" s="15">
        <v>351.84876239136003</v>
      </c>
      <c r="K201" s="15">
        <v>371.531180311637</v>
      </c>
      <c r="L201" s="15">
        <v>393.22752990013799</v>
      </c>
      <c r="M201" s="15">
        <v>417.596275372408</v>
      </c>
      <c r="N201" s="15">
        <v>446.85229167346</v>
      </c>
      <c r="O201" s="15">
        <v>484.966849994266</v>
      </c>
      <c r="P201" s="15">
        <v>534.51331549984002</v>
      </c>
    </row>
    <row r="202" spans="2:16" x14ac:dyDescent="0.3">
      <c r="B202" s="15" t="s">
        <v>276</v>
      </c>
      <c r="C202" s="15" t="s">
        <v>324</v>
      </c>
      <c r="D202" s="15" t="s">
        <v>327</v>
      </c>
      <c r="E202" s="15" t="s">
        <v>328</v>
      </c>
      <c r="F202" s="15" t="s">
        <v>5</v>
      </c>
      <c r="G202" s="15">
        <v>82.809851438146893</v>
      </c>
      <c r="H202" s="15">
        <v>83.948750036321101</v>
      </c>
      <c r="I202" s="15">
        <v>87.365445830843598</v>
      </c>
      <c r="J202" s="15">
        <v>90.198241294863095</v>
      </c>
      <c r="K202" s="15">
        <v>92.789785989860803</v>
      </c>
      <c r="L202" s="15">
        <v>95.675353579694999</v>
      </c>
      <c r="M202" s="15">
        <v>98.987078282245506</v>
      </c>
      <c r="N202" s="15">
        <v>103.225122871529</v>
      </c>
      <c r="O202" s="15">
        <v>109.18402634676799</v>
      </c>
      <c r="P202" s="15">
        <v>117.779519571961</v>
      </c>
    </row>
    <row r="203" spans="2:16" x14ac:dyDescent="0.3">
      <c r="B203" s="15" t="s">
        <v>276</v>
      </c>
      <c r="C203" s="15" t="s">
        <v>324</v>
      </c>
      <c r="D203" s="15" t="s">
        <v>327</v>
      </c>
      <c r="E203" s="15" t="s">
        <v>328</v>
      </c>
      <c r="F203" s="15" t="s">
        <v>6</v>
      </c>
      <c r="G203" s="15">
        <v>192.40119235037599</v>
      </c>
      <c r="H203" s="15">
        <v>197.30733643476799</v>
      </c>
      <c r="I203" s="15">
        <v>212.02576868794401</v>
      </c>
      <c r="J203" s="15">
        <v>227.847644822169</v>
      </c>
      <c r="K203" s="15">
        <v>242.57891831158</v>
      </c>
      <c r="L203" s="15">
        <v>258.53522706494402</v>
      </c>
      <c r="M203" s="15">
        <v>276.30655075152799</v>
      </c>
      <c r="N203" s="15">
        <v>297.49510870664801</v>
      </c>
      <c r="O203" s="15">
        <v>324.74194746311798</v>
      </c>
      <c r="P203" s="15">
        <v>360.56557024839401</v>
      </c>
    </row>
    <row r="204" spans="2:16" x14ac:dyDescent="0.3">
      <c r="B204" s="15" t="s">
        <v>276</v>
      </c>
      <c r="C204" s="15" t="s">
        <v>324</v>
      </c>
      <c r="D204" s="15" t="s">
        <v>327</v>
      </c>
      <c r="E204" s="15" t="s">
        <v>328</v>
      </c>
      <c r="F204" s="15" t="s">
        <v>7</v>
      </c>
      <c r="G204" s="15">
        <v>84.110087686258098</v>
      </c>
      <c r="H204" s="15">
        <v>85.735733707691793</v>
      </c>
      <c r="I204" s="15">
        <v>90.612671771993007</v>
      </c>
      <c r="J204" s="15">
        <v>97.932978444294903</v>
      </c>
      <c r="K204" s="15">
        <v>105.128170761955</v>
      </c>
      <c r="L204" s="15">
        <v>113.060822417982</v>
      </c>
      <c r="M204" s="15">
        <v>122.02881148729401</v>
      </c>
      <c r="N204" s="15">
        <v>132.70834483227901</v>
      </c>
      <c r="O204" s="15">
        <v>146.36257304887499</v>
      </c>
      <c r="P204" s="15">
        <v>164.42317534610899</v>
      </c>
    </row>
    <row r="205" spans="2:16" x14ac:dyDescent="0.3">
      <c r="B205" s="15" t="s">
        <v>276</v>
      </c>
      <c r="C205" s="15" t="s">
        <v>324</v>
      </c>
      <c r="D205" s="15" t="s">
        <v>327</v>
      </c>
      <c r="E205" s="15" t="s">
        <v>328</v>
      </c>
      <c r="F205" s="15" t="s">
        <v>8</v>
      </c>
      <c r="G205" s="15">
        <v>180.73621572446501</v>
      </c>
      <c r="H205" s="15">
        <v>184.37285812425301</v>
      </c>
      <c r="I205" s="15">
        <v>195.28278532361699</v>
      </c>
      <c r="J205" s="15">
        <v>206.268646181858</v>
      </c>
      <c r="K205" s="15">
        <v>215.94962231191201</v>
      </c>
      <c r="L205" s="15">
        <v>226.24074225410399</v>
      </c>
      <c r="M205" s="15">
        <v>237.71004454299799</v>
      </c>
      <c r="N205" s="15">
        <v>251.71591068279801</v>
      </c>
      <c r="O205" s="15">
        <v>270.68665235151599</v>
      </c>
      <c r="P205" s="15">
        <v>296.21455757265898</v>
      </c>
    </row>
    <row r="206" spans="2:16" x14ac:dyDescent="0.3">
      <c r="B206" s="15" t="s">
        <v>276</v>
      </c>
      <c r="C206" s="15" t="s">
        <v>324</v>
      </c>
      <c r="D206" s="15" t="s">
        <v>329</v>
      </c>
      <c r="E206" s="15" t="s">
        <v>330</v>
      </c>
      <c r="F206" s="15" t="s">
        <v>0</v>
      </c>
      <c r="G206" s="15">
        <v>7.2919198842616497</v>
      </c>
      <c r="H206" s="15">
        <v>7.4443235721440004</v>
      </c>
      <c r="I206" s="15">
        <v>7.9015346357910801</v>
      </c>
      <c r="J206" s="15">
        <v>7.5952497699438801</v>
      </c>
      <c r="K206" s="15">
        <v>8.3911823552877003</v>
      </c>
      <c r="L206" s="15">
        <v>8.7084543393089806</v>
      </c>
      <c r="M206" s="15">
        <v>8.8932040073378804</v>
      </c>
      <c r="N206" s="15">
        <v>9.0435114912226897</v>
      </c>
      <c r="O206" s="15">
        <v>9.1815779068676306</v>
      </c>
      <c r="P206" s="15">
        <v>9.3277763977463799</v>
      </c>
    </row>
    <row r="207" spans="2:16" x14ac:dyDescent="0.3">
      <c r="B207" s="15" t="s">
        <v>276</v>
      </c>
      <c r="C207" s="15" t="s">
        <v>324</v>
      </c>
      <c r="D207" s="15" t="s">
        <v>329</v>
      </c>
      <c r="E207" s="15" t="s">
        <v>330</v>
      </c>
      <c r="F207" s="15" t="s">
        <v>1</v>
      </c>
      <c r="G207" s="15">
        <v>19.038318024180999</v>
      </c>
      <c r="H207" s="15">
        <v>19.421800828666601</v>
      </c>
      <c r="I207" s="15">
        <v>20.572249242123601</v>
      </c>
      <c r="J207" s="15">
        <v>19.631640715539799</v>
      </c>
      <c r="K207" s="15">
        <v>21.508185903102699</v>
      </c>
      <c r="L207" s="15">
        <v>22.146629908809601</v>
      </c>
      <c r="M207" s="15">
        <v>22.467601121806201</v>
      </c>
      <c r="N207" s="15">
        <v>22.726508422522901</v>
      </c>
      <c r="O207" s="15">
        <v>22.958048107655799</v>
      </c>
      <c r="P207" s="15">
        <v>23.212719835799099</v>
      </c>
    </row>
    <row r="208" spans="2:16" x14ac:dyDescent="0.3">
      <c r="B208" s="15" t="s">
        <v>276</v>
      </c>
      <c r="C208" s="15" t="s">
        <v>324</v>
      </c>
      <c r="D208" s="15" t="s">
        <v>329</v>
      </c>
      <c r="E208" s="15" t="s">
        <v>330</v>
      </c>
      <c r="F208" s="15" t="s">
        <v>2</v>
      </c>
      <c r="G208" s="15">
        <v>21.597778513542998</v>
      </c>
      <c r="H208" s="15">
        <v>21.977546361001401</v>
      </c>
      <c r="I208" s="15">
        <v>23.1168499033766</v>
      </c>
      <c r="J208" s="15">
        <v>22.077915753426598</v>
      </c>
      <c r="K208" s="15">
        <v>24.314452672460099</v>
      </c>
      <c r="L208" s="15">
        <v>25.1919265526044</v>
      </c>
      <c r="M208" s="15">
        <v>25.7168828091351</v>
      </c>
      <c r="N208" s="15">
        <v>26.168480088331101</v>
      </c>
      <c r="O208" s="15">
        <v>26.596819433507299</v>
      </c>
      <c r="P208" s="15">
        <v>26.957288710544699</v>
      </c>
    </row>
    <row r="209" spans="2:16" x14ac:dyDescent="0.3">
      <c r="B209" s="15" t="s">
        <v>276</v>
      </c>
      <c r="C209" s="15" t="s">
        <v>324</v>
      </c>
      <c r="D209" s="15" t="s">
        <v>329</v>
      </c>
      <c r="E209" s="15" t="s">
        <v>330</v>
      </c>
      <c r="F209" s="15" t="s">
        <v>3</v>
      </c>
      <c r="G209" s="15">
        <v>10.4717529160782</v>
      </c>
      <c r="H209" s="15">
        <v>10.7349022382882</v>
      </c>
      <c r="I209" s="15">
        <v>11.5243502049181</v>
      </c>
      <c r="J209" s="15">
        <v>11.2067180842942</v>
      </c>
      <c r="K209" s="15">
        <v>12.5143143297223</v>
      </c>
      <c r="L209" s="15">
        <v>13.1281995735234</v>
      </c>
      <c r="M209" s="15">
        <v>13.5811227004223</v>
      </c>
      <c r="N209" s="15">
        <v>14.0209613757978</v>
      </c>
      <c r="O209" s="15">
        <v>14.4661148104527</v>
      </c>
      <c r="P209" s="15">
        <v>14.8931553522504</v>
      </c>
    </row>
    <row r="210" spans="2:16" x14ac:dyDescent="0.3">
      <c r="B210" s="15" t="s">
        <v>276</v>
      </c>
      <c r="C210" s="15" t="s">
        <v>324</v>
      </c>
      <c r="D210" s="15" t="s">
        <v>329</v>
      </c>
      <c r="E210" s="15" t="s">
        <v>330</v>
      </c>
      <c r="F210" s="15" t="s">
        <v>4</v>
      </c>
      <c r="G210" s="15">
        <v>30.477919906766299</v>
      </c>
      <c r="H210" s="15">
        <v>31.4584644417376</v>
      </c>
      <c r="I210" s="15">
        <v>34.400098046651799</v>
      </c>
      <c r="J210" s="15">
        <v>34.414793006480302</v>
      </c>
      <c r="K210" s="15">
        <v>39.428322868237601</v>
      </c>
      <c r="L210" s="15">
        <v>42.444502412150399</v>
      </c>
      <c r="M210" s="15">
        <v>45.022962044928803</v>
      </c>
      <c r="N210" s="15">
        <v>47.6360516603836</v>
      </c>
      <c r="O210" s="15">
        <v>50.3935317625427</v>
      </c>
      <c r="P210" s="15">
        <v>53.132066547214997</v>
      </c>
    </row>
    <row r="211" spans="2:16" x14ac:dyDescent="0.3">
      <c r="B211" s="15" t="s">
        <v>276</v>
      </c>
      <c r="C211" s="15" t="s">
        <v>324</v>
      </c>
      <c r="D211" s="15" t="s">
        <v>329</v>
      </c>
      <c r="E211" s="15" t="s">
        <v>330</v>
      </c>
      <c r="F211" s="15" t="s">
        <v>5</v>
      </c>
      <c r="G211" s="15">
        <v>8.3123140661132293</v>
      </c>
      <c r="H211" s="15">
        <v>8.5072792694608292</v>
      </c>
      <c r="I211" s="15">
        <v>9.0921748795036503</v>
      </c>
      <c r="J211" s="15">
        <v>8.8224093289790808</v>
      </c>
      <c r="K211" s="15">
        <v>9.8472102336448408</v>
      </c>
      <c r="L211" s="15">
        <v>10.3270815673256</v>
      </c>
      <c r="M211" s="15">
        <v>10.6722490866699</v>
      </c>
      <c r="N211" s="15">
        <v>11.0041670981311</v>
      </c>
      <c r="O211" s="15">
        <v>11.345453198983099</v>
      </c>
      <c r="P211" s="15">
        <v>11.7076022062136</v>
      </c>
    </row>
    <row r="212" spans="2:16" x14ac:dyDescent="0.3">
      <c r="B212" s="15" t="s">
        <v>276</v>
      </c>
      <c r="C212" s="15" t="s">
        <v>324</v>
      </c>
      <c r="D212" s="15" t="s">
        <v>329</v>
      </c>
      <c r="E212" s="15" t="s">
        <v>330</v>
      </c>
      <c r="F212" s="15" t="s">
        <v>6</v>
      </c>
      <c r="G212" s="15">
        <v>19.312909149529801</v>
      </c>
      <c r="H212" s="15">
        <v>20.0010944138686</v>
      </c>
      <c r="I212" s="15">
        <v>22.065650206885302</v>
      </c>
      <c r="J212" s="15">
        <v>22.286079622036901</v>
      </c>
      <c r="K212" s="15">
        <v>25.7434111026542</v>
      </c>
      <c r="L212" s="15">
        <v>27.905978687633102</v>
      </c>
      <c r="M212" s="15">
        <v>29.789871416255401</v>
      </c>
      <c r="N212" s="15">
        <v>31.714042047292899</v>
      </c>
      <c r="O212" s="15">
        <v>33.744355195218198</v>
      </c>
      <c r="P212" s="15">
        <v>35.841191075207</v>
      </c>
    </row>
    <row r="213" spans="2:16" x14ac:dyDescent="0.3">
      <c r="B213" s="15" t="s">
        <v>276</v>
      </c>
      <c r="C213" s="15" t="s">
        <v>324</v>
      </c>
      <c r="D213" s="15" t="s">
        <v>329</v>
      </c>
      <c r="E213" s="15" t="s">
        <v>330</v>
      </c>
      <c r="F213" s="15" t="s">
        <v>7</v>
      </c>
      <c r="G213" s="15">
        <v>8.4428296010012307</v>
      </c>
      <c r="H213" s="15">
        <v>8.6896511133978898</v>
      </c>
      <c r="I213" s="15">
        <v>9.4301156505878492</v>
      </c>
      <c r="J213" s="15">
        <v>9.5789542039647397</v>
      </c>
      <c r="K213" s="15">
        <v>11.156607248610401</v>
      </c>
      <c r="L213" s="15">
        <v>12.203647977186201</v>
      </c>
      <c r="M213" s="15">
        <v>13.1564835990949</v>
      </c>
      <c r="N213" s="15">
        <v>14.147183953157599</v>
      </c>
      <c r="O213" s="15">
        <v>15.2087240063381</v>
      </c>
      <c r="P213" s="15">
        <v>16.344107510632199</v>
      </c>
    </row>
    <row r="214" spans="2:16" x14ac:dyDescent="0.3">
      <c r="B214" s="15" t="s">
        <v>276</v>
      </c>
      <c r="C214" s="15" t="s">
        <v>324</v>
      </c>
      <c r="D214" s="15" t="s">
        <v>329</v>
      </c>
      <c r="E214" s="15" t="s">
        <v>330</v>
      </c>
      <c r="F214" s="15" t="s">
        <v>8</v>
      </c>
      <c r="G214" s="15">
        <v>22.677497938525502</v>
      </c>
      <c r="H214" s="15">
        <v>23.359122761434701</v>
      </c>
      <c r="I214" s="15">
        <v>25.403997230161998</v>
      </c>
      <c r="J214" s="15">
        <v>25.219261515334399</v>
      </c>
      <c r="K214" s="15">
        <v>28.6467592862803</v>
      </c>
      <c r="L214" s="15">
        <v>30.525188981458399</v>
      </c>
      <c r="M214" s="15">
        <v>32.035757214349601</v>
      </c>
      <c r="N214" s="15">
        <v>33.542269863160399</v>
      </c>
      <c r="O214" s="15">
        <v>35.159249578434498</v>
      </c>
      <c r="P214" s="15">
        <v>36.805658364391697</v>
      </c>
    </row>
    <row r="215" spans="2:16" x14ac:dyDescent="0.3">
      <c r="B215" s="15" t="s">
        <v>276</v>
      </c>
      <c r="C215" s="15" t="s">
        <v>324</v>
      </c>
      <c r="D215" s="15" t="s">
        <v>331</v>
      </c>
      <c r="E215" s="15" t="s">
        <v>332</v>
      </c>
      <c r="F215" s="15" t="s">
        <v>0</v>
      </c>
      <c r="G215" s="15">
        <v>36.953974877855401</v>
      </c>
      <c r="H215" s="15">
        <v>37.734164078122703</v>
      </c>
      <c r="I215" s="15">
        <v>40.074731678924898</v>
      </c>
      <c r="J215" s="15">
        <v>40.095301286304498</v>
      </c>
      <c r="K215" s="15">
        <v>40.8390133453319</v>
      </c>
      <c r="L215" s="15">
        <v>43.372883049077998</v>
      </c>
      <c r="M215" s="15">
        <v>47.093649638534998</v>
      </c>
      <c r="N215" s="15">
        <v>51.505676521033898</v>
      </c>
      <c r="O215" s="15">
        <v>57.0970084877478</v>
      </c>
      <c r="P215" s="15">
        <v>63.080450790460397</v>
      </c>
    </row>
    <row r="216" spans="2:16" x14ac:dyDescent="0.3">
      <c r="B216" s="15" t="s">
        <v>276</v>
      </c>
      <c r="C216" s="15" t="s">
        <v>324</v>
      </c>
      <c r="D216" s="15" t="s">
        <v>331</v>
      </c>
      <c r="E216" s="15" t="s">
        <v>332</v>
      </c>
      <c r="F216" s="15" t="s">
        <v>1</v>
      </c>
      <c r="G216" s="15">
        <v>96.482344450969805</v>
      </c>
      <c r="H216" s="15">
        <v>98.446164925389397</v>
      </c>
      <c r="I216" s="15">
        <v>104.337626348648</v>
      </c>
      <c r="J216" s="15">
        <v>103.63537382917001</v>
      </c>
      <c r="K216" s="15">
        <v>104.678107796953</v>
      </c>
      <c r="L216" s="15">
        <v>110.302374168759</v>
      </c>
      <c r="M216" s="15">
        <v>118.976393049756</v>
      </c>
      <c r="N216" s="15">
        <v>129.43469938630599</v>
      </c>
      <c r="O216" s="15">
        <v>142.76803845278801</v>
      </c>
      <c r="P216" s="15">
        <v>156.979409548093</v>
      </c>
    </row>
    <row r="217" spans="2:16" x14ac:dyDescent="0.3">
      <c r="B217" s="15" t="s">
        <v>276</v>
      </c>
      <c r="C217" s="15" t="s">
        <v>324</v>
      </c>
      <c r="D217" s="15" t="s">
        <v>331</v>
      </c>
      <c r="E217" s="15" t="s">
        <v>332</v>
      </c>
      <c r="F217" s="15" t="s">
        <v>2</v>
      </c>
      <c r="G217" s="15">
        <v>109.453172453192</v>
      </c>
      <c r="H217" s="15">
        <v>111.400690462063</v>
      </c>
      <c r="I217" s="15">
        <v>117.243244488676</v>
      </c>
      <c r="J217" s="15">
        <v>116.54925258815101</v>
      </c>
      <c r="K217" s="15">
        <v>118.335916815026</v>
      </c>
      <c r="L217" s="15">
        <v>125.469623147129</v>
      </c>
      <c r="M217" s="15">
        <v>136.18285016394299</v>
      </c>
      <c r="N217" s="15">
        <v>149.03782361363201</v>
      </c>
      <c r="O217" s="15">
        <v>165.39627941360499</v>
      </c>
      <c r="P217" s="15">
        <v>182.302603690263</v>
      </c>
    </row>
    <row r="218" spans="2:16" x14ac:dyDescent="0.3">
      <c r="B218" s="15" t="s">
        <v>276</v>
      </c>
      <c r="C218" s="15" t="s">
        <v>324</v>
      </c>
      <c r="D218" s="15" t="s">
        <v>331</v>
      </c>
      <c r="E218" s="15" t="s">
        <v>332</v>
      </c>
      <c r="F218" s="15" t="s">
        <v>3</v>
      </c>
      <c r="G218" s="15">
        <v>53.068725428961102</v>
      </c>
      <c r="H218" s="15">
        <v>54.4137448505452</v>
      </c>
      <c r="I218" s="15">
        <v>58.448803115297601</v>
      </c>
      <c r="J218" s="15">
        <v>59.160231938465202</v>
      </c>
      <c r="K218" s="15">
        <v>60.905868598738799</v>
      </c>
      <c r="L218" s="15">
        <v>65.385640500765405</v>
      </c>
      <c r="M218" s="15">
        <v>71.918358515548704</v>
      </c>
      <c r="N218" s="15">
        <v>79.853837951845904</v>
      </c>
      <c r="O218" s="15">
        <v>89.959687593495204</v>
      </c>
      <c r="P218" s="15">
        <v>100.717139139323</v>
      </c>
    </row>
    <row r="219" spans="2:16" x14ac:dyDescent="0.3">
      <c r="B219" s="15" t="s">
        <v>276</v>
      </c>
      <c r="C219" s="15" t="s">
        <v>324</v>
      </c>
      <c r="D219" s="15" t="s">
        <v>331</v>
      </c>
      <c r="E219" s="15" t="s">
        <v>332</v>
      </c>
      <c r="F219" s="15" t="s">
        <v>4</v>
      </c>
      <c r="G219" s="15">
        <v>154.45593265428101</v>
      </c>
      <c r="H219" s="15">
        <v>159.45925810516101</v>
      </c>
      <c r="I219" s="15">
        <v>174.469234457802</v>
      </c>
      <c r="J219" s="15">
        <v>181.675591467853</v>
      </c>
      <c r="K219" s="15">
        <v>191.89355392632299</v>
      </c>
      <c r="L219" s="15">
        <v>211.39692159706399</v>
      </c>
      <c r="M219" s="15">
        <v>238.41751504670901</v>
      </c>
      <c r="N219" s="15">
        <v>271.30247691289901</v>
      </c>
      <c r="O219" s="15">
        <v>313.37967612531099</v>
      </c>
      <c r="P219" s="15">
        <v>359.31336326166797</v>
      </c>
    </row>
    <row r="220" spans="2:16" x14ac:dyDescent="0.3">
      <c r="B220" s="15" t="s">
        <v>276</v>
      </c>
      <c r="C220" s="15" t="s">
        <v>324</v>
      </c>
      <c r="D220" s="15" t="s">
        <v>331</v>
      </c>
      <c r="E220" s="15" t="s">
        <v>332</v>
      </c>
      <c r="F220" s="15" t="s">
        <v>5</v>
      </c>
      <c r="G220" s="15">
        <v>42.125126174105802</v>
      </c>
      <c r="H220" s="15">
        <v>43.122189612562998</v>
      </c>
      <c r="I220" s="15">
        <v>46.113379927934801</v>
      </c>
      <c r="J220" s="15">
        <v>46.573473003657803</v>
      </c>
      <c r="K220" s="15">
        <v>47.925349863561898</v>
      </c>
      <c r="L220" s="15">
        <v>51.434535177622202</v>
      </c>
      <c r="M220" s="15">
        <v>56.514520405481598</v>
      </c>
      <c r="N220" s="15">
        <v>62.672234285303801</v>
      </c>
      <c r="O220" s="15">
        <v>70.553388989396495</v>
      </c>
      <c r="P220" s="15">
        <v>79.174370541490504</v>
      </c>
    </row>
    <row r="221" spans="2:16" x14ac:dyDescent="0.3">
      <c r="B221" s="15" t="s">
        <v>276</v>
      </c>
      <c r="C221" s="15" t="s">
        <v>324</v>
      </c>
      <c r="D221" s="15" t="s">
        <v>331</v>
      </c>
      <c r="E221" s="15" t="s">
        <v>332</v>
      </c>
      <c r="F221" s="15" t="s">
        <v>6</v>
      </c>
      <c r="G221" s="15">
        <v>97.873916726705005</v>
      </c>
      <c r="H221" s="15">
        <v>101.383389048162</v>
      </c>
      <c r="I221" s="15">
        <v>111.91180601252999</v>
      </c>
      <c r="J221" s="15">
        <v>117.648149040758</v>
      </c>
      <c r="K221" s="15">
        <v>125.290509139413</v>
      </c>
      <c r="L221" s="15">
        <v>138.98709263770601</v>
      </c>
      <c r="M221" s="15">
        <v>157.75121835691399</v>
      </c>
      <c r="N221" s="15">
        <v>180.62156413995899</v>
      </c>
      <c r="O221" s="15">
        <v>209.84429414401799</v>
      </c>
      <c r="P221" s="15">
        <v>242.38129147664</v>
      </c>
    </row>
    <row r="222" spans="2:16" x14ac:dyDescent="0.3">
      <c r="B222" s="15" t="s">
        <v>276</v>
      </c>
      <c r="C222" s="15" t="s">
        <v>324</v>
      </c>
      <c r="D222" s="15" t="s">
        <v>331</v>
      </c>
      <c r="E222" s="15" t="s">
        <v>332</v>
      </c>
      <c r="F222" s="15" t="s">
        <v>7</v>
      </c>
      <c r="G222" s="15">
        <v>42.786552502695898</v>
      </c>
      <c r="H222" s="15">
        <v>44.046748454757498</v>
      </c>
      <c r="I222" s="15">
        <v>47.827336310942201</v>
      </c>
      <c r="J222" s="15">
        <v>50.567271182513899</v>
      </c>
      <c r="K222" s="15">
        <v>54.298049192973998</v>
      </c>
      <c r="L222" s="15">
        <v>60.780866025487398</v>
      </c>
      <c r="M222" s="15">
        <v>69.669697060775604</v>
      </c>
      <c r="N222" s="15">
        <v>80.572715706958107</v>
      </c>
      <c r="O222" s="15">
        <v>94.577713382813599</v>
      </c>
      <c r="P222" s="15">
        <v>110.529415112</v>
      </c>
    </row>
    <row r="223" spans="2:16" x14ac:dyDescent="0.3">
      <c r="B223" s="15" t="s">
        <v>276</v>
      </c>
      <c r="C223" s="15" t="s">
        <v>324</v>
      </c>
      <c r="D223" s="15" t="s">
        <v>331</v>
      </c>
      <c r="E223" s="15" t="s">
        <v>332</v>
      </c>
      <c r="F223" s="15" t="s">
        <v>8</v>
      </c>
      <c r="G223" s="15">
        <v>114.92497208061999</v>
      </c>
      <c r="H223" s="15">
        <v>118.404508975276</v>
      </c>
      <c r="I223" s="15">
        <v>128.843119659244</v>
      </c>
      <c r="J223" s="15">
        <v>133.132407663126</v>
      </c>
      <c r="K223" s="15">
        <v>139.42080332167899</v>
      </c>
      <c r="L223" s="15">
        <v>152.03219769638901</v>
      </c>
      <c r="M223" s="15">
        <v>169.64422776233701</v>
      </c>
      <c r="N223" s="15">
        <v>191.03390348206301</v>
      </c>
      <c r="O223" s="15">
        <v>218.64302541082401</v>
      </c>
      <c r="P223" s="15">
        <v>248.90364244006199</v>
      </c>
    </row>
    <row r="224" spans="2:16" x14ac:dyDescent="0.3">
      <c r="B224" s="15" t="s">
        <v>276</v>
      </c>
      <c r="C224" s="15" t="s">
        <v>324</v>
      </c>
      <c r="D224" s="15" t="s">
        <v>333</v>
      </c>
      <c r="E224" s="15" t="s">
        <v>334</v>
      </c>
      <c r="F224" s="15" t="s">
        <v>0</v>
      </c>
      <c r="G224" s="15">
        <v>1.0006452934658101</v>
      </c>
      <c r="H224" s="15">
        <v>0.84815168533257701</v>
      </c>
      <c r="I224" s="15">
        <v>0.390670860932879</v>
      </c>
      <c r="J224" s="15">
        <v>1.53967653256489</v>
      </c>
      <c r="K224" s="15">
        <v>2.3589467758309</v>
      </c>
      <c r="L224" s="15">
        <v>2.21801898907272</v>
      </c>
      <c r="M224" s="15">
        <v>2.1400935070453402</v>
      </c>
      <c r="N224" s="15">
        <v>2.0722406553360302</v>
      </c>
      <c r="O224" s="15">
        <v>2.1622085612628599</v>
      </c>
      <c r="P224" s="15">
        <v>2.2326370479982001</v>
      </c>
    </row>
    <row r="225" spans="2:16" x14ac:dyDescent="0.3">
      <c r="B225" s="15" t="s">
        <v>276</v>
      </c>
      <c r="C225" s="15" t="s">
        <v>324</v>
      </c>
      <c r="D225" s="15" t="s">
        <v>333</v>
      </c>
      <c r="E225" s="15" t="s">
        <v>334</v>
      </c>
      <c r="F225" s="15" t="s">
        <v>1</v>
      </c>
      <c r="G225" s="15">
        <v>2.6125634440278902</v>
      </c>
      <c r="H225" s="15">
        <v>2.2137079431818898</v>
      </c>
      <c r="I225" s="15">
        <v>1.0171414406439001</v>
      </c>
      <c r="J225" s="15">
        <v>3.9796422001913099</v>
      </c>
      <c r="K225" s="15">
        <v>6.0464263129884301</v>
      </c>
      <c r="L225" s="15">
        <v>5.6406847607819302</v>
      </c>
      <c r="M225" s="15">
        <v>5.4066866384700498</v>
      </c>
      <c r="N225" s="15">
        <v>5.2075783563383702</v>
      </c>
      <c r="O225" s="15">
        <v>5.4064877161395497</v>
      </c>
      <c r="P225" s="15">
        <v>5.5560485243545097</v>
      </c>
    </row>
    <row r="226" spans="2:16" x14ac:dyDescent="0.3">
      <c r="B226" s="15" t="s">
        <v>276</v>
      </c>
      <c r="C226" s="15" t="s">
        <v>324</v>
      </c>
      <c r="D226" s="15" t="s">
        <v>333</v>
      </c>
      <c r="E226" s="15" t="s">
        <v>334</v>
      </c>
      <c r="F226" s="15" t="s">
        <v>2</v>
      </c>
      <c r="G226" s="15">
        <v>2.9637894768343398</v>
      </c>
      <c r="H226" s="15">
        <v>2.5085802607213901</v>
      </c>
      <c r="I226" s="15">
        <v>1.14295261238251</v>
      </c>
      <c r="J226" s="15">
        <v>4.4755406080275302</v>
      </c>
      <c r="K226" s="15">
        <v>6.8353299105279799</v>
      </c>
      <c r="L226" s="15">
        <v>6.4163133074928203</v>
      </c>
      <c r="M226" s="15">
        <v>6.1886058023480297</v>
      </c>
      <c r="N226" s="15">
        <v>5.9962757143640797</v>
      </c>
      <c r="O226" s="15">
        <v>6.2633973446413203</v>
      </c>
      <c r="P226" s="15">
        <v>6.4523246401239502</v>
      </c>
    </row>
    <row r="227" spans="2:16" x14ac:dyDescent="0.3">
      <c r="B227" s="15" t="s">
        <v>276</v>
      </c>
      <c r="C227" s="15" t="s">
        <v>324</v>
      </c>
      <c r="D227" s="15" t="s">
        <v>333</v>
      </c>
      <c r="E227" s="15" t="s">
        <v>334</v>
      </c>
      <c r="F227" s="15" t="s">
        <v>3</v>
      </c>
      <c r="G227" s="15">
        <v>1.43700293422403</v>
      </c>
      <c r="H227" s="15">
        <v>1.2202000928741099</v>
      </c>
      <c r="I227" s="15">
        <v>0.569791568824355</v>
      </c>
      <c r="J227" s="15">
        <v>2.2717779354326502</v>
      </c>
      <c r="K227" s="15">
        <v>3.5180502806294598</v>
      </c>
      <c r="L227" s="15">
        <v>3.3437157515970699</v>
      </c>
      <c r="M227" s="15">
        <v>3.2682116013056701</v>
      </c>
      <c r="N227" s="15">
        <v>3.2127792636769499</v>
      </c>
      <c r="O227" s="15">
        <v>3.4066864768392802</v>
      </c>
      <c r="P227" s="15">
        <v>3.5647306478165999</v>
      </c>
    </row>
    <row r="228" spans="2:16" x14ac:dyDescent="0.3">
      <c r="B228" s="15" t="s">
        <v>276</v>
      </c>
      <c r="C228" s="15" t="s">
        <v>324</v>
      </c>
      <c r="D228" s="15" t="s">
        <v>333</v>
      </c>
      <c r="E228" s="15" t="s">
        <v>334</v>
      </c>
      <c r="F228" s="15" t="s">
        <v>4</v>
      </c>
      <c r="G228" s="15">
        <v>4.1823809906575402</v>
      </c>
      <c r="H228" s="15">
        <v>3.5619916219621199</v>
      </c>
      <c r="I228" s="15">
        <v>1.70082351587584</v>
      </c>
      <c r="J228" s="15">
        <v>6.9764195740922297</v>
      </c>
      <c r="K228" s="15">
        <v>11.084172786191299</v>
      </c>
      <c r="L228" s="15">
        <v>10.810496175761401</v>
      </c>
      <c r="M228" s="15">
        <v>10.8344921201401</v>
      </c>
      <c r="N228" s="15">
        <v>10.9153798285259</v>
      </c>
      <c r="O228" s="15">
        <v>11.867385640516201</v>
      </c>
      <c r="P228" s="15">
        <v>12.7173524698424</v>
      </c>
    </row>
    <row r="229" spans="2:16" x14ac:dyDescent="0.3">
      <c r="B229" s="15" t="s">
        <v>276</v>
      </c>
      <c r="C229" s="15" t="s">
        <v>324</v>
      </c>
      <c r="D229" s="15" t="s">
        <v>333</v>
      </c>
      <c r="E229" s="15" t="s">
        <v>334</v>
      </c>
      <c r="F229" s="15" t="s">
        <v>5</v>
      </c>
      <c r="G229" s="15">
        <v>1.1406705065449401</v>
      </c>
      <c r="H229" s="15">
        <v>0.96788762387472205</v>
      </c>
      <c r="I229" s="15">
        <v>0.44953897586406899</v>
      </c>
      <c r="J229" s="15">
        <v>1.78844106723972</v>
      </c>
      <c r="K229" s="15">
        <v>2.7682683855568602</v>
      </c>
      <c r="L229" s="15">
        <v>2.6302788216546702</v>
      </c>
      <c r="M229" s="15">
        <v>2.5682094953750698</v>
      </c>
      <c r="N229" s="15">
        <v>2.52150754283781</v>
      </c>
      <c r="O229" s="15">
        <v>2.6717886933028701</v>
      </c>
      <c r="P229" s="15">
        <v>2.8022569703893301</v>
      </c>
    </row>
    <row r="230" spans="2:16" x14ac:dyDescent="0.3">
      <c r="B230" s="15" t="s">
        <v>276</v>
      </c>
      <c r="C230" s="15" t="s">
        <v>324</v>
      </c>
      <c r="D230" s="15" t="s">
        <v>333</v>
      </c>
      <c r="E230" s="15" t="s">
        <v>334</v>
      </c>
      <c r="F230" s="15" t="s">
        <v>6</v>
      </c>
      <c r="G230" s="15">
        <v>2.6502446475475199</v>
      </c>
      <c r="H230" s="15">
        <v>2.26042817896111</v>
      </c>
      <c r="I230" s="15">
        <v>1.0909787732018901</v>
      </c>
      <c r="J230" s="15">
        <v>4.5177386967191699</v>
      </c>
      <c r="K230" s="15">
        <v>7.2370417002352498</v>
      </c>
      <c r="L230" s="15">
        <v>7.1075748033077701</v>
      </c>
      <c r="M230" s="15">
        <v>7.1687448461814496</v>
      </c>
      <c r="N230" s="15">
        <v>7.2669921787815897</v>
      </c>
      <c r="O230" s="15">
        <v>7.9466007300141204</v>
      </c>
      <c r="P230" s="15">
        <v>8.5787188314487004</v>
      </c>
    </row>
    <row r="231" spans="2:16" x14ac:dyDescent="0.3">
      <c r="B231" s="15" t="s">
        <v>276</v>
      </c>
      <c r="C231" s="15" t="s">
        <v>324</v>
      </c>
      <c r="D231" s="15" t="s">
        <v>333</v>
      </c>
      <c r="E231" s="15" t="s">
        <v>334</v>
      </c>
      <c r="F231" s="15" t="s">
        <v>7</v>
      </c>
      <c r="G231" s="15">
        <v>1.1585807082178501</v>
      </c>
      <c r="H231" s="15">
        <v>0.98549742609023805</v>
      </c>
      <c r="I231" s="15">
        <v>0.466247579707399</v>
      </c>
      <c r="J231" s="15">
        <v>1.9418046069691399</v>
      </c>
      <c r="K231" s="15">
        <v>3.13636881955461</v>
      </c>
      <c r="L231" s="15">
        <v>3.1082350431782402</v>
      </c>
      <c r="M231" s="15">
        <v>3.16602487728152</v>
      </c>
      <c r="N231" s="15">
        <v>3.2417020506585299</v>
      </c>
      <c r="O231" s="15">
        <v>3.5815666529160999</v>
      </c>
      <c r="P231" s="15">
        <v>3.9120212994727499</v>
      </c>
    </row>
    <row r="232" spans="2:16" x14ac:dyDescent="0.3">
      <c r="B232" s="15" t="s">
        <v>276</v>
      </c>
      <c r="C232" s="15" t="s">
        <v>324</v>
      </c>
      <c r="D232" s="15" t="s">
        <v>333</v>
      </c>
      <c r="E232" s="15" t="s">
        <v>334</v>
      </c>
      <c r="F232" s="15" t="s">
        <v>8</v>
      </c>
      <c r="G232" s="15">
        <v>3.1119556906738901</v>
      </c>
      <c r="H232" s="15">
        <v>2.6479754361472101</v>
      </c>
      <c r="I232" s="15">
        <v>1.2560346725671601</v>
      </c>
      <c r="J232" s="15">
        <v>5.1123407787633699</v>
      </c>
      <c r="K232" s="15">
        <v>8.0532370284852099</v>
      </c>
      <c r="L232" s="15">
        <v>7.7746803471533701</v>
      </c>
      <c r="M232" s="15">
        <v>7.7092031118527498</v>
      </c>
      <c r="N232" s="15">
        <v>7.6859144094807803</v>
      </c>
      <c r="O232" s="15">
        <v>8.2798001843676694</v>
      </c>
      <c r="P232" s="15">
        <v>8.8095675685535504</v>
      </c>
    </row>
    <row r="233" spans="2:16" x14ac:dyDescent="0.3">
      <c r="B233" s="15" t="s">
        <v>276</v>
      </c>
      <c r="C233" s="15" t="s">
        <v>324</v>
      </c>
      <c r="D233" s="15" t="s">
        <v>335</v>
      </c>
      <c r="E233" s="15" t="s">
        <v>336</v>
      </c>
      <c r="F233" s="15" t="s">
        <v>0</v>
      </c>
      <c r="G233" s="15">
        <v>32.2928788899682</v>
      </c>
      <c r="H233" s="15">
        <v>32.7684378350123</v>
      </c>
      <c r="I233" s="15">
        <v>34.195114670144697</v>
      </c>
      <c r="J233" s="15">
        <v>37.668492731630401</v>
      </c>
      <c r="K233" s="15">
        <v>40.752543475082199</v>
      </c>
      <c r="L233" s="15">
        <v>43.299103187998</v>
      </c>
      <c r="M233" s="15">
        <v>45.516466647363401</v>
      </c>
      <c r="N233" s="15">
        <v>47.392649876316199</v>
      </c>
      <c r="O233" s="15">
        <v>49.308145062906497</v>
      </c>
      <c r="P233" s="15">
        <v>51.755419072970597</v>
      </c>
    </row>
    <row r="234" spans="2:16" x14ac:dyDescent="0.3">
      <c r="B234" s="15" t="s">
        <v>276</v>
      </c>
      <c r="C234" s="15" t="s">
        <v>324</v>
      </c>
      <c r="D234" s="15" t="s">
        <v>335</v>
      </c>
      <c r="E234" s="15" t="s">
        <v>336</v>
      </c>
      <c r="F234" s="15" t="s">
        <v>1</v>
      </c>
      <c r="G234" s="15">
        <v>84.3127883989129</v>
      </c>
      <c r="H234" s="15">
        <v>85.491989838917306</v>
      </c>
      <c r="I234" s="15">
        <v>89.029594158930806</v>
      </c>
      <c r="J234" s="15">
        <v>97.362738290666201</v>
      </c>
      <c r="K234" s="15">
        <v>104.45646918089101</v>
      </c>
      <c r="L234" s="15">
        <v>110.114743251216</v>
      </c>
      <c r="M234" s="15">
        <v>114.99183154498201</v>
      </c>
      <c r="N234" s="15">
        <v>119.098588819746</v>
      </c>
      <c r="O234" s="15">
        <v>123.292398968455</v>
      </c>
      <c r="P234" s="15">
        <v>128.79640245401899</v>
      </c>
    </row>
    <row r="235" spans="2:16" x14ac:dyDescent="0.3">
      <c r="B235" s="15" t="s">
        <v>276</v>
      </c>
      <c r="C235" s="15" t="s">
        <v>324</v>
      </c>
      <c r="D235" s="15" t="s">
        <v>335</v>
      </c>
      <c r="E235" s="15" t="s">
        <v>336</v>
      </c>
      <c r="F235" s="15" t="s">
        <v>2</v>
      </c>
      <c r="G235" s="15">
        <v>95.647573876330895</v>
      </c>
      <c r="H235" s="15">
        <v>96.746117293707002</v>
      </c>
      <c r="I235" s="15">
        <v>100.04174754583499</v>
      </c>
      <c r="J235" s="15">
        <v>109.49499151147</v>
      </c>
      <c r="K235" s="15">
        <v>118.0853600426</v>
      </c>
      <c r="L235" s="15">
        <v>125.25619183441</v>
      </c>
      <c r="M235" s="15">
        <v>131.62203832165801</v>
      </c>
      <c r="N235" s="15">
        <v>137.13629001581</v>
      </c>
      <c r="O235" s="15">
        <v>142.833818341658</v>
      </c>
      <c r="P235" s="15">
        <v>149.573243910776</v>
      </c>
    </row>
    <row r="236" spans="2:16" x14ac:dyDescent="0.3">
      <c r="B236" s="15" t="s">
        <v>276</v>
      </c>
      <c r="C236" s="15" t="s">
        <v>324</v>
      </c>
      <c r="D236" s="15" t="s">
        <v>335</v>
      </c>
      <c r="E236" s="15" t="s">
        <v>336</v>
      </c>
      <c r="F236" s="15" t="s">
        <v>3</v>
      </c>
      <c r="G236" s="15">
        <v>46.375036211581502</v>
      </c>
      <c r="H236" s="15">
        <v>47.2496296661553</v>
      </c>
      <c r="I236" s="15">
        <v>49.873410029876702</v>
      </c>
      <c r="J236" s="15">
        <v>55.579499225183099</v>
      </c>
      <c r="K236" s="15">
        <v>60.7769104745392</v>
      </c>
      <c r="L236" s="15">
        <v>65.274415626289795</v>
      </c>
      <c r="M236" s="15">
        <v>69.509787239499502</v>
      </c>
      <c r="N236" s="15">
        <v>73.477046394806905</v>
      </c>
      <c r="O236" s="15">
        <v>77.687876180512305</v>
      </c>
      <c r="P236" s="15">
        <v>82.635074395737405</v>
      </c>
    </row>
    <row r="237" spans="2:16" x14ac:dyDescent="0.3">
      <c r="B237" s="15" t="s">
        <v>276</v>
      </c>
      <c r="C237" s="15" t="s">
        <v>324</v>
      </c>
      <c r="D237" s="15" t="s">
        <v>335</v>
      </c>
      <c r="E237" s="15" t="s">
        <v>336</v>
      </c>
      <c r="F237" s="15" t="s">
        <v>4</v>
      </c>
      <c r="G237" s="15">
        <v>134.97402494665701</v>
      </c>
      <c r="H237" s="15">
        <v>138.44845647746101</v>
      </c>
      <c r="I237" s="15">
        <v>148.87175106987399</v>
      </c>
      <c r="J237" s="15">
        <v>170.679493037231</v>
      </c>
      <c r="K237" s="15">
        <v>191.487250998055</v>
      </c>
      <c r="L237" s="15">
        <v>211.03732282447299</v>
      </c>
      <c r="M237" s="15">
        <v>230.43282810026901</v>
      </c>
      <c r="N237" s="15">
        <v>249.63740246494001</v>
      </c>
      <c r="O237" s="15">
        <v>270.63012475459698</v>
      </c>
      <c r="P237" s="15">
        <v>294.80470512012403</v>
      </c>
    </row>
    <row r="238" spans="2:16" x14ac:dyDescent="0.3">
      <c r="B238" s="15" t="s">
        <v>276</v>
      </c>
      <c r="C238" s="15" t="s">
        <v>324</v>
      </c>
      <c r="D238" s="15" t="s">
        <v>335</v>
      </c>
      <c r="E238" s="15" t="s">
        <v>336</v>
      </c>
      <c r="F238" s="15" t="s">
        <v>5</v>
      </c>
      <c r="G238" s="15">
        <v>36.8117801200382</v>
      </c>
      <c r="H238" s="15">
        <v>37.4457837631806</v>
      </c>
      <c r="I238" s="15">
        <v>39.3477946926077</v>
      </c>
      <c r="J238" s="15">
        <v>43.754566571228402</v>
      </c>
      <c r="K238" s="15">
        <v>47.823875845339899</v>
      </c>
      <c r="L238" s="15">
        <v>51.347041965427103</v>
      </c>
      <c r="M238" s="15">
        <v>54.621829118611998</v>
      </c>
      <c r="N238" s="15">
        <v>57.667493314778497</v>
      </c>
      <c r="O238" s="15">
        <v>60.928879307491997</v>
      </c>
      <c r="P238" s="15">
        <v>64.959946795960306</v>
      </c>
    </row>
    <row r="239" spans="2:16" x14ac:dyDescent="0.3">
      <c r="B239" s="15" t="s">
        <v>276</v>
      </c>
      <c r="C239" s="15" t="s">
        <v>324</v>
      </c>
      <c r="D239" s="15" t="s">
        <v>335</v>
      </c>
      <c r="E239" s="15" t="s">
        <v>336</v>
      </c>
      <c r="F239" s="15" t="s">
        <v>6</v>
      </c>
      <c r="G239" s="15">
        <v>85.528838231589503</v>
      </c>
      <c r="H239" s="15">
        <v>88.019758194569107</v>
      </c>
      <c r="I239" s="15">
        <v>95.492518083507804</v>
      </c>
      <c r="J239" s="15">
        <v>110.52737614781999</v>
      </c>
      <c r="K239" s="15">
        <v>125.025227165601</v>
      </c>
      <c r="L239" s="15">
        <v>138.75066730312301</v>
      </c>
      <c r="M239" s="15">
        <v>152.468074231564</v>
      </c>
      <c r="N239" s="15">
        <v>166.19788589519601</v>
      </c>
      <c r="O239" s="15">
        <v>181.218476594913</v>
      </c>
      <c r="P239" s="15">
        <v>198.86581593228601</v>
      </c>
    </row>
    <row r="240" spans="2:16" x14ac:dyDescent="0.3">
      <c r="B240" s="15" t="s">
        <v>276</v>
      </c>
      <c r="C240" s="15" t="s">
        <v>324</v>
      </c>
      <c r="D240" s="15" t="s">
        <v>335</v>
      </c>
      <c r="E240" s="15" t="s">
        <v>336</v>
      </c>
      <c r="F240" s="15" t="s">
        <v>7</v>
      </c>
      <c r="G240" s="15">
        <v>37.389779114581998</v>
      </c>
      <c r="H240" s="15">
        <v>38.244905763135399</v>
      </c>
      <c r="I240" s="15">
        <v>40.810285708795497</v>
      </c>
      <c r="J240" s="15">
        <v>47.506636086746099</v>
      </c>
      <c r="K240" s="15">
        <v>54.183082035740597</v>
      </c>
      <c r="L240" s="15">
        <v>60.677474147049999</v>
      </c>
      <c r="M240" s="15">
        <v>67.336434252568395</v>
      </c>
      <c r="N240" s="15">
        <v>74.138517596684807</v>
      </c>
      <c r="O240" s="15">
        <v>81.675936002819995</v>
      </c>
      <c r="P240" s="15">
        <v>90.685721603578202</v>
      </c>
    </row>
    <row r="241" spans="1:16" x14ac:dyDescent="0.3">
      <c r="B241" s="15" t="s">
        <v>276</v>
      </c>
      <c r="C241" s="15" t="s">
        <v>324</v>
      </c>
      <c r="D241" s="15" t="s">
        <v>335</v>
      </c>
      <c r="E241" s="15" t="s">
        <v>336</v>
      </c>
      <c r="F241" s="15" t="s">
        <v>8</v>
      </c>
      <c r="G241" s="15">
        <v>100.429201922103</v>
      </c>
      <c r="H241" s="15">
        <v>102.806834382026</v>
      </c>
      <c r="I241" s="15">
        <v>109.939731761798</v>
      </c>
      <c r="J241" s="15">
        <v>125.07443439802501</v>
      </c>
      <c r="K241" s="15">
        <v>139.12560278215099</v>
      </c>
      <c r="L241" s="15">
        <v>151.77358186001399</v>
      </c>
      <c r="M241" s="15">
        <v>163.962782543484</v>
      </c>
      <c r="N241" s="15">
        <v>175.778739621721</v>
      </c>
      <c r="O241" s="15">
        <v>188.81693278664599</v>
      </c>
      <c r="P241" s="15">
        <v>204.217188714548</v>
      </c>
    </row>
    <row r="242" spans="1:16" x14ac:dyDescent="0.3">
      <c r="A242" s="15" t="str">
        <f>MID(E242,4,3)</f>
        <v>BVM</v>
      </c>
      <c r="B242" s="15" t="s">
        <v>276</v>
      </c>
      <c r="C242" s="15" t="s">
        <v>228</v>
      </c>
      <c r="D242" s="15" t="s">
        <v>279</v>
      </c>
      <c r="E242" s="15" t="s">
        <v>229</v>
      </c>
      <c r="F242" s="15" t="s">
        <v>0</v>
      </c>
      <c r="G242" s="15">
        <v>10.196421295077</v>
      </c>
      <c r="H242" s="15">
        <v>3.6400323880127599</v>
      </c>
      <c r="I242" s="15">
        <v>3.8236579856538699</v>
      </c>
    </row>
    <row r="243" spans="1:16" x14ac:dyDescent="0.3">
      <c r="A243" s="15" t="str">
        <f t="shared" ref="A243:A306" si="5">MID(E243,4,3)</f>
        <v>BVM</v>
      </c>
      <c r="B243" s="15" t="s">
        <v>276</v>
      </c>
      <c r="C243" s="15" t="s">
        <v>228</v>
      </c>
      <c r="D243" s="15" t="s">
        <v>279</v>
      </c>
      <c r="E243" s="15" t="s">
        <v>229</v>
      </c>
      <c r="F243" s="15" t="s">
        <v>1</v>
      </c>
      <c r="G243" s="15">
        <v>26.621618778778601</v>
      </c>
      <c r="H243" s="15">
        <v>9.5648155112517106</v>
      </c>
      <c r="I243" s="15">
        <v>9.9831070420419792</v>
      </c>
    </row>
    <row r="244" spans="1:16" x14ac:dyDescent="0.3">
      <c r="A244" s="15" t="str">
        <f t="shared" si="5"/>
        <v>BVM</v>
      </c>
      <c r="B244" s="15" t="s">
        <v>276</v>
      </c>
      <c r="C244" s="15" t="s">
        <v>228</v>
      </c>
      <c r="D244" s="15" t="s">
        <v>279</v>
      </c>
      <c r="E244" s="15" t="s">
        <v>229</v>
      </c>
      <c r="F244" s="15" t="s">
        <v>2</v>
      </c>
      <c r="G244" s="15">
        <v>30.200557913033901</v>
      </c>
      <c r="H244" s="15">
        <v>11.0849175678631</v>
      </c>
      <c r="I244" s="15">
        <v>11.3252092173877</v>
      </c>
    </row>
    <row r="245" spans="1:16" x14ac:dyDescent="0.3">
      <c r="A245" s="15" t="str">
        <f t="shared" si="5"/>
        <v>BVM</v>
      </c>
      <c r="B245" s="15" t="s">
        <v>276</v>
      </c>
      <c r="C245" s="15" t="s">
        <v>228</v>
      </c>
      <c r="D245" s="15" t="s">
        <v>279</v>
      </c>
      <c r="E245" s="15" t="s">
        <v>229</v>
      </c>
      <c r="F245" s="15" t="s">
        <v>3</v>
      </c>
      <c r="G245" s="15">
        <v>14.642838391674999</v>
      </c>
      <c r="H245" s="15">
        <v>5.0396780721415597</v>
      </c>
      <c r="I245" s="15">
        <v>5.4910643968781203</v>
      </c>
    </row>
    <row r="246" spans="1:16" x14ac:dyDescent="0.3">
      <c r="A246" s="15" t="str">
        <f t="shared" si="5"/>
        <v>BVM</v>
      </c>
      <c r="B246" s="15" t="s">
        <v>276</v>
      </c>
      <c r="C246" s="15" t="s">
        <v>228</v>
      </c>
      <c r="D246" s="15" t="s">
        <v>279</v>
      </c>
      <c r="E246" s="15" t="s">
        <v>229</v>
      </c>
      <c r="F246" s="15" t="s">
        <v>4</v>
      </c>
      <c r="G246" s="15">
        <v>42.617817598042798</v>
      </c>
      <c r="H246" s="15">
        <v>13.758225164195199</v>
      </c>
      <c r="I246" s="15">
        <v>15.9816815992661</v>
      </c>
    </row>
    <row r="247" spans="1:16" x14ac:dyDescent="0.3">
      <c r="A247" s="15" t="str">
        <f t="shared" si="5"/>
        <v>BVM</v>
      </c>
      <c r="B247" s="15" t="s">
        <v>276</v>
      </c>
      <c r="C247" s="15" t="s">
        <v>228</v>
      </c>
      <c r="D247" s="15" t="s">
        <v>279</v>
      </c>
      <c r="E247" s="15" t="s">
        <v>229</v>
      </c>
      <c r="F247" s="15" t="s">
        <v>5</v>
      </c>
      <c r="G247" s="15">
        <v>11.6232566320451</v>
      </c>
      <c r="H247" s="15">
        <v>4.0594055257416004</v>
      </c>
      <c r="I247" s="15">
        <v>4.3587212370169102</v>
      </c>
    </row>
    <row r="248" spans="1:16" x14ac:dyDescent="0.3">
      <c r="A248" s="15" t="str">
        <f t="shared" si="5"/>
        <v>BVM</v>
      </c>
      <c r="B248" s="15" t="s">
        <v>276</v>
      </c>
      <c r="C248" s="15" t="s">
        <v>228</v>
      </c>
      <c r="D248" s="15" t="s">
        <v>279</v>
      </c>
      <c r="E248" s="15" t="s">
        <v>229</v>
      </c>
      <c r="F248" s="15" t="s">
        <v>6</v>
      </c>
      <c r="G248" s="15">
        <v>27.005584434241701</v>
      </c>
      <c r="H248" s="15">
        <v>8.4348683082736198</v>
      </c>
      <c r="I248" s="15">
        <v>10.127094162840599</v>
      </c>
    </row>
    <row r="249" spans="1:16" x14ac:dyDescent="0.3">
      <c r="A249" s="15" t="str">
        <f t="shared" si="5"/>
        <v>BVM</v>
      </c>
      <c r="B249" s="15" t="s">
        <v>276</v>
      </c>
      <c r="C249" s="15" t="s">
        <v>228</v>
      </c>
      <c r="D249" s="15" t="s">
        <v>279</v>
      </c>
      <c r="E249" s="15" t="s">
        <v>229</v>
      </c>
      <c r="F249" s="15" t="s">
        <v>7</v>
      </c>
      <c r="G249" s="15">
        <v>11.8057588263084</v>
      </c>
      <c r="H249" s="15">
        <v>3.91634858889786</v>
      </c>
      <c r="I249" s="15">
        <v>4.4271595598656504</v>
      </c>
    </row>
    <row r="250" spans="1:16" x14ac:dyDescent="0.3">
      <c r="A250" s="15" t="str">
        <f t="shared" si="5"/>
        <v>BVM</v>
      </c>
      <c r="B250" s="15" t="s">
        <v>276</v>
      </c>
      <c r="C250" s="15" t="s">
        <v>228</v>
      </c>
      <c r="D250" s="15" t="s">
        <v>279</v>
      </c>
      <c r="E250" s="15" t="s">
        <v>229</v>
      </c>
      <c r="F250" s="15" t="s">
        <v>8</v>
      </c>
      <c r="G250" s="15">
        <v>31.710348792848801</v>
      </c>
      <c r="H250" s="15">
        <v>10.440254818895101</v>
      </c>
      <c r="I250" s="15">
        <v>11.8913807973183</v>
      </c>
    </row>
    <row r="251" spans="1:16" x14ac:dyDescent="0.3">
      <c r="A251" s="15" t="str">
        <f t="shared" si="5"/>
        <v>BVM</v>
      </c>
      <c r="B251" s="15" t="s">
        <v>276</v>
      </c>
      <c r="C251" s="15" t="s">
        <v>228</v>
      </c>
      <c r="D251" s="15" t="s">
        <v>279</v>
      </c>
      <c r="E251" s="15" t="s">
        <v>230</v>
      </c>
      <c r="F251" s="15" t="s">
        <v>0</v>
      </c>
      <c r="H251" s="15">
        <v>7.3386878406972</v>
      </c>
      <c r="I251" s="15">
        <v>7.3386878406972</v>
      </c>
      <c r="J251" s="15">
        <v>11.47518432660897</v>
      </c>
      <c r="K251" s="15">
        <v>11.787115716251551</v>
      </c>
      <c r="L251" s="15">
        <v>12.067046141648351</v>
      </c>
      <c r="M251" s="15">
        <v>12.346309434403899</v>
      </c>
      <c r="N251" s="15">
        <v>12.53430750285299</v>
      </c>
      <c r="O251" s="15">
        <v>12.70058841448822</v>
      </c>
      <c r="P251" s="15">
        <v>12.90360976326031</v>
      </c>
    </row>
    <row r="252" spans="1:16" x14ac:dyDescent="0.3">
      <c r="A252" s="15" t="str">
        <f t="shared" si="5"/>
        <v>BVM</v>
      </c>
      <c r="B252" s="15" t="s">
        <v>276</v>
      </c>
      <c r="C252" s="15" t="s">
        <v>228</v>
      </c>
      <c r="D252" s="15" t="s">
        <v>279</v>
      </c>
      <c r="E252" s="15" t="s">
        <v>230</v>
      </c>
      <c r="F252" s="15" t="s">
        <v>1</v>
      </c>
      <c r="H252" s="15">
        <v>19.0789133187006</v>
      </c>
      <c r="I252" s="15">
        <v>19.0789133187006</v>
      </c>
      <c r="J252" s="15">
        <v>29.660209034342902</v>
      </c>
      <c r="K252" s="15">
        <v>30.212604773958603</v>
      </c>
      <c r="L252" s="15">
        <v>30.687926304591599</v>
      </c>
      <c r="M252" s="15">
        <v>31.191453099434202</v>
      </c>
      <c r="N252" s="15">
        <v>31.4989421211611</v>
      </c>
      <c r="O252" s="15">
        <v>31.757147058269901</v>
      </c>
      <c r="P252" s="15">
        <v>32.1113913469677</v>
      </c>
    </row>
    <row r="253" spans="1:16" x14ac:dyDescent="0.3">
      <c r="A253" s="15" t="str">
        <f t="shared" si="5"/>
        <v>BVM</v>
      </c>
      <c r="B253" s="15" t="s">
        <v>276</v>
      </c>
      <c r="C253" s="15" t="s">
        <v>228</v>
      </c>
      <c r="D253" s="15" t="s">
        <v>279</v>
      </c>
      <c r="E253" s="15" t="s">
        <v>230</v>
      </c>
      <c r="F253" s="15" t="s">
        <v>2</v>
      </c>
      <c r="H253" s="15">
        <v>21.331519498135599</v>
      </c>
      <c r="I253" s="15">
        <v>21.331519498135599</v>
      </c>
      <c r="J253" s="15">
        <v>33.356131857634303</v>
      </c>
      <c r="K253" s="15">
        <v>34.154575016119203</v>
      </c>
      <c r="L253" s="15">
        <v>34.907703280375102</v>
      </c>
      <c r="M253" s="15">
        <v>35.7023849433686</v>
      </c>
      <c r="N253" s="15">
        <v>36.269515069204701</v>
      </c>
      <c r="O253" s="15">
        <v>36.790545174895897</v>
      </c>
      <c r="P253" s="15">
        <v>37.291452856915903</v>
      </c>
    </row>
    <row r="254" spans="1:16" x14ac:dyDescent="0.3">
      <c r="A254" s="15" t="str">
        <f t="shared" si="5"/>
        <v>BVM</v>
      </c>
      <c r="B254" s="15" t="s">
        <v>276</v>
      </c>
      <c r="C254" s="15" t="s">
        <v>228</v>
      </c>
      <c r="D254" s="15" t="s">
        <v>279</v>
      </c>
      <c r="E254" s="15" t="s">
        <v>230</v>
      </c>
      <c r="F254" s="15" t="s">
        <v>3</v>
      </c>
      <c r="H254" s="15">
        <v>10.789163222271901</v>
      </c>
      <c r="I254" s="15">
        <v>10.789163222271901</v>
      </c>
      <c r="J254" s="15">
        <v>16.931524256452331</v>
      </c>
      <c r="K254" s="15">
        <v>17.578889942849379</v>
      </c>
      <c r="L254" s="15">
        <v>18.19135564567318</v>
      </c>
      <c r="M254" s="15">
        <v>18.854480700956458</v>
      </c>
      <c r="N254" s="15">
        <v>19.43305335990836</v>
      </c>
      <c r="O254" s="15">
        <v>20.010522377299409</v>
      </c>
      <c r="P254" s="15">
        <v>20.602494808460509</v>
      </c>
    </row>
    <row r="255" spans="1:16" x14ac:dyDescent="0.3">
      <c r="A255" s="15" t="str">
        <f t="shared" si="5"/>
        <v>BVM</v>
      </c>
      <c r="B255" s="15" t="s">
        <v>276</v>
      </c>
      <c r="C255" s="15" t="s">
        <v>228</v>
      </c>
      <c r="D255" s="15" t="s">
        <v>279</v>
      </c>
      <c r="E255" s="15" t="s">
        <v>230</v>
      </c>
      <c r="F255" s="15" t="s">
        <v>4</v>
      </c>
      <c r="H255" s="15">
        <v>32.614674495636699</v>
      </c>
      <c r="I255" s="15">
        <v>32.614674495636699</v>
      </c>
      <c r="J255" s="15">
        <v>51.995142394688301</v>
      </c>
      <c r="K255" s="15">
        <v>55.385067856710606</v>
      </c>
      <c r="L255" s="15">
        <v>58.814084464426898</v>
      </c>
      <c r="M255" s="15">
        <v>62.504741890713603</v>
      </c>
      <c r="N255" s="15">
        <v>66.023570635426992</v>
      </c>
      <c r="O255" s="15">
        <v>69.707790116311799</v>
      </c>
      <c r="P255" s="15">
        <v>73.500416755967791</v>
      </c>
    </row>
    <row r="256" spans="1:16" x14ac:dyDescent="0.3">
      <c r="A256" s="15" t="str">
        <f t="shared" si="5"/>
        <v>BVM</v>
      </c>
      <c r="B256" s="15" t="s">
        <v>276</v>
      </c>
      <c r="C256" s="15" t="s">
        <v>228</v>
      </c>
      <c r="D256" s="15" t="s">
        <v>279</v>
      </c>
      <c r="E256" s="15" t="s">
        <v>230</v>
      </c>
      <c r="F256" s="15" t="s">
        <v>5</v>
      </c>
      <c r="H256" s="15">
        <v>8.4856191344052299</v>
      </c>
      <c r="I256" s="15">
        <v>8.4856191344052299</v>
      </c>
      <c r="J256" s="15">
        <v>13.329222385214329</v>
      </c>
      <c r="K256" s="15">
        <v>13.83240187040942</v>
      </c>
      <c r="L256" s="15">
        <v>14.30992974482</v>
      </c>
      <c r="M256" s="15">
        <v>14.81613257453024</v>
      </c>
      <c r="N256" s="15">
        <v>15.25177629891024</v>
      </c>
      <c r="O256" s="15">
        <v>15.693809159789721</v>
      </c>
      <c r="P256" s="15">
        <v>16.195749521715008</v>
      </c>
    </row>
    <row r="257" spans="1:16" x14ac:dyDescent="0.3">
      <c r="A257" s="15" t="str">
        <f t="shared" si="5"/>
        <v>BVM</v>
      </c>
      <c r="B257" s="15" t="s">
        <v>276</v>
      </c>
      <c r="C257" s="15" t="s">
        <v>228</v>
      </c>
      <c r="D257" s="15" t="s">
        <v>279</v>
      </c>
      <c r="E257" s="15" t="s">
        <v>230</v>
      </c>
      <c r="F257" s="15" t="s">
        <v>6</v>
      </c>
      <c r="H257" s="15">
        <v>21.044624983574199</v>
      </c>
      <c r="I257" s="15">
        <v>21.044624983574199</v>
      </c>
      <c r="J257" s="15">
        <v>33.6706335310217</v>
      </c>
      <c r="K257" s="15">
        <v>36.161836645917397</v>
      </c>
      <c r="L257" s="15">
        <v>38.6684845933571</v>
      </c>
      <c r="M257" s="15">
        <v>41.356857462476</v>
      </c>
      <c r="N257" s="15">
        <v>43.955664297545297</v>
      </c>
      <c r="O257" s="15">
        <v>46.677506959473703</v>
      </c>
      <c r="P257" s="15">
        <v>49.581028035433704</v>
      </c>
    </row>
    <row r="258" spans="1:16" x14ac:dyDescent="0.3">
      <c r="A258" s="15" t="str">
        <f t="shared" si="5"/>
        <v>BVM</v>
      </c>
      <c r="B258" s="15" t="s">
        <v>276</v>
      </c>
      <c r="C258" s="15" t="s">
        <v>228</v>
      </c>
      <c r="D258" s="15" t="s">
        <v>279</v>
      </c>
      <c r="E258" s="15" t="s">
        <v>230</v>
      </c>
      <c r="F258" s="15" t="s">
        <v>7</v>
      </c>
      <c r="H258" s="15">
        <v>8.8945832314078608</v>
      </c>
      <c r="I258" s="15">
        <v>8.8945832314078608</v>
      </c>
      <c r="J258" s="15">
        <v>14.4722383695162</v>
      </c>
      <c r="K258" s="15">
        <v>15.67171526873965</v>
      </c>
      <c r="L258" s="15">
        <v>16.910231999772339</v>
      </c>
      <c r="M258" s="15">
        <v>18.264960238071652</v>
      </c>
      <c r="N258" s="15">
        <v>19.607997860168553</v>
      </c>
      <c r="O258" s="15">
        <v>21.037750359833829</v>
      </c>
      <c r="P258" s="15">
        <v>22.609674187400429</v>
      </c>
    </row>
    <row r="259" spans="1:16" x14ac:dyDescent="0.3">
      <c r="A259" s="15" t="str">
        <f t="shared" si="5"/>
        <v>BVM</v>
      </c>
      <c r="B259" s="15" t="s">
        <v>276</v>
      </c>
      <c r="C259" s="15" t="s">
        <v>228</v>
      </c>
      <c r="D259" s="15" t="s">
        <v>279</v>
      </c>
      <c r="E259" s="15" t="s">
        <v>230</v>
      </c>
      <c r="F259" s="15" t="s">
        <v>8</v>
      </c>
      <c r="H259" s="15">
        <v>23.996356904959502</v>
      </c>
      <c r="I259" s="15">
        <v>23.996356904959502</v>
      </c>
      <c r="J259" s="15">
        <v>38.102193243811797</v>
      </c>
      <c r="K259" s="15">
        <v>40.240177403630199</v>
      </c>
      <c r="L259" s="15">
        <v>42.297846388090804</v>
      </c>
      <c r="M259" s="15">
        <v>44.474788974530199</v>
      </c>
      <c r="N259" s="15">
        <v>46.489588166784998</v>
      </c>
      <c r="O259" s="15">
        <v>48.634685931702499</v>
      </c>
      <c r="P259" s="15">
        <v>50.915226991154299</v>
      </c>
    </row>
    <row r="260" spans="1:16" x14ac:dyDescent="0.3">
      <c r="A260" s="15" t="str">
        <f t="shared" si="5"/>
        <v>CEN</v>
      </c>
      <c r="B260" s="15" t="s">
        <v>276</v>
      </c>
      <c r="C260" s="15" t="s">
        <v>228</v>
      </c>
      <c r="D260" s="15" t="s">
        <v>279</v>
      </c>
      <c r="E260" s="15" t="s">
        <v>231</v>
      </c>
      <c r="F260" s="15" t="s">
        <v>0</v>
      </c>
      <c r="G260" s="15">
        <v>5.9325732728069598</v>
      </c>
      <c r="H260" s="15">
        <v>5.33931594552626</v>
      </c>
      <c r="I260" s="15">
        <v>2.9662866364034799</v>
      </c>
    </row>
    <row r="261" spans="1:16" x14ac:dyDescent="0.3">
      <c r="A261" s="15" t="str">
        <f t="shared" si="5"/>
        <v>CEN</v>
      </c>
      <c r="B261" s="15" t="s">
        <v>276</v>
      </c>
      <c r="C261" s="15" t="s">
        <v>228</v>
      </c>
      <c r="D261" s="15" t="s">
        <v>279</v>
      </c>
      <c r="E261" s="15" t="s">
        <v>231</v>
      </c>
      <c r="F261" s="15" t="s">
        <v>1</v>
      </c>
      <c r="G261" s="15">
        <v>15.4892289633119</v>
      </c>
      <c r="H261" s="15">
        <v>13.9403060669807</v>
      </c>
      <c r="I261" s="15">
        <v>7.7446144816559501</v>
      </c>
    </row>
    <row r="262" spans="1:16" x14ac:dyDescent="0.3">
      <c r="A262" s="15" t="str">
        <f t="shared" si="5"/>
        <v>CEN</v>
      </c>
      <c r="B262" s="15" t="s">
        <v>276</v>
      </c>
      <c r="C262" s="15" t="s">
        <v>228</v>
      </c>
      <c r="D262" s="15" t="s">
        <v>279</v>
      </c>
      <c r="E262" s="15" t="s">
        <v>231</v>
      </c>
      <c r="F262" s="15" t="s">
        <v>2</v>
      </c>
      <c r="G262" s="15">
        <v>17.5715594240136</v>
      </c>
      <c r="H262" s="15">
        <v>15.814403481612199</v>
      </c>
      <c r="I262" s="15">
        <v>8.7857797120068</v>
      </c>
    </row>
    <row r="263" spans="1:16" x14ac:dyDescent="0.3">
      <c r="A263" s="15" t="str">
        <f t="shared" si="5"/>
        <v>CEN</v>
      </c>
      <c r="B263" s="15" t="s">
        <v>276</v>
      </c>
      <c r="C263" s="15" t="s">
        <v>228</v>
      </c>
      <c r="D263" s="15" t="s">
        <v>279</v>
      </c>
      <c r="E263" s="15" t="s">
        <v>231</v>
      </c>
      <c r="F263" s="15" t="s">
        <v>3</v>
      </c>
      <c r="G263" s="15">
        <v>8.51962754053962</v>
      </c>
      <c r="H263" s="15">
        <v>7.66766478648566</v>
      </c>
      <c r="I263" s="15">
        <v>4.25981377026981</v>
      </c>
    </row>
    <row r="264" spans="1:16" x14ac:dyDescent="0.3">
      <c r="A264" s="15" t="str">
        <f t="shared" si="5"/>
        <v>CEN</v>
      </c>
      <c r="B264" s="15" t="s">
        <v>276</v>
      </c>
      <c r="C264" s="15" t="s">
        <v>228</v>
      </c>
      <c r="D264" s="15" t="s">
        <v>279</v>
      </c>
      <c r="E264" s="15" t="s">
        <v>231</v>
      </c>
      <c r="F264" s="15" t="s">
        <v>4</v>
      </c>
      <c r="G264" s="15">
        <v>24.796280803891701</v>
      </c>
      <c r="H264" s="15">
        <v>22.3166527235025</v>
      </c>
      <c r="I264" s="15">
        <v>12.398140401945801</v>
      </c>
    </row>
    <row r="265" spans="1:16" x14ac:dyDescent="0.3">
      <c r="A265" s="15" t="str">
        <f t="shared" si="5"/>
        <v>CEN</v>
      </c>
      <c r="B265" s="15" t="s">
        <v>276</v>
      </c>
      <c r="C265" s="15" t="s">
        <v>228</v>
      </c>
      <c r="D265" s="15" t="s">
        <v>279</v>
      </c>
      <c r="E265" s="15" t="s">
        <v>231</v>
      </c>
      <c r="F265" s="15" t="s">
        <v>5</v>
      </c>
      <c r="G265" s="15">
        <v>6.7627474034972899</v>
      </c>
      <c r="H265" s="15">
        <v>6.0864726631475596</v>
      </c>
      <c r="I265" s="15">
        <v>3.38137370174864</v>
      </c>
    </row>
    <row r="266" spans="1:16" x14ac:dyDescent="0.3">
      <c r="A266" s="15" t="str">
        <f t="shared" si="5"/>
        <v>CEN</v>
      </c>
      <c r="B266" s="15" t="s">
        <v>276</v>
      </c>
      <c r="C266" s="15" t="s">
        <v>228</v>
      </c>
      <c r="D266" s="15" t="s">
        <v>279</v>
      </c>
      <c r="E266" s="15" t="s">
        <v>231</v>
      </c>
      <c r="F266" s="15" t="s">
        <v>6</v>
      </c>
      <c r="G266" s="15">
        <v>15.7126313041289</v>
      </c>
      <c r="H266" s="15">
        <v>14.141368173716</v>
      </c>
      <c r="I266" s="15">
        <v>7.8563156520644499</v>
      </c>
    </row>
    <row r="267" spans="1:16" x14ac:dyDescent="0.3">
      <c r="A267" s="15" t="str">
        <f t="shared" si="5"/>
        <v>CEN</v>
      </c>
      <c r="B267" s="15" t="s">
        <v>276</v>
      </c>
      <c r="C267" s="15" t="s">
        <v>228</v>
      </c>
      <c r="D267" s="15" t="s">
        <v>279</v>
      </c>
      <c r="E267" s="15" t="s">
        <v>231</v>
      </c>
      <c r="F267" s="15" t="s">
        <v>7</v>
      </c>
      <c r="G267" s="15">
        <v>6.8689324667251199</v>
      </c>
      <c r="H267" s="15">
        <v>6.1820392200526104</v>
      </c>
      <c r="I267" s="15">
        <v>3.43446623336256</v>
      </c>
    </row>
    <row r="268" spans="1:16" x14ac:dyDescent="0.3">
      <c r="A268" s="15" t="str">
        <f t="shared" si="5"/>
        <v>CEN</v>
      </c>
      <c r="B268" s="15" t="s">
        <v>276</v>
      </c>
      <c r="C268" s="15" t="s">
        <v>228</v>
      </c>
      <c r="D268" s="15" t="s">
        <v>279</v>
      </c>
      <c r="E268" s="15" t="s">
        <v>231</v>
      </c>
      <c r="F268" s="15" t="s">
        <v>8</v>
      </c>
      <c r="G268" s="15">
        <v>18.449999492534701</v>
      </c>
      <c r="H268" s="15">
        <v>16.604999543281199</v>
      </c>
      <c r="I268" s="15">
        <v>9.2249997462673505</v>
      </c>
    </row>
    <row r="269" spans="1:16" x14ac:dyDescent="0.3">
      <c r="A269" s="15" t="str">
        <f t="shared" si="5"/>
        <v>CEN</v>
      </c>
      <c r="B269" s="15" t="s">
        <v>276</v>
      </c>
      <c r="C269" s="15" t="s">
        <v>228</v>
      </c>
      <c r="D269" s="15" t="s">
        <v>279</v>
      </c>
      <c r="E269" s="15" t="s">
        <v>296</v>
      </c>
      <c r="F269" s="15" t="s">
        <v>0</v>
      </c>
      <c r="H269" s="15">
        <v>0.56011171926068803</v>
      </c>
      <c r="I269" s="15">
        <v>3.03181244983515</v>
      </c>
      <c r="J269" s="15">
        <v>6.1662032062621703</v>
      </c>
      <c r="K269" s="15">
        <v>6.3338198893761506</v>
      </c>
      <c r="L269" s="15">
        <v>6.4842408183550004</v>
      </c>
      <c r="M269" s="15">
        <v>6.63430326285863</v>
      </c>
      <c r="N269" s="15">
        <v>6.7353242364175196</v>
      </c>
      <c r="O269" s="15">
        <v>6.8246754713330304</v>
      </c>
      <c r="P269" s="15">
        <v>6.9337692214730708</v>
      </c>
    </row>
    <row r="270" spans="1:16" x14ac:dyDescent="0.3">
      <c r="A270" s="15" t="str">
        <f t="shared" si="5"/>
        <v>CEN</v>
      </c>
      <c r="B270" s="15" t="s">
        <v>276</v>
      </c>
      <c r="C270" s="15" t="s">
        <v>228</v>
      </c>
      <c r="D270" s="15" t="s">
        <v>279</v>
      </c>
      <c r="E270" s="15" t="s">
        <v>296</v>
      </c>
      <c r="F270" s="15" t="s">
        <v>1</v>
      </c>
      <c r="H270" s="15">
        <v>1.4514338409350001</v>
      </c>
      <c r="I270" s="15">
        <v>7.8718948508632502</v>
      </c>
      <c r="J270" s="15">
        <v>15.937946689176819</v>
      </c>
      <c r="K270" s="15">
        <v>16.23477716124561</v>
      </c>
      <c r="L270" s="15">
        <v>16.490191720417311</v>
      </c>
      <c r="M270" s="15">
        <v>16.760762410039959</v>
      </c>
      <c r="N270" s="15">
        <v>16.92599198175726</v>
      </c>
      <c r="O270" s="15">
        <v>17.06473869516568</v>
      </c>
      <c r="P270" s="15">
        <v>17.25509226218448</v>
      </c>
    </row>
    <row r="271" spans="1:16" x14ac:dyDescent="0.3">
      <c r="A271" s="15" t="str">
        <f t="shared" si="5"/>
        <v>CEN</v>
      </c>
      <c r="B271" s="15" t="s">
        <v>276</v>
      </c>
      <c r="C271" s="15" t="s">
        <v>228</v>
      </c>
      <c r="D271" s="15" t="s">
        <v>279</v>
      </c>
      <c r="E271" s="15" t="s">
        <v>296</v>
      </c>
      <c r="F271" s="15" t="s">
        <v>2</v>
      </c>
      <c r="H271" s="15">
        <v>1.6046054408374499</v>
      </c>
      <c r="I271" s="15">
        <v>8.7623501986174297</v>
      </c>
      <c r="J271" s="15">
        <v>17.92395497579151</v>
      </c>
      <c r="K271" s="15">
        <v>18.352999305166769</v>
      </c>
      <c r="L271" s="15">
        <v>18.75769362515377</v>
      </c>
      <c r="M271" s="15">
        <v>19.184716710695447</v>
      </c>
      <c r="N271" s="15">
        <v>19.48946472177445</v>
      </c>
      <c r="O271" s="15">
        <v>19.769440835170901</v>
      </c>
      <c r="P271" s="15">
        <v>20.038604141571998</v>
      </c>
    </row>
    <row r="272" spans="1:16" x14ac:dyDescent="0.3">
      <c r="A272" s="15" t="str">
        <f t="shared" si="5"/>
        <v>CEN</v>
      </c>
      <c r="B272" s="15" t="s">
        <v>276</v>
      </c>
      <c r="C272" s="15" t="s">
        <v>228</v>
      </c>
      <c r="D272" s="15" t="s">
        <v>279</v>
      </c>
      <c r="E272" s="15" t="s">
        <v>296</v>
      </c>
      <c r="F272" s="15" t="s">
        <v>3</v>
      </c>
      <c r="H272" s="15">
        <v>0.83798088882613497</v>
      </c>
      <c r="I272" s="15">
        <v>4.4883848544006604</v>
      </c>
      <c r="J272" s="15">
        <v>9.0981736053641509</v>
      </c>
      <c r="K272" s="15">
        <v>9.4460362851669704</v>
      </c>
      <c r="L272" s="15">
        <v>9.7751454195379299</v>
      </c>
      <c r="M272" s="15">
        <v>10.131476413939371</v>
      </c>
      <c r="N272" s="15">
        <v>10.44237308305971</v>
      </c>
      <c r="O272" s="15">
        <v>10.75267670914587</v>
      </c>
      <c r="P272" s="15">
        <v>11.0707737609362</v>
      </c>
    </row>
    <row r="273" spans="1:16" x14ac:dyDescent="0.3">
      <c r="A273" s="15" t="str">
        <f t="shared" si="5"/>
        <v>CEN</v>
      </c>
      <c r="B273" s="15" t="s">
        <v>276</v>
      </c>
      <c r="C273" s="15" t="s">
        <v>228</v>
      </c>
      <c r="D273" s="15" t="s">
        <v>279</v>
      </c>
      <c r="E273" s="15" t="s">
        <v>296</v>
      </c>
      <c r="F273" s="15" t="s">
        <v>4</v>
      </c>
      <c r="H273" s="15">
        <v>2.6018770732758201</v>
      </c>
      <c r="I273" s="15">
        <v>13.715166211369199</v>
      </c>
      <c r="J273" s="15">
        <v>27.939648254777001</v>
      </c>
      <c r="K273" s="15">
        <v>29.761228515099404</v>
      </c>
      <c r="L273" s="15">
        <v>31.603814446533804</v>
      </c>
      <c r="M273" s="15">
        <v>33.586993366145002</v>
      </c>
      <c r="N273" s="15">
        <v>35.477839950423899</v>
      </c>
      <c r="O273" s="15">
        <v>37.457559432831502</v>
      </c>
      <c r="P273" s="15">
        <v>39.495531623951301</v>
      </c>
    </row>
    <row r="274" spans="1:16" x14ac:dyDescent="0.3">
      <c r="A274" s="15" t="str">
        <f t="shared" si="5"/>
        <v>CEN</v>
      </c>
      <c r="B274" s="15" t="s">
        <v>276</v>
      </c>
      <c r="C274" s="15" t="s">
        <v>228</v>
      </c>
      <c r="D274" s="15" t="s">
        <v>279</v>
      </c>
      <c r="E274" s="15" t="s">
        <v>296</v>
      </c>
      <c r="F274" s="15" t="s">
        <v>5</v>
      </c>
      <c r="H274" s="15">
        <v>0.65461044979748295</v>
      </c>
      <c r="I274" s="15">
        <v>3.5205470453484402</v>
      </c>
      <c r="J274" s="15">
        <v>7.1624726426488792</v>
      </c>
      <c r="K274" s="15">
        <v>7.4328567050417398</v>
      </c>
      <c r="L274" s="15">
        <v>7.6894568455242096</v>
      </c>
      <c r="M274" s="15">
        <v>7.9614655054931998</v>
      </c>
      <c r="N274" s="15">
        <v>8.1955591508415395</v>
      </c>
      <c r="O274" s="15">
        <v>8.4330860058749799</v>
      </c>
      <c r="P274" s="15">
        <v>8.7028042239849199</v>
      </c>
    </row>
    <row r="275" spans="1:16" x14ac:dyDescent="0.3">
      <c r="A275" s="15" t="str">
        <f t="shared" si="5"/>
        <v>CEN</v>
      </c>
      <c r="B275" s="15" t="s">
        <v>276</v>
      </c>
      <c r="C275" s="15" t="s">
        <v>228</v>
      </c>
      <c r="D275" s="15" t="s">
        <v>279</v>
      </c>
      <c r="E275" s="15" t="s">
        <v>296</v>
      </c>
      <c r="F275" s="15" t="s">
        <v>6</v>
      </c>
      <c r="H275" s="15">
        <v>1.6994707079451401</v>
      </c>
      <c r="I275" s="15">
        <v>8.8938426961219399</v>
      </c>
      <c r="J275" s="15">
        <v>18.09295280376719</v>
      </c>
      <c r="K275" s="15">
        <v>19.431603599894281</v>
      </c>
      <c r="L275" s="15">
        <v>20.778553694162682</v>
      </c>
      <c r="M275" s="15">
        <v>22.22315387951652</v>
      </c>
      <c r="N275" s="15">
        <v>23.61962565572162</v>
      </c>
      <c r="O275" s="15">
        <v>25.082210871891579</v>
      </c>
      <c r="P275" s="15">
        <v>26.642421188210278</v>
      </c>
    </row>
    <row r="276" spans="1:16" x14ac:dyDescent="0.3">
      <c r="A276" s="15" t="str">
        <f t="shared" si="5"/>
        <v>CEN</v>
      </c>
      <c r="B276" s="15" t="s">
        <v>276</v>
      </c>
      <c r="C276" s="15" t="s">
        <v>228</v>
      </c>
      <c r="D276" s="15" t="s">
        <v>279</v>
      </c>
      <c r="E276" s="15" t="s">
        <v>296</v>
      </c>
      <c r="F276" s="15" t="s">
        <v>7</v>
      </c>
      <c r="H276" s="15">
        <v>0.70192940452101504</v>
      </c>
      <c r="I276" s="15">
        <v>3.72398724106848</v>
      </c>
      <c r="J276" s="15">
        <v>7.7766735675846101</v>
      </c>
      <c r="K276" s="15">
        <v>8.4212138286659499</v>
      </c>
      <c r="L276" s="15">
        <v>9.0867321872856088</v>
      </c>
      <c r="M276" s="15">
        <v>9.8146969300605704</v>
      </c>
      <c r="N276" s="15">
        <v>10.536379707068461</v>
      </c>
      <c r="O276" s="15">
        <v>11.30465882108272</v>
      </c>
      <c r="P276" s="15">
        <v>12.14933385807233</v>
      </c>
    </row>
    <row r="277" spans="1:16" x14ac:dyDescent="0.3">
      <c r="A277" s="15" t="str">
        <f t="shared" si="5"/>
        <v>CEN</v>
      </c>
      <c r="B277" s="15" t="s">
        <v>276</v>
      </c>
      <c r="C277" s="15" t="s">
        <v>228</v>
      </c>
      <c r="D277" s="15" t="s">
        <v>279</v>
      </c>
      <c r="E277" s="15" t="s">
        <v>296</v>
      </c>
      <c r="F277" s="15" t="s">
        <v>8</v>
      </c>
      <c r="H277" s="15">
        <v>1.89955250404843</v>
      </c>
      <c r="I277" s="15">
        <v>10.0593164779301</v>
      </c>
      <c r="J277" s="15">
        <v>20.474256400467048</v>
      </c>
      <c r="K277" s="15">
        <v>21.623104593749719</v>
      </c>
      <c r="L277" s="15">
        <v>22.728795337207821</v>
      </c>
      <c r="M277" s="15">
        <v>23.898577884859328</v>
      </c>
      <c r="N277" s="15">
        <v>24.981232497251629</v>
      </c>
      <c r="O277" s="15">
        <v>26.133903194236328</v>
      </c>
      <c r="P277" s="15">
        <v>27.35935449789833</v>
      </c>
    </row>
    <row r="278" spans="1:16" x14ac:dyDescent="0.3">
      <c r="A278" s="15" t="str">
        <f t="shared" si="5"/>
        <v>ICM</v>
      </c>
      <c r="B278" s="15" t="s">
        <v>276</v>
      </c>
      <c r="C278" s="15" t="s">
        <v>228</v>
      </c>
      <c r="D278" s="15" t="s">
        <v>279</v>
      </c>
      <c r="E278" s="15" t="s">
        <v>297</v>
      </c>
      <c r="F278" s="15" t="s">
        <v>0</v>
      </c>
      <c r="I278" s="15">
        <v>1.38144422175725</v>
      </c>
      <c r="J278" s="15">
        <v>0.86893071551788403</v>
      </c>
    </row>
    <row r="279" spans="1:16" x14ac:dyDescent="0.3">
      <c r="A279" s="15" t="str">
        <f t="shared" si="5"/>
        <v>ICM</v>
      </c>
      <c r="B279" s="15" t="s">
        <v>276</v>
      </c>
      <c r="C279" s="15" t="s">
        <v>228</v>
      </c>
      <c r="D279" s="15" t="s">
        <v>279</v>
      </c>
      <c r="E279" s="15" t="s">
        <v>297</v>
      </c>
      <c r="F279" s="15" t="s">
        <v>1</v>
      </c>
      <c r="I279" s="15">
        <v>3.58389803860736</v>
      </c>
      <c r="J279" s="15">
        <v>2.2542778332873299</v>
      </c>
    </row>
    <row r="280" spans="1:16" x14ac:dyDescent="0.3">
      <c r="A280" s="15" t="str">
        <f t="shared" si="5"/>
        <v>ICM</v>
      </c>
      <c r="B280" s="15" t="s">
        <v>276</v>
      </c>
      <c r="C280" s="15" t="s">
        <v>228</v>
      </c>
      <c r="D280" s="15" t="s">
        <v>279</v>
      </c>
      <c r="E280" s="15" t="s">
        <v>297</v>
      </c>
      <c r="F280" s="15" t="s">
        <v>2</v>
      </c>
      <c r="I280" s="15">
        <v>3.9780214613456999</v>
      </c>
      <c r="J280" s="15">
        <v>2.5021821223846898</v>
      </c>
    </row>
    <row r="281" spans="1:16" x14ac:dyDescent="0.3">
      <c r="A281" s="15" t="str">
        <f t="shared" si="5"/>
        <v>ICM</v>
      </c>
      <c r="B281" s="15" t="s">
        <v>276</v>
      </c>
      <c r="C281" s="15" t="s">
        <v>228</v>
      </c>
      <c r="D281" s="15" t="s">
        <v>279</v>
      </c>
      <c r="E281" s="15" t="s">
        <v>297</v>
      </c>
      <c r="F281" s="15" t="s">
        <v>3</v>
      </c>
      <c r="I281" s="15">
        <v>2.05412009580821</v>
      </c>
      <c r="J281" s="15">
        <v>1.2920449602661801</v>
      </c>
    </row>
    <row r="282" spans="1:16" x14ac:dyDescent="0.3">
      <c r="A282" s="15" t="str">
        <f t="shared" si="5"/>
        <v>ICM</v>
      </c>
      <c r="B282" s="15" t="s">
        <v>276</v>
      </c>
      <c r="C282" s="15" t="s">
        <v>228</v>
      </c>
      <c r="D282" s="15" t="s">
        <v>279</v>
      </c>
      <c r="E282" s="15" t="s">
        <v>297</v>
      </c>
      <c r="F282" s="15" t="s">
        <v>4</v>
      </c>
      <c r="I282" s="15">
        <v>6.3190434152017998</v>
      </c>
      <c r="J282" s="15">
        <v>3.9746888290396201</v>
      </c>
    </row>
    <row r="283" spans="1:16" x14ac:dyDescent="0.3">
      <c r="A283" s="15" t="str">
        <f t="shared" si="5"/>
        <v>ICM</v>
      </c>
      <c r="B283" s="15" t="s">
        <v>276</v>
      </c>
      <c r="C283" s="15" t="s">
        <v>228</v>
      </c>
      <c r="D283" s="15" t="s">
        <v>279</v>
      </c>
      <c r="E283" s="15" t="s">
        <v>297</v>
      </c>
      <c r="F283" s="15" t="s">
        <v>5</v>
      </c>
      <c r="I283" s="15">
        <v>1.6084462342123</v>
      </c>
      <c r="J283" s="15">
        <v>1.0117153592986201</v>
      </c>
    </row>
    <row r="284" spans="1:16" x14ac:dyDescent="0.3">
      <c r="A284" s="15" t="str">
        <f t="shared" si="5"/>
        <v>ICM</v>
      </c>
      <c r="B284" s="15" t="s">
        <v>276</v>
      </c>
      <c r="C284" s="15" t="s">
        <v>228</v>
      </c>
      <c r="D284" s="15" t="s">
        <v>279</v>
      </c>
      <c r="E284" s="15" t="s">
        <v>297</v>
      </c>
      <c r="F284" s="15" t="s">
        <v>6</v>
      </c>
      <c r="I284" s="15">
        <v>4.1102319434618098</v>
      </c>
      <c r="J284" s="15">
        <v>2.58534273575928</v>
      </c>
    </row>
    <row r="285" spans="1:16" x14ac:dyDescent="0.3">
      <c r="A285" s="15" t="str">
        <f t="shared" si="5"/>
        <v>ICM</v>
      </c>
      <c r="B285" s="15" t="s">
        <v>276</v>
      </c>
      <c r="C285" s="15" t="s">
        <v>228</v>
      </c>
      <c r="D285" s="15" t="s">
        <v>279</v>
      </c>
      <c r="E285" s="15" t="s">
        <v>297</v>
      </c>
      <c r="F285" s="15" t="s">
        <v>7</v>
      </c>
      <c r="I285" s="15">
        <v>1.7111158101236099</v>
      </c>
      <c r="J285" s="15">
        <v>1.07629469348632</v>
      </c>
    </row>
    <row r="286" spans="1:16" x14ac:dyDescent="0.3">
      <c r="A286" s="15" t="str">
        <f t="shared" si="5"/>
        <v>ICM</v>
      </c>
      <c r="B286" s="15" t="s">
        <v>276</v>
      </c>
      <c r="C286" s="15" t="s">
        <v>228</v>
      </c>
      <c r="D286" s="15" t="s">
        <v>279</v>
      </c>
      <c r="E286" s="15" t="s">
        <v>297</v>
      </c>
      <c r="F286" s="15" t="s">
        <v>8</v>
      </c>
      <c r="I286" s="15">
        <v>4.6256741886925203</v>
      </c>
      <c r="J286" s="15">
        <v>2.90955676619385</v>
      </c>
    </row>
    <row r="287" spans="1:16" x14ac:dyDescent="0.3">
      <c r="A287" s="15" t="str">
        <f t="shared" si="5"/>
        <v>ICM</v>
      </c>
      <c r="B287" s="15" t="s">
        <v>276</v>
      </c>
      <c r="C287" s="15" t="s">
        <v>228</v>
      </c>
      <c r="D287" s="15" t="s">
        <v>279</v>
      </c>
      <c r="E287" s="15" t="s">
        <v>232</v>
      </c>
      <c r="F287" s="15" t="s">
        <v>0</v>
      </c>
      <c r="G287" s="15">
        <v>3.0042958510269702</v>
      </c>
      <c r="H287" s="15">
        <v>3.0824403845556501</v>
      </c>
      <c r="I287" s="15">
        <v>1.7525518037124499</v>
      </c>
    </row>
    <row r="288" spans="1:16" x14ac:dyDescent="0.3">
      <c r="A288" s="15" t="str">
        <f t="shared" si="5"/>
        <v>ICM</v>
      </c>
      <c r="B288" s="15" t="s">
        <v>276</v>
      </c>
      <c r="C288" s="15" t="s">
        <v>228</v>
      </c>
      <c r="D288" s="15" t="s">
        <v>279</v>
      </c>
      <c r="E288" s="15" t="s">
        <v>232</v>
      </c>
      <c r="F288" s="15" t="s">
        <v>1</v>
      </c>
      <c r="G288" s="15">
        <v>7.8438519290407998</v>
      </c>
      <c r="H288" s="15">
        <v>8.0421565237463604</v>
      </c>
      <c r="I288" s="15">
        <v>4.5757001067638603</v>
      </c>
    </row>
    <row r="289" spans="1:16" x14ac:dyDescent="0.3">
      <c r="A289" s="15" t="str">
        <f t="shared" si="5"/>
        <v>ICM</v>
      </c>
      <c r="B289" s="15" t="s">
        <v>276</v>
      </c>
      <c r="C289" s="15" t="s">
        <v>228</v>
      </c>
      <c r="D289" s="15" t="s">
        <v>279</v>
      </c>
      <c r="E289" s="15" t="s">
        <v>232</v>
      </c>
      <c r="F289" s="15" t="s">
        <v>2</v>
      </c>
      <c r="G289" s="15">
        <v>8.8983583760544906</v>
      </c>
      <c r="H289" s="15">
        <v>9.1014009514824892</v>
      </c>
      <c r="I289" s="15">
        <v>5.1908449751055397</v>
      </c>
    </row>
    <row r="290" spans="1:16" x14ac:dyDescent="0.3">
      <c r="A290" s="15" t="str">
        <f t="shared" si="5"/>
        <v>ICM</v>
      </c>
      <c r="B290" s="15" t="s">
        <v>276</v>
      </c>
      <c r="C290" s="15" t="s">
        <v>228</v>
      </c>
      <c r="D290" s="15" t="s">
        <v>279</v>
      </c>
      <c r="E290" s="15" t="s">
        <v>232</v>
      </c>
      <c r="F290" s="15" t="s">
        <v>3</v>
      </c>
      <c r="G290" s="15">
        <v>4.3143979004287898</v>
      </c>
      <c r="H290" s="15">
        <v>4.4441846253655104</v>
      </c>
      <c r="I290" s="15">
        <v>2.5167980110031301</v>
      </c>
    </row>
    <row r="291" spans="1:16" x14ac:dyDescent="0.3">
      <c r="A291" s="15" t="str">
        <f t="shared" si="5"/>
        <v>ICM</v>
      </c>
      <c r="B291" s="15" t="s">
        <v>276</v>
      </c>
      <c r="C291" s="15" t="s">
        <v>228</v>
      </c>
      <c r="D291" s="15" t="s">
        <v>279</v>
      </c>
      <c r="E291" s="15" t="s">
        <v>232</v>
      </c>
      <c r="F291" s="15" t="s">
        <v>4</v>
      </c>
      <c r="G291" s="15">
        <v>12.557006903141399</v>
      </c>
      <c r="H291" s="15">
        <v>13.0198871710577</v>
      </c>
      <c r="I291" s="15">
        <v>7.3251125017558101</v>
      </c>
    </row>
    <row r="292" spans="1:16" x14ac:dyDescent="0.3">
      <c r="A292" s="15" t="str">
        <f t="shared" si="5"/>
        <v>ICM</v>
      </c>
      <c r="B292" s="15" t="s">
        <v>276</v>
      </c>
      <c r="C292" s="15" t="s">
        <v>228</v>
      </c>
      <c r="D292" s="15" t="s">
        <v>279</v>
      </c>
      <c r="E292" s="15" t="s">
        <v>232</v>
      </c>
      <c r="F292" s="15" t="s">
        <v>5</v>
      </c>
      <c r="G292" s="15">
        <v>3.42470173255141</v>
      </c>
      <c r="H292" s="15">
        <v>3.5222038481826701</v>
      </c>
      <c r="I292" s="15">
        <v>1.9977949896340801</v>
      </c>
    </row>
    <row r="293" spans="1:16" x14ac:dyDescent="0.3">
      <c r="A293" s="15" t="str">
        <f t="shared" si="5"/>
        <v>ICM</v>
      </c>
      <c r="B293" s="15" t="s">
        <v>276</v>
      </c>
      <c r="C293" s="15" t="s">
        <v>228</v>
      </c>
      <c r="D293" s="15" t="s">
        <v>279</v>
      </c>
      <c r="E293" s="15" t="s">
        <v>232</v>
      </c>
      <c r="F293" s="15" t="s">
        <v>6</v>
      </c>
      <c r="G293" s="15">
        <v>7.9569844087866697</v>
      </c>
      <c r="H293" s="15">
        <v>8.2768099328555707</v>
      </c>
      <c r="I293" s="15">
        <v>4.6416957813806601</v>
      </c>
    </row>
    <row r="294" spans="1:16" x14ac:dyDescent="0.3">
      <c r="A294" s="15" t="str">
        <f t="shared" si="5"/>
        <v>ICM</v>
      </c>
      <c r="B294" s="15" t="s">
        <v>276</v>
      </c>
      <c r="C294" s="15" t="s">
        <v>228</v>
      </c>
      <c r="D294" s="15" t="s">
        <v>279</v>
      </c>
      <c r="E294" s="15" t="s">
        <v>232</v>
      </c>
      <c r="F294" s="15" t="s">
        <v>7</v>
      </c>
      <c r="G294" s="15">
        <v>5.4111021442998197</v>
      </c>
      <c r="H294" s="15">
        <v>3.5968612719935802</v>
      </c>
      <c r="I294" s="15">
        <v>2.02916330411243</v>
      </c>
    </row>
    <row r="295" spans="1:16" x14ac:dyDescent="0.3">
      <c r="A295" s="15" t="str">
        <f t="shared" si="5"/>
        <v>ICM</v>
      </c>
      <c r="B295" s="15" t="s">
        <v>276</v>
      </c>
      <c r="C295" s="15" t="s">
        <v>228</v>
      </c>
      <c r="D295" s="15" t="s">
        <v>279</v>
      </c>
      <c r="E295" s="15" t="s">
        <v>232</v>
      </c>
      <c r="F295" s="15" t="s">
        <v>8</v>
      </c>
      <c r="G295" s="15">
        <v>9.3432064599924693</v>
      </c>
      <c r="H295" s="15">
        <v>9.6685952892110993</v>
      </c>
      <c r="I295" s="15">
        <v>5.4503464857900399</v>
      </c>
    </row>
    <row r="296" spans="1:16" x14ac:dyDescent="0.3">
      <c r="A296" s="15" t="str">
        <f t="shared" si="5"/>
        <v>ICM</v>
      </c>
      <c r="B296" s="15" t="s">
        <v>276</v>
      </c>
      <c r="C296" s="15" t="s">
        <v>228</v>
      </c>
      <c r="D296" s="15" t="s">
        <v>279</v>
      </c>
      <c r="E296" s="15" t="s">
        <v>298</v>
      </c>
      <c r="F296" s="15" t="s">
        <v>0</v>
      </c>
      <c r="J296" s="15">
        <v>2.3528994114636701</v>
      </c>
      <c r="K296" s="15">
        <v>3.3094095435815301</v>
      </c>
      <c r="L296" s="15">
        <v>3.3880042094563803</v>
      </c>
      <c r="M296" s="15">
        <v>3.4664115678352498</v>
      </c>
      <c r="N296" s="15">
        <v>3.5191948455155</v>
      </c>
      <c r="O296" s="15">
        <v>3.5658807056638304</v>
      </c>
      <c r="P296" s="15">
        <v>3.6228819946433499</v>
      </c>
    </row>
    <row r="297" spans="1:16" x14ac:dyDescent="0.3">
      <c r="A297" s="15" t="str">
        <f t="shared" si="5"/>
        <v>ICM</v>
      </c>
      <c r="B297" s="15" t="s">
        <v>276</v>
      </c>
      <c r="C297" s="15" t="s">
        <v>228</v>
      </c>
      <c r="D297" s="15" t="s">
        <v>279</v>
      </c>
      <c r="E297" s="15" t="s">
        <v>298</v>
      </c>
      <c r="F297" s="15" t="s">
        <v>1</v>
      </c>
      <c r="J297" s="15">
        <v>6.0732707550023504</v>
      </c>
      <c r="K297" s="15">
        <v>8.4826419780998208</v>
      </c>
      <c r="L297" s="15">
        <v>8.6160956276281411</v>
      </c>
      <c r="M297" s="15">
        <v>8.757468328161119</v>
      </c>
      <c r="N297" s="15">
        <v>8.8438004833334602</v>
      </c>
      <c r="O297" s="15">
        <v>8.9162953924900314</v>
      </c>
      <c r="P297" s="15">
        <v>9.0157547901915009</v>
      </c>
    </row>
    <row r="298" spans="1:16" x14ac:dyDescent="0.3">
      <c r="A298" s="15" t="str">
        <f t="shared" si="5"/>
        <v>ICM</v>
      </c>
      <c r="B298" s="15" t="s">
        <v>276</v>
      </c>
      <c r="C298" s="15" t="s">
        <v>228</v>
      </c>
      <c r="D298" s="15" t="s">
        <v>279</v>
      </c>
      <c r="E298" s="15" t="s">
        <v>298</v>
      </c>
      <c r="F298" s="15" t="s">
        <v>2</v>
      </c>
      <c r="J298" s="15">
        <v>6.8630522372321598</v>
      </c>
      <c r="K298" s="15">
        <v>9.5894092529755302</v>
      </c>
      <c r="L298" s="15">
        <v>9.8008613100579396</v>
      </c>
      <c r="M298" s="15">
        <v>10.02398010713514</v>
      </c>
      <c r="N298" s="15">
        <v>10.183210396891869</v>
      </c>
      <c r="O298" s="15">
        <v>10.329497414494501</v>
      </c>
      <c r="P298" s="15">
        <v>10.47013475981591</v>
      </c>
    </row>
    <row r="299" spans="1:16" x14ac:dyDescent="0.3">
      <c r="A299" s="15" t="str">
        <f t="shared" si="5"/>
        <v>ICM</v>
      </c>
      <c r="B299" s="15" t="s">
        <v>276</v>
      </c>
      <c r="C299" s="15" t="s">
        <v>228</v>
      </c>
      <c r="D299" s="15" t="s">
        <v>279</v>
      </c>
      <c r="E299" s="15" t="s">
        <v>298</v>
      </c>
      <c r="F299" s="15" t="s">
        <v>3</v>
      </c>
      <c r="J299" s="15">
        <v>3.4617344468901701</v>
      </c>
      <c r="K299" s="15">
        <v>4.9355370340705997</v>
      </c>
      <c r="L299" s="15">
        <v>5.1074959670983597</v>
      </c>
      <c r="M299" s="15">
        <v>5.2936782732173002</v>
      </c>
      <c r="N299" s="15">
        <v>5.4561212257837699</v>
      </c>
      <c r="O299" s="15">
        <v>5.6182543144274897</v>
      </c>
      <c r="P299" s="15">
        <v>5.7844594540377496</v>
      </c>
    </row>
    <row r="300" spans="1:16" x14ac:dyDescent="0.3">
      <c r="A300" s="15" t="str">
        <f t="shared" si="5"/>
        <v>ICM</v>
      </c>
      <c r="B300" s="15" t="s">
        <v>276</v>
      </c>
      <c r="C300" s="15" t="s">
        <v>228</v>
      </c>
      <c r="D300" s="15" t="s">
        <v>279</v>
      </c>
      <c r="E300" s="15" t="s">
        <v>298</v>
      </c>
      <c r="F300" s="15" t="s">
        <v>4</v>
      </c>
      <c r="J300" s="15">
        <v>10.6237273232354</v>
      </c>
      <c r="K300" s="15">
        <v>15.550188574478341</v>
      </c>
      <c r="L300" s="15">
        <v>16.51293642220077</v>
      </c>
      <c r="M300" s="15">
        <v>17.54914385433803</v>
      </c>
      <c r="N300" s="15">
        <v>18.537107806700732</v>
      </c>
      <c r="O300" s="15">
        <v>19.571507689097672</v>
      </c>
      <c r="P300" s="15">
        <v>20.636344507422351</v>
      </c>
    </row>
    <row r="301" spans="1:16" x14ac:dyDescent="0.3">
      <c r="A301" s="15" t="str">
        <f t="shared" si="5"/>
        <v>ICM</v>
      </c>
      <c r="B301" s="15" t="s">
        <v>276</v>
      </c>
      <c r="C301" s="15" t="s">
        <v>228</v>
      </c>
      <c r="D301" s="15" t="s">
        <v>279</v>
      </c>
      <c r="E301" s="15" t="s">
        <v>298</v>
      </c>
      <c r="F301" s="15" t="s">
        <v>5</v>
      </c>
      <c r="J301" s="15">
        <v>2.7306637631298898</v>
      </c>
      <c r="K301" s="15">
        <v>3.8836543105683199</v>
      </c>
      <c r="L301" s="15">
        <v>4.0177274242072905</v>
      </c>
      <c r="M301" s="15">
        <v>4.1598514616697502</v>
      </c>
      <c r="N301" s="15">
        <v>4.2821649719271297</v>
      </c>
      <c r="O301" s="15">
        <v>4.4062723280935199</v>
      </c>
      <c r="P301" s="15">
        <v>4.5471996137885302</v>
      </c>
    </row>
    <row r="302" spans="1:16" x14ac:dyDescent="0.3">
      <c r="A302" s="15" t="str">
        <f t="shared" si="5"/>
        <v>ICM</v>
      </c>
      <c r="B302" s="15" t="s">
        <v>276</v>
      </c>
      <c r="C302" s="15" t="s">
        <v>228</v>
      </c>
      <c r="D302" s="15" t="s">
        <v>279</v>
      </c>
      <c r="E302" s="15" t="s">
        <v>298</v>
      </c>
      <c r="F302" s="15" t="s">
        <v>6</v>
      </c>
      <c r="J302" s="15">
        <v>6.8681926861730798</v>
      </c>
      <c r="K302" s="15">
        <v>10.152978064382101</v>
      </c>
      <c r="L302" s="15">
        <v>10.856757075240431</v>
      </c>
      <c r="M302" s="15">
        <v>11.611558083726411</v>
      </c>
      <c r="N302" s="15">
        <v>12.3412120846662</v>
      </c>
      <c r="O302" s="15">
        <v>13.105410239528929</v>
      </c>
      <c r="P302" s="15">
        <v>13.920617334299699</v>
      </c>
    </row>
    <row r="303" spans="1:16" x14ac:dyDescent="0.3">
      <c r="A303" s="15" t="str">
        <f t="shared" si="5"/>
        <v>ICM</v>
      </c>
      <c r="B303" s="15" t="s">
        <v>276</v>
      </c>
      <c r="C303" s="15" t="s">
        <v>228</v>
      </c>
      <c r="D303" s="15" t="s">
        <v>279</v>
      </c>
      <c r="E303" s="15" t="s">
        <v>298</v>
      </c>
      <c r="F303" s="15" t="s">
        <v>7</v>
      </c>
      <c r="J303" s="15">
        <v>2.9870033117270198</v>
      </c>
      <c r="K303" s="15">
        <v>4.4000691367737597</v>
      </c>
      <c r="L303" s="15">
        <v>4.7478012867104695</v>
      </c>
      <c r="M303" s="15">
        <v>5.1281615604800503</v>
      </c>
      <c r="N303" s="15">
        <v>5.50523951839204</v>
      </c>
      <c r="O303" s="15">
        <v>5.9066639789009105</v>
      </c>
      <c r="P303" s="15">
        <v>6.3480051722820603</v>
      </c>
    </row>
    <row r="304" spans="1:16" x14ac:dyDescent="0.3">
      <c r="A304" s="15" t="str">
        <f t="shared" si="5"/>
        <v>ICM</v>
      </c>
      <c r="B304" s="15" t="s">
        <v>276</v>
      </c>
      <c r="C304" s="15" t="s">
        <v>228</v>
      </c>
      <c r="D304" s="15" t="s">
        <v>279</v>
      </c>
      <c r="E304" s="15" t="s">
        <v>298</v>
      </c>
      <c r="F304" s="15" t="s">
        <v>8</v>
      </c>
      <c r="J304" s="15">
        <v>7.7882055183150998</v>
      </c>
      <c r="K304" s="15">
        <v>11.29803340705117</v>
      </c>
      <c r="L304" s="15">
        <v>11.87575483938736</v>
      </c>
      <c r="M304" s="15">
        <v>12.486964124578179</v>
      </c>
      <c r="N304" s="15">
        <v>13.052649219707529</v>
      </c>
      <c r="O304" s="15">
        <v>13.65491759358509</v>
      </c>
      <c r="P304" s="15">
        <v>14.295213704046908</v>
      </c>
    </row>
    <row r="305" spans="1:16" x14ac:dyDescent="0.3">
      <c r="A305" s="15" t="str">
        <f t="shared" si="5"/>
        <v>RIF</v>
      </c>
      <c r="B305" s="15" t="s">
        <v>276</v>
      </c>
      <c r="C305" s="15" t="s">
        <v>228</v>
      </c>
      <c r="D305" s="15" t="s">
        <v>279</v>
      </c>
      <c r="E305" s="15" t="s">
        <v>233</v>
      </c>
      <c r="F305" s="15" t="s">
        <v>0</v>
      </c>
      <c r="G305" s="15">
        <v>26.714721219120701</v>
      </c>
      <c r="H305" s="15">
        <v>9.5736973287129299</v>
      </c>
      <c r="I305" s="15">
        <v>10.0180204571703</v>
      </c>
    </row>
    <row r="306" spans="1:16" x14ac:dyDescent="0.3">
      <c r="A306" s="15" t="str">
        <f t="shared" si="5"/>
        <v>RIF</v>
      </c>
      <c r="B306" s="15" t="s">
        <v>276</v>
      </c>
      <c r="C306" s="15" t="s">
        <v>228</v>
      </c>
      <c r="D306" s="15" t="s">
        <v>279</v>
      </c>
      <c r="E306" s="15" t="s">
        <v>233</v>
      </c>
      <c r="F306" s="15" t="s">
        <v>1</v>
      </c>
      <c r="G306" s="15">
        <v>69.748895567913607</v>
      </c>
      <c r="H306" s="15">
        <v>25.1436860943837</v>
      </c>
      <c r="I306" s="15">
        <v>26.155835837967601</v>
      </c>
    </row>
    <row r="307" spans="1:16" x14ac:dyDescent="0.3">
      <c r="A307" s="15" t="str">
        <f t="shared" ref="A307:A370" si="6">MID(E307,4,3)</f>
        <v>RIF</v>
      </c>
      <c r="B307" s="15" t="s">
        <v>276</v>
      </c>
      <c r="C307" s="15" t="s">
        <v>228</v>
      </c>
      <c r="D307" s="15" t="s">
        <v>279</v>
      </c>
      <c r="E307" s="15" t="s">
        <v>233</v>
      </c>
      <c r="F307" s="15" t="s">
        <v>2</v>
      </c>
      <c r="G307" s="15">
        <v>79.125750296149803</v>
      </c>
      <c r="H307" s="15">
        <v>29.090717069200998</v>
      </c>
      <c r="I307" s="15">
        <v>29.672156361056199</v>
      </c>
    </row>
    <row r="308" spans="1:16" x14ac:dyDescent="0.3">
      <c r="A308" s="15" t="str">
        <f t="shared" si="6"/>
        <v>RIF</v>
      </c>
      <c r="B308" s="15" t="s">
        <v>276</v>
      </c>
      <c r="C308" s="15" t="s">
        <v>228</v>
      </c>
      <c r="D308" s="15" t="s">
        <v>279</v>
      </c>
      <c r="E308" s="15" t="s">
        <v>233</v>
      </c>
      <c r="F308" s="15" t="s">
        <v>3</v>
      </c>
      <c r="G308" s="15">
        <v>38.364376497379801</v>
      </c>
      <c r="H308" s="15">
        <v>13.294411200468501</v>
      </c>
      <c r="I308" s="15">
        <v>14.3866411865174</v>
      </c>
    </row>
    <row r="309" spans="1:16" x14ac:dyDescent="0.3">
      <c r="A309" s="15" t="str">
        <f t="shared" si="6"/>
        <v>RIF</v>
      </c>
      <c r="B309" s="15" t="s">
        <v>276</v>
      </c>
      <c r="C309" s="15" t="s">
        <v>228</v>
      </c>
      <c r="D309" s="15" t="s">
        <v>279</v>
      </c>
      <c r="E309" s="15" t="s">
        <v>233</v>
      </c>
      <c r="F309" s="15" t="s">
        <v>4</v>
      </c>
      <c r="G309" s="15">
        <v>111.659089316832</v>
      </c>
      <c r="H309" s="15">
        <v>36.492009255849901</v>
      </c>
      <c r="I309" s="15">
        <v>41.872158493812002</v>
      </c>
    </row>
    <row r="310" spans="1:16" x14ac:dyDescent="0.3">
      <c r="A310" s="15" t="str">
        <f t="shared" si="6"/>
        <v>RIF</v>
      </c>
      <c r="B310" s="15" t="s">
        <v>276</v>
      </c>
      <c r="C310" s="15" t="s">
        <v>228</v>
      </c>
      <c r="D310" s="15" t="s">
        <v>279</v>
      </c>
      <c r="E310" s="15" t="s">
        <v>233</v>
      </c>
      <c r="F310" s="15" t="s">
        <v>5</v>
      </c>
      <c r="G310" s="15">
        <v>30.453043435278499</v>
      </c>
      <c r="H310" s="15">
        <v>10.6956301016699</v>
      </c>
      <c r="I310" s="15">
        <v>11.419891288229399</v>
      </c>
    </row>
    <row r="311" spans="1:16" x14ac:dyDescent="0.3">
      <c r="A311" s="15" t="str">
        <f t="shared" si="6"/>
        <v>RIF</v>
      </c>
      <c r="B311" s="15" t="s">
        <v>276</v>
      </c>
      <c r="C311" s="15" t="s">
        <v>228</v>
      </c>
      <c r="D311" s="15" t="s">
        <v>279</v>
      </c>
      <c r="E311" s="15" t="s">
        <v>233</v>
      </c>
      <c r="F311" s="15" t="s">
        <v>6</v>
      </c>
      <c r="G311" s="15">
        <v>70.754889253989205</v>
      </c>
      <c r="H311" s="15">
        <v>22.4383652206308</v>
      </c>
      <c r="I311" s="15">
        <v>26.533083470245899</v>
      </c>
    </row>
    <row r="312" spans="1:16" x14ac:dyDescent="0.3">
      <c r="A312" s="15" t="str">
        <f t="shared" si="6"/>
        <v>RIF</v>
      </c>
      <c r="B312" s="15" t="s">
        <v>276</v>
      </c>
      <c r="C312" s="15" t="s">
        <v>228</v>
      </c>
      <c r="D312" s="15" t="s">
        <v>279</v>
      </c>
      <c r="E312" s="15" t="s">
        <v>233</v>
      </c>
      <c r="F312" s="15" t="s">
        <v>7</v>
      </c>
      <c r="G312" s="15">
        <v>28.9985733616057</v>
      </c>
      <c r="H312" s="15">
        <v>10.3631791636804</v>
      </c>
      <c r="I312" s="15">
        <v>11.599200348016099</v>
      </c>
    </row>
    <row r="313" spans="1:16" x14ac:dyDescent="0.3">
      <c r="A313" s="15" t="str">
        <f t="shared" si="6"/>
        <v>RIF</v>
      </c>
      <c r="B313" s="15" t="s">
        <v>276</v>
      </c>
      <c r="C313" s="15" t="s">
        <v>228</v>
      </c>
      <c r="D313" s="15" t="s">
        <v>279</v>
      </c>
      <c r="E313" s="15" t="s">
        <v>233</v>
      </c>
      <c r="F313" s="15" t="s">
        <v>8</v>
      </c>
      <c r="G313" s="15">
        <v>83.0814168272004</v>
      </c>
      <c r="H313" s="15">
        <v>27.644208037184299</v>
      </c>
      <c r="I313" s="15">
        <v>31.1555313102001</v>
      </c>
    </row>
    <row r="314" spans="1:16" x14ac:dyDescent="0.3">
      <c r="A314" s="15" t="str">
        <f t="shared" si="6"/>
        <v>RIF</v>
      </c>
      <c r="B314" s="15" t="s">
        <v>276</v>
      </c>
      <c r="C314" s="15" t="s">
        <v>228</v>
      </c>
      <c r="D314" s="15" t="s">
        <v>279</v>
      </c>
      <c r="E314" s="15" t="s">
        <v>299</v>
      </c>
      <c r="F314" s="15" t="s">
        <v>0</v>
      </c>
      <c r="H314" s="15">
        <v>16.9917672968228</v>
      </c>
      <c r="I314" s="15">
        <v>16.9917672968228</v>
      </c>
      <c r="J314" s="15">
        <v>27.766770347499197</v>
      </c>
      <c r="K314" s="15">
        <v>28.521557984356299</v>
      </c>
      <c r="L314" s="15">
        <v>29.198912143909702</v>
      </c>
      <c r="M314" s="15">
        <v>29.8746520270983</v>
      </c>
      <c r="N314" s="15">
        <v>30.329555324842602</v>
      </c>
      <c r="O314" s="15">
        <v>30.7319091132557</v>
      </c>
      <c r="P314" s="15">
        <v>31.223164591733902</v>
      </c>
    </row>
    <row r="315" spans="1:16" x14ac:dyDescent="0.3">
      <c r="A315" s="15" t="str">
        <f t="shared" si="6"/>
        <v>RIF</v>
      </c>
      <c r="B315" s="15" t="s">
        <v>276</v>
      </c>
      <c r="C315" s="15" t="s">
        <v>228</v>
      </c>
      <c r="D315" s="15" t="s">
        <v>279</v>
      </c>
      <c r="E315" s="15" t="s">
        <v>299</v>
      </c>
      <c r="F315" s="15" t="s">
        <v>1</v>
      </c>
      <c r="H315" s="15">
        <v>44.166210607934403</v>
      </c>
      <c r="I315" s="15">
        <v>44.166210607934403</v>
      </c>
      <c r="J315" s="15">
        <v>71.769497489090995</v>
      </c>
      <c r="K315" s="15">
        <v>73.106142305094394</v>
      </c>
      <c r="L315" s="15">
        <v>74.256288865416096</v>
      </c>
      <c r="M315" s="15">
        <v>75.4746843594029</v>
      </c>
      <c r="N315" s="15">
        <v>76.218722695316302</v>
      </c>
      <c r="O315" s="15">
        <v>76.843507185676501</v>
      </c>
      <c r="P315" s="15">
        <v>77.700680328279304</v>
      </c>
    </row>
    <row r="316" spans="1:16" x14ac:dyDescent="0.3">
      <c r="A316" s="15" t="str">
        <f t="shared" si="6"/>
        <v>RIF</v>
      </c>
      <c r="B316" s="15" t="s">
        <v>276</v>
      </c>
      <c r="C316" s="15" t="s">
        <v>228</v>
      </c>
      <c r="D316" s="15" t="s">
        <v>279</v>
      </c>
      <c r="E316" s="15" t="s">
        <v>299</v>
      </c>
      <c r="F316" s="15" t="s">
        <v>2</v>
      </c>
      <c r="H316" s="15">
        <v>49.348089478643999</v>
      </c>
      <c r="I316" s="15">
        <v>49.348089478643999</v>
      </c>
      <c r="J316" s="15">
        <v>80.712607885883898</v>
      </c>
      <c r="K316" s="15">
        <v>82.6446193626644</v>
      </c>
      <c r="L316" s="15">
        <v>84.46698133617241</v>
      </c>
      <c r="M316" s="15">
        <v>86.389891034846499</v>
      </c>
      <c r="N316" s="15">
        <v>87.762188987806098</v>
      </c>
      <c r="O316" s="15">
        <v>89.022937650057401</v>
      </c>
      <c r="P316" s="15">
        <v>90.234995615844696</v>
      </c>
    </row>
    <row r="317" spans="1:16" x14ac:dyDescent="0.3">
      <c r="A317" s="15" t="str">
        <f t="shared" si="6"/>
        <v>RIF</v>
      </c>
      <c r="B317" s="15" t="s">
        <v>276</v>
      </c>
      <c r="C317" s="15" t="s">
        <v>228</v>
      </c>
      <c r="D317" s="15" t="s">
        <v>279</v>
      </c>
      <c r="E317" s="15" t="s">
        <v>299</v>
      </c>
      <c r="F317" s="15" t="s">
        <v>3</v>
      </c>
      <c r="H317" s="15">
        <v>25.007004147590798</v>
      </c>
      <c r="I317" s="15">
        <v>25.007004147590798</v>
      </c>
      <c r="J317" s="15">
        <v>40.969602951986097</v>
      </c>
      <c r="K317" s="15">
        <v>42.536048756551999</v>
      </c>
      <c r="L317" s="15">
        <v>44.0180462593366</v>
      </c>
      <c r="M317" s="15">
        <v>45.6226253752491</v>
      </c>
      <c r="N317" s="15">
        <v>47.0226110916621</v>
      </c>
      <c r="O317" s="15">
        <v>48.4199263009275</v>
      </c>
      <c r="P317" s="15">
        <v>49.8523357577401</v>
      </c>
    </row>
    <row r="318" spans="1:16" x14ac:dyDescent="0.3">
      <c r="A318" s="15" t="str">
        <f t="shared" si="6"/>
        <v>RIF</v>
      </c>
      <c r="B318" s="15" t="s">
        <v>276</v>
      </c>
      <c r="C318" s="15" t="s">
        <v>228</v>
      </c>
      <c r="D318" s="15" t="s">
        <v>279</v>
      </c>
      <c r="E318" s="15" t="s">
        <v>299</v>
      </c>
      <c r="F318" s="15" t="s">
        <v>4</v>
      </c>
      <c r="H318" s="15">
        <v>75.717574359848001</v>
      </c>
      <c r="I318" s="15">
        <v>75.717574359848001</v>
      </c>
      <c r="J318" s="15">
        <v>125.81385509521159</v>
      </c>
      <c r="K318" s="15">
        <v>134.016536561587</v>
      </c>
      <c r="L318" s="15">
        <v>142.313807782184</v>
      </c>
      <c r="M318" s="15">
        <v>151.24417737540819</v>
      </c>
      <c r="N318" s="15">
        <v>159.75876911229858</v>
      </c>
      <c r="O318" s="15">
        <v>168.67356065933271</v>
      </c>
      <c r="P318" s="15">
        <v>177.85066752923601</v>
      </c>
    </row>
    <row r="319" spans="1:16" x14ac:dyDescent="0.3">
      <c r="A319" s="15" t="str">
        <f t="shared" si="6"/>
        <v>RIF</v>
      </c>
      <c r="B319" s="15" t="s">
        <v>276</v>
      </c>
      <c r="C319" s="15" t="s">
        <v>228</v>
      </c>
      <c r="D319" s="15" t="s">
        <v>279</v>
      </c>
      <c r="E319" s="15" t="s">
        <v>299</v>
      </c>
      <c r="F319" s="15" t="s">
        <v>5</v>
      </c>
      <c r="H319" s="15">
        <v>19.659857777882699</v>
      </c>
      <c r="I319" s="15">
        <v>19.659857777882699</v>
      </c>
      <c r="J319" s="15">
        <v>32.253029349844198</v>
      </c>
      <c r="K319" s="15">
        <v>33.470584450600796</v>
      </c>
      <c r="L319" s="15">
        <v>34.626069752265302</v>
      </c>
      <c r="M319" s="15">
        <v>35.850940510047003</v>
      </c>
      <c r="N319" s="15">
        <v>36.9050777599507</v>
      </c>
      <c r="O319" s="15">
        <v>37.974674952008698</v>
      </c>
      <c r="P319" s="15">
        <v>39.189231717376003</v>
      </c>
    </row>
    <row r="320" spans="1:16" x14ac:dyDescent="0.3">
      <c r="A320" s="15" t="str">
        <f t="shared" si="6"/>
        <v>RIF</v>
      </c>
      <c r="B320" s="15" t="s">
        <v>276</v>
      </c>
      <c r="C320" s="15" t="s">
        <v>228</v>
      </c>
      <c r="D320" s="15" t="s">
        <v>279</v>
      </c>
      <c r="E320" s="15" t="s">
        <v>299</v>
      </c>
      <c r="F320" s="15" t="s">
        <v>6</v>
      </c>
      <c r="H320" s="15">
        <v>48.893850184162503</v>
      </c>
      <c r="I320" s="15">
        <v>48.893850184162503</v>
      </c>
      <c r="J320" s="15">
        <v>81.473614898085401</v>
      </c>
      <c r="K320" s="15">
        <v>87.501637003132004</v>
      </c>
      <c r="L320" s="15">
        <v>93.567031328624097</v>
      </c>
      <c r="M320" s="15">
        <v>100.07214967275181</v>
      </c>
      <c r="N320" s="15">
        <v>106.36054300161121</v>
      </c>
      <c r="O320" s="15">
        <v>112.94664898167279</v>
      </c>
      <c r="P320" s="15">
        <v>119.97236644473429</v>
      </c>
    </row>
    <row r="321" spans="1:16" x14ac:dyDescent="0.3">
      <c r="A321" s="15" t="str">
        <f t="shared" si="6"/>
        <v>RIF</v>
      </c>
      <c r="B321" s="15" t="s">
        <v>276</v>
      </c>
      <c r="C321" s="15" t="s">
        <v>228</v>
      </c>
      <c r="D321" s="15" t="s">
        <v>279</v>
      </c>
      <c r="E321" s="15" t="s">
        <v>299</v>
      </c>
      <c r="F321" s="15" t="s">
        <v>7</v>
      </c>
      <c r="H321" s="15">
        <v>20.635730454446499</v>
      </c>
      <c r="I321" s="15">
        <v>20.635730454446499</v>
      </c>
      <c r="J321" s="15">
        <v>35.0188117056043</v>
      </c>
      <c r="K321" s="15">
        <v>37.9212138500856</v>
      </c>
      <c r="L321" s="15">
        <v>40.918081583388698</v>
      </c>
      <c r="M321" s="15">
        <v>44.196149003090497</v>
      </c>
      <c r="N321" s="15">
        <v>47.445928366925401</v>
      </c>
      <c r="O321" s="15">
        <v>50.905533736393195</v>
      </c>
      <c r="P321" s="15">
        <v>54.7091543738929</v>
      </c>
    </row>
    <row r="322" spans="1:16" x14ac:dyDescent="0.3">
      <c r="A322" s="15" t="str">
        <f t="shared" si="6"/>
        <v>RIF</v>
      </c>
      <c r="B322" s="15" t="s">
        <v>276</v>
      </c>
      <c r="C322" s="15" t="s">
        <v>228</v>
      </c>
      <c r="D322" s="15" t="s">
        <v>279</v>
      </c>
      <c r="E322" s="15" t="s">
        <v>299</v>
      </c>
      <c r="F322" s="15" t="s">
        <v>8</v>
      </c>
      <c r="H322" s="15">
        <v>55.682862105385702</v>
      </c>
      <c r="I322" s="15">
        <v>55.682862105385702</v>
      </c>
      <c r="J322" s="15">
        <v>92.1967629821592</v>
      </c>
      <c r="K322" s="15">
        <v>97.370092968206791</v>
      </c>
      <c r="L322" s="15">
        <v>102.34908245687251</v>
      </c>
      <c r="M322" s="15">
        <v>107.616681053715</v>
      </c>
      <c r="N322" s="15">
        <v>112.49193750932929</v>
      </c>
      <c r="O322" s="15">
        <v>117.6824804510477</v>
      </c>
      <c r="P322" s="15">
        <v>123.200758682013</v>
      </c>
    </row>
    <row r="323" spans="1:16" x14ac:dyDescent="0.3">
      <c r="A323" s="15" t="str">
        <f t="shared" si="6"/>
        <v>RIR</v>
      </c>
      <c r="B323" s="15" t="s">
        <v>276</v>
      </c>
      <c r="C323" s="15" t="s">
        <v>228</v>
      </c>
      <c r="D323" s="15" t="s">
        <v>279</v>
      </c>
      <c r="E323" s="15" t="s">
        <v>234</v>
      </c>
      <c r="F323" s="15" t="s">
        <v>0</v>
      </c>
      <c r="G323" s="15">
        <v>7.7118938431052397</v>
      </c>
      <c r="H323" s="15">
        <v>2.7636948512197299</v>
      </c>
      <c r="I323" s="15">
        <v>2.8919601911644599</v>
      </c>
    </row>
    <row r="324" spans="1:16" x14ac:dyDescent="0.3">
      <c r="A324" s="15" t="str">
        <f t="shared" si="6"/>
        <v>RIR</v>
      </c>
      <c r="B324" s="15" t="s">
        <v>276</v>
      </c>
      <c r="C324" s="15" t="s">
        <v>228</v>
      </c>
      <c r="D324" s="15" t="s">
        <v>279</v>
      </c>
      <c r="E324" s="15" t="s">
        <v>234</v>
      </c>
      <c r="F324" s="15" t="s">
        <v>1</v>
      </c>
      <c r="G324" s="15">
        <v>20.134819071538399</v>
      </c>
      <c r="H324" s="15">
        <v>7.2583740026252999</v>
      </c>
      <c r="I324" s="15">
        <v>7.5505571518268999</v>
      </c>
    </row>
    <row r="325" spans="1:16" x14ac:dyDescent="0.3">
      <c r="A325" s="15" t="str">
        <f t="shared" si="6"/>
        <v>RIR</v>
      </c>
      <c r="B325" s="15" t="s">
        <v>276</v>
      </c>
      <c r="C325" s="15" t="s">
        <v>228</v>
      </c>
      <c r="D325" s="15" t="s">
        <v>279</v>
      </c>
      <c r="E325" s="15" t="s">
        <v>234</v>
      </c>
      <c r="F325" s="15" t="s">
        <v>2</v>
      </c>
      <c r="G325" s="15">
        <v>22.841690225208499</v>
      </c>
      <c r="H325" s="15">
        <v>8.3977863746867598</v>
      </c>
      <c r="I325" s="15">
        <v>8.5656338344531893</v>
      </c>
    </row>
    <row r="326" spans="1:16" x14ac:dyDescent="0.3">
      <c r="A326" s="15" t="str">
        <f t="shared" si="6"/>
        <v>RIR</v>
      </c>
      <c r="B326" s="15" t="s">
        <v>276</v>
      </c>
      <c r="C326" s="15" t="s">
        <v>228</v>
      </c>
      <c r="D326" s="15" t="s">
        <v>279</v>
      </c>
      <c r="E326" s="15" t="s">
        <v>234</v>
      </c>
      <c r="F326" s="15" t="s">
        <v>3</v>
      </c>
      <c r="G326" s="15">
        <v>11.074867541307301</v>
      </c>
      <c r="H326" s="15">
        <v>3.83777494976143</v>
      </c>
      <c r="I326" s="15">
        <v>4.1530753279902397</v>
      </c>
    </row>
    <row r="327" spans="1:16" x14ac:dyDescent="0.3">
      <c r="A327" s="15" t="str">
        <f t="shared" si="6"/>
        <v>RIR</v>
      </c>
      <c r="B327" s="15" t="s">
        <v>276</v>
      </c>
      <c r="C327" s="15" t="s">
        <v>228</v>
      </c>
      <c r="D327" s="15" t="s">
        <v>279</v>
      </c>
      <c r="E327" s="15" t="s">
        <v>234</v>
      </c>
      <c r="F327" s="15" t="s">
        <v>4</v>
      </c>
      <c r="G327" s="15">
        <v>32.233278287511702</v>
      </c>
      <c r="H327" s="15">
        <v>10.534360407298699</v>
      </c>
      <c r="I327" s="15">
        <v>12.0874793578169</v>
      </c>
    </row>
    <row r="328" spans="1:16" x14ac:dyDescent="0.3">
      <c r="A328" s="15" t="str">
        <f t="shared" si="6"/>
        <v>RIR</v>
      </c>
      <c r="B328" s="15" t="s">
        <v>276</v>
      </c>
      <c r="C328" s="15" t="s">
        <v>228</v>
      </c>
      <c r="D328" s="15" t="s">
        <v>279</v>
      </c>
      <c r="E328" s="15" t="s">
        <v>234</v>
      </c>
      <c r="F328" s="15" t="s">
        <v>5</v>
      </c>
      <c r="G328" s="15">
        <v>8.7910570447671095</v>
      </c>
      <c r="H328" s="15">
        <v>3.0875697055810001</v>
      </c>
      <c r="I328" s="15">
        <v>3.2966463917876698</v>
      </c>
    </row>
    <row r="329" spans="1:16" x14ac:dyDescent="0.3">
      <c r="A329" s="15" t="str">
        <f t="shared" si="6"/>
        <v>RIR</v>
      </c>
      <c r="B329" s="15" t="s">
        <v>276</v>
      </c>
      <c r="C329" s="15" t="s">
        <v>228</v>
      </c>
      <c r="D329" s="15" t="s">
        <v>279</v>
      </c>
      <c r="E329" s="15" t="s">
        <v>234</v>
      </c>
      <c r="F329" s="15" t="s">
        <v>6</v>
      </c>
      <c r="G329" s="15">
        <v>20.4252251158394</v>
      </c>
      <c r="H329" s="15">
        <v>6.4774133023883804</v>
      </c>
      <c r="I329" s="15">
        <v>7.6594594184397797</v>
      </c>
    </row>
    <row r="330" spans="1:16" x14ac:dyDescent="0.3">
      <c r="A330" s="15" t="str">
        <f t="shared" si="6"/>
        <v>RIR</v>
      </c>
      <c r="B330" s="15" t="s">
        <v>276</v>
      </c>
      <c r="C330" s="15" t="s">
        <v>228</v>
      </c>
      <c r="D330" s="15" t="s">
        <v>279</v>
      </c>
      <c r="E330" s="15" t="s">
        <v>234</v>
      </c>
      <c r="F330" s="15" t="s">
        <v>7</v>
      </c>
      <c r="G330" s="15">
        <v>8.9290895473052494</v>
      </c>
      <c r="H330" s="15">
        <v>2.9915991610716</v>
      </c>
      <c r="I330" s="15">
        <v>3.3484085802394699</v>
      </c>
    </row>
    <row r="331" spans="1:16" x14ac:dyDescent="0.3">
      <c r="A331" s="15" t="str">
        <f t="shared" si="6"/>
        <v>RIR</v>
      </c>
      <c r="B331" s="15" t="s">
        <v>276</v>
      </c>
      <c r="C331" s="15" t="s">
        <v>228</v>
      </c>
      <c r="D331" s="15" t="s">
        <v>279</v>
      </c>
      <c r="E331" s="15" t="s">
        <v>234</v>
      </c>
      <c r="F331" s="15" t="s">
        <v>8</v>
      </c>
      <c r="G331" s="15">
        <v>23.983595473478601</v>
      </c>
      <c r="H331" s="15">
        <v>7.9802142051512197</v>
      </c>
      <c r="I331" s="15">
        <v>8.9938483025544809</v>
      </c>
    </row>
    <row r="332" spans="1:16" x14ac:dyDescent="0.3">
      <c r="A332" s="15" t="str">
        <f t="shared" si="6"/>
        <v>RIR</v>
      </c>
      <c r="B332" s="15" t="s">
        <v>276</v>
      </c>
      <c r="C332" s="15" t="s">
        <v>228</v>
      </c>
      <c r="D332" s="15" t="s">
        <v>279</v>
      </c>
      <c r="E332" s="15" t="s">
        <v>300</v>
      </c>
      <c r="F332" s="15" t="s">
        <v>0</v>
      </c>
      <c r="H332" s="15">
        <v>4.9051122235202298</v>
      </c>
      <c r="I332" s="15">
        <v>4.9051122235202298</v>
      </c>
      <c r="J332" s="15">
        <v>8.0155949796148995</v>
      </c>
      <c r="K332" s="15">
        <v>8.23348391365192</v>
      </c>
      <c r="L332" s="15">
        <v>8.4290196757441294</v>
      </c>
      <c r="M332" s="15">
        <v>8.62408943529576</v>
      </c>
      <c r="N332" s="15">
        <v>8.7554090142016392</v>
      </c>
      <c r="O332" s="15">
        <v>8.87155882082555</v>
      </c>
      <c r="P332" s="15">
        <v>9.0133723950265807</v>
      </c>
    </row>
    <row r="333" spans="1:16" x14ac:dyDescent="0.3">
      <c r="A333" s="15" t="str">
        <f t="shared" si="6"/>
        <v>RIR</v>
      </c>
      <c r="B333" s="15" t="s">
        <v>276</v>
      </c>
      <c r="C333" s="15" t="s">
        <v>228</v>
      </c>
      <c r="D333" s="15" t="s">
        <v>279</v>
      </c>
      <c r="E333" s="15" t="s">
        <v>300</v>
      </c>
      <c r="F333" s="15" t="s">
        <v>1</v>
      </c>
      <c r="H333" s="15">
        <v>12.7497167148738</v>
      </c>
      <c r="I333" s="15">
        <v>12.7497167148738</v>
      </c>
      <c r="J333" s="15">
        <v>20.718117972076442</v>
      </c>
      <c r="K333" s="15">
        <v>21.103974999833</v>
      </c>
      <c r="L333" s="15">
        <v>21.435994492174402</v>
      </c>
      <c r="M333" s="15">
        <v>21.78771580086687</v>
      </c>
      <c r="N333" s="15">
        <v>22.002501671724371</v>
      </c>
      <c r="O333" s="15">
        <v>22.18286184187011</v>
      </c>
      <c r="P333" s="15">
        <v>22.430306994926109</v>
      </c>
    </row>
    <row r="334" spans="1:16" x14ac:dyDescent="0.3">
      <c r="A334" s="15" t="str">
        <f t="shared" si="6"/>
        <v>RIR</v>
      </c>
      <c r="B334" s="15" t="s">
        <v>276</v>
      </c>
      <c r="C334" s="15" t="s">
        <v>228</v>
      </c>
      <c r="D334" s="15" t="s">
        <v>279</v>
      </c>
      <c r="E334" s="15" t="s">
        <v>300</v>
      </c>
      <c r="F334" s="15" t="s">
        <v>2</v>
      </c>
      <c r="H334" s="15">
        <v>14.245599806108901</v>
      </c>
      <c r="I334" s="15">
        <v>14.245599806108901</v>
      </c>
      <c r="J334" s="15">
        <v>23.299777628620951</v>
      </c>
      <c r="K334" s="15">
        <v>23.85750261067798</v>
      </c>
      <c r="L334" s="15">
        <v>24.383574433330779</v>
      </c>
      <c r="M334" s="15">
        <v>24.938671952201297</v>
      </c>
      <c r="N334" s="15">
        <v>25.334821178222899</v>
      </c>
      <c r="O334" s="15">
        <v>25.698768822159401</v>
      </c>
      <c r="P334" s="15">
        <v>26.0486606397521</v>
      </c>
    </row>
    <row r="335" spans="1:16" x14ac:dyDescent="0.3">
      <c r="A335" s="15" t="str">
        <f t="shared" si="6"/>
        <v>RIR</v>
      </c>
      <c r="B335" s="15" t="s">
        <v>276</v>
      </c>
      <c r="C335" s="15" t="s">
        <v>228</v>
      </c>
      <c r="D335" s="15" t="s">
        <v>279</v>
      </c>
      <c r="E335" s="15" t="s">
        <v>300</v>
      </c>
      <c r="F335" s="15" t="s">
        <v>3</v>
      </c>
      <c r="H335" s="15">
        <v>7.2189172306346796</v>
      </c>
      <c r="I335" s="15">
        <v>7.2189172306346796</v>
      </c>
      <c r="J335" s="15">
        <v>11.826933403809871</v>
      </c>
      <c r="K335" s="15">
        <v>12.27912841856241</v>
      </c>
      <c r="L335" s="15">
        <v>12.70694525121727</v>
      </c>
      <c r="M335" s="15">
        <v>13.17014843059105</v>
      </c>
      <c r="N335" s="15">
        <v>13.574290444212842</v>
      </c>
      <c r="O335" s="15">
        <v>13.97766154701505</v>
      </c>
      <c r="P335" s="15">
        <v>14.391163510228228</v>
      </c>
    </row>
    <row r="336" spans="1:16" x14ac:dyDescent="0.3">
      <c r="A336" s="15" t="str">
        <f t="shared" si="6"/>
        <v>RIR</v>
      </c>
      <c r="B336" s="15" t="s">
        <v>276</v>
      </c>
      <c r="C336" s="15" t="s">
        <v>228</v>
      </c>
      <c r="D336" s="15" t="s">
        <v>279</v>
      </c>
      <c r="E336" s="15" t="s">
        <v>300</v>
      </c>
      <c r="F336" s="15" t="s">
        <v>4</v>
      </c>
      <c r="H336" s="15">
        <v>21.857832268997701</v>
      </c>
      <c r="I336" s="15">
        <v>21.857832268997701</v>
      </c>
      <c r="J336" s="15">
        <v>36.319416793750499</v>
      </c>
      <c r="K336" s="15">
        <v>38.687332527500203</v>
      </c>
      <c r="L336" s="15">
        <v>41.082554035366698</v>
      </c>
      <c r="M336" s="15">
        <v>43.660535730094097</v>
      </c>
      <c r="N336" s="15">
        <v>46.118492414488898</v>
      </c>
      <c r="O336" s="15">
        <v>48.691977104081403</v>
      </c>
      <c r="P336" s="15">
        <v>51.341185882531001</v>
      </c>
    </row>
    <row r="337" spans="1:16" x14ac:dyDescent="0.3">
      <c r="A337" s="15" t="str">
        <f t="shared" si="6"/>
        <v>RIR</v>
      </c>
      <c r="B337" s="15" t="s">
        <v>276</v>
      </c>
      <c r="C337" s="15" t="s">
        <v>228</v>
      </c>
      <c r="D337" s="15" t="s">
        <v>279</v>
      </c>
      <c r="E337" s="15" t="s">
        <v>300</v>
      </c>
      <c r="F337" s="15" t="s">
        <v>5</v>
      </c>
      <c r="H337" s="15">
        <v>5.6753254099115198</v>
      </c>
      <c r="I337" s="15">
        <v>5.6753254099115198</v>
      </c>
      <c r="J337" s="15">
        <v>9.3106694404330401</v>
      </c>
      <c r="K337" s="15">
        <v>9.6621481479273097</v>
      </c>
      <c r="L337" s="15">
        <v>9.9957088057614403</v>
      </c>
      <c r="M337" s="15">
        <v>10.349299366488509</v>
      </c>
      <c r="N337" s="15">
        <v>10.65360329317525</v>
      </c>
      <c r="O337" s="15">
        <v>10.962370131218499</v>
      </c>
      <c r="P337" s="15">
        <v>11.312983291809289</v>
      </c>
    </row>
    <row r="338" spans="1:16" x14ac:dyDescent="0.3">
      <c r="A338" s="15" t="str">
        <f t="shared" si="6"/>
        <v>RIR</v>
      </c>
      <c r="B338" s="15" t="s">
        <v>276</v>
      </c>
      <c r="C338" s="15" t="s">
        <v>228</v>
      </c>
      <c r="D338" s="15" t="s">
        <v>279</v>
      </c>
      <c r="E338" s="15" t="s">
        <v>300</v>
      </c>
      <c r="F338" s="15" t="s">
        <v>6</v>
      </c>
      <c r="H338" s="15">
        <v>14.1144719088842</v>
      </c>
      <c r="I338" s="15">
        <v>14.1144719088842</v>
      </c>
      <c r="J338" s="15">
        <v>23.519461945886292</v>
      </c>
      <c r="K338" s="15">
        <v>25.259606122451299</v>
      </c>
      <c r="L338" s="15">
        <v>27.010538755103596</v>
      </c>
      <c r="M338" s="15">
        <v>28.888409075937901</v>
      </c>
      <c r="N338" s="15">
        <v>30.703716126986102</v>
      </c>
      <c r="O338" s="15">
        <v>32.6049656193942</v>
      </c>
      <c r="P338" s="15">
        <v>34.633120313668201</v>
      </c>
    </row>
    <row r="339" spans="1:16" x14ac:dyDescent="0.3">
      <c r="A339" s="15" t="str">
        <f t="shared" si="6"/>
        <v>RIR</v>
      </c>
      <c r="B339" s="15" t="s">
        <v>276</v>
      </c>
      <c r="C339" s="15" t="s">
        <v>228</v>
      </c>
      <c r="D339" s="15" t="s">
        <v>279</v>
      </c>
      <c r="E339" s="15" t="s">
        <v>300</v>
      </c>
      <c r="F339" s="15" t="s">
        <v>7</v>
      </c>
      <c r="H339" s="15">
        <v>5.9570362473302696</v>
      </c>
      <c r="I339" s="15">
        <v>5.9570362473302696</v>
      </c>
      <c r="J339" s="15">
        <v>10.10908390808954</v>
      </c>
      <c r="K339" s="15">
        <v>10.946937204204801</v>
      </c>
      <c r="L339" s="15">
        <v>11.81206043088922</v>
      </c>
      <c r="M339" s="15">
        <v>12.758359205408649</v>
      </c>
      <c r="N339" s="15">
        <v>13.696491902427811</v>
      </c>
      <c r="O339" s="15">
        <v>14.69519629202393</v>
      </c>
      <c r="P339" s="15">
        <v>15.793209568495918</v>
      </c>
    </row>
    <row r="340" spans="1:16" x14ac:dyDescent="0.3">
      <c r="A340" s="15" t="str">
        <f t="shared" si="6"/>
        <v>RIR</v>
      </c>
      <c r="B340" s="15" t="s">
        <v>276</v>
      </c>
      <c r="C340" s="15" t="s">
        <v>228</v>
      </c>
      <c r="D340" s="15" t="s">
        <v>279</v>
      </c>
      <c r="E340" s="15" t="s">
        <v>300</v>
      </c>
      <c r="F340" s="15" t="s">
        <v>8</v>
      </c>
      <c r="H340" s="15">
        <v>16.074295438638099</v>
      </c>
      <c r="I340" s="15">
        <v>16.074295438638099</v>
      </c>
      <c r="J340" s="15">
        <v>26.6149754273853</v>
      </c>
      <c r="K340" s="15">
        <v>28.108390662398001</v>
      </c>
      <c r="L340" s="15">
        <v>29.545704496503902</v>
      </c>
      <c r="M340" s="15">
        <v>31.066332799293903</v>
      </c>
      <c r="N340" s="15">
        <v>32.473701415841603</v>
      </c>
      <c r="O340" s="15">
        <v>33.972085614811299</v>
      </c>
      <c r="P340" s="15">
        <v>35.565079064560102</v>
      </c>
    </row>
    <row r="341" spans="1:16" x14ac:dyDescent="0.3">
      <c r="A341" s="15" t="str">
        <f t="shared" si="6"/>
        <v>RVM</v>
      </c>
      <c r="B341" s="15" t="s">
        <v>276</v>
      </c>
      <c r="C341" s="15" t="s">
        <v>228</v>
      </c>
      <c r="D341" s="15" t="s">
        <v>279</v>
      </c>
      <c r="E341" s="15" t="s">
        <v>235</v>
      </c>
      <c r="F341" s="15" t="s">
        <v>0</v>
      </c>
      <c r="G341" s="15">
        <v>3.9641209263571699</v>
      </c>
      <c r="H341" s="15">
        <v>2.4824316169060801</v>
      </c>
      <c r="I341" s="15">
        <v>2.54836345265818</v>
      </c>
      <c r="J341" s="15">
        <v>1.13260597895919</v>
      </c>
    </row>
    <row r="342" spans="1:16" x14ac:dyDescent="0.3">
      <c r="A342" s="15" t="str">
        <f t="shared" si="6"/>
        <v>RVM</v>
      </c>
      <c r="B342" s="15" t="s">
        <v>276</v>
      </c>
      <c r="C342" s="15" t="s">
        <v>228</v>
      </c>
      <c r="D342" s="15" t="s">
        <v>279</v>
      </c>
      <c r="E342" s="15" t="s">
        <v>235</v>
      </c>
      <c r="F342" s="15" t="s">
        <v>1</v>
      </c>
      <c r="G342" s="15">
        <v>10.3498387365978</v>
      </c>
      <c r="H342" s="15">
        <v>6.5032777592695803</v>
      </c>
      <c r="I342" s="15">
        <v>6.6534677592414404</v>
      </c>
      <c r="J342" s="15">
        <v>2.95709678188509</v>
      </c>
    </row>
    <row r="343" spans="1:16" x14ac:dyDescent="0.3">
      <c r="A343" s="15" t="str">
        <f t="shared" si="6"/>
        <v>RVM</v>
      </c>
      <c r="B343" s="15" t="s">
        <v>276</v>
      </c>
      <c r="C343" s="15" t="s">
        <v>228</v>
      </c>
      <c r="D343" s="15" t="s">
        <v>279</v>
      </c>
      <c r="E343" s="15" t="s">
        <v>235</v>
      </c>
      <c r="F343" s="15" t="s">
        <v>2</v>
      </c>
      <c r="G343" s="15">
        <v>11.7412433388292</v>
      </c>
      <c r="H343" s="15">
        <v>7.4616640360800002</v>
      </c>
      <c r="I343" s="15">
        <v>7.5479421463902003</v>
      </c>
      <c r="J343" s="15">
        <v>3.3546409539512001</v>
      </c>
    </row>
    <row r="344" spans="1:16" x14ac:dyDescent="0.3">
      <c r="A344" s="15" t="str">
        <f t="shared" si="6"/>
        <v>RVM</v>
      </c>
      <c r="B344" s="15" t="s">
        <v>276</v>
      </c>
      <c r="C344" s="15" t="s">
        <v>228</v>
      </c>
      <c r="D344" s="15" t="s">
        <v>279</v>
      </c>
      <c r="E344" s="15" t="s">
        <v>235</v>
      </c>
      <c r="F344" s="15" t="s">
        <v>3</v>
      </c>
      <c r="G344" s="15">
        <v>5.6927798891293797</v>
      </c>
      <c r="H344" s="15">
        <v>3.4975713367719301</v>
      </c>
      <c r="I344" s="15">
        <v>3.6596442144403198</v>
      </c>
      <c r="J344" s="15">
        <v>1.62650853975125</v>
      </c>
    </row>
    <row r="345" spans="1:16" x14ac:dyDescent="0.3">
      <c r="A345" s="15" t="str">
        <f t="shared" si="6"/>
        <v>RVM</v>
      </c>
      <c r="B345" s="15" t="s">
        <v>276</v>
      </c>
      <c r="C345" s="15" t="s">
        <v>228</v>
      </c>
      <c r="D345" s="15" t="s">
        <v>279</v>
      </c>
      <c r="E345" s="15" t="s">
        <v>235</v>
      </c>
      <c r="F345" s="15" t="s">
        <v>4</v>
      </c>
      <c r="G345" s="15">
        <v>16.568772286571001</v>
      </c>
      <c r="H345" s="15">
        <v>9.8530086850610008</v>
      </c>
      <c r="I345" s="15">
        <v>10.651353612795599</v>
      </c>
      <c r="J345" s="15">
        <v>4.7339349390202896</v>
      </c>
    </row>
    <row r="346" spans="1:16" x14ac:dyDescent="0.3">
      <c r="A346" s="15" t="str">
        <f t="shared" si="6"/>
        <v>RVM</v>
      </c>
      <c r="B346" s="15" t="s">
        <v>276</v>
      </c>
      <c r="C346" s="15" t="s">
        <v>228</v>
      </c>
      <c r="D346" s="15" t="s">
        <v>279</v>
      </c>
      <c r="E346" s="15" t="s">
        <v>235</v>
      </c>
      <c r="F346" s="15" t="s">
        <v>5</v>
      </c>
      <c r="G346" s="15">
        <v>4.5188398472467597</v>
      </c>
      <c r="H346" s="15">
        <v>2.7974974312438898</v>
      </c>
      <c r="I346" s="15">
        <v>2.9049684732300598</v>
      </c>
      <c r="J346" s="15">
        <v>1.2910970992133599</v>
      </c>
    </row>
    <row r="347" spans="1:16" x14ac:dyDescent="0.3">
      <c r="A347" s="15" t="str">
        <f t="shared" si="6"/>
        <v>RVM</v>
      </c>
      <c r="B347" s="15" t="s">
        <v>276</v>
      </c>
      <c r="C347" s="15" t="s">
        <v>228</v>
      </c>
      <c r="D347" s="15" t="s">
        <v>279</v>
      </c>
      <c r="E347" s="15" t="s">
        <v>235</v>
      </c>
      <c r="F347" s="15" t="s">
        <v>6</v>
      </c>
      <c r="G347" s="15">
        <v>10.4991152568372</v>
      </c>
      <c r="H347" s="15">
        <v>6.1418277295542696</v>
      </c>
      <c r="I347" s="15">
        <v>6.7494312365382001</v>
      </c>
      <c r="J347" s="15">
        <v>2.9997472162392</v>
      </c>
    </row>
    <row r="348" spans="1:16" x14ac:dyDescent="0.3">
      <c r="A348" s="15" t="str">
        <f t="shared" si="6"/>
        <v>RVM</v>
      </c>
      <c r="B348" s="15" t="s">
        <v>276</v>
      </c>
      <c r="C348" s="15" t="s">
        <v>228</v>
      </c>
      <c r="D348" s="15" t="s">
        <v>279</v>
      </c>
      <c r="E348" s="15" t="s">
        <v>235</v>
      </c>
      <c r="F348" s="15" t="s">
        <v>7</v>
      </c>
      <c r="G348" s="15">
        <v>4.5897922673605498</v>
      </c>
      <c r="H348" s="15">
        <v>2.7671711017779601</v>
      </c>
      <c r="I348" s="15">
        <v>2.9505807433032101</v>
      </c>
      <c r="J348" s="15">
        <v>1.3113692192458699</v>
      </c>
    </row>
    <row r="349" spans="1:16" x14ac:dyDescent="0.3">
      <c r="A349" s="15" t="str">
        <f t="shared" si="6"/>
        <v>RVM</v>
      </c>
      <c r="B349" s="15" t="s">
        <v>276</v>
      </c>
      <c r="C349" s="15" t="s">
        <v>228</v>
      </c>
      <c r="D349" s="15" t="s">
        <v>279</v>
      </c>
      <c r="E349" s="15" t="s">
        <v>235</v>
      </c>
      <c r="F349" s="15" t="s">
        <v>8</v>
      </c>
      <c r="G349" s="15">
        <v>12.328213359770499</v>
      </c>
      <c r="H349" s="15">
        <v>7.4042448187764203</v>
      </c>
      <c r="I349" s="15">
        <v>7.9252800169953197</v>
      </c>
      <c r="J349" s="15">
        <v>3.5223466742201399</v>
      </c>
    </row>
    <row r="350" spans="1:16" x14ac:dyDescent="0.3">
      <c r="A350" s="15" t="str">
        <f t="shared" si="6"/>
        <v>RVM</v>
      </c>
      <c r="B350" s="15" t="s">
        <v>276</v>
      </c>
      <c r="C350" s="15" t="s">
        <v>228</v>
      </c>
      <c r="D350" s="15" t="s">
        <v>279</v>
      </c>
      <c r="E350" s="15" t="s">
        <v>301</v>
      </c>
      <c r="F350" s="15" t="s">
        <v>0</v>
      </c>
      <c r="H350" s="15">
        <v>1.45954155124788</v>
      </c>
      <c r="I350" s="15">
        <v>1.45954155124788</v>
      </c>
      <c r="J350" s="15">
        <v>2.9876255027413698</v>
      </c>
      <c r="K350" s="15">
        <v>4.2322322561679204</v>
      </c>
      <c r="L350" s="15">
        <v>4.3327428988363046</v>
      </c>
      <c r="M350" s="15">
        <v>4.4330140036608849</v>
      </c>
      <c r="N350" s="15">
        <v>4.5005158004143073</v>
      </c>
      <c r="O350" s="15">
        <v>4.5602199260671599</v>
      </c>
      <c r="P350" s="15">
        <v>4.6331159187466202</v>
      </c>
    </row>
    <row r="351" spans="1:16" x14ac:dyDescent="0.3">
      <c r="A351" s="15" t="str">
        <f t="shared" si="6"/>
        <v>RVM</v>
      </c>
      <c r="B351" s="15" t="s">
        <v>276</v>
      </c>
      <c r="C351" s="15" t="s">
        <v>228</v>
      </c>
      <c r="D351" s="15" t="s">
        <v>279</v>
      </c>
      <c r="E351" s="15" t="s">
        <v>301</v>
      </c>
      <c r="F351" s="15" t="s">
        <v>1</v>
      </c>
      <c r="H351" s="15">
        <v>3.78141919368466</v>
      </c>
      <c r="I351" s="15">
        <v>3.78141919368466</v>
      </c>
      <c r="J351" s="15">
        <v>7.6925732834351095</v>
      </c>
      <c r="K351" s="15">
        <v>10.84801095919534</v>
      </c>
      <c r="L351" s="15">
        <v>11.01867791135076</v>
      </c>
      <c r="M351" s="15">
        <v>11.19947212719439</v>
      </c>
      <c r="N351" s="15">
        <v>11.309877843698551</v>
      </c>
      <c r="O351" s="15">
        <v>11.40258782380225</v>
      </c>
      <c r="P351" s="15">
        <v>11.529781290064999</v>
      </c>
    </row>
    <row r="352" spans="1:16" x14ac:dyDescent="0.3">
      <c r="A352" s="15" t="str">
        <f t="shared" si="6"/>
        <v>RVM</v>
      </c>
      <c r="B352" s="15" t="s">
        <v>276</v>
      </c>
      <c r="C352" s="15" t="s">
        <v>228</v>
      </c>
      <c r="D352" s="15" t="s">
        <v>279</v>
      </c>
      <c r="E352" s="15" t="s">
        <v>301</v>
      </c>
      <c r="F352" s="15" t="s">
        <v>2</v>
      </c>
      <c r="H352" s="15">
        <v>4.1776456884864697</v>
      </c>
      <c r="I352" s="15">
        <v>4.1776456884864697</v>
      </c>
      <c r="J352" s="15">
        <v>8.6220716352219107</v>
      </c>
      <c r="K352" s="15">
        <v>12.26339823572166</v>
      </c>
      <c r="L352" s="15">
        <v>12.533813306697951</v>
      </c>
      <c r="M352" s="15">
        <v>12.81914836647589</v>
      </c>
      <c r="N352" s="15">
        <v>13.02277972717417</v>
      </c>
      <c r="O352" s="15">
        <v>13.209858608286741</v>
      </c>
      <c r="P352" s="15">
        <v>13.38971241648207</v>
      </c>
    </row>
    <row r="353" spans="1:16" x14ac:dyDescent="0.3">
      <c r="A353" s="15" t="str">
        <f t="shared" si="6"/>
        <v>RVM</v>
      </c>
      <c r="B353" s="15" t="s">
        <v>276</v>
      </c>
      <c r="C353" s="15" t="s">
        <v>228</v>
      </c>
      <c r="D353" s="15" t="s">
        <v>279</v>
      </c>
      <c r="E353" s="15" t="s">
        <v>301</v>
      </c>
      <c r="F353" s="15" t="s">
        <v>3</v>
      </c>
      <c r="H353" s="15">
        <v>2.18586592783512</v>
      </c>
      <c r="I353" s="15">
        <v>2.18586592783512</v>
      </c>
      <c r="J353" s="15">
        <v>4.4528534372800106</v>
      </c>
      <c r="K353" s="15">
        <v>6.3118023810673645</v>
      </c>
      <c r="L353" s="15">
        <v>6.5317117436023704</v>
      </c>
      <c r="M353" s="15">
        <v>6.7698106404320306</v>
      </c>
      <c r="N353" s="15">
        <v>6.9775505090053702</v>
      </c>
      <c r="O353" s="15">
        <v>7.1848941086758407</v>
      </c>
      <c r="P353" s="15">
        <v>7.3974452431716493</v>
      </c>
    </row>
    <row r="354" spans="1:16" x14ac:dyDescent="0.3">
      <c r="A354" s="15" t="str">
        <f t="shared" si="6"/>
        <v>RVM</v>
      </c>
      <c r="B354" s="15" t="s">
        <v>276</v>
      </c>
      <c r="C354" s="15" t="s">
        <v>228</v>
      </c>
      <c r="D354" s="15" t="s">
        <v>279</v>
      </c>
      <c r="E354" s="15" t="s">
        <v>301</v>
      </c>
      <c r="F354" s="15" t="s">
        <v>4</v>
      </c>
      <c r="H354" s="15">
        <v>6.7974498729884001</v>
      </c>
      <c r="I354" s="15">
        <v>6.7974498729884001</v>
      </c>
      <c r="J354" s="15">
        <v>13.935222478637101</v>
      </c>
      <c r="K354" s="15">
        <v>19.88632981434435</v>
      </c>
      <c r="L354" s="15">
        <v>21.11753811359803</v>
      </c>
      <c r="M354" s="15">
        <v>22.4426900661202</v>
      </c>
      <c r="N354" s="15">
        <v>23.706145934019588</v>
      </c>
      <c r="O354" s="15">
        <v>25.02898630490904</v>
      </c>
      <c r="P354" s="15">
        <v>26.390750894852204</v>
      </c>
    </row>
    <row r="355" spans="1:16" x14ac:dyDescent="0.3">
      <c r="A355" s="15" t="str">
        <f t="shared" si="6"/>
        <v>RVM</v>
      </c>
      <c r="B355" s="15" t="s">
        <v>276</v>
      </c>
      <c r="C355" s="15" t="s">
        <v>228</v>
      </c>
      <c r="D355" s="15" t="s">
        <v>279</v>
      </c>
      <c r="E355" s="15" t="s">
        <v>301</v>
      </c>
      <c r="F355" s="15" t="s">
        <v>5</v>
      </c>
      <c r="H355" s="15">
        <v>1.7068664266499101</v>
      </c>
      <c r="I355" s="15">
        <v>1.7068664266499101</v>
      </c>
      <c r="J355" s="15">
        <v>3.4948374997454601</v>
      </c>
      <c r="K355" s="15">
        <v>4.9666041112593184</v>
      </c>
      <c r="L355" s="15">
        <v>5.1380632639435806</v>
      </c>
      <c r="M355" s="15">
        <v>5.3198183256258194</v>
      </c>
      <c r="N355" s="15">
        <v>5.4762387313384853</v>
      </c>
      <c r="O355" s="15">
        <v>5.6349531935644794</v>
      </c>
      <c r="P355" s="15">
        <v>5.8151777914687699</v>
      </c>
    </row>
    <row r="356" spans="1:16" x14ac:dyDescent="0.3">
      <c r="A356" s="15" t="str">
        <f t="shared" si="6"/>
        <v>RVM</v>
      </c>
      <c r="B356" s="15" t="s">
        <v>276</v>
      </c>
      <c r="C356" s="15" t="s">
        <v>228</v>
      </c>
      <c r="D356" s="15" t="s">
        <v>279</v>
      </c>
      <c r="E356" s="15" t="s">
        <v>301</v>
      </c>
      <c r="F356" s="15" t="s">
        <v>6</v>
      </c>
      <c r="H356" s="15">
        <v>4.4429553003794302</v>
      </c>
      <c r="I356" s="15">
        <v>4.4429553003794302</v>
      </c>
      <c r="J356" s="15">
        <v>9.0898890226859912</v>
      </c>
      <c r="K356" s="15">
        <v>12.98411716482217</v>
      </c>
      <c r="L356" s="15">
        <v>13.88414364741493</v>
      </c>
      <c r="M356" s="15">
        <v>14.849419517032819</v>
      </c>
      <c r="N356" s="15">
        <v>15.782536182695601</v>
      </c>
      <c r="O356" s="15">
        <v>16.759829575526588</v>
      </c>
      <c r="P356" s="15">
        <v>17.802355656542218</v>
      </c>
    </row>
    <row r="357" spans="1:16" x14ac:dyDescent="0.3">
      <c r="A357" s="15" t="str">
        <f t="shared" si="6"/>
        <v>RVM</v>
      </c>
      <c r="B357" s="15" t="s">
        <v>276</v>
      </c>
      <c r="C357" s="15" t="s">
        <v>228</v>
      </c>
      <c r="D357" s="15" t="s">
        <v>279</v>
      </c>
      <c r="E357" s="15" t="s">
        <v>301</v>
      </c>
      <c r="F357" s="15" t="s">
        <v>7</v>
      </c>
      <c r="H357" s="15">
        <v>1.83266826407397</v>
      </c>
      <c r="I357" s="15">
        <v>1.83266826407397</v>
      </c>
      <c r="J357" s="15">
        <v>3.88497189768818</v>
      </c>
      <c r="K357" s="15">
        <v>5.6270202538515388</v>
      </c>
      <c r="L357" s="15">
        <v>6.07171686878789</v>
      </c>
      <c r="M357" s="15">
        <v>6.5581398993658402</v>
      </c>
      <c r="N357" s="15">
        <v>7.0403653463976701</v>
      </c>
      <c r="O357" s="15">
        <v>7.5537262731150792</v>
      </c>
      <c r="P357" s="15">
        <v>8.11813463962444</v>
      </c>
    </row>
    <row r="358" spans="1:16" x14ac:dyDescent="0.3">
      <c r="A358" s="15" t="str">
        <f t="shared" si="6"/>
        <v>RVM</v>
      </c>
      <c r="B358" s="15" t="s">
        <v>276</v>
      </c>
      <c r="C358" s="15" t="s">
        <v>228</v>
      </c>
      <c r="D358" s="15" t="s">
        <v>279</v>
      </c>
      <c r="E358" s="15" t="s">
        <v>301</v>
      </c>
      <c r="F358" s="15" t="s">
        <v>8</v>
      </c>
      <c r="H358" s="15">
        <v>4.9604203325025003</v>
      </c>
      <c r="I358" s="15">
        <v>4.9604203325025003</v>
      </c>
      <c r="J358" s="15">
        <v>10.15846677998811</v>
      </c>
      <c r="K358" s="15">
        <v>14.448469065825279</v>
      </c>
      <c r="L358" s="15">
        <v>15.18728704794988</v>
      </c>
      <c r="M358" s="15">
        <v>15.96893090858082</v>
      </c>
      <c r="N358" s="15">
        <v>16.692356243194688</v>
      </c>
      <c r="O358" s="15">
        <v>17.462566035977211</v>
      </c>
      <c r="P358" s="15">
        <v>18.281407529152652</v>
      </c>
    </row>
    <row r="359" spans="1:16" x14ac:dyDescent="0.3">
      <c r="A359" s="15" t="str">
        <f t="shared" si="6"/>
        <v>WIF</v>
      </c>
      <c r="B359" s="15" t="s">
        <v>276</v>
      </c>
      <c r="C359" s="15" t="s">
        <v>228</v>
      </c>
      <c r="D359" s="15" t="s">
        <v>279</v>
      </c>
      <c r="E359" s="15" t="s">
        <v>236</v>
      </c>
      <c r="F359" s="15" t="s">
        <v>0</v>
      </c>
      <c r="G359" s="15">
        <v>7.0384172680863601</v>
      </c>
      <c r="H359" s="15">
        <v>6.3345755412777196</v>
      </c>
      <c r="I359" s="15">
        <v>3.5192086340431801</v>
      </c>
    </row>
    <row r="360" spans="1:16" x14ac:dyDescent="0.3">
      <c r="A360" s="15" t="str">
        <f t="shared" si="6"/>
        <v>WIF</v>
      </c>
      <c r="B360" s="15" t="s">
        <v>276</v>
      </c>
      <c r="C360" s="15" t="s">
        <v>228</v>
      </c>
      <c r="D360" s="15" t="s">
        <v>279</v>
      </c>
      <c r="E360" s="15" t="s">
        <v>236</v>
      </c>
      <c r="F360" s="15" t="s">
        <v>1</v>
      </c>
      <c r="G360" s="15">
        <v>18.376453453079002</v>
      </c>
      <c r="H360" s="15">
        <v>16.5388081077711</v>
      </c>
      <c r="I360" s="15">
        <v>9.1882267265395008</v>
      </c>
    </row>
    <row r="361" spans="1:16" x14ac:dyDescent="0.3">
      <c r="A361" s="15" t="str">
        <f t="shared" si="6"/>
        <v>WIF</v>
      </c>
      <c r="B361" s="15" t="s">
        <v>276</v>
      </c>
      <c r="C361" s="15" t="s">
        <v>228</v>
      </c>
      <c r="D361" s="15" t="s">
        <v>279</v>
      </c>
      <c r="E361" s="15" t="s">
        <v>236</v>
      </c>
      <c r="F361" s="15" t="s">
        <v>2</v>
      </c>
      <c r="G361" s="15">
        <v>20.846934642016802</v>
      </c>
      <c r="H361" s="15">
        <v>18.762241177815099</v>
      </c>
      <c r="I361" s="15">
        <v>10.423467321008401</v>
      </c>
    </row>
    <row r="362" spans="1:16" x14ac:dyDescent="0.3">
      <c r="A362" s="15" t="str">
        <f t="shared" si="6"/>
        <v>WIF</v>
      </c>
      <c r="B362" s="15" t="s">
        <v>276</v>
      </c>
      <c r="C362" s="15" t="s">
        <v>228</v>
      </c>
      <c r="D362" s="15" t="s">
        <v>279</v>
      </c>
      <c r="E362" s="15" t="s">
        <v>236</v>
      </c>
      <c r="F362" s="15" t="s">
        <v>3</v>
      </c>
      <c r="G362" s="15">
        <v>10.107703831296501</v>
      </c>
      <c r="H362" s="15">
        <v>9.0969334481668493</v>
      </c>
      <c r="I362" s="15">
        <v>5.0538519156482504</v>
      </c>
    </row>
    <row r="363" spans="1:16" x14ac:dyDescent="0.3">
      <c r="A363" s="15" t="str">
        <f t="shared" si="6"/>
        <v>WIF</v>
      </c>
      <c r="B363" s="15" t="s">
        <v>276</v>
      </c>
      <c r="C363" s="15" t="s">
        <v>228</v>
      </c>
      <c r="D363" s="15" t="s">
        <v>279</v>
      </c>
      <c r="E363" s="15" t="s">
        <v>236</v>
      </c>
      <c r="F363" s="15" t="s">
        <v>4</v>
      </c>
      <c r="G363" s="15">
        <v>29.418359111450702</v>
      </c>
      <c r="H363" s="15">
        <v>26.4765232003056</v>
      </c>
      <c r="I363" s="15">
        <v>14.709179555725401</v>
      </c>
    </row>
    <row r="364" spans="1:16" x14ac:dyDescent="0.3">
      <c r="A364" s="15" t="str">
        <f t="shared" si="6"/>
        <v>WIF</v>
      </c>
      <c r="B364" s="15" t="s">
        <v>276</v>
      </c>
      <c r="C364" s="15" t="s">
        <v>228</v>
      </c>
      <c r="D364" s="15" t="s">
        <v>279</v>
      </c>
      <c r="E364" s="15" t="s">
        <v>236</v>
      </c>
      <c r="F364" s="15" t="s">
        <v>5</v>
      </c>
      <c r="G364" s="15">
        <v>8.0233375831463292</v>
      </c>
      <c r="H364" s="15">
        <v>7.2210038248317003</v>
      </c>
      <c r="I364" s="15">
        <v>4.0116687915731601</v>
      </c>
    </row>
    <row r="365" spans="1:16" x14ac:dyDescent="0.3">
      <c r="A365" s="15" t="str">
        <f t="shared" si="6"/>
        <v>WIF</v>
      </c>
      <c r="B365" s="15" t="s">
        <v>276</v>
      </c>
      <c r="C365" s="15" t="s">
        <v>228</v>
      </c>
      <c r="D365" s="15" t="s">
        <v>279</v>
      </c>
      <c r="E365" s="15" t="s">
        <v>236</v>
      </c>
      <c r="F365" s="15" t="s">
        <v>6</v>
      </c>
      <c r="G365" s="15">
        <v>18.641498454806101</v>
      </c>
      <c r="H365" s="15">
        <v>16.7773486093255</v>
      </c>
      <c r="I365" s="15">
        <v>9.3207492274030503</v>
      </c>
    </row>
    <row r="366" spans="1:16" x14ac:dyDescent="0.3">
      <c r="A366" s="15" t="str">
        <f t="shared" si="6"/>
        <v>WIF</v>
      </c>
      <c r="B366" s="15" t="s">
        <v>276</v>
      </c>
      <c r="C366" s="15" t="s">
        <v>228</v>
      </c>
      <c r="D366" s="15" t="s">
        <v>279</v>
      </c>
      <c r="E366" s="15" t="s">
        <v>236</v>
      </c>
      <c r="F366" s="15" t="s">
        <v>7</v>
      </c>
      <c r="G366" s="15">
        <v>8.1493157629795796</v>
      </c>
      <c r="H366" s="15">
        <v>7.3343841866816204</v>
      </c>
      <c r="I366" s="15">
        <v>4.0746578814897898</v>
      </c>
    </row>
    <row r="367" spans="1:16" x14ac:dyDescent="0.3">
      <c r="A367" s="15" t="str">
        <f t="shared" si="6"/>
        <v>WIF</v>
      </c>
      <c r="B367" s="15" t="s">
        <v>276</v>
      </c>
      <c r="C367" s="15" t="s">
        <v>228</v>
      </c>
      <c r="D367" s="15" t="s">
        <v>279</v>
      </c>
      <c r="E367" s="15" t="s">
        <v>236</v>
      </c>
      <c r="F367" s="15" t="s">
        <v>8</v>
      </c>
      <c r="G367" s="15">
        <v>21.8891177660919</v>
      </c>
      <c r="H367" s="15">
        <v>19.700205989482701</v>
      </c>
      <c r="I367" s="15">
        <v>10.9445588830459</v>
      </c>
    </row>
    <row r="368" spans="1:16" x14ac:dyDescent="0.3">
      <c r="A368" s="15" t="str">
        <f t="shared" si="6"/>
        <v>WIF</v>
      </c>
      <c r="B368" s="15" t="s">
        <v>276</v>
      </c>
      <c r="C368" s="15" t="s">
        <v>228</v>
      </c>
      <c r="D368" s="15" t="s">
        <v>279</v>
      </c>
      <c r="E368" s="15" t="s">
        <v>302</v>
      </c>
      <c r="F368" s="15" t="s">
        <v>0</v>
      </c>
      <c r="H368" s="15">
        <v>0.66451770852493097</v>
      </c>
      <c r="I368" s="15">
        <v>3.5969485953643199</v>
      </c>
      <c r="J368" s="15">
        <v>7.3155963069884695</v>
      </c>
      <c r="K368" s="15">
        <v>7.5144570884062798</v>
      </c>
      <c r="L368" s="15">
        <v>7.6929167913583205</v>
      </c>
      <c r="M368" s="15">
        <v>7.8709511875834703</v>
      </c>
      <c r="N368" s="15">
        <v>7.9908026806943804</v>
      </c>
      <c r="O368" s="15">
        <v>8.0968091716106798</v>
      </c>
      <c r="P368" s="15">
        <v>8.2262382236453995</v>
      </c>
    </row>
    <row r="369" spans="1:16" x14ac:dyDescent="0.3">
      <c r="A369" s="15" t="str">
        <f t="shared" si="6"/>
        <v>WIF</v>
      </c>
      <c r="B369" s="15" t="s">
        <v>276</v>
      </c>
      <c r="C369" s="15" t="s">
        <v>228</v>
      </c>
      <c r="D369" s="15" t="s">
        <v>279</v>
      </c>
      <c r="E369" s="15" t="s">
        <v>302</v>
      </c>
      <c r="F369" s="15" t="s">
        <v>1</v>
      </c>
      <c r="H369" s="15">
        <v>1.72198412725012</v>
      </c>
      <c r="I369" s="15">
        <v>9.3392324212560691</v>
      </c>
      <c r="J369" s="15">
        <v>18.908813096187131</v>
      </c>
      <c r="K369" s="15">
        <v>19.260973385530619</v>
      </c>
      <c r="L369" s="15">
        <v>19.56399774968552</v>
      </c>
      <c r="M369" s="15">
        <v>19.885003378525738</v>
      </c>
      <c r="N369" s="15">
        <v>20.08103208601834</v>
      </c>
      <c r="O369" s="15">
        <v>20.245641475340229</v>
      </c>
      <c r="P369" s="15">
        <v>20.471477343105828</v>
      </c>
    </row>
    <row r="370" spans="1:16" x14ac:dyDescent="0.3">
      <c r="A370" s="15" t="str">
        <f t="shared" si="6"/>
        <v>WIF</v>
      </c>
      <c r="B370" s="15" t="s">
        <v>276</v>
      </c>
      <c r="C370" s="15" t="s">
        <v>228</v>
      </c>
      <c r="D370" s="15" t="s">
        <v>279</v>
      </c>
      <c r="E370" s="15" t="s">
        <v>302</v>
      </c>
      <c r="F370" s="15" t="s">
        <v>2</v>
      </c>
      <c r="H370" s="15">
        <v>1.9037072319062001</v>
      </c>
      <c r="I370" s="15">
        <v>10.3956704975999</v>
      </c>
      <c r="J370" s="15">
        <v>21.26501745747899</v>
      </c>
      <c r="K370" s="15">
        <v>21.77403654207945</v>
      </c>
      <c r="L370" s="15">
        <v>22.25416672490395</v>
      </c>
      <c r="M370" s="15">
        <v>22.760787801616928</v>
      </c>
      <c r="N370" s="15">
        <v>23.122341475707231</v>
      </c>
      <c r="O370" s="15">
        <v>23.454505718871971</v>
      </c>
      <c r="P370" s="15">
        <v>23.773841625331471</v>
      </c>
    </row>
    <row r="371" spans="1:16" x14ac:dyDescent="0.3">
      <c r="A371" s="15" t="str">
        <f t="shared" ref="A371:A385" si="7">MID(E371,4,3)</f>
        <v>WIF</v>
      </c>
      <c r="B371" s="15" t="s">
        <v>276</v>
      </c>
      <c r="C371" s="15" t="s">
        <v>228</v>
      </c>
      <c r="D371" s="15" t="s">
        <v>279</v>
      </c>
      <c r="E371" s="15" t="s">
        <v>302</v>
      </c>
      <c r="F371" s="15" t="s">
        <v>3</v>
      </c>
      <c r="H371" s="15">
        <v>0.99418226914702901</v>
      </c>
      <c r="I371" s="15">
        <v>5.3250291251916897</v>
      </c>
      <c r="J371" s="15">
        <v>10.79409208573397</v>
      </c>
      <c r="K371" s="15">
        <v>11.2067970924584</v>
      </c>
      <c r="L371" s="15">
        <v>11.597252853883081</v>
      </c>
      <c r="M371" s="15">
        <v>12.02000468665781</v>
      </c>
      <c r="N371" s="15">
        <v>12.388853141434971</v>
      </c>
      <c r="O371" s="15">
        <v>12.756998008723102</v>
      </c>
      <c r="P371" s="15">
        <v>13.134389012473662</v>
      </c>
    </row>
    <row r="372" spans="1:16" x14ac:dyDescent="0.3">
      <c r="A372" s="15" t="str">
        <f t="shared" si="7"/>
        <v>WIF</v>
      </c>
      <c r="B372" s="15" t="s">
        <v>276</v>
      </c>
      <c r="C372" s="15" t="s">
        <v>228</v>
      </c>
      <c r="D372" s="15" t="s">
        <v>279</v>
      </c>
      <c r="E372" s="15" t="s">
        <v>302</v>
      </c>
      <c r="F372" s="15" t="s">
        <v>4</v>
      </c>
      <c r="H372" s="15">
        <v>3.0868723705316699</v>
      </c>
      <c r="I372" s="15">
        <v>16.2717017148785</v>
      </c>
      <c r="J372" s="15">
        <v>33.147656792047798</v>
      </c>
      <c r="K372" s="15">
        <v>35.308783401006295</v>
      </c>
      <c r="L372" s="15">
        <v>37.494831181854799</v>
      </c>
      <c r="M372" s="15">
        <v>39.847678776249801</v>
      </c>
      <c r="N372" s="15">
        <v>42.090983095994801</v>
      </c>
      <c r="O372" s="15">
        <v>44.4397264068973</v>
      </c>
      <c r="P372" s="15">
        <v>46.857580852556701</v>
      </c>
    </row>
    <row r="373" spans="1:16" x14ac:dyDescent="0.3">
      <c r="A373" s="15" t="str">
        <f t="shared" si="7"/>
        <v>WIF</v>
      </c>
      <c r="B373" s="15" t="s">
        <v>276</v>
      </c>
      <c r="C373" s="15" t="s">
        <v>228</v>
      </c>
      <c r="D373" s="15" t="s">
        <v>279</v>
      </c>
      <c r="E373" s="15" t="s">
        <v>302</v>
      </c>
      <c r="F373" s="15" t="s">
        <v>5</v>
      </c>
      <c r="H373" s="15">
        <v>0.77663119895093802</v>
      </c>
      <c r="I373" s="15">
        <v>4.1767843358413002</v>
      </c>
      <c r="J373" s="15">
        <v>8.497572438134199</v>
      </c>
      <c r="K373" s="15">
        <v>8.8183566520408903</v>
      </c>
      <c r="L373" s="15">
        <v>9.1227875923284003</v>
      </c>
      <c r="M373" s="15">
        <v>9.445499232177891</v>
      </c>
      <c r="N373" s="15">
        <v>9.7232284198343404</v>
      </c>
      <c r="O373" s="15">
        <v>10.00503077460081</v>
      </c>
      <c r="P373" s="15">
        <v>10.32502502946557</v>
      </c>
    </row>
    <row r="374" spans="1:16" x14ac:dyDescent="0.3">
      <c r="A374" s="15" t="str">
        <f t="shared" si="7"/>
        <v>WIF</v>
      </c>
      <c r="B374" s="15" t="s">
        <v>276</v>
      </c>
      <c r="C374" s="15" t="s">
        <v>228</v>
      </c>
      <c r="D374" s="15" t="s">
        <v>279</v>
      </c>
      <c r="E374" s="15" t="s">
        <v>302</v>
      </c>
      <c r="F374" s="15" t="s">
        <v>6</v>
      </c>
      <c r="H374" s="15">
        <v>2.0162555820821</v>
      </c>
      <c r="I374" s="15">
        <v>10.5516734700877</v>
      </c>
      <c r="J374" s="15">
        <v>21.465516832032911</v>
      </c>
      <c r="K374" s="15">
        <v>23.05369492038216</v>
      </c>
      <c r="L374" s="15">
        <v>24.651719313305261</v>
      </c>
      <c r="M374" s="15">
        <v>26.365595977362791</v>
      </c>
      <c r="N374" s="15">
        <v>28.022372996719589</v>
      </c>
      <c r="O374" s="15">
        <v>29.7575871387386</v>
      </c>
      <c r="P374" s="15">
        <v>31.608623902592797</v>
      </c>
    </row>
    <row r="375" spans="1:16" x14ac:dyDescent="0.3">
      <c r="A375" s="15" t="str">
        <f t="shared" si="7"/>
        <v>WIF</v>
      </c>
      <c r="B375" s="15" t="s">
        <v>276</v>
      </c>
      <c r="C375" s="15" t="s">
        <v>228</v>
      </c>
      <c r="D375" s="15" t="s">
        <v>279</v>
      </c>
      <c r="E375" s="15" t="s">
        <v>302</v>
      </c>
      <c r="F375" s="15" t="s">
        <v>7</v>
      </c>
      <c r="H375" s="15">
        <v>0.83277050523822505</v>
      </c>
      <c r="I375" s="15">
        <v>4.4181462071126001</v>
      </c>
      <c r="J375" s="15">
        <v>9.2262616927545302</v>
      </c>
      <c r="K375" s="15">
        <v>9.9909455988709404</v>
      </c>
      <c r="L375" s="15">
        <v>10.780517963532319</v>
      </c>
      <c r="M375" s="15">
        <v>11.64417684821745</v>
      </c>
      <c r="N375" s="15">
        <v>12.500382795652719</v>
      </c>
      <c r="O375" s="15">
        <v>13.41187073421291</v>
      </c>
      <c r="P375" s="15">
        <v>14.413994954662071</v>
      </c>
    </row>
    <row r="376" spans="1:16" x14ac:dyDescent="0.3">
      <c r="A376" s="15" t="str">
        <f t="shared" si="7"/>
        <v>WIF</v>
      </c>
      <c r="B376" s="15" t="s">
        <v>276</v>
      </c>
      <c r="C376" s="15" t="s">
        <v>228</v>
      </c>
      <c r="D376" s="15" t="s">
        <v>279</v>
      </c>
      <c r="E376" s="15" t="s">
        <v>302</v>
      </c>
      <c r="F376" s="15" t="s">
        <v>8</v>
      </c>
      <c r="H376" s="15">
        <v>2.25363304106402</v>
      </c>
      <c r="I376" s="15">
        <v>11.934393988514399</v>
      </c>
      <c r="J376" s="15">
        <v>24.290700371255941</v>
      </c>
      <c r="K376" s="15">
        <v>25.653696256881929</v>
      </c>
      <c r="L376" s="15">
        <v>26.965490054286832</v>
      </c>
      <c r="M376" s="15">
        <v>28.353322501470501</v>
      </c>
      <c r="N376" s="15">
        <v>29.637786185073701</v>
      </c>
      <c r="O376" s="15">
        <v>31.005317097041001</v>
      </c>
      <c r="P376" s="15">
        <v>32.459195072122903</v>
      </c>
    </row>
    <row r="377" spans="1:16" x14ac:dyDescent="0.3">
      <c r="A377" s="15" t="str">
        <f t="shared" si="7"/>
        <v>WIR</v>
      </c>
      <c r="B377" s="15" t="s">
        <v>276</v>
      </c>
      <c r="C377" s="15" t="s">
        <v>228</v>
      </c>
      <c r="D377" s="15" t="s">
        <v>279</v>
      </c>
      <c r="E377" s="15" t="s">
        <v>237</v>
      </c>
      <c r="F377" s="15" t="s">
        <v>0</v>
      </c>
      <c r="G377" s="15">
        <v>18.896337601399001</v>
      </c>
      <c r="H377" s="15">
        <v>9.1338821656052094</v>
      </c>
      <c r="I377" s="15">
        <v>9.4481688006995004</v>
      </c>
    </row>
    <row r="378" spans="1:16" x14ac:dyDescent="0.3">
      <c r="A378" s="15" t="str">
        <f t="shared" si="7"/>
        <v>WIR</v>
      </c>
      <c r="B378" s="15" t="s">
        <v>276</v>
      </c>
      <c r="C378" s="15" t="s">
        <v>228</v>
      </c>
      <c r="D378" s="15" t="s">
        <v>279</v>
      </c>
      <c r="E378" s="15" t="s">
        <v>237</v>
      </c>
      <c r="F378" s="15" t="s">
        <v>1</v>
      </c>
      <c r="G378" s="15">
        <v>49.336044616204902</v>
      </c>
      <c r="H378" s="15">
        <v>23.9520903280883</v>
      </c>
      <c r="I378" s="15">
        <v>24.668022308102501</v>
      </c>
    </row>
    <row r="379" spans="1:16" x14ac:dyDescent="0.3">
      <c r="A379" s="15" t="str">
        <f t="shared" si="7"/>
        <v>WIR</v>
      </c>
      <c r="B379" s="15" t="s">
        <v>276</v>
      </c>
      <c r="C379" s="15" t="s">
        <v>228</v>
      </c>
      <c r="D379" s="15" t="s">
        <v>279</v>
      </c>
      <c r="E379" s="15" t="s">
        <v>237</v>
      </c>
      <c r="F379" s="15" t="s">
        <v>2</v>
      </c>
      <c r="G379" s="15">
        <v>55.9686503293877</v>
      </c>
      <c r="H379" s="15">
        <v>27.5730510561791</v>
      </c>
      <c r="I379" s="15">
        <v>27.9843251646938</v>
      </c>
    </row>
    <row r="380" spans="1:16" x14ac:dyDescent="0.3">
      <c r="A380" s="15" t="str">
        <f t="shared" si="7"/>
        <v>WIR</v>
      </c>
      <c r="B380" s="15" t="s">
        <v>276</v>
      </c>
      <c r="C380" s="15" t="s">
        <v>228</v>
      </c>
      <c r="D380" s="15" t="s">
        <v>279</v>
      </c>
      <c r="E380" s="15" t="s">
        <v>237</v>
      </c>
      <c r="F380" s="15" t="s">
        <v>3</v>
      </c>
      <c r="G380" s="15">
        <v>27.1365815205586</v>
      </c>
      <c r="H380" s="15">
        <v>12.795714981349599</v>
      </c>
      <c r="I380" s="15">
        <v>13.5682907602793</v>
      </c>
    </row>
    <row r="381" spans="1:16" x14ac:dyDescent="0.3">
      <c r="A381" s="15" t="str">
        <f t="shared" si="7"/>
        <v>WIR</v>
      </c>
      <c r="B381" s="15" t="s">
        <v>276</v>
      </c>
      <c r="C381" s="15" t="s">
        <v>228</v>
      </c>
      <c r="D381" s="15" t="s">
        <v>279</v>
      </c>
      <c r="E381" s="15" t="s">
        <v>237</v>
      </c>
      <c r="F381" s="15" t="s">
        <v>4</v>
      </c>
      <c r="G381" s="15">
        <v>78.980717436251794</v>
      </c>
      <c r="H381" s="15">
        <v>35.684774691530301</v>
      </c>
      <c r="I381" s="15">
        <v>39.490358718125897</v>
      </c>
    </row>
    <row r="382" spans="1:16" x14ac:dyDescent="0.3">
      <c r="A382" s="15" t="str">
        <f t="shared" si="7"/>
        <v>WIR</v>
      </c>
      <c r="B382" s="15" t="s">
        <v>276</v>
      </c>
      <c r="C382" s="15" t="s">
        <v>228</v>
      </c>
      <c r="D382" s="15" t="s">
        <v>279</v>
      </c>
      <c r="E382" s="15" t="s">
        <v>237</v>
      </c>
      <c r="F382" s="15" t="s">
        <v>5</v>
      </c>
      <c r="G382" s="15">
        <v>21.540594978442702</v>
      </c>
      <c r="H382" s="15">
        <v>10.2580000266888</v>
      </c>
      <c r="I382" s="15">
        <v>10.770297489221299</v>
      </c>
    </row>
    <row r="383" spans="1:16" x14ac:dyDescent="0.3">
      <c r="A383" s="15" t="str">
        <f t="shared" si="7"/>
        <v>WIR</v>
      </c>
      <c r="B383" s="15" t="s">
        <v>276</v>
      </c>
      <c r="C383" s="15" t="s">
        <v>228</v>
      </c>
      <c r="D383" s="15" t="s">
        <v>279</v>
      </c>
      <c r="E383" s="15" t="s">
        <v>237</v>
      </c>
      <c r="F383" s="15" t="s">
        <v>6</v>
      </c>
      <c r="G383" s="15">
        <v>50.047622182784799</v>
      </c>
      <c r="H383" s="15">
        <v>22.127461255184599</v>
      </c>
      <c r="I383" s="15">
        <v>25.0238110913924</v>
      </c>
    </row>
    <row r="384" spans="1:16" x14ac:dyDescent="0.3">
      <c r="A384" s="15" t="str">
        <f t="shared" si="7"/>
        <v>WIR</v>
      </c>
      <c r="B384" s="15" t="s">
        <v>276</v>
      </c>
      <c r="C384" s="15" t="s">
        <v>228</v>
      </c>
      <c r="D384" s="15" t="s">
        <v>279</v>
      </c>
      <c r="E384" s="15" t="s">
        <v>237</v>
      </c>
      <c r="F384" s="15" t="s">
        <v>7</v>
      </c>
      <c r="G384" s="15">
        <v>21.878813945273901</v>
      </c>
      <c r="H384" s="15">
        <v>10.0651222144276</v>
      </c>
      <c r="I384" s="15">
        <v>10.939406972637</v>
      </c>
    </row>
    <row r="385" spans="1:16" x14ac:dyDescent="0.3">
      <c r="A385" s="15" t="str">
        <f t="shared" si="7"/>
        <v>WIR</v>
      </c>
      <c r="B385" s="15" t="s">
        <v>276</v>
      </c>
      <c r="C385" s="15" t="s">
        <v>228</v>
      </c>
      <c r="D385" s="15" t="s">
        <v>279</v>
      </c>
      <c r="E385" s="15" t="s">
        <v>237</v>
      </c>
      <c r="F385" s="15" t="s">
        <v>8</v>
      </c>
      <c r="G385" s="15">
        <v>58.766643600445597</v>
      </c>
      <c r="H385" s="15">
        <v>26.8996294026743</v>
      </c>
      <c r="I385" s="15">
        <v>29.383321800222799</v>
      </c>
    </row>
    <row r="386" spans="1:16" x14ac:dyDescent="0.3">
      <c r="A386" s="15" t="str">
        <f>MID(E386,4,3)</f>
        <v>WIR</v>
      </c>
      <c r="B386" s="15" t="s">
        <v>276</v>
      </c>
      <c r="C386" s="15" t="s">
        <v>228</v>
      </c>
      <c r="D386" s="15" t="s">
        <v>279</v>
      </c>
      <c r="E386" s="15" t="s">
        <v>337</v>
      </c>
      <c r="F386" s="15" t="s">
        <v>0</v>
      </c>
      <c r="H386" s="15">
        <v>9.6568805747093993</v>
      </c>
      <c r="I386" s="15">
        <v>9.6568805747093993</v>
      </c>
      <c r="J386" s="15">
        <v>19.640491932639669</v>
      </c>
      <c r="K386" s="15">
        <v>20.174381913614141</v>
      </c>
      <c r="L386" s="15">
        <v>20.65350025326104</v>
      </c>
      <c r="M386" s="15">
        <v>21.13147675388505</v>
      </c>
      <c r="N386" s="15">
        <v>21.453247144811449</v>
      </c>
      <c r="O386" s="15">
        <v>21.737847270663138</v>
      </c>
      <c r="P386" s="15">
        <v>22.08533094057384</v>
      </c>
    </row>
    <row r="387" spans="1:16" x14ac:dyDescent="0.3">
      <c r="A387" s="15" t="str">
        <f>MID(E387,4,3)</f>
        <v>WIR</v>
      </c>
      <c r="B387" s="15" t="s">
        <v>276</v>
      </c>
      <c r="C387" s="15" t="s">
        <v>228</v>
      </c>
      <c r="D387" s="15" t="s">
        <v>279</v>
      </c>
      <c r="E387" s="15" t="s">
        <v>337</v>
      </c>
      <c r="F387" s="15" t="s">
        <v>1</v>
      </c>
      <c r="H387" s="15">
        <v>25.073433706491201</v>
      </c>
      <c r="I387" s="15">
        <v>25.073433706491201</v>
      </c>
      <c r="J387" s="15">
        <v>50.7652931472837</v>
      </c>
      <c r="K387" s="15">
        <v>51.710752824335501</v>
      </c>
      <c r="L387" s="15">
        <v>52.524295197346305</v>
      </c>
      <c r="M387" s="15">
        <v>53.386112634913999</v>
      </c>
      <c r="N387" s="15">
        <v>53.9123992268077</v>
      </c>
      <c r="O387" s="15">
        <v>54.354333041543299</v>
      </c>
      <c r="P387" s="15">
        <v>54.960644181855002</v>
      </c>
    </row>
    <row r="388" spans="1:16" x14ac:dyDescent="0.3">
      <c r="A388" s="15" t="str">
        <f t="shared" ref="A388:A451" si="8">MID(E388,4,3)</f>
        <v>WIR</v>
      </c>
      <c r="B388" s="15" t="s">
        <v>276</v>
      </c>
      <c r="C388" s="15" t="s">
        <v>228</v>
      </c>
      <c r="D388" s="15" t="s">
        <v>279</v>
      </c>
      <c r="E388" s="15" t="s">
        <v>337</v>
      </c>
      <c r="F388" s="15" t="s">
        <v>2</v>
      </c>
      <c r="H388" s="15">
        <v>27.909697852989201</v>
      </c>
      <c r="I388" s="15">
        <v>27.909697852989201</v>
      </c>
      <c r="J388" s="15">
        <v>57.091095010543398</v>
      </c>
      <c r="K388" s="15">
        <v>58.457680153452998</v>
      </c>
      <c r="L388" s="15">
        <v>59.746706035509099</v>
      </c>
      <c r="M388" s="15">
        <v>61.106853144854298</v>
      </c>
      <c r="N388" s="15">
        <v>62.0775316406596</v>
      </c>
      <c r="O388" s="15">
        <v>62.9693070837573</v>
      </c>
      <c r="P388" s="15">
        <v>63.826641746774101</v>
      </c>
    </row>
    <row r="389" spans="1:16" x14ac:dyDescent="0.3">
      <c r="A389" s="15" t="str">
        <f t="shared" si="8"/>
        <v>WIR</v>
      </c>
      <c r="B389" s="15" t="s">
        <v>276</v>
      </c>
      <c r="C389" s="15" t="s">
        <v>228</v>
      </c>
      <c r="D389" s="15" t="s">
        <v>279</v>
      </c>
      <c r="E389" s="15" t="s">
        <v>337</v>
      </c>
      <c r="F389" s="15" t="s">
        <v>3</v>
      </c>
      <c r="H389" s="15">
        <v>14.2963317254794</v>
      </c>
      <c r="I389" s="15">
        <v>14.2963317254794</v>
      </c>
      <c r="J389" s="15">
        <v>28.979357202570959</v>
      </c>
      <c r="K389" s="15">
        <v>30.0873638523348</v>
      </c>
      <c r="L389" s="15">
        <v>31.135637008822201</v>
      </c>
      <c r="M389" s="15">
        <v>32.270616798943898</v>
      </c>
      <c r="N389" s="15">
        <v>33.260879902102999</v>
      </c>
      <c r="O389" s="15">
        <v>34.249254054064899</v>
      </c>
      <c r="P389" s="15">
        <v>35.262451701060897</v>
      </c>
    </row>
    <row r="390" spans="1:16" x14ac:dyDescent="0.3">
      <c r="A390" s="15" t="str">
        <f t="shared" si="8"/>
        <v>WIR</v>
      </c>
      <c r="B390" s="15" t="s">
        <v>276</v>
      </c>
      <c r="C390" s="15" t="s">
        <v>228</v>
      </c>
      <c r="D390" s="15" t="s">
        <v>279</v>
      </c>
      <c r="E390" s="15" t="s">
        <v>337</v>
      </c>
      <c r="F390" s="15" t="s">
        <v>4</v>
      </c>
      <c r="H390" s="15">
        <v>43.6853282836422</v>
      </c>
      <c r="I390" s="15">
        <v>43.6853282836422</v>
      </c>
      <c r="J390" s="15">
        <v>88.992921217946503</v>
      </c>
      <c r="K390" s="15">
        <v>94.794989558993905</v>
      </c>
      <c r="L390" s="15">
        <v>100.66396482805101</v>
      </c>
      <c r="M390" s="15">
        <v>106.9807546367371</v>
      </c>
      <c r="N390" s="15">
        <v>113.00344896615439</v>
      </c>
      <c r="O390" s="15">
        <v>119.30921983073239</v>
      </c>
      <c r="P390" s="15">
        <v>125.8005362923731</v>
      </c>
    </row>
    <row r="391" spans="1:16" x14ac:dyDescent="0.3">
      <c r="A391" s="15" t="str">
        <f t="shared" si="8"/>
        <v>WIR</v>
      </c>
      <c r="B391" s="15" t="s">
        <v>276</v>
      </c>
      <c r="C391" s="15" t="s">
        <v>228</v>
      </c>
      <c r="D391" s="15" t="s">
        <v>279</v>
      </c>
      <c r="E391" s="15" t="s">
        <v>337</v>
      </c>
      <c r="F391" s="15" t="s">
        <v>5</v>
      </c>
      <c r="H391" s="15">
        <v>11.2135901996262</v>
      </c>
      <c r="I391" s="15">
        <v>11.2135901996262</v>
      </c>
      <c r="J391" s="15">
        <v>22.813793423615039</v>
      </c>
      <c r="K391" s="15">
        <v>23.67501641911219</v>
      </c>
      <c r="L391" s="15">
        <v>24.492335086771789</v>
      </c>
      <c r="M391" s="15">
        <v>25.358732724511608</v>
      </c>
      <c r="N391" s="15">
        <v>26.104364063465308</v>
      </c>
      <c r="O391" s="15">
        <v>26.86093080705426</v>
      </c>
      <c r="P391" s="15">
        <v>27.720032965979961</v>
      </c>
    </row>
    <row r="392" spans="1:16" x14ac:dyDescent="0.3">
      <c r="A392" s="15" t="str">
        <f t="shared" si="8"/>
        <v>WIR</v>
      </c>
      <c r="B392" s="15" t="s">
        <v>276</v>
      </c>
      <c r="C392" s="15" t="s">
        <v>228</v>
      </c>
      <c r="D392" s="15" t="s">
        <v>279</v>
      </c>
      <c r="E392" s="15" t="s">
        <v>337</v>
      </c>
      <c r="F392" s="15" t="s">
        <v>6</v>
      </c>
      <c r="H392" s="15">
        <v>28.328525655131099</v>
      </c>
      <c r="I392" s="15">
        <v>28.328525655131099</v>
      </c>
      <c r="J392" s="15">
        <v>57.629384192063995</v>
      </c>
      <c r="K392" s="15">
        <v>61.893233319717595</v>
      </c>
      <c r="L392" s="15">
        <v>66.183517239209692</v>
      </c>
      <c r="M392" s="15">
        <v>70.784834668631703</v>
      </c>
      <c r="N392" s="15">
        <v>75.232854258200405</v>
      </c>
      <c r="O392" s="15">
        <v>79.891457320423697</v>
      </c>
      <c r="P392" s="15">
        <v>84.861014291844796</v>
      </c>
    </row>
    <row r="393" spans="1:16" x14ac:dyDescent="0.3">
      <c r="A393" s="15" t="str">
        <f t="shared" si="8"/>
        <v>WIR</v>
      </c>
      <c r="B393" s="15" t="s">
        <v>276</v>
      </c>
      <c r="C393" s="15" t="s">
        <v>228</v>
      </c>
      <c r="D393" s="15" t="s">
        <v>279</v>
      </c>
      <c r="E393" s="15" t="s">
        <v>337</v>
      </c>
      <c r="F393" s="15" t="s">
        <v>7</v>
      </c>
      <c r="H393" s="15">
        <v>11.8615846605865</v>
      </c>
      <c r="I393" s="15">
        <v>11.8615846605865</v>
      </c>
      <c r="J393" s="15">
        <v>24.7701363963813</v>
      </c>
      <c r="K393" s="15">
        <v>26.823115737894639</v>
      </c>
      <c r="L393" s="15">
        <v>28.94291418051144</v>
      </c>
      <c r="M393" s="15">
        <v>31.261615848208301</v>
      </c>
      <c r="N393" s="15">
        <v>33.560308298913398</v>
      </c>
      <c r="O393" s="15">
        <v>36.0074186577625</v>
      </c>
      <c r="P393" s="15">
        <v>38.697864089863899</v>
      </c>
    </row>
    <row r="394" spans="1:16" x14ac:dyDescent="0.3">
      <c r="A394" s="15" t="str">
        <f t="shared" si="8"/>
        <v>WIR</v>
      </c>
      <c r="B394" s="15" t="s">
        <v>276</v>
      </c>
      <c r="C394" s="15" t="s">
        <v>228</v>
      </c>
      <c r="D394" s="15" t="s">
        <v>279</v>
      </c>
      <c r="E394" s="15" t="s">
        <v>337</v>
      </c>
      <c r="F394" s="15" t="s">
        <v>8</v>
      </c>
      <c r="H394" s="15">
        <v>32.040774123695797</v>
      </c>
      <c r="I394" s="15">
        <v>32.040774123695797</v>
      </c>
      <c r="J394" s="15">
        <v>65.214274361212603</v>
      </c>
      <c r="K394" s="15">
        <v>68.8735672708398</v>
      </c>
      <c r="L394" s="15">
        <v>72.395395760829899</v>
      </c>
      <c r="M394" s="15">
        <v>76.121368441516097</v>
      </c>
      <c r="N394" s="15">
        <v>79.569822614893496</v>
      </c>
      <c r="O394" s="15">
        <v>83.241290902238703</v>
      </c>
      <c r="P394" s="15">
        <v>87.144578815126806</v>
      </c>
    </row>
    <row r="395" spans="1:16" x14ac:dyDescent="0.3">
      <c r="A395" s="15" t="str">
        <f t="shared" si="8"/>
        <v>AHP</v>
      </c>
      <c r="B395" s="15" t="s">
        <v>276</v>
      </c>
      <c r="C395" s="15" t="s">
        <v>238</v>
      </c>
      <c r="D395" s="15" t="s">
        <v>280</v>
      </c>
      <c r="E395" s="15" t="s">
        <v>305</v>
      </c>
      <c r="F395" s="15" t="s">
        <v>0</v>
      </c>
      <c r="I395" s="15">
        <v>0.76579789493286898</v>
      </c>
      <c r="J395" s="15">
        <v>0.76579789493286898</v>
      </c>
      <c r="K395" s="15">
        <v>0.76579789493286898</v>
      </c>
    </row>
    <row r="396" spans="1:16" x14ac:dyDescent="0.3">
      <c r="A396" s="15" t="str">
        <f t="shared" si="8"/>
        <v>AHP</v>
      </c>
      <c r="B396" s="15" t="s">
        <v>276</v>
      </c>
      <c r="C396" s="15" t="s">
        <v>238</v>
      </c>
      <c r="D396" s="15" t="s">
        <v>280</v>
      </c>
      <c r="E396" s="15" t="s">
        <v>305</v>
      </c>
      <c r="F396" s="15" t="s">
        <v>1</v>
      </c>
      <c r="I396" s="15">
        <v>2.7603769422766402</v>
      </c>
      <c r="J396" s="15">
        <v>2.7603769422766402</v>
      </c>
      <c r="K396" s="15">
        <v>2.7603769422766402</v>
      </c>
    </row>
    <row r="397" spans="1:16" x14ac:dyDescent="0.3">
      <c r="A397" s="15" t="str">
        <f t="shared" si="8"/>
        <v>AHP</v>
      </c>
      <c r="B397" s="15" t="s">
        <v>276</v>
      </c>
      <c r="C397" s="15" t="s">
        <v>238</v>
      </c>
      <c r="D397" s="15" t="s">
        <v>280</v>
      </c>
      <c r="E397" s="15" t="s">
        <v>305</v>
      </c>
      <c r="F397" s="15" t="s">
        <v>2</v>
      </c>
      <c r="I397" s="15">
        <v>1.52567123535829</v>
      </c>
      <c r="J397" s="15">
        <v>1.52567123535829</v>
      </c>
      <c r="K397" s="15">
        <v>1.52567123535829</v>
      </c>
    </row>
    <row r="398" spans="1:16" x14ac:dyDescent="0.3">
      <c r="A398" s="15" t="str">
        <f t="shared" si="8"/>
        <v>AHP</v>
      </c>
      <c r="B398" s="15" t="s">
        <v>276</v>
      </c>
      <c r="C398" s="15" t="s">
        <v>238</v>
      </c>
      <c r="D398" s="15" t="s">
        <v>280</v>
      </c>
      <c r="E398" s="15" t="s">
        <v>305</v>
      </c>
      <c r="F398" s="15" t="s">
        <v>3</v>
      </c>
      <c r="I398" s="15">
        <v>1.6957147559952199</v>
      </c>
      <c r="J398" s="15">
        <v>1.6957147559952199</v>
      </c>
      <c r="K398" s="15">
        <v>1.6957147559952199</v>
      </c>
    </row>
    <row r="399" spans="1:16" x14ac:dyDescent="0.3">
      <c r="A399" s="15" t="str">
        <f t="shared" si="8"/>
        <v>AHP</v>
      </c>
      <c r="B399" s="15" t="s">
        <v>276</v>
      </c>
      <c r="C399" s="15" t="s">
        <v>238</v>
      </c>
      <c r="D399" s="15" t="s">
        <v>280</v>
      </c>
      <c r="E399" s="15" t="s">
        <v>305</v>
      </c>
      <c r="F399" s="15" t="s">
        <v>4</v>
      </c>
      <c r="I399" s="15">
        <v>53.087915315851298</v>
      </c>
      <c r="J399" s="15">
        <v>53.087915315851298</v>
      </c>
      <c r="K399" s="15">
        <v>53.087915315851298</v>
      </c>
    </row>
    <row r="400" spans="1:16" x14ac:dyDescent="0.3">
      <c r="A400" s="15" t="str">
        <f t="shared" si="8"/>
        <v>AHP</v>
      </c>
      <c r="B400" s="15" t="s">
        <v>276</v>
      </c>
      <c r="C400" s="15" t="s">
        <v>238</v>
      </c>
      <c r="D400" s="15" t="s">
        <v>280</v>
      </c>
      <c r="E400" s="15" t="s">
        <v>305</v>
      </c>
      <c r="F400" s="15" t="s">
        <v>5</v>
      </c>
      <c r="I400" s="15">
        <v>7.3947035955319604</v>
      </c>
      <c r="J400" s="15">
        <v>7.3947035955319604</v>
      </c>
      <c r="K400" s="15">
        <v>7.3947035955319604</v>
      </c>
    </row>
    <row r="401" spans="1:16" x14ac:dyDescent="0.3">
      <c r="A401" s="15" t="str">
        <f t="shared" si="8"/>
        <v>AHP</v>
      </c>
      <c r="B401" s="15" t="s">
        <v>276</v>
      </c>
      <c r="C401" s="15" t="s">
        <v>238</v>
      </c>
      <c r="D401" s="15" t="s">
        <v>280</v>
      </c>
      <c r="E401" s="15" t="s">
        <v>305</v>
      </c>
      <c r="F401" s="15" t="s">
        <v>6</v>
      </c>
      <c r="I401" s="15">
        <v>17.1630217921333</v>
      </c>
      <c r="J401" s="15">
        <v>17.1630217921333</v>
      </c>
      <c r="K401" s="15">
        <v>17.1630217921333</v>
      </c>
    </row>
    <row r="402" spans="1:16" x14ac:dyDescent="0.3">
      <c r="A402" s="15" t="str">
        <f t="shared" si="8"/>
        <v>AHP</v>
      </c>
      <c r="B402" s="15" t="s">
        <v>276</v>
      </c>
      <c r="C402" s="15" t="s">
        <v>238</v>
      </c>
      <c r="D402" s="15" t="s">
        <v>280</v>
      </c>
      <c r="E402" s="15" t="s">
        <v>305</v>
      </c>
      <c r="F402" s="15" t="s">
        <v>7</v>
      </c>
      <c r="I402" s="15">
        <v>4.8946973331544896</v>
      </c>
      <c r="J402" s="15">
        <v>4.8946973331544896</v>
      </c>
      <c r="K402" s="15">
        <v>4.8946973331544896</v>
      </c>
    </row>
    <row r="403" spans="1:16" x14ac:dyDescent="0.3">
      <c r="A403" s="15" t="str">
        <f t="shared" si="8"/>
        <v>AHP</v>
      </c>
      <c r="B403" s="15" t="s">
        <v>276</v>
      </c>
      <c r="C403" s="15" t="s">
        <v>238</v>
      </c>
      <c r="D403" s="15" t="s">
        <v>280</v>
      </c>
      <c r="E403" s="15" t="s">
        <v>305</v>
      </c>
      <c r="F403" s="15" t="s">
        <v>8</v>
      </c>
      <c r="I403" s="15">
        <v>9.7969223330137893</v>
      </c>
      <c r="J403" s="15">
        <v>9.7969223330137893</v>
      </c>
      <c r="K403" s="15">
        <v>9.7969223330137893</v>
      </c>
    </row>
    <row r="404" spans="1:16" x14ac:dyDescent="0.3">
      <c r="A404" s="15" t="str">
        <f t="shared" si="8"/>
        <v>AHP</v>
      </c>
      <c r="B404" s="15" t="s">
        <v>276</v>
      </c>
      <c r="C404" s="15" t="s">
        <v>238</v>
      </c>
      <c r="D404" s="15" t="s">
        <v>280</v>
      </c>
      <c r="E404" s="15" t="s">
        <v>241</v>
      </c>
      <c r="F404" s="15" t="s">
        <v>0</v>
      </c>
      <c r="G404" s="15">
        <v>1.6794106436442</v>
      </c>
      <c r="H404" s="15">
        <v>1.56744993406792</v>
      </c>
      <c r="I404" s="15">
        <v>0.62162107735739702</v>
      </c>
      <c r="J404" s="15">
        <v>0.55980354788139897</v>
      </c>
    </row>
    <row r="405" spans="1:16" x14ac:dyDescent="0.3">
      <c r="A405" s="15" t="str">
        <f t="shared" si="8"/>
        <v>AHP</v>
      </c>
      <c r="B405" s="15" t="s">
        <v>276</v>
      </c>
      <c r="C405" s="15" t="s">
        <v>238</v>
      </c>
      <c r="D405" s="15" t="s">
        <v>280</v>
      </c>
      <c r="E405" s="15" t="s">
        <v>241</v>
      </c>
      <c r="F405" s="15" t="s">
        <v>1</v>
      </c>
      <c r="G405" s="15">
        <v>6.9368377759110702</v>
      </c>
      <c r="H405" s="15">
        <v>6.4743819241836604</v>
      </c>
      <c r="I405" s="15">
        <v>2.6226023521732</v>
      </c>
      <c r="J405" s="15">
        <v>2.31227925863702</v>
      </c>
    </row>
    <row r="406" spans="1:16" x14ac:dyDescent="0.3">
      <c r="A406" s="15" t="str">
        <f t="shared" si="8"/>
        <v>AHP</v>
      </c>
      <c r="B406" s="15" t="s">
        <v>276</v>
      </c>
      <c r="C406" s="15" t="s">
        <v>238</v>
      </c>
      <c r="D406" s="15" t="s">
        <v>280</v>
      </c>
      <c r="E406" s="15" t="s">
        <v>241</v>
      </c>
      <c r="F406" s="15" t="s">
        <v>2</v>
      </c>
      <c r="G406" s="15">
        <v>3.74200406816241</v>
      </c>
      <c r="H406" s="15">
        <v>3.4520487599724499</v>
      </c>
      <c r="I406" s="15">
        <v>1.132029318124</v>
      </c>
      <c r="J406" s="15">
        <v>1.2473346893874699</v>
      </c>
    </row>
    <row r="407" spans="1:16" x14ac:dyDescent="0.3">
      <c r="A407" s="15" t="str">
        <f t="shared" si="8"/>
        <v>AHP</v>
      </c>
      <c r="B407" s="15" t="s">
        <v>276</v>
      </c>
      <c r="C407" s="15" t="s">
        <v>238</v>
      </c>
      <c r="D407" s="15" t="s">
        <v>280</v>
      </c>
      <c r="E407" s="15" t="s">
        <v>241</v>
      </c>
      <c r="F407" s="15" t="s">
        <v>3</v>
      </c>
      <c r="G407" s="15">
        <v>3.4408567221121098</v>
      </c>
      <c r="H407" s="15">
        <v>3.2114662739713</v>
      </c>
      <c r="I407" s="15">
        <v>1.13139033679394</v>
      </c>
      <c r="J407" s="15">
        <v>1.14695224070404</v>
      </c>
    </row>
    <row r="408" spans="1:16" x14ac:dyDescent="0.3">
      <c r="A408" s="15" t="str">
        <f t="shared" si="8"/>
        <v>AHP</v>
      </c>
      <c r="B408" s="15" t="s">
        <v>276</v>
      </c>
      <c r="C408" s="15" t="s">
        <v>238</v>
      </c>
      <c r="D408" s="15" t="s">
        <v>280</v>
      </c>
      <c r="E408" s="15" t="s">
        <v>241</v>
      </c>
      <c r="F408" s="15" t="s">
        <v>4</v>
      </c>
      <c r="G408" s="15">
        <v>90.020823830499097</v>
      </c>
      <c r="H408" s="15">
        <v>84.019435575132405</v>
      </c>
      <c r="I408" s="15">
        <v>41.760924656518803</v>
      </c>
      <c r="J408" s="15">
        <v>30.006941276833</v>
      </c>
    </row>
    <row r="409" spans="1:16" x14ac:dyDescent="0.3">
      <c r="A409" s="15" t="str">
        <f t="shared" si="8"/>
        <v>AHP</v>
      </c>
      <c r="B409" s="15" t="s">
        <v>276</v>
      </c>
      <c r="C409" s="15" t="s">
        <v>238</v>
      </c>
      <c r="D409" s="15" t="s">
        <v>280</v>
      </c>
      <c r="E409" s="15" t="s">
        <v>241</v>
      </c>
      <c r="F409" s="15" t="s">
        <v>5</v>
      </c>
      <c r="G409" s="15">
        <v>15.500410850104799</v>
      </c>
      <c r="H409" s="15">
        <v>14.4670501267645</v>
      </c>
      <c r="I409" s="15">
        <v>5.6014942791231501</v>
      </c>
      <c r="J409" s="15">
        <v>5.1668036167016096</v>
      </c>
    </row>
    <row r="410" spans="1:16" x14ac:dyDescent="0.3">
      <c r="A410" s="15" t="str">
        <f t="shared" si="8"/>
        <v>AHP</v>
      </c>
      <c r="B410" s="15" t="s">
        <v>276</v>
      </c>
      <c r="C410" s="15" t="s">
        <v>238</v>
      </c>
      <c r="D410" s="15" t="s">
        <v>280</v>
      </c>
      <c r="E410" s="15" t="s">
        <v>241</v>
      </c>
      <c r="F410" s="15" t="s">
        <v>6</v>
      </c>
      <c r="G410" s="15">
        <v>25.4415436746716</v>
      </c>
      <c r="H410" s="15">
        <v>23.745440763026799</v>
      </c>
      <c r="I410" s="15">
        <v>8.6497928322682807</v>
      </c>
      <c r="J410" s="15">
        <v>8.4805145582238595</v>
      </c>
    </row>
    <row r="411" spans="1:16" x14ac:dyDescent="0.3">
      <c r="A411" s="15" t="str">
        <f t="shared" si="8"/>
        <v>AHP</v>
      </c>
      <c r="B411" s="15" t="s">
        <v>276</v>
      </c>
      <c r="C411" s="15" t="s">
        <v>238</v>
      </c>
      <c r="D411" s="15" t="s">
        <v>280</v>
      </c>
      <c r="E411" s="15" t="s">
        <v>241</v>
      </c>
      <c r="F411" s="15" t="s">
        <v>7</v>
      </c>
      <c r="G411" s="15">
        <v>7.4790414313035098</v>
      </c>
      <c r="H411" s="15">
        <v>6.9804386692166096</v>
      </c>
      <c r="I411" s="15">
        <v>2.4924510318161901</v>
      </c>
      <c r="J411" s="15">
        <v>2.4930138104344999</v>
      </c>
    </row>
    <row r="412" spans="1:16" x14ac:dyDescent="0.3">
      <c r="A412" s="15" t="str">
        <f t="shared" si="8"/>
        <v>AHP</v>
      </c>
      <c r="B412" s="15" t="s">
        <v>276</v>
      </c>
      <c r="C412" s="15" t="s">
        <v>238</v>
      </c>
      <c r="D412" s="15" t="s">
        <v>280</v>
      </c>
      <c r="E412" s="15" t="s">
        <v>241</v>
      </c>
      <c r="F412" s="15" t="s">
        <v>8</v>
      </c>
      <c r="G412" s="15">
        <v>12.864595024578801</v>
      </c>
      <c r="H412" s="15">
        <v>12.0069553562736</v>
      </c>
      <c r="I412" s="15">
        <v>8.5763966830525593</v>
      </c>
      <c r="J412" s="15">
        <v>4.2881983415262797</v>
      </c>
    </row>
    <row r="413" spans="1:16" x14ac:dyDescent="0.3">
      <c r="A413" s="15" t="str">
        <f t="shared" si="8"/>
        <v>AHP</v>
      </c>
      <c r="B413" s="15" t="s">
        <v>276</v>
      </c>
      <c r="C413" s="15" t="s">
        <v>238</v>
      </c>
      <c r="D413" s="15" t="s">
        <v>280</v>
      </c>
      <c r="E413" s="15" t="s">
        <v>306</v>
      </c>
      <c r="F413" s="15" t="s">
        <v>0</v>
      </c>
      <c r="H413" s="15">
        <v>3.11624387732201E-2</v>
      </c>
      <c r="J413" s="15">
        <v>3.11624387732201E-2</v>
      </c>
      <c r="K413" s="15">
        <v>0.61386659803049959</v>
      </c>
      <c r="L413" s="15">
        <v>1.3994205773780801</v>
      </c>
      <c r="M413" s="15">
        <v>1.4198166511908594</v>
      </c>
      <c r="N413" s="15">
        <v>1.4351673934167424</v>
      </c>
      <c r="O413" s="15">
        <v>1.4567088039902574</v>
      </c>
      <c r="P413" s="15">
        <v>1.4938820020548575</v>
      </c>
    </row>
    <row r="414" spans="1:16" x14ac:dyDescent="0.3">
      <c r="A414" s="15" t="str">
        <f t="shared" si="8"/>
        <v>AHP</v>
      </c>
      <c r="B414" s="15" t="s">
        <v>276</v>
      </c>
      <c r="C414" s="15" t="s">
        <v>238</v>
      </c>
      <c r="D414" s="15" t="s">
        <v>280</v>
      </c>
      <c r="E414" s="15" t="s">
        <v>306</v>
      </c>
      <c r="F414" s="15" t="s">
        <v>1</v>
      </c>
      <c r="H414" s="15">
        <v>4.0569715189484198E-2</v>
      </c>
      <c r="J414" s="15">
        <v>4.0569715189484198E-2</v>
      </c>
      <c r="K414" s="15">
        <v>2.3531908017582852</v>
      </c>
      <c r="L414" s="15">
        <v>5.0923056523160906</v>
      </c>
      <c r="M414" s="15">
        <v>5.0960387766170339</v>
      </c>
      <c r="N414" s="15">
        <v>5.0821543988378739</v>
      </c>
      <c r="O414" s="15">
        <v>5.0882041672061034</v>
      </c>
      <c r="P414" s="15">
        <v>5.1561971722594437</v>
      </c>
    </row>
    <row r="415" spans="1:16" x14ac:dyDescent="0.3">
      <c r="A415" s="15" t="str">
        <f t="shared" si="8"/>
        <v>AHP</v>
      </c>
      <c r="B415" s="15" t="s">
        <v>276</v>
      </c>
      <c r="C415" s="15" t="s">
        <v>238</v>
      </c>
      <c r="D415" s="15" t="s">
        <v>280</v>
      </c>
      <c r="E415" s="15" t="s">
        <v>306</v>
      </c>
      <c r="F415" s="15" t="s">
        <v>2</v>
      </c>
      <c r="J415" s="15">
        <v>3.7580301742121701E-2</v>
      </c>
      <c r="K415" s="15">
        <v>1.2339769708786616</v>
      </c>
      <c r="L415" s="15">
        <v>2.7077734785963719</v>
      </c>
      <c r="M415" s="15">
        <v>2.6701931768542497</v>
      </c>
      <c r="N415" s="15">
        <v>2.6263348475040198</v>
      </c>
      <c r="O415" s="15">
        <v>2.5991615750986501</v>
      </c>
      <c r="P415" s="15">
        <v>2.5991615750986501</v>
      </c>
    </row>
    <row r="416" spans="1:16" x14ac:dyDescent="0.3">
      <c r="A416" s="15" t="str">
        <f t="shared" si="8"/>
        <v>AHP</v>
      </c>
      <c r="B416" s="15" t="s">
        <v>276</v>
      </c>
      <c r="C416" s="15" t="s">
        <v>238</v>
      </c>
      <c r="D416" s="15" t="s">
        <v>280</v>
      </c>
      <c r="E416" s="15" t="s">
        <v>306</v>
      </c>
      <c r="F416" s="15" t="s">
        <v>3</v>
      </c>
      <c r="H416" s="15">
        <v>5.9917215945342502E-2</v>
      </c>
      <c r="J416" s="15">
        <v>6.9796601429644514E-2</v>
      </c>
      <c r="K416" s="15">
        <v>1.1894416957059419</v>
      </c>
      <c r="L416" s="15">
        <v>2.855285651587022</v>
      </c>
      <c r="M416" s="15">
        <v>2.84540626610272</v>
      </c>
      <c r="N416" s="15">
        <v>2.8317815162755098</v>
      </c>
      <c r="O416" s="15">
        <v>2.83743402106724</v>
      </c>
      <c r="P416" s="15">
        <v>2.8714953923162505</v>
      </c>
    </row>
    <row r="417" spans="1:16" x14ac:dyDescent="0.3">
      <c r="A417" s="15" t="str">
        <f t="shared" si="8"/>
        <v>AHP</v>
      </c>
      <c r="B417" s="15" t="s">
        <v>276</v>
      </c>
      <c r="C417" s="15" t="s">
        <v>238</v>
      </c>
      <c r="D417" s="15" t="s">
        <v>280</v>
      </c>
      <c r="E417" s="15" t="s">
        <v>306</v>
      </c>
      <c r="F417" s="15" t="s">
        <v>4</v>
      </c>
      <c r="H417" s="15">
        <v>6.8610546834385104</v>
      </c>
      <c r="J417" s="15">
        <v>6.8610546834385104</v>
      </c>
      <c r="K417" s="15">
        <v>39.125776347531797</v>
      </c>
      <c r="L417" s="15">
        <v>94.333035414784206</v>
      </c>
      <c r="M417" s="15">
        <v>96.981286106175304</v>
      </c>
      <c r="N417" s="15">
        <v>99.539787614503808</v>
      </c>
      <c r="O417" s="15">
        <v>102.88929261855</v>
      </c>
      <c r="P417" s="15">
        <v>106.50272832249611</v>
      </c>
    </row>
    <row r="418" spans="1:16" x14ac:dyDescent="0.3">
      <c r="A418" s="15" t="str">
        <f t="shared" si="8"/>
        <v>AHP</v>
      </c>
      <c r="B418" s="15" t="s">
        <v>276</v>
      </c>
      <c r="C418" s="15" t="s">
        <v>238</v>
      </c>
      <c r="D418" s="15" t="s">
        <v>280</v>
      </c>
      <c r="E418" s="15" t="s">
        <v>306</v>
      </c>
      <c r="F418" s="15" t="s">
        <v>5</v>
      </c>
      <c r="H418" s="15">
        <v>0.33597213269194298</v>
      </c>
      <c r="J418" s="15">
        <v>0.33597213269194298</v>
      </c>
      <c r="K418" s="15">
        <v>5.4633704363377786</v>
      </c>
      <c r="L418" s="15">
        <v>12.799971918664781</v>
      </c>
      <c r="M418" s="15">
        <v>12.8066085073467</v>
      </c>
      <c r="N418" s="15">
        <v>12.79824076131586</v>
      </c>
      <c r="O418" s="15">
        <v>12.87516795096024</v>
      </c>
      <c r="P418" s="15">
        <v>13.077427748075113</v>
      </c>
    </row>
    <row r="419" spans="1:16" x14ac:dyDescent="0.3">
      <c r="A419" s="15" t="str">
        <f t="shared" si="8"/>
        <v>AHP</v>
      </c>
      <c r="B419" s="15" t="s">
        <v>276</v>
      </c>
      <c r="C419" s="15" t="s">
        <v>238</v>
      </c>
      <c r="D419" s="15" t="s">
        <v>280</v>
      </c>
      <c r="E419" s="15" t="s">
        <v>306</v>
      </c>
      <c r="F419" s="15" t="s">
        <v>6</v>
      </c>
      <c r="H419" s="15">
        <v>1.6873238686062</v>
      </c>
      <c r="J419" s="15">
        <v>1.6873238686062</v>
      </c>
      <c r="K419" s="15">
        <v>11.25385224395033</v>
      </c>
      <c r="L419" s="15">
        <v>29.429231472147301</v>
      </c>
      <c r="M419" s="15">
        <v>30.603187288165511</v>
      </c>
      <c r="N419" s="15">
        <v>31.745626749755409</v>
      </c>
      <c r="O419" s="15">
        <v>33.154264026648413</v>
      </c>
      <c r="P419" s="15">
        <v>34.927963407243588</v>
      </c>
    </row>
    <row r="420" spans="1:16" x14ac:dyDescent="0.3">
      <c r="A420" s="15" t="str">
        <f t="shared" si="8"/>
        <v>AHP</v>
      </c>
      <c r="B420" s="15" t="s">
        <v>276</v>
      </c>
      <c r="C420" s="15" t="s">
        <v>238</v>
      </c>
      <c r="D420" s="15" t="s">
        <v>280</v>
      </c>
      <c r="E420" s="15" t="s">
        <v>306</v>
      </c>
      <c r="F420" s="15" t="s">
        <v>7</v>
      </c>
      <c r="H420" s="15">
        <v>0.44506830354183102</v>
      </c>
      <c r="J420" s="15">
        <v>0.44506830354183102</v>
      </c>
      <c r="K420" s="15">
        <v>3.2979285239168128</v>
      </c>
      <c r="L420" s="15">
        <v>8.5562756171368104</v>
      </c>
      <c r="M420" s="15">
        <v>8.9965655039136525</v>
      </c>
      <c r="N420" s="15">
        <v>9.4370518242220527</v>
      </c>
      <c r="O420" s="15">
        <v>9.9711577684959725</v>
      </c>
      <c r="P420" s="15">
        <v>10.639107832240791</v>
      </c>
    </row>
    <row r="421" spans="1:16" x14ac:dyDescent="0.3">
      <c r="A421" s="15" t="str">
        <f t="shared" si="8"/>
        <v>AHP</v>
      </c>
      <c r="B421" s="15" t="s">
        <v>276</v>
      </c>
      <c r="C421" s="15" t="s">
        <v>238</v>
      </c>
      <c r="D421" s="15" t="s">
        <v>280</v>
      </c>
      <c r="E421" s="15" t="s">
        <v>306</v>
      </c>
      <c r="F421" s="15" t="s">
        <v>8</v>
      </c>
      <c r="H421" s="15">
        <v>2.2370691756596601</v>
      </c>
      <c r="I421" s="15">
        <v>0.13900119451193799</v>
      </c>
      <c r="J421" s="15">
        <v>2.2370691756596601</v>
      </c>
      <c r="K421" s="15">
        <v>6.9914471886000502</v>
      </c>
      <c r="L421" s="15">
        <v>17.19309102777763</v>
      </c>
      <c r="M421" s="15">
        <v>17.676414254899985</v>
      </c>
      <c r="N421" s="15">
        <v>18.146994734756248</v>
      </c>
      <c r="O421" s="15">
        <v>18.775791297736145</v>
      </c>
      <c r="P421" s="15">
        <v>19.622238414040389</v>
      </c>
    </row>
    <row r="422" spans="1:16" x14ac:dyDescent="0.3">
      <c r="A422" s="15" t="str">
        <f t="shared" si="8"/>
        <v>CAC</v>
      </c>
      <c r="B422" s="15" t="s">
        <v>276</v>
      </c>
      <c r="C422" s="15" t="s">
        <v>238</v>
      </c>
      <c r="D422" s="15" t="s">
        <v>280</v>
      </c>
      <c r="E422" s="15" t="s">
        <v>307</v>
      </c>
      <c r="F422" s="15" t="s">
        <v>0</v>
      </c>
      <c r="I422" s="15">
        <v>1.13273088132121</v>
      </c>
      <c r="J422" s="15">
        <v>1.13273088132121</v>
      </c>
      <c r="K422" s="15">
        <v>1.13273088132121</v>
      </c>
      <c r="L422" s="15">
        <v>0.71248961028887603</v>
      </c>
    </row>
    <row r="423" spans="1:16" x14ac:dyDescent="0.3">
      <c r="A423" s="15" t="str">
        <f t="shared" si="8"/>
        <v>CAC</v>
      </c>
      <c r="B423" s="15" t="s">
        <v>276</v>
      </c>
      <c r="C423" s="15" t="s">
        <v>238</v>
      </c>
      <c r="D423" s="15" t="s">
        <v>280</v>
      </c>
      <c r="E423" s="15" t="s">
        <v>307</v>
      </c>
      <c r="F423" s="15" t="s">
        <v>1</v>
      </c>
      <c r="I423" s="15">
        <v>3.94836017692207</v>
      </c>
      <c r="J423" s="15">
        <v>3.94836017692207</v>
      </c>
      <c r="K423" s="15">
        <v>3.94836017692207</v>
      </c>
      <c r="L423" s="15">
        <v>2.4835251250977399</v>
      </c>
    </row>
    <row r="424" spans="1:16" x14ac:dyDescent="0.3">
      <c r="A424" s="15" t="str">
        <f t="shared" si="8"/>
        <v>CAC</v>
      </c>
      <c r="B424" s="15" t="s">
        <v>276</v>
      </c>
      <c r="C424" s="15" t="s">
        <v>238</v>
      </c>
      <c r="D424" s="15" t="s">
        <v>280</v>
      </c>
      <c r="E424" s="15" t="s">
        <v>307</v>
      </c>
      <c r="F424" s="15" t="s">
        <v>2</v>
      </c>
      <c r="I424" s="15">
        <v>9.4392173924829201</v>
      </c>
      <c r="J424" s="15">
        <v>9.4392173924829201</v>
      </c>
      <c r="K424" s="15">
        <v>9.4392173924829201</v>
      </c>
      <c r="L424" s="15">
        <v>5.9372834556763703</v>
      </c>
    </row>
    <row r="425" spans="1:16" x14ac:dyDescent="0.3">
      <c r="A425" s="15" t="str">
        <f t="shared" si="8"/>
        <v>CAC</v>
      </c>
      <c r="B425" s="15" t="s">
        <v>276</v>
      </c>
      <c r="C425" s="15" t="s">
        <v>238</v>
      </c>
      <c r="D425" s="15" t="s">
        <v>280</v>
      </c>
      <c r="E425" s="15" t="s">
        <v>307</v>
      </c>
      <c r="F425" s="15" t="s">
        <v>3</v>
      </c>
      <c r="I425" s="15">
        <v>8.2393659247146207</v>
      </c>
      <c r="J425" s="15">
        <v>8.2393659247146207</v>
      </c>
      <c r="K425" s="15">
        <v>8.2393659247146207</v>
      </c>
      <c r="L425" s="15">
        <v>5.1825748847600002</v>
      </c>
    </row>
    <row r="426" spans="1:16" x14ac:dyDescent="0.3">
      <c r="A426" s="15" t="str">
        <f t="shared" si="8"/>
        <v>CAC</v>
      </c>
      <c r="B426" s="15" t="s">
        <v>276</v>
      </c>
      <c r="C426" s="15" t="s">
        <v>238</v>
      </c>
      <c r="D426" s="15" t="s">
        <v>280</v>
      </c>
      <c r="E426" s="15" t="s">
        <v>307</v>
      </c>
      <c r="F426" s="15" t="s">
        <v>4</v>
      </c>
      <c r="I426" s="15">
        <v>32.2194390217917</v>
      </c>
      <c r="J426" s="15">
        <v>32.2194390217917</v>
      </c>
      <c r="K426" s="15">
        <v>32.2194390217917</v>
      </c>
      <c r="L426" s="15">
        <v>20.266080788392401</v>
      </c>
    </row>
    <row r="427" spans="1:16" x14ac:dyDescent="0.3">
      <c r="A427" s="15" t="str">
        <f t="shared" si="8"/>
        <v>CAC</v>
      </c>
      <c r="B427" s="15" t="s">
        <v>276</v>
      </c>
      <c r="C427" s="15" t="s">
        <v>238</v>
      </c>
      <c r="D427" s="15" t="s">
        <v>280</v>
      </c>
      <c r="E427" s="15" t="s">
        <v>307</v>
      </c>
      <c r="F427" s="15" t="s">
        <v>5</v>
      </c>
      <c r="I427" s="15">
        <v>8.4419104028812093</v>
      </c>
      <c r="J427" s="15">
        <v>8.4419104028812093</v>
      </c>
      <c r="K427" s="15">
        <v>8.4419104028812093</v>
      </c>
      <c r="L427" s="15">
        <v>5.3099756987527797</v>
      </c>
    </row>
    <row r="428" spans="1:16" x14ac:dyDescent="0.3">
      <c r="A428" s="15" t="str">
        <f t="shared" si="8"/>
        <v>CAC</v>
      </c>
      <c r="B428" s="15" t="s">
        <v>276</v>
      </c>
      <c r="C428" s="15" t="s">
        <v>238</v>
      </c>
      <c r="D428" s="15" t="s">
        <v>280</v>
      </c>
      <c r="E428" s="15" t="s">
        <v>307</v>
      </c>
      <c r="F428" s="15" t="s">
        <v>6</v>
      </c>
      <c r="I428" s="15">
        <v>51.474449000783501</v>
      </c>
      <c r="J428" s="15">
        <v>51.474449000783501</v>
      </c>
      <c r="K428" s="15">
        <v>51.474449000783501</v>
      </c>
      <c r="L428" s="15">
        <v>32.3775141237656</v>
      </c>
    </row>
    <row r="429" spans="1:16" x14ac:dyDescent="0.3">
      <c r="A429" s="15" t="str">
        <f t="shared" si="8"/>
        <v>CAC</v>
      </c>
      <c r="B429" s="15" t="s">
        <v>276</v>
      </c>
      <c r="C429" s="15" t="s">
        <v>238</v>
      </c>
      <c r="D429" s="15" t="s">
        <v>280</v>
      </c>
      <c r="E429" s="15" t="s">
        <v>307</v>
      </c>
      <c r="F429" s="15" t="s">
        <v>7</v>
      </c>
      <c r="I429" s="15">
        <v>7.4813596900069799</v>
      </c>
      <c r="J429" s="15">
        <v>7.4813596900069799</v>
      </c>
      <c r="K429" s="15">
        <v>7.4813596900069799</v>
      </c>
      <c r="L429" s="15">
        <v>4.7057877010880604</v>
      </c>
    </row>
    <row r="430" spans="1:16" x14ac:dyDescent="0.3">
      <c r="A430" s="15" t="str">
        <f t="shared" si="8"/>
        <v>CAC</v>
      </c>
      <c r="B430" s="15" t="s">
        <v>276</v>
      </c>
      <c r="C430" s="15" t="s">
        <v>238</v>
      </c>
      <c r="D430" s="15" t="s">
        <v>280</v>
      </c>
      <c r="E430" s="15" t="s">
        <v>307</v>
      </c>
      <c r="F430" s="15" t="s">
        <v>8</v>
      </c>
      <c r="I430" s="15">
        <v>11.216519422997701</v>
      </c>
      <c r="J430" s="15">
        <v>11.216519422997701</v>
      </c>
      <c r="K430" s="15">
        <v>11.216519422997701</v>
      </c>
      <c r="L430" s="15">
        <v>7.0552093919853398</v>
      </c>
    </row>
    <row r="431" spans="1:16" x14ac:dyDescent="0.3">
      <c r="A431" s="15" t="str">
        <f t="shared" si="8"/>
        <v>CAC</v>
      </c>
      <c r="B431" s="15" t="s">
        <v>276</v>
      </c>
      <c r="C431" s="15" t="s">
        <v>238</v>
      </c>
      <c r="D431" s="15" t="s">
        <v>280</v>
      </c>
      <c r="E431" s="15" t="s">
        <v>242</v>
      </c>
      <c r="F431" s="15" t="s">
        <v>0</v>
      </c>
      <c r="G431" s="15">
        <v>3.1818994133872498</v>
      </c>
      <c r="H431" s="15">
        <v>3.0051272237546298</v>
      </c>
      <c r="I431" s="15">
        <v>1.4959458099693299</v>
      </c>
      <c r="J431" s="15">
        <v>1.414177517061</v>
      </c>
      <c r="K431" s="15">
        <v>0.53031656889787604</v>
      </c>
    </row>
    <row r="432" spans="1:16" x14ac:dyDescent="0.3">
      <c r="A432" s="15" t="str">
        <f t="shared" si="8"/>
        <v>CAC</v>
      </c>
      <c r="B432" s="15" t="s">
        <v>276</v>
      </c>
      <c r="C432" s="15" t="s">
        <v>238</v>
      </c>
      <c r="D432" s="15" t="s">
        <v>280</v>
      </c>
      <c r="E432" s="15" t="s">
        <v>242</v>
      </c>
      <c r="F432" s="15" t="s">
        <v>1</v>
      </c>
      <c r="G432" s="15">
        <v>13.490942122762901</v>
      </c>
      <c r="H432" s="15">
        <v>12.670447016160599</v>
      </c>
      <c r="I432" s="15">
        <v>6.5205976472957197</v>
      </c>
      <c r="J432" s="15">
        <v>5.9959742767834996</v>
      </c>
      <c r="K432" s="15">
        <v>2.2484903537938101</v>
      </c>
    </row>
    <row r="433" spans="1:16" x14ac:dyDescent="0.3">
      <c r="A433" s="15" t="str">
        <f t="shared" si="8"/>
        <v>CAC</v>
      </c>
      <c r="B433" s="15" t="s">
        <v>276</v>
      </c>
      <c r="C433" s="15" t="s">
        <v>238</v>
      </c>
      <c r="D433" s="15" t="s">
        <v>280</v>
      </c>
      <c r="E433" s="15" t="s">
        <v>242</v>
      </c>
      <c r="F433" s="15" t="s">
        <v>2</v>
      </c>
      <c r="G433" s="15">
        <v>30.7820579860898</v>
      </c>
      <c r="H433" s="15">
        <v>28.396859854955601</v>
      </c>
      <c r="I433" s="15">
        <v>12.4232635286373</v>
      </c>
      <c r="J433" s="15">
        <v>13.680914660484399</v>
      </c>
      <c r="K433" s="15">
        <v>5.1303429976816304</v>
      </c>
    </row>
    <row r="434" spans="1:16" x14ac:dyDescent="0.3">
      <c r="A434" s="15" t="str">
        <f t="shared" si="8"/>
        <v>CAC</v>
      </c>
      <c r="B434" s="15" t="s">
        <v>276</v>
      </c>
      <c r="C434" s="15" t="s">
        <v>238</v>
      </c>
      <c r="D434" s="15" t="s">
        <v>280</v>
      </c>
      <c r="E434" s="15" t="s">
        <v>242</v>
      </c>
      <c r="F434" s="15" t="s">
        <v>3</v>
      </c>
      <c r="G434" s="15">
        <v>20.822843388724401</v>
      </c>
      <c r="H434" s="15">
        <v>19.6660187560175</v>
      </c>
      <c r="I434" s="15">
        <v>8.8692704832781697</v>
      </c>
      <c r="J434" s="15">
        <v>9.2545970616552893</v>
      </c>
      <c r="K434" s="15">
        <v>3.4704738981207299</v>
      </c>
    </row>
    <row r="435" spans="1:16" x14ac:dyDescent="0.3">
      <c r="A435" s="15" t="str">
        <f t="shared" si="8"/>
        <v>CAC</v>
      </c>
      <c r="B435" s="15" t="s">
        <v>276</v>
      </c>
      <c r="C435" s="15" t="s">
        <v>238</v>
      </c>
      <c r="D435" s="15" t="s">
        <v>280</v>
      </c>
      <c r="E435" s="15" t="s">
        <v>242</v>
      </c>
      <c r="F435" s="15" t="s">
        <v>4</v>
      </c>
      <c r="G435" s="15">
        <v>65.790306117596302</v>
      </c>
      <c r="H435" s="15">
        <v>62.135289111063202</v>
      </c>
      <c r="I435" s="15">
        <v>37.099346911902103</v>
      </c>
      <c r="J435" s="15">
        <v>29.240136052265001</v>
      </c>
      <c r="K435" s="15">
        <v>10.9650510195994</v>
      </c>
    </row>
    <row r="436" spans="1:16" x14ac:dyDescent="0.3">
      <c r="A436" s="15" t="str">
        <f t="shared" si="8"/>
        <v>CAC</v>
      </c>
      <c r="B436" s="15" t="s">
        <v>276</v>
      </c>
      <c r="C436" s="15" t="s">
        <v>238</v>
      </c>
      <c r="D436" s="15" t="s">
        <v>280</v>
      </c>
      <c r="E436" s="15" t="s">
        <v>242</v>
      </c>
      <c r="F436" s="15" t="s">
        <v>5</v>
      </c>
      <c r="G436" s="15">
        <v>22.388474846729402</v>
      </c>
      <c r="H436" s="15">
        <v>21.144670688577701</v>
      </c>
      <c r="I436" s="15">
        <v>10.3295306920408</v>
      </c>
      <c r="J436" s="15">
        <v>9.9504332652130607</v>
      </c>
      <c r="K436" s="15">
        <v>3.7314124744549</v>
      </c>
    </row>
    <row r="437" spans="1:16" x14ac:dyDescent="0.3">
      <c r="A437" s="15" t="str">
        <f t="shared" si="8"/>
        <v>CAC</v>
      </c>
      <c r="B437" s="15" t="s">
        <v>276</v>
      </c>
      <c r="C437" s="15" t="s">
        <v>238</v>
      </c>
      <c r="D437" s="15" t="s">
        <v>280</v>
      </c>
      <c r="E437" s="15" t="s">
        <v>242</v>
      </c>
      <c r="F437" s="15" t="s">
        <v>6</v>
      </c>
      <c r="G437" s="15">
        <v>89.582140964863001</v>
      </c>
      <c r="H437" s="15">
        <v>84.605355355703907</v>
      </c>
      <c r="I437" s="15">
        <v>39.414972960082402</v>
      </c>
      <c r="J437" s="15">
        <v>39.814284873272399</v>
      </c>
      <c r="K437" s="15">
        <v>14.930356827477199</v>
      </c>
    </row>
    <row r="438" spans="1:16" x14ac:dyDescent="0.3">
      <c r="A438" s="15" t="str">
        <f t="shared" si="8"/>
        <v>CAC</v>
      </c>
      <c r="B438" s="15" t="s">
        <v>276</v>
      </c>
      <c r="C438" s="15" t="s">
        <v>238</v>
      </c>
      <c r="D438" s="15" t="s">
        <v>280</v>
      </c>
      <c r="E438" s="15" t="s">
        <v>242</v>
      </c>
      <c r="F438" s="15" t="s">
        <v>7</v>
      </c>
      <c r="G438" s="15">
        <v>13.4931732835513</v>
      </c>
      <c r="H438" s="15">
        <v>12.7435525455763</v>
      </c>
      <c r="I438" s="15">
        <v>5.84602642964445</v>
      </c>
      <c r="J438" s="15">
        <v>5.9969659038006</v>
      </c>
      <c r="K438" s="15">
        <v>2.2488622139252201</v>
      </c>
    </row>
    <row r="439" spans="1:16" x14ac:dyDescent="0.3">
      <c r="A439" s="15" t="str">
        <f t="shared" si="8"/>
        <v>CAC</v>
      </c>
      <c r="B439" s="15" t="s">
        <v>276</v>
      </c>
      <c r="C439" s="15" t="s">
        <v>238</v>
      </c>
      <c r="D439" s="15" t="s">
        <v>280</v>
      </c>
      <c r="E439" s="15" t="s">
        <v>242</v>
      </c>
      <c r="F439" s="15" t="s">
        <v>8</v>
      </c>
      <c r="G439" s="15">
        <v>16.955127216360999</v>
      </c>
      <c r="H439" s="15">
        <v>16.013175704340998</v>
      </c>
      <c r="I439" s="15">
        <v>12.245369656260801</v>
      </c>
      <c r="J439" s="15">
        <v>7.5356120961604596</v>
      </c>
      <c r="K439" s="15">
        <v>2.8258545360601701</v>
      </c>
    </row>
    <row r="440" spans="1:16" x14ac:dyDescent="0.3">
      <c r="A440" s="15" t="str">
        <f t="shared" si="8"/>
        <v>CAC</v>
      </c>
      <c r="B440" s="15" t="s">
        <v>276</v>
      </c>
      <c r="C440" s="15" t="s">
        <v>238</v>
      </c>
      <c r="D440" s="15" t="s">
        <v>280</v>
      </c>
      <c r="E440" s="15" t="s">
        <v>308</v>
      </c>
      <c r="F440" s="15" t="s">
        <v>0</v>
      </c>
      <c r="H440" s="15">
        <v>2.36875516115784E-2</v>
      </c>
      <c r="J440" s="15">
        <v>2.36875516115784E-2</v>
      </c>
      <c r="K440" s="15">
        <v>0.95093719817249744</v>
      </c>
      <c r="L440" s="15">
        <v>1.9389259509338839</v>
      </c>
      <c r="M440" s="15">
        <v>2.690059031505561</v>
      </c>
      <c r="N440" s="15">
        <v>2.7191433521679609</v>
      </c>
      <c r="O440" s="15">
        <v>2.7599568374979517</v>
      </c>
      <c r="P440" s="15">
        <v>2.8303871265777079</v>
      </c>
    </row>
    <row r="441" spans="1:16" x14ac:dyDescent="0.3">
      <c r="A441" s="15" t="str">
        <f t="shared" si="8"/>
        <v>CAC</v>
      </c>
      <c r="B441" s="15" t="s">
        <v>276</v>
      </c>
      <c r="C441" s="15" t="s">
        <v>238</v>
      </c>
      <c r="D441" s="15" t="s">
        <v>280</v>
      </c>
      <c r="E441" s="15" t="s">
        <v>308</v>
      </c>
      <c r="F441" s="15" t="s">
        <v>1</v>
      </c>
      <c r="K441" s="15">
        <v>3.7481487188221201</v>
      </c>
      <c r="L441" s="15">
        <v>7.42012305669817</v>
      </c>
      <c r="M441" s="15">
        <v>9.9109084588137701</v>
      </c>
      <c r="N441" s="15">
        <v>9.8839057605987808</v>
      </c>
      <c r="O441" s="15">
        <v>9.8956715071173704</v>
      </c>
      <c r="P441" s="15">
        <v>10.02790606781485</v>
      </c>
    </row>
    <row r="442" spans="1:16" x14ac:dyDescent="0.3">
      <c r="A442" s="15" t="str">
        <f t="shared" si="8"/>
        <v>CAC</v>
      </c>
      <c r="B442" s="15" t="s">
        <v>276</v>
      </c>
      <c r="C442" s="15" t="s">
        <v>238</v>
      </c>
      <c r="D442" s="15" t="s">
        <v>280</v>
      </c>
      <c r="E442" s="15" t="s">
        <v>308</v>
      </c>
      <c r="F442" s="15" t="s">
        <v>2</v>
      </c>
      <c r="K442" s="15">
        <v>8.1315509817720493</v>
      </c>
      <c r="L442" s="15">
        <v>16.337101797004777</v>
      </c>
      <c r="M442" s="15">
        <v>21.965246351095487</v>
      </c>
      <c r="N442" s="15">
        <v>21.604463836528488</v>
      </c>
      <c r="O442" s="15">
        <v>21.380934083054772</v>
      </c>
      <c r="P442" s="15">
        <v>21.360530487065081</v>
      </c>
    </row>
    <row r="443" spans="1:16" x14ac:dyDescent="0.3">
      <c r="A443" s="15" t="str">
        <f t="shared" si="8"/>
        <v>CAC</v>
      </c>
      <c r="B443" s="15" t="s">
        <v>276</v>
      </c>
      <c r="C443" s="15" t="s">
        <v>238</v>
      </c>
      <c r="D443" s="15" t="s">
        <v>280</v>
      </c>
      <c r="E443" s="15" t="s">
        <v>308</v>
      </c>
      <c r="F443" s="15" t="s">
        <v>3</v>
      </c>
      <c r="H443" s="15">
        <v>0.131232793933481</v>
      </c>
      <c r="J443" s="15">
        <v>0.131232793933481</v>
      </c>
      <c r="K443" s="15">
        <v>5.7501028012399118</v>
      </c>
      <c r="L443" s="15">
        <v>12.096600261066186</v>
      </c>
      <c r="M443" s="15">
        <v>17.219388612026492</v>
      </c>
      <c r="N443" s="15">
        <v>17.136936462816241</v>
      </c>
      <c r="O443" s="15">
        <v>17.17114341519407</v>
      </c>
      <c r="P443" s="15">
        <v>17.377270742311588</v>
      </c>
    </row>
    <row r="444" spans="1:16" x14ac:dyDescent="0.3">
      <c r="A444" s="15" t="str">
        <f t="shared" si="8"/>
        <v>CAC</v>
      </c>
      <c r="B444" s="15" t="s">
        <v>276</v>
      </c>
      <c r="C444" s="15" t="s">
        <v>238</v>
      </c>
      <c r="D444" s="15" t="s">
        <v>280</v>
      </c>
      <c r="E444" s="15" t="s">
        <v>308</v>
      </c>
      <c r="F444" s="15" t="s">
        <v>4</v>
      </c>
      <c r="H444" s="15">
        <v>4.28329072204978</v>
      </c>
      <c r="J444" s="15">
        <v>4.28329072204978</v>
      </c>
      <c r="K444" s="15">
        <v>24.208439112320882</v>
      </c>
      <c r="L444" s="15">
        <v>48.675737480527246</v>
      </c>
      <c r="M444" s="15">
        <v>70.877250719424808</v>
      </c>
      <c r="N444" s="15">
        <v>72.747091388203842</v>
      </c>
      <c r="O444" s="15">
        <v>75.195024546131251</v>
      </c>
      <c r="P444" s="15">
        <v>77.835847313388854</v>
      </c>
    </row>
    <row r="445" spans="1:16" x14ac:dyDescent="0.3">
      <c r="A445" s="15" t="str">
        <f t="shared" si="8"/>
        <v>CAC</v>
      </c>
      <c r="B445" s="15" t="s">
        <v>276</v>
      </c>
      <c r="C445" s="15" t="s">
        <v>238</v>
      </c>
      <c r="D445" s="15" t="s">
        <v>280</v>
      </c>
      <c r="E445" s="15" t="s">
        <v>308</v>
      </c>
      <c r="F445" s="15" t="s">
        <v>5</v>
      </c>
      <c r="H445" s="15">
        <v>0.236510411481515</v>
      </c>
      <c r="J445" s="15">
        <v>0.236510411481515</v>
      </c>
      <c r="K445" s="15">
        <v>6.3986149779725947</v>
      </c>
      <c r="L445" s="15">
        <v>13.178040658434981</v>
      </c>
      <c r="M445" s="15">
        <v>18.497602109475899</v>
      </c>
      <c r="N445" s="15">
        <v>18.485515909094051</v>
      </c>
      <c r="O445" s="15">
        <v>18.59662796070598</v>
      </c>
      <c r="P445" s="15">
        <v>18.888767854545009</v>
      </c>
    </row>
    <row r="446" spans="1:16" x14ac:dyDescent="0.3">
      <c r="A446" s="15" t="str">
        <f t="shared" si="8"/>
        <v>CAC</v>
      </c>
      <c r="B446" s="15" t="s">
        <v>276</v>
      </c>
      <c r="C446" s="15" t="s">
        <v>238</v>
      </c>
      <c r="D446" s="15" t="s">
        <v>280</v>
      </c>
      <c r="E446" s="15" t="s">
        <v>308</v>
      </c>
      <c r="F446" s="15" t="s">
        <v>6</v>
      </c>
      <c r="H446" s="15">
        <v>4.9458737477927297</v>
      </c>
      <c r="J446" s="15">
        <v>4.9458737477927297</v>
      </c>
      <c r="K446" s="15">
        <v>33.653761695514433</v>
      </c>
      <c r="L446" s="15">
        <v>71.245662045771951</v>
      </c>
      <c r="M446" s="15">
        <v>107.75678837254871</v>
      </c>
      <c r="N446" s="15">
        <v>111.77942843718661</v>
      </c>
      <c r="O446" s="15">
        <v>116.7393768082683</v>
      </c>
      <c r="P446" s="15">
        <v>122.98474422675361</v>
      </c>
    </row>
    <row r="447" spans="1:16" x14ac:dyDescent="0.3">
      <c r="A447" s="15" t="str">
        <f t="shared" si="8"/>
        <v>CAC</v>
      </c>
      <c r="B447" s="15" t="s">
        <v>276</v>
      </c>
      <c r="C447" s="15" t="s">
        <v>238</v>
      </c>
      <c r="D447" s="15" t="s">
        <v>280</v>
      </c>
      <c r="E447" s="15" t="s">
        <v>308</v>
      </c>
      <c r="F447" s="15" t="s">
        <v>7</v>
      </c>
      <c r="H447" s="15">
        <v>0.653037541796191</v>
      </c>
      <c r="J447" s="15">
        <v>0.653037541796191</v>
      </c>
      <c r="K447" s="15">
        <v>5.0503514291800515</v>
      </c>
      <c r="L447" s="15">
        <v>10.730857572814429</v>
      </c>
      <c r="M447" s="15">
        <v>16.230986071696361</v>
      </c>
      <c r="N447" s="15">
        <v>17.025681261387149</v>
      </c>
      <c r="O447" s="15">
        <v>17.989278551769679</v>
      </c>
      <c r="P447" s="15">
        <v>19.194348217134131</v>
      </c>
    </row>
    <row r="448" spans="1:16" x14ac:dyDescent="0.3">
      <c r="A448" s="15" t="str">
        <f t="shared" si="8"/>
        <v>CAC</v>
      </c>
      <c r="B448" s="15" t="s">
        <v>276</v>
      </c>
      <c r="C448" s="15" t="s">
        <v>238</v>
      </c>
      <c r="D448" s="15" t="s">
        <v>280</v>
      </c>
      <c r="E448" s="15" t="s">
        <v>308</v>
      </c>
      <c r="F448" s="15" t="s">
        <v>8</v>
      </c>
      <c r="H448" s="15">
        <v>2.75999574415567</v>
      </c>
      <c r="I448" s="15">
        <v>0.93676036448047195</v>
      </c>
      <c r="J448" s="15">
        <v>2.75999574415567</v>
      </c>
      <c r="K448" s="15">
        <v>8.0841632891335493</v>
      </c>
      <c r="L448" s="15">
        <v>15.604737933328096</v>
      </c>
      <c r="M448" s="15">
        <v>23.296951971540146</v>
      </c>
      <c r="N448" s="15">
        <v>23.91716208202206</v>
      </c>
      <c r="O448" s="15">
        <v>24.745895959626878</v>
      </c>
      <c r="P448" s="15">
        <v>25.861486346377561</v>
      </c>
    </row>
    <row r="449" spans="1:16" x14ac:dyDescent="0.3">
      <c r="A449" s="15" t="str">
        <f t="shared" si="8"/>
        <v>CCC</v>
      </c>
      <c r="B449" s="15" t="s">
        <v>276</v>
      </c>
      <c r="C449" s="15" t="s">
        <v>238</v>
      </c>
      <c r="D449" s="15" t="s">
        <v>280</v>
      </c>
      <c r="E449" s="15" t="s">
        <v>243</v>
      </c>
      <c r="F449" s="15" t="s">
        <v>0</v>
      </c>
      <c r="G449" s="15">
        <v>1.8558947441017</v>
      </c>
      <c r="H449" s="15">
        <v>1.78165895433763</v>
      </c>
      <c r="I449" s="15">
        <v>1.4847157952813601</v>
      </c>
      <c r="J449" s="15">
        <v>1.11353684646102</v>
      </c>
      <c r="K449" s="15">
        <v>0.74235789764068105</v>
      </c>
      <c r="L449" s="15">
        <v>0.37117894882034003</v>
      </c>
    </row>
    <row r="450" spans="1:16" x14ac:dyDescent="0.3">
      <c r="A450" s="15" t="str">
        <f t="shared" si="8"/>
        <v>CCC</v>
      </c>
      <c r="B450" s="15" t="s">
        <v>276</v>
      </c>
      <c r="C450" s="15" t="s">
        <v>238</v>
      </c>
      <c r="D450" s="15" t="s">
        <v>280</v>
      </c>
      <c r="E450" s="15" t="s">
        <v>243</v>
      </c>
      <c r="F450" s="15" t="s">
        <v>1</v>
      </c>
      <c r="G450" s="15">
        <v>8.7541339130437397</v>
      </c>
      <c r="H450" s="15">
        <v>8.4039685565219795</v>
      </c>
      <c r="I450" s="15">
        <v>7.0033071304349903</v>
      </c>
      <c r="J450" s="15">
        <v>5.2524803478262401</v>
      </c>
      <c r="K450" s="15">
        <v>3.5016535652174898</v>
      </c>
      <c r="L450" s="15">
        <v>1.75082678260875</v>
      </c>
    </row>
    <row r="451" spans="1:16" x14ac:dyDescent="0.3">
      <c r="A451" s="15" t="str">
        <f t="shared" si="8"/>
        <v>CCC</v>
      </c>
      <c r="B451" s="15" t="s">
        <v>276</v>
      </c>
      <c r="C451" s="15" t="s">
        <v>238</v>
      </c>
      <c r="D451" s="15" t="s">
        <v>280</v>
      </c>
      <c r="E451" s="15" t="s">
        <v>243</v>
      </c>
      <c r="F451" s="15" t="s">
        <v>2</v>
      </c>
      <c r="G451" s="15">
        <v>10.969233873658901</v>
      </c>
      <c r="H451" s="15">
        <v>10.3995346809251</v>
      </c>
      <c r="I451" s="15">
        <v>8.7753870989271103</v>
      </c>
      <c r="J451" s="15">
        <v>6.5815403241953296</v>
      </c>
      <c r="K451" s="15">
        <v>4.3876935494635498</v>
      </c>
      <c r="L451" s="15">
        <v>2.1938467747317798</v>
      </c>
    </row>
    <row r="452" spans="1:16" x14ac:dyDescent="0.3">
      <c r="A452" s="15" t="str">
        <f t="shared" ref="A452:A515" si="9">MID(E452,4,3)</f>
        <v>CCC</v>
      </c>
      <c r="B452" s="15" t="s">
        <v>276</v>
      </c>
      <c r="C452" s="15" t="s">
        <v>238</v>
      </c>
      <c r="D452" s="15" t="s">
        <v>280</v>
      </c>
      <c r="E452" s="15" t="s">
        <v>243</v>
      </c>
      <c r="F452" s="15" t="s">
        <v>3</v>
      </c>
      <c r="G452" s="15">
        <v>4.1242449332704902</v>
      </c>
      <c r="H452" s="15">
        <v>3.9592751359396701</v>
      </c>
      <c r="I452" s="15">
        <v>3.2993959466163898</v>
      </c>
      <c r="J452" s="15">
        <v>2.4745469599622898</v>
      </c>
      <c r="K452" s="15">
        <v>1.64969797330819</v>
      </c>
      <c r="L452" s="15">
        <v>0.82484898665409701</v>
      </c>
    </row>
    <row r="453" spans="1:16" x14ac:dyDescent="0.3">
      <c r="A453" s="15" t="str">
        <f t="shared" si="9"/>
        <v>CCC</v>
      </c>
      <c r="B453" s="15" t="s">
        <v>276</v>
      </c>
      <c r="C453" s="15" t="s">
        <v>238</v>
      </c>
      <c r="D453" s="15" t="s">
        <v>280</v>
      </c>
      <c r="E453" s="15" t="s">
        <v>243</v>
      </c>
      <c r="F453" s="15" t="s">
        <v>4</v>
      </c>
      <c r="G453" s="15">
        <v>33.100067156866601</v>
      </c>
      <c r="H453" s="15">
        <v>31.776064470592001</v>
      </c>
      <c r="I453" s="15">
        <v>26.480053725493299</v>
      </c>
      <c r="J453" s="15">
        <v>19.860040294120001</v>
      </c>
      <c r="K453" s="15">
        <v>13.2400268627466</v>
      </c>
      <c r="L453" s="15">
        <v>6.6200134313733203</v>
      </c>
    </row>
    <row r="454" spans="1:16" x14ac:dyDescent="0.3">
      <c r="A454" s="15" t="str">
        <f t="shared" si="9"/>
        <v>CCC</v>
      </c>
      <c r="B454" s="15" t="s">
        <v>276</v>
      </c>
      <c r="C454" s="15" t="s">
        <v>238</v>
      </c>
      <c r="D454" s="15" t="s">
        <v>280</v>
      </c>
      <c r="E454" s="15" t="s">
        <v>243</v>
      </c>
      <c r="F454" s="15" t="s">
        <v>5</v>
      </c>
      <c r="G454" s="15">
        <v>4.8685100652952897</v>
      </c>
      <c r="H454" s="15">
        <v>4.6737696626834797</v>
      </c>
      <c r="I454" s="15">
        <v>3.8948080522362298</v>
      </c>
      <c r="J454" s="15">
        <v>2.9211060391771699</v>
      </c>
      <c r="K454" s="15">
        <v>1.94740402611812</v>
      </c>
      <c r="L454" s="15">
        <v>0.97370201305905801</v>
      </c>
    </row>
    <row r="455" spans="1:16" x14ac:dyDescent="0.3">
      <c r="A455" s="15" t="str">
        <f t="shared" si="9"/>
        <v>CCC</v>
      </c>
      <c r="B455" s="15" t="s">
        <v>276</v>
      </c>
      <c r="C455" s="15" t="s">
        <v>238</v>
      </c>
      <c r="D455" s="15" t="s">
        <v>280</v>
      </c>
      <c r="E455" s="15" t="s">
        <v>243</v>
      </c>
      <c r="F455" s="15" t="s">
        <v>6</v>
      </c>
      <c r="G455" s="15">
        <v>18.813572762327698</v>
      </c>
      <c r="H455" s="15">
        <v>18.061029851834601</v>
      </c>
      <c r="I455" s="15">
        <v>15.0508582098622</v>
      </c>
      <c r="J455" s="15">
        <v>11.288143657396599</v>
      </c>
      <c r="K455" s="15">
        <v>7.5254291049310904</v>
      </c>
      <c r="L455" s="15">
        <v>3.7627145524655501</v>
      </c>
    </row>
    <row r="456" spans="1:16" x14ac:dyDescent="0.3">
      <c r="A456" s="15" t="str">
        <f t="shared" si="9"/>
        <v>CCC</v>
      </c>
      <c r="B456" s="15" t="s">
        <v>276</v>
      </c>
      <c r="C456" s="15" t="s">
        <v>238</v>
      </c>
      <c r="D456" s="15" t="s">
        <v>280</v>
      </c>
      <c r="E456" s="15" t="s">
        <v>243</v>
      </c>
      <c r="F456" s="15" t="s">
        <v>7</v>
      </c>
      <c r="G456" s="15">
        <v>5.1261993340673904</v>
      </c>
      <c r="H456" s="15">
        <v>4.9211513607046999</v>
      </c>
      <c r="I456" s="15">
        <v>4.1009594672539196</v>
      </c>
      <c r="J456" s="15">
        <v>3.0757196004404399</v>
      </c>
      <c r="K456" s="15">
        <v>2.0504797336269598</v>
      </c>
      <c r="L456" s="15">
        <v>1.0252398668134799</v>
      </c>
    </row>
    <row r="457" spans="1:16" x14ac:dyDescent="0.3">
      <c r="A457" s="15" t="str">
        <f t="shared" si="9"/>
        <v>CCC</v>
      </c>
      <c r="B457" s="15" t="s">
        <v>276</v>
      </c>
      <c r="C457" s="15" t="s">
        <v>238</v>
      </c>
      <c r="D457" s="15" t="s">
        <v>280</v>
      </c>
      <c r="E457" s="15" t="s">
        <v>243</v>
      </c>
      <c r="F457" s="15" t="s">
        <v>8</v>
      </c>
      <c r="G457" s="15">
        <v>4.5869190457967397</v>
      </c>
      <c r="H457" s="15">
        <v>4.4034422839648704</v>
      </c>
      <c r="I457" s="15">
        <v>3.6695352366373899</v>
      </c>
      <c r="J457" s="15">
        <v>2.7521514274780401</v>
      </c>
      <c r="K457" s="15">
        <v>1.8347676183186901</v>
      </c>
      <c r="L457" s="15">
        <v>0.91738380915934703</v>
      </c>
    </row>
    <row r="458" spans="1:16" x14ac:dyDescent="0.3">
      <c r="A458" s="15" t="str">
        <f t="shared" si="9"/>
        <v>CCC</v>
      </c>
      <c r="B458" s="15" t="s">
        <v>276</v>
      </c>
      <c r="C458" s="15" t="s">
        <v>238</v>
      </c>
      <c r="D458" s="15" t="s">
        <v>280</v>
      </c>
      <c r="E458" s="15" t="s">
        <v>244</v>
      </c>
      <c r="F458" s="15" t="s">
        <v>0</v>
      </c>
      <c r="H458" s="15">
        <v>6.2739366430471205E-2</v>
      </c>
      <c r="I458" s="15">
        <v>0.56830814212772696</v>
      </c>
      <c r="J458" s="15">
        <v>1.4644961123598501</v>
      </c>
      <c r="K458" s="15">
        <v>1.4644961123598501</v>
      </c>
      <c r="L458" s="15">
        <v>3.5288482449239398</v>
      </c>
      <c r="M458" s="15">
        <v>4.621441835552238</v>
      </c>
      <c r="N458" s="15">
        <v>5.3685794436109298</v>
      </c>
      <c r="O458" s="15">
        <v>6.1840827946256862</v>
      </c>
      <c r="P458" s="15">
        <v>7.1252023573640892</v>
      </c>
    </row>
    <row r="459" spans="1:16" x14ac:dyDescent="0.3">
      <c r="A459" s="15" t="str">
        <f t="shared" si="9"/>
        <v>CCC</v>
      </c>
      <c r="B459" s="15" t="s">
        <v>276</v>
      </c>
      <c r="C459" s="15" t="s">
        <v>238</v>
      </c>
      <c r="D459" s="15" t="s">
        <v>280</v>
      </c>
      <c r="E459" s="15" t="s">
        <v>244</v>
      </c>
      <c r="F459" s="15" t="s">
        <v>1</v>
      </c>
      <c r="H459" s="15">
        <v>0.50419780876424303</v>
      </c>
      <c r="I459" s="15">
        <v>2.35845478207069</v>
      </c>
      <c r="J459" s="15">
        <v>6.09172972681045</v>
      </c>
      <c r="K459" s="15">
        <v>6.09172972681045</v>
      </c>
      <c r="L459" s="15">
        <v>14.69708248416498</v>
      </c>
      <c r="M459" s="15">
        <v>19.180429226572919</v>
      </c>
      <c r="N459" s="15">
        <v>21.943858902249417</v>
      </c>
      <c r="O459" s="15">
        <v>24.869981159064086</v>
      </c>
      <c r="P459" s="15">
        <v>28.313946814006307</v>
      </c>
    </row>
    <row r="460" spans="1:16" x14ac:dyDescent="0.3">
      <c r="A460" s="15" t="str">
        <f t="shared" si="9"/>
        <v>CCC</v>
      </c>
      <c r="B460" s="15" t="s">
        <v>276</v>
      </c>
      <c r="C460" s="15" t="s">
        <v>238</v>
      </c>
      <c r="D460" s="15" t="s">
        <v>280</v>
      </c>
      <c r="E460" s="15" t="s">
        <v>244</v>
      </c>
      <c r="F460" s="15" t="s">
        <v>2</v>
      </c>
      <c r="I460" s="15">
        <v>1.2314497396495401</v>
      </c>
      <c r="J460" s="15">
        <v>6.4780406970017603</v>
      </c>
      <c r="K460" s="15">
        <v>6.4780406970017603</v>
      </c>
      <c r="L460" s="15">
        <v>16.173410335420421</v>
      </c>
      <c r="M460" s="15">
        <v>20.997967564519058</v>
      </c>
      <c r="N460" s="15">
        <v>23.59867256656381</v>
      </c>
      <c r="O460" s="15">
        <v>26.36002757889479</v>
      </c>
      <c r="P460" s="15">
        <v>29.445356906092442</v>
      </c>
    </row>
    <row r="461" spans="1:16" x14ac:dyDescent="0.3">
      <c r="A461" s="15" t="str">
        <f t="shared" si="9"/>
        <v>CCC</v>
      </c>
      <c r="B461" s="15" t="s">
        <v>276</v>
      </c>
      <c r="C461" s="15" t="s">
        <v>238</v>
      </c>
      <c r="D461" s="15" t="s">
        <v>280</v>
      </c>
      <c r="E461" s="15" t="s">
        <v>244</v>
      </c>
      <c r="F461" s="15" t="s">
        <v>3</v>
      </c>
      <c r="H461" s="15">
        <v>0.88353218479266504</v>
      </c>
      <c r="I461" s="15">
        <v>2.0872606897369699</v>
      </c>
      <c r="J461" s="15">
        <v>4.6504027160304799</v>
      </c>
      <c r="K461" s="15">
        <v>4.6504027160304799</v>
      </c>
      <c r="L461" s="15">
        <v>9.4813609202990197</v>
      </c>
      <c r="M461" s="15">
        <v>12.006916422783709</v>
      </c>
      <c r="N461" s="15">
        <v>13.74284934933196</v>
      </c>
      <c r="O461" s="15">
        <v>15.63658054441361</v>
      </c>
      <c r="P461" s="15">
        <v>17.7872502127457</v>
      </c>
    </row>
    <row r="462" spans="1:16" x14ac:dyDescent="0.3">
      <c r="A462" s="15" t="str">
        <f t="shared" si="9"/>
        <v>CCC</v>
      </c>
      <c r="B462" s="15" t="s">
        <v>276</v>
      </c>
      <c r="C462" s="15" t="s">
        <v>238</v>
      </c>
      <c r="D462" s="15" t="s">
        <v>280</v>
      </c>
      <c r="E462" s="15" t="s">
        <v>244</v>
      </c>
      <c r="F462" s="15" t="s">
        <v>4</v>
      </c>
      <c r="H462" s="15">
        <v>7.9106460012617301</v>
      </c>
      <c r="I462" s="15">
        <v>25.411212282322001</v>
      </c>
      <c r="J462" s="15">
        <v>42.161552445384203</v>
      </c>
      <c r="K462" s="15">
        <v>42.161552445384203</v>
      </c>
      <c r="L462" s="15">
        <v>86.748957632408306</v>
      </c>
      <c r="M462" s="15">
        <v>111.3635837290047</v>
      </c>
      <c r="N462" s="15">
        <v>130.6774449206556</v>
      </c>
      <c r="O462" s="15">
        <v>152.65442413488901</v>
      </c>
      <c r="P462" s="15">
        <v>176.92816303572391</v>
      </c>
    </row>
    <row r="463" spans="1:16" x14ac:dyDescent="0.3">
      <c r="A463" s="15" t="str">
        <f t="shared" si="9"/>
        <v>CCC</v>
      </c>
      <c r="B463" s="15" t="s">
        <v>276</v>
      </c>
      <c r="C463" s="15" t="s">
        <v>238</v>
      </c>
      <c r="D463" s="15" t="s">
        <v>280</v>
      </c>
      <c r="E463" s="15" t="s">
        <v>244</v>
      </c>
      <c r="F463" s="15" t="s">
        <v>5</v>
      </c>
      <c r="H463" s="15">
        <v>1.44066639259809</v>
      </c>
      <c r="I463" s="15">
        <v>3.3800510867762599</v>
      </c>
      <c r="J463" s="15">
        <v>6.7386807611709498</v>
      </c>
      <c r="K463" s="15">
        <v>6.7386807611709498</v>
      </c>
      <c r="L463" s="15">
        <v>13.721364405479939</v>
      </c>
      <c r="M463" s="15">
        <v>17.40048707770757</v>
      </c>
      <c r="N463" s="15">
        <v>20.18715039387277</v>
      </c>
      <c r="O463" s="15">
        <v>23.22443753035456</v>
      </c>
      <c r="P463" s="15">
        <v>26.682906109000999</v>
      </c>
    </row>
    <row r="464" spans="1:16" x14ac:dyDescent="0.3">
      <c r="A464" s="15" t="str">
        <f t="shared" si="9"/>
        <v>CCC</v>
      </c>
      <c r="B464" s="15" t="s">
        <v>276</v>
      </c>
      <c r="C464" s="15" t="s">
        <v>238</v>
      </c>
      <c r="D464" s="15" t="s">
        <v>280</v>
      </c>
      <c r="E464" s="15" t="s">
        <v>244</v>
      </c>
      <c r="F464" s="15" t="s">
        <v>6</v>
      </c>
      <c r="H464" s="15">
        <v>5.2283124306037703</v>
      </c>
      <c r="I464" s="15">
        <v>15.479394462151401</v>
      </c>
      <c r="J464" s="15">
        <v>30.194696866452301</v>
      </c>
      <c r="K464" s="15">
        <v>30.194696866452301</v>
      </c>
      <c r="L464" s="15">
        <v>62.555646404355798</v>
      </c>
      <c r="M464" s="15">
        <v>80.697524096405004</v>
      </c>
      <c r="N464" s="15">
        <v>96.342186342292706</v>
      </c>
      <c r="O464" s="15">
        <v>114.3185458354713</v>
      </c>
      <c r="P464" s="15">
        <v>135.43634671176289</v>
      </c>
    </row>
    <row r="465" spans="1:16" x14ac:dyDescent="0.3">
      <c r="A465" s="15" t="str">
        <f t="shared" si="9"/>
        <v>CCC</v>
      </c>
      <c r="B465" s="15" t="s">
        <v>276</v>
      </c>
      <c r="C465" s="15" t="s">
        <v>238</v>
      </c>
      <c r="D465" s="15" t="s">
        <v>280</v>
      </c>
      <c r="E465" s="15" t="s">
        <v>244</v>
      </c>
      <c r="F465" s="15" t="s">
        <v>7</v>
      </c>
      <c r="H465" s="15">
        <v>0.83614541172314805</v>
      </c>
      <c r="I465" s="15">
        <v>3.3083150208043799</v>
      </c>
      <c r="J465" s="15">
        <v>6.7366850033690797</v>
      </c>
      <c r="K465" s="15">
        <v>6.7366850033690797</v>
      </c>
      <c r="L465" s="15">
        <v>15.367101898978088</v>
      </c>
      <c r="M465" s="15">
        <v>20.17658644649174</v>
      </c>
      <c r="N465" s="15">
        <v>24.365870427561227</v>
      </c>
      <c r="O465" s="15">
        <v>29.257927254270136</v>
      </c>
      <c r="P465" s="15">
        <v>35.113604064577089</v>
      </c>
    </row>
    <row r="466" spans="1:16" x14ac:dyDescent="0.3">
      <c r="A466" s="15" t="str">
        <f t="shared" si="9"/>
        <v>CCC</v>
      </c>
      <c r="B466" s="15" t="s">
        <v>276</v>
      </c>
      <c r="C466" s="15" t="s">
        <v>238</v>
      </c>
      <c r="D466" s="15" t="s">
        <v>280</v>
      </c>
      <c r="E466" s="15" t="s">
        <v>244</v>
      </c>
      <c r="F466" s="15" t="s">
        <v>8</v>
      </c>
      <c r="H466" s="15">
        <v>1.8754663633803801</v>
      </c>
      <c r="I466" s="15">
        <v>7.4293337238946897</v>
      </c>
      <c r="J466" s="15">
        <v>10.374674390849499</v>
      </c>
      <c r="K466" s="15">
        <v>10.374674390849499</v>
      </c>
      <c r="L466" s="15">
        <v>20.333291432170348</v>
      </c>
      <c r="M466" s="15">
        <v>25.876654886953659</v>
      </c>
      <c r="N466" s="15">
        <v>30.857845435231372</v>
      </c>
      <c r="O466" s="15">
        <v>36.539356081165913</v>
      </c>
      <c r="P466" s="15">
        <v>43.196351602755897</v>
      </c>
    </row>
    <row r="467" spans="1:16" x14ac:dyDescent="0.3">
      <c r="A467" s="15" t="str">
        <f t="shared" si="9"/>
        <v>CHA</v>
      </c>
      <c r="B467" s="15" t="s">
        <v>276</v>
      </c>
      <c r="C467" s="15" t="s">
        <v>238</v>
      </c>
      <c r="D467" s="15" t="s">
        <v>280</v>
      </c>
      <c r="E467" s="15" t="s">
        <v>239</v>
      </c>
      <c r="F467" s="15" t="s">
        <v>0</v>
      </c>
      <c r="G467" s="15">
        <v>0.70379540172882005</v>
      </c>
      <c r="H467" s="15">
        <v>0.33051695090780497</v>
      </c>
      <c r="I467" s="15">
        <v>0.20152157673309201</v>
      </c>
      <c r="J467" s="15">
        <v>0.175506138563677</v>
      </c>
      <c r="K467" s="15">
        <v>0.17966458040974401</v>
      </c>
      <c r="L467" s="15">
        <v>9.1799400225498304E-2</v>
      </c>
    </row>
    <row r="468" spans="1:16" x14ac:dyDescent="0.3">
      <c r="A468" s="15" t="str">
        <f t="shared" si="9"/>
        <v>CHA</v>
      </c>
      <c r="B468" s="15" t="s">
        <v>276</v>
      </c>
      <c r="C468" s="15" t="s">
        <v>238</v>
      </c>
      <c r="D468" s="15" t="s">
        <v>280</v>
      </c>
      <c r="E468" s="15" t="s">
        <v>239</v>
      </c>
      <c r="F468" s="15" t="s">
        <v>1</v>
      </c>
      <c r="G468" s="15">
        <v>2.2962033788486802</v>
      </c>
      <c r="H468" s="15">
        <v>1.3690505834525399</v>
      </c>
      <c r="I468" s="15">
        <v>0.82197806357427405</v>
      </c>
      <c r="J468" s="15">
        <v>0.67216558074861699</v>
      </c>
      <c r="K468" s="15">
        <v>0.64597860536450002</v>
      </c>
      <c r="L468" s="15">
        <v>0.29950478854548002</v>
      </c>
    </row>
    <row r="469" spans="1:16" x14ac:dyDescent="0.3">
      <c r="A469" s="15" t="str">
        <f t="shared" si="9"/>
        <v>CHA</v>
      </c>
      <c r="B469" s="15" t="s">
        <v>276</v>
      </c>
      <c r="C469" s="15" t="s">
        <v>238</v>
      </c>
      <c r="D469" s="15" t="s">
        <v>280</v>
      </c>
      <c r="E469" s="15" t="s">
        <v>239</v>
      </c>
      <c r="F469" s="15" t="s">
        <v>2</v>
      </c>
      <c r="G469" s="15">
        <v>2.9725747005974501</v>
      </c>
      <c r="H469" s="15">
        <v>1.9551956630517999</v>
      </c>
      <c r="I469" s="15">
        <v>0.98521873954907202</v>
      </c>
      <c r="J469" s="15">
        <v>1.38049306038317</v>
      </c>
      <c r="K469" s="15">
        <v>1.0339390262947701</v>
      </c>
      <c r="L469" s="15">
        <v>0.387727134860538</v>
      </c>
    </row>
    <row r="470" spans="1:16" x14ac:dyDescent="0.3">
      <c r="A470" s="15" t="str">
        <f t="shared" si="9"/>
        <v>CHA</v>
      </c>
      <c r="B470" s="15" t="s">
        <v>276</v>
      </c>
      <c r="C470" s="15" t="s">
        <v>238</v>
      </c>
      <c r="D470" s="15" t="s">
        <v>280</v>
      </c>
      <c r="E470" s="15" t="s">
        <v>239</v>
      </c>
      <c r="F470" s="15" t="s">
        <v>3</v>
      </c>
      <c r="G470" s="15">
        <v>0.10280031855987801</v>
      </c>
      <c r="H470" s="15">
        <v>4.9887807561113398E-2</v>
      </c>
      <c r="I470" s="15">
        <v>3.5913760387516598E-2</v>
      </c>
      <c r="J470" s="15">
        <v>5.8104527881669997E-2</v>
      </c>
      <c r="K470" s="15">
        <v>3.5756632542566197E-2</v>
      </c>
      <c r="L470" s="15">
        <v>1.34087372034623E-2</v>
      </c>
    </row>
    <row r="471" spans="1:16" x14ac:dyDescent="0.3">
      <c r="A471" s="15" t="str">
        <f t="shared" si="9"/>
        <v>CHA</v>
      </c>
      <c r="B471" s="15" t="s">
        <v>276</v>
      </c>
      <c r="C471" s="15" t="s">
        <v>238</v>
      </c>
      <c r="D471" s="15" t="s">
        <v>280</v>
      </c>
      <c r="E471" s="15" t="s">
        <v>239</v>
      </c>
      <c r="F471" s="15" t="s">
        <v>4</v>
      </c>
      <c r="G471" s="15">
        <v>2.26245873482035</v>
      </c>
      <c r="H471" s="15">
        <v>0.394334758446302</v>
      </c>
      <c r="I471" s="15">
        <v>0.48342960884397701</v>
      </c>
      <c r="J471" s="15">
        <v>0.32060201021726198</v>
      </c>
      <c r="K471" s="15">
        <v>0.35401529271614901</v>
      </c>
      <c r="L471" s="15">
        <v>0.29510331323743699</v>
      </c>
    </row>
    <row r="472" spans="1:16" x14ac:dyDescent="0.3">
      <c r="A472" s="15" t="str">
        <f t="shared" si="9"/>
        <v>CHA</v>
      </c>
      <c r="B472" s="15" t="s">
        <v>276</v>
      </c>
      <c r="C472" s="15" t="s">
        <v>238</v>
      </c>
      <c r="D472" s="15" t="s">
        <v>280</v>
      </c>
      <c r="E472" s="15" t="s">
        <v>239</v>
      </c>
      <c r="F472" s="15" t="s">
        <v>5</v>
      </c>
      <c r="G472" s="15">
        <v>1.2354445011197701</v>
      </c>
      <c r="H472" s="15">
        <v>0.36319109389721699</v>
      </c>
      <c r="I472" s="15">
        <v>0.210587697945289</v>
      </c>
      <c r="J472" s="15">
        <v>0.19178853823554501</v>
      </c>
      <c r="K472" s="15">
        <v>0.17735240172094</v>
      </c>
      <c r="L472" s="15">
        <v>0.16114493492866599</v>
      </c>
    </row>
    <row r="473" spans="1:16" x14ac:dyDescent="0.3">
      <c r="A473" s="15" t="str">
        <f t="shared" si="9"/>
        <v>CHA</v>
      </c>
      <c r="B473" s="15" t="s">
        <v>276</v>
      </c>
      <c r="C473" s="15" t="s">
        <v>238</v>
      </c>
      <c r="D473" s="15" t="s">
        <v>280</v>
      </c>
      <c r="E473" s="15" t="s">
        <v>239</v>
      </c>
      <c r="F473" s="15" t="s">
        <v>6</v>
      </c>
      <c r="G473" s="15">
        <v>0.53499105957853099</v>
      </c>
      <c r="H473" s="15">
        <v>1.74594355194422E-2</v>
      </c>
      <c r="I473" s="15">
        <v>2.11232122734786E-2</v>
      </c>
      <c r="J473" s="15">
        <v>0.30238625106612599</v>
      </c>
      <c r="K473" s="15">
        <v>6.44795835094846E-2</v>
      </c>
      <c r="L473" s="15">
        <v>6.9781442553721498E-2</v>
      </c>
    </row>
    <row r="474" spans="1:16" x14ac:dyDescent="0.3">
      <c r="A474" s="15" t="str">
        <f t="shared" si="9"/>
        <v>CHA</v>
      </c>
      <c r="B474" s="15" t="s">
        <v>276</v>
      </c>
      <c r="C474" s="15" t="s">
        <v>238</v>
      </c>
      <c r="D474" s="15" t="s">
        <v>280</v>
      </c>
      <c r="E474" s="15" t="s">
        <v>239</v>
      </c>
      <c r="F474" s="15" t="s">
        <v>7</v>
      </c>
      <c r="G474" s="15">
        <v>1.2990055167108301</v>
      </c>
      <c r="H474" s="15">
        <v>0.330779302853562</v>
      </c>
      <c r="I474" s="15">
        <v>0.30761935181483602</v>
      </c>
      <c r="J474" s="15">
        <v>0.73422050944524997</v>
      </c>
      <c r="K474" s="15">
        <v>0.45182800581246102</v>
      </c>
      <c r="L474" s="15">
        <v>0.16943550217967299</v>
      </c>
    </row>
    <row r="475" spans="1:16" x14ac:dyDescent="0.3">
      <c r="A475" s="15" t="str">
        <f t="shared" si="9"/>
        <v>CHA</v>
      </c>
      <c r="B475" s="15" t="s">
        <v>276</v>
      </c>
      <c r="C475" s="15" t="s">
        <v>238</v>
      </c>
      <c r="D475" s="15" t="s">
        <v>280</v>
      </c>
      <c r="E475" s="15" t="s">
        <v>239</v>
      </c>
      <c r="F475" s="15" t="s">
        <v>8</v>
      </c>
      <c r="G475" s="15">
        <v>0.30706038547872699</v>
      </c>
      <c r="I475" s="15">
        <v>0.10926164839963801</v>
      </c>
      <c r="K475" s="15">
        <v>1.2633064357603099E-2</v>
      </c>
      <c r="L475" s="15">
        <v>2.1717908966125601E-2</v>
      </c>
    </row>
    <row r="476" spans="1:16" x14ac:dyDescent="0.3">
      <c r="A476" s="15" t="str">
        <f t="shared" si="9"/>
        <v>CRC</v>
      </c>
      <c r="B476" s="15" t="s">
        <v>276</v>
      </c>
      <c r="C476" s="15" t="s">
        <v>238</v>
      </c>
      <c r="D476" s="15" t="s">
        <v>280</v>
      </c>
      <c r="E476" s="15" t="s">
        <v>245</v>
      </c>
      <c r="F476" s="15" t="s">
        <v>0</v>
      </c>
      <c r="G476" s="15">
        <v>6.5799904563606004</v>
      </c>
      <c r="H476" s="15">
        <v>6.2509909335425702</v>
      </c>
      <c r="I476" s="15">
        <v>4.9349928422704501</v>
      </c>
      <c r="J476" s="15">
        <v>3.2899952281803002</v>
      </c>
      <c r="K476" s="15">
        <v>1.6449976140901501</v>
      </c>
    </row>
    <row r="477" spans="1:16" x14ac:dyDescent="0.3">
      <c r="A477" s="15" t="str">
        <f t="shared" si="9"/>
        <v>CRC</v>
      </c>
      <c r="B477" s="15" t="s">
        <v>276</v>
      </c>
      <c r="C477" s="15" t="s">
        <v>238</v>
      </c>
      <c r="D477" s="15" t="s">
        <v>280</v>
      </c>
      <c r="E477" s="15" t="s">
        <v>245</v>
      </c>
      <c r="F477" s="15" t="s">
        <v>1</v>
      </c>
      <c r="G477" s="15">
        <v>31.037383873518699</v>
      </c>
      <c r="H477" s="15">
        <v>29.149745385544399</v>
      </c>
      <c r="I477" s="15">
        <v>23.278037905139001</v>
      </c>
      <c r="J477" s="15">
        <v>15.518691936759399</v>
      </c>
      <c r="K477" s="15">
        <v>7.7593459683796802</v>
      </c>
    </row>
    <row r="478" spans="1:16" x14ac:dyDescent="0.3">
      <c r="A478" s="15" t="str">
        <f t="shared" si="9"/>
        <v>CRC</v>
      </c>
      <c r="B478" s="15" t="s">
        <v>276</v>
      </c>
      <c r="C478" s="15" t="s">
        <v>238</v>
      </c>
      <c r="D478" s="15" t="s">
        <v>280</v>
      </c>
      <c r="E478" s="15" t="s">
        <v>245</v>
      </c>
      <c r="F478" s="15" t="s">
        <v>2</v>
      </c>
      <c r="G478" s="15">
        <v>38.8909200975178</v>
      </c>
      <c r="H478" s="15">
        <v>35.877393517306402</v>
      </c>
      <c r="I478" s="15">
        <v>27.392555022224801</v>
      </c>
      <c r="J478" s="15">
        <v>19.4454600487589</v>
      </c>
      <c r="K478" s="15">
        <v>9.7227300243794499</v>
      </c>
    </row>
    <row r="479" spans="1:16" x14ac:dyDescent="0.3">
      <c r="A479" s="15" t="str">
        <f t="shared" si="9"/>
        <v>CRC</v>
      </c>
      <c r="B479" s="15" t="s">
        <v>276</v>
      </c>
      <c r="C479" s="15" t="s">
        <v>238</v>
      </c>
      <c r="D479" s="15" t="s">
        <v>280</v>
      </c>
      <c r="E479" s="15" t="s">
        <v>245</v>
      </c>
      <c r="F479" s="15" t="s">
        <v>3</v>
      </c>
      <c r="G479" s="15">
        <v>14.6223229452317</v>
      </c>
      <c r="H479" s="15">
        <v>13.891206797970201</v>
      </c>
      <c r="I479" s="15">
        <v>10.966742208923799</v>
      </c>
      <c r="J479" s="15">
        <v>7.3111614726158702</v>
      </c>
      <c r="K479" s="15">
        <v>3.6555807363079298</v>
      </c>
    </row>
    <row r="480" spans="1:16" x14ac:dyDescent="0.3">
      <c r="A480" s="15" t="str">
        <f t="shared" si="9"/>
        <v>CRC</v>
      </c>
      <c r="B480" s="15" t="s">
        <v>276</v>
      </c>
      <c r="C480" s="15" t="s">
        <v>238</v>
      </c>
      <c r="D480" s="15" t="s">
        <v>280</v>
      </c>
      <c r="E480" s="15" t="s">
        <v>245</v>
      </c>
      <c r="F480" s="15" t="s">
        <v>4</v>
      </c>
      <c r="G480" s="15">
        <v>117.35478355616399</v>
      </c>
      <c r="H480" s="15">
        <v>111.48704437835499</v>
      </c>
      <c r="I480" s="15">
        <v>88.016087667122704</v>
      </c>
      <c r="J480" s="15">
        <v>58.677391778081798</v>
      </c>
      <c r="K480" s="15">
        <v>29.338695889040899</v>
      </c>
    </row>
    <row r="481" spans="1:16" x14ac:dyDescent="0.3">
      <c r="A481" s="15" t="str">
        <f t="shared" si="9"/>
        <v>CRC</v>
      </c>
      <c r="B481" s="15" t="s">
        <v>276</v>
      </c>
      <c r="C481" s="15" t="s">
        <v>238</v>
      </c>
      <c r="D481" s="15" t="s">
        <v>280</v>
      </c>
      <c r="E481" s="15" t="s">
        <v>245</v>
      </c>
      <c r="F481" s="15" t="s">
        <v>5</v>
      </c>
      <c r="G481" s="15">
        <v>17.261081140592299</v>
      </c>
      <c r="H481" s="15">
        <v>16.398027083562699</v>
      </c>
      <c r="I481" s="15">
        <v>12.945810855444201</v>
      </c>
      <c r="J481" s="15">
        <v>8.6305405702961693</v>
      </c>
      <c r="K481" s="15">
        <v>4.3152702851480802</v>
      </c>
    </row>
    <row r="482" spans="1:16" x14ac:dyDescent="0.3">
      <c r="A482" s="15" t="str">
        <f t="shared" si="9"/>
        <v>CRC</v>
      </c>
      <c r="B482" s="15" t="s">
        <v>276</v>
      </c>
      <c r="C482" s="15" t="s">
        <v>238</v>
      </c>
      <c r="D482" s="15" t="s">
        <v>280</v>
      </c>
      <c r="E482" s="15" t="s">
        <v>245</v>
      </c>
      <c r="F482" s="15" t="s">
        <v>6</v>
      </c>
      <c r="G482" s="15">
        <v>66.702667066434699</v>
      </c>
      <c r="H482" s="15">
        <v>63.367533713112998</v>
      </c>
      <c r="I482" s="15">
        <v>50.027000299826</v>
      </c>
      <c r="J482" s="15">
        <v>33.3513335332173</v>
      </c>
      <c r="K482" s="15">
        <v>16.6756667666087</v>
      </c>
    </row>
    <row r="483" spans="1:16" x14ac:dyDescent="0.3">
      <c r="A483" s="15" t="str">
        <f t="shared" si="9"/>
        <v>CRC</v>
      </c>
      <c r="B483" s="15" t="s">
        <v>276</v>
      </c>
      <c r="C483" s="15" t="s">
        <v>238</v>
      </c>
      <c r="D483" s="15" t="s">
        <v>280</v>
      </c>
      <c r="E483" s="15" t="s">
        <v>245</v>
      </c>
      <c r="F483" s="15" t="s">
        <v>7</v>
      </c>
      <c r="G483" s="15">
        <v>18.1747067298753</v>
      </c>
      <c r="H483" s="15">
        <v>17.265971393381601</v>
      </c>
      <c r="I483" s="15">
        <v>13.631030047406499</v>
      </c>
      <c r="J483" s="15">
        <v>9.0873533649376697</v>
      </c>
      <c r="K483" s="15">
        <v>4.5436766824688304</v>
      </c>
    </row>
    <row r="484" spans="1:16" x14ac:dyDescent="0.3">
      <c r="A484" s="15" t="str">
        <f t="shared" si="9"/>
        <v>CRC</v>
      </c>
      <c r="B484" s="15" t="s">
        <v>276</v>
      </c>
      <c r="C484" s="15" t="s">
        <v>238</v>
      </c>
      <c r="D484" s="15" t="s">
        <v>280</v>
      </c>
      <c r="E484" s="15" t="s">
        <v>245</v>
      </c>
      <c r="F484" s="15" t="s">
        <v>8</v>
      </c>
      <c r="G484" s="15">
        <v>16.262712980552099</v>
      </c>
      <c r="H484" s="15">
        <v>15.4495773315245</v>
      </c>
      <c r="I484" s="15">
        <v>12.1970347354141</v>
      </c>
      <c r="J484" s="15">
        <v>8.1313564902760405</v>
      </c>
      <c r="K484" s="15">
        <v>4.0656782451380202</v>
      </c>
    </row>
    <row r="485" spans="1:16" x14ac:dyDescent="0.3">
      <c r="A485" s="15" t="str">
        <f t="shared" si="9"/>
        <v>CRC</v>
      </c>
      <c r="B485" s="15" t="s">
        <v>276</v>
      </c>
      <c r="C485" s="15" t="s">
        <v>238</v>
      </c>
      <c r="D485" s="15" t="s">
        <v>280</v>
      </c>
      <c r="E485" s="15" t="s">
        <v>309</v>
      </c>
      <c r="F485" s="15" t="s">
        <v>0</v>
      </c>
      <c r="H485" s="15">
        <v>1.2429032576928701E-2</v>
      </c>
      <c r="I485" s="15">
        <v>0.45587300589101398</v>
      </c>
      <c r="J485" s="15">
        <v>1.9248962654708941</v>
      </c>
      <c r="K485" s="15">
        <v>3.5980225282066938</v>
      </c>
      <c r="L485" s="15">
        <v>5.2551326712697843</v>
      </c>
      <c r="M485" s="15">
        <v>5.2654700404240371</v>
      </c>
      <c r="N485" s="15">
        <v>5.2528948518574667</v>
      </c>
      <c r="O485" s="15">
        <v>5.2584712895709576</v>
      </c>
      <c r="P485" s="15">
        <v>5.3145683702274571</v>
      </c>
    </row>
    <row r="486" spans="1:16" x14ac:dyDescent="0.3">
      <c r="A486" s="15" t="str">
        <f t="shared" si="9"/>
        <v>CRC</v>
      </c>
      <c r="B486" s="15" t="s">
        <v>276</v>
      </c>
      <c r="C486" s="15" t="s">
        <v>238</v>
      </c>
      <c r="D486" s="15" t="s">
        <v>280</v>
      </c>
      <c r="E486" s="15" t="s">
        <v>309</v>
      </c>
      <c r="F486" s="15" t="s">
        <v>1</v>
      </c>
      <c r="I486" s="15">
        <v>0.60715822859021196</v>
      </c>
      <c r="J486" s="15">
        <v>6.9248393980363021</v>
      </c>
      <c r="K486" s="15">
        <v>14.432184732758792</v>
      </c>
      <c r="L486" s="15">
        <v>21.837609680775927</v>
      </c>
      <c r="M486" s="15">
        <v>21.582055838914297</v>
      </c>
      <c r="N486" s="15">
        <v>21.242186171884317</v>
      </c>
      <c r="O486" s="15">
        <v>20.975218730751607</v>
      </c>
      <c r="P486" s="15">
        <v>20.947703918050365</v>
      </c>
    </row>
    <row r="487" spans="1:16" x14ac:dyDescent="0.3">
      <c r="A487" s="15" t="str">
        <f t="shared" si="9"/>
        <v>CRC</v>
      </c>
      <c r="B487" s="15" t="s">
        <v>276</v>
      </c>
      <c r="C487" s="15" t="s">
        <v>238</v>
      </c>
      <c r="D487" s="15" t="s">
        <v>280</v>
      </c>
      <c r="E487" s="15" t="s">
        <v>309</v>
      </c>
      <c r="F487" s="15" t="s">
        <v>2</v>
      </c>
      <c r="J487" s="15">
        <v>9.2104045652042803</v>
      </c>
      <c r="K487" s="15">
        <v>18.096003966081518</v>
      </c>
      <c r="L487" s="15">
        <v>26.972634015903623</v>
      </c>
      <c r="M487" s="15">
        <v>26.267767461259439</v>
      </c>
      <c r="N487" s="15">
        <v>25.49892345124255</v>
      </c>
      <c r="O487" s="15">
        <v>24.888323338084263</v>
      </c>
      <c r="P487" s="15">
        <v>24.504505407410729</v>
      </c>
    </row>
    <row r="488" spans="1:16" x14ac:dyDescent="0.3">
      <c r="A488" s="15" t="str">
        <f t="shared" si="9"/>
        <v>CRC</v>
      </c>
      <c r="B488" s="15" t="s">
        <v>276</v>
      </c>
      <c r="C488" s="15" t="s">
        <v>238</v>
      </c>
      <c r="D488" s="15" t="s">
        <v>280</v>
      </c>
      <c r="E488" s="15" t="s">
        <v>309</v>
      </c>
      <c r="F488" s="15" t="s">
        <v>3</v>
      </c>
      <c r="H488" s="15">
        <v>1.09198322539292E-2</v>
      </c>
      <c r="I488" s="15">
        <v>0.94771518557494605</v>
      </c>
      <c r="J488" s="15">
        <v>4.8306344440208964</v>
      </c>
      <c r="K488" s="15">
        <v>8.2365267849147568</v>
      </c>
      <c r="L488" s="15">
        <v>11.629643774580675</v>
      </c>
      <c r="M488" s="15">
        <v>11.445389704422933</v>
      </c>
      <c r="N488" s="15">
        <v>11.241837713278072</v>
      </c>
      <c r="O488" s="15">
        <v>11.109485688451201</v>
      </c>
      <c r="P488" s="15">
        <v>11.080037934867491</v>
      </c>
    </row>
    <row r="489" spans="1:16" x14ac:dyDescent="0.3">
      <c r="A489" s="15" t="str">
        <f t="shared" si="9"/>
        <v>CRC</v>
      </c>
      <c r="B489" s="15" t="s">
        <v>276</v>
      </c>
      <c r="C489" s="15" t="s">
        <v>238</v>
      </c>
      <c r="D489" s="15" t="s">
        <v>280</v>
      </c>
      <c r="E489" s="15" t="s">
        <v>309</v>
      </c>
      <c r="F489" s="15" t="s">
        <v>4</v>
      </c>
      <c r="H489" s="15">
        <v>6.9884350713149201</v>
      </c>
      <c r="I489" s="15">
        <v>34.607034737674702</v>
      </c>
      <c r="J489" s="15">
        <v>56.365598449267502</v>
      </c>
      <c r="K489" s="15">
        <v>87.259786773006908</v>
      </c>
      <c r="L489" s="15">
        <v>117.86603920491609</v>
      </c>
      <c r="M489" s="15">
        <v>119.6691679302036</v>
      </c>
      <c r="N489" s="15">
        <v>121.22224138960658</v>
      </c>
      <c r="O489" s="15">
        <v>123.57948890498821</v>
      </c>
      <c r="P489" s="15">
        <v>126.06713644736669</v>
      </c>
    </row>
    <row r="490" spans="1:16" x14ac:dyDescent="0.3">
      <c r="A490" s="15" t="str">
        <f t="shared" si="9"/>
        <v>CRC</v>
      </c>
      <c r="B490" s="15" t="s">
        <v>276</v>
      </c>
      <c r="C490" s="15" t="s">
        <v>238</v>
      </c>
      <c r="D490" s="15" t="s">
        <v>280</v>
      </c>
      <c r="E490" s="15" t="s">
        <v>309</v>
      </c>
      <c r="F490" s="15" t="s">
        <v>5</v>
      </c>
      <c r="H490" s="15">
        <v>8.6450058199233099E-2</v>
      </c>
      <c r="I490" s="15">
        <v>1.4065595041282</v>
      </c>
      <c r="J490" s="15">
        <v>5.4591762902071403</v>
      </c>
      <c r="K490" s="15">
        <v>9.5727512960372003</v>
      </c>
      <c r="L490" s="15">
        <v>13.66157806297679</v>
      </c>
      <c r="M490" s="15">
        <v>13.498808505703238</v>
      </c>
      <c r="N490" s="15">
        <v>13.313825077053689</v>
      </c>
      <c r="O490" s="15">
        <v>13.209795277149627</v>
      </c>
      <c r="P490" s="15">
        <v>13.223013909268509</v>
      </c>
    </row>
    <row r="491" spans="1:16" x14ac:dyDescent="0.3">
      <c r="A491" s="15" t="str">
        <f t="shared" si="9"/>
        <v>CRC</v>
      </c>
      <c r="B491" s="15" t="s">
        <v>276</v>
      </c>
      <c r="C491" s="15" t="s">
        <v>238</v>
      </c>
      <c r="D491" s="15" t="s">
        <v>280</v>
      </c>
      <c r="E491" s="15" t="s">
        <v>309</v>
      </c>
      <c r="F491" s="15" t="s">
        <v>6</v>
      </c>
      <c r="H491" s="15">
        <v>3.31211644866955</v>
      </c>
      <c r="I491" s="15">
        <v>17.087697062687798</v>
      </c>
      <c r="J491" s="15">
        <v>36.943868245671894</v>
      </c>
      <c r="K491" s="15">
        <v>55.587288583871398</v>
      </c>
      <c r="L491" s="15">
        <v>73.951285562508204</v>
      </c>
      <c r="M491" s="15">
        <v>75.945652739674699</v>
      </c>
      <c r="N491" s="15">
        <v>77.751975557981396</v>
      </c>
      <c r="O491" s="15">
        <v>80.086171326627095</v>
      </c>
      <c r="P491" s="15">
        <v>83.148868745972806</v>
      </c>
    </row>
    <row r="492" spans="1:16" x14ac:dyDescent="0.3">
      <c r="A492" s="15" t="str">
        <f t="shared" si="9"/>
        <v>CRC</v>
      </c>
      <c r="B492" s="15" t="s">
        <v>276</v>
      </c>
      <c r="C492" s="15" t="s">
        <v>238</v>
      </c>
      <c r="D492" s="15" t="s">
        <v>280</v>
      </c>
      <c r="E492" s="15" t="s">
        <v>309</v>
      </c>
      <c r="F492" s="15" t="s">
        <v>7</v>
      </c>
      <c r="H492" s="15">
        <v>0.77864204941459603</v>
      </c>
      <c r="I492" s="15">
        <v>4.1714631044097299</v>
      </c>
      <c r="J492" s="15">
        <v>9.5854709451722595</v>
      </c>
      <c r="K492" s="15">
        <v>14.76641211190052</v>
      </c>
      <c r="L492" s="15">
        <v>19.928440078308043</v>
      </c>
      <c r="M492" s="15">
        <v>20.693537460411402</v>
      </c>
      <c r="N492" s="15">
        <v>21.423261996062891</v>
      </c>
      <c r="O492" s="15">
        <v>22.3246911955748</v>
      </c>
      <c r="P492" s="15">
        <v>23.475239103869072</v>
      </c>
    </row>
    <row r="493" spans="1:16" x14ac:dyDescent="0.3">
      <c r="A493" s="15" t="str">
        <f t="shared" si="9"/>
        <v>CRC</v>
      </c>
      <c r="B493" s="15" t="s">
        <v>276</v>
      </c>
      <c r="C493" s="15" t="s">
        <v>238</v>
      </c>
      <c r="D493" s="15" t="s">
        <v>280</v>
      </c>
      <c r="E493" s="15" t="s">
        <v>309</v>
      </c>
      <c r="F493" s="15" t="s">
        <v>8</v>
      </c>
      <c r="H493" s="15">
        <v>2.5569345103325301</v>
      </c>
      <c r="I493" s="15">
        <v>11.0111014838063</v>
      </c>
      <c r="J493" s="15">
        <v>12.11038822674705</v>
      </c>
      <c r="K493" s="15">
        <v>16.519046971502249</v>
      </c>
      <c r="L493" s="15">
        <v>20.831373571669111</v>
      </c>
      <c r="M493" s="15">
        <v>21.150837440553651</v>
      </c>
      <c r="N493" s="15">
        <v>21.430355604819717</v>
      </c>
      <c r="O493" s="15">
        <v>21.868224658764071</v>
      </c>
      <c r="P493" s="15">
        <v>22.523131229349758</v>
      </c>
    </row>
    <row r="494" spans="1:16" x14ac:dyDescent="0.3">
      <c r="A494" s="15" t="str">
        <f t="shared" si="9"/>
        <v>GHP</v>
      </c>
      <c r="B494" s="15" t="s">
        <v>276</v>
      </c>
      <c r="C494" s="15" t="s">
        <v>238</v>
      </c>
      <c r="D494" s="15" t="s">
        <v>280</v>
      </c>
      <c r="E494" s="15" t="s">
        <v>310</v>
      </c>
      <c r="F494" s="15" t="s">
        <v>0</v>
      </c>
      <c r="I494" s="15">
        <v>0.13576791487815401</v>
      </c>
      <c r="J494" s="15">
        <v>0.13576791487815401</v>
      </c>
      <c r="K494" s="15">
        <v>0.13576791487815401</v>
      </c>
      <c r="L494" s="15">
        <v>0.13576791487815401</v>
      </c>
      <c r="M494" s="15">
        <v>0.13576791487815401</v>
      </c>
    </row>
    <row r="495" spans="1:16" x14ac:dyDescent="0.3">
      <c r="A495" s="15" t="str">
        <f t="shared" si="9"/>
        <v>GHP</v>
      </c>
      <c r="B495" s="15" t="s">
        <v>276</v>
      </c>
      <c r="C495" s="15" t="s">
        <v>238</v>
      </c>
      <c r="D495" s="15" t="s">
        <v>280</v>
      </c>
      <c r="E495" s="15" t="s">
        <v>310</v>
      </c>
      <c r="F495" s="15" t="s">
        <v>1</v>
      </c>
      <c r="I495" s="15">
        <v>0.36988126410530398</v>
      </c>
      <c r="J495" s="15">
        <v>0.36988126410530398</v>
      </c>
      <c r="K495" s="15">
        <v>0.36988126410530398</v>
      </c>
      <c r="L495" s="15">
        <v>0.36988126410530398</v>
      </c>
      <c r="M495" s="15">
        <v>0.36988126410530398</v>
      </c>
    </row>
    <row r="496" spans="1:16" x14ac:dyDescent="0.3">
      <c r="A496" s="15" t="str">
        <f t="shared" si="9"/>
        <v>GHP</v>
      </c>
      <c r="B496" s="15" t="s">
        <v>276</v>
      </c>
      <c r="C496" s="15" t="s">
        <v>238</v>
      </c>
      <c r="D496" s="15" t="s">
        <v>280</v>
      </c>
      <c r="E496" s="15" t="s">
        <v>310</v>
      </c>
      <c r="F496" s="15" t="s">
        <v>2</v>
      </c>
      <c r="I496" s="15">
        <v>0.219871472174064</v>
      </c>
      <c r="J496" s="15">
        <v>0.219871472174064</v>
      </c>
      <c r="K496" s="15">
        <v>0.219871472174064</v>
      </c>
      <c r="L496" s="15">
        <v>0.219871472174064</v>
      </c>
      <c r="M496" s="15">
        <v>0.219871472174064</v>
      </c>
    </row>
    <row r="497" spans="1:16" x14ac:dyDescent="0.3">
      <c r="A497" s="15" t="str">
        <f t="shared" si="9"/>
        <v>GHP</v>
      </c>
      <c r="B497" s="15" t="s">
        <v>276</v>
      </c>
      <c r="C497" s="15" t="s">
        <v>238</v>
      </c>
      <c r="D497" s="15" t="s">
        <v>280</v>
      </c>
      <c r="E497" s="15" t="s">
        <v>310</v>
      </c>
      <c r="F497" s="15" t="s">
        <v>3</v>
      </c>
      <c r="I497" s="15">
        <v>0.32975816411285802</v>
      </c>
      <c r="J497" s="15">
        <v>0.32975816411285802</v>
      </c>
      <c r="K497" s="15">
        <v>0.32975816411285802</v>
      </c>
      <c r="L497" s="15">
        <v>0.32975816411285802</v>
      </c>
      <c r="M497" s="15">
        <v>0.32975816411285802</v>
      </c>
    </row>
    <row r="498" spans="1:16" x14ac:dyDescent="0.3">
      <c r="A498" s="15" t="str">
        <f t="shared" si="9"/>
        <v>GHP</v>
      </c>
      <c r="B498" s="15" t="s">
        <v>276</v>
      </c>
      <c r="C498" s="15" t="s">
        <v>238</v>
      </c>
      <c r="D498" s="15" t="s">
        <v>280</v>
      </c>
      <c r="E498" s="15" t="s">
        <v>310</v>
      </c>
      <c r="F498" s="15" t="s">
        <v>4</v>
      </c>
      <c r="I498" s="15">
        <v>12.243356843095601</v>
      </c>
      <c r="J498" s="15">
        <v>12.243356843095601</v>
      </c>
      <c r="K498" s="15">
        <v>12.243356843095601</v>
      </c>
      <c r="L498" s="15">
        <v>12.243356843095601</v>
      </c>
      <c r="M498" s="15">
        <v>12.243356843095601</v>
      </c>
    </row>
    <row r="499" spans="1:16" x14ac:dyDescent="0.3">
      <c r="A499" s="15" t="str">
        <f t="shared" si="9"/>
        <v>GHP</v>
      </c>
      <c r="B499" s="15" t="s">
        <v>276</v>
      </c>
      <c r="C499" s="15" t="s">
        <v>238</v>
      </c>
      <c r="D499" s="15" t="s">
        <v>280</v>
      </c>
      <c r="E499" s="15" t="s">
        <v>310</v>
      </c>
      <c r="F499" s="15" t="s">
        <v>5</v>
      </c>
      <c r="I499" s="15">
        <v>1.39892388022434</v>
      </c>
      <c r="J499" s="15">
        <v>1.39892388022434</v>
      </c>
      <c r="K499" s="15">
        <v>1.39892388022434</v>
      </c>
      <c r="L499" s="15">
        <v>1.39892388022434</v>
      </c>
      <c r="M499" s="15">
        <v>1.39892388022434</v>
      </c>
    </row>
    <row r="500" spans="1:16" x14ac:dyDescent="0.3">
      <c r="A500" s="15" t="str">
        <f t="shared" si="9"/>
        <v>GHP</v>
      </c>
      <c r="B500" s="15" t="s">
        <v>276</v>
      </c>
      <c r="C500" s="15" t="s">
        <v>238</v>
      </c>
      <c r="D500" s="15" t="s">
        <v>280</v>
      </c>
      <c r="E500" s="15" t="s">
        <v>310</v>
      </c>
      <c r="F500" s="15" t="s">
        <v>6</v>
      </c>
      <c r="I500" s="15">
        <v>4.2999643984158498</v>
      </c>
      <c r="J500" s="15">
        <v>4.2999643984158498</v>
      </c>
      <c r="K500" s="15">
        <v>4.2999643984158498</v>
      </c>
      <c r="L500" s="15">
        <v>4.2999643984158498</v>
      </c>
      <c r="M500" s="15">
        <v>4.2999643984158498</v>
      </c>
    </row>
    <row r="501" spans="1:16" x14ac:dyDescent="0.3">
      <c r="A501" s="15" t="str">
        <f t="shared" si="9"/>
        <v>GHP</v>
      </c>
      <c r="B501" s="15" t="s">
        <v>276</v>
      </c>
      <c r="C501" s="15" t="s">
        <v>238</v>
      </c>
      <c r="D501" s="15" t="s">
        <v>280</v>
      </c>
      <c r="E501" s="15" t="s">
        <v>310</v>
      </c>
      <c r="F501" s="15" t="s">
        <v>7</v>
      </c>
      <c r="I501" s="15">
        <v>1.2054495404162</v>
      </c>
      <c r="J501" s="15">
        <v>1.2054495404162</v>
      </c>
      <c r="K501" s="15">
        <v>1.2054495404162</v>
      </c>
      <c r="L501" s="15">
        <v>1.2054495404162</v>
      </c>
      <c r="M501" s="15">
        <v>1.2054495404162</v>
      </c>
    </row>
    <row r="502" spans="1:16" x14ac:dyDescent="0.3">
      <c r="A502" s="15" t="str">
        <f t="shared" si="9"/>
        <v>GHP</v>
      </c>
      <c r="B502" s="15" t="s">
        <v>276</v>
      </c>
      <c r="C502" s="15" t="s">
        <v>238</v>
      </c>
      <c r="D502" s="15" t="s">
        <v>280</v>
      </c>
      <c r="E502" s="15" t="s">
        <v>310</v>
      </c>
      <c r="F502" s="15" t="s">
        <v>8</v>
      </c>
      <c r="I502" s="15">
        <v>2.6092187049891198</v>
      </c>
      <c r="J502" s="15">
        <v>2.6092187049891198</v>
      </c>
      <c r="K502" s="15">
        <v>2.6092187049891198</v>
      </c>
      <c r="L502" s="15">
        <v>2.6092187049891198</v>
      </c>
      <c r="M502" s="15">
        <v>2.6092187049891198</v>
      </c>
    </row>
    <row r="503" spans="1:16" x14ac:dyDescent="0.3">
      <c r="A503" s="15" t="str">
        <f t="shared" si="9"/>
        <v>GHP</v>
      </c>
      <c r="B503" s="15" t="s">
        <v>276</v>
      </c>
      <c r="C503" s="15" t="s">
        <v>238</v>
      </c>
      <c r="D503" s="15" t="s">
        <v>280</v>
      </c>
      <c r="E503" s="15" t="s">
        <v>246</v>
      </c>
      <c r="F503" s="15" t="s">
        <v>0</v>
      </c>
      <c r="G503" s="15">
        <v>0.65310413919496701</v>
      </c>
      <c r="H503" s="15">
        <v>0.62168258943821997</v>
      </c>
      <c r="I503" s="15">
        <v>0.40378390767917099</v>
      </c>
      <c r="J503" s="15">
        <v>0.39186248351698</v>
      </c>
      <c r="K503" s="15">
        <v>0.26124165567798702</v>
      </c>
      <c r="L503" s="15">
        <v>0.13062082783899301</v>
      </c>
    </row>
    <row r="504" spans="1:16" x14ac:dyDescent="0.3">
      <c r="A504" s="15" t="str">
        <f t="shared" si="9"/>
        <v>GHP</v>
      </c>
      <c r="B504" s="15" t="s">
        <v>276</v>
      </c>
      <c r="C504" s="15" t="s">
        <v>238</v>
      </c>
      <c r="D504" s="15" t="s">
        <v>280</v>
      </c>
      <c r="E504" s="15" t="s">
        <v>246</v>
      </c>
      <c r="F504" s="15" t="s">
        <v>1</v>
      </c>
      <c r="G504" s="15">
        <v>2.6976591350765302</v>
      </c>
      <c r="H504" s="15">
        <v>2.5335923042006598</v>
      </c>
      <c r="I504" s="15">
        <v>1.72349957262519</v>
      </c>
      <c r="J504" s="15">
        <v>1.61859548104592</v>
      </c>
      <c r="K504" s="15">
        <v>1.07906365403061</v>
      </c>
      <c r="L504" s="15">
        <v>0.539531827015306</v>
      </c>
    </row>
    <row r="505" spans="1:16" x14ac:dyDescent="0.3">
      <c r="A505" s="15" t="str">
        <f t="shared" si="9"/>
        <v>GHP</v>
      </c>
      <c r="B505" s="15" t="s">
        <v>276</v>
      </c>
      <c r="C505" s="15" t="s">
        <v>238</v>
      </c>
      <c r="D505" s="15" t="s">
        <v>280</v>
      </c>
      <c r="E505" s="15" t="s">
        <v>246</v>
      </c>
      <c r="F505" s="15" t="s">
        <v>2</v>
      </c>
      <c r="G505" s="15">
        <v>1.45522380428539</v>
      </c>
      <c r="H505" s="15">
        <v>1.34246340665596</v>
      </c>
      <c r="I505" s="15">
        <v>0.81367874306905397</v>
      </c>
      <c r="J505" s="15">
        <v>0.87313428257123105</v>
      </c>
      <c r="K505" s="15">
        <v>0.58208952171415396</v>
      </c>
      <c r="L505" s="15">
        <v>0.29104476085707698</v>
      </c>
    </row>
    <row r="506" spans="1:16" x14ac:dyDescent="0.3">
      <c r="A506" s="15" t="str">
        <f t="shared" si="9"/>
        <v>GHP</v>
      </c>
      <c r="B506" s="15" t="s">
        <v>276</v>
      </c>
      <c r="C506" s="15" t="s">
        <v>238</v>
      </c>
      <c r="D506" s="15" t="s">
        <v>280</v>
      </c>
      <c r="E506" s="15" t="s">
        <v>246</v>
      </c>
      <c r="F506" s="15" t="s">
        <v>3</v>
      </c>
      <c r="G506" s="15">
        <v>1.3381109474880399</v>
      </c>
      <c r="H506" s="15">
        <v>1.2722046905231399</v>
      </c>
      <c r="I506" s="15">
        <v>0.76967159419403697</v>
      </c>
      <c r="J506" s="15">
        <v>0.80286656849282501</v>
      </c>
      <c r="K506" s="15">
        <v>0.53524437899521604</v>
      </c>
      <c r="L506" s="15">
        <v>0.26762218949760802</v>
      </c>
    </row>
    <row r="507" spans="1:16" x14ac:dyDescent="0.3">
      <c r="A507" s="15" t="str">
        <f t="shared" si="9"/>
        <v>GHP</v>
      </c>
      <c r="B507" s="15" t="s">
        <v>276</v>
      </c>
      <c r="C507" s="15" t="s">
        <v>238</v>
      </c>
      <c r="D507" s="15" t="s">
        <v>280</v>
      </c>
      <c r="E507" s="15" t="s">
        <v>246</v>
      </c>
      <c r="F507" s="15" t="s">
        <v>4</v>
      </c>
      <c r="G507" s="15">
        <v>35.008098156305302</v>
      </c>
      <c r="H507" s="15">
        <v>33.607774230053103</v>
      </c>
      <c r="I507" s="15">
        <v>24.642303146159701</v>
      </c>
      <c r="J507" s="15">
        <v>21.004858893783201</v>
      </c>
      <c r="K507" s="15">
        <v>14.003239262522101</v>
      </c>
      <c r="L507" s="15">
        <v>7.0016196312610601</v>
      </c>
    </row>
    <row r="508" spans="1:16" x14ac:dyDescent="0.3">
      <c r="A508" s="15" t="str">
        <f t="shared" si="9"/>
        <v>GHP</v>
      </c>
      <c r="B508" s="15" t="s">
        <v>276</v>
      </c>
      <c r="C508" s="15" t="s">
        <v>238</v>
      </c>
      <c r="D508" s="15" t="s">
        <v>280</v>
      </c>
      <c r="E508" s="15" t="s">
        <v>246</v>
      </c>
      <c r="F508" s="15" t="s">
        <v>5</v>
      </c>
      <c r="G508" s="15">
        <v>6.0279375528185497</v>
      </c>
      <c r="H508" s="15">
        <v>5.7567308786774998</v>
      </c>
      <c r="I508" s="15">
        <v>3.6551530710304201</v>
      </c>
      <c r="J508" s="15">
        <v>3.6167625316911298</v>
      </c>
      <c r="K508" s="15">
        <v>2.4111750211274199</v>
      </c>
      <c r="L508" s="15">
        <v>1.2055875105637099</v>
      </c>
    </row>
    <row r="509" spans="1:16" x14ac:dyDescent="0.3">
      <c r="A509" s="15" t="str">
        <f t="shared" si="9"/>
        <v>GHP</v>
      </c>
      <c r="B509" s="15" t="s">
        <v>276</v>
      </c>
      <c r="C509" s="15" t="s">
        <v>238</v>
      </c>
      <c r="D509" s="15" t="s">
        <v>280</v>
      </c>
      <c r="E509" s="15" t="s">
        <v>246</v>
      </c>
      <c r="F509" s="15" t="s">
        <v>6</v>
      </c>
      <c r="G509" s="15">
        <v>9.8939336512612108</v>
      </c>
      <c r="H509" s="15">
        <v>9.4981763052107606</v>
      </c>
      <c r="I509" s="15">
        <v>5.7383523999625998</v>
      </c>
      <c r="J509" s="15">
        <v>5.9363601907567203</v>
      </c>
      <c r="K509" s="15">
        <v>3.9575734605044799</v>
      </c>
      <c r="L509" s="15">
        <v>1.9787867302522399</v>
      </c>
    </row>
    <row r="510" spans="1:16" x14ac:dyDescent="0.3">
      <c r="A510" s="15" t="str">
        <f t="shared" si="9"/>
        <v>GHP</v>
      </c>
      <c r="B510" s="15" t="s">
        <v>276</v>
      </c>
      <c r="C510" s="15" t="s">
        <v>238</v>
      </c>
      <c r="D510" s="15" t="s">
        <v>280</v>
      </c>
      <c r="E510" s="15" t="s">
        <v>246</v>
      </c>
      <c r="F510" s="15" t="s">
        <v>7</v>
      </c>
      <c r="G510" s="15">
        <v>2.9085161121735998</v>
      </c>
      <c r="H510" s="15">
        <v>2.7921754676866501</v>
      </c>
      <c r="I510" s="15">
        <v>1.6673303792946399</v>
      </c>
      <c r="J510" s="15">
        <v>1.74510966730416</v>
      </c>
      <c r="K510" s="15">
        <v>1.1634064448694399</v>
      </c>
      <c r="L510" s="15">
        <v>0.58170322243471895</v>
      </c>
    </row>
    <row r="511" spans="1:16" x14ac:dyDescent="0.3">
      <c r="A511" s="15" t="str">
        <f t="shared" si="9"/>
        <v>GHP</v>
      </c>
      <c r="B511" s="15" t="s">
        <v>276</v>
      </c>
      <c r="C511" s="15" t="s">
        <v>238</v>
      </c>
      <c r="D511" s="15" t="s">
        <v>280</v>
      </c>
      <c r="E511" s="15" t="s">
        <v>246</v>
      </c>
      <c r="F511" s="15" t="s">
        <v>8</v>
      </c>
      <c r="G511" s="15">
        <v>5.0028980651139996</v>
      </c>
      <c r="H511" s="15">
        <v>4.8027821425094404</v>
      </c>
      <c r="I511" s="15">
        <v>4.0023184520911999</v>
      </c>
      <c r="J511" s="15">
        <v>3.0017388390684001</v>
      </c>
      <c r="K511" s="15">
        <v>2.0011592260455999</v>
      </c>
      <c r="L511" s="15">
        <v>1.0005796130228</v>
      </c>
    </row>
    <row r="512" spans="1:16" x14ac:dyDescent="0.3">
      <c r="A512" s="15" t="str">
        <f t="shared" si="9"/>
        <v>GHP</v>
      </c>
      <c r="B512" s="15" t="s">
        <v>276</v>
      </c>
      <c r="C512" s="15" t="s">
        <v>238</v>
      </c>
      <c r="D512" s="15" t="s">
        <v>280</v>
      </c>
      <c r="E512" s="15" t="s">
        <v>311</v>
      </c>
      <c r="F512" s="15" t="s">
        <v>0</v>
      </c>
      <c r="K512" s="15">
        <v>0.13952662115183601</v>
      </c>
      <c r="L512" s="15">
        <v>0.27783037070766203</v>
      </c>
      <c r="M512" s="15">
        <v>0.41638300502940306</v>
      </c>
      <c r="N512" s="15">
        <v>0.55812065299540103</v>
      </c>
      <c r="O512" s="15">
        <v>0.56649786821843484</v>
      </c>
      <c r="P512" s="15">
        <v>0.58095411191022384</v>
      </c>
    </row>
    <row r="513" spans="1:16" x14ac:dyDescent="0.3">
      <c r="A513" s="15" t="str">
        <f t="shared" si="9"/>
        <v>GHP</v>
      </c>
      <c r="B513" s="15" t="s">
        <v>276</v>
      </c>
      <c r="C513" s="15" t="s">
        <v>238</v>
      </c>
      <c r="D513" s="15" t="s">
        <v>280</v>
      </c>
      <c r="E513" s="15" t="s">
        <v>311</v>
      </c>
      <c r="F513" s="15" t="s">
        <v>1</v>
      </c>
      <c r="K513" s="15">
        <v>0.53966476009988895</v>
      </c>
      <c r="L513" s="15">
        <v>1.0709279958912039</v>
      </c>
      <c r="M513" s="15">
        <v>1.6119115934679891</v>
      </c>
      <c r="N513" s="15">
        <v>1.9763933773258411</v>
      </c>
      <c r="O513" s="15">
        <v>1.9787460650245998</v>
      </c>
      <c r="P513" s="15">
        <v>2.0051877892120098</v>
      </c>
    </row>
    <row r="514" spans="1:16" x14ac:dyDescent="0.3">
      <c r="A514" s="15" t="str">
        <f t="shared" si="9"/>
        <v>GHP</v>
      </c>
      <c r="B514" s="15" t="s">
        <v>276</v>
      </c>
      <c r="C514" s="15" t="s">
        <v>238</v>
      </c>
      <c r="D514" s="15" t="s">
        <v>280</v>
      </c>
      <c r="E514" s="15" t="s">
        <v>311</v>
      </c>
      <c r="F514" s="15" t="s">
        <v>2</v>
      </c>
      <c r="K514" s="15">
        <v>0.27123553075949097</v>
      </c>
      <c r="L514" s="15">
        <v>0.54210678642300802</v>
      </c>
      <c r="M514" s="15">
        <v>0.81853698549148202</v>
      </c>
      <c r="N514" s="15">
        <v>1.0213524406960159</v>
      </c>
      <c r="O514" s="15">
        <v>1.0213524406960159</v>
      </c>
      <c r="P514" s="15">
        <v>1.0098204756481111</v>
      </c>
    </row>
    <row r="515" spans="1:16" x14ac:dyDescent="0.3">
      <c r="A515" s="15" t="str">
        <f t="shared" si="9"/>
        <v>GHP</v>
      </c>
      <c r="B515" s="15" t="s">
        <v>276</v>
      </c>
      <c r="C515" s="15" t="s">
        <v>238</v>
      </c>
      <c r="D515" s="15" t="s">
        <v>280</v>
      </c>
      <c r="E515" s="15" t="s">
        <v>311</v>
      </c>
      <c r="F515" s="15" t="s">
        <v>3</v>
      </c>
      <c r="K515" s="15">
        <v>0.25700274366459902</v>
      </c>
      <c r="L515" s="15">
        <v>0.51300851089559907</v>
      </c>
      <c r="M515" s="15">
        <v>0.77678871714931208</v>
      </c>
      <c r="N515" s="15">
        <v>1.1012483674404752</v>
      </c>
      <c r="O515" s="15">
        <v>1.1034465637483706</v>
      </c>
      <c r="P515" s="15">
        <v>1.1166926525674303</v>
      </c>
    </row>
    <row r="516" spans="1:16" x14ac:dyDescent="0.3">
      <c r="A516" s="15" t="str">
        <f t="shared" ref="A516:A556" si="10">MID(E516,4,3)</f>
        <v>GHP</v>
      </c>
      <c r="B516" s="15" t="s">
        <v>276</v>
      </c>
      <c r="C516" s="15" t="s">
        <v>238</v>
      </c>
      <c r="D516" s="15" t="s">
        <v>280</v>
      </c>
      <c r="E516" s="15" t="s">
        <v>311</v>
      </c>
      <c r="F516" s="15" t="s">
        <v>4</v>
      </c>
      <c r="H516" s="15">
        <v>1.73463864828029</v>
      </c>
      <c r="J516" s="15">
        <v>1.73463864828029</v>
      </c>
      <c r="K516" s="15">
        <v>9.614283985698119</v>
      </c>
      <c r="L516" s="15">
        <v>17.440092853615127</v>
      </c>
      <c r="M516" s="15">
        <v>25.471587753750477</v>
      </c>
      <c r="N516" s="15">
        <v>38.70991740564051</v>
      </c>
      <c r="O516" s="15">
        <v>40.01250268499183</v>
      </c>
      <c r="P516" s="15">
        <v>41.417727680970863</v>
      </c>
    </row>
    <row r="517" spans="1:16" x14ac:dyDescent="0.3">
      <c r="A517" s="15" t="str">
        <f t="shared" si="10"/>
        <v>GHP</v>
      </c>
      <c r="B517" s="15" t="s">
        <v>276</v>
      </c>
      <c r="C517" s="15" t="s">
        <v>238</v>
      </c>
      <c r="D517" s="15" t="s">
        <v>280</v>
      </c>
      <c r="E517" s="15" t="s">
        <v>311</v>
      </c>
      <c r="F517" s="15" t="s">
        <v>5</v>
      </c>
      <c r="K517" s="15">
        <v>1.19026322215314</v>
      </c>
      <c r="L517" s="15">
        <v>2.3732554664704799</v>
      </c>
      <c r="M517" s="15">
        <v>3.5814238726327199</v>
      </c>
      <c r="N517" s="15">
        <v>4.9770936294006294</v>
      </c>
      <c r="O517" s="15">
        <v>5.007009758706781</v>
      </c>
      <c r="P517" s="15">
        <v>5.0856663464736815</v>
      </c>
    </row>
    <row r="518" spans="1:16" x14ac:dyDescent="0.3">
      <c r="A518" s="15" t="str">
        <f t="shared" si="10"/>
        <v>GHP</v>
      </c>
      <c r="B518" s="15" t="s">
        <v>276</v>
      </c>
      <c r="C518" s="15" t="s">
        <v>238</v>
      </c>
      <c r="D518" s="15" t="s">
        <v>280</v>
      </c>
      <c r="E518" s="15" t="s">
        <v>311</v>
      </c>
      <c r="F518" s="15" t="s">
        <v>6</v>
      </c>
      <c r="H518" s="15">
        <v>0.39234327375768402</v>
      </c>
      <c r="J518" s="15">
        <v>0.39234327375768402</v>
      </c>
      <c r="K518" s="15">
        <v>2.793468710667804</v>
      </c>
      <c r="L518" s="15">
        <v>5.1659499993892242</v>
      </c>
      <c r="M518" s="15">
        <v>7.6012751025374286</v>
      </c>
      <c r="N518" s="15">
        <v>12.345521513793809</v>
      </c>
      <c r="O518" s="15">
        <v>12.893324899252207</v>
      </c>
      <c r="P518" s="15">
        <v>13.583096880594777</v>
      </c>
    </row>
    <row r="519" spans="1:16" x14ac:dyDescent="0.3">
      <c r="A519" s="15" t="str">
        <f t="shared" si="10"/>
        <v>GHP</v>
      </c>
      <c r="B519" s="15" t="s">
        <v>276</v>
      </c>
      <c r="C519" s="15" t="s">
        <v>238</v>
      </c>
      <c r="D519" s="15" t="s">
        <v>280</v>
      </c>
      <c r="E519" s="15" t="s">
        <v>311</v>
      </c>
      <c r="F519" s="15" t="s">
        <v>7</v>
      </c>
      <c r="H519" s="15">
        <v>9.5521688386090098E-2</v>
      </c>
      <c r="J519" s="15">
        <v>9.5521688386090098E-2</v>
      </c>
      <c r="K519" s="15">
        <v>0.81716518135321914</v>
      </c>
      <c r="L519" s="15">
        <v>1.5402877549245271</v>
      </c>
      <c r="M519" s="15">
        <v>2.2932148222169078</v>
      </c>
      <c r="N519" s="15">
        <v>3.6699645983085882</v>
      </c>
      <c r="O519" s="15">
        <v>3.8776724655262251</v>
      </c>
      <c r="P519" s="15">
        <v>4.1374308236492094</v>
      </c>
    </row>
    <row r="520" spans="1:16" x14ac:dyDescent="0.3">
      <c r="A520" s="15" t="str">
        <f t="shared" si="10"/>
        <v>GHP</v>
      </c>
      <c r="B520" s="15" t="s">
        <v>276</v>
      </c>
      <c r="C520" s="15" t="s">
        <v>238</v>
      </c>
      <c r="D520" s="15" t="s">
        <v>280</v>
      </c>
      <c r="E520" s="15" t="s">
        <v>311</v>
      </c>
      <c r="F520" s="15" t="s">
        <v>8</v>
      </c>
      <c r="H520" s="15">
        <v>0.73656073102018205</v>
      </c>
      <c r="I520" s="15">
        <v>0.58769848036682704</v>
      </c>
      <c r="J520" s="15">
        <v>0.73656073102018205</v>
      </c>
      <c r="K520" s="15">
        <v>1.9184324384818021</v>
      </c>
      <c r="L520" s="15">
        <v>3.0764037483460722</v>
      </c>
      <c r="M520" s="15">
        <v>4.2649423941386733</v>
      </c>
      <c r="N520" s="15">
        <v>7.0571646190718997</v>
      </c>
      <c r="O520" s="15">
        <v>7.3016966157863035</v>
      </c>
      <c r="P520" s="15">
        <v>7.6308704943490646</v>
      </c>
    </row>
    <row r="521" spans="1:16" x14ac:dyDescent="0.3">
      <c r="A521" s="15" t="str">
        <f t="shared" si="10"/>
        <v>NCE</v>
      </c>
      <c r="B521" s="15" t="s">
        <v>276</v>
      </c>
      <c r="C521" s="15" t="s">
        <v>238</v>
      </c>
      <c r="D521" s="15" t="s">
        <v>280</v>
      </c>
      <c r="E521" s="15" t="s">
        <v>303</v>
      </c>
      <c r="F521" s="15" t="s">
        <v>0</v>
      </c>
      <c r="H521" s="15">
        <v>0.59544533098908503</v>
      </c>
      <c r="I521" s="15">
        <v>0.59544533098908503</v>
      </c>
      <c r="J521" s="15">
        <v>0.59544533098908503</v>
      </c>
      <c r="K521" s="15">
        <v>0.59544533098908503</v>
      </c>
      <c r="L521" s="15">
        <v>0.59544533098908503</v>
      </c>
      <c r="M521" s="15">
        <v>0.37453610457755299</v>
      </c>
    </row>
    <row r="522" spans="1:16" x14ac:dyDescent="0.3">
      <c r="A522" s="15" t="str">
        <f t="shared" si="10"/>
        <v>NCE</v>
      </c>
      <c r="B522" s="15" t="s">
        <v>276</v>
      </c>
      <c r="C522" s="15" t="s">
        <v>238</v>
      </c>
      <c r="D522" s="15" t="s">
        <v>280</v>
      </c>
      <c r="E522" s="15" t="s">
        <v>303</v>
      </c>
      <c r="F522" s="15" t="s">
        <v>1</v>
      </c>
      <c r="H522" s="15">
        <v>1.66008332699214</v>
      </c>
      <c r="I522" s="15">
        <v>1.66008332699214</v>
      </c>
      <c r="J522" s="15">
        <v>1.66008332699214</v>
      </c>
      <c r="K522" s="15">
        <v>1.66008332699214</v>
      </c>
      <c r="L522" s="15">
        <v>1.66008332699214</v>
      </c>
      <c r="M522" s="15">
        <v>1.04419517663021</v>
      </c>
    </row>
    <row r="523" spans="1:16" x14ac:dyDescent="0.3">
      <c r="A523" s="15" t="str">
        <f t="shared" si="10"/>
        <v>NCE</v>
      </c>
      <c r="B523" s="15" t="s">
        <v>276</v>
      </c>
      <c r="C523" s="15" t="s">
        <v>238</v>
      </c>
      <c r="D523" s="15" t="s">
        <v>280</v>
      </c>
      <c r="E523" s="15" t="s">
        <v>303</v>
      </c>
      <c r="F523" s="15" t="s">
        <v>2</v>
      </c>
      <c r="H523" s="15">
        <v>2.1462664693607798</v>
      </c>
      <c r="I523" s="15">
        <v>2.1462664693607798</v>
      </c>
      <c r="J523" s="15">
        <v>2.1462664693607798</v>
      </c>
      <c r="K523" s="15">
        <v>2.1462664693607798</v>
      </c>
      <c r="L523" s="15">
        <v>2.1462664693607798</v>
      </c>
      <c r="M523" s="15">
        <v>1.35000518264965</v>
      </c>
    </row>
    <row r="524" spans="1:16" x14ac:dyDescent="0.3">
      <c r="A524" s="15" t="str">
        <f t="shared" si="10"/>
        <v>NCE</v>
      </c>
      <c r="B524" s="15" t="s">
        <v>276</v>
      </c>
      <c r="C524" s="15" t="s">
        <v>238</v>
      </c>
      <c r="D524" s="15" t="s">
        <v>280</v>
      </c>
      <c r="E524" s="15" t="s">
        <v>303</v>
      </c>
      <c r="F524" s="15" t="s">
        <v>3</v>
      </c>
      <c r="H524" s="15">
        <v>4.78492655154217E-2</v>
      </c>
      <c r="I524" s="15">
        <v>4.78492655154217E-2</v>
      </c>
      <c r="J524" s="15">
        <v>4.78492655154217E-2</v>
      </c>
      <c r="K524" s="15">
        <v>4.78492655154217E-2</v>
      </c>
      <c r="L524" s="15">
        <v>4.78492655154217E-2</v>
      </c>
      <c r="M524" s="15">
        <v>3.00972676757316E-2</v>
      </c>
    </row>
    <row r="525" spans="1:16" x14ac:dyDescent="0.3">
      <c r="A525" s="15" t="str">
        <f t="shared" si="10"/>
        <v>NCE</v>
      </c>
      <c r="B525" s="15" t="s">
        <v>276</v>
      </c>
      <c r="C525" s="15" t="s">
        <v>238</v>
      </c>
      <c r="D525" s="15" t="s">
        <v>280</v>
      </c>
      <c r="E525" s="15" t="s">
        <v>303</v>
      </c>
      <c r="F525" s="15" t="s">
        <v>4</v>
      </c>
      <c r="H525" s="15">
        <v>2.1506179367496898</v>
      </c>
      <c r="I525" s="15">
        <v>2.1506179367496898</v>
      </c>
      <c r="J525" s="15">
        <v>2.1506179367496898</v>
      </c>
      <c r="K525" s="15">
        <v>2.1506179367496898</v>
      </c>
      <c r="L525" s="15">
        <v>2.1506179367496898</v>
      </c>
      <c r="M525" s="15">
        <v>1.3527422628822401</v>
      </c>
    </row>
    <row r="526" spans="1:16" x14ac:dyDescent="0.3">
      <c r="A526" s="15" t="str">
        <f t="shared" si="10"/>
        <v>NCE</v>
      </c>
      <c r="B526" s="15" t="s">
        <v>276</v>
      </c>
      <c r="C526" s="15" t="s">
        <v>238</v>
      </c>
      <c r="D526" s="15" t="s">
        <v>280</v>
      </c>
      <c r="E526" s="15" t="s">
        <v>303</v>
      </c>
      <c r="F526" s="15" t="s">
        <v>5</v>
      </c>
      <c r="H526" s="15">
        <v>0.81666875802892103</v>
      </c>
      <c r="I526" s="15">
        <v>0.81666875802892103</v>
      </c>
      <c r="J526" s="15">
        <v>0.81666875802892103</v>
      </c>
      <c r="K526" s="15">
        <v>0.81666875802892103</v>
      </c>
      <c r="L526" s="15">
        <v>0.81666875802892103</v>
      </c>
      <c r="M526" s="15">
        <v>0.51368600851107704</v>
      </c>
    </row>
    <row r="527" spans="1:16" x14ac:dyDescent="0.3">
      <c r="A527" s="15" t="str">
        <f t="shared" si="10"/>
        <v>NCE</v>
      </c>
      <c r="B527" s="15" t="s">
        <v>276</v>
      </c>
      <c r="C527" s="15" t="s">
        <v>238</v>
      </c>
      <c r="D527" s="15" t="s">
        <v>280</v>
      </c>
      <c r="E527" s="15" t="s">
        <v>303</v>
      </c>
      <c r="F527" s="15" t="s">
        <v>6</v>
      </c>
      <c r="H527" s="15">
        <v>0.54408733876006798</v>
      </c>
      <c r="I527" s="15">
        <v>0.54408733876006798</v>
      </c>
      <c r="J527" s="15">
        <v>0.54408733876006798</v>
      </c>
      <c r="K527" s="15">
        <v>0.54408733876006798</v>
      </c>
      <c r="L527" s="15">
        <v>0.54408733876006798</v>
      </c>
      <c r="M527" s="15">
        <v>0.34223184195712297</v>
      </c>
    </row>
    <row r="528" spans="1:16" x14ac:dyDescent="0.3">
      <c r="A528" s="15" t="str">
        <f t="shared" si="10"/>
        <v>NCE</v>
      </c>
      <c r="B528" s="15" t="s">
        <v>276</v>
      </c>
      <c r="C528" s="15" t="s">
        <v>238</v>
      </c>
      <c r="D528" s="15" t="s">
        <v>280</v>
      </c>
      <c r="E528" s="15" t="s">
        <v>303</v>
      </c>
      <c r="F528" s="15" t="s">
        <v>7</v>
      </c>
      <c r="H528" s="15">
        <v>1.39527332229613</v>
      </c>
      <c r="I528" s="15">
        <v>1.39527332229613</v>
      </c>
      <c r="J528" s="15">
        <v>1.39527332229613</v>
      </c>
      <c r="K528" s="15">
        <v>1.39527332229613</v>
      </c>
      <c r="L528" s="15">
        <v>1.39527332229613</v>
      </c>
      <c r="M528" s="15">
        <v>0.87762924278156795</v>
      </c>
    </row>
    <row r="529" spans="1:16" x14ac:dyDescent="0.3">
      <c r="A529" s="15" t="str">
        <f t="shared" si="10"/>
        <v>NCE</v>
      </c>
      <c r="B529" s="15" t="s">
        <v>276</v>
      </c>
      <c r="C529" s="15" t="s">
        <v>238</v>
      </c>
      <c r="D529" s="15" t="s">
        <v>280</v>
      </c>
      <c r="E529" s="15" t="s">
        <v>303</v>
      </c>
      <c r="F529" s="15" t="s">
        <v>8</v>
      </c>
      <c r="H529" s="15">
        <v>0.66323719047590102</v>
      </c>
      <c r="I529" s="15">
        <v>0.74556793755254602</v>
      </c>
      <c r="J529" s="15">
        <v>0.74556793755254602</v>
      </c>
      <c r="K529" s="15">
        <v>0.74556793755254602</v>
      </c>
      <c r="L529" s="15">
        <v>0.74556793755254602</v>
      </c>
      <c r="M529" s="15">
        <v>0.46896347405227901</v>
      </c>
    </row>
    <row r="530" spans="1:16" x14ac:dyDescent="0.3">
      <c r="A530" s="15" t="str">
        <f t="shared" si="10"/>
        <v>NHP</v>
      </c>
      <c r="B530" s="15" t="s">
        <v>276</v>
      </c>
      <c r="C530" s="15" t="s">
        <v>238</v>
      </c>
      <c r="D530" s="15" t="s">
        <v>280</v>
      </c>
      <c r="E530" s="15" t="s">
        <v>304</v>
      </c>
      <c r="F530" s="15" t="s">
        <v>0</v>
      </c>
      <c r="M530" s="15">
        <v>0.40389272188854802</v>
      </c>
      <c r="N530" s="15">
        <v>0.77656975420791396</v>
      </c>
      <c r="O530" s="15">
        <v>0.77739415541651458</v>
      </c>
      <c r="P530" s="15">
        <v>0.78568735323710259</v>
      </c>
    </row>
    <row r="531" spans="1:16" x14ac:dyDescent="0.3">
      <c r="A531" s="15" t="str">
        <f t="shared" si="10"/>
        <v>NHP</v>
      </c>
      <c r="B531" s="15" t="s">
        <v>276</v>
      </c>
      <c r="C531" s="15" t="s">
        <v>238</v>
      </c>
      <c r="D531" s="15" t="s">
        <v>280</v>
      </c>
      <c r="E531" s="15" t="s">
        <v>304</v>
      </c>
      <c r="F531" s="15" t="s">
        <v>1</v>
      </c>
      <c r="M531" s="15">
        <v>1.19853237841683</v>
      </c>
      <c r="N531" s="15">
        <v>2.2074095541549097</v>
      </c>
      <c r="O531" s="15">
        <v>2.2074095541549097</v>
      </c>
      <c r="P531" s="15">
        <v>2.1768080456575198</v>
      </c>
    </row>
    <row r="532" spans="1:16" x14ac:dyDescent="0.3">
      <c r="A532" s="15" t="str">
        <f t="shared" si="10"/>
        <v>NHP</v>
      </c>
      <c r="B532" s="15" t="s">
        <v>276</v>
      </c>
      <c r="C532" s="15" t="s">
        <v>238</v>
      </c>
      <c r="D532" s="15" t="s">
        <v>280</v>
      </c>
      <c r="E532" s="15" t="s">
        <v>304</v>
      </c>
      <c r="F532" s="15" t="s">
        <v>2</v>
      </c>
      <c r="L532" s="15">
        <v>5.8356619201270103E-2</v>
      </c>
      <c r="M532" s="15">
        <v>1.6528956131789401</v>
      </c>
      <c r="N532" s="15">
        <v>2.9150074378204298</v>
      </c>
      <c r="O532" s="15">
        <v>2.8566508186191601</v>
      </c>
      <c r="P532" s="15">
        <v>2.80132671715725</v>
      </c>
    </row>
    <row r="533" spans="1:16" x14ac:dyDescent="0.3">
      <c r="A533" s="15" t="str">
        <f t="shared" si="10"/>
        <v>NHP</v>
      </c>
      <c r="B533" s="15" t="s">
        <v>276</v>
      </c>
      <c r="C533" s="15" t="s">
        <v>238</v>
      </c>
      <c r="D533" s="15" t="s">
        <v>280</v>
      </c>
      <c r="E533" s="15" t="s">
        <v>304</v>
      </c>
      <c r="F533" s="15" t="s">
        <v>3</v>
      </c>
      <c r="L533" s="15">
        <v>2.0502678483596101E-2</v>
      </c>
      <c r="M533" s="15">
        <v>5.0368039516810702E-2</v>
      </c>
      <c r="N533" s="15">
        <v>7.9034261686874899E-2</v>
      </c>
      <c r="O533" s="15">
        <v>7.8103778181264405E-2</v>
      </c>
      <c r="P533" s="15">
        <v>7.7896749622216904E-2</v>
      </c>
    </row>
    <row r="534" spans="1:16" x14ac:dyDescent="0.3">
      <c r="A534" s="15" t="str">
        <f t="shared" si="10"/>
        <v>NHP</v>
      </c>
      <c r="B534" s="15" t="s">
        <v>276</v>
      </c>
      <c r="C534" s="15" t="s">
        <v>238</v>
      </c>
      <c r="D534" s="15" t="s">
        <v>280</v>
      </c>
      <c r="E534" s="15" t="s">
        <v>304</v>
      </c>
      <c r="F534" s="15" t="s">
        <v>4</v>
      </c>
      <c r="M534" s="15">
        <v>1.2178518623368</v>
      </c>
      <c r="N534" s="15">
        <v>2.6039554460991501</v>
      </c>
      <c r="O534" s="15">
        <v>2.6545911003744513</v>
      </c>
      <c r="P534" s="15">
        <v>2.7080278566305314</v>
      </c>
    </row>
    <row r="535" spans="1:16" x14ac:dyDescent="0.3">
      <c r="A535" s="15" t="str">
        <f t="shared" si="10"/>
        <v>NHP</v>
      </c>
      <c r="B535" s="15" t="s">
        <v>276</v>
      </c>
      <c r="C535" s="15" t="s">
        <v>238</v>
      </c>
      <c r="D535" s="15" t="s">
        <v>280</v>
      </c>
      <c r="E535" s="15" t="s">
        <v>304</v>
      </c>
      <c r="F535" s="15" t="s">
        <v>5</v>
      </c>
      <c r="M535" s="15">
        <v>0.45247761728991698</v>
      </c>
      <c r="N535" s="15">
        <v>0.95292362316952894</v>
      </c>
      <c r="O535" s="15">
        <v>0.95292362316952894</v>
      </c>
      <c r="P535" s="15">
        <v>0.9464239052800969</v>
      </c>
    </row>
    <row r="536" spans="1:16" x14ac:dyDescent="0.3">
      <c r="A536" s="15" t="str">
        <f t="shared" si="10"/>
        <v>NHP</v>
      </c>
      <c r="B536" s="15" t="s">
        <v>276</v>
      </c>
      <c r="C536" s="15" t="s">
        <v>238</v>
      </c>
      <c r="D536" s="15" t="s">
        <v>280</v>
      </c>
      <c r="E536" s="15" t="s">
        <v>304</v>
      </c>
      <c r="F536" s="15" t="s">
        <v>6</v>
      </c>
      <c r="M536" s="15">
        <v>0.29734914284173802</v>
      </c>
      <c r="N536" s="15">
        <v>0.65479304349242895</v>
      </c>
      <c r="O536" s="15">
        <v>0.6744506166986417</v>
      </c>
      <c r="P536" s="15">
        <v>0.70024331135518281</v>
      </c>
    </row>
    <row r="537" spans="1:16" x14ac:dyDescent="0.3">
      <c r="A537" s="15" t="str">
        <f t="shared" si="10"/>
        <v>NHP</v>
      </c>
      <c r="B537" s="15" t="s">
        <v>276</v>
      </c>
      <c r="C537" s="15" t="s">
        <v>238</v>
      </c>
      <c r="D537" s="15" t="s">
        <v>280</v>
      </c>
      <c r="E537" s="15" t="s">
        <v>304</v>
      </c>
      <c r="F537" s="15" t="s">
        <v>7</v>
      </c>
      <c r="L537" s="15">
        <v>0.20083866867126399</v>
      </c>
      <c r="M537" s="15">
        <v>1.101805493817688</v>
      </c>
      <c r="N537" s="15">
        <v>2.0492363399636258</v>
      </c>
      <c r="O537" s="15">
        <v>2.1354623065733631</v>
      </c>
      <c r="P537" s="15">
        <v>2.2455176559864993</v>
      </c>
    </row>
    <row r="538" spans="1:16" x14ac:dyDescent="0.3">
      <c r="A538" s="15" t="str">
        <f t="shared" si="10"/>
        <v>NHP</v>
      </c>
      <c r="B538" s="15" t="s">
        <v>276</v>
      </c>
      <c r="C538" s="15" t="s">
        <v>238</v>
      </c>
      <c r="D538" s="15" t="s">
        <v>280</v>
      </c>
      <c r="E538" s="15" t="s">
        <v>304</v>
      </c>
      <c r="F538" s="15" t="s">
        <v>8</v>
      </c>
      <c r="M538" s="15">
        <v>0.31008924440241098</v>
      </c>
      <c r="N538" s="15">
        <v>0.78934826284346404</v>
      </c>
      <c r="O538" s="15">
        <v>0.80547637492230151</v>
      </c>
      <c r="P538" s="15">
        <v>0.82959867010718957</v>
      </c>
    </row>
    <row r="539" spans="1:16" x14ac:dyDescent="0.3">
      <c r="A539" s="15" t="str">
        <f t="shared" si="10"/>
        <v>NRC</v>
      </c>
      <c r="B539" s="15" t="s">
        <v>276</v>
      </c>
      <c r="C539" s="15" t="s">
        <v>238</v>
      </c>
      <c r="D539" s="15" t="s">
        <v>280</v>
      </c>
      <c r="E539" s="15" t="s">
        <v>240</v>
      </c>
      <c r="F539" s="15" t="s">
        <v>0</v>
      </c>
      <c r="G539" s="15">
        <v>0.26896756335880401</v>
      </c>
      <c r="L539" s="15">
        <v>8.9655854452934697E-2</v>
      </c>
    </row>
    <row r="540" spans="1:16" x14ac:dyDescent="0.3">
      <c r="A540" s="15" t="str">
        <f t="shared" si="10"/>
        <v>NRC</v>
      </c>
      <c r="B540" s="15" t="s">
        <v>276</v>
      </c>
      <c r="C540" s="15" t="s">
        <v>238</v>
      </c>
      <c r="D540" s="15" t="s">
        <v>280</v>
      </c>
      <c r="E540" s="15" t="s">
        <v>240</v>
      </c>
      <c r="F540" s="15" t="s">
        <v>1</v>
      </c>
      <c r="G540" s="15">
        <v>0.92908695351173698</v>
      </c>
      <c r="L540" s="15">
        <v>0.30969565117057901</v>
      </c>
    </row>
    <row r="541" spans="1:16" x14ac:dyDescent="0.3">
      <c r="A541" s="15" t="str">
        <f t="shared" si="10"/>
        <v>NRC</v>
      </c>
      <c r="B541" s="15" t="s">
        <v>276</v>
      </c>
      <c r="C541" s="15" t="s">
        <v>238</v>
      </c>
      <c r="D541" s="15" t="s">
        <v>280</v>
      </c>
      <c r="E541" s="15" t="s">
        <v>240</v>
      </c>
      <c r="F541" s="15" t="s">
        <v>2</v>
      </c>
      <c r="G541" s="15">
        <v>1.47339030512988</v>
      </c>
      <c r="L541" s="15">
        <v>0.49113010170996102</v>
      </c>
    </row>
    <row r="542" spans="1:16" x14ac:dyDescent="0.3">
      <c r="A542" s="15" t="str">
        <f t="shared" si="10"/>
        <v>NRC</v>
      </c>
      <c r="B542" s="15" t="s">
        <v>276</v>
      </c>
      <c r="C542" s="15" t="s">
        <v>238</v>
      </c>
      <c r="D542" s="15" t="s">
        <v>280</v>
      </c>
      <c r="E542" s="15" t="s">
        <v>240</v>
      </c>
      <c r="F542" s="15" t="s">
        <v>4</v>
      </c>
      <c r="G542" s="15">
        <v>0.25842047236003801</v>
      </c>
      <c r="L542" s="15">
        <v>8.6140157453345897E-2</v>
      </c>
    </row>
    <row r="543" spans="1:16" x14ac:dyDescent="0.3">
      <c r="A543" s="15" t="str">
        <f t="shared" si="10"/>
        <v>NRC</v>
      </c>
      <c r="B543" s="15" t="s">
        <v>276</v>
      </c>
      <c r="C543" s="15" t="s">
        <v>238</v>
      </c>
      <c r="D543" s="15" t="s">
        <v>280</v>
      </c>
      <c r="E543" s="15" t="s">
        <v>240</v>
      </c>
      <c r="F543" s="15" t="s">
        <v>6</v>
      </c>
      <c r="G543" s="15">
        <v>2.6749552978926502E-2</v>
      </c>
      <c r="L543" s="15">
        <v>8.9165176596421591E-3</v>
      </c>
    </row>
    <row r="544" spans="1:16" x14ac:dyDescent="0.3">
      <c r="A544" s="15" t="str">
        <f t="shared" si="10"/>
        <v>NRC</v>
      </c>
      <c r="B544" s="15" t="s">
        <v>276</v>
      </c>
      <c r="C544" s="15" t="s">
        <v>238</v>
      </c>
      <c r="D544" s="15" t="s">
        <v>280</v>
      </c>
      <c r="E544" s="15" t="s">
        <v>240</v>
      </c>
      <c r="F544" s="15" t="s">
        <v>7</v>
      </c>
      <c r="G544" s="15">
        <v>0.422106180043269</v>
      </c>
      <c r="L544" s="15">
        <v>0.14070206001442301</v>
      </c>
    </row>
    <row r="545" spans="1:11" x14ac:dyDescent="0.3">
      <c r="A545" s="15" t="str">
        <f t="shared" si="10"/>
        <v>NRC</v>
      </c>
      <c r="B545" s="15" t="s">
        <v>276</v>
      </c>
      <c r="C545" s="15" t="s">
        <v>238</v>
      </c>
      <c r="D545" s="15" t="s">
        <v>280</v>
      </c>
      <c r="E545" s="15" t="s">
        <v>240</v>
      </c>
      <c r="F545" s="15" t="s">
        <v>8</v>
      </c>
      <c r="G545" s="15">
        <v>0.28595706286726602</v>
      </c>
    </row>
    <row r="546" spans="1:11" x14ac:dyDescent="0.3">
      <c r="A546" s="15" t="str">
        <f t="shared" si="10"/>
        <v>RAC</v>
      </c>
      <c r="B546" s="15" t="s">
        <v>276</v>
      </c>
      <c r="C546" s="15" t="s">
        <v>238</v>
      </c>
      <c r="D546" s="15" t="s">
        <v>280</v>
      </c>
      <c r="E546" s="15" t="s">
        <v>312</v>
      </c>
      <c r="F546" s="15" t="s">
        <v>0</v>
      </c>
      <c r="I546" s="15">
        <v>7.0282627906706603</v>
      </c>
      <c r="J546" s="15">
        <v>7.0282627906706603</v>
      </c>
      <c r="K546" s="15">
        <v>7.0282627906706603</v>
      </c>
    </row>
    <row r="547" spans="1:11" x14ac:dyDescent="0.3">
      <c r="A547" s="15" t="str">
        <f t="shared" si="10"/>
        <v>RAC</v>
      </c>
      <c r="B547" s="15" t="s">
        <v>276</v>
      </c>
      <c r="C547" s="15" t="s">
        <v>238</v>
      </c>
      <c r="D547" s="15" t="s">
        <v>280</v>
      </c>
      <c r="E547" s="15" t="s">
        <v>312</v>
      </c>
      <c r="F547" s="15" t="s">
        <v>1</v>
      </c>
      <c r="I547" s="15">
        <v>31.956910181726801</v>
      </c>
      <c r="J547" s="15">
        <v>31.956910181726801</v>
      </c>
      <c r="K547" s="15">
        <v>31.956910181726801</v>
      </c>
    </row>
    <row r="548" spans="1:11" x14ac:dyDescent="0.3">
      <c r="A548" s="15" t="str">
        <f t="shared" si="10"/>
        <v>RAC</v>
      </c>
      <c r="B548" s="15" t="s">
        <v>276</v>
      </c>
      <c r="C548" s="15" t="s">
        <v>238</v>
      </c>
      <c r="D548" s="15" t="s">
        <v>280</v>
      </c>
      <c r="E548" s="15" t="s">
        <v>312</v>
      </c>
      <c r="F548" s="15" t="s">
        <v>2</v>
      </c>
      <c r="I548" s="15">
        <v>32.325784865369997</v>
      </c>
      <c r="J548" s="15">
        <v>32.325784865369997</v>
      </c>
      <c r="K548" s="15">
        <v>32.325784865369997</v>
      </c>
    </row>
    <row r="549" spans="1:11" x14ac:dyDescent="0.3">
      <c r="A549" s="15" t="str">
        <f t="shared" si="10"/>
        <v>RAC</v>
      </c>
      <c r="B549" s="15" t="s">
        <v>276</v>
      </c>
      <c r="C549" s="15" t="s">
        <v>238</v>
      </c>
      <c r="D549" s="15" t="s">
        <v>280</v>
      </c>
      <c r="E549" s="15" t="s">
        <v>312</v>
      </c>
      <c r="F549" s="15" t="s">
        <v>3</v>
      </c>
      <c r="I549" s="15">
        <v>23.3680994763962</v>
      </c>
      <c r="J549" s="15">
        <v>23.3680994763962</v>
      </c>
      <c r="K549" s="15">
        <v>23.3680994763962</v>
      </c>
    </row>
    <row r="550" spans="1:11" x14ac:dyDescent="0.3">
      <c r="A550" s="15" t="str">
        <f t="shared" si="10"/>
        <v>RAC</v>
      </c>
      <c r="B550" s="15" t="s">
        <v>276</v>
      </c>
      <c r="C550" s="15" t="s">
        <v>238</v>
      </c>
      <c r="D550" s="15" t="s">
        <v>280</v>
      </c>
      <c r="E550" s="15" t="s">
        <v>312</v>
      </c>
      <c r="F550" s="15" t="s">
        <v>4</v>
      </c>
      <c r="I550" s="15">
        <v>152.78590773146101</v>
      </c>
      <c r="J550" s="15">
        <v>152.78590773146101</v>
      </c>
      <c r="K550" s="15">
        <v>152.78590773146101</v>
      </c>
    </row>
    <row r="551" spans="1:11" x14ac:dyDescent="0.3">
      <c r="A551" s="15" t="str">
        <f t="shared" si="10"/>
        <v>RAC</v>
      </c>
      <c r="B551" s="15" t="s">
        <v>276</v>
      </c>
      <c r="C551" s="15" t="s">
        <v>238</v>
      </c>
      <c r="D551" s="15" t="s">
        <v>280</v>
      </c>
      <c r="E551" s="15" t="s">
        <v>312</v>
      </c>
      <c r="F551" s="15" t="s">
        <v>5</v>
      </c>
      <c r="I551" s="15">
        <v>34.748943004674103</v>
      </c>
      <c r="J551" s="15">
        <v>34.748943004674103</v>
      </c>
      <c r="K551" s="15">
        <v>34.748943004674103</v>
      </c>
    </row>
    <row r="552" spans="1:11" x14ac:dyDescent="0.3">
      <c r="A552" s="15" t="str">
        <f t="shared" si="10"/>
        <v>RAC</v>
      </c>
      <c r="B552" s="15" t="s">
        <v>276</v>
      </c>
      <c r="C552" s="15" t="s">
        <v>238</v>
      </c>
      <c r="D552" s="15" t="s">
        <v>280</v>
      </c>
      <c r="E552" s="15" t="s">
        <v>312</v>
      </c>
      <c r="F552" s="15" t="s">
        <v>6</v>
      </c>
      <c r="I552" s="15">
        <v>143.15211298676999</v>
      </c>
      <c r="J552" s="15">
        <v>143.15211298676999</v>
      </c>
      <c r="K552" s="15">
        <v>143.15211298676999</v>
      </c>
    </row>
    <row r="553" spans="1:11" x14ac:dyDescent="0.3">
      <c r="A553" s="15" t="str">
        <f t="shared" si="10"/>
        <v>RAC</v>
      </c>
      <c r="B553" s="15" t="s">
        <v>276</v>
      </c>
      <c r="C553" s="15" t="s">
        <v>238</v>
      </c>
      <c r="D553" s="15" t="s">
        <v>280</v>
      </c>
      <c r="E553" s="15" t="s">
        <v>312</v>
      </c>
      <c r="F553" s="15" t="s">
        <v>7</v>
      </c>
      <c r="I553" s="15">
        <v>30.771579282404002</v>
      </c>
      <c r="J553" s="15">
        <v>30.771579282404002</v>
      </c>
      <c r="K553" s="15">
        <v>30.771579282404002</v>
      </c>
    </row>
    <row r="554" spans="1:11" x14ac:dyDescent="0.3">
      <c r="A554" s="15" t="str">
        <f t="shared" si="10"/>
        <v>RAC</v>
      </c>
      <c r="B554" s="15" t="s">
        <v>276</v>
      </c>
      <c r="C554" s="15" t="s">
        <v>238</v>
      </c>
      <c r="D554" s="15" t="s">
        <v>280</v>
      </c>
      <c r="E554" s="15" t="s">
        <v>312</v>
      </c>
      <c r="F554" s="15" t="s">
        <v>8</v>
      </c>
      <c r="I554" s="15">
        <v>53.216968031642601</v>
      </c>
      <c r="J554" s="15">
        <v>53.216968031642601</v>
      </c>
      <c r="K554" s="15">
        <v>53.216968031642601</v>
      </c>
    </row>
    <row r="555" spans="1:11" x14ac:dyDescent="0.3">
      <c r="A555" s="15" t="str">
        <f t="shared" si="10"/>
        <v>RAC</v>
      </c>
      <c r="B555" s="15" t="s">
        <v>276</v>
      </c>
      <c r="C555" s="15" t="s">
        <v>238</v>
      </c>
      <c r="D555" s="15" t="s">
        <v>280</v>
      </c>
      <c r="E555" s="15" t="s">
        <v>247</v>
      </c>
      <c r="F555" s="15" t="s">
        <v>0</v>
      </c>
      <c r="G555" s="15">
        <v>15.498069157549301</v>
      </c>
      <c r="H555" s="15">
        <v>14.464864547046</v>
      </c>
      <c r="I555" s="15">
        <v>5.9974292675367504</v>
      </c>
      <c r="J555" s="15">
        <v>5.1660230525164401</v>
      </c>
    </row>
    <row r="556" spans="1:11" x14ac:dyDescent="0.3">
      <c r="A556" s="15" t="str">
        <f t="shared" si="10"/>
        <v>RAC</v>
      </c>
      <c r="B556" s="15" t="s">
        <v>276</v>
      </c>
      <c r="C556" s="15" t="s">
        <v>238</v>
      </c>
      <c r="D556" s="15" t="s">
        <v>280</v>
      </c>
      <c r="E556" s="15" t="s">
        <v>247</v>
      </c>
      <c r="F556" s="15" t="s">
        <v>1</v>
      </c>
      <c r="G556" s="15">
        <v>80.779629555949597</v>
      </c>
      <c r="H556" s="15">
        <v>75.394320918886294</v>
      </c>
      <c r="I556" s="15">
        <v>31.4489735011642</v>
      </c>
      <c r="J556" s="15">
        <v>26.9265431853165</v>
      </c>
    </row>
    <row r="557" spans="1:11" x14ac:dyDescent="0.3">
      <c r="A557" s="15" t="str">
        <f t="shared" ref="A557:A620" si="11">MID(E557,4,3)</f>
        <v>RAC</v>
      </c>
      <c r="B557" s="15" t="s">
        <v>276</v>
      </c>
      <c r="C557" s="15" t="s">
        <v>238</v>
      </c>
      <c r="D557" s="15" t="s">
        <v>280</v>
      </c>
      <c r="E557" s="15" t="s">
        <v>247</v>
      </c>
      <c r="F557" s="15" t="s">
        <v>2</v>
      </c>
      <c r="G557" s="15">
        <v>77.874383403416601</v>
      </c>
      <c r="H557" s="15">
        <v>72.682757843188895</v>
      </c>
      <c r="I557" s="15">
        <v>24.029745022215099</v>
      </c>
      <c r="J557" s="15">
        <v>25.9581278011389</v>
      </c>
    </row>
    <row r="558" spans="1:11" x14ac:dyDescent="0.3">
      <c r="A558" s="15" t="str">
        <f t="shared" si="11"/>
        <v>RAC</v>
      </c>
      <c r="B558" s="15" t="s">
        <v>276</v>
      </c>
      <c r="C558" s="15" t="s">
        <v>238</v>
      </c>
      <c r="D558" s="15" t="s">
        <v>280</v>
      </c>
      <c r="E558" s="15" t="s">
        <v>247</v>
      </c>
      <c r="F558" s="15" t="s">
        <v>3</v>
      </c>
      <c r="G558" s="15">
        <v>47.417339432864601</v>
      </c>
      <c r="H558" s="15">
        <v>44.256183470673598</v>
      </c>
      <c r="I558" s="15">
        <v>15.5913262200267</v>
      </c>
      <c r="J558" s="15">
        <v>15.805779810954901</v>
      </c>
    </row>
    <row r="559" spans="1:11" x14ac:dyDescent="0.3">
      <c r="A559" s="15" t="str">
        <f t="shared" si="11"/>
        <v>RAC</v>
      </c>
      <c r="B559" s="15" t="s">
        <v>276</v>
      </c>
      <c r="C559" s="15" t="s">
        <v>238</v>
      </c>
      <c r="D559" s="15" t="s">
        <v>280</v>
      </c>
      <c r="E559" s="15" t="s">
        <v>247</v>
      </c>
      <c r="F559" s="15" t="s">
        <v>4</v>
      </c>
      <c r="G559" s="15">
        <v>259.08254509491701</v>
      </c>
      <c r="H559" s="15">
        <v>241.810375421922</v>
      </c>
      <c r="I559" s="15">
        <v>120.464088154899</v>
      </c>
      <c r="J559" s="15">
        <v>86.360848364972298</v>
      </c>
    </row>
    <row r="560" spans="1:11" x14ac:dyDescent="0.3">
      <c r="A560" s="15" t="str">
        <f t="shared" si="11"/>
        <v>RAC</v>
      </c>
      <c r="B560" s="15" t="s">
        <v>276</v>
      </c>
      <c r="C560" s="15" t="s">
        <v>238</v>
      </c>
      <c r="D560" s="15" t="s">
        <v>280</v>
      </c>
      <c r="E560" s="15" t="s">
        <v>247</v>
      </c>
      <c r="F560" s="15" t="s">
        <v>5</v>
      </c>
      <c r="G560" s="15">
        <v>72.839010545976507</v>
      </c>
      <c r="H560" s="15">
        <v>67.983076509578098</v>
      </c>
      <c r="I560" s="15">
        <v>26.322353956670501</v>
      </c>
      <c r="J560" s="15">
        <v>24.279670181992199</v>
      </c>
    </row>
    <row r="561" spans="1:16" x14ac:dyDescent="0.3">
      <c r="A561" s="15" t="str">
        <f t="shared" si="11"/>
        <v>RAC</v>
      </c>
      <c r="B561" s="15" t="s">
        <v>276</v>
      </c>
      <c r="C561" s="15" t="s">
        <v>238</v>
      </c>
      <c r="D561" s="15" t="s">
        <v>280</v>
      </c>
      <c r="E561" s="15" t="s">
        <v>247</v>
      </c>
      <c r="F561" s="15" t="s">
        <v>6</v>
      </c>
      <c r="G561" s="15">
        <v>212.19806194823201</v>
      </c>
      <c r="H561" s="15">
        <v>198.05152448501701</v>
      </c>
      <c r="I561" s="15">
        <v>72.169716066907995</v>
      </c>
      <c r="J561" s="15">
        <v>70.732687316077403</v>
      </c>
    </row>
    <row r="562" spans="1:16" x14ac:dyDescent="0.3">
      <c r="A562" s="15" t="str">
        <f t="shared" si="11"/>
        <v>RAC</v>
      </c>
      <c r="B562" s="15" t="s">
        <v>276</v>
      </c>
      <c r="C562" s="15" t="s">
        <v>238</v>
      </c>
      <c r="D562" s="15" t="s">
        <v>280</v>
      </c>
      <c r="E562" s="15" t="s">
        <v>247</v>
      </c>
      <c r="F562" s="15" t="s">
        <v>7</v>
      </c>
      <c r="G562" s="15">
        <v>46.983498361304797</v>
      </c>
      <c r="H562" s="15">
        <v>43.851265137217801</v>
      </c>
      <c r="I562" s="15">
        <v>16.0515647387451</v>
      </c>
      <c r="J562" s="15">
        <v>15.661166120434901</v>
      </c>
    </row>
    <row r="563" spans="1:16" x14ac:dyDescent="0.3">
      <c r="A563" s="15" t="str">
        <f t="shared" si="11"/>
        <v>RAC</v>
      </c>
      <c r="B563" s="15" t="s">
        <v>276</v>
      </c>
      <c r="C563" s="15" t="s">
        <v>238</v>
      </c>
      <c r="D563" s="15" t="s">
        <v>280</v>
      </c>
      <c r="E563" s="15" t="s">
        <v>247</v>
      </c>
      <c r="F563" s="15" t="s">
        <v>8</v>
      </c>
      <c r="G563" s="15">
        <v>69.819934553064201</v>
      </c>
      <c r="H563" s="15">
        <v>65.165272249526595</v>
      </c>
      <c r="I563" s="15">
        <v>46.5466230353762</v>
      </c>
      <c r="J563" s="15">
        <v>23.2733115176881</v>
      </c>
    </row>
    <row r="564" spans="1:16" x14ac:dyDescent="0.3">
      <c r="A564" s="15" t="str">
        <f t="shared" si="11"/>
        <v>RAC</v>
      </c>
      <c r="B564" s="15" t="s">
        <v>276</v>
      </c>
      <c r="C564" s="15" t="s">
        <v>238</v>
      </c>
      <c r="D564" s="15" t="s">
        <v>280</v>
      </c>
      <c r="E564" s="15" t="s">
        <v>313</v>
      </c>
      <c r="F564" s="15" t="s">
        <v>0</v>
      </c>
      <c r="H564" s="15">
        <v>0.54360290579234605</v>
      </c>
      <c r="J564" s="15">
        <v>0.54360290579234605</v>
      </c>
      <c r="K564" s="15">
        <v>5.9246268467819201</v>
      </c>
      <c r="L564" s="15">
        <v>13.13836834071493</v>
      </c>
      <c r="M564" s="15">
        <v>13.329855542481514</v>
      </c>
      <c r="N564" s="15">
        <v>13.473974979430835</v>
      </c>
      <c r="O564" s="15">
        <v>13.676215100284034</v>
      </c>
      <c r="P564" s="15">
        <v>14.025213233132781</v>
      </c>
    </row>
    <row r="565" spans="1:16" x14ac:dyDescent="0.3">
      <c r="A565" s="15" t="str">
        <f t="shared" si="11"/>
        <v>RAC</v>
      </c>
      <c r="B565" s="15" t="s">
        <v>276</v>
      </c>
      <c r="C565" s="15" t="s">
        <v>238</v>
      </c>
      <c r="D565" s="15" t="s">
        <v>280</v>
      </c>
      <c r="E565" s="15" t="s">
        <v>313</v>
      </c>
      <c r="F565" s="15" t="s">
        <v>1</v>
      </c>
      <c r="H565" s="15">
        <v>1.3450167693842401</v>
      </c>
      <c r="J565" s="15">
        <v>1.3450167693842401</v>
      </c>
      <c r="K565" s="15">
        <v>28.275586331340254</v>
      </c>
      <c r="L565" s="15">
        <v>59.982051240916498</v>
      </c>
      <c r="M565" s="15">
        <v>60.026023552948878</v>
      </c>
      <c r="N565" s="15">
        <v>59.862480058850281</v>
      </c>
      <c r="O565" s="15">
        <v>59.933740022614273</v>
      </c>
      <c r="P565" s="15">
        <v>60.734626731226975</v>
      </c>
    </row>
    <row r="566" spans="1:16" x14ac:dyDescent="0.3">
      <c r="A566" s="15" t="str">
        <f t="shared" si="11"/>
        <v>RAC</v>
      </c>
      <c r="B566" s="15" t="s">
        <v>276</v>
      </c>
      <c r="C566" s="15" t="s">
        <v>238</v>
      </c>
      <c r="D566" s="15" t="s">
        <v>280</v>
      </c>
      <c r="E566" s="15" t="s">
        <v>313</v>
      </c>
      <c r="F566" s="15" t="s">
        <v>2</v>
      </c>
      <c r="H566" s="15">
        <v>0.516623784333888</v>
      </c>
      <c r="J566" s="15">
        <v>1.3134997962825281</v>
      </c>
      <c r="K566" s="15">
        <v>26.191506242551409</v>
      </c>
      <c r="L566" s="15">
        <v>57.417307228951842</v>
      </c>
      <c r="M566" s="15">
        <v>56.620431217003201</v>
      </c>
      <c r="N566" s="15">
        <v>55.690432016274002</v>
      </c>
      <c r="O566" s="15">
        <v>55.114233105084395</v>
      </c>
      <c r="P566" s="15">
        <v>55.114233105084395</v>
      </c>
    </row>
    <row r="567" spans="1:16" x14ac:dyDescent="0.3">
      <c r="A567" s="15" t="str">
        <f t="shared" si="11"/>
        <v>RAC</v>
      </c>
      <c r="B567" s="15" t="s">
        <v>276</v>
      </c>
      <c r="C567" s="15" t="s">
        <v>238</v>
      </c>
      <c r="D567" s="15" t="s">
        <v>280</v>
      </c>
      <c r="E567" s="15" t="s">
        <v>313</v>
      </c>
      <c r="F567" s="15" t="s">
        <v>3</v>
      </c>
      <c r="H567" s="15">
        <v>0.82569987529413402</v>
      </c>
      <c r="J567" s="15">
        <v>0.96184450807898902</v>
      </c>
      <c r="K567" s="15">
        <v>16.391313319861492</v>
      </c>
      <c r="L567" s="15">
        <v>39.347772910457955</v>
      </c>
      <c r="M567" s="15">
        <v>39.2116282776731</v>
      </c>
      <c r="N567" s="15">
        <v>39.023869983904802</v>
      </c>
      <c r="O567" s="15">
        <v>39.101765333813702</v>
      </c>
      <c r="P567" s="15">
        <v>39.571154132156835</v>
      </c>
    </row>
    <row r="568" spans="1:16" x14ac:dyDescent="0.3">
      <c r="A568" s="15" t="str">
        <f t="shared" si="11"/>
        <v>RAC</v>
      </c>
      <c r="B568" s="15" t="s">
        <v>276</v>
      </c>
      <c r="C568" s="15" t="s">
        <v>238</v>
      </c>
      <c r="D568" s="15" t="s">
        <v>280</v>
      </c>
      <c r="E568" s="15" t="s">
        <v>313</v>
      </c>
      <c r="F568" s="15" t="s">
        <v>4</v>
      </c>
      <c r="H568" s="15">
        <v>20.007202911549701</v>
      </c>
      <c r="J568" s="15">
        <v>20.007202911549701</v>
      </c>
      <c r="K568" s="15">
        <v>112.872490146949</v>
      </c>
      <c r="L568" s="15">
        <v>271.76401468427599</v>
      </c>
      <c r="M568" s="15">
        <v>279.39335934193815</v>
      </c>
      <c r="N568" s="15">
        <v>286.76414560384313</v>
      </c>
      <c r="O568" s="15">
        <v>296.41373360980617</v>
      </c>
      <c r="P568" s="15">
        <v>306.82367949345121</v>
      </c>
    </row>
    <row r="569" spans="1:16" x14ac:dyDescent="0.3">
      <c r="A569" s="15" t="str">
        <f t="shared" si="11"/>
        <v>RAC</v>
      </c>
      <c r="B569" s="15" t="s">
        <v>276</v>
      </c>
      <c r="C569" s="15" t="s">
        <v>238</v>
      </c>
      <c r="D569" s="15" t="s">
        <v>280</v>
      </c>
      <c r="E569" s="15" t="s">
        <v>313</v>
      </c>
      <c r="F569" s="15" t="s">
        <v>5</v>
      </c>
      <c r="H569" s="15">
        <v>1.5787889723022499</v>
      </c>
      <c r="J569" s="15">
        <v>1.5787889723022499</v>
      </c>
      <c r="K569" s="15">
        <v>25.673287029439603</v>
      </c>
      <c r="L569" s="15">
        <v>60.149198533374502</v>
      </c>
      <c r="M569" s="15">
        <v>60.180384968215932</v>
      </c>
      <c r="N569" s="15">
        <v>60.141063536850034</v>
      </c>
      <c r="O569" s="15">
        <v>60.502557205112431</v>
      </c>
      <c r="P569" s="15">
        <v>61.453009656827831</v>
      </c>
    </row>
    <row r="570" spans="1:16" x14ac:dyDescent="0.3">
      <c r="A570" s="15" t="str">
        <f t="shared" si="11"/>
        <v>RAC</v>
      </c>
      <c r="B570" s="15" t="s">
        <v>276</v>
      </c>
      <c r="C570" s="15" t="s">
        <v>238</v>
      </c>
      <c r="D570" s="15" t="s">
        <v>280</v>
      </c>
      <c r="E570" s="15" t="s">
        <v>313</v>
      </c>
      <c r="F570" s="15" t="s">
        <v>6</v>
      </c>
      <c r="H570" s="15">
        <v>14.1000551880531</v>
      </c>
      <c r="J570" s="15">
        <v>14.1000551880531</v>
      </c>
      <c r="K570" s="15">
        <v>93.891904973721864</v>
      </c>
      <c r="L570" s="15">
        <v>245.48876364054101</v>
      </c>
      <c r="M570" s="15">
        <v>255.28150872515826</v>
      </c>
      <c r="N570" s="15">
        <v>264.81135496750096</v>
      </c>
      <c r="O570" s="15">
        <v>276.56173396906297</v>
      </c>
      <c r="P570" s="15">
        <v>291.35733841508466</v>
      </c>
    </row>
    <row r="571" spans="1:16" x14ac:dyDescent="0.3">
      <c r="A571" s="15" t="str">
        <f t="shared" si="11"/>
        <v>RAC</v>
      </c>
      <c r="B571" s="15" t="s">
        <v>276</v>
      </c>
      <c r="C571" s="15" t="s">
        <v>238</v>
      </c>
      <c r="D571" s="15" t="s">
        <v>280</v>
      </c>
      <c r="E571" s="15" t="s">
        <v>313</v>
      </c>
      <c r="F571" s="15" t="s">
        <v>7</v>
      </c>
      <c r="H571" s="15">
        <v>3.2150133829505201</v>
      </c>
      <c r="J571" s="15">
        <v>3.2150133829505201</v>
      </c>
      <c r="K571" s="15">
        <v>21.157051559243172</v>
      </c>
      <c r="L571" s="15">
        <v>54.233610279930303</v>
      </c>
      <c r="M571" s="15">
        <v>57.024370091573715</v>
      </c>
      <c r="N571" s="15">
        <v>59.816374989288811</v>
      </c>
      <c r="O571" s="15">
        <v>63.20178412360081</v>
      </c>
      <c r="P571" s="15">
        <v>67.435558848089286</v>
      </c>
    </row>
    <row r="572" spans="1:16" x14ac:dyDescent="0.3">
      <c r="A572" s="15" t="str">
        <f t="shared" si="11"/>
        <v>RAC</v>
      </c>
      <c r="B572" s="15" t="s">
        <v>276</v>
      </c>
      <c r="C572" s="15" t="s">
        <v>238</v>
      </c>
      <c r="D572" s="15" t="s">
        <v>280</v>
      </c>
      <c r="E572" s="15" t="s">
        <v>313</v>
      </c>
      <c r="F572" s="15" t="s">
        <v>8</v>
      </c>
      <c r="H572" s="15">
        <v>12.457850600629</v>
      </c>
      <c r="I572" s="15">
        <v>1.1197023256321299</v>
      </c>
      <c r="J572" s="15">
        <v>12.457850600629</v>
      </c>
      <c r="K572" s="15">
        <v>38.271618421470627</v>
      </c>
      <c r="L572" s="15">
        <v>93.694125142169895</v>
      </c>
      <c r="M572" s="15">
        <v>96.328005626659646</v>
      </c>
      <c r="N572" s="15">
        <v>98.892444231555061</v>
      </c>
      <c r="O572" s="15">
        <v>102.31908483769286</v>
      </c>
      <c r="P572" s="15">
        <v>106.93181688878867</v>
      </c>
    </row>
    <row r="573" spans="1:16" x14ac:dyDescent="0.3">
      <c r="A573" s="15" t="str">
        <f t="shared" si="11"/>
        <v>WAC</v>
      </c>
      <c r="B573" s="15" t="s">
        <v>276</v>
      </c>
      <c r="C573" s="15" t="s">
        <v>238</v>
      </c>
      <c r="D573" s="15" t="s">
        <v>280</v>
      </c>
      <c r="E573" s="15" t="s">
        <v>248</v>
      </c>
      <c r="F573" s="15" t="s">
        <v>0</v>
      </c>
      <c r="G573" s="15">
        <v>4.2973873075211904</v>
      </c>
      <c r="H573" s="15">
        <v>2.6891093301732298</v>
      </c>
      <c r="I573" s="15">
        <v>2.1486936537605899</v>
      </c>
    </row>
    <row r="574" spans="1:16" x14ac:dyDescent="0.3">
      <c r="A574" s="15" t="str">
        <f t="shared" si="11"/>
        <v>WAC</v>
      </c>
      <c r="B574" s="15" t="s">
        <v>276</v>
      </c>
      <c r="C574" s="15" t="s">
        <v>238</v>
      </c>
      <c r="D574" s="15" t="s">
        <v>280</v>
      </c>
      <c r="E574" s="15" t="s">
        <v>248</v>
      </c>
      <c r="F574" s="15" t="s">
        <v>1</v>
      </c>
      <c r="G574" s="15">
        <v>17.416341100116998</v>
      </c>
      <c r="H574" s="15">
        <v>11.5502171874392</v>
      </c>
      <c r="I574" s="15">
        <v>8.7081705500585098</v>
      </c>
    </row>
    <row r="575" spans="1:16" x14ac:dyDescent="0.3">
      <c r="A575" s="15" t="str">
        <f t="shared" si="11"/>
        <v>WAC</v>
      </c>
      <c r="B575" s="15" t="s">
        <v>276</v>
      </c>
      <c r="C575" s="15" t="s">
        <v>238</v>
      </c>
      <c r="D575" s="15" t="s">
        <v>280</v>
      </c>
      <c r="E575" s="15" t="s">
        <v>248</v>
      </c>
      <c r="F575" s="15" t="s">
        <v>2</v>
      </c>
      <c r="G575" s="15">
        <v>7.7831554743661604</v>
      </c>
      <c r="H575" s="15">
        <v>5.5437767939662903</v>
      </c>
      <c r="I575" s="15">
        <v>3.8915777371830802</v>
      </c>
    </row>
    <row r="576" spans="1:16" x14ac:dyDescent="0.3">
      <c r="A576" s="15" t="str">
        <f t="shared" si="11"/>
        <v>WAC</v>
      </c>
      <c r="B576" s="15" t="s">
        <v>276</v>
      </c>
      <c r="C576" s="15" t="s">
        <v>238</v>
      </c>
      <c r="D576" s="15" t="s">
        <v>280</v>
      </c>
      <c r="E576" s="15" t="s">
        <v>248</v>
      </c>
      <c r="F576" s="15" t="s">
        <v>3</v>
      </c>
      <c r="G576" s="15">
        <v>4.1063236570803996</v>
      </c>
      <c r="H576" s="15">
        <v>2.5833643448874999</v>
      </c>
      <c r="I576" s="15">
        <v>2.0531618285401998</v>
      </c>
    </row>
    <row r="577" spans="1:16" x14ac:dyDescent="0.3">
      <c r="A577" s="15" t="str">
        <f t="shared" si="11"/>
        <v>WAC</v>
      </c>
      <c r="B577" s="15" t="s">
        <v>276</v>
      </c>
      <c r="C577" s="15" t="s">
        <v>238</v>
      </c>
      <c r="D577" s="15" t="s">
        <v>280</v>
      </c>
      <c r="E577" s="15" t="s">
        <v>248</v>
      </c>
      <c r="F577" s="15" t="s">
        <v>4</v>
      </c>
      <c r="G577" s="15">
        <v>37.618344068040798</v>
      </c>
      <c r="H577" s="15">
        <v>17.150858562049802</v>
      </c>
      <c r="I577" s="15">
        <v>18.809172034020399</v>
      </c>
    </row>
    <row r="578" spans="1:16" x14ac:dyDescent="0.3">
      <c r="A578" s="15" t="str">
        <f t="shared" si="11"/>
        <v>WAC</v>
      </c>
      <c r="B578" s="15" t="s">
        <v>276</v>
      </c>
      <c r="C578" s="15" t="s">
        <v>238</v>
      </c>
      <c r="D578" s="15" t="s">
        <v>280</v>
      </c>
      <c r="E578" s="15" t="s">
        <v>248</v>
      </c>
      <c r="F578" s="15" t="s">
        <v>5</v>
      </c>
      <c r="G578" s="15">
        <v>11.7436054101012</v>
      </c>
      <c r="H578" s="15">
        <v>7.2407104601835801</v>
      </c>
      <c r="I578" s="15">
        <v>5.8718027050506203</v>
      </c>
    </row>
    <row r="579" spans="1:16" x14ac:dyDescent="0.3">
      <c r="A579" s="15" t="str">
        <f t="shared" si="11"/>
        <v>WAC</v>
      </c>
      <c r="B579" s="15" t="s">
        <v>276</v>
      </c>
      <c r="C579" s="15" t="s">
        <v>238</v>
      </c>
      <c r="D579" s="15" t="s">
        <v>280</v>
      </c>
      <c r="E579" s="15" t="s">
        <v>248</v>
      </c>
      <c r="F579" s="15" t="s">
        <v>6</v>
      </c>
      <c r="G579" s="15">
        <v>23.351604684057499</v>
      </c>
      <c r="H579" s="15">
        <v>11.3269722040153</v>
      </c>
      <c r="I579" s="15">
        <v>11.675802342028801</v>
      </c>
    </row>
    <row r="580" spans="1:16" x14ac:dyDescent="0.3">
      <c r="A580" s="15" t="str">
        <f t="shared" si="11"/>
        <v>WAC</v>
      </c>
      <c r="B580" s="15" t="s">
        <v>276</v>
      </c>
      <c r="C580" s="15" t="s">
        <v>238</v>
      </c>
      <c r="D580" s="15" t="s">
        <v>280</v>
      </c>
      <c r="E580" s="15" t="s">
        <v>248</v>
      </c>
      <c r="F580" s="15" t="s">
        <v>7</v>
      </c>
      <c r="G580" s="15">
        <v>14.2112592664304</v>
      </c>
      <c r="H580" s="15">
        <v>7.1785165299356501</v>
      </c>
      <c r="I580" s="15">
        <v>7.1056296332151998</v>
      </c>
    </row>
    <row r="581" spans="1:16" x14ac:dyDescent="0.3">
      <c r="A581" s="15" t="str">
        <f t="shared" si="11"/>
        <v>WAC</v>
      </c>
      <c r="B581" s="15" t="s">
        <v>276</v>
      </c>
      <c r="C581" s="15" t="s">
        <v>238</v>
      </c>
      <c r="D581" s="15" t="s">
        <v>280</v>
      </c>
      <c r="E581" s="15" t="s">
        <v>248</v>
      </c>
      <c r="F581" s="15" t="s">
        <v>8</v>
      </c>
      <c r="G581" s="15">
        <v>10.125965244710899</v>
      </c>
      <c r="H581" s="15">
        <v>1.7033266352425001</v>
      </c>
      <c r="I581" s="15">
        <v>5.0629826223554399</v>
      </c>
    </row>
    <row r="582" spans="1:16" x14ac:dyDescent="0.3">
      <c r="A582" s="15" t="str">
        <f t="shared" si="11"/>
        <v>WAC</v>
      </c>
      <c r="B582" s="15" t="s">
        <v>276</v>
      </c>
      <c r="C582" s="15" t="s">
        <v>238</v>
      </c>
      <c r="D582" s="15" t="s">
        <v>280</v>
      </c>
      <c r="E582" s="15" t="s">
        <v>249</v>
      </c>
      <c r="F582" s="15" t="s">
        <v>0</v>
      </c>
      <c r="H582" s="15">
        <v>1.4015260047242399</v>
      </c>
      <c r="I582" s="15">
        <v>1.4015260047242399</v>
      </c>
      <c r="J582" s="15">
        <v>3.4717773798226181</v>
      </c>
      <c r="K582" s="15">
        <v>4.5458316923156801</v>
      </c>
      <c r="L582" s="15">
        <v>3.5809301613445301</v>
      </c>
      <c r="M582" s="15">
        <v>3.6331209873691304</v>
      </c>
      <c r="N582" s="15">
        <v>3.6724014844007602</v>
      </c>
      <c r="O582" s="15">
        <v>3.7275230740697598</v>
      </c>
      <c r="P582" s="15">
        <v>3.8226443180295702</v>
      </c>
    </row>
    <row r="583" spans="1:16" x14ac:dyDescent="0.3">
      <c r="A583" s="15" t="str">
        <f t="shared" si="11"/>
        <v>WAC</v>
      </c>
      <c r="B583" s="15" t="s">
        <v>276</v>
      </c>
      <c r="C583" s="15" t="s">
        <v>238</v>
      </c>
      <c r="D583" s="15" t="s">
        <v>280</v>
      </c>
      <c r="E583" s="15" t="s">
        <v>249</v>
      </c>
      <c r="F583" s="15" t="s">
        <v>1</v>
      </c>
      <c r="H583" s="15">
        <v>4.8068930214969603</v>
      </c>
      <c r="I583" s="15">
        <v>4.8068930214969603</v>
      </c>
      <c r="J583" s="15">
        <v>12.837792889731301</v>
      </c>
      <c r="K583" s="15">
        <v>17.129759118731037</v>
      </c>
      <c r="L583" s="15">
        <v>12.78526831559682</v>
      </c>
      <c r="M583" s="15">
        <v>12.794641082885711</v>
      </c>
      <c r="N583" s="15">
        <v>12.75978153056858</v>
      </c>
      <c r="O583" s="15">
        <v>12.77497070363008</v>
      </c>
      <c r="P583" s="15">
        <v>12.94568096191853</v>
      </c>
    </row>
    <row r="584" spans="1:16" x14ac:dyDescent="0.3">
      <c r="A584" s="15" t="str">
        <f t="shared" si="11"/>
        <v>WAC</v>
      </c>
      <c r="B584" s="15" t="s">
        <v>276</v>
      </c>
      <c r="C584" s="15" t="s">
        <v>238</v>
      </c>
      <c r="D584" s="15" t="s">
        <v>280</v>
      </c>
      <c r="E584" s="15" t="s">
        <v>249</v>
      </c>
      <c r="F584" s="15" t="s">
        <v>2</v>
      </c>
      <c r="H584" s="15">
        <v>1.63628814304287</v>
      </c>
      <c r="I584" s="15">
        <v>1.63628814304287</v>
      </c>
      <c r="J584" s="15">
        <v>5.8458593781298749</v>
      </c>
      <c r="K584" s="15">
        <v>10.7177774951695</v>
      </c>
      <c r="L584" s="15">
        <v>5.6320147144121604</v>
      </c>
      <c r="M584" s="15">
        <v>5.5538498257843996</v>
      </c>
      <c r="N584" s="15">
        <v>5.4626269970646106</v>
      </c>
      <c r="O584" s="15">
        <v>5.4061081371099302</v>
      </c>
      <c r="P584" s="15">
        <v>5.4009491461192809</v>
      </c>
    </row>
    <row r="585" spans="1:16" x14ac:dyDescent="0.3">
      <c r="A585" s="15" t="str">
        <f t="shared" si="11"/>
        <v>WAC</v>
      </c>
      <c r="B585" s="15" t="s">
        <v>276</v>
      </c>
      <c r="C585" s="15" t="s">
        <v>238</v>
      </c>
      <c r="D585" s="15" t="s">
        <v>280</v>
      </c>
      <c r="E585" s="15" t="s">
        <v>249</v>
      </c>
      <c r="F585" s="15" t="s">
        <v>3</v>
      </c>
      <c r="H585" s="15">
        <v>1.3207096985621101</v>
      </c>
      <c r="I585" s="15">
        <v>1.3207096985621101</v>
      </c>
      <c r="J585" s="15">
        <v>3.4757384974870611</v>
      </c>
      <c r="K585" s="15">
        <v>5.8594847361095201</v>
      </c>
      <c r="L585" s="15">
        <v>3.4075022489274089</v>
      </c>
      <c r="M585" s="15">
        <v>3.395712175231254</v>
      </c>
      <c r="N585" s="15">
        <v>3.3794523780192001</v>
      </c>
      <c r="O585" s="15">
        <v>3.386198085853783</v>
      </c>
      <c r="P585" s="15">
        <v>3.4268469782222368</v>
      </c>
    </row>
    <row r="586" spans="1:16" x14ac:dyDescent="0.3">
      <c r="A586" s="15" t="str">
        <f t="shared" si="11"/>
        <v>WAC</v>
      </c>
      <c r="B586" s="15" t="s">
        <v>276</v>
      </c>
      <c r="C586" s="15" t="s">
        <v>238</v>
      </c>
      <c r="D586" s="15" t="s">
        <v>280</v>
      </c>
      <c r="E586" s="15" t="s">
        <v>249</v>
      </c>
      <c r="F586" s="15" t="s">
        <v>4</v>
      </c>
      <c r="H586" s="15">
        <v>20.8267271358594</v>
      </c>
      <c r="I586" s="15">
        <v>20.8267271358594</v>
      </c>
      <c r="J586" s="15">
        <v>37.591218090950797</v>
      </c>
      <c r="K586" s="15">
        <v>60.310053525163603</v>
      </c>
      <c r="L586" s="15">
        <v>39.420352227589298</v>
      </c>
      <c r="M586" s="15">
        <v>40.527016235405512</v>
      </c>
      <c r="N586" s="15">
        <v>41.596175413732098</v>
      </c>
      <c r="O586" s="15">
        <v>42.995883018464596</v>
      </c>
      <c r="P586" s="15">
        <v>44.505883280567701</v>
      </c>
    </row>
    <row r="587" spans="1:16" x14ac:dyDescent="0.3">
      <c r="A587" s="15" t="str">
        <f t="shared" si="11"/>
        <v>WAC</v>
      </c>
      <c r="B587" s="15" t="s">
        <v>276</v>
      </c>
      <c r="C587" s="15" t="s">
        <v>238</v>
      </c>
      <c r="D587" s="15" t="s">
        <v>280</v>
      </c>
      <c r="E587" s="15" t="s">
        <v>249</v>
      </c>
      <c r="F587" s="15" t="s">
        <v>5</v>
      </c>
      <c r="H587" s="15">
        <v>3.9745311210307199</v>
      </c>
      <c r="I587" s="15">
        <v>3.9745311210307199</v>
      </c>
      <c r="J587" s="15">
        <v>9.7715415208308087</v>
      </c>
      <c r="K587" s="15">
        <v>13.20569789165171</v>
      </c>
      <c r="L587" s="15">
        <v>9.6976667861780292</v>
      </c>
      <c r="M587" s="15">
        <v>9.7026948773366097</v>
      </c>
      <c r="N587" s="15">
        <v>9.6963552061815292</v>
      </c>
      <c r="O587" s="15">
        <v>9.7546376974798612</v>
      </c>
      <c r="P587" s="15">
        <v>9.9078761677768092</v>
      </c>
    </row>
    <row r="588" spans="1:16" x14ac:dyDescent="0.3">
      <c r="A588" s="15" t="str">
        <f t="shared" si="11"/>
        <v>WAC</v>
      </c>
      <c r="B588" s="15" t="s">
        <v>276</v>
      </c>
      <c r="C588" s="15" t="s">
        <v>238</v>
      </c>
      <c r="D588" s="15" t="s">
        <v>280</v>
      </c>
      <c r="E588" s="15" t="s">
        <v>249</v>
      </c>
      <c r="F588" s="15" t="s">
        <v>6</v>
      </c>
      <c r="H588" s="15">
        <v>12.0165746064649</v>
      </c>
      <c r="I588" s="15">
        <v>12.0165746064649</v>
      </c>
      <c r="J588" s="15">
        <v>25.0857200989674</v>
      </c>
      <c r="K588" s="15">
        <v>41.894065073157797</v>
      </c>
      <c r="L588" s="15">
        <v>27.011717067206508</v>
      </c>
      <c r="M588" s="15">
        <v>28.08923628077126</v>
      </c>
      <c r="N588" s="15">
        <v>29.13782810458715</v>
      </c>
      <c r="O588" s="15">
        <v>30.43075047022101</v>
      </c>
      <c r="P588" s="15">
        <v>32.058746290508097</v>
      </c>
    </row>
    <row r="589" spans="1:16" x14ac:dyDescent="0.3">
      <c r="A589" s="15" t="str">
        <f t="shared" si="11"/>
        <v>WAC</v>
      </c>
      <c r="B589" s="15" t="s">
        <v>276</v>
      </c>
      <c r="C589" s="15" t="s">
        <v>238</v>
      </c>
      <c r="D589" s="15" t="s">
        <v>280</v>
      </c>
      <c r="E589" s="15" t="s">
        <v>249</v>
      </c>
      <c r="F589" s="15" t="s">
        <v>7</v>
      </c>
      <c r="H589" s="15">
        <v>6.9310195307792197</v>
      </c>
      <c r="I589" s="15">
        <v>6.9310195307792197</v>
      </c>
      <c r="J589" s="15">
        <v>14.883412603390701</v>
      </c>
      <c r="K589" s="15">
        <v>19.89358868053943</v>
      </c>
      <c r="L589" s="15">
        <v>16.258159854714901</v>
      </c>
      <c r="M589" s="15">
        <v>17.094774251204761</v>
      </c>
      <c r="N589" s="15">
        <v>17.9317618997847</v>
      </c>
      <c r="O589" s="15">
        <v>18.94664035975001</v>
      </c>
      <c r="P589" s="15">
        <v>20.2158419840619</v>
      </c>
    </row>
    <row r="590" spans="1:16" x14ac:dyDescent="0.3">
      <c r="A590" s="15" t="str">
        <f t="shared" si="11"/>
        <v>WAC</v>
      </c>
      <c r="B590" s="15" t="s">
        <v>276</v>
      </c>
      <c r="C590" s="15" t="s">
        <v>238</v>
      </c>
      <c r="D590" s="15" t="s">
        <v>280</v>
      </c>
      <c r="E590" s="15" t="s">
        <v>249</v>
      </c>
      <c r="F590" s="15" t="s">
        <v>8</v>
      </c>
      <c r="H590" s="15">
        <v>9.5084135773016492</v>
      </c>
      <c r="I590" s="15">
        <v>9.5084135773016492</v>
      </c>
      <c r="J590" s="15">
        <v>12.847503308492762</v>
      </c>
      <c r="K590" s="15">
        <v>18.066215883543201</v>
      </c>
      <c r="L590" s="15">
        <v>13.533006042071438</v>
      </c>
      <c r="M590" s="15">
        <v>13.9134388649043</v>
      </c>
      <c r="N590" s="15">
        <v>14.28384163116008</v>
      </c>
      <c r="O590" s="15">
        <v>14.778779258855529</v>
      </c>
      <c r="P590" s="15">
        <v>15.445033739840511</v>
      </c>
    </row>
    <row r="591" spans="1:16" x14ac:dyDescent="0.3">
      <c r="A591" s="15" t="str">
        <f t="shared" si="11"/>
        <v>AHP</v>
      </c>
      <c r="B591" s="15" t="s">
        <v>276</v>
      </c>
      <c r="C591" s="15" t="s">
        <v>250</v>
      </c>
      <c r="D591" s="15" t="s">
        <v>281</v>
      </c>
      <c r="E591" s="15" t="s">
        <v>258</v>
      </c>
      <c r="F591" s="15" t="s">
        <v>0</v>
      </c>
      <c r="I591" s="15">
        <v>3.7461197494789502</v>
      </c>
      <c r="J591" s="15">
        <v>6.2879457179049298</v>
      </c>
      <c r="K591" s="15">
        <v>6.2879457179049298</v>
      </c>
    </row>
    <row r="592" spans="1:16" x14ac:dyDescent="0.3">
      <c r="A592" s="15" t="str">
        <f t="shared" si="11"/>
        <v>AHP</v>
      </c>
      <c r="B592" s="15" t="s">
        <v>276</v>
      </c>
      <c r="C592" s="15" t="s">
        <v>250</v>
      </c>
      <c r="D592" s="15" t="s">
        <v>281</v>
      </c>
      <c r="E592" s="15" t="s">
        <v>258</v>
      </c>
      <c r="F592" s="15" t="s">
        <v>1</v>
      </c>
      <c r="I592" s="15">
        <v>22.723902327875699</v>
      </c>
      <c r="J592" s="15">
        <v>22.723902327875699</v>
      </c>
      <c r="K592" s="15">
        <v>22.723902327875699</v>
      </c>
    </row>
    <row r="593" spans="1:11" x14ac:dyDescent="0.3">
      <c r="A593" s="15" t="str">
        <f t="shared" si="11"/>
        <v>AHP</v>
      </c>
      <c r="B593" s="15" t="s">
        <v>276</v>
      </c>
      <c r="C593" s="15" t="s">
        <v>250</v>
      </c>
      <c r="D593" s="15" t="s">
        <v>281</v>
      </c>
      <c r="E593" s="15" t="s">
        <v>258</v>
      </c>
      <c r="F593" s="15" t="s">
        <v>2</v>
      </c>
      <c r="I593" s="15">
        <v>13.694310296854599</v>
      </c>
      <c r="J593" s="15">
        <v>18.7767467356182</v>
      </c>
      <c r="K593" s="15">
        <v>18.7767467356182</v>
      </c>
    </row>
    <row r="594" spans="1:11" x14ac:dyDescent="0.3">
      <c r="A594" s="15" t="str">
        <f t="shared" si="11"/>
        <v>AHP</v>
      </c>
      <c r="B594" s="15" t="s">
        <v>276</v>
      </c>
      <c r="C594" s="15" t="s">
        <v>250</v>
      </c>
      <c r="D594" s="15" t="s">
        <v>281</v>
      </c>
      <c r="E594" s="15" t="s">
        <v>258</v>
      </c>
      <c r="F594" s="15" t="s">
        <v>3</v>
      </c>
      <c r="I594" s="15">
        <v>8.2260805716856904</v>
      </c>
      <c r="J594" s="15">
        <v>11.000064784124699</v>
      </c>
      <c r="K594" s="15">
        <v>11.000064784124699</v>
      </c>
    </row>
    <row r="595" spans="1:11" x14ac:dyDescent="0.3">
      <c r="A595" s="15" t="str">
        <f t="shared" si="11"/>
        <v>AHP</v>
      </c>
      <c r="B595" s="15" t="s">
        <v>276</v>
      </c>
      <c r="C595" s="15" t="s">
        <v>250</v>
      </c>
      <c r="D595" s="15" t="s">
        <v>281</v>
      </c>
      <c r="E595" s="15" t="s">
        <v>258</v>
      </c>
      <c r="F595" s="15" t="s">
        <v>4</v>
      </c>
      <c r="I595" s="15">
        <v>39.5596743797933</v>
      </c>
      <c r="J595" s="15">
        <v>39.5596743797933</v>
      </c>
      <c r="K595" s="15">
        <v>39.5596743797933</v>
      </c>
    </row>
    <row r="596" spans="1:11" x14ac:dyDescent="0.3">
      <c r="A596" s="15" t="str">
        <f t="shared" si="11"/>
        <v>AHP</v>
      </c>
      <c r="B596" s="15" t="s">
        <v>276</v>
      </c>
      <c r="C596" s="15" t="s">
        <v>250</v>
      </c>
      <c r="D596" s="15" t="s">
        <v>281</v>
      </c>
      <c r="E596" s="15" t="s">
        <v>258</v>
      </c>
      <c r="F596" s="15" t="s">
        <v>5</v>
      </c>
      <c r="I596" s="15">
        <v>9.2381844317811694</v>
      </c>
      <c r="J596" s="15">
        <v>9.2381844317811694</v>
      </c>
      <c r="K596" s="15">
        <v>9.2381844317811694</v>
      </c>
    </row>
    <row r="597" spans="1:11" x14ac:dyDescent="0.3">
      <c r="A597" s="15" t="str">
        <f t="shared" si="11"/>
        <v>AHP</v>
      </c>
      <c r="B597" s="15" t="s">
        <v>276</v>
      </c>
      <c r="C597" s="15" t="s">
        <v>250</v>
      </c>
      <c r="D597" s="15" t="s">
        <v>281</v>
      </c>
      <c r="E597" s="15" t="s">
        <v>258</v>
      </c>
      <c r="F597" s="15" t="s">
        <v>6</v>
      </c>
      <c r="I597" s="15">
        <v>11.555511169088</v>
      </c>
      <c r="J597" s="15">
        <v>11.555511169088</v>
      </c>
      <c r="K597" s="15">
        <v>11.555511169088</v>
      </c>
    </row>
    <row r="598" spans="1:11" x14ac:dyDescent="0.3">
      <c r="A598" s="15" t="str">
        <f t="shared" si="11"/>
        <v>AHP</v>
      </c>
      <c r="B598" s="15" t="s">
        <v>276</v>
      </c>
      <c r="C598" s="15" t="s">
        <v>250</v>
      </c>
      <c r="D598" s="15" t="s">
        <v>281</v>
      </c>
      <c r="E598" s="15" t="s">
        <v>258</v>
      </c>
      <c r="F598" s="15" t="s">
        <v>7</v>
      </c>
      <c r="I598" s="15">
        <v>6.3924133281999103</v>
      </c>
      <c r="J598" s="15">
        <v>6.3924133281999103</v>
      </c>
      <c r="K598" s="15">
        <v>6.3924133281999103</v>
      </c>
    </row>
    <row r="599" spans="1:11" x14ac:dyDescent="0.3">
      <c r="A599" s="15" t="str">
        <f t="shared" si="11"/>
        <v>AHP</v>
      </c>
      <c r="B599" s="15" t="s">
        <v>276</v>
      </c>
      <c r="C599" s="15" t="s">
        <v>250</v>
      </c>
      <c r="D599" s="15" t="s">
        <v>281</v>
      </c>
      <c r="E599" s="15" t="s">
        <v>258</v>
      </c>
      <c r="F599" s="15" t="s">
        <v>8</v>
      </c>
      <c r="I599" s="15">
        <v>16.766197576064201</v>
      </c>
      <c r="J599" s="15">
        <v>18.893042498657199</v>
      </c>
      <c r="K599" s="15">
        <v>18.893042498657199</v>
      </c>
    </row>
    <row r="600" spans="1:11" x14ac:dyDescent="0.3">
      <c r="A600" s="15" t="str">
        <f t="shared" si="11"/>
        <v>AHP</v>
      </c>
      <c r="B600" s="15" t="s">
        <v>276</v>
      </c>
      <c r="C600" s="15" t="s">
        <v>250</v>
      </c>
      <c r="D600" s="15" t="s">
        <v>281</v>
      </c>
      <c r="E600" s="15" t="s">
        <v>259</v>
      </c>
      <c r="F600" s="15" t="s">
        <v>0</v>
      </c>
      <c r="G600" s="15">
        <v>2.2837382042637699</v>
      </c>
      <c r="H600" s="15">
        <v>2.13148899064619</v>
      </c>
      <c r="J600" s="15">
        <v>0.76124606808792405</v>
      </c>
    </row>
    <row r="601" spans="1:11" x14ac:dyDescent="0.3">
      <c r="A601" s="15" t="str">
        <f t="shared" si="11"/>
        <v>AHP</v>
      </c>
      <c r="B601" s="15" t="s">
        <v>276</v>
      </c>
      <c r="C601" s="15" t="s">
        <v>250</v>
      </c>
      <c r="D601" s="15" t="s">
        <v>281</v>
      </c>
      <c r="E601" s="15" t="s">
        <v>259</v>
      </c>
      <c r="F601" s="15" t="s">
        <v>1</v>
      </c>
      <c r="G601" s="15">
        <v>6.3897233463438203</v>
      </c>
      <c r="H601" s="15">
        <v>5.9637417899209</v>
      </c>
      <c r="I601" s="15">
        <v>0.13548994925250199</v>
      </c>
      <c r="J601" s="15">
        <v>2.1299077821146102</v>
      </c>
    </row>
    <row r="602" spans="1:11" x14ac:dyDescent="0.3">
      <c r="A602" s="15" t="str">
        <f t="shared" si="11"/>
        <v>AHP</v>
      </c>
      <c r="B602" s="15" t="s">
        <v>276</v>
      </c>
      <c r="C602" s="15" t="s">
        <v>250</v>
      </c>
      <c r="D602" s="15" t="s">
        <v>281</v>
      </c>
      <c r="E602" s="15" t="s">
        <v>259</v>
      </c>
      <c r="F602" s="15" t="s">
        <v>2</v>
      </c>
      <c r="G602" s="15">
        <v>2.48996615795958</v>
      </c>
      <c r="H602" s="15">
        <v>2.3239684140956101</v>
      </c>
      <c r="J602" s="15">
        <v>0.82998871931985996</v>
      </c>
    </row>
    <row r="603" spans="1:11" x14ac:dyDescent="0.3">
      <c r="A603" s="15" t="str">
        <f t="shared" si="11"/>
        <v>AHP</v>
      </c>
      <c r="B603" s="15" t="s">
        <v>276</v>
      </c>
      <c r="C603" s="15" t="s">
        <v>250</v>
      </c>
      <c r="D603" s="15" t="s">
        <v>281</v>
      </c>
      <c r="E603" s="15" t="s">
        <v>259</v>
      </c>
      <c r="F603" s="15" t="s">
        <v>3</v>
      </c>
      <c r="G603" s="15">
        <v>2.61160250999446</v>
      </c>
      <c r="H603" s="15">
        <v>2.4374956759948301</v>
      </c>
      <c r="J603" s="15">
        <v>0.87053416999815203</v>
      </c>
    </row>
    <row r="604" spans="1:11" x14ac:dyDescent="0.3">
      <c r="A604" s="15" t="str">
        <f t="shared" si="11"/>
        <v>AHP</v>
      </c>
      <c r="B604" s="15" t="s">
        <v>276</v>
      </c>
      <c r="C604" s="15" t="s">
        <v>250</v>
      </c>
      <c r="D604" s="15" t="s">
        <v>281</v>
      </c>
      <c r="E604" s="15" t="s">
        <v>259</v>
      </c>
      <c r="F604" s="15" t="s">
        <v>4</v>
      </c>
      <c r="G604" s="15">
        <v>44.9205403075688</v>
      </c>
      <c r="H604" s="15">
        <v>41.925837620397601</v>
      </c>
      <c r="I604" s="15">
        <v>12.169934228502701</v>
      </c>
      <c r="J604" s="15">
        <v>14.973513435856299</v>
      </c>
    </row>
    <row r="605" spans="1:11" x14ac:dyDescent="0.3">
      <c r="A605" s="15" t="str">
        <f t="shared" si="11"/>
        <v>AHP</v>
      </c>
      <c r="B605" s="15" t="s">
        <v>276</v>
      </c>
      <c r="C605" s="15" t="s">
        <v>250</v>
      </c>
      <c r="D605" s="15" t="s">
        <v>281</v>
      </c>
      <c r="E605" s="15" t="s">
        <v>259</v>
      </c>
      <c r="F605" s="15" t="s">
        <v>5</v>
      </c>
      <c r="G605" s="15">
        <v>8.9835500602563503</v>
      </c>
      <c r="H605" s="15">
        <v>8.3846467229059307</v>
      </c>
      <c r="I605" s="15">
        <v>2.3679000537877601</v>
      </c>
      <c r="J605" s="15">
        <v>2.99451668675212</v>
      </c>
    </row>
    <row r="606" spans="1:11" x14ac:dyDescent="0.3">
      <c r="A606" s="15" t="str">
        <f t="shared" si="11"/>
        <v>AHP</v>
      </c>
      <c r="B606" s="15" t="s">
        <v>276</v>
      </c>
      <c r="C606" s="15" t="s">
        <v>250</v>
      </c>
      <c r="D606" s="15" t="s">
        <v>281</v>
      </c>
      <c r="E606" s="15" t="s">
        <v>259</v>
      </c>
      <c r="F606" s="15" t="s">
        <v>6</v>
      </c>
      <c r="G606" s="15">
        <v>8.5276036561510793</v>
      </c>
      <c r="H606" s="15">
        <v>7.9590967457410002</v>
      </c>
      <c r="I606" s="15">
        <v>0.24975880477255399</v>
      </c>
      <c r="J606" s="15">
        <v>2.8425345520503602</v>
      </c>
    </row>
    <row r="607" spans="1:11" x14ac:dyDescent="0.3">
      <c r="A607" s="15" t="str">
        <f t="shared" si="11"/>
        <v>AHP</v>
      </c>
      <c r="B607" s="15" t="s">
        <v>276</v>
      </c>
      <c r="C607" s="15" t="s">
        <v>250</v>
      </c>
      <c r="D607" s="15" t="s">
        <v>281</v>
      </c>
      <c r="E607" s="15" t="s">
        <v>259</v>
      </c>
      <c r="F607" s="15" t="s">
        <v>7</v>
      </c>
      <c r="G607" s="15">
        <v>2.7056230169139899</v>
      </c>
      <c r="H607" s="15">
        <v>2.5252481491197298</v>
      </c>
      <c r="J607" s="15">
        <v>0.90187433897133196</v>
      </c>
    </row>
    <row r="608" spans="1:11" x14ac:dyDescent="0.3">
      <c r="A608" s="15" t="str">
        <f t="shared" si="11"/>
        <v>AHP</v>
      </c>
      <c r="B608" s="15" t="s">
        <v>276</v>
      </c>
      <c r="C608" s="15" t="s">
        <v>250</v>
      </c>
      <c r="D608" s="15" t="s">
        <v>281</v>
      </c>
      <c r="E608" s="15" t="s">
        <v>259</v>
      </c>
      <c r="F608" s="15" t="s">
        <v>8</v>
      </c>
      <c r="G608" s="15">
        <v>10.3694616554954</v>
      </c>
      <c r="H608" s="15">
        <v>9.6781642117957407</v>
      </c>
      <c r="J608" s="15">
        <v>3.4564872184984798</v>
      </c>
    </row>
    <row r="609" spans="1:16" x14ac:dyDescent="0.3">
      <c r="A609" s="15" t="str">
        <f t="shared" si="11"/>
        <v>AHP</v>
      </c>
      <c r="B609" s="15" t="s">
        <v>276</v>
      </c>
      <c r="C609" s="15" t="s">
        <v>250</v>
      </c>
      <c r="D609" s="15" t="s">
        <v>281</v>
      </c>
      <c r="E609" s="15" t="s">
        <v>260</v>
      </c>
      <c r="F609" s="15" t="s">
        <v>0</v>
      </c>
      <c r="H609" s="15">
        <v>1.72729318361123</v>
      </c>
      <c r="J609" s="15">
        <v>1.72729318361123</v>
      </c>
      <c r="K609" s="15">
        <v>4.4932299897982801</v>
      </c>
      <c r="L609" s="15">
        <v>12.882631434850991</v>
      </c>
      <c r="M609" s="15">
        <v>14.910179596726291</v>
      </c>
      <c r="N609" s="15">
        <v>16.064172561807233</v>
      </c>
      <c r="O609" s="15">
        <v>17.122332482935398</v>
      </c>
      <c r="P609" s="15">
        <v>18.14993648814054</v>
      </c>
    </row>
    <row r="610" spans="1:16" x14ac:dyDescent="0.3">
      <c r="A610" s="15" t="str">
        <f t="shared" si="11"/>
        <v>AHP</v>
      </c>
      <c r="B610" s="15" t="s">
        <v>276</v>
      </c>
      <c r="C610" s="15" t="s">
        <v>250</v>
      </c>
      <c r="D610" s="15" t="s">
        <v>281</v>
      </c>
      <c r="E610" s="15" t="s">
        <v>260</v>
      </c>
      <c r="F610" s="15" t="s">
        <v>1</v>
      </c>
      <c r="K610" s="15">
        <v>8.03652106035217</v>
      </c>
      <c r="L610" s="15">
        <v>35.069163595225973</v>
      </c>
      <c r="M610" s="15">
        <v>39.181550523523406</v>
      </c>
      <c r="N610" s="15">
        <v>42.190011007289627</v>
      </c>
      <c r="O610" s="15">
        <v>44.923808860214734</v>
      </c>
      <c r="P610" s="15">
        <v>47.569103754884864</v>
      </c>
    </row>
    <row r="611" spans="1:16" x14ac:dyDescent="0.3">
      <c r="A611" s="15" t="str">
        <f t="shared" si="11"/>
        <v>AHP</v>
      </c>
      <c r="B611" s="15" t="s">
        <v>276</v>
      </c>
      <c r="C611" s="15" t="s">
        <v>250</v>
      </c>
      <c r="D611" s="15" t="s">
        <v>281</v>
      </c>
      <c r="E611" s="15" t="s">
        <v>260</v>
      </c>
      <c r="F611" s="15" t="s">
        <v>2</v>
      </c>
      <c r="L611" s="15">
        <v>31.057945456112201</v>
      </c>
      <c r="M611" s="15">
        <v>36.33774977224553</v>
      </c>
      <c r="N611" s="15">
        <v>40.774467840867949</v>
      </c>
      <c r="O611" s="15">
        <v>38.101166801934049</v>
      </c>
      <c r="P611" s="15">
        <v>32.821362485800719</v>
      </c>
    </row>
    <row r="612" spans="1:16" x14ac:dyDescent="0.3">
      <c r="A612" s="15" t="str">
        <f t="shared" si="11"/>
        <v>AHP</v>
      </c>
      <c r="B612" s="15" t="s">
        <v>276</v>
      </c>
      <c r="C612" s="15" t="s">
        <v>250</v>
      </c>
      <c r="D612" s="15" t="s">
        <v>281</v>
      </c>
      <c r="E612" s="15" t="s">
        <v>260</v>
      </c>
      <c r="F612" s="15" t="s">
        <v>3</v>
      </c>
      <c r="L612" s="15">
        <v>20.0338843497744</v>
      </c>
      <c r="M612" s="15">
        <v>20.300034613582334</v>
      </c>
      <c r="N612" s="15">
        <v>20.300034613582334</v>
      </c>
      <c r="O612" s="15">
        <v>6.2234199212370438</v>
      </c>
      <c r="P612" s="15">
        <v>5.9572696574291104</v>
      </c>
    </row>
    <row r="613" spans="1:16" x14ac:dyDescent="0.3">
      <c r="A613" s="15" t="str">
        <f t="shared" si="11"/>
        <v>AHP</v>
      </c>
      <c r="B613" s="15" t="s">
        <v>276</v>
      </c>
      <c r="C613" s="15" t="s">
        <v>250</v>
      </c>
      <c r="D613" s="15" t="s">
        <v>281</v>
      </c>
      <c r="E613" s="15" t="s">
        <v>260</v>
      </c>
      <c r="F613" s="15" t="s">
        <v>4</v>
      </c>
      <c r="K613" s="15">
        <v>21.1714193229603</v>
      </c>
      <c r="L613" s="15">
        <v>65.251522828568994</v>
      </c>
      <c r="M613" s="15">
        <v>70.085832083105188</v>
      </c>
      <c r="N613" s="15">
        <v>73.141073447878981</v>
      </c>
      <c r="O613" s="15">
        <v>76.393769408643593</v>
      </c>
      <c r="P613" s="15">
        <v>79.637081843419168</v>
      </c>
    </row>
    <row r="614" spans="1:16" x14ac:dyDescent="0.3">
      <c r="A614" s="15" t="str">
        <f t="shared" si="11"/>
        <v>AHP</v>
      </c>
      <c r="B614" s="15" t="s">
        <v>276</v>
      </c>
      <c r="C614" s="15" t="s">
        <v>250</v>
      </c>
      <c r="D614" s="15" t="s">
        <v>281</v>
      </c>
      <c r="E614" s="15" t="s">
        <v>260</v>
      </c>
      <c r="F614" s="15" t="s">
        <v>5</v>
      </c>
      <c r="K614" s="15">
        <v>4.6145574540615897</v>
      </c>
      <c r="L614" s="15">
        <v>14.913388951883789</v>
      </c>
      <c r="M614" s="15">
        <v>16.01133137913596</v>
      </c>
      <c r="N614" s="15">
        <v>16.86562057275221</v>
      </c>
      <c r="O614" s="15">
        <v>16.759518495769711</v>
      </c>
      <c r="P614" s="15">
        <v>18.654857647019501</v>
      </c>
    </row>
    <row r="615" spans="1:16" x14ac:dyDescent="0.3">
      <c r="A615" s="15" t="str">
        <f t="shared" si="11"/>
        <v>AHP</v>
      </c>
      <c r="B615" s="15" t="s">
        <v>276</v>
      </c>
      <c r="C615" s="15" t="s">
        <v>250</v>
      </c>
      <c r="D615" s="15" t="s">
        <v>281</v>
      </c>
      <c r="E615" s="15" t="s">
        <v>260</v>
      </c>
      <c r="F615" s="15" t="s">
        <v>6</v>
      </c>
      <c r="K615" s="15">
        <v>5.7295486940550298</v>
      </c>
      <c r="L615" s="15">
        <v>19.394791825894529</v>
      </c>
      <c r="M615" s="15">
        <v>21.588307123605251</v>
      </c>
      <c r="N615" s="15">
        <v>23.535828100798319</v>
      </c>
      <c r="O615" s="15">
        <v>24.13477146519142</v>
      </c>
      <c r="P615" s="15">
        <v>27.585452588430972</v>
      </c>
    </row>
    <row r="616" spans="1:16" x14ac:dyDescent="0.3">
      <c r="A616" s="15" t="str">
        <f t="shared" si="11"/>
        <v>AHP</v>
      </c>
      <c r="B616" s="15" t="s">
        <v>276</v>
      </c>
      <c r="C616" s="15" t="s">
        <v>250</v>
      </c>
      <c r="D616" s="15" t="s">
        <v>281</v>
      </c>
      <c r="E616" s="15" t="s">
        <v>260</v>
      </c>
      <c r="F616" s="15" t="s">
        <v>7</v>
      </c>
      <c r="K616" s="15">
        <v>4.6159174350526904</v>
      </c>
      <c r="L616" s="15">
        <v>15.15925108010299</v>
      </c>
      <c r="M616" s="15">
        <v>17.994870812158339</v>
      </c>
      <c r="N616" s="15">
        <v>20.477353834125879</v>
      </c>
      <c r="O616" s="15">
        <v>22.911655019998783</v>
      </c>
      <c r="P616" s="15">
        <v>25.88214322039531</v>
      </c>
    </row>
    <row r="617" spans="1:16" x14ac:dyDescent="0.3">
      <c r="A617" s="15" t="str">
        <f t="shared" si="11"/>
        <v>AHP</v>
      </c>
      <c r="B617" s="15" t="s">
        <v>276</v>
      </c>
      <c r="C617" s="15" t="s">
        <v>250</v>
      </c>
      <c r="D617" s="15" t="s">
        <v>281</v>
      </c>
      <c r="E617" s="15" t="s">
        <v>260</v>
      </c>
      <c r="F617" s="15" t="s">
        <v>8</v>
      </c>
      <c r="H617" s="15">
        <v>2.7884621956096098</v>
      </c>
      <c r="J617" s="15">
        <v>2.7884621956096098</v>
      </c>
      <c r="K617" s="15">
        <v>10.991707080878809</v>
      </c>
      <c r="L617" s="15">
        <v>33.691021996458652</v>
      </c>
      <c r="M617" s="15">
        <v>37.580212960068089</v>
      </c>
      <c r="N617" s="15">
        <v>40.211494467280339</v>
      </c>
      <c r="O617" s="15">
        <v>42.948419290442537</v>
      </c>
      <c r="P617" s="15">
        <v>45.726175351013737</v>
      </c>
    </row>
    <row r="618" spans="1:16" x14ac:dyDescent="0.3">
      <c r="A618" s="15" t="str">
        <f t="shared" si="11"/>
        <v>DSB</v>
      </c>
      <c r="B618" s="15" t="s">
        <v>276</v>
      </c>
      <c r="C618" s="15" t="s">
        <v>250</v>
      </c>
      <c r="D618" s="15" t="s">
        <v>281</v>
      </c>
      <c r="E618" s="15" t="s">
        <v>251</v>
      </c>
      <c r="F618" s="15" t="s">
        <v>0</v>
      </c>
      <c r="G618" s="15">
        <v>40.828801018325002</v>
      </c>
      <c r="H618" s="15">
        <v>39.467840984380899</v>
      </c>
      <c r="I618" s="15">
        <v>34.024000848604203</v>
      </c>
      <c r="J618" s="15">
        <v>27.2192006788834</v>
      </c>
      <c r="K618" s="15">
        <v>20.414400509162501</v>
      </c>
      <c r="L618" s="15">
        <v>13.6096003394417</v>
      </c>
      <c r="M618" s="15">
        <v>6.8048001697208402</v>
      </c>
    </row>
    <row r="619" spans="1:16" x14ac:dyDescent="0.3">
      <c r="A619" s="15" t="str">
        <f t="shared" si="11"/>
        <v>DSB</v>
      </c>
      <c r="B619" s="15" t="s">
        <v>276</v>
      </c>
      <c r="C619" s="15" t="s">
        <v>250</v>
      </c>
      <c r="D619" s="15" t="s">
        <v>281</v>
      </c>
      <c r="E619" s="15" t="s">
        <v>251</v>
      </c>
      <c r="F619" s="15" t="s">
        <v>1</v>
      </c>
      <c r="G619" s="15">
        <v>73.699563025490903</v>
      </c>
      <c r="H619" s="15">
        <v>71.242910924641194</v>
      </c>
      <c r="I619" s="15">
        <v>61.4163025212424</v>
      </c>
      <c r="J619" s="15">
        <v>49.133042016993898</v>
      </c>
      <c r="K619" s="15">
        <v>36.849781512745501</v>
      </c>
      <c r="L619" s="15">
        <v>24.566521008496998</v>
      </c>
      <c r="M619" s="15">
        <v>12.283260504248499</v>
      </c>
    </row>
    <row r="620" spans="1:16" x14ac:dyDescent="0.3">
      <c r="A620" s="15" t="str">
        <f t="shared" si="11"/>
        <v>DSB</v>
      </c>
      <c r="B620" s="15" t="s">
        <v>276</v>
      </c>
      <c r="C620" s="15" t="s">
        <v>250</v>
      </c>
      <c r="D620" s="15" t="s">
        <v>281</v>
      </c>
      <c r="E620" s="15" t="s">
        <v>251</v>
      </c>
      <c r="F620" s="15" t="s">
        <v>2</v>
      </c>
      <c r="G620" s="15">
        <v>0.34852376968032101</v>
      </c>
      <c r="M620" s="15">
        <v>5.80872949467202E-2</v>
      </c>
    </row>
    <row r="621" spans="1:16" x14ac:dyDescent="0.3">
      <c r="A621" s="15" t="str">
        <f t="shared" ref="A621:A684" si="12">MID(E621,4,3)</f>
        <v>DSB</v>
      </c>
      <c r="B621" s="15" t="s">
        <v>276</v>
      </c>
      <c r="C621" s="15" t="s">
        <v>250</v>
      </c>
      <c r="D621" s="15" t="s">
        <v>281</v>
      </c>
      <c r="E621" s="15" t="s">
        <v>251</v>
      </c>
      <c r="F621" s="15" t="s">
        <v>3</v>
      </c>
      <c r="M621" s="15">
        <v>0.25117491875500902</v>
      </c>
    </row>
    <row r="622" spans="1:16" x14ac:dyDescent="0.3">
      <c r="A622" s="15" t="str">
        <f t="shared" si="12"/>
        <v>DSB</v>
      </c>
      <c r="B622" s="15" t="s">
        <v>276</v>
      </c>
      <c r="C622" s="15" t="s">
        <v>250</v>
      </c>
      <c r="D622" s="15" t="s">
        <v>281</v>
      </c>
      <c r="E622" s="15" t="s">
        <v>251</v>
      </c>
      <c r="F622" s="15" t="s">
        <v>4</v>
      </c>
      <c r="G622" s="15">
        <v>15.403962298130701</v>
      </c>
      <c r="H622" s="15">
        <v>14.890496888193001</v>
      </c>
      <c r="I622" s="15">
        <v>12.836635248442301</v>
      </c>
      <c r="J622" s="15">
        <v>10.2693081987538</v>
      </c>
      <c r="K622" s="15">
        <v>7.70198114906536</v>
      </c>
      <c r="L622" s="15">
        <v>5.1346540993769096</v>
      </c>
      <c r="M622" s="15">
        <v>2.5673270496884601</v>
      </c>
    </row>
    <row r="623" spans="1:16" x14ac:dyDescent="0.3">
      <c r="A623" s="15" t="str">
        <f t="shared" si="12"/>
        <v>DSB</v>
      </c>
      <c r="B623" s="15" t="s">
        <v>276</v>
      </c>
      <c r="C623" s="15" t="s">
        <v>250</v>
      </c>
      <c r="D623" s="15" t="s">
        <v>281</v>
      </c>
      <c r="E623" s="15" t="s">
        <v>251</v>
      </c>
      <c r="F623" s="15" t="s">
        <v>6</v>
      </c>
      <c r="G623" s="15">
        <v>0.126</v>
      </c>
      <c r="M623" s="15">
        <v>2.1000000000000001E-2</v>
      </c>
    </row>
    <row r="624" spans="1:16" x14ac:dyDescent="0.3">
      <c r="A624" s="15" t="str">
        <f t="shared" si="12"/>
        <v>DSB</v>
      </c>
      <c r="B624" s="15" t="s">
        <v>276</v>
      </c>
      <c r="C624" s="15" t="s">
        <v>250</v>
      </c>
      <c r="D624" s="15" t="s">
        <v>281</v>
      </c>
      <c r="E624" s="15" t="s">
        <v>251</v>
      </c>
      <c r="F624" s="15" t="s">
        <v>7</v>
      </c>
      <c r="G624" s="15">
        <v>0.28000000000000003</v>
      </c>
      <c r="H624" s="15">
        <v>5.2077948783484103E-2</v>
      </c>
      <c r="I624" s="15">
        <v>0.233333333333333</v>
      </c>
      <c r="J624" s="15">
        <v>0.18666666666666701</v>
      </c>
      <c r="K624" s="15">
        <v>0.14000000000000001</v>
      </c>
      <c r="L624" s="15">
        <v>9.3333333333333296E-2</v>
      </c>
      <c r="M624" s="15">
        <v>4.6666666666666697E-2</v>
      </c>
    </row>
    <row r="625" spans="1:16" x14ac:dyDescent="0.3">
      <c r="A625" s="15" t="str">
        <f t="shared" si="12"/>
        <v>DSB</v>
      </c>
      <c r="B625" s="15" t="s">
        <v>276</v>
      </c>
      <c r="C625" s="15" t="s">
        <v>250</v>
      </c>
      <c r="D625" s="15" t="s">
        <v>281</v>
      </c>
      <c r="E625" s="15" t="s">
        <v>251</v>
      </c>
      <c r="F625" s="15" t="s">
        <v>8</v>
      </c>
      <c r="G625" s="15">
        <v>0.101354980845713</v>
      </c>
      <c r="I625" s="15">
        <v>9.7924499364263104E-2</v>
      </c>
      <c r="J625" s="15">
        <v>0.18666666666666701</v>
      </c>
      <c r="K625" s="15">
        <v>0.100680502341626</v>
      </c>
      <c r="L625" s="15">
        <v>9.3333333333333296E-2</v>
      </c>
      <c r="M625" s="15">
        <v>4.6666666666666697E-2</v>
      </c>
    </row>
    <row r="626" spans="1:16" x14ac:dyDescent="0.3">
      <c r="A626" s="15" t="str">
        <f t="shared" si="12"/>
        <v>DSB</v>
      </c>
      <c r="B626" s="15" t="s">
        <v>276</v>
      </c>
      <c r="C626" s="15" t="s">
        <v>250</v>
      </c>
      <c r="D626" s="15" t="s">
        <v>281</v>
      </c>
      <c r="E626" s="15" t="s">
        <v>321</v>
      </c>
      <c r="F626" s="15" t="s">
        <v>0</v>
      </c>
      <c r="H626" s="15">
        <v>11.291029452069299</v>
      </c>
      <c r="I626" s="15">
        <v>27.144700940269502</v>
      </c>
      <c r="J626" s="15">
        <v>25.983356520146401</v>
      </c>
      <c r="K626" s="15">
        <v>28.4286722261193</v>
      </c>
      <c r="L626" s="15">
        <v>32.1173759235093</v>
      </c>
      <c r="M626" s="15">
        <v>32.1173759235093</v>
      </c>
      <c r="N626" s="15">
        <v>20.201882929643102</v>
      </c>
      <c r="O626" s="15">
        <v>13.865069943913999</v>
      </c>
      <c r="P626" s="15">
        <v>13.865069943913999</v>
      </c>
    </row>
    <row r="627" spans="1:16" x14ac:dyDescent="0.3">
      <c r="A627" s="15" t="str">
        <f t="shared" si="12"/>
        <v>DSB</v>
      </c>
      <c r="B627" s="15" t="s">
        <v>276</v>
      </c>
      <c r="C627" s="15" t="s">
        <v>250</v>
      </c>
      <c r="D627" s="15" t="s">
        <v>281</v>
      </c>
      <c r="E627" s="15" t="s">
        <v>321</v>
      </c>
      <c r="F627" s="15" t="s">
        <v>1</v>
      </c>
      <c r="H627" s="15">
        <v>5.0021791977111301</v>
      </c>
      <c r="I627" s="15">
        <v>20.240709967008701</v>
      </c>
      <c r="J627" s="15">
        <v>23.725763297440999</v>
      </c>
      <c r="K627" s="15">
        <v>29.5179684586478</v>
      </c>
      <c r="L627" s="15">
        <v>37.124751114585003</v>
      </c>
      <c r="M627" s="15">
        <v>37.124751114585003</v>
      </c>
      <c r="N627" s="15">
        <v>23.3515302618482</v>
      </c>
    </row>
    <row r="628" spans="1:16" x14ac:dyDescent="0.3">
      <c r="A628" s="15" t="str">
        <f t="shared" si="12"/>
        <v>DSB</v>
      </c>
      <c r="B628" s="15" t="s">
        <v>276</v>
      </c>
      <c r="C628" s="15" t="s">
        <v>250</v>
      </c>
      <c r="D628" s="15" t="s">
        <v>281</v>
      </c>
      <c r="E628" s="15" t="s">
        <v>321</v>
      </c>
      <c r="F628" s="15" t="s">
        <v>4</v>
      </c>
      <c r="H628" s="15">
        <v>0.29891478419716799</v>
      </c>
      <c r="I628" s="15">
        <v>0.53007760490381595</v>
      </c>
      <c r="J628" s="15">
        <v>2.9656656365821799</v>
      </c>
      <c r="K628" s="15">
        <v>4.8601677853262002</v>
      </c>
      <c r="L628" s="15">
        <v>7.0354754893307501</v>
      </c>
      <c r="M628" s="15">
        <v>7.0354754893307501</v>
      </c>
      <c r="N628" s="15">
        <v>4.42532579648877</v>
      </c>
    </row>
    <row r="629" spans="1:16" x14ac:dyDescent="0.3">
      <c r="A629" s="15" t="str">
        <f t="shared" si="12"/>
        <v>DSB</v>
      </c>
      <c r="B629" s="15" t="s">
        <v>276</v>
      </c>
      <c r="C629" s="15" t="s">
        <v>250</v>
      </c>
      <c r="D629" s="15" t="s">
        <v>281</v>
      </c>
      <c r="E629" s="15" t="s">
        <v>321</v>
      </c>
      <c r="F629" s="15" t="s">
        <v>7</v>
      </c>
      <c r="I629" s="15">
        <v>0.21373105782971999</v>
      </c>
      <c r="J629" s="15">
        <v>0.27056430877813098</v>
      </c>
      <c r="K629" s="15">
        <v>0.303024138689587</v>
      </c>
      <c r="L629" s="15">
        <v>0.34419573146999899</v>
      </c>
      <c r="M629" s="15">
        <v>0.34419573146999899</v>
      </c>
      <c r="N629" s="15">
        <v>0.21649968816256901</v>
      </c>
    </row>
    <row r="630" spans="1:16" x14ac:dyDescent="0.3">
      <c r="A630" s="15" t="str">
        <f t="shared" si="12"/>
        <v>DSB</v>
      </c>
      <c r="B630" s="15" t="s">
        <v>276</v>
      </c>
      <c r="C630" s="15" t="s">
        <v>250</v>
      </c>
      <c r="D630" s="15" t="s">
        <v>281</v>
      </c>
      <c r="E630" s="15" t="s">
        <v>321</v>
      </c>
      <c r="F630" s="15" t="s">
        <v>8</v>
      </c>
      <c r="J630" s="15">
        <v>3.5229124366858398E-3</v>
      </c>
      <c r="L630" s="15">
        <v>3.5229124366858398E-3</v>
      </c>
      <c r="M630" s="15">
        <v>3.5229124366858398E-3</v>
      </c>
      <c r="N630" s="15">
        <v>2.2159177881408499E-3</v>
      </c>
    </row>
    <row r="631" spans="1:16" x14ac:dyDescent="0.3">
      <c r="A631" s="15" t="str">
        <f t="shared" si="12"/>
        <v>DSF</v>
      </c>
      <c r="B631" s="15" t="s">
        <v>276</v>
      </c>
      <c r="C631" s="15" t="s">
        <v>250</v>
      </c>
      <c r="D631" s="15" t="s">
        <v>281</v>
      </c>
      <c r="E631" s="15" t="s">
        <v>252</v>
      </c>
      <c r="F631" s="15" t="s">
        <v>0</v>
      </c>
      <c r="G631" s="15">
        <v>5.2338253622772903</v>
      </c>
      <c r="H631" s="15">
        <v>4.8849036714588001</v>
      </c>
    </row>
    <row r="632" spans="1:16" x14ac:dyDescent="0.3">
      <c r="A632" s="15" t="str">
        <f t="shared" si="12"/>
        <v>DSF</v>
      </c>
      <c r="B632" s="15" t="s">
        <v>276</v>
      </c>
      <c r="C632" s="15" t="s">
        <v>250</v>
      </c>
      <c r="D632" s="15" t="s">
        <v>281</v>
      </c>
      <c r="E632" s="15" t="s">
        <v>252</v>
      </c>
      <c r="F632" s="15" t="s">
        <v>1</v>
      </c>
      <c r="G632" s="15">
        <v>1.8966007895739301</v>
      </c>
      <c r="H632" s="15">
        <v>1.2407988509566199</v>
      </c>
      <c r="I632" s="15">
        <v>1.2644005263826199</v>
      </c>
    </row>
    <row r="633" spans="1:16" x14ac:dyDescent="0.3">
      <c r="A633" s="15" t="str">
        <f t="shared" si="12"/>
        <v>DSF</v>
      </c>
      <c r="B633" s="15" t="s">
        <v>276</v>
      </c>
      <c r="C633" s="15" t="s">
        <v>250</v>
      </c>
      <c r="D633" s="15" t="s">
        <v>281</v>
      </c>
      <c r="E633" s="15" t="s">
        <v>252</v>
      </c>
      <c r="F633" s="15" t="s">
        <v>2</v>
      </c>
      <c r="G633" s="15">
        <v>3.7773886482652301</v>
      </c>
    </row>
    <row r="634" spans="1:16" x14ac:dyDescent="0.3">
      <c r="A634" s="15" t="str">
        <f t="shared" si="12"/>
        <v>DSF</v>
      </c>
      <c r="B634" s="15" t="s">
        <v>276</v>
      </c>
      <c r="C634" s="15" t="s">
        <v>250</v>
      </c>
      <c r="D634" s="15" t="s">
        <v>281</v>
      </c>
      <c r="E634" s="15" t="s">
        <v>252</v>
      </c>
      <c r="F634" s="15" t="s">
        <v>4</v>
      </c>
      <c r="G634" s="15">
        <v>0.45219647024909898</v>
      </c>
    </row>
    <row r="635" spans="1:16" x14ac:dyDescent="0.3">
      <c r="A635" s="15" t="str">
        <f t="shared" si="12"/>
        <v>DSF</v>
      </c>
      <c r="B635" s="15" t="s">
        <v>276</v>
      </c>
      <c r="C635" s="15" t="s">
        <v>250</v>
      </c>
      <c r="D635" s="15" t="s">
        <v>281</v>
      </c>
      <c r="E635" s="15" t="s">
        <v>252</v>
      </c>
      <c r="F635" s="15" t="s">
        <v>5</v>
      </c>
      <c r="G635" s="15">
        <v>0.16675039483024501</v>
      </c>
    </row>
    <row r="636" spans="1:16" x14ac:dyDescent="0.3">
      <c r="A636" s="15" t="str">
        <f t="shared" si="12"/>
        <v>DSF</v>
      </c>
      <c r="B636" s="15" t="s">
        <v>276</v>
      </c>
      <c r="C636" s="15" t="s">
        <v>250</v>
      </c>
      <c r="D636" s="15" t="s">
        <v>281</v>
      </c>
      <c r="E636" s="15" t="s">
        <v>252</v>
      </c>
      <c r="F636" s="15" t="s">
        <v>6</v>
      </c>
      <c r="G636" s="15">
        <v>0.12039999999999999</v>
      </c>
    </row>
    <row r="637" spans="1:16" x14ac:dyDescent="0.3">
      <c r="A637" s="15" t="str">
        <f t="shared" si="12"/>
        <v>DSF</v>
      </c>
      <c r="B637" s="15" t="s">
        <v>276</v>
      </c>
      <c r="C637" s="15" t="s">
        <v>250</v>
      </c>
      <c r="D637" s="15" t="s">
        <v>281</v>
      </c>
      <c r="E637" s="15" t="s">
        <v>252</v>
      </c>
      <c r="F637" s="15" t="s">
        <v>7</v>
      </c>
      <c r="G637" s="15">
        <v>0.16420057492044299</v>
      </c>
      <c r="H637" s="15">
        <v>0.39200000000000002</v>
      </c>
    </row>
    <row r="638" spans="1:16" x14ac:dyDescent="0.3">
      <c r="A638" s="15" t="str">
        <f t="shared" si="12"/>
        <v>DSF</v>
      </c>
      <c r="B638" s="15" t="s">
        <v>276</v>
      </c>
      <c r="C638" s="15" t="s">
        <v>250</v>
      </c>
      <c r="D638" s="15" t="s">
        <v>281</v>
      </c>
      <c r="E638" s="15" t="s">
        <v>252</v>
      </c>
      <c r="F638" s="15" t="s">
        <v>8</v>
      </c>
      <c r="H638" s="15">
        <v>0.10028324551323201</v>
      </c>
    </row>
    <row r="639" spans="1:16" x14ac:dyDescent="0.3">
      <c r="A639" s="15" t="str">
        <f t="shared" si="12"/>
        <v>DSF</v>
      </c>
      <c r="B639" s="15" t="s">
        <v>276</v>
      </c>
      <c r="C639" s="15" t="s">
        <v>250</v>
      </c>
      <c r="D639" s="15" t="s">
        <v>281</v>
      </c>
      <c r="E639" s="15" t="s">
        <v>314</v>
      </c>
      <c r="F639" s="15" t="s">
        <v>0</v>
      </c>
      <c r="M639" s="15">
        <v>3.9659403430540601</v>
      </c>
      <c r="N639" s="15">
        <v>19.777083499882259</v>
      </c>
      <c r="O639" s="15">
        <v>23.389362969806079</v>
      </c>
      <c r="P639" s="15">
        <v>20.945016881716349</v>
      </c>
    </row>
    <row r="640" spans="1:16" x14ac:dyDescent="0.3">
      <c r="A640" s="15" t="str">
        <f t="shared" si="12"/>
        <v>DSF</v>
      </c>
      <c r="B640" s="15" t="s">
        <v>276</v>
      </c>
      <c r="C640" s="15" t="s">
        <v>250</v>
      </c>
      <c r="D640" s="15" t="s">
        <v>281</v>
      </c>
      <c r="E640" s="15" t="s">
        <v>314</v>
      </c>
      <c r="F640" s="15" t="s">
        <v>1</v>
      </c>
      <c r="M640" s="15">
        <v>8.1357119349042097</v>
      </c>
      <c r="N640" s="15">
        <v>30.056572174945408</v>
      </c>
      <c r="O640" s="15">
        <v>49.567666205130308</v>
      </c>
      <c r="P640" s="15">
        <v>46.150796999208026</v>
      </c>
    </row>
    <row r="641" spans="1:16" x14ac:dyDescent="0.3">
      <c r="A641" s="15" t="str">
        <f t="shared" si="12"/>
        <v>DSF</v>
      </c>
      <c r="B641" s="15" t="s">
        <v>276</v>
      </c>
      <c r="C641" s="15" t="s">
        <v>250</v>
      </c>
      <c r="D641" s="15" t="s">
        <v>281</v>
      </c>
      <c r="E641" s="15" t="s">
        <v>314</v>
      </c>
      <c r="F641" s="15" t="s">
        <v>4</v>
      </c>
      <c r="M641" s="15">
        <v>2.2314264769284899</v>
      </c>
      <c r="N641" s="15">
        <v>7.0233395003230505</v>
      </c>
      <c r="O641" s="15">
        <v>11.093827223560471</v>
      </c>
      <c r="P641" s="15">
        <v>10.735419356186831</v>
      </c>
    </row>
    <row r="642" spans="1:16" x14ac:dyDescent="0.3">
      <c r="A642" s="15" t="str">
        <f t="shared" si="12"/>
        <v>DSF</v>
      </c>
      <c r="B642" s="15" t="s">
        <v>276</v>
      </c>
      <c r="C642" s="15" t="s">
        <v>250</v>
      </c>
      <c r="D642" s="15" t="s">
        <v>281</v>
      </c>
      <c r="E642" s="15" t="s">
        <v>314</v>
      </c>
      <c r="F642" s="15" t="s">
        <v>7</v>
      </c>
      <c r="M642" s="15">
        <v>4.2431749166687398E-2</v>
      </c>
      <c r="N642" s="15">
        <v>0.2105102051401454</v>
      </c>
      <c r="O642" s="15">
        <v>0.4213179970963134</v>
      </c>
      <c r="P642" s="15">
        <v>0.4165112678921018</v>
      </c>
    </row>
    <row r="643" spans="1:16" x14ac:dyDescent="0.3">
      <c r="A643" s="15" t="str">
        <f t="shared" si="12"/>
        <v>DSF</v>
      </c>
      <c r="B643" s="15" t="s">
        <v>276</v>
      </c>
      <c r="C643" s="15" t="s">
        <v>250</v>
      </c>
      <c r="D643" s="15" t="s">
        <v>281</v>
      </c>
      <c r="E643" s="15" t="s">
        <v>314</v>
      </c>
      <c r="F643" s="15" t="s">
        <v>8</v>
      </c>
      <c r="M643" s="15">
        <v>8.7466633228531002E-2</v>
      </c>
      <c r="N643" s="15">
        <v>8.7466633228531002E-2</v>
      </c>
      <c r="O643" s="15">
        <v>8.6315624039650804E-2</v>
      </c>
      <c r="P643" s="15">
        <v>8.3111155527106101E-2</v>
      </c>
    </row>
    <row r="644" spans="1:16" x14ac:dyDescent="0.3">
      <c r="A644" s="15" t="str">
        <f t="shared" si="12"/>
        <v>ELB</v>
      </c>
      <c r="B644" s="15" t="s">
        <v>276</v>
      </c>
      <c r="C644" s="15" t="s">
        <v>250</v>
      </c>
      <c r="D644" s="15" t="s">
        <v>281</v>
      </c>
      <c r="E644" s="15" t="s">
        <v>261</v>
      </c>
      <c r="F644" s="15" t="s">
        <v>0</v>
      </c>
      <c r="G644" s="15">
        <v>0.251544613501267</v>
      </c>
    </row>
    <row r="645" spans="1:16" x14ac:dyDescent="0.3">
      <c r="A645" s="15" t="str">
        <f t="shared" si="12"/>
        <v>ELB</v>
      </c>
      <c r="B645" s="15" t="s">
        <v>276</v>
      </c>
      <c r="C645" s="15" t="s">
        <v>250</v>
      </c>
      <c r="D645" s="15" t="s">
        <v>281</v>
      </c>
      <c r="E645" s="15" t="s">
        <v>261</v>
      </c>
      <c r="F645" s="15" t="s">
        <v>1</v>
      </c>
      <c r="G645" s="15">
        <v>5.58723350540214</v>
      </c>
      <c r="H645" s="15">
        <v>5.2147512717086597</v>
      </c>
    </row>
    <row r="646" spans="1:16" x14ac:dyDescent="0.3">
      <c r="A646" s="15" t="str">
        <f t="shared" si="12"/>
        <v>ELB</v>
      </c>
      <c r="B646" s="15" t="s">
        <v>276</v>
      </c>
      <c r="C646" s="15" t="s">
        <v>250</v>
      </c>
      <c r="D646" s="15" t="s">
        <v>281</v>
      </c>
      <c r="E646" s="15" t="s">
        <v>261</v>
      </c>
      <c r="F646" s="15" t="s">
        <v>2</v>
      </c>
      <c r="G646" s="15">
        <v>10.5273514360406</v>
      </c>
      <c r="H646" s="15">
        <v>9.8255280069712505</v>
      </c>
    </row>
    <row r="647" spans="1:16" x14ac:dyDescent="0.3">
      <c r="A647" s="15" t="str">
        <f t="shared" si="12"/>
        <v>ELB</v>
      </c>
      <c r="B647" s="15" t="s">
        <v>276</v>
      </c>
      <c r="C647" s="15" t="s">
        <v>250</v>
      </c>
      <c r="D647" s="15" t="s">
        <v>281</v>
      </c>
      <c r="E647" s="15" t="s">
        <v>261</v>
      </c>
      <c r="F647" s="15" t="s">
        <v>3</v>
      </c>
      <c r="G647" s="15">
        <v>2.61699163299201</v>
      </c>
      <c r="H647" s="15">
        <v>2.4425255241258799</v>
      </c>
    </row>
    <row r="648" spans="1:16" x14ac:dyDescent="0.3">
      <c r="A648" s="15" t="str">
        <f t="shared" si="12"/>
        <v>ELB</v>
      </c>
      <c r="B648" s="15" t="s">
        <v>276</v>
      </c>
      <c r="C648" s="15" t="s">
        <v>250</v>
      </c>
      <c r="D648" s="15" t="s">
        <v>281</v>
      </c>
      <c r="E648" s="15" t="s">
        <v>261</v>
      </c>
      <c r="F648" s="15" t="s">
        <v>4</v>
      </c>
      <c r="G648" s="15">
        <v>9.6393679767689395</v>
      </c>
      <c r="H648" s="15">
        <v>8.9967434449843395</v>
      </c>
    </row>
    <row r="649" spans="1:16" x14ac:dyDescent="0.3">
      <c r="A649" s="15" t="str">
        <f t="shared" si="12"/>
        <v>ELB</v>
      </c>
      <c r="B649" s="15" t="s">
        <v>276</v>
      </c>
      <c r="C649" s="15" t="s">
        <v>250</v>
      </c>
      <c r="D649" s="15" t="s">
        <v>281</v>
      </c>
      <c r="E649" s="15" t="s">
        <v>261</v>
      </c>
      <c r="F649" s="15" t="s">
        <v>5</v>
      </c>
      <c r="G649" s="15">
        <v>5.5126362252480696</v>
      </c>
      <c r="H649" s="15">
        <v>5.14512714356486</v>
      </c>
      <c r="I649" s="15">
        <v>0.60576232801320296</v>
      </c>
      <c r="J649" s="15">
        <v>1.8375454084160201</v>
      </c>
    </row>
    <row r="650" spans="1:16" x14ac:dyDescent="0.3">
      <c r="A650" s="15" t="str">
        <f t="shared" si="12"/>
        <v>ELB</v>
      </c>
      <c r="B650" s="15" t="s">
        <v>276</v>
      </c>
      <c r="C650" s="15" t="s">
        <v>250</v>
      </c>
      <c r="D650" s="15" t="s">
        <v>281</v>
      </c>
      <c r="E650" s="15" t="s">
        <v>261</v>
      </c>
      <c r="F650" s="15" t="s">
        <v>6</v>
      </c>
      <c r="G650" s="15">
        <v>3.95901046826393</v>
      </c>
      <c r="H650" s="15">
        <v>3.69507643704633</v>
      </c>
    </row>
    <row r="651" spans="1:16" x14ac:dyDescent="0.3">
      <c r="A651" s="15" t="str">
        <f t="shared" si="12"/>
        <v>ELB</v>
      </c>
      <c r="B651" s="15" t="s">
        <v>276</v>
      </c>
      <c r="C651" s="15" t="s">
        <v>250</v>
      </c>
      <c r="D651" s="15" t="s">
        <v>281</v>
      </c>
      <c r="E651" s="15" t="s">
        <v>261</v>
      </c>
      <c r="F651" s="15" t="s">
        <v>7</v>
      </c>
      <c r="G651" s="15">
        <v>1.3233601719430601</v>
      </c>
      <c r="H651" s="15">
        <v>1.23513616048019</v>
      </c>
    </row>
    <row r="652" spans="1:16" x14ac:dyDescent="0.3">
      <c r="A652" s="15" t="str">
        <f t="shared" si="12"/>
        <v>ELB</v>
      </c>
      <c r="B652" s="15" t="s">
        <v>276</v>
      </c>
      <c r="C652" s="15" t="s">
        <v>250</v>
      </c>
      <c r="D652" s="15" t="s">
        <v>281</v>
      </c>
      <c r="E652" s="15" t="s">
        <v>261</v>
      </c>
      <c r="F652" s="15" t="s">
        <v>8</v>
      </c>
      <c r="G652" s="15">
        <v>6.05836301957972</v>
      </c>
      <c r="H652" s="15">
        <v>5.6544721516077399</v>
      </c>
      <c r="J652" s="15">
        <v>2.0194543398599101</v>
      </c>
    </row>
    <row r="653" spans="1:16" x14ac:dyDescent="0.3">
      <c r="A653" s="15" t="str">
        <f t="shared" si="12"/>
        <v>ELB</v>
      </c>
      <c r="B653" s="15" t="s">
        <v>276</v>
      </c>
      <c r="C653" s="15" t="s">
        <v>250</v>
      </c>
      <c r="D653" s="15" t="s">
        <v>281</v>
      </c>
      <c r="E653" s="15" t="s">
        <v>316</v>
      </c>
      <c r="F653" s="15" t="s">
        <v>0</v>
      </c>
      <c r="N653" s="15">
        <v>5.75916612640198</v>
      </c>
      <c r="O653" s="15">
        <v>6.7368956890493514</v>
      </c>
      <c r="P653" s="15">
        <v>3.5056892149458911</v>
      </c>
    </row>
    <row r="654" spans="1:16" x14ac:dyDescent="0.3">
      <c r="A654" s="15" t="str">
        <f t="shared" si="12"/>
        <v>ELB</v>
      </c>
      <c r="B654" s="15" t="s">
        <v>276</v>
      </c>
      <c r="C654" s="15" t="s">
        <v>250</v>
      </c>
      <c r="D654" s="15" t="s">
        <v>281</v>
      </c>
      <c r="E654" s="15" t="s">
        <v>316</v>
      </c>
      <c r="F654" s="15" t="s">
        <v>1</v>
      </c>
      <c r="M654" s="15">
        <v>7.5000797551202503</v>
      </c>
      <c r="N654" s="15">
        <v>7.5000797551202503</v>
      </c>
      <c r="O654" s="15">
        <v>7.5000797551202503</v>
      </c>
    </row>
    <row r="655" spans="1:16" x14ac:dyDescent="0.3">
      <c r="A655" s="15" t="str">
        <f t="shared" si="12"/>
        <v>ELB</v>
      </c>
      <c r="B655" s="15" t="s">
        <v>276</v>
      </c>
      <c r="C655" s="15" t="s">
        <v>250</v>
      </c>
      <c r="D655" s="15" t="s">
        <v>281</v>
      </c>
      <c r="E655" s="15" t="s">
        <v>316</v>
      </c>
      <c r="F655" s="15" t="s">
        <v>4</v>
      </c>
      <c r="M655" s="15">
        <v>1.1677609707482499</v>
      </c>
      <c r="N655" s="15">
        <v>1.1677609707482499</v>
      </c>
      <c r="O655" s="15">
        <v>1.1677609707482499</v>
      </c>
    </row>
    <row r="656" spans="1:16" x14ac:dyDescent="0.3">
      <c r="A656" s="15" t="str">
        <f t="shared" si="12"/>
        <v>ELB</v>
      </c>
      <c r="B656" s="15" t="s">
        <v>276</v>
      </c>
      <c r="C656" s="15" t="s">
        <v>250</v>
      </c>
      <c r="D656" s="15" t="s">
        <v>281</v>
      </c>
      <c r="E656" s="15" t="s">
        <v>316</v>
      </c>
      <c r="F656" s="15" t="s">
        <v>5</v>
      </c>
      <c r="H656" s="15">
        <v>7.4009406503598996E-2</v>
      </c>
      <c r="J656" s="15">
        <v>7.4009406503598996E-2</v>
      </c>
      <c r="K656" s="15">
        <v>4.0466038352879252</v>
      </c>
      <c r="L656" s="15">
        <v>4.0000517953753603</v>
      </c>
      <c r="M656" s="15">
        <v>5.152886222826</v>
      </c>
      <c r="N656" s="15">
        <v>5.6133329625874397</v>
      </c>
      <c r="O656" s="15">
        <v>7.0475682618836695</v>
      </c>
      <c r="P656" s="15">
        <v>6.5472719095862697</v>
      </c>
    </row>
    <row r="657" spans="1:16" x14ac:dyDescent="0.3">
      <c r="A657" s="15" t="str">
        <f t="shared" si="12"/>
        <v>ELB</v>
      </c>
      <c r="B657" s="15" t="s">
        <v>276</v>
      </c>
      <c r="C657" s="15" t="s">
        <v>250</v>
      </c>
      <c r="D657" s="15" t="s">
        <v>281</v>
      </c>
      <c r="E657" s="15" t="s">
        <v>316</v>
      </c>
      <c r="F657" s="15" t="s">
        <v>6</v>
      </c>
      <c r="M657" s="15">
        <v>0.34811104909181301</v>
      </c>
      <c r="N657" s="15">
        <v>6.407549738179533</v>
      </c>
      <c r="O657" s="15">
        <v>8.8441947144696833</v>
      </c>
      <c r="P657" s="15">
        <v>8.4960836653778706</v>
      </c>
    </row>
    <row r="658" spans="1:16" x14ac:dyDescent="0.3">
      <c r="A658" s="15" t="str">
        <f t="shared" si="12"/>
        <v>ELB</v>
      </c>
      <c r="B658" s="15" t="s">
        <v>276</v>
      </c>
      <c r="C658" s="15" t="s">
        <v>250</v>
      </c>
      <c r="D658" s="15" t="s">
        <v>281</v>
      </c>
      <c r="E658" s="15" t="s">
        <v>316</v>
      </c>
      <c r="F658" s="15" t="s">
        <v>8</v>
      </c>
      <c r="H658" s="15">
        <v>9.8139965383715805E-2</v>
      </c>
      <c r="J658" s="15">
        <v>4.27694228658829</v>
      </c>
    </row>
    <row r="659" spans="1:16" x14ac:dyDescent="0.3">
      <c r="A659" s="15" t="str">
        <f t="shared" si="12"/>
        <v>ELO</v>
      </c>
      <c r="B659" s="15" t="s">
        <v>276</v>
      </c>
      <c r="C659" s="15" t="s">
        <v>250</v>
      </c>
      <c r="D659" s="15" t="s">
        <v>281</v>
      </c>
      <c r="E659" s="15" t="s">
        <v>262</v>
      </c>
      <c r="F659" s="15" t="s">
        <v>0</v>
      </c>
      <c r="G659" s="15">
        <v>7.5720367439584004</v>
      </c>
    </row>
    <row r="660" spans="1:16" x14ac:dyDescent="0.3">
      <c r="A660" s="15" t="str">
        <f t="shared" si="12"/>
        <v>ELO</v>
      </c>
      <c r="B660" s="15" t="s">
        <v>276</v>
      </c>
      <c r="C660" s="15" t="s">
        <v>250</v>
      </c>
      <c r="D660" s="15" t="s">
        <v>281</v>
      </c>
      <c r="E660" s="15" t="s">
        <v>262</v>
      </c>
      <c r="F660" s="15" t="s">
        <v>1</v>
      </c>
      <c r="G660" s="15">
        <v>17.266855687179898</v>
      </c>
      <c r="H660" s="15">
        <v>16.307585926781002</v>
      </c>
      <c r="I660" s="15">
        <v>12.4705068851855</v>
      </c>
      <c r="J660" s="15">
        <v>7.6741580831910703</v>
      </c>
      <c r="K660" s="15">
        <v>2.87780928119665</v>
      </c>
    </row>
    <row r="661" spans="1:16" x14ac:dyDescent="0.3">
      <c r="A661" s="15" t="str">
        <f t="shared" si="12"/>
        <v>ELO</v>
      </c>
      <c r="B661" s="15" t="s">
        <v>276</v>
      </c>
      <c r="C661" s="15" t="s">
        <v>250</v>
      </c>
      <c r="D661" s="15" t="s">
        <v>281</v>
      </c>
      <c r="E661" s="15" t="s">
        <v>262</v>
      </c>
      <c r="F661" s="15" t="s">
        <v>2</v>
      </c>
      <c r="G661" s="15">
        <v>10.7389442163169</v>
      </c>
      <c r="H661" s="15">
        <v>10.142336204299299</v>
      </c>
      <c r="I661" s="15">
        <v>7.7559041562288797</v>
      </c>
      <c r="J661" s="15">
        <v>4.7728640961408502</v>
      </c>
      <c r="K661" s="15">
        <v>1.7898240360528199</v>
      </c>
    </row>
    <row r="662" spans="1:16" x14ac:dyDescent="0.3">
      <c r="A662" s="15" t="str">
        <f t="shared" si="12"/>
        <v>ELO</v>
      </c>
      <c r="B662" s="15" t="s">
        <v>276</v>
      </c>
      <c r="C662" s="15" t="s">
        <v>250</v>
      </c>
      <c r="D662" s="15" t="s">
        <v>281</v>
      </c>
      <c r="E662" s="15" t="s">
        <v>262</v>
      </c>
      <c r="F662" s="15" t="s">
        <v>3</v>
      </c>
      <c r="G662" s="15">
        <v>11.278093605653501</v>
      </c>
      <c r="H662" s="15">
        <v>10.6515328497839</v>
      </c>
      <c r="I662" s="15">
        <v>8.1452898263053299</v>
      </c>
      <c r="J662" s="15">
        <v>5.0124860469571297</v>
      </c>
      <c r="K662" s="15">
        <v>1.87968226760892</v>
      </c>
    </row>
    <row r="663" spans="1:16" x14ac:dyDescent="0.3">
      <c r="A663" s="15" t="str">
        <f t="shared" si="12"/>
        <v>ELO</v>
      </c>
      <c r="B663" s="15" t="s">
        <v>276</v>
      </c>
      <c r="C663" s="15" t="s">
        <v>250</v>
      </c>
      <c r="D663" s="15" t="s">
        <v>281</v>
      </c>
      <c r="E663" s="15" t="s">
        <v>262</v>
      </c>
      <c r="F663" s="15" t="s">
        <v>4</v>
      </c>
      <c r="G663" s="15">
        <v>13.130108860462901</v>
      </c>
      <c r="H663" s="15">
        <v>12.400658368215</v>
      </c>
      <c r="I663" s="15">
        <v>9.4828563992232393</v>
      </c>
      <c r="J663" s="15">
        <v>5.8356039379835298</v>
      </c>
      <c r="K663" s="15">
        <v>2.1883514767438199</v>
      </c>
    </row>
    <row r="664" spans="1:16" x14ac:dyDescent="0.3">
      <c r="A664" s="15" t="str">
        <f t="shared" si="12"/>
        <v>ELO</v>
      </c>
      <c r="B664" s="15" t="s">
        <v>276</v>
      </c>
      <c r="C664" s="15" t="s">
        <v>250</v>
      </c>
      <c r="D664" s="15" t="s">
        <v>281</v>
      </c>
      <c r="E664" s="15" t="s">
        <v>262</v>
      </c>
      <c r="F664" s="15" t="s">
        <v>5</v>
      </c>
      <c r="G664" s="15">
        <v>4.4724895682055399</v>
      </c>
      <c r="H664" s="15">
        <v>4.2240179255274501</v>
      </c>
      <c r="I664" s="15">
        <v>3.2301313548151098</v>
      </c>
      <c r="J664" s="15">
        <v>1.98777314142468</v>
      </c>
      <c r="K664" s="15">
        <v>0.74541492803425702</v>
      </c>
    </row>
    <row r="665" spans="1:16" x14ac:dyDescent="0.3">
      <c r="A665" s="15" t="str">
        <f t="shared" si="12"/>
        <v>ELO</v>
      </c>
      <c r="B665" s="15" t="s">
        <v>276</v>
      </c>
      <c r="C665" s="15" t="s">
        <v>250</v>
      </c>
      <c r="D665" s="15" t="s">
        <v>281</v>
      </c>
      <c r="E665" s="15" t="s">
        <v>262</v>
      </c>
      <c r="F665" s="15" t="s">
        <v>6</v>
      </c>
      <c r="G665" s="15">
        <v>8.1984836512678108</v>
      </c>
      <c r="H665" s="15">
        <v>7.7430123373084898</v>
      </c>
      <c r="I665" s="15">
        <v>5.9211270814711998</v>
      </c>
      <c r="J665" s="15">
        <v>3.64377051167458</v>
      </c>
      <c r="K665" s="15">
        <v>1.3664139418779699</v>
      </c>
    </row>
    <row r="666" spans="1:16" x14ac:dyDescent="0.3">
      <c r="A666" s="15" t="str">
        <f t="shared" si="12"/>
        <v>ELO</v>
      </c>
      <c r="B666" s="15" t="s">
        <v>276</v>
      </c>
      <c r="C666" s="15" t="s">
        <v>250</v>
      </c>
      <c r="D666" s="15" t="s">
        <v>281</v>
      </c>
      <c r="E666" s="15" t="s">
        <v>262</v>
      </c>
      <c r="F666" s="15" t="s">
        <v>7</v>
      </c>
      <c r="G666" s="15">
        <v>5.2930996257514504</v>
      </c>
      <c r="H666" s="15">
        <v>4.9990385354319198</v>
      </c>
      <c r="I666" s="15">
        <v>3.8227941741538198</v>
      </c>
      <c r="J666" s="15">
        <v>2.3524887225561999</v>
      </c>
      <c r="K666" s="15">
        <v>0.88218327095857496</v>
      </c>
    </row>
    <row r="667" spans="1:16" x14ac:dyDescent="0.3">
      <c r="A667" s="15" t="str">
        <f t="shared" si="12"/>
        <v>ELO</v>
      </c>
      <c r="B667" s="15" t="s">
        <v>276</v>
      </c>
      <c r="C667" s="15" t="s">
        <v>250</v>
      </c>
      <c r="D667" s="15" t="s">
        <v>281</v>
      </c>
      <c r="E667" s="15" t="s">
        <v>262</v>
      </c>
      <c r="F667" s="15" t="s">
        <v>8</v>
      </c>
      <c r="G667" s="15">
        <v>8.0982476409408601</v>
      </c>
      <c r="H667" s="15">
        <v>7.6483449942219197</v>
      </c>
      <c r="I667" s="15">
        <v>5.8487344073461696</v>
      </c>
      <c r="J667" s="15">
        <v>3.5992211737514901</v>
      </c>
      <c r="K667" s="15">
        <v>1.3497079401568099</v>
      </c>
    </row>
    <row r="668" spans="1:16" x14ac:dyDescent="0.3">
      <c r="A668" s="15" t="str">
        <f t="shared" si="12"/>
        <v>ELO</v>
      </c>
      <c r="B668" s="15" t="s">
        <v>276</v>
      </c>
      <c r="C668" s="15" t="s">
        <v>250</v>
      </c>
      <c r="D668" s="15" t="s">
        <v>281</v>
      </c>
      <c r="E668" s="15" t="s">
        <v>317</v>
      </c>
      <c r="F668" s="15" t="s">
        <v>1</v>
      </c>
      <c r="H668" s="15">
        <v>6.0030575589335804</v>
      </c>
      <c r="I668" s="15">
        <v>6.4146618915809501</v>
      </c>
      <c r="J668" s="15">
        <v>8.9192740016414405</v>
      </c>
      <c r="K668" s="15">
        <v>12.237299277346681</v>
      </c>
      <c r="L668" s="15">
        <v>14.0500510512553</v>
      </c>
      <c r="M668" s="15">
        <v>13.105456019715261</v>
      </c>
      <c r="N668" s="15">
        <v>12.163577439131187</v>
      </c>
      <c r="O668" s="15">
        <v>11.288926564590845</v>
      </c>
      <c r="P668" s="15">
        <v>10.510742145198588</v>
      </c>
    </row>
    <row r="669" spans="1:16" x14ac:dyDescent="0.3">
      <c r="A669" s="15" t="str">
        <f t="shared" si="12"/>
        <v>ELO</v>
      </c>
      <c r="B669" s="15" t="s">
        <v>276</v>
      </c>
      <c r="C669" s="15" t="s">
        <v>250</v>
      </c>
      <c r="D669" s="15" t="s">
        <v>281</v>
      </c>
      <c r="E669" s="15" t="s">
        <v>317</v>
      </c>
      <c r="F669" s="15" t="s">
        <v>2</v>
      </c>
      <c r="H669" s="15">
        <v>5.2325952310844999</v>
      </c>
      <c r="I669" s="15">
        <v>3.1606958082049799</v>
      </c>
      <c r="J669" s="15">
        <v>5.2325952310844999</v>
      </c>
      <c r="K669" s="15">
        <v>7.4506640139096305</v>
      </c>
      <c r="L669" s="15">
        <v>8.7189846235028909</v>
      </c>
      <c r="M669" s="15">
        <v>8.2571757465335622</v>
      </c>
      <c r="N669" s="15">
        <v>7.7789239705244446</v>
      </c>
      <c r="O669" s="15">
        <v>7.3320448997868253</v>
      </c>
      <c r="P669" s="15">
        <v>6.9076712657373429</v>
      </c>
    </row>
    <row r="670" spans="1:16" x14ac:dyDescent="0.3">
      <c r="A670" s="15" t="str">
        <f t="shared" si="12"/>
        <v>ELO</v>
      </c>
      <c r="B670" s="15" t="s">
        <v>276</v>
      </c>
      <c r="C670" s="15" t="s">
        <v>250</v>
      </c>
      <c r="D670" s="15" t="s">
        <v>281</v>
      </c>
      <c r="E670" s="15" t="s">
        <v>317</v>
      </c>
      <c r="F670" s="15" t="s">
        <v>3</v>
      </c>
      <c r="H670" s="15">
        <v>2.8351275992587799</v>
      </c>
      <c r="I670" s="15">
        <v>2.8326610655322599</v>
      </c>
      <c r="J670" s="15">
        <v>5.7994742793576597</v>
      </c>
      <c r="K670" s="15">
        <v>8.2571201537761496</v>
      </c>
      <c r="L670" s="15">
        <v>9.6945996041625691</v>
      </c>
      <c r="M670" s="15">
        <v>9.307908171714967</v>
      </c>
      <c r="N670" s="15">
        <v>8.9018398811597343</v>
      </c>
      <c r="O670" s="15">
        <v>8.5211732288292144</v>
      </c>
      <c r="P670" s="15">
        <v>8.1567574363054209</v>
      </c>
    </row>
    <row r="671" spans="1:16" x14ac:dyDescent="0.3">
      <c r="A671" s="15" t="str">
        <f t="shared" si="12"/>
        <v>ELO</v>
      </c>
      <c r="B671" s="15" t="s">
        <v>276</v>
      </c>
      <c r="C671" s="15" t="s">
        <v>250</v>
      </c>
      <c r="D671" s="15" t="s">
        <v>281</v>
      </c>
      <c r="E671" s="15" t="s">
        <v>317</v>
      </c>
      <c r="F671" s="15" t="s">
        <v>4</v>
      </c>
      <c r="H671" s="15">
        <v>4.1017798275572899</v>
      </c>
      <c r="I671" s="15">
        <v>1.58580136554232</v>
      </c>
      <c r="J671" s="15">
        <v>5.1239638717109202</v>
      </c>
      <c r="K671" s="15">
        <v>8.2140659964487099</v>
      </c>
      <c r="L671" s="15">
        <v>10.0777955543895</v>
      </c>
      <c r="M671" s="15">
        <v>9.7996442599268505</v>
      </c>
      <c r="N671" s="15">
        <v>9.4803680922969846</v>
      </c>
      <c r="O671" s="15">
        <v>9.1865351030033739</v>
      </c>
      <c r="P671" s="15">
        <v>8.8897460518968323</v>
      </c>
    </row>
    <row r="672" spans="1:16" x14ac:dyDescent="0.3">
      <c r="A672" s="15" t="str">
        <f t="shared" si="12"/>
        <v>ELO</v>
      </c>
      <c r="B672" s="15" t="s">
        <v>276</v>
      </c>
      <c r="C672" s="15" t="s">
        <v>250</v>
      </c>
      <c r="D672" s="15" t="s">
        <v>281</v>
      </c>
      <c r="E672" s="15" t="s">
        <v>317</v>
      </c>
      <c r="F672" s="15" t="s">
        <v>5</v>
      </c>
      <c r="H672" s="15">
        <v>1.2179534877067599</v>
      </c>
      <c r="I672" s="15">
        <v>0.52801572458049795</v>
      </c>
      <c r="J672" s="15">
        <v>1.68471364012394</v>
      </c>
      <c r="K672" s="15">
        <v>2.6871530854914099</v>
      </c>
      <c r="L672" s="15">
        <v>3.2741780699675993</v>
      </c>
      <c r="M672" s="15">
        <v>3.1343979554450838</v>
      </c>
      <c r="N672" s="15">
        <v>2.9863804252649468</v>
      </c>
      <c r="O672" s="15">
        <v>2.8497960162350791</v>
      </c>
      <c r="P672" s="15">
        <v>2.7280786162456527</v>
      </c>
    </row>
    <row r="673" spans="1:16" x14ac:dyDescent="0.3">
      <c r="A673" s="15" t="str">
        <f t="shared" si="12"/>
        <v>ELO</v>
      </c>
      <c r="B673" s="15" t="s">
        <v>276</v>
      </c>
      <c r="C673" s="15" t="s">
        <v>250</v>
      </c>
      <c r="D673" s="15" t="s">
        <v>281</v>
      </c>
      <c r="E673" s="15" t="s">
        <v>317</v>
      </c>
      <c r="F673" s="15" t="s">
        <v>6</v>
      </c>
      <c r="H673" s="15">
        <v>2.11217326636377</v>
      </c>
      <c r="I673" s="15">
        <v>1.55184373558261</v>
      </c>
      <c r="J673" s="15">
        <v>3.3188925794743001</v>
      </c>
      <c r="K673" s="15">
        <v>5.2764976682911202</v>
      </c>
      <c r="L673" s="15">
        <v>6.4606638177454707</v>
      </c>
      <c r="M673" s="15">
        <v>6.2996501944853254</v>
      </c>
      <c r="N673" s="15">
        <v>6.1151105086089226</v>
      </c>
      <c r="O673" s="15">
        <v>5.9401329069387829</v>
      </c>
      <c r="P673" s="15">
        <v>5.7706826721604063</v>
      </c>
    </row>
    <row r="674" spans="1:16" x14ac:dyDescent="0.3">
      <c r="A674" s="15" t="str">
        <f t="shared" si="12"/>
        <v>ELO</v>
      </c>
      <c r="B674" s="15" t="s">
        <v>276</v>
      </c>
      <c r="C674" s="15" t="s">
        <v>250</v>
      </c>
      <c r="D674" s="15" t="s">
        <v>281</v>
      </c>
      <c r="E674" s="15" t="s">
        <v>317</v>
      </c>
      <c r="F674" s="15" t="s">
        <v>7</v>
      </c>
      <c r="H674" s="15">
        <v>1.7771291986617801</v>
      </c>
      <c r="I674" s="15">
        <v>1.5044307218872699</v>
      </c>
      <c r="J674" s="15">
        <v>3.0958813193832602</v>
      </c>
      <c r="K674" s="15">
        <v>4.3968979259009702</v>
      </c>
      <c r="L674" s="15">
        <v>5.2136018274642506</v>
      </c>
      <c r="M674" s="15">
        <v>5.1631384973835921</v>
      </c>
      <c r="N674" s="15">
        <v>5.0882552478406113</v>
      </c>
      <c r="O674" s="15">
        <v>5.0204305412082331</v>
      </c>
      <c r="P674" s="15">
        <v>4.9631534956833416</v>
      </c>
    </row>
    <row r="675" spans="1:16" x14ac:dyDescent="0.3">
      <c r="A675" s="15" t="str">
        <f t="shared" si="12"/>
        <v>ELO</v>
      </c>
      <c r="B675" s="15" t="s">
        <v>276</v>
      </c>
      <c r="C675" s="15" t="s">
        <v>250</v>
      </c>
      <c r="D675" s="15" t="s">
        <v>281</v>
      </c>
      <c r="E675" s="15" t="s">
        <v>317</v>
      </c>
      <c r="F675" s="15" t="s">
        <v>8</v>
      </c>
      <c r="H675" s="15">
        <v>0.36427115573982499</v>
      </c>
      <c r="I675" s="15">
        <v>1.9754182820428401</v>
      </c>
      <c r="J675" s="15">
        <v>4.9115078461929196</v>
      </c>
      <c r="K675" s="15">
        <v>6.69464897031364</v>
      </c>
      <c r="L675" s="15">
        <v>7.7387993887685003</v>
      </c>
      <c r="M675" s="15">
        <v>7.4643580399305991</v>
      </c>
      <c r="N675" s="15">
        <v>7.1656222629047139</v>
      </c>
      <c r="O675" s="15">
        <v>6.8966053066449335</v>
      </c>
      <c r="P675" s="15">
        <v>6.6405687571270917</v>
      </c>
    </row>
    <row r="676" spans="1:16" x14ac:dyDescent="0.3">
      <c r="A676" s="15" t="str">
        <f t="shared" si="12"/>
        <v>GHP</v>
      </c>
      <c r="B676" s="15" t="s">
        <v>276</v>
      </c>
      <c r="C676" s="15" t="s">
        <v>250</v>
      </c>
      <c r="D676" s="15" t="s">
        <v>281</v>
      </c>
      <c r="E676" s="15" t="s">
        <v>263</v>
      </c>
      <c r="F676" s="15" t="s">
        <v>0</v>
      </c>
      <c r="G676" s="15">
        <v>3.4425136244539298</v>
      </c>
      <c r="H676" s="15">
        <v>3.30481307947578</v>
      </c>
      <c r="I676" s="15">
        <v>2.7540108995631498</v>
      </c>
      <c r="J676" s="15">
        <v>2.06550817467236</v>
      </c>
      <c r="K676" s="15">
        <v>1.37700544978157</v>
      </c>
      <c r="L676" s="15">
        <v>0.68850272489078601</v>
      </c>
    </row>
    <row r="677" spans="1:16" x14ac:dyDescent="0.3">
      <c r="A677" s="15" t="str">
        <f t="shared" si="12"/>
        <v>GHP</v>
      </c>
      <c r="B677" s="15" t="s">
        <v>276</v>
      </c>
      <c r="C677" s="15" t="s">
        <v>250</v>
      </c>
      <c r="D677" s="15" t="s">
        <v>281</v>
      </c>
      <c r="E677" s="15" t="s">
        <v>263</v>
      </c>
      <c r="F677" s="15" t="s">
        <v>1</v>
      </c>
      <c r="G677" s="15">
        <v>3.0906199137886801</v>
      </c>
      <c r="H677" s="15">
        <v>2.9669951172371301</v>
      </c>
      <c r="I677" s="15">
        <v>2.4724959310309398</v>
      </c>
      <c r="J677" s="15">
        <v>1.8543719482732099</v>
      </c>
      <c r="K677" s="15">
        <v>1.2362479655154699</v>
      </c>
      <c r="L677" s="15">
        <v>0.61812398275773595</v>
      </c>
    </row>
    <row r="678" spans="1:16" x14ac:dyDescent="0.3">
      <c r="A678" s="15" t="str">
        <f t="shared" si="12"/>
        <v>GHP</v>
      </c>
      <c r="B678" s="15" t="s">
        <v>276</v>
      </c>
      <c r="C678" s="15" t="s">
        <v>250</v>
      </c>
      <c r="D678" s="15" t="s">
        <v>281</v>
      </c>
      <c r="E678" s="15" t="s">
        <v>263</v>
      </c>
      <c r="F678" s="15" t="s">
        <v>2</v>
      </c>
      <c r="G678" s="15">
        <v>2.1318872070939001</v>
      </c>
      <c r="H678" s="15">
        <v>2.04661171881015</v>
      </c>
      <c r="I678" s="15">
        <v>1.7055097656751199</v>
      </c>
      <c r="J678" s="15">
        <v>1.2791323242563399</v>
      </c>
      <c r="K678" s="15">
        <v>0.85275488283756096</v>
      </c>
      <c r="L678" s="15">
        <v>0.42637744141877998</v>
      </c>
    </row>
    <row r="679" spans="1:16" x14ac:dyDescent="0.3">
      <c r="A679" s="15" t="str">
        <f t="shared" si="12"/>
        <v>GHP</v>
      </c>
      <c r="B679" s="15" t="s">
        <v>276</v>
      </c>
      <c r="C679" s="15" t="s">
        <v>250</v>
      </c>
      <c r="D679" s="15" t="s">
        <v>281</v>
      </c>
      <c r="E679" s="15" t="s">
        <v>263</v>
      </c>
      <c r="F679" s="15" t="s">
        <v>3</v>
      </c>
      <c r="G679" s="15">
        <v>3.00833644557799</v>
      </c>
      <c r="H679" s="15">
        <v>2.8880029877548701</v>
      </c>
      <c r="I679" s="15">
        <v>2.4066691564623901</v>
      </c>
      <c r="J679" s="15">
        <v>1.80500186734679</v>
      </c>
      <c r="K679" s="15">
        <v>1.2033345782311999</v>
      </c>
      <c r="L679" s="15">
        <v>0.60166728911559797</v>
      </c>
    </row>
    <row r="680" spans="1:16" x14ac:dyDescent="0.3">
      <c r="A680" s="15" t="str">
        <f t="shared" si="12"/>
        <v>GHP</v>
      </c>
      <c r="B680" s="15" t="s">
        <v>276</v>
      </c>
      <c r="C680" s="15" t="s">
        <v>250</v>
      </c>
      <c r="D680" s="15" t="s">
        <v>281</v>
      </c>
      <c r="E680" s="15" t="s">
        <v>263</v>
      </c>
      <c r="F680" s="15" t="s">
        <v>4</v>
      </c>
      <c r="G680" s="15">
        <v>7.4692994966586603</v>
      </c>
      <c r="H680" s="15">
        <v>7.1705275167923199</v>
      </c>
      <c r="I680" s="15">
        <v>5.9754395973269299</v>
      </c>
      <c r="J680" s="15">
        <v>4.4815796979952003</v>
      </c>
      <c r="K680" s="15">
        <v>2.9877197986634698</v>
      </c>
      <c r="L680" s="15">
        <v>1.49385989933173</v>
      </c>
    </row>
    <row r="681" spans="1:16" x14ac:dyDescent="0.3">
      <c r="A681" s="15" t="str">
        <f t="shared" si="12"/>
        <v>GHP</v>
      </c>
      <c r="B681" s="15" t="s">
        <v>276</v>
      </c>
      <c r="C681" s="15" t="s">
        <v>250</v>
      </c>
      <c r="D681" s="15" t="s">
        <v>281</v>
      </c>
      <c r="E681" s="15" t="s">
        <v>263</v>
      </c>
      <c r="F681" s="15" t="s">
        <v>5</v>
      </c>
      <c r="G681" s="15">
        <v>0.76909885537435196</v>
      </c>
      <c r="H681" s="15">
        <v>0.73833490115937805</v>
      </c>
      <c r="I681" s="15">
        <v>0.61527908429948097</v>
      </c>
      <c r="J681" s="15">
        <v>0.46145931322461098</v>
      </c>
      <c r="K681" s="15">
        <v>0.30763954214974099</v>
      </c>
      <c r="L681" s="15">
        <v>0.15381977107486999</v>
      </c>
    </row>
    <row r="682" spans="1:16" x14ac:dyDescent="0.3">
      <c r="A682" s="15" t="str">
        <f t="shared" si="12"/>
        <v>GHP</v>
      </c>
      <c r="B682" s="15" t="s">
        <v>276</v>
      </c>
      <c r="C682" s="15" t="s">
        <v>250</v>
      </c>
      <c r="D682" s="15" t="s">
        <v>281</v>
      </c>
      <c r="E682" s="15" t="s">
        <v>263</v>
      </c>
      <c r="F682" s="15" t="s">
        <v>6</v>
      </c>
      <c r="G682" s="15">
        <v>0.92725412983696598</v>
      </c>
      <c r="H682" s="15">
        <v>0.89016396464348801</v>
      </c>
      <c r="I682" s="15">
        <v>0.74180330386957305</v>
      </c>
      <c r="J682" s="15">
        <v>0.55635247790218001</v>
      </c>
      <c r="K682" s="15">
        <v>0.37090165193478702</v>
      </c>
      <c r="L682" s="15">
        <v>0.18545082596739301</v>
      </c>
    </row>
    <row r="683" spans="1:16" x14ac:dyDescent="0.3">
      <c r="A683" s="15" t="str">
        <f t="shared" si="12"/>
        <v>GHP</v>
      </c>
      <c r="B683" s="15" t="s">
        <v>276</v>
      </c>
      <c r="C683" s="15" t="s">
        <v>250</v>
      </c>
      <c r="D683" s="15" t="s">
        <v>281</v>
      </c>
      <c r="E683" s="15" t="s">
        <v>263</v>
      </c>
      <c r="F683" s="15" t="s">
        <v>7</v>
      </c>
      <c r="G683" s="15">
        <v>1.8575053387270599</v>
      </c>
      <c r="H683" s="15">
        <v>1.7832051251779799</v>
      </c>
      <c r="I683" s="15">
        <v>1.4860042709816501</v>
      </c>
      <c r="J683" s="15">
        <v>1.1145032032362301</v>
      </c>
      <c r="K683" s="15">
        <v>0.74300213549082295</v>
      </c>
      <c r="L683" s="15">
        <v>0.37150106774541197</v>
      </c>
    </row>
    <row r="684" spans="1:16" x14ac:dyDescent="0.3">
      <c r="A684" s="15" t="str">
        <f t="shared" si="12"/>
        <v>GHP</v>
      </c>
      <c r="B684" s="15" t="s">
        <v>276</v>
      </c>
      <c r="C684" s="15" t="s">
        <v>250</v>
      </c>
      <c r="D684" s="15" t="s">
        <v>281</v>
      </c>
      <c r="E684" s="15" t="s">
        <v>263</v>
      </c>
      <c r="F684" s="15" t="s">
        <v>8</v>
      </c>
      <c r="G684" s="15">
        <v>5.3829190442173998</v>
      </c>
      <c r="H684" s="15">
        <v>5.1676022824486996</v>
      </c>
      <c r="I684" s="15">
        <v>4.3063352353739202</v>
      </c>
      <c r="J684" s="15">
        <v>3.2297514265304401</v>
      </c>
      <c r="K684" s="15">
        <v>2.1531676176869601</v>
      </c>
      <c r="L684" s="15">
        <v>1.07658380884348</v>
      </c>
    </row>
    <row r="685" spans="1:16" x14ac:dyDescent="0.3">
      <c r="A685" s="15" t="str">
        <f t="shared" ref="A685:A726" si="13">MID(E685,4,3)</f>
        <v>NGB</v>
      </c>
      <c r="B685" s="15" t="s">
        <v>276</v>
      </c>
      <c r="C685" s="15" t="s">
        <v>250</v>
      </c>
      <c r="D685" s="15" t="s">
        <v>281</v>
      </c>
      <c r="E685" s="15" t="s">
        <v>253</v>
      </c>
      <c r="F685" s="15" t="s">
        <v>0</v>
      </c>
      <c r="G685" s="15">
        <v>29.110852615260399</v>
      </c>
      <c r="H685" s="15">
        <v>28.1404908614183</v>
      </c>
      <c r="I685" s="15">
        <v>24.2590438460503</v>
      </c>
      <c r="J685" s="15">
        <v>19.407235076840202</v>
      </c>
      <c r="K685" s="15">
        <v>14.555426307630199</v>
      </c>
      <c r="L685" s="15">
        <v>9.7036175384201204</v>
      </c>
      <c r="M685" s="15">
        <v>4.8518087692100602</v>
      </c>
    </row>
    <row r="686" spans="1:16" x14ac:dyDescent="0.3">
      <c r="A686" s="15" t="str">
        <f t="shared" si="13"/>
        <v>NGB</v>
      </c>
      <c r="B686" s="15" t="s">
        <v>276</v>
      </c>
      <c r="C686" s="15" t="s">
        <v>250</v>
      </c>
      <c r="D686" s="15" t="s">
        <v>281</v>
      </c>
      <c r="E686" s="15" t="s">
        <v>253</v>
      </c>
      <c r="F686" s="15" t="s">
        <v>1</v>
      </c>
      <c r="G686" s="15">
        <v>109.88769338779301</v>
      </c>
      <c r="H686" s="15">
        <v>106.224770274867</v>
      </c>
      <c r="I686" s="15">
        <v>91.573077823161199</v>
      </c>
      <c r="J686" s="15">
        <v>73.258462258528994</v>
      </c>
      <c r="K686" s="15">
        <v>54.943846693896703</v>
      </c>
      <c r="L686" s="15">
        <v>36.629231129264497</v>
      </c>
      <c r="M686" s="15">
        <v>18.314615564632199</v>
      </c>
    </row>
    <row r="687" spans="1:16" x14ac:dyDescent="0.3">
      <c r="A687" s="15" t="str">
        <f t="shared" si="13"/>
        <v>NGB</v>
      </c>
      <c r="B687" s="15" t="s">
        <v>276</v>
      </c>
      <c r="C687" s="15" t="s">
        <v>250</v>
      </c>
      <c r="D687" s="15" t="s">
        <v>281</v>
      </c>
      <c r="E687" s="15" t="s">
        <v>253</v>
      </c>
      <c r="F687" s="15" t="s">
        <v>2</v>
      </c>
      <c r="G687" s="15">
        <v>141.58420833944501</v>
      </c>
      <c r="H687" s="15">
        <v>136.86473472813</v>
      </c>
      <c r="I687" s="15">
        <v>117.986840282871</v>
      </c>
      <c r="J687" s="15">
        <v>94.389472226296405</v>
      </c>
      <c r="K687" s="15">
        <v>70.792104169722293</v>
      </c>
      <c r="L687" s="15">
        <v>47.194736113148203</v>
      </c>
      <c r="M687" s="15">
        <v>23.597368056574101</v>
      </c>
    </row>
    <row r="688" spans="1:16" x14ac:dyDescent="0.3">
      <c r="A688" s="15" t="str">
        <f t="shared" si="13"/>
        <v>NGB</v>
      </c>
      <c r="B688" s="15" t="s">
        <v>276</v>
      </c>
      <c r="C688" s="15" t="s">
        <v>250</v>
      </c>
      <c r="D688" s="15" t="s">
        <v>281</v>
      </c>
      <c r="E688" s="15" t="s">
        <v>253</v>
      </c>
      <c r="F688" s="15" t="s">
        <v>3</v>
      </c>
      <c r="G688" s="15">
        <v>59.201939944082902</v>
      </c>
      <c r="H688" s="15">
        <v>57.228541945946802</v>
      </c>
      <c r="I688" s="15">
        <v>49.334949953402401</v>
      </c>
      <c r="J688" s="15">
        <v>39.467959962721899</v>
      </c>
      <c r="K688" s="15">
        <v>29.600969972041401</v>
      </c>
      <c r="L688" s="15">
        <v>19.733979981360999</v>
      </c>
      <c r="M688" s="15">
        <v>9.8669899906804801</v>
      </c>
    </row>
    <row r="689" spans="1:16" x14ac:dyDescent="0.3">
      <c r="A689" s="15" t="str">
        <f t="shared" si="13"/>
        <v>NGB</v>
      </c>
      <c r="B689" s="15" t="s">
        <v>276</v>
      </c>
      <c r="C689" s="15" t="s">
        <v>250</v>
      </c>
      <c r="D689" s="15" t="s">
        <v>281</v>
      </c>
      <c r="E689" s="15" t="s">
        <v>253</v>
      </c>
      <c r="F689" s="15" t="s">
        <v>4</v>
      </c>
      <c r="G689" s="15">
        <v>59.5211658911307</v>
      </c>
      <c r="H689" s="15">
        <v>57.2556090791795</v>
      </c>
      <c r="I689" s="15">
        <v>49.600971575942303</v>
      </c>
      <c r="J689" s="15">
        <v>39.6807772607538</v>
      </c>
      <c r="K689" s="15">
        <v>29.7605829455654</v>
      </c>
      <c r="L689" s="15">
        <v>19.8403886303769</v>
      </c>
      <c r="M689" s="15">
        <v>9.9201943151884606</v>
      </c>
    </row>
    <row r="690" spans="1:16" x14ac:dyDescent="0.3">
      <c r="A690" s="15" t="str">
        <f t="shared" si="13"/>
        <v>NGB</v>
      </c>
      <c r="B690" s="15" t="s">
        <v>276</v>
      </c>
      <c r="C690" s="15" t="s">
        <v>250</v>
      </c>
      <c r="D690" s="15" t="s">
        <v>281</v>
      </c>
      <c r="E690" s="15" t="s">
        <v>253</v>
      </c>
      <c r="F690" s="15" t="s">
        <v>5</v>
      </c>
      <c r="G690" s="15">
        <v>19.7418619593704</v>
      </c>
      <c r="H690" s="15">
        <v>18.955877777478701</v>
      </c>
      <c r="I690" s="15">
        <v>16.451551632808702</v>
      </c>
      <c r="J690" s="15">
        <v>13.1612413062469</v>
      </c>
      <c r="K690" s="15">
        <v>9.8709309796851894</v>
      </c>
      <c r="L690" s="15">
        <v>6.5806206531234599</v>
      </c>
      <c r="M690" s="15">
        <v>3.2903103265617299</v>
      </c>
    </row>
    <row r="691" spans="1:16" x14ac:dyDescent="0.3">
      <c r="A691" s="15" t="str">
        <f t="shared" si="13"/>
        <v>NGB</v>
      </c>
      <c r="B691" s="15" t="s">
        <v>276</v>
      </c>
      <c r="C691" s="15" t="s">
        <v>250</v>
      </c>
      <c r="D691" s="15" t="s">
        <v>281</v>
      </c>
      <c r="E691" s="15" t="s">
        <v>253</v>
      </c>
      <c r="F691" s="15" t="s">
        <v>6</v>
      </c>
      <c r="G691" s="15">
        <v>27.1016416701815</v>
      </c>
      <c r="H691" s="15">
        <v>26.198253614508801</v>
      </c>
      <c r="I691" s="15">
        <v>22.584701391817902</v>
      </c>
      <c r="J691" s="15">
        <v>18.067761113454299</v>
      </c>
      <c r="K691" s="15">
        <v>13.5508208350908</v>
      </c>
      <c r="L691" s="15">
        <v>9.0338805567271692</v>
      </c>
      <c r="M691" s="15">
        <v>4.5169402783635899</v>
      </c>
    </row>
    <row r="692" spans="1:16" x14ac:dyDescent="0.3">
      <c r="A692" s="15" t="str">
        <f t="shared" si="13"/>
        <v>NGB</v>
      </c>
      <c r="B692" s="15" t="s">
        <v>276</v>
      </c>
      <c r="C692" s="15" t="s">
        <v>250</v>
      </c>
      <c r="D692" s="15" t="s">
        <v>281</v>
      </c>
      <c r="E692" s="15" t="s">
        <v>253</v>
      </c>
      <c r="F692" s="15" t="s">
        <v>7</v>
      </c>
      <c r="G692" s="15">
        <v>31.6692688003012</v>
      </c>
      <c r="H692" s="15">
        <v>30.6136265069578</v>
      </c>
      <c r="I692" s="15">
        <v>26.3910573335843</v>
      </c>
      <c r="J692" s="15">
        <v>21.112845866867399</v>
      </c>
      <c r="K692" s="15">
        <v>15.8346344001506</v>
      </c>
      <c r="L692" s="15">
        <v>10.5564229334337</v>
      </c>
      <c r="M692" s="15">
        <v>5.2782114667168596</v>
      </c>
    </row>
    <row r="693" spans="1:16" x14ac:dyDescent="0.3">
      <c r="A693" s="15" t="str">
        <f t="shared" si="13"/>
        <v>NGB</v>
      </c>
      <c r="B693" s="15" t="s">
        <v>276</v>
      </c>
      <c r="C693" s="15" t="s">
        <v>250</v>
      </c>
      <c r="D693" s="15" t="s">
        <v>281</v>
      </c>
      <c r="E693" s="15" t="s">
        <v>253</v>
      </c>
      <c r="F693" s="15" t="s">
        <v>8</v>
      </c>
      <c r="G693" s="15">
        <v>37.906884980361902</v>
      </c>
      <c r="H693" s="15">
        <v>36.6433221476832</v>
      </c>
      <c r="I693" s="15">
        <v>31.589070816968199</v>
      </c>
      <c r="J693" s="15">
        <v>25.2712566535746</v>
      </c>
      <c r="K693" s="15">
        <v>18.953442490180901</v>
      </c>
      <c r="L693" s="15">
        <v>12.6356283267873</v>
      </c>
      <c r="M693" s="15">
        <v>6.31781416339365</v>
      </c>
    </row>
    <row r="694" spans="1:16" x14ac:dyDescent="0.3">
      <c r="A694" s="15" t="str">
        <f t="shared" si="13"/>
        <v>NGB</v>
      </c>
      <c r="B694" s="15" t="s">
        <v>276</v>
      </c>
      <c r="C694" s="15" t="s">
        <v>250</v>
      </c>
      <c r="D694" s="15" t="s">
        <v>281</v>
      </c>
      <c r="E694" s="15" t="s">
        <v>315</v>
      </c>
      <c r="F694" s="15" t="s">
        <v>0</v>
      </c>
      <c r="H694" s="15">
        <v>6.8050524895626197</v>
      </c>
      <c r="I694" s="15">
        <v>10.9206837585168</v>
      </c>
      <c r="J694" s="15">
        <v>10.9206837585168</v>
      </c>
      <c r="K694" s="15">
        <v>14.163392323796849</v>
      </c>
      <c r="L694" s="15">
        <v>18.053020158609179</v>
      </c>
      <c r="M694" s="15">
        <v>26.01478515957195</v>
      </c>
      <c r="N694" s="15">
        <v>39.954650459621774</v>
      </c>
      <c r="O694" s="15">
        <v>41.67746689808218</v>
      </c>
      <c r="P694" s="15">
        <v>41.67746689808218</v>
      </c>
    </row>
    <row r="695" spans="1:16" x14ac:dyDescent="0.3">
      <c r="A695" s="15" t="str">
        <f t="shared" si="13"/>
        <v>NGB</v>
      </c>
      <c r="B695" s="15" t="s">
        <v>276</v>
      </c>
      <c r="C695" s="15" t="s">
        <v>250</v>
      </c>
      <c r="D695" s="15" t="s">
        <v>281</v>
      </c>
      <c r="E695" s="15" t="s">
        <v>315</v>
      </c>
      <c r="F695" s="15" t="s">
        <v>1</v>
      </c>
      <c r="H695" s="15">
        <v>7.8200877894224901</v>
      </c>
      <c r="I695" s="15">
        <v>37.7389572390803</v>
      </c>
      <c r="J695" s="15">
        <v>41.271686289059197</v>
      </c>
      <c r="K695" s="15">
        <v>51.332605911424594</v>
      </c>
      <c r="L695" s="15">
        <v>64.081447046881394</v>
      </c>
      <c r="M695" s="15">
        <v>78.166931485064893</v>
      </c>
      <c r="N695" s="15">
        <v>113.39776591072931</v>
      </c>
      <c r="O695" s="15">
        <v>128.24204820911561</v>
      </c>
      <c r="P695" s="15">
        <v>128.24204820911561</v>
      </c>
    </row>
    <row r="696" spans="1:16" x14ac:dyDescent="0.3">
      <c r="A696" s="15" t="str">
        <f t="shared" si="13"/>
        <v>NGB</v>
      </c>
      <c r="B696" s="15" t="s">
        <v>276</v>
      </c>
      <c r="C696" s="15" t="s">
        <v>250</v>
      </c>
      <c r="D696" s="15" t="s">
        <v>281</v>
      </c>
      <c r="E696" s="15" t="s">
        <v>315</v>
      </c>
      <c r="F696" s="15" t="s">
        <v>2</v>
      </c>
      <c r="H696" s="15">
        <v>5.7717983625824196</v>
      </c>
      <c r="I696" s="15">
        <v>37.934477322068702</v>
      </c>
      <c r="J696" s="15">
        <v>50.076320081629099</v>
      </c>
      <c r="K696" s="15">
        <v>64.1526065519719</v>
      </c>
      <c r="L696" s="15">
        <v>81.659730721666506</v>
      </c>
      <c r="M696" s="15">
        <v>99.909592876507602</v>
      </c>
      <c r="N696" s="15">
        <v>117.9484868418045</v>
      </c>
      <c r="O696" s="15">
        <v>112.72165314799301</v>
      </c>
      <c r="P696" s="15">
        <v>112.72165314799301</v>
      </c>
    </row>
    <row r="697" spans="1:16" x14ac:dyDescent="0.3">
      <c r="A697" s="15" t="str">
        <f t="shared" si="13"/>
        <v>NGB</v>
      </c>
      <c r="B697" s="15" t="s">
        <v>276</v>
      </c>
      <c r="C697" s="15" t="s">
        <v>250</v>
      </c>
      <c r="D697" s="15" t="s">
        <v>281</v>
      </c>
      <c r="E697" s="15" t="s">
        <v>315</v>
      </c>
      <c r="F697" s="15" t="s">
        <v>3</v>
      </c>
      <c r="H697" s="15">
        <v>1.6084683079409601</v>
      </c>
      <c r="I697" s="15">
        <v>11.342112970264999</v>
      </c>
      <c r="J697" s="15">
        <v>21.873291134255901</v>
      </c>
      <c r="K697" s="15">
        <v>27.684846244247101</v>
      </c>
      <c r="L697" s="15">
        <v>35.709261118830568</v>
      </c>
      <c r="M697" s="15">
        <v>43.783399684358976</v>
      </c>
      <c r="N697" s="15">
        <v>52.232136668692078</v>
      </c>
      <c r="O697" s="15">
        <v>50.695194615620771</v>
      </c>
      <c r="P697" s="15">
        <v>50.695194615620771</v>
      </c>
    </row>
    <row r="698" spans="1:16" x14ac:dyDescent="0.3">
      <c r="A698" s="15" t="str">
        <f t="shared" si="13"/>
        <v>NGB</v>
      </c>
      <c r="B698" s="15" t="s">
        <v>276</v>
      </c>
      <c r="C698" s="15" t="s">
        <v>250</v>
      </c>
      <c r="D698" s="15" t="s">
        <v>281</v>
      </c>
      <c r="E698" s="15" t="s">
        <v>315</v>
      </c>
      <c r="F698" s="15" t="s">
        <v>4</v>
      </c>
      <c r="I698" s="15">
        <v>9.3006932318627893</v>
      </c>
      <c r="J698" s="15">
        <v>19.420611515237098</v>
      </c>
      <c r="K698" s="15">
        <v>27.1205890771623</v>
      </c>
      <c r="L698" s="15">
        <v>36.071803264200618</v>
      </c>
      <c r="M698" s="15">
        <v>46.345485863738119</v>
      </c>
      <c r="N698" s="15">
        <v>60.117189420422122</v>
      </c>
      <c r="O698" s="15">
        <v>63.393085848354623</v>
      </c>
      <c r="P698" s="15">
        <v>63.393085848354623</v>
      </c>
    </row>
    <row r="699" spans="1:16" x14ac:dyDescent="0.3">
      <c r="A699" s="15" t="str">
        <f t="shared" si="13"/>
        <v>NGB</v>
      </c>
      <c r="B699" s="15" t="s">
        <v>276</v>
      </c>
      <c r="C699" s="15" t="s">
        <v>250</v>
      </c>
      <c r="D699" s="15" t="s">
        <v>281</v>
      </c>
      <c r="E699" s="15" t="s">
        <v>315</v>
      </c>
      <c r="F699" s="15" t="s">
        <v>5</v>
      </c>
      <c r="I699" s="15">
        <v>4.3410537723880296</v>
      </c>
      <c r="J699" s="15">
        <v>6.0658421960450903</v>
      </c>
      <c r="K699" s="15">
        <v>6.0658421960450903</v>
      </c>
      <c r="L699" s="15">
        <v>8.7089903434603606</v>
      </c>
      <c r="M699" s="15">
        <v>10.25531444103086</v>
      </c>
      <c r="N699" s="15">
        <v>12.437895008186478</v>
      </c>
      <c r="O699" s="15">
        <v>10.41808292474906</v>
      </c>
      <c r="P699" s="15">
        <v>10.41808292474906</v>
      </c>
    </row>
    <row r="700" spans="1:16" x14ac:dyDescent="0.3">
      <c r="A700" s="15" t="str">
        <f t="shared" si="13"/>
        <v>NGB</v>
      </c>
      <c r="B700" s="15" t="s">
        <v>276</v>
      </c>
      <c r="C700" s="15" t="s">
        <v>250</v>
      </c>
      <c r="D700" s="15" t="s">
        <v>281</v>
      </c>
      <c r="E700" s="15" t="s">
        <v>315</v>
      </c>
      <c r="F700" s="15" t="s">
        <v>6</v>
      </c>
      <c r="H700" s="15">
        <v>0.40507395947626901</v>
      </c>
      <c r="I700" s="15">
        <v>5.9640939939485698</v>
      </c>
      <c r="J700" s="15">
        <v>8.8215561606717205</v>
      </c>
      <c r="K700" s="15">
        <v>12.3966977868821</v>
      </c>
      <c r="L700" s="15">
        <v>16.504132877789829</v>
      </c>
      <c r="M700" s="15">
        <v>20.32883130757482</v>
      </c>
      <c r="N700" s="15">
        <v>18.392557468184158</v>
      </c>
      <c r="O700" s="15">
        <v>15.581942774788768</v>
      </c>
      <c r="P700" s="15">
        <v>15.581942774788768</v>
      </c>
    </row>
    <row r="701" spans="1:16" x14ac:dyDescent="0.3">
      <c r="A701" s="15" t="str">
        <f t="shared" si="13"/>
        <v>NGB</v>
      </c>
      <c r="B701" s="15" t="s">
        <v>276</v>
      </c>
      <c r="C701" s="15" t="s">
        <v>250</v>
      </c>
      <c r="D701" s="15" t="s">
        <v>281</v>
      </c>
      <c r="E701" s="15" t="s">
        <v>315</v>
      </c>
      <c r="F701" s="15" t="s">
        <v>7</v>
      </c>
      <c r="H701" s="15">
        <v>1.52675835027524</v>
      </c>
      <c r="I701" s="15">
        <v>7.0957584028301302</v>
      </c>
      <c r="J701" s="15">
        <v>15.8918660005967</v>
      </c>
      <c r="K701" s="15">
        <v>18.104543542902199</v>
      </c>
      <c r="L701" s="15">
        <v>23.36863215945813</v>
      </c>
      <c r="M701" s="15">
        <v>28.78910169404589</v>
      </c>
      <c r="N701" s="15">
        <v>34.191238567591888</v>
      </c>
      <c r="O701" s="15">
        <v>34.422117776324789</v>
      </c>
      <c r="P701" s="15">
        <v>34.529428375248962</v>
      </c>
    </row>
    <row r="702" spans="1:16" x14ac:dyDescent="0.3">
      <c r="A702" s="15" t="str">
        <f t="shared" si="13"/>
        <v>NGB</v>
      </c>
      <c r="B702" s="15" t="s">
        <v>276</v>
      </c>
      <c r="C702" s="15" t="s">
        <v>250</v>
      </c>
      <c r="D702" s="15" t="s">
        <v>281</v>
      </c>
      <c r="E702" s="15" t="s">
        <v>315</v>
      </c>
      <c r="F702" s="15" t="s">
        <v>8</v>
      </c>
      <c r="H702" s="15">
        <v>1.2047050801586501</v>
      </c>
      <c r="I702" s="15">
        <v>11.244231939248049</v>
      </c>
      <c r="J702" s="15">
        <v>15.44983544275822</v>
      </c>
      <c r="K702" s="15">
        <v>26.076380047452922</v>
      </c>
      <c r="L702" s="15">
        <v>31.203973309975481</v>
      </c>
      <c r="M702" s="15">
        <v>36.543572154740723</v>
      </c>
      <c r="N702" s="15">
        <v>41.737034339417001</v>
      </c>
      <c r="O702" s="15">
        <v>40.731977193595682</v>
      </c>
      <c r="P702" s="15">
        <v>39.796094762587778</v>
      </c>
    </row>
    <row r="703" spans="1:16" x14ac:dyDescent="0.3">
      <c r="A703" s="15" t="str">
        <f t="shared" si="13"/>
        <v>NGF</v>
      </c>
      <c r="B703" s="15" t="s">
        <v>276</v>
      </c>
      <c r="C703" s="15" t="s">
        <v>250</v>
      </c>
      <c r="D703" s="15" t="s">
        <v>281</v>
      </c>
      <c r="E703" s="15" t="s">
        <v>254</v>
      </c>
      <c r="F703" s="15" t="s">
        <v>0</v>
      </c>
      <c r="I703" s="15">
        <v>29.128769419925302</v>
      </c>
      <c r="J703" s="15">
        <v>29.128769419925302</v>
      </c>
      <c r="K703" s="15">
        <v>29.128769419925302</v>
      </c>
      <c r="L703" s="15">
        <v>27.597151248709899</v>
      </c>
      <c r="M703" s="15">
        <v>18.322044463014802</v>
      </c>
    </row>
    <row r="704" spans="1:16" x14ac:dyDescent="0.3">
      <c r="A704" s="15" t="str">
        <f t="shared" si="13"/>
        <v>NGF</v>
      </c>
      <c r="B704" s="15" t="s">
        <v>276</v>
      </c>
      <c r="C704" s="15" t="s">
        <v>250</v>
      </c>
      <c r="D704" s="15" t="s">
        <v>281</v>
      </c>
      <c r="E704" s="15" t="s">
        <v>254</v>
      </c>
      <c r="F704" s="15" t="s">
        <v>1</v>
      </c>
      <c r="I704" s="15">
        <v>96.405409525965794</v>
      </c>
      <c r="J704" s="15">
        <v>96.405409525965794</v>
      </c>
      <c r="K704" s="15">
        <v>96.405409525965794</v>
      </c>
      <c r="L704" s="15">
        <v>90.686083243691101</v>
      </c>
      <c r="M704" s="15">
        <v>60.639163101810901</v>
      </c>
    </row>
    <row r="705" spans="1:13" x14ac:dyDescent="0.3">
      <c r="A705" s="15" t="str">
        <f t="shared" si="13"/>
        <v>NGF</v>
      </c>
      <c r="B705" s="15" t="s">
        <v>276</v>
      </c>
      <c r="C705" s="15" t="s">
        <v>250</v>
      </c>
      <c r="D705" s="15" t="s">
        <v>281</v>
      </c>
      <c r="E705" s="15" t="s">
        <v>254</v>
      </c>
      <c r="F705" s="15" t="s">
        <v>2</v>
      </c>
      <c r="I705" s="15">
        <v>170.333575958311</v>
      </c>
      <c r="J705" s="15">
        <v>170.333575958311</v>
      </c>
      <c r="K705" s="15">
        <v>170.333575958311</v>
      </c>
      <c r="L705" s="15">
        <v>170.333575958311</v>
      </c>
      <c r="M705" s="15">
        <v>107.140102874297</v>
      </c>
    </row>
    <row r="706" spans="1:13" x14ac:dyDescent="0.3">
      <c r="A706" s="15" t="str">
        <f t="shared" si="13"/>
        <v>NGF</v>
      </c>
      <c r="B706" s="15" t="s">
        <v>276</v>
      </c>
      <c r="C706" s="15" t="s">
        <v>250</v>
      </c>
      <c r="D706" s="15" t="s">
        <v>281</v>
      </c>
      <c r="E706" s="15" t="s">
        <v>254</v>
      </c>
      <c r="F706" s="15" t="s">
        <v>3</v>
      </c>
      <c r="I706" s="15">
        <v>98.998135233947906</v>
      </c>
      <c r="J706" s="15">
        <v>98.998135233947906</v>
      </c>
      <c r="K706" s="15">
        <v>98.998135233947906</v>
      </c>
      <c r="L706" s="15">
        <v>98.998135233947906</v>
      </c>
      <c r="M706" s="15">
        <v>62.269991888884803</v>
      </c>
    </row>
    <row r="707" spans="1:13" x14ac:dyDescent="0.3">
      <c r="A707" s="15" t="str">
        <f t="shared" si="13"/>
        <v>NGF</v>
      </c>
      <c r="B707" s="15" t="s">
        <v>276</v>
      </c>
      <c r="C707" s="15" t="s">
        <v>250</v>
      </c>
      <c r="D707" s="15" t="s">
        <v>281</v>
      </c>
      <c r="E707" s="15" t="s">
        <v>254</v>
      </c>
      <c r="F707" s="15" t="s">
        <v>4</v>
      </c>
      <c r="I707" s="15">
        <v>88.942871091446193</v>
      </c>
      <c r="J707" s="15">
        <v>88.942871091446193</v>
      </c>
      <c r="K707" s="15">
        <v>88.942871091446193</v>
      </c>
      <c r="L707" s="15">
        <v>87.199705599238598</v>
      </c>
      <c r="M707" s="15">
        <v>55.945214001760803</v>
      </c>
    </row>
    <row r="708" spans="1:13" x14ac:dyDescent="0.3">
      <c r="A708" s="15" t="str">
        <f t="shared" si="13"/>
        <v>NGF</v>
      </c>
      <c r="B708" s="15" t="s">
        <v>276</v>
      </c>
      <c r="C708" s="15" t="s">
        <v>250</v>
      </c>
      <c r="D708" s="15" t="s">
        <v>281</v>
      </c>
      <c r="E708" s="15" t="s">
        <v>254</v>
      </c>
      <c r="F708" s="15" t="s">
        <v>5</v>
      </c>
      <c r="I708" s="15">
        <v>38.3011873986529</v>
      </c>
      <c r="J708" s="15">
        <v>38.3011873986529</v>
      </c>
      <c r="K708" s="15">
        <v>38.3011873986529</v>
      </c>
      <c r="L708" s="15">
        <v>38.3011873986529</v>
      </c>
      <c r="M708" s="15">
        <v>24.091510643231999</v>
      </c>
    </row>
    <row r="709" spans="1:13" x14ac:dyDescent="0.3">
      <c r="A709" s="15" t="str">
        <f t="shared" si="13"/>
        <v>NGF</v>
      </c>
      <c r="B709" s="15" t="s">
        <v>276</v>
      </c>
      <c r="C709" s="15" t="s">
        <v>250</v>
      </c>
      <c r="D709" s="15" t="s">
        <v>281</v>
      </c>
      <c r="E709" s="15" t="s">
        <v>254</v>
      </c>
      <c r="F709" s="15" t="s">
        <v>6</v>
      </c>
      <c r="I709" s="15">
        <v>66.117344003903597</v>
      </c>
      <c r="J709" s="15">
        <v>66.117344003903597</v>
      </c>
      <c r="K709" s="15">
        <v>66.117344003903597</v>
      </c>
      <c r="L709" s="15">
        <v>66.117344003903597</v>
      </c>
      <c r="M709" s="15">
        <v>41.587919460384498</v>
      </c>
    </row>
    <row r="710" spans="1:13" x14ac:dyDescent="0.3">
      <c r="A710" s="15" t="str">
        <f t="shared" si="13"/>
        <v>NGF</v>
      </c>
      <c r="B710" s="15" t="s">
        <v>276</v>
      </c>
      <c r="C710" s="15" t="s">
        <v>250</v>
      </c>
      <c r="D710" s="15" t="s">
        <v>281</v>
      </c>
      <c r="E710" s="15" t="s">
        <v>254</v>
      </c>
      <c r="F710" s="15" t="s">
        <v>7</v>
      </c>
      <c r="I710" s="15">
        <v>68.724346393807494</v>
      </c>
      <c r="J710" s="15">
        <v>68.724346393807494</v>
      </c>
      <c r="K710" s="15">
        <v>68.724346393807494</v>
      </c>
      <c r="L710" s="15">
        <v>68.724346393807494</v>
      </c>
      <c r="M710" s="15">
        <v>43.227728304157097</v>
      </c>
    </row>
    <row r="711" spans="1:13" x14ac:dyDescent="0.3">
      <c r="A711" s="15" t="str">
        <f t="shared" si="13"/>
        <v>NGF</v>
      </c>
      <c r="B711" s="15" t="s">
        <v>276</v>
      </c>
      <c r="C711" s="15" t="s">
        <v>250</v>
      </c>
      <c r="D711" s="15" t="s">
        <v>281</v>
      </c>
      <c r="E711" s="15" t="s">
        <v>254</v>
      </c>
      <c r="F711" s="15" t="s">
        <v>8</v>
      </c>
      <c r="I711" s="15">
        <v>105.754570865133</v>
      </c>
      <c r="J711" s="15">
        <v>116.288959796882</v>
      </c>
      <c r="K711" s="15">
        <v>111.172153395633</v>
      </c>
      <c r="L711" s="15">
        <v>108.230804142625</v>
      </c>
      <c r="M711" s="15">
        <v>73.145949327291603</v>
      </c>
    </row>
    <row r="712" spans="1:13" x14ac:dyDescent="0.3">
      <c r="A712" s="15" t="str">
        <f t="shared" si="13"/>
        <v>NGF</v>
      </c>
      <c r="B712" s="15" t="s">
        <v>276</v>
      </c>
      <c r="C712" s="15" t="s">
        <v>250</v>
      </c>
      <c r="D712" s="15" t="s">
        <v>281</v>
      </c>
      <c r="E712" s="15" t="s">
        <v>255</v>
      </c>
      <c r="F712" s="15" t="s">
        <v>0</v>
      </c>
      <c r="G712" s="15">
        <v>31.169975241233399</v>
      </c>
      <c r="H712" s="15">
        <v>18.740180990982601</v>
      </c>
    </row>
    <row r="713" spans="1:13" x14ac:dyDescent="0.3">
      <c r="A713" s="15" t="str">
        <f t="shared" si="13"/>
        <v>NGF</v>
      </c>
      <c r="B713" s="15" t="s">
        <v>276</v>
      </c>
      <c r="C713" s="15" t="s">
        <v>250</v>
      </c>
      <c r="D713" s="15" t="s">
        <v>281</v>
      </c>
      <c r="E713" s="15" t="s">
        <v>255</v>
      </c>
      <c r="F713" s="15" t="s">
        <v>1</v>
      </c>
      <c r="G713" s="15">
        <v>106.817662182294</v>
      </c>
      <c r="H713" s="15">
        <v>99.696484703474397</v>
      </c>
      <c r="I713" s="15">
        <v>11.9028449111665</v>
      </c>
    </row>
    <row r="714" spans="1:13" x14ac:dyDescent="0.3">
      <c r="A714" s="15" t="str">
        <f t="shared" si="13"/>
        <v>NGF</v>
      </c>
      <c r="B714" s="15" t="s">
        <v>276</v>
      </c>
      <c r="C714" s="15" t="s">
        <v>250</v>
      </c>
      <c r="D714" s="15" t="s">
        <v>281</v>
      </c>
      <c r="E714" s="15" t="s">
        <v>255</v>
      </c>
      <c r="F714" s="15" t="s">
        <v>2</v>
      </c>
      <c r="G714" s="15">
        <v>196.95136924408499</v>
      </c>
      <c r="H714" s="15">
        <v>180.90389680740799</v>
      </c>
      <c r="I714" s="15">
        <v>15.143135013104899</v>
      </c>
    </row>
    <row r="715" spans="1:13" x14ac:dyDescent="0.3">
      <c r="A715" s="15" t="str">
        <f t="shared" si="13"/>
        <v>NGF</v>
      </c>
      <c r="B715" s="15" t="s">
        <v>276</v>
      </c>
      <c r="C715" s="15" t="s">
        <v>250</v>
      </c>
      <c r="D715" s="15" t="s">
        <v>281</v>
      </c>
      <c r="E715" s="15" t="s">
        <v>255</v>
      </c>
      <c r="F715" s="15" t="s">
        <v>3</v>
      </c>
      <c r="G715" s="15">
        <v>110.382416807597</v>
      </c>
      <c r="H715" s="15">
        <v>100.548580089773</v>
      </c>
      <c r="I715" s="15">
        <v>0.47468362820201498</v>
      </c>
    </row>
    <row r="716" spans="1:13" x14ac:dyDescent="0.3">
      <c r="A716" s="15" t="str">
        <f t="shared" si="13"/>
        <v>NGF</v>
      </c>
      <c r="B716" s="15" t="s">
        <v>276</v>
      </c>
      <c r="C716" s="15" t="s">
        <v>250</v>
      </c>
      <c r="D716" s="15" t="s">
        <v>281</v>
      </c>
      <c r="E716" s="15" t="s">
        <v>255</v>
      </c>
      <c r="F716" s="15" t="s">
        <v>4</v>
      </c>
      <c r="G716" s="15">
        <v>108.88921539969201</v>
      </c>
      <c r="H716" s="15">
        <v>100.605051820545</v>
      </c>
    </row>
    <row r="717" spans="1:13" x14ac:dyDescent="0.3">
      <c r="A717" s="15" t="str">
        <f t="shared" si="13"/>
        <v>NGF</v>
      </c>
      <c r="B717" s="15" t="s">
        <v>276</v>
      </c>
      <c r="C717" s="15" t="s">
        <v>250</v>
      </c>
      <c r="D717" s="15" t="s">
        <v>281</v>
      </c>
      <c r="E717" s="15" t="s">
        <v>255</v>
      </c>
      <c r="F717" s="15" t="s">
        <v>5</v>
      </c>
      <c r="G717" s="15">
        <v>49.9781006614162</v>
      </c>
      <c r="H717" s="15">
        <v>44.330157829028302</v>
      </c>
      <c r="I717" s="15">
        <v>0.515713786310386</v>
      </c>
    </row>
    <row r="718" spans="1:13" x14ac:dyDescent="0.3">
      <c r="A718" s="15" t="str">
        <f t="shared" si="13"/>
        <v>NGF</v>
      </c>
      <c r="B718" s="15" t="s">
        <v>276</v>
      </c>
      <c r="C718" s="15" t="s">
        <v>250</v>
      </c>
      <c r="D718" s="15" t="s">
        <v>281</v>
      </c>
      <c r="E718" s="15" t="s">
        <v>255</v>
      </c>
      <c r="F718" s="15" t="s">
        <v>6</v>
      </c>
      <c r="G718" s="15">
        <v>80.4465875886725</v>
      </c>
      <c r="H718" s="15">
        <v>75.083481749427605</v>
      </c>
      <c r="I718" s="15">
        <v>4.3645440796725001</v>
      </c>
    </row>
    <row r="719" spans="1:13" x14ac:dyDescent="0.3">
      <c r="A719" s="15" t="str">
        <f t="shared" si="13"/>
        <v>NGF</v>
      </c>
      <c r="B719" s="15" t="s">
        <v>276</v>
      </c>
      <c r="C719" s="15" t="s">
        <v>250</v>
      </c>
      <c r="D719" s="15" t="s">
        <v>281</v>
      </c>
      <c r="E719" s="15" t="s">
        <v>255</v>
      </c>
      <c r="F719" s="15" t="s">
        <v>7</v>
      </c>
      <c r="G719" s="15">
        <v>69.523191367732196</v>
      </c>
      <c r="H719" s="15">
        <v>64.888311943216706</v>
      </c>
    </row>
    <row r="720" spans="1:13" x14ac:dyDescent="0.3">
      <c r="A720" s="15" t="str">
        <f t="shared" si="13"/>
        <v>NGF</v>
      </c>
      <c r="B720" s="15" t="s">
        <v>276</v>
      </c>
      <c r="C720" s="15" t="s">
        <v>250</v>
      </c>
      <c r="D720" s="15" t="s">
        <v>281</v>
      </c>
      <c r="E720" s="15" t="s">
        <v>255</v>
      </c>
      <c r="F720" s="15" t="s">
        <v>8</v>
      </c>
      <c r="G720" s="15">
        <v>108.551396864891</v>
      </c>
      <c r="H720" s="15">
        <v>101.314637073898</v>
      </c>
    </row>
    <row r="721" spans="1:16" x14ac:dyDescent="0.3">
      <c r="A721" s="15" t="str">
        <f t="shared" si="13"/>
        <v>NGF</v>
      </c>
      <c r="B721" s="15" t="s">
        <v>276</v>
      </c>
      <c r="C721" s="15" t="s">
        <v>250</v>
      </c>
      <c r="D721" s="15" t="s">
        <v>281</v>
      </c>
      <c r="E721" s="15" t="s">
        <v>256</v>
      </c>
      <c r="F721" s="15" t="s">
        <v>0</v>
      </c>
      <c r="H721" s="15">
        <v>8.5615384843053608</v>
      </c>
      <c r="I721" s="15">
        <v>8.5615384843053608</v>
      </c>
      <c r="J721" s="15">
        <v>2.2415328389311999</v>
      </c>
      <c r="M721" s="15">
        <v>3.9215486935736701</v>
      </c>
      <c r="N721" s="15">
        <v>4.9778983412266999</v>
      </c>
      <c r="P721" s="15">
        <v>1.2308497863127501</v>
      </c>
    </row>
    <row r="722" spans="1:16" x14ac:dyDescent="0.3">
      <c r="A722" s="15" t="str">
        <f t="shared" si="13"/>
        <v>NGF</v>
      </c>
      <c r="B722" s="15" t="s">
        <v>276</v>
      </c>
      <c r="C722" s="15" t="s">
        <v>250</v>
      </c>
      <c r="D722" s="15" t="s">
        <v>281</v>
      </c>
      <c r="E722" s="15" t="s">
        <v>256</v>
      </c>
      <c r="F722" s="15" t="s">
        <v>1</v>
      </c>
      <c r="H722" s="15">
        <v>8.2335448558549196</v>
      </c>
      <c r="I722" s="15">
        <v>8.2335448558549196</v>
      </c>
      <c r="J722" s="15">
        <v>8.2335448558549196</v>
      </c>
      <c r="M722" s="15">
        <v>16.878686962860378</v>
      </c>
      <c r="N722" s="15">
        <v>50.493020296863101</v>
      </c>
      <c r="O722" s="15">
        <v>26.231435305407299</v>
      </c>
      <c r="P722" s="15">
        <v>25.460221451033998</v>
      </c>
    </row>
    <row r="723" spans="1:16" x14ac:dyDescent="0.3">
      <c r="A723" s="15" t="str">
        <f t="shared" si="13"/>
        <v>NGF</v>
      </c>
      <c r="B723" s="15" t="s">
        <v>276</v>
      </c>
      <c r="C723" s="15" t="s">
        <v>250</v>
      </c>
      <c r="D723" s="15" t="s">
        <v>281</v>
      </c>
      <c r="E723" s="15" t="s">
        <v>256</v>
      </c>
      <c r="F723" s="15" t="s">
        <v>2</v>
      </c>
      <c r="H723" s="15">
        <v>20.636714881548599</v>
      </c>
      <c r="I723" s="15">
        <v>20.636714881548599</v>
      </c>
      <c r="J723" s="15">
        <v>20.636714881548599</v>
      </c>
      <c r="K723" s="15">
        <v>14.9220843086282</v>
      </c>
      <c r="M723" s="15">
        <v>56.201355479047102</v>
      </c>
      <c r="N723" s="15">
        <v>155.9168885343459</v>
      </c>
      <c r="O723" s="15">
        <v>155.9168885343459</v>
      </c>
      <c r="P723" s="15">
        <v>153.69316510759461</v>
      </c>
    </row>
    <row r="724" spans="1:16" x14ac:dyDescent="0.3">
      <c r="A724" s="15" t="str">
        <f t="shared" si="13"/>
        <v>NGF</v>
      </c>
      <c r="B724" s="15" t="s">
        <v>276</v>
      </c>
      <c r="C724" s="15" t="s">
        <v>250</v>
      </c>
      <c r="D724" s="15" t="s">
        <v>281</v>
      </c>
      <c r="E724" s="15" t="s">
        <v>256</v>
      </c>
      <c r="F724" s="15" t="s">
        <v>3</v>
      </c>
      <c r="H724" s="15">
        <v>8.8707043828365109</v>
      </c>
      <c r="I724" s="15">
        <v>8.8707043828365109</v>
      </c>
      <c r="J724" s="15">
        <v>8.8707043828365109</v>
      </c>
      <c r="K724" s="15">
        <v>8.8707043828365109</v>
      </c>
      <c r="M724" s="15">
        <v>37.188982745404502</v>
      </c>
      <c r="N724" s="15">
        <v>99.221360202554905</v>
      </c>
      <c r="O724" s="15">
        <v>113.2803422952129</v>
      </c>
      <c r="P724" s="15">
        <v>112.1942329431397</v>
      </c>
    </row>
    <row r="725" spans="1:16" x14ac:dyDescent="0.3">
      <c r="A725" s="15" t="str">
        <f t="shared" si="13"/>
        <v>NGF</v>
      </c>
      <c r="B725" s="15" t="s">
        <v>276</v>
      </c>
      <c r="C725" s="15" t="s">
        <v>250</v>
      </c>
      <c r="D725" s="15" t="s">
        <v>281</v>
      </c>
      <c r="E725" s="15" t="s">
        <v>256</v>
      </c>
      <c r="F725" s="15" t="s">
        <v>4</v>
      </c>
      <c r="H725" s="15">
        <v>3.7054021519401501</v>
      </c>
      <c r="I725" s="15">
        <v>3.6183271593231701</v>
      </c>
      <c r="J725" s="15">
        <v>3.7054021519401501</v>
      </c>
      <c r="M725" s="15">
        <v>27.683250705662658</v>
      </c>
      <c r="N725" s="15">
        <v>77.138255074786798</v>
      </c>
      <c r="O725" s="15">
        <v>71.595580440739695</v>
      </c>
      <c r="P725" s="15">
        <v>70.458322316692502</v>
      </c>
    </row>
    <row r="726" spans="1:16" x14ac:dyDescent="0.3">
      <c r="A726" s="15" t="str">
        <f t="shared" si="13"/>
        <v>NGF</v>
      </c>
      <c r="B726" s="15" t="s">
        <v>276</v>
      </c>
      <c r="C726" s="15" t="s">
        <v>250</v>
      </c>
      <c r="D726" s="15" t="s">
        <v>281</v>
      </c>
      <c r="E726" s="15" t="s">
        <v>256</v>
      </c>
      <c r="F726" s="15" t="s">
        <v>5</v>
      </c>
      <c r="H726" s="15">
        <v>3.6712906208882701</v>
      </c>
      <c r="I726" s="15">
        <v>3.6712906208882701</v>
      </c>
      <c r="J726" s="15">
        <v>3.6712906208882701</v>
      </c>
      <c r="K726" s="15">
        <v>1.37742575346449</v>
      </c>
      <c r="M726" s="15">
        <v>13.03589698663745</v>
      </c>
      <c r="N726" s="15">
        <v>35.842174782475595</v>
      </c>
      <c r="O726" s="15">
        <v>35.653860685976198</v>
      </c>
      <c r="P726" s="15">
        <v>33.686085744608498</v>
      </c>
    </row>
    <row r="727" spans="1:16" x14ac:dyDescent="0.3">
      <c r="A727" s="15" t="str">
        <f t="shared" ref="A727:A790" si="14">MID(E727,4,3)</f>
        <v>NGF</v>
      </c>
      <c r="B727" s="15" t="s">
        <v>276</v>
      </c>
      <c r="C727" s="15" t="s">
        <v>250</v>
      </c>
      <c r="D727" s="15" t="s">
        <v>281</v>
      </c>
      <c r="E727" s="15" t="s">
        <v>256</v>
      </c>
      <c r="F727" s="15" t="s">
        <v>6</v>
      </c>
      <c r="H727" s="15">
        <v>4.6034504988993596</v>
      </c>
      <c r="I727" s="15">
        <v>4.6034504988993596</v>
      </c>
      <c r="J727" s="15">
        <v>4.6034504988993596</v>
      </c>
      <c r="K727" s="15">
        <v>2.1264538439476701</v>
      </c>
      <c r="L727" s="15">
        <v>1.04942641648805</v>
      </c>
      <c r="M727" s="15">
        <v>24.72899424423176</v>
      </c>
      <c r="N727" s="15">
        <v>65.226025172323105</v>
      </c>
      <c r="O727" s="15">
        <v>65.643980072425364</v>
      </c>
      <c r="P727" s="15">
        <v>63.326902001583967</v>
      </c>
    </row>
    <row r="728" spans="1:16" x14ac:dyDescent="0.3">
      <c r="A728" s="15" t="str">
        <f t="shared" si="14"/>
        <v>NGF</v>
      </c>
      <c r="B728" s="15" t="s">
        <v>276</v>
      </c>
      <c r="C728" s="15" t="s">
        <v>250</v>
      </c>
      <c r="D728" s="15" t="s">
        <v>281</v>
      </c>
      <c r="E728" s="15" t="s">
        <v>256</v>
      </c>
      <c r="F728" s="15" t="s">
        <v>7</v>
      </c>
      <c r="H728" s="15">
        <v>4.2236868325471404</v>
      </c>
      <c r="I728" s="15">
        <v>1.8323323915263099</v>
      </c>
      <c r="J728" s="15">
        <v>4.2236868325471404</v>
      </c>
      <c r="K728" s="15">
        <v>4.2236868325471404</v>
      </c>
      <c r="L728" s="15">
        <v>2.72371093218463</v>
      </c>
      <c r="M728" s="15">
        <v>28.376654731704907</v>
      </c>
      <c r="N728" s="15">
        <v>71.331433324864904</v>
      </c>
      <c r="O728" s="15">
        <v>71.331433324864904</v>
      </c>
      <c r="P728" s="15">
        <v>71.378455218528316</v>
      </c>
    </row>
    <row r="729" spans="1:16" x14ac:dyDescent="0.3">
      <c r="A729" s="15" t="str">
        <f t="shared" si="14"/>
        <v>NGF</v>
      </c>
      <c r="B729" s="15" t="s">
        <v>276</v>
      </c>
      <c r="C729" s="15" t="s">
        <v>250</v>
      </c>
      <c r="D729" s="15" t="s">
        <v>281</v>
      </c>
      <c r="E729" s="15" t="s">
        <v>256</v>
      </c>
      <c r="F729" s="15" t="s">
        <v>8</v>
      </c>
      <c r="H729" s="15">
        <v>5.9886457586795698</v>
      </c>
      <c r="M729" s="15">
        <v>32.472746762071431</v>
      </c>
      <c r="N729" s="15">
        <v>102.73084957526819</v>
      </c>
      <c r="O729" s="15">
        <v>100.25073607385119</v>
      </c>
      <c r="P729" s="15">
        <v>97.948536033840298</v>
      </c>
    </row>
    <row r="730" spans="1:16" x14ac:dyDescent="0.3">
      <c r="A730" s="15" t="str">
        <f t="shared" si="14"/>
        <v>NHP</v>
      </c>
      <c r="B730" s="15" t="s">
        <v>276</v>
      </c>
      <c r="C730" s="15" t="s">
        <v>250</v>
      </c>
      <c r="D730" s="15" t="s">
        <v>281</v>
      </c>
      <c r="E730" s="15" t="s">
        <v>257</v>
      </c>
      <c r="F730" s="15" t="s">
        <v>0</v>
      </c>
      <c r="G730" s="15">
        <v>3.0219733385803398E-3</v>
      </c>
      <c r="H730" s="15">
        <v>2.82050844934165E-3</v>
      </c>
      <c r="I730" s="15">
        <v>2.01464889238689E-3</v>
      </c>
      <c r="J730" s="15">
        <v>1.00732444619345E-3</v>
      </c>
    </row>
    <row r="731" spans="1:16" x14ac:dyDescent="0.3">
      <c r="A731" s="15" t="str">
        <f t="shared" si="14"/>
        <v>NHP</v>
      </c>
      <c r="B731" s="15" t="s">
        <v>276</v>
      </c>
      <c r="C731" s="15" t="s">
        <v>250</v>
      </c>
      <c r="D731" s="15" t="s">
        <v>281</v>
      </c>
      <c r="E731" s="15" t="s">
        <v>257</v>
      </c>
      <c r="F731" s="15" t="s">
        <v>1</v>
      </c>
      <c r="G731" s="15">
        <v>5.3977285809755298</v>
      </c>
      <c r="H731" s="15">
        <v>5.0210716014664296</v>
      </c>
      <c r="J731" s="15">
        <v>1.79924286032518</v>
      </c>
    </row>
    <row r="732" spans="1:16" x14ac:dyDescent="0.3">
      <c r="A732" s="15" t="str">
        <f t="shared" si="14"/>
        <v>NHP</v>
      </c>
      <c r="B732" s="15" t="s">
        <v>276</v>
      </c>
      <c r="C732" s="15" t="s">
        <v>250</v>
      </c>
      <c r="D732" s="15" t="s">
        <v>281</v>
      </c>
      <c r="E732" s="15" t="s">
        <v>257</v>
      </c>
      <c r="F732" s="15" t="s">
        <v>2</v>
      </c>
      <c r="G732" s="15">
        <v>2.40078240335035</v>
      </c>
      <c r="H732" s="15">
        <v>1.8126032096509399</v>
      </c>
      <c r="I732" s="15">
        <v>1.0407225067442301</v>
      </c>
      <c r="J732" s="15">
        <v>0.80026080111678399</v>
      </c>
    </row>
    <row r="733" spans="1:16" x14ac:dyDescent="0.3">
      <c r="A733" s="15" t="str">
        <f t="shared" si="14"/>
        <v>NHP</v>
      </c>
      <c r="B733" s="15" t="s">
        <v>276</v>
      </c>
      <c r="C733" s="15" t="s">
        <v>250</v>
      </c>
      <c r="D733" s="15" t="s">
        <v>281</v>
      </c>
      <c r="E733" s="15" t="s">
        <v>257</v>
      </c>
      <c r="F733" s="15" t="s">
        <v>3</v>
      </c>
      <c r="G733" s="15">
        <v>1.64875012279874</v>
      </c>
      <c r="H733" s="15">
        <v>1.4827323223998301</v>
      </c>
      <c r="I733" s="15">
        <v>1.0991667485324901</v>
      </c>
      <c r="J733" s="15">
        <v>0.54958337426624704</v>
      </c>
    </row>
    <row r="734" spans="1:16" x14ac:dyDescent="0.3">
      <c r="A734" s="15" t="str">
        <f t="shared" si="14"/>
        <v>NHP</v>
      </c>
      <c r="B734" s="15" t="s">
        <v>276</v>
      </c>
      <c r="C734" s="15" t="s">
        <v>250</v>
      </c>
      <c r="D734" s="15" t="s">
        <v>281</v>
      </c>
      <c r="E734" s="15" t="s">
        <v>257</v>
      </c>
      <c r="F734" s="15" t="s">
        <v>4</v>
      </c>
      <c r="G734" s="15">
        <v>8.9275344990437802</v>
      </c>
      <c r="H734" s="15">
        <v>8.3148423683554409</v>
      </c>
      <c r="J734" s="15">
        <v>2.9758448330145901</v>
      </c>
    </row>
    <row r="735" spans="1:16" x14ac:dyDescent="0.3">
      <c r="A735" s="15" t="str">
        <f t="shared" si="14"/>
        <v>NHP</v>
      </c>
      <c r="B735" s="15" t="s">
        <v>276</v>
      </c>
      <c r="C735" s="15" t="s">
        <v>250</v>
      </c>
      <c r="D735" s="15" t="s">
        <v>281</v>
      </c>
      <c r="E735" s="15" t="s">
        <v>257</v>
      </c>
      <c r="F735" s="15" t="s">
        <v>5</v>
      </c>
      <c r="G735" s="15">
        <v>2.4189137773306602</v>
      </c>
      <c r="H735" s="15">
        <v>2.25765285884194</v>
      </c>
      <c r="J735" s="15">
        <v>0.80630459244355202</v>
      </c>
    </row>
    <row r="736" spans="1:16" x14ac:dyDescent="0.3">
      <c r="A736" s="15" t="str">
        <f t="shared" si="14"/>
        <v>NHP</v>
      </c>
      <c r="B736" s="15" t="s">
        <v>276</v>
      </c>
      <c r="C736" s="15" t="s">
        <v>250</v>
      </c>
      <c r="D736" s="15" t="s">
        <v>281</v>
      </c>
      <c r="E736" s="15" t="s">
        <v>257</v>
      </c>
      <c r="F736" s="15" t="s">
        <v>6</v>
      </c>
      <c r="G736" s="15">
        <v>3.3134782350976901</v>
      </c>
      <c r="H736" s="15">
        <v>3.0653859748038199</v>
      </c>
      <c r="I736" s="15">
        <v>2.20898549006513</v>
      </c>
      <c r="J736" s="15">
        <v>1.1044927450325599</v>
      </c>
    </row>
    <row r="737" spans="1:16" x14ac:dyDescent="0.3">
      <c r="A737" s="15" t="str">
        <f t="shared" si="14"/>
        <v>NHP</v>
      </c>
      <c r="B737" s="15" t="s">
        <v>276</v>
      </c>
      <c r="C737" s="15" t="s">
        <v>250</v>
      </c>
      <c r="D737" s="15" t="s">
        <v>281</v>
      </c>
      <c r="E737" s="15" t="s">
        <v>257</v>
      </c>
      <c r="F737" s="15" t="s">
        <v>7</v>
      </c>
      <c r="G737" s="15">
        <v>1.20109641589663</v>
      </c>
      <c r="H737" s="15">
        <v>1.1210233215035199</v>
      </c>
      <c r="I737" s="15">
        <v>0.80073094393108502</v>
      </c>
      <c r="J737" s="15">
        <v>0.40036547196554301</v>
      </c>
    </row>
    <row r="738" spans="1:16" x14ac:dyDescent="0.3">
      <c r="A738" s="15" t="str">
        <f t="shared" si="14"/>
        <v>NHP</v>
      </c>
      <c r="B738" s="15" t="s">
        <v>276</v>
      </c>
      <c r="C738" s="15" t="s">
        <v>250</v>
      </c>
      <c r="D738" s="15" t="s">
        <v>281</v>
      </c>
      <c r="E738" s="15" t="s">
        <v>257</v>
      </c>
      <c r="F738" s="15" t="s">
        <v>8</v>
      </c>
      <c r="G738" s="15">
        <v>4.30875642647442</v>
      </c>
      <c r="H738" s="15">
        <v>4.0215059980427901</v>
      </c>
      <c r="I738" s="15">
        <v>2.7755875831713901</v>
      </c>
      <c r="J738" s="15">
        <v>1.43625214215814</v>
      </c>
    </row>
    <row r="739" spans="1:16" x14ac:dyDescent="0.3">
      <c r="A739" s="15" t="str">
        <f t="shared" si="14"/>
        <v>CAV</v>
      </c>
      <c r="B739" s="15" t="s">
        <v>276</v>
      </c>
      <c r="C739" s="15" t="s">
        <v>264</v>
      </c>
      <c r="D739" s="15" t="s">
        <v>282</v>
      </c>
      <c r="E739" s="15" t="s">
        <v>265</v>
      </c>
      <c r="F739" s="15" t="s">
        <v>0</v>
      </c>
      <c r="G739" s="15">
        <v>9.1893648620074693</v>
      </c>
      <c r="H739" s="15">
        <v>7.3667965403638496</v>
      </c>
      <c r="I739" s="15">
        <v>7.1052863308397001</v>
      </c>
      <c r="J739" s="15">
        <v>4.7368575538931301</v>
      </c>
      <c r="K739" s="15">
        <v>2.3684287769465699</v>
      </c>
    </row>
    <row r="740" spans="1:16" x14ac:dyDescent="0.3">
      <c r="A740" s="15" t="str">
        <f t="shared" si="14"/>
        <v>CAV</v>
      </c>
      <c r="B740" s="15" t="s">
        <v>276</v>
      </c>
      <c r="C740" s="15" t="s">
        <v>264</v>
      </c>
      <c r="D740" s="15" t="s">
        <v>282</v>
      </c>
      <c r="E740" s="15" t="s">
        <v>265</v>
      </c>
      <c r="F740" s="15" t="s">
        <v>1</v>
      </c>
      <c r="G740" s="15">
        <v>23.992316627165799</v>
      </c>
      <c r="H740" s="15">
        <v>19.281726237761202</v>
      </c>
      <c r="I740" s="15">
        <v>18.551040462108698</v>
      </c>
      <c r="J740" s="15">
        <v>12.367360308072501</v>
      </c>
      <c r="K740" s="15">
        <v>6.1836801540362396</v>
      </c>
    </row>
    <row r="741" spans="1:16" x14ac:dyDescent="0.3">
      <c r="A741" s="15" t="str">
        <f t="shared" si="14"/>
        <v>CAV</v>
      </c>
      <c r="B741" s="15" t="s">
        <v>276</v>
      </c>
      <c r="C741" s="15" t="s">
        <v>264</v>
      </c>
      <c r="D741" s="15" t="s">
        <v>282</v>
      </c>
      <c r="E741" s="15" t="s">
        <v>265</v>
      </c>
      <c r="F741" s="15" t="s">
        <v>2</v>
      </c>
      <c r="G741" s="15">
        <v>27.217779421594301</v>
      </c>
      <c r="H741" s="15">
        <v>22.057497020091599</v>
      </c>
      <c r="I741" s="15">
        <v>21.0449926609855</v>
      </c>
      <c r="J741" s="15">
        <v>14.0299951073237</v>
      </c>
      <c r="K741" s="15">
        <v>7.0149975536618498</v>
      </c>
    </row>
    <row r="742" spans="1:16" x14ac:dyDescent="0.3">
      <c r="A742" s="15" t="str">
        <f t="shared" si="14"/>
        <v>CAV</v>
      </c>
      <c r="B742" s="15" t="s">
        <v>276</v>
      </c>
      <c r="C742" s="15" t="s">
        <v>264</v>
      </c>
      <c r="D742" s="15" t="s">
        <v>282</v>
      </c>
      <c r="E742" s="15" t="s">
        <v>265</v>
      </c>
      <c r="F742" s="15" t="s">
        <v>3</v>
      </c>
      <c r="G742" s="15">
        <v>13.1966285721715</v>
      </c>
      <c r="H742" s="15">
        <v>10.4321775425709</v>
      </c>
      <c r="I742" s="15">
        <v>10.2037329037489</v>
      </c>
      <c r="J742" s="15">
        <v>6.8024886024992703</v>
      </c>
      <c r="K742" s="15">
        <v>3.4012443012496401</v>
      </c>
    </row>
    <row r="743" spans="1:16" x14ac:dyDescent="0.3">
      <c r="A743" s="15" t="str">
        <f t="shared" si="14"/>
        <v>CAV</v>
      </c>
      <c r="B743" s="15" t="s">
        <v>276</v>
      </c>
      <c r="C743" s="15" t="s">
        <v>264</v>
      </c>
      <c r="D743" s="15" t="s">
        <v>282</v>
      </c>
      <c r="E743" s="15" t="s">
        <v>265</v>
      </c>
      <c r="F743" s="15" t="s">
        <v>4</v>
      </c>
      <c r="G743" s="15">
        <v>38.408640070608001</v>
      </c>
      <c r="H743" s="15">
        <v>29.6497329679828</v>
      </c>
      <c r="I743" s="15">
        <v>29.6978506543071</v>
      </c>
      <c r="J743" s="15">
        <v>19.798567102871399</v>
      </c>
      <c r="K743" s="15">
        <v>9.8992835514356994</v>
      </c>
    </row>
    <row r="744" spans="1:16" x14ac:dyDescent="0.3">
      <c r="A744" s="15" t="str">
        <f t="shared" si="14"/>
        <v>CAV</v>
      </c>
      <c r="B744" s="15" t="s">
        <v>276</v>
      </c>
      <c r="C744" s="15" t="s">
        <v>264</v>
      </c>
      <c r="D744" s="15" t="s">
        <v>282</v>
      </c>
      <c r="E744" s="15" t="s">
        <v>265</v>
      </c>
      <c r="F744" s="15" t="s">
        <v>5</v>
      </c>
      <c r="G744" s="15">
        <v>10.4752778436272</v>
      </c>
      <c r="H744" s="15">
        <v>8.3271329678452108</v>
      </c>
      <c r="I744" s="15">
        <v>8.0995639624449094</v>
      </c>
      <c r="J744" s="15">
        <v>5.3997093082966101</v>
      </c>
      <c r="K744" s="15">
        <v>2.6998546541483002</v>
      </c>
    </row>
    <row r="745" spans="1:16" x14ac:dyDescent="0.3">
      <c r="A745" s="15" t="str">
        <f t="shared" si="14"/>
        <v>CAV</v>
      </c>
      <c r="B745" s="15" t="s">
        <v>276</v>
      </c>
      <c r="C745" s="15" t="s">
        <v>264</v>
      </c>
      <c r="D745" s="15" t="s">
        <v>282</v>
      </c>
      <c r="E745" s="15" t="s">
        <v>265</v>
      </c>
      <c r="F745" s="15" t="s">
        <v>6</v>
      </c>
      <c r="G745" s="15">
        <v>24.3383596554423</v>
      </c>
      <c r="H745" s="15">
        <v>18.5660760879246</v>
      </c>
      <c r="I745" s="15">
        <v>18.818603545696799</v>
      </c>
      <c r="J745" s="15">
        <v>12.5457356971312</v>
      </c>
      <c r="K745" s="15">
        <v>6.2728678485656104</v>
      </c>
    </row>
    <row r="746" spans="1:16" x14ac:dyDescent="0.3">
      <c r="A746" s="15" t="str">
        <f t="shared" si="14"/>
        <v>CAV</v>
      </c>
      <c r="B746" s="15" t="s">
        <v>276</v>
      </c>
      <c r="C746" s="15" t="s">
        <v>264</v>
      </c>
      <c r="D746" s="15" t="s">
        <v>282</v>
      </c>
      <c r="E746" s="15" t="s">
        <v>265</v>
      </c>
      <c r="F746" s="15" t="s">
        <v>7</v>
      </c>
      <c r="G746" s="15">
        <v>10.9689853444638</v>
      </c>
      <c r="H746" s="15">
        <v>8.2957995561183893</v>
      </c>
      <c r="I746" s="15">
        <v>8.2267390083478809</v>
      </c>
      <c r="J746" s="15">
        <v>5.4844926722319203</v>
      </c>
      <c r="K746" s="15">
        <v>2.7422463361159601</v>
      </c>
    </row>
    <row r="747" spans="1:16" x14ac:dyDescent="0.3">
      <c r="A747" s="15" t="str">
        <f t="shared" si="14"/>
        <v>CAV</v>
      </c>
      <c r="B747" s="15" t="s">
        <v>276</v>
      </c>
      <c r="C747" s="15" t="s">
        <v>264</v>
      </c>
      <c r="D747" s="15" t="s">
        <v>282</v>
      </c>
      <c r="E747" s="15" t="s">
        <v>265</v>
      </c>
      <c r="F747" s="15" t="s">
        <v>8</v>
      </c>
      <c r="G747" s="15">
        <v>28.578454785866398</v>
      </c>
      <c r="H747" s="15">
        <v>22.2205898316499</v>
      </c>
      <c r="I747" s="15">
        <v>22.097077131637501</v>
      </c>
      <c r="J747" s="15">
        <v>14.731384754424999</v>
      </c>
      <c r="K747" s="15">
        <v>7.3656923772124898</v>
      </c>
    </row>
    <row r="748" spans="1:16" x14ac:dyDescent="0.3">
      <c r="A748" s="15" t="str">
        <f t="shared" si="14"/>
        <v>CAV</v>
      </c>
      <c r="B748" s="15" t="s">
        <v>276</v>
      </c>
      <c r="C748" s="15" t="s">
        <v>264</v>
      </c>
      <c r="D748" s="15" t="s">
        <v>282</v>
      </c>
      <c r="E748" s="15" t="s">
        <v>266</v>
      </c>
      <c r="F748" s="15" t="s">
        <v>0</v>
      </c>
      <c r="H748" s="15">
        <v>1.6435046031821301</v>
      </c>
      <c r="I748" s="15">
        <v>1.6435046031821301</v>
      </c>
      <c r="J748" s="15">
        <v>4.2922942892228999</v>
      </c>
      <c r="K748" s="15">
        <v>6.9308258072666797</v>
      </c>
      <c r="L748" s="15">
        <v>9.7080207757622894</v>
      </c>
      <c r="M748" s="15">
        <v>10.106255427463791</v>
      </c>
      <c r="N748" s="15">
        <v>10.441496802492679</v>
      </c>
      <c r="O748" s="15">
        <v>10.80091278967598</v>
      </c>
      <c r="P748" s="15">
        <v>11.23275697082083</v>
      </c>
    </row>
    <row r="749" spans="1:16" x14ac:dyDescent="0.3">
      <c r="A749" s="15" t="str">
        <f t="shared" si="14"/>
        <v>CAV</v>
      </c>
      <c r="B749" s="15" t="s">
        <v>276</v>
      </c>
      <c r="C749" s="15" t="s">
        <v>264</v>
      </c>
      <c r="D749" s="15" t="s">
        <v>282</v>
      </c>
      <c r="E749" s="15" t="s">
        <v>266</v>
      </c>
      <c r="F749" s="15" t="s">
        <v>1</v>
      </c>
      <c r="H749" s="15">
        <v>4.2271052979154096</v>
      </c>
      <c r="I749" s="15">
        <v>4.2271052979154096</v>
      </c>
      <c r="J749" s="15">
        <v>10.970524596194149</v>
      </c>
      <c r="K749" s="15">
        <v>17.65206645341328</v>
      </c>
      <c r="L749" s="15">
        <v>24.68864564143788</v>
      </c>
      <c r="M749" s="15">
        <v>25.532228383830169</v>
      </c>
      <c r="N749" s="15">
        <v>26.23967086854578</v>
      </c>
      <c r="O749" s="15">
        <v>27.007109011894489</v>
      </c>
      <c r="P749" s="15">
        <v>27.95337596324439</v>
      </c>
    </row>
    <row r="750" spans="1:16" x14ac:dyDescent="0.3">
      <c r="A750" s="15" t="str">
        <f t="shared" si="14"/>
        <v>CAV</v>
      </c>
      <c r="B750" s="15" t="s">
        <v>276</v>
      </c>
      <c r="C750" s="15" t="s">
        <v>264</v>
      </c>
      <c r="D750" s="15" t="s">
        <v>282</v>
      </c>
      <c r="E750" s="15" t="s">
        <v>266</v>
      </c>
      <c r="F750" s="15" t="s">
        <v>2</v>
      </c>
      <c r="H750" s="15">
        <v>4.5506031542513696</v>
      </c>
      <c r="I750" s="15">
        <v>4.5506031542513696</v>
      </c>
      <c r="J750" s="15">
        <v>12.215995446675599</v>
      </c>
      <c r="K750" s="15">
        <v>19.930702814121219</v>
      </c>
      <c r="L750" s="15">
        <v>28.083484947521359</v>
      </c>
      <c r="M750" s="15">
        <v>29.224718813694579</v>
      </c>
      <c r="N750" s="15">
        <v>30.213717473969822</v>
      </c>
      <c r="O750" s="15">
        <v>31.287642505238715</v>
      </c>
      <c r="P750" s="15">
        <v>32.462685614007412</v>
      </c>
    </row>
    <row r="751" spans="1:16" x14ac:dyDescent="0.3">
      <c r="A751" s="15" t="str">
        <f t="shared" si="14"/>
        <v>CAV</v>
      </c>
      <c r="B751" s="15" t="s">
        <v>276</v>
      </c>
      <c r="C751" s="15" t="s">
        <v>264</v>
      </c>
      <c r="D751" s="15" t="s">
        <v>282</v>
      </c>
      <c r="E751" s="15" t="s">
        <v>266</v>
      </c>
      <c r="F751" s="15" t="s">
        <v>3</v>
      </c>
      <c r="H751" s="15">
        <v>2.5563365309382902</v>
      </c>
      <c r="I751" s="15">
        <v>2.5563365309382902</v>
      </c>
      <c r="J751" s="15">
        <v>6.51993821834178</v>
      </c>
      <c r="K751" s="15">
        <v>10.467337022766451</v>
      </c>
      <c r="L751" s="15">
        <v>14.635069467245071</v>
      </c>
      <c r="M751" s="15">
        <v>15.433615926154831</v>
      </c>
      <c r="N751" s="15">
        <v>16.188382523244062</v>
      </c>
      <c r="O751" s="15">
        <v>17.017471948505651</v>
      </c>
      <c r="P751" s="15">
        <v>17.93473465347283</v>
      </c>
    </row>
    <row r="752" spans="1:16" x14ac:dyDescent="0.3">
      <c r="A752" s="15" t="str">
        <f t="shared" si="14"/>
        <v>CAV</v>
      </c>
      <c r="B752" s="15" t="s">
        <v>276</v>
      </c>
      <c r="C752" s="15" t="s">
        <v>264</v>
      </c>
      <c r="D752" s="15" t="s">
        <v>282</v>
      </c>
      <c r="E752" s="15" t="s">
        <v>266</v>
      </c>
      <c r="F752" s="15" t="s">
        <v>4</v>
      </c>
      <c r="H752" s="15">
        <v>8.3908599306939209</v>
      </c>
      <c r="I752" s="15">
        <v>8.3908599306939209</v>
      </c>
      <c r="J752" s="15">
        <v>21.113371426730723</v>
      </c>
      <c r="K752" s="15">
        <v>33.795871273706624</v>
      </c>
      <c r="L752" s="15">
        <v>47.316331369401702</v>
      </c>
      <c r="M752" s="15">
        <v>51.164187187387064</v>
      </c>
      <c r="N752" s="15">
        <v>54.999839562101663</v>
      </c>
      <c r="O752" s="15">
        <v>59.281329119242962</v>
      </c>
      <c r="P752" s="15">
        <v>63.983050775802958</v>
      </c>
    </row>
    <row r="753" spans="1:16" x14ac:dyDescent="0.3">
      <c r="A753" s="15" t="str">
        <f t="shared" si="14"/>
        <v>CAV</v>
      </c>
      <c r="B753" s="15" t="s">
        <v>276</v>
      </c>
      <c r="C753" s="15" t="s">
        <v>264</v>
      </c>
      <c r="D753" s="15" t="s">
        <v>282</v>
      </c>
      <c r="E753" s="15" t="s">
        <v>266</v>
      </c>
      <c r="F753" s="15" t="s">
        <v>5</v>
      </c>
      <c r="H753" s="15">
        <v>1.9675357622123499</v>
      </c>
      <c r="I753" s="15">
        <v>1.9675357622123499</v>
      </c>
      <c r="J753" s="15">
        <v>5.0882767180094604</v>
      </c>
      <c r="K753" s="15">
        <v>8.2129954103279506</v>
      </c>
      <c r="L753" s="15">
        <v>11.512435904503331</v>
      </c>
      <c r="M753" s="15">
        <v>12.127965935157821</v>
      </c>
      <c r="N753" s="15">
        <v>12.705239074528601</v>
      </c>
      <c r="O753" s="15">
        <v>13.346426050571131</v>
      </c>
      <c r="P753" s="15">
        <v>14.09860664383157</v>
      </c>
    </row>
    <row r="754" spans="1:16" x14ac:dyDescent="0.3">
      <c r="A754" s="15" t="str">
        <f t="shared" si="14"/>
        <v>CAV</v>
      </c>
      <c r="B754" s="15" t="s">
        <v>276</v>
      </c>
      <c r="C754" s="15" t="s">
        <v>264</v>
      </c>
      <c r="D754" s="15" t="s">
        <v>282</v>
      </c>
      <c r="E754" s="15" t="s">
        <v>266</v>
      </c>
      <c r="F754" s="15" t="s">
        <v>6</v>
      </c>
      <c r="H754" s="15">
        <v>5.6130757902207096</v>
      </c>
      <c r="I754" s="15">
        <v>5.6130757902207096</v>
      </c>
      <c r="J754" s="15">
        <v>13.947717841610299</v>
      </c>
      <c r="K754" s="15">
        <v>22.256429165077389</v>
      </c>
      <c r="L754" s="15">
        <v>31.109059117948821</v>
      </c>
      <c r="M754" s="15">
        <v>33.853271490856102</v>
      </c>
      <c r="N754" s="15">
        <v>36.61653650269821</v>
      </c>
      <c r="O754" s="15">
        <v>39.695773570116422</v>
      </c>
      <c r="P754" s="15">
        <v>43.16091764268922</v>
      </c>
    </row>
    <row r="755" spans="1:16" x14ac:dyDescent="0.3">
      <c r="A755" s="15" t="str">
        <f t="shared" si="14"/>
        <v>CAV</v>
      </c>
      <c r="B755" s="15" t="s">
        <v>276</v>
      </c>
      <c r="C755" s="15" t="s">
        <v>264</v>
      </c>
      <c r="D755" s="15" t="s">
        <v>282</v>
      </c>
      <c r="E755" s="15" t="s">
        <v>266</v>
      </c>
      <c r="F755" s="15" t="s">
        <v>7</v>
      </c>
      <c r="H755" s="15">
        <v>2.2145377958991599</v>
      </c>
      <c r="I755" s="15">
        <v>2.2145377958991599</v>
      </c>
      <c r="J755" s="15">
        <v>5.9028658249319497</v>
      </c>
      <c r="K755" s="15">
        <v>9.62170032934179</v>
      </c>
      <c r="L755" s="15">
        <v>13.604396771977949</v>
      </c>
      <c r="M755" s="15">
        <v>14.951055173139119</v>
      </c>
      <c r="N755" s="15">
        <v>16.334117135201282</v>
      </c>
      <c r="O755" s="15">
        <v>17.891053509641303</v>
      </c>
      <c r="P755" s="15">
        <v>19.68200991784644</v>
      </c>
    </row>
    <row r="756" spans="1:16" x14ac:dyDescent="0.3">
      <c r="A756" s="15" t="str">
        <f t="shared" si="14"/>
        <v>CAV</v>
      </c>
      <c r="B756" s="15" t="s">
        <v>276</v>
      </c>
      <c r="C756" s="15" t="s">
        <v>264</v>
      </c>
      <c r="D756" s="15" t="s">
        <v>282</v>
      </c>
      <c r="E756" s="15" t="s">
        <v>266</v>
      </c>
      <c r="F756" s="15" t="s">
        <v>8</v>
      </c>
      <c r="H756" s="15">
        <v>6.0309095063537503</v>
      </c>
      <c r="I756" s="15">
        <v>6.0309095063537503</v>
      </c>
      <c r="J756" s="15">
        <v>15.249004105767771</v>
      </c>
      <c r="K756" s="15">
        <v>24.381145712645921</v>
      </c>
      <c r="L756" s="15">
        <v>34.028905391215737</v>
      </c>
      <c r="M756" s="15">
        <v>36.405500756903045</v>
      </c>
      <c r="N756" s="15">
        <v>38.727379720195721</v>
      </c>
      <c r="O756" s="15">
        <v>41.360209791726071</v>
      </c>
      <c r="P756" s="15">
        <v>44.322354860281273</v>
      </c>
    </row>
    <row r="757" spans="1:16" x14ac:dyDescent="0.3">
      <c r="A757" s="15" t="str">
        <f t="shared" si="14"/>
        <v>VAV</v>
      </c>
      <c r="B757" s="15" t="s">
        <v>276</v>
      </c>
      <c r="C757" s="15" t="s">
        <v>264</v>
      </c>
      <c r="D757" s="15" t="s">
        <v>282</v>
      </c>
      <c r="E757" s="15" t="s">
        <v>267</v>
      </c>
      <c r="F757" s="15" t="s">
        <v>0</v>
      </c>
      <c r="G757" s="15">
        <v>5.0281474269356297</v>
      </c>
      <c r="H757" s="15">
        <v>4.7767400555888502</v>
      </c>
      <c r="I757" s="15">
        <v>3.7711105702017198</v>
      </c>
      <c r="J757" s="15">
        <v>2.5140737134678099</v>
      </c>
      <c r="K757" s="15">
        <v>1.2570368567339101</v>
      </c>
    </row>
    <row r="758" spans="1:16" x14ac:dyDescent="0.3">
      <c r="A758" s="15" t="str">
        <f t="shared" si="14"/>
        <v>VAV</v>
      </c>
      <c r="B758" s="15" t="s">
        <v>276</v>
      </c>
      <c r="C758" s="15" t="s">
        <v>264</v>
      </c>
      <c r="D758" s="15" t="s">
        <v>282</v>
      </c>
      <c r="E758" s="15" t="s">
        <v>267</v>
      </c>
      <c r="F758" s="15" t="s">
        <v>1</v>
      </c>
      <c r="G758" s="15">
        <v>13.1278828217901</v>
      </c>
      <c r="H758" s="15">
        <v>12.471488680700601</v>
      </c>
      <c r="I758" s="15">
        <v>9.8459121163425696</v>
      </c>
      <c r="J758" s="15">
        <v>6.5639414108950396</v>
      </c>
      <c r="K758" s="15">
        <v>3.2819707054475198</v>
      </c>
    </row>
    <row r="759" spans="1:16" x14ac:dyDescent="0.3">
      <c r="A759" s="15" t="str">
        <f t="shared" si="14"/>
        <v>VAV</v>
      </c>
      <c r="B759" s="15" t="s">
        <v>276</v>
      </c>
      <c r="C759" s="15" t="s">
        <v>264</v>
      </c>
      <c r="D759" s="15" t="s">
        <v>282</v>
      </c>
      <c r="E759" s="15" t="s">
        <v>267</v>
      </c>
      <c r="F759" s="15" t="s">
        <v>2</v>
      </c>
      <c r="G759" s="15">
        <v>14.892760231058499</v>
      </c>
      <c r="H759" s="15">
        <v>14.1481222195056</v>
      </c>
      <c r="I759" s="15">
        <v>11.1695701732939</v>
      </c>
      <c r="J759" s="15">
        <v>7.4463801155292604</v>
      </c>
      <c r="K759" s="15">
        <v>3.7231900577646302</v>
      </c>
    </row>
    <row r="760" spans="1:16" x14ac:dyDescent="0.3">
      <c r="A760" s="15" t="str">
        <f t="shared" si="14"/>
        <v>VAV</v>
      </c>
      <c r="B760" s="15" t="s">
        <v>276</v>
      </c>
      <c r="C760" s="15" t="s">
        <v>264</v>
      </c>
      <c r="D760" s="15" t="s">
        <v>282</v>
      </c>
      <c r="E760" s="15" t="s">
        <v>267</v>
      </c>
      <c r="F760" s="15" t="s">
        <v>3</v>
      </c>
      <c r="G760" s="15">
        <v>7.2208030691790599</v>
      </c>
      <c r="H760" s="15">
        <v>6.8597629157201103</v>
      </c>
      <c r="I760" s="15">
        <v>5.4156023018842996</v>
      </c>
      <c r="J760" s="15">
        <v>3.6104015345895299</v>
      </c>
      <c r="K760" s="15">
        <v>1.8052007672947701</v>
      </c>
    </row>
    <row r="761" spans="1:16" x14ac:dyDescent="0.3">
      <c r="A761" s="15" t="str">
        <f t="shared" si="14"/>
        <v>VAV</v>
      </c>
      <c r="B761" s="15" t="s">
        <v>276</v>
      </c>
      <c r="C761" s="15" t="s">
        <v>264</v>
      </c>
      <c r="D761" s="15" t="s">
        <v>282</v>
      </c>
      <c r="E761" s="15" t="s">
        <v>267</v>
      </c>
      <c r="F761" s="15" t="s">
        <v>4</v>
      </c>
      <c r="G761" s="15">
        <v>21.016066686129601</v>
      </c>
      <c r="H761" s="15">
        <v>19.9652633518232</v>
      </c>
      <c r="I761" s="15">
        <v>15.7620500145972</v>
      </c>
      <c r="J761" s="15">
        <v>10.508033343064801</v>
      </c>
      <c r="K761" s="15">
        <v>5.2540166715324101</v>
      </c>
    </row>
    <row r="762" spans="1:16" x14ac:dyDescent="0.3">
      <c r="A762" s="15" t="str">
        <f t="shared" si="14"/>
        <v>VAV</v>
      </c>
      <c r="B762" s="15" t="s">
        <v>276</v>
      </c>
      <c r="C762" s="15" t="s">
        <v>264</v>
      </c>
      <c r="D762" s="15" t="s">
        <v>282</v>
      </c>
      <c r="E762" s="15" t="s">
        <v>267</v>
      </c>
      <c r="F762" s="15" t="s">
        <v>5</v>
      </c>
      <c r="G762" s="15">
        <v>5.7317608046704596</v>
      </c>
      <c r="H762" s="15">
        <v>5.4451727644369399</v>
      </c>
      <c r="I762" s="15">
        <v>4.2988206035028496</v>
      </c>
      <c r="J762" s="15">
        <v>2.8658804023352298</v>
      </c>
      <c r="K762" s="15">
        <v>1.43294020116762</v>
      </c>
    </row>
    <row r="763" spans="1:16" x14ac:dyDescent="0.3">
      <c r="A763" s="15" t="str">
        <f t="shared" si="14"/>
        <v>VAV</v>
      </c>
      <c r="B763" s="15" t="s">
        <v>276</v>
      </c>
      <c r="C763" s="15" t="s">
        <v>264</v>
      </c>
      <c r="D763" s="15" t="s">
        <v>282</v>
      </c>
      <c r="E763" s="15" t="s">
        <v>267</v>
      </c>
      <c r="F763" s="15" t="s">
        <v>6</v>
      </c>
      <c r="G763" s="15">
        <v>13.317227285565901</v>
      </c>
      <c r="H763" s="15">
        <v>12.651365921287599</v>
      </c>
      <c r="I763" s="15">
        <v>9.9879204641744099</v>
      </c>
      <c r="J763" s="15">
        <v>6.6586136427829397</v>
      </c>
      <c r="K763" s="15">
        <v>3.3293068213914698</v>
      </c>
    </row>
    <row r="764" spans="1:16" x14ac:dyDescent="0.3">
      <c r="A764" s="15" t="str">
        <f t="shared" si="14"/>
        <v>VAV</v>
      </c>
      <c r="B764" s="15" t="s">
        <v>276</v>
      </c>
      <c r="C764" s="15" t="s">
        <v>264</v>
      </c>
      <c r="D764" s="15" t="s">
        <v>282</v>
      </c>
      <c r="E764" s="15" t="s">
        <v>267</v>
      </c>
      <c r="F764" s="15" t="s">
        <v>7</v>
      </c>
      <c r="G764" s="15">
        <v>5.8217578646132804</v>
      </c>
      <c r="H764" s="15">
        <v>5.5306699713826202</v>
      </c>
      <c r="I764" s="15">
        <v>4.3663183984599598</v>
      </c>
      <c r="J764" s="15">
        <v>2.9108789323066402</v>
      </c>
      <c r="K764" s="15">
        <v>1.4554394661533201</v>
      </c>
    </row>
    <row r="765" spans="1:16" x14ac:dyDescent="0.3">
      <c r="A765" s="15" t="str">
        <f t="shared" si="14"/>
        <v>VAV</v>
      </c>
      <c r="B765" s="15" t="s">
        <v>276</v>
      </c>
      <c r="C765" s="15" t="s">
        <v>264</v>
      </c>
      <c r="D765" s="15" t="s">
        <v>282</v>
      </c>
      <c r="E765" s="15" t="s">
        <v>267</v>
      </c>
      <c r="F765" s="15" t="s">
        <v>8</v>
      </c>
      <c r="G765" s="15">
        <v>15.6372813633128</v>
      </c>
      <c r="H765" s="15">
        <v>14.8554172951472</v>
      </c>
      <c r="I765" s="15">
        <v>11.7279610224846</v>
      </c>
      <c r="J765" s="15">
        <v>7.8186406816564</v>
      </c>
      <c r="K765" s="15">
        <v>3.9093203408282</v>
      </c>
    </row>
    <row r="766" spans="1:16" x14ac:dyDescent="0.3">
      <c r="A766" s="15" t="str">
        <f t="shared" si="14"/>
        <v>VAV</v>
      </c>
      <c r="B766" s="15" t="s">
        <v>276</v>
      </c>
      <c r="C766" s="15" t="s">
        <v>264</v>
      </c>
      <c r="D766" s="15" t="s">
        <v>282</v>
      </c>
      <c r="E766" s="15" t="s">
        <v>268</v>
      </c>
      <c r="F766" s="15" t="s">
        <v>0</v>
      </c>
      <c r="H766" s="15">
        <v>0.294241855317878</v>
      </c>
      <c r="I766" s="15">
        <v>1.1526938467580601</v>
      </c>
      <c r="J766" s="15">
        <v>2.3503881831779601</v>
      </c>
      <c r="K766" s="15">
        <v>3.7529430813709599</v>
      </c>
      <c r="L766" s="15">
        <v>5.2302030108781299</v>
      </c>
      <c r="M766" s="15">
        <v>5.44475220916223</v>
      </c>
      <c r="N766" s="15">
        <v>5.6253637353988317</v>
      </c>
      <c r="O766" s="15">
        <v>5.8189993509114313</v>
      </c>
      <c r="P766" s="15">
        <v>6.0516557067870824</v>
      </c>
    </row>
    <row r="767" spans="1:16" x14ac:dyDescent="0.3">
      <c r="A767" s="15" t="str">
        <f t="shared" si="14"/>
        <v>VAV</v>
      </c>
      <c r="B767" s="15" t="s">
        <v>276</v>
      </c>
      <c r="C767" s="15" t="s">
        <v>264</v>
      </c>
      <c r="D767" s="15" t="s">
        <v>282</v>
      </c>
      <c r="E767" s="15" t="s">
        <v>268</v>
      </c>
      <c r="F767" s="15" t="s">
        <v>1</v>
      </c>
      <c r="H767" s="15">
        <v>0.75924107680161501</v>
      </c>
      <c r="I767" s="15">
        <v>2.9735889494810102</v>
      </c>
      <c r="J767" s="15">
        <v>6.0093604714588302</v>
      </c>
      <c r="K767" s="15">
        <v>9.5595545191440596</v>
      </c>
      <c r="L767" s="15">
        <v>13.30102517814322</v>
      </c>
      <c r="M767" s="15">
        <v>13.755505973054628</v>
      </c>
      <c r="N767" s="15">
        <v>14.136641108531521</v>
      </c>
      <c r="O767" s="15">
        <v>14.550098947231913</v>
      </c>
      <c r="P767" s="15">
        <v>15.059900931834292</v>
      </c>
    </row>
    <row r="768" spans="1:16" x14ac:dyDescent="0.3">
      <c r="A768" s="15" t="str">
        <f t="shared" si="14"/>
        <v>VAV</v>
      </c>
      <c r="B768" s="15" t="s">
        <v>276</v>
      </c>
      <c r="C768" s="15" t="s">
        <v>264</v>
      </c>
      <c r="D768" s="15" t="s">
        <v>282</v>
      </c>
      <c r="E768" s="15" t="s">
        <v>268</v>
      </c>
      <c r="F768" s="15" t="s">
        <v>2</v>
      </c>
      <c r="H768" s="15">
        <v>0.82687057131098696</v>
      </c>
      <c r="I768" s="15">
        <v>3.2355869141490099</v>
      </c>
      <c r="J768" s="15">
        <v>6.6936657279786598</v>
      </c>
      <c r="K768" s="15">
        <v>10.79382493932501</v>
      </c>
      <c r="L768" s="15">
        <v>15.129997238488951</v>
      </c>
      <c r="M768" s="15">
        <v>15.74483778537752</v>
      </c>
      <c r="N768" s="15">
        <v>16.277661508173878</v>
      </c>
      <c r="O768" s="15">
        <v>16.856239372986785</v>
      </c>
      <c r="P768" s="15">
        <v>17.489294673067889</v>
      </c>
    </row>
    <row r="769" spans="1:16" x14ac:dyDescent="0.3">
      <c r="A769" s="15" t="str">
        <f t="shared" si="14"/>
        <v>VAV</v>
      </c>
      <c r="B769" s="15" t="s">
        <v>276</v>
      </c>
      <c r="C769" s="15" t="s">
        <v>264</v>
      </c>
      <c r="D769" s="15" t="s">
        <v>282</v>
      </c>
      <c r="E769" s="15" t="s">
        <v>268</v>
      </c>
      <c r="F769" s="15" t="s">
        <v>3</v>
      </c>
      <c r="H769" s="15">
        <v>0.45015035654613</v>
      </c>
      <c r="I769" s="15">
        <v>1.76574272247831</v>
      </c>
      <c r="J769" s="15">
        <v>3.56706527146962</v>
      </c>
      <c r="K769" s="15">
        <v>5.6665071609138602</v>
      </c>
      <c r="L769" s="15">
        <v>7.8846539536773301</v>
      </c>
      <c r="M769" s="15">
        <v>8.3148714192335813</v>
      </c>
      <c r="N769" s="15">
        <v>8.721502453487453</v>
      </c>
      <c r="O769" s="15">
        <v>9.1681749636160514</v>
      </c>
      <c r="P769" s="15">
        <v>9.6623508901100728</v>
      </c>
    </row>
    <row r="770" spans="1:16" x14ac:dyDescent="0.3">
      <c r="A770" s="15" t="str">
        <f t="shared" si="14"/>
        <v>VAV</v>
      </c>
      <c r="B770" s="15" t="s">
        <v>276</v>
      </c>
      <c r="C770" s="15" t="s">
        <v>264</v>
      </c>
      <c r="D770" s="15" t="s">
        <v>282</v>
      </c>
      <c r="E770" s="15" t="s">
        <v>268</v>
      </c>
      <c r="F770" s="15" t="s">
        <v>4</v>
      </c>
      <c r="H770" s="15">
        <v>1.44391658524606</v>
      </c>
      <c r="I770" s="15">
        <v>5.67421047317257</v>
      </c>
      <c r="J770" s="15">
        <v>11.5333022721841</v>
      </c>
      <c r="K770" s="15">
        <v>18.286778677589641</v>
      </c>
      <c r="L770" s="15">
        <v>25.491706755491577</v>
      </c>
      <c r="M770" s="15">
        <v>27.564741779777627</v>
      </c>
      <c r="N770" s="15">
        <v>29.631202190431068</v>
      </c>
      <c r="O770" s="15">
        <v>31.9378576962281</v>
      </c>
      <c r="P770" s="15">
        <v>34.470913540715699</v>
      </c>
    </row>
    <row r="771" spans="1:16" x14ac:dyDescent="0.3">
      <c r="A771" s="15" t="str">
        <f t="shared" si="14"/>
        <v>VAV</v>
      </c>
      <c r="B771" s="15" t="s">
        <v>276</v>
      </c>
      <c r="C771" s="15" t="s">
        <v>264</v>
      </c>
      <c r="D771" s="15" t="s">
        <v>282</v>
      </c>
      <c r="E771" s="15" t="s">
        <v>268</v>
      </c>
      <c r="F771" s="15" t="s">
        <v>5</v>
      </c>
      <c r="H771" s="15">
        <v>0.348649004360707</v>
      </c>
      <c r="I771" s="15">
        <v>1.3669257223675</v>
      </c>
      <c r="J771" s="15">
        <v>2.7845294350424101</v>
      </c>
      <c r="K771" s="15">
        <v>4.4463654351559301</v>
      </c>
      <c r="L771" s="15">
        <v>6.2023329287268503</v>
      </c>
      <c r="M771" s="15">
        <v>6.5339501650282692</v>
      </c>
      <c r="N771" s="15">
        <v>6.8449564742827942</v>
      </c>
      <c r="O771" s="15">
        <v>7.1903964079308746</v>
      </c>
      <c r="P771" s="15">
        <v>7.5956342308058353</v>
      </c>
    </row>
    <row r="772" spans="1:16" x14ac:dyDescent="0.3">
      <c r="A772" s="15" t="str">
        <f t="shared" si="14"/>
        <v>VAV</v>
      </c>
      <c r="B772" s="15" t="s">
        <v>276</v>
      </c>
      <c r="C772" s="15" t="s">
        <v>264</v>
      </c>
      <c r="D772" s="15" t="s">
        <v>282</v>
      </c>
      <c r="E772" s="15" t="s">
        <v>268</v>
      </c>
      <c r="F772" s="15" t="s">
        <v>6</v>
      </c>
      <c r="H772" s="15">
        <v>0.95661896642811695</v>
      </c>
      <c r="I772" s="15">
        <v>3.7621864403273402</v>
      </c>
      <c r="J772" s="15">
        <v>7.6147530575479303</v>
      </c>
      <c r="K772" s="15">
        <v>12.040871980814021</v>
      </c>
      <c r="L772" s="15">
        <v>16.760027447665372</v>
      </c>
      <c r="M772" s="15">
        <v>18.238473790827598</v>
      </c>
      <c r="N772" s="15">
        <v>19.727184756596639</v>
      </c>
      <c r="O772" s="15">
        <v>21.386125889214231</v>
      </c>
      <c r="P772" s="15">
        <v>23.252974691881107</v>
      </c>
    </row>
    <row r="773" spans="1:16" x14ac:dyDescent="0.3">
      <c r="A773" s="15" t="str">
        <f t="shared" si="14"/>
        <v>VAV</v>
      </c>
      <c r="B773" s="15" t="s">
        <v>276</v>
      </c>
      <c r="C773" s="15" t="s">
        <v>264</v>
      </c>
      <c r="D773" s="15" t="s">
        <v>282</v>
      </c>
      <c r="E773" s="15" t="s">
        <v>268</v>
      </c>
      <c r="F773" s="15" t="s">
        <v>7</v>
      </c>
      <c r="H773" s="15">
        <v>0.38452972510978101</v>
      </c>
      <c r="I773" s="15">
        <v>1.5100141411059</v>
      </c>
      <c r="J773" s="15">
        <v>3.2240684553742902</v>
      </c>
      <c r="K773" s="15">
        <v>5.2056454830531305</v>
      </c>
      <c r="L773" s="15">
        <v>7.32937831526145</v>
      </c>
      <c r="M773" s="15">
        <v>8.0548914746442808</v>
      </c>
      <c r="N773" s="15">
        <v>8.8000170780287181</v>
      </c>
      <c r="O773" s="15">
        <v>9.6388176431935975</v>
      </c>
      <c r="P773" s="15">
        <v>10.603696665901548</v>
      </c>
    </row>
    <row r="774" spans="1:16" x14ac:dyDescent="0.3">
      <c r="A774" s="15" t="str">
        <f t="shared" si="14"/>
        <v>VAV</v>
      </c>
      <c r="B774" s="15" t="s">
        <v>276</v>
      </c>
      <c r="C774" s="15" t="s">
        <v>264</v>
      </c>
      <c r="D774" s="15" t="s">
        <v>282</v>
      </c>
      <c r="E774" s="15" t="s">
        <v>268</v>
      </c>
      <c r="F774" s="15" t="s">
        <v>8</v>
      </c>
      <c r="H774" s="15">
        <v>1.0444777046584801</v>
      </c>
      <c r="I774" s="15">
        <v>4.1024212432234899</v>
      </c>
      <c r="J774" s="15">
        <v>8.3333148719785601</v>
      </c>
      <c r="K774" s="15">
        <v>13.194310975865189</v>
      </c>
      <c r="L774" s="15">
        <v>18.333096677993929</v>
      </c>
      <c r="M774" s="15">
        <v>19.613489100339219</v>
      </c>
      <c r="N774" s="15">
        <v>20.86440302246713</v>
      </c>
      <c r="O774" s="15">
        <v>22.282842072538813</v>
      </c>
      <c r="P774" s="15">
        <v>23.878699808535291</v>
      </c>
    </row>
    <row r="775" spans="1:16" x14ac:dyDescent="0.3">
      <c r="A775" s="15" t="str">
        <f t="shared" si="14"/>
        <v>DWH</v>
      </c>
      <c r="B775" s="15" t="s">
        <v>276</v>
      </c>
      <c r="C775" s="15" t="s">
        <v>269</v>
      </c>
      <c r="D775" s="15" t="s">
        <v>283</v>
      </c>
      <c r="E775" s="15" t="s">
        <v>318</v>
      </c>
      <c r="F775" s="15" t="s">
        <v>0</v>
      </c>
      <c r="G775" s="15">
        <v>3.9516459319114898</v>
      </c>
      <c r="H775" s="15">
        <v>0.89573718547079695</v>
      </c>
      <c r="I775" s="15">
        <v>0.92420732679041595</v>
      </c>
      <c r="J775" s="15">
        <v>0.91191829197957397</v>
      </c>
    </row>
    <row r="776" spans="1:16" x14ac:dyDescent="0.3">
      <c r="A776" s="15" t="str">
        <f t="shared" si="14"/>
        <v>DWH</v>
      </c>
      <c r="B776" s="15" t="s">
        <v>276</v>
      </c>
      <c r="C776" s="15" t="s">
        <v>269</v>
      </c>
      <c r="D776" s="15" t="s">
        <v>283</v>
      </c>
      <c r="E776" s="15" t="s">
        <v>318</v>
      </c>
      <c r="F776" s="15" t="s">
        <v>4</v>
      </c>
      <c r="G776" s="15">
        <v>0.77378307639559996</v>
      </c>
    </row>
    <row r="777" spans="1:16" x14ac:dyDescent="0.3">
      <c r="A777" s="15" t="str">
        <f t="shared" si="14"/>
        <v>DWH</v>
      </c>
      <c r="B777" s="15" t="s">
        <v>276</v>
      </c>
      <c r="C777" s="15" t="s">
        <v>269</v>
      </c>
      <c r="D777" s="15" t="s">
        <v>283</v>
      </c>
      <c r="E777" s="15" t="s">
        <v>322</v>
      </c>
      <c r="F777" s="15" t="s">
        <v>0</v>
      </c>
      <c r="H777" s="15">
        <v>3.05547102082752</v>
      </c>
      <c r="I777" s="15">
        <v>3.05547102082752</v>
      </c>
      <c r="J777" s="15">
        <v>3.05547102082752</v>
      </c>
      <c r="K777" s="15">
        <v>3.8408453507749298</v>
      </c>
      <c r="L777" s="15">
        <v>3.793786337424196</v>
      </c>
      <c r="M777" s="15">
        <v>3.7381954051488364</v>
      </c>
      <c r="N777" s="15">
        <v>3.6353650490050482</v>
      </c>
      <c r="O777" s="15">
        <v>3.5172158627970402</v>
      </c>
      <c r="P777" s="15">
        <v>3.3991221750430887</v>
      </c>
    </row>
    <row r="778" spans="1:16" x14ac:dyDescent="0.3">
      <c r="A778" s="15" t="str">
        <f t="shared" si="14"/>
        <v>EHP</v>
      </c>
      <c r="B778" s="15" t="s">
        <v>276</v>
      </c>
      <c r="C778" s="15" t="s">
        <v>269</v>
      </c>
      <c r="D778" s="15" t="s">
        <v>283</v>
      </c>
      <c r="E778" s="15" t="s">
        <v>319</v>
      </c>
      <c r="F778" s="15" t="s">
        <v>0</v>
      </c>
      <c r="I778" s="15">
        <v>1.0032311513086001</v>
      </c>
      <c r="J778" s="15">
        <v>1.0032311513086001</v>
      </c>
      <c r="K778" s="15">
        <v>0.63103406450065103</v>
      </c>
    </row>
    <row r="779" spans="1:16" x14ac:dyDescent="0.3">
      <c r="A779" s="15" t="str">
        <f t="shared" si="14"/>
        <v>EHP</v>
      </c>
      <c r="B779" s="15" t="s">
        <v>276</v>
      </c>
      <c r="C779" s="15" t="s">
        <v>269</v>
      </c>
      <c r="D779" s="15" t="s">
        <v>283</v>
      </c>
      <c r="E779" s="15" t="s">
        <v>319</v>
      </c>
      <c r="F779" s="15" t="s">
        <v>8</v>
      </c>
      <c r="I779" s="15">
        <v>1.9837470801787001</v>
      </c>
      <c r="J779" s="15">
        <v>1.9837470801787001</v>
      </c>
      <c r="K779" s="15">
        <v>1.24778021626782</v>
      </c>
    </row>
    <row r="780" spans="1:16" x14ac:dyDescent="0.3">
      <c r="A780" s="15" t="str">
        <f t="shared" si="14"/>
        <v>EHP</v>
      </c>
      <c r="B780" s="15" t="s">
        <v>276</v>
      </c>
      <c r="C780" s="15" t="s">
        <v>269</v>
      </c>
      <c r="D780" s="15" t="s">
        <v>283</v>
      </c>
      <c r="E780" s="15" t="s">
        <v>272</v>
      </c>
      <c r="F780" s="15" t="s">
        <v>0</v>
      </c>
      <c r="G780" s="15">
        <v>3.90577035954109E-2</v>
      </c>
      <c r="H780" s="15">
        <v>3.60532648573023E-2</v>
      </c>
      <c r="I780" s="15">
        <v>2.4035509904868201E-2</v>
      </c>
      <c r="J780" s="15">
        <v>9.0133162143255802E-3</v>
      </c>
    </row>
    <row r="781" spans="1:16" x14ac:dyDescent="0.3">
      <c r="A781" s="15" t="str">
        <f t="shared" si="14"/>
        <v>EHP</v>
      </c>
      <c r="B781" s="15" t="s">
        <v>276</v>
      </c>
      <c r="C781" s="15" t="s">
        <v>269</v>
      </c>
      <c r="D781" s="15" t="s">
        <v>283</v>
      </c>
      <c r="E781" s="15" t="s">
        <v>272</v>
      </c>
      <c r="F781" s="15" t="s">
        <v>1</v>
      </c>
      <c r="G781" s="15">
        <v>0.61503492947599603</v>
      </c>
      <c r="H781" s="15">
        <v>0.56772455028553404</v>
      </c>
      <c r="I781" s="15">
        <v>0.37848303352369</v>
      </c>
      <c r="J781" s="15">
        <v>0.14193113757138401</v>
      </c>
    </row>
    <row r="782" spans="1:16" x14ac:dyDescent="0.3">
      <c r="A782" s="15" t="str">
        <f t="shared" si="14"/>
        <v>EHP</v>
      </c>
      <c r="B782" s="15" t="s">
        <v>276</v>
      </c>
      <c r="C782" s="15" t="s">
        <v>269</v>
      </c>
      <c r="D782" s="15" t="s">
        <v>283</v>
      </c>
      <c r="E782" s="15" t="s">
        <v>272</v>
      </c>
      <c r="F782" s="15" t="s">
        <v>2</v>
      </c>
      <c r="G782" s="15">
        <v>0.19959955249278999</v>
      </c>
      <c r="H782" s="15">
        <v>0.18424574076257599</v>
      </c>
      <c r="I782" s="15">
        <v>0.122830493841717</v>
      </c>
      <c r="J782" s="15">
        <v>4.6061435190643901E-2</v>
      </c>
    </row>
    <row r="783" spans="1:16" x14ac:dyDescent="0.3">
      <c r="A783" s="15" t="str">
        <f t="shared" si="14"/>
        <v>EHP</v>
      </c>
      <c r="B783" s="15" t="s">
        <v>276</v>
      </c>
      <c r="C783" s="15" t="s">
        <v>269</v>
      </c>
      <c r="D783" s="15" t="s">
        <v>283</v>
      </c>
      <c r="E783" s="15" t="s">
        <v>272</v>
      </c>
      <c r="F783" s="15" t="s">
        <v>3</v>
      </c>
      <c r="G783" s="15">
        <v>0.50204273167610802</v>
      </c>
      <c r="H783" s="15">
        <v>0.463424060008715</v>
      </c>
      <c r="I783" s="15">
        <v>0.30894937333914302</v>
      </c>
      <c r="J783" s="15">
        <v>0.115856015002179</v>
      </c>
    </row>
    <row r="784" spans="1:16" x14ac:dyDescent="0.3">
      <c r="A784" s="15" t="str">
        <f t="shared" si="14"/>
        <v>EHP</v>
      </c>
      <c r="B784" s="15" t="s">
        <v>276</v>
      </c>
      <c r="C784" s="15" t="s">
        <v>269</v>
      </c>
      <c r="D784" s="15" t="s">
        <v>283</v>
      </c>
      <c r="E784" s="15" t="s">
        <v>272</v>
      </c>
      <c r="F784" s="15" t="s">
        <v>4</v>
      </c>
      <c r="G784" s="15">
        <v>1.09330375705073</v>
      </c>
      <c r="H784" s="15">
        <v>1.00920346804683</v>
      </c>
      <c r="I784" s="15">
        <v>0.67280231203121699</v>
      </c>
      <c r="J784" s="15">
        <v>0.25230086701170601</v>
      </c>
    </row>
    <row r="785" spans="1:16" x14ac:dyDescent="0.3">
      <c r="A785" s="15" t="str">
        <f t="shared" si="14"/>
        <v>EHP</v>
      </c>
      <c r="B785" s="15" t="s">
        <v>276</v>
      </c>
      <c r="C785" s="15" t="s">
        <v>269</v>
      </c>
      <c r="D785" s="15" t="s">
        <v>283</v>
      </c>
      <c r="E785" s="15" t="s">
        <v>272</v>
      </c>
      <c r="F785" s="15" t="s">
        <v>5</v>
      </c>
      <c r="G785" s="15">
        <v>0.177524254968218</v>
      </c>
      <c r="H785" s="15">
        <v>0.163868543047585</v>
      </c>
      <c r="I785" s="15">
        <v>0.109245695365057</v>
      </c>
      <c r="J785" s="15">
        <v>4.0967135761896402E-2</v>
      </c>
    </row>
    <row r="786" spans="1:16" x14ac:dyDescent="0.3">
      <c r="A786" s="15" t="str">
        <f t="shared" si="14"/>
        <v>EHP</v>
      </c>
      <c r="B786" s="15" t="s">
        <v>276</v>
      </c>
      <c r="C786" s="15" t="s">
        <v>269</v>
      </c>
      <c r="D786" s="15" t="s">
        <v>283</v>
      </c>
      <c r="E786" s="15" t="s">
        <v>272</v>
      </c>
      <c r="F786" s="15" t="s">
        <v>6</v>
      </c>
      <c r="G786" s="15">
        <v>0.34012826486963499</v>
      </c>
      <c r="H786" s="15">
        <v>0.31396455218735497</v>
      </c>
      <c r="I786" s="15">
        <v>0.20930970145823699</v>
      </c>
      <c r="J786" s="15">
        <v>7.8491138046838799E-2</v>
      </c>
    </row>
    <row r="787" spans="1:16" x14ac:dyDescent="0.3">
      <c r="A787" s="15" t="str">
        <f t="shared" si="14"/>
        <v>EHP</v>
      </c>
      <c r="B787" s="15" t="s">
        <v>276</v>
      </c>
      <c r="C787" s="15" t="s">
        <v>269</v>
      </c>
      <c r="D787" s="15" t="s">
        <v>283</v>
      </c>
      <c r="E787" s="15" t="s">
        <v>272</v>
      </c>
      <c r="F787" s="15" t="s">
        <v>7</v>
      </c>
      <c r="G787" s="15">
        <v>7.9355891628629896E-2</v>
      </c>
      <c r="H787" s="15">
        <v>7.3251592272581406E-2</v>
      </c>
      <c r="I787" s="15">
        <v>4.8834394848387599E-2</v>
      </c>
      <c r="J787" s="15">
        <v>1.83128980681454E-2</v>
      </c>
    </row>
    <row r="788" spans="1:16" x14ac:dyDescent="0.3">
      <c r="A788" s="15" t="str">
        <f t="shared" si="14"/>
        <v>EHP</v>
      </c>
      <c r="B788" s="15" t="s">
        <v>276</v>
      </c>
      <c r="C788" s="15" t="s">
        <v>269</v>
      </c>
      <c r="D788" s="15" t="s">
        <v>283</v>
      </c>
      <c r="E788" s="15" t="s">
        <v>272</v>
      </c>
      <c r="F788" s="15" t="s">
        <v>8</v>
      </c>
      <c r="G788" s="15">
        <v>0.77685844213877198</v>
      </c>
      <c r="H788" s="15">
        <v>0.71710010043578998</v>
      </c>
      <c r="I788" s="15">
        <v>1.6488987040709401E-2</v>
      </c>
      <c r="J788" s="15">
        <v>0.17927502510894699</v>
      </c>
    </row>
    <row r="789" spans="1:16" x14ac:dyDescent="0.3">
      <c r="A789" s="15" t="str">
        <f t="shared" si="14"/>
        <v>EWH</v>
      </c>
      <c r="B789" s="15" t="s">
        <v>276</v>
      </c>
      <c r="C789" s="15" t="s">
        <v>269</v>
      </c>
      <c r="D789" s="15" t="s">
        <v>283</v>
      </c>
      <c r="E789" s="15" t="s">
        <v>273</v>
      </c>
      <c r="F789" s="15" t="s">
        <v>0</v>
      </c>
      <c r="G789" s="15">
        <v>0.92658782434190101</v>
      </c>
      <c r="H789" s="15">
        <v>1.1453733129035799</v>
      </c>
      <c r="J789" s="15">
        <v>1.18500489449185E-2</v>
      </c>
    </row>
    <row r="790" spans="1:16" x14ac:dyDescent="0.3">
      <c r="A790" s="15" t="str">
        <f t="shared" si="14"/>
        <v>EWH</v>
      </c>
      <c r="B790" s="15" t="s">
        <v>276</v>
      </c>
      <c r="C790" s="15" t="s">
        <v>269</v>
      </c>
      <c r="D790" s="15" t="s">
        <v>283</v>
      </c>
      <c r="E790" s="15" t="s">
        <v>273</v>
      </c>
      <c r="F790" s="15" t="s">
        <v>1</v>
      </c>
      <c r="G790" s="15">
        <v>2.2150464612266298</v>
      </c>
      <c r="H790" s="15">
        <v>2.0446582719015098</v>
      </c>
      <c r="I790" s="15">
        <v>1.363105514601</v>
      </c>
      <c r="J790" s="15">
        <v>0.51116456797537702</v>
      </c>
    </row>
    <row r="791" spans="1:16" x14ac:dyDescent="0.3">
      <c r="A791" s="15" t="str">
        <f t="shared" ref="A791:A831" si="15">MID(E791,4,3)</f>
        <v>EWH</v>
      </c>
      <c r="B791" s="15" t="s">
        <v>276</v>
      </c>
      <c r="C791" s="15" t="s">
        <v>269</v>
      </c>
      <c r="D791" s="15" t="s">
        <v>283</v>
      </c>
      <c r="E791" s="15" t="s">
        <v>273</v>
      </c>
      <c r="F791" s="15" t="s">
        <v>2</v>
      </c>
      <c r="G791" s="15">
        <v>3.78963332179617</v>
      </c>
      <c r="H791" s="15">
        <v>3.49812306627339</v>
      </c>
      <c r="I791" s="15">
        <v>2.3320820441822598</v>
      </c>
      <c r="J791" s="15">
        <v>0.87453076656834605</v>
      </c>
    </row>
    <row r="792" spans="1:16" x14ac:dyDescent="0.3">
      <c r="A792" s="15" t="str">
        <f t="shared" si="15"/>
        <v>EWH</v>
      </c>
      <c r="B792" s="15" t="s">
        <v>276</v>
      </c>
      <c r="C792" s="15" t="s">
        <v>269</v>
      </c>
      <c r="D792" s="15" t="s">
        <v>283</v>
      </c>
      <c r="E792" s="15" t="s">
        <v>273</v>
      </c>
      <c r="F792" s="15" t="s">
        <v>3</v>
      </c>
      <c r="G792" s="15">
        <v>2.3423656948759501</v>
      </c>
      <c r="H792" s="15">
        <v>2.16218371834703</v>
      </c>
      <c r="I792" s="15">
        <v>1.4414558122313501</v>
      </c>
      <c r="J792" s="15">
        <v>0.54054592958675796</v>
      </c>
    </row>
    <row r="793" spans="1:16" x14ac:dyDescent="0.3">
      <c r="A793" s="15" t="str">
        <f t="shared" si="15"/>
        <v>EWH</v>
      </c>
      <c r="B793" s="15" t="s">
        <v>276</v>
      </c>
      <c r="C793" s="15" t="s">
        <v>269</v>
      </c>
      <c r="D793" s="15" t="s">
        <v>283</v>
      </c>
      <c r="E793" s="15" t="s">
        <v>273</v>
      </c>
      <c r="F793" s="15" t="s">
        <v>4</v>
      </c>
      <c r="G793" s="15">
        <v>22.309874825318001</v>
      </c>
      <c r="H793" s="15">
        <v>20.593730607985801</v>
      </c>
      <c r="I793" s="15">
        <v>13.7291537386572</v>
      </c>
      <c r="J793" s="15">
        <v>5.1484326519964601</v>
      </c>
    </row>
    <row r="794" spans="1:16" x14ac:dyDescent="0.3">
      <c r="A794" s="15" t="str">
        <f t="shared" si="15"/>
        <v>EWH</v>
      </c>
      <c r="B794" s="15" t="s">
        <v>276</v>
      </c>
      <c r="C794" s="15" t="s">
        <v>269</v>
      </c>
      <c r="D794" s="15" t="s">
        <v>283</v>
      </c>
      <c r="E794" s="15" t="s">
        <v>273</v>
      </c>
      <c r="F794" s="15" t="s">
        <v>5</v>
      </c>
      <c r="G794" s="15">
        <v>4.6258714387298996</v>
      </c>
      <c r="H794" s="15">
        <v>4.2700351742122198</v>
      </c>
      <c r="I794" s="15">
        <v>2.8466901161414802</v>
      </c>
      <c r="J794" s="15">
        <v>1.0675087935530501</v>
      </c>
    </row>
    <row r="795" spans="1:16" x14ac:dyDescent="0.3">
      <c r="A795" s="15" t="str">
        <f t="shared" si="15"/>
        <v>EWH</v>
      </c>
      <c r="B795" s="15" t="s">
        <v>276</v>
      </c>
      <c r="C795" s="15" t="s">
        <v>269</v>
      </c>
      <c r="D795" s="15" t="s">
        <v>283</v>
      </c>
      <c r="E795" s="15" t="s">
        <v>273</v>
      </c>
      <c r="F795" s="15" t="s">
        <v>6</v>
      </c>
      <c r="G795" s="15">
        <v>6.7771994771668398</v>
      </c>
      <c r="H795" s="15">
        <v>6.2558764404616998</v>
      </c>
      <c r="I795" s="15">
        <v>4.1705842936411299</v>
      </c>
      <c r="J795" s="15">
        <v>1.5639691101154301</v>
      </c>
    </row>
    <row r="796" spans="1:16" x14ac:dyDescent="0.3">
      <c r="A796" s="15" t="str">
        <f t="shared" si="15"/>
        <v>EWH</v>
      </c>
      <c r="B796" s="15" t="s">
        <v>276</v>
      </c>
      <c r="C796" s="15" t="s">
        <v>269</v>
      </c>
      <c r="D796" s="15" t="s">
        <v>283</v>
      </c>
      <c r="E796" s="15" t="s">
        <v>273</v>
      </c>
      <c r="F796" s="15" t="s">
        <v>7</v>
      </c>
      <c r="G796" s="15">
        <v>2.2319204192239099</v>
      </c>
      <c r="H796" s="15">
        <v>2.0602342331297701</v>
      </c>
      <c r="I796" s="15">
        <v>1.3734894887531801</v>
      </c>
      <c r="J796" s="15">
        <v>0.51505855828244196</v>
      </c>
    </row>
    <row r="797" spans="1:16" x14ac:dyDescent="0.3">
      <c r="A797" s="15" t="str">
        <f t="shared" si="15"/>
        <v>EWH</v>
      </c>
      <c r="B797" s="15" t="s">
        <v>276</v>
      </c>
      <c r="C797" s="15" t="s">
        <v>269</v>
      </c>
      <c r="D797" s="15" t="s">
        <v>283</v>
      </c>
      <c r="E797" s="15" t="s">
        <v>273</v>
      </c>
      <c r="F797" s="15" t="s">
        <v>8</v>
      </c>
      <c r="G797" s="15">
        <v>1.14434760836406</v>
      </c>
      <c r="H797" s="15">
        <v>1.9841652088266399</v>
      </c>
      <c r="J797" s="15">
        <v>1.2511155319678</v>
      </c>
    </row>
    <row r="798" spans="1:16" x14ac:dyDescent="0.3">
      <c r="A798" s="15" t="str">
        <f t="shared" si="15"/>
        <v>EWH</v>
      </c>
      <c r="B798" s="15" t="s">
        <v>276</v>
      </c>
      <c r="C798" s="15" t="s">
        <v>269</v>
      </c>
      <c r="D798" s="15" t="s">
        <v>283</v>
      </c>
      <c r="E798" s="15" t="s">
        <v>274</v>
      </c>
      <c r="F798" s="15" t="s">
        <v>0</v>
      </c>
      <c r="K798" s="15">
        <v>0.36039590422772599</v>
      </c>
      <c r="L798" s="15">
        <v>0.97928271678934897</v>
      </c>
      <c r="M798" s="15">
        <v>0.964933137148965</v>
      </c>
      <c r="N798" s="15">
        <v>0.93838973655216706</v>
      </c>
      <c r="O798" s="15">
        <v>0.90789211603124387</v>
      </c>
      <c r="P798" s="15">
        <v>0.87740882121873598</v>
      </c>
    </row>
    <row r="799" spans="1:16" x14ac:dyDescent="0.3">
      <c r="A799" s="15" t="str">
        <f t="shared" si="15"/>
        <v>EWH</v>
      </c>
      <c r="B799" s="15" t="s">
        <v>276</v>
      </c>
      <c r="C799" s="15" t="s">
        <v>269</v>
      </c>
      <c r="D799" s="15" t="s">
        <v>283</v>
      </c>
      <c r="E799" s="15" t="s">
        <v>274</v>
      </c>
      <c r="F799" s="15" t="s">
        <v>1</v>
      </c>
      <c r="H799" s="15">
        <v>7.4900051982454698</v>
      </c>
      <c r="I799" s="15">
        <v>7.7741593077304598</v>
      </c>
      <c r="J799" s="15">
        <v>8.764585398906048</v>
      </c>
      <c r="K799" s="15">
        <v>9.0413247290708085</v>
      </c>
      <c r="L799" s="15">
        <v>8.8606189814265583</v>
      </c>
      <c r="M799" s="15">
        <v>8.67331408537685</v>
      </c>
      <c r="N799" s="15">
        <v>8.3901219885933287</v>
      </c>
      <c r="O799" s="15">
        <v>8.0768363884593999</v>
      </c>
      <c r="P799" s="15">
        <v>7.7685381367543798</v>
      </c>
    </row>
    <row r="800" spans="1:16" x14ac:dyDescent="0.3">
      <c r="A800" s="15" t="str">
        <f t="shared" si="15"/>
        <v>EWH</v>
      </c>
      <c r="B800" s="15" t="s">
        <v>276</v>
      </c>
      <c r="C800" s="15" t="s">
        <v>269</v>
      </c>
      <c r="D800" s="15" t="s">
        <v>283</v>
      </c>
      <c r="E800" s="15" t="s">
        <v>274</v>
      </c>
      <c r="F800" s="15" t="s">
        <v>2</v>
      </c>
      <c r="H800" s="15">
        <v>7.2515130170969</v>
      </c>
      <c r="I800" s="15">
        <v>7.9111411969298198</v>
      </c>
      <c r="J800" s="15">
        <v>9.3470117688704502</v>
      </c>
      <c r="K800" s="15">
        <v>9.9086944890993003</v>
      </c>
      <c r="L800" s="15">
        <v>9.7710548028321007</v>
      </c>
      <c r="M800" s="15">
        <v>9.6243265201695181</v>
      </c>
      <c r="N800" s="15">
        <v>9.3656453894378302</v>
      </c>
      <c r="O800" s="15">
        <v>9.0710943260226209</v>
      </c>
      <c r="P800" s="15">
        <v>8.7460737765536294</v>
      </c>
    </row>
    <row r="801" spans="1:16" x14ac:dyDescent="0.3">
      <c r="A801" s="15" t="str">
        <f t="shared" si="15"/>
        <v>EWH</v>
      </c>
      <c r="B801" s="15" t="s">
        <v>276</v>
      </c>
      <c r="C801" s="15" t="s">
        <v>269</v>
      </c>
      <c r="D801" s="15" t="s">
        <v>283</v>
      </c>
      <c r="E801" s="15" t="s">
        <v>274</v>
      </c>
      <c r="F801" s="15" t="s">
        <v>3</v>
      </c>
      <c r="H801" s="15">
        <v>4.5000617262897498</v>
      </c>
      <c r="I801" s="15">
        <v>5.1519154225720598</v>
      </c>
      <c r="J801" s="15">
        <v>6.30478605217378</v>
      </c>
      <c r="K801" s="15">
        <v>6.8116586742332501</v>
      </c>
      <c r="L801" s="15">
        <v>6.8010993039560574</v>
      </c>
      <c r="M801" s="15">
        <v>6.7886211686494802</v>
      </c>
      <c r="N801" s="15">
        <v>6.7024083256055071</v>
      </c>
      <c r="O801" s="15">
        <v>6.5898535618202096</v>
      </c>
      <c r="P801" s="15">
        <v>6.4538300443842296</v>
      </c>
    </row>
    <row r="802" spans="1:16" x14ac:dyDescent="0.3">
      <c r="A802" s="15" t="str">
        <f t="shared" si="15"/>
        <v>EWH</v>
      </c>
      <c r="B802" s="15" t="s">
        <v>276</v>
      </c>
      <c r="C802" s="15" t="s">
        <v>269</v>
      </c>
      <c r="D802" s="15" t="s">
        <v>283</v>
      </c>
      <c r="E802" s="15" t="s">
        <v>274</v>
      </c>
      <c r="F802" s="15" t="s">
        <v>4</v>
      </c>
      <c r="H802" s="15">
        <v>6.2974434790975904</v>
      </c>
      <c r="I802" s="15">
        <v>13.4912246265548</v>
      </c>
      <c r="J802" s="15">
        <v>23.5400147809953</v>
      </c>
      <c r="K802" s="15">
        <v>29.05452645437046</v>
      </c>
      <c r="L802" s="15">
        <v>29.768371110820951</v>
      </c>
      <c r="M802" s="15">
        <v>30.467698096108371</v>
      </c>
      <c r="N802" s="15">
        <v>30.828225413347383</v>
      </c>
      <c r="O802" s="15">
        <v>31.078377057150639</v>
      </c>
      <c r="P802" s="15">
        <v>31.170745653984071</v>
      </c>
    </row>
    <row r="803" spans="1:16" x14ac:dyDescent="0.3">
      <c r="A803" s="15" t="str">
        <f t="shared" si="15"/>
        <v>EWH</v>
      </c>
      <c r="B803" s="15" t="s">
        <v>276</v>
      </c>
      <c r="C803" s="15" t="s">
        <v>269</v>
      </c>
      <c r="D803" s="15" t="s">
        <v>283</v>
      </c>
      <c r="E803" s="15" t="s">
        <v>274</v>
      </c>
      <c r="F803" s="15" t="s">
        <v>5</v>
      </c>
      <c r="H803" s="15">
        <v>2.2042847983892</v>
      </c>
      <c r="I803" s="15">
        <v>3.4946922375137901</v>
      </c>
      <c r="J803" s="15">
        <v>5.3830628939609104</v>
      </c>
      <c r="K803" s="15">
        <v>6.3491350954083661</v>
      </c>
      <c r="L803" s="15">
        <v>6.3373412380021605</v>
      </c>
      <c r="M803" s="15">
        <v>6.3191315070368095</v>
      </c>
      <c r="N803" s="15">
        <v>6.2311155588624771</v>
      </c>
      <c r="O803" s="15">
        <v>6.1221116331696699</v>
      </c>
      <c r="P803" s="15">
        <v>6.0097208835987708</v>
      </c>
    </row>
    <row r="804" spans="1:16" x14ac:dyDescent="0.3">
      <c r="A804" s="15" t="str">
        <f t="shared" si="15"/>
        <v>EWH</v>
      </c>
      <c r="B804" s="15" t="s">
        <v>276</v>
      </c>
      <c r="C804" s="15" t="s">
        <v>269</v>
      </c>
      <c r="D804" s="15" t="s">
        <v>283</v>
      </c>
      <c r="E804" s="15" t="s">
        <v>274</v>
      </c>
      <c r="F804" s="15" t="s">
        <v>6</v>
      </c>
      <c r="H804" s="15">
        <v>8.1713327992407905</v>
      </c>
      <c r="I804" s="15">
        <v>10.3742219950874</v>
      </c>
      <c r="J804" s="15">
        <v>13.812090205370859</v>
      </c>
      <c r="K804" s="15">
        <v>15.643347538049039</v>
      </c>
      <c r="L804" s="15">
        <v>16.13945953517236</v>
      </c>
      <c r="M804" s="15">
        <v>16.623876850693271</v>
      </c>
      <c r="N804" s="15">
        <v>16.924758109825817</v>
      </c>
      <c r="O804" s="15">
        <v>17.161007195304528</v>
      </c>
      <c r="P804" s="15">
        <v>17.339278479872629</v>
      </c>
    </row>
    <row r="805" spans="1:16" x14ac:dyDescent="0.3">
      <c r="A805" s="15" t="str">
        <f t="shared" si="15"/>
        <v>EWH</v>
      </c>
      <c r="B805" s="15" t="s">
        <v>276</v>
      </c>
      <c r="C805" s="15" t="s">
        <v>269</v>
      </c>
      <c r="D805" s="15" t="s">
        <v>283</v>
      </c>
      <c r="E805" s="15" t="s">
        <v>274</v>
      </c>
      <c r="F805" s="15" t="s">
        <v>7</v>
      </c>
      <c r="H805" s="15">
        <v>2.7292345244293101</v>
      </c>
      <c r="I805" s="15">
        <v>3.2938621257352501</v>
      </c>
      <c r="J805" s="15">
        <v>4.4350478241625098</v>
      </c>
      <c r="K805" s="15">
        <v>5.0707615554867136</v>
      </c>
      <c r="L805" s="15">
        <v>5.2790872923975893</v>
      </c>
      <c r="M805" s="15">
        <v>5.4913731461561106</v>
      </c>
      <c r="N805" s="15">
        <v>5.647006868653083</v>
      </c>
      <c r="O805" s="15">
        <v>5.7851131940774003</v>
      </c>
      <c r="P805" s="15">
        <v>5.9140806269348998</v>
      </c>
    </row>
    <row r="806" spans="1:16" x14ac:dyDescent="0.3">
      <c r="A806" s="15" t="str">
        <f t="shared" si="15"/>
        <v>EWH</v>
      </c>
      <c r="B806" s="15" t="s">
        <v>276</v>
      </c>
      <c r="C806" s="15" t="s">
        <v>269</v>
      </c>
      <c r="D806" s="15" t="s">
        <v>283</v>
      </c>
      <c r="E806" s="15" t="s">
        <v>274</v>
      </c>
      <c r="F806" s="15" t="s">
        <v>8</v>
      </c>
      <c r="J806" s="15">
        <v>3.6461641988317699</v>
      </c>
      <c r="K806" s="15">
        <v>0.80206861071897895</v>
      </c>
      <c r="L806" s="15">
        <v>2.0788962874290702</v>
      </c>
      <c r="M806" s="15">
        <v>2.1051420736416535</v>
      </c>
      <c r="N806" s="15">
        <v>2.1078808323945735</v>
      </c>
      <c r="O806" s="15">
        <v>2.10554229592978</v>
      </c>
      <c r="P806" s="15">
        <v>2.096746427896818</v>
      </c>
    </row>
    <row r="807" spans="1:16" x14ac:dyDescent="0.3">
      <c r="A807" s="15" t="str">
        <f t="shared" si="15"/>
        <v>NWH</v>
      </c>
      <c r="B807" s="15" t="s">
        <v>276</v>
      </c>
      <c r="C807" s="15" t="s">
        <v>269</v>
      </c>
      <c r="D807" s="15" t="s">
        <v>283</v>
      </c>
      <c r="E807" s="15" t="s">
        <v>270</v>
      </c>
      <c r="F807" s="15" t="s">
        <v>0</v>
      </c>
      <c r="I807" s="15">
        <v>19.999549884251099</v>
      </c>
      <c r="J807" s="15">
        <v>20.6527811394723</v>
      </c>
      <c r="K807" s="15">
        <v>20.727099921932922</v>
      </c>
      <c r="L807" s="15">
        <v>21.241286650451322</v>
      </c>
      <c r="M807" s="15">
        <v>21.73442279549089</v>
      </c>
      <c r="N807" s="15">
        <v>21.969499144973241</v>
      </c>
      <c r="O807" s="15">
        <v>22.11533299809939</v>
      </c>
      <c r="P807" s="15">
        <v>22.26133542564915</v>
      </c>
    </row>
    <row r="808" spans="1:16" x14ac:dyDescent="0.3">
      <c r="A808" s="15" t="str">
        <f t="shared" si="15"/>
        <v>NWH</v>
      </c>
      <c r="B808" s="15" t="s">
        <v>276</v>
      </c>
      <c r="C808" s="15" t="s">
        <v>269</v>
      </c>
      <c r="D808" s="15" t="s">
        <v>283</v>
      </c>
      <c r="E808" s="15" t="s">
        <v>270</v>
      </c>
      <c r="F808" s="15" t="s">
        <v>1</v>
      </c>
      <c r="I808" s="15">
        <v>55.736353652464402</v>
      </c>
      <c r="J808" s="15">
        <v>57.014137968459998</v>
      </c>
      <c r="K808" s="15">
        <v>56.618876354034803</v>
      </c>
      <c r="L808" s="15">
        <v>57.4451010358339</v>
      </c>
      <c r="M808" s="15">
        <v>58.267506240642994</v>
      </c>
      <c r="N808" s="15">
        <v>58.462914416924988</v>
      </c>
      <c r="O808" s="15">
        <v>58.43472213951906</v>
      </c>
      <c r="P808" s="15">
        <v>58.420376369413702</v>
      </c>
    </row>
    <row r="809" spans="1:16" x14ac:dyDescent="0.3">
      <c r="A809" s="15" t="str">
        <f t="shared" si="15"/>
        <v>NWH</v>
      </c>
      <c r="B809" s="15" t="s">
        <v>276</v>
      </c>
      <c r="C809" s="15" t="s">
        <v>269</v>
      </c>
      <c r="D809" s="15" t="s">
        <v>283</v>
      </c>
      <c r="E809" s="15" t="s">
        <v>270</v>
      </c>
      <c r="F809" s="15" t="s">
        <v>2</v>
      </c>
      <c r="I809" s="15">
        <v>62.808805271753698</v>
      </c>
      <c r="J809" s="15">
        <v>64.322700683643504</v>
      </c>
      <c r="K809" s="15">
        <v>64.199748092676501</v>
      </c>
      <c r="L809" s="15">
        <v>65.531461783650997</v>
      </c>
      <c r="M809" s="15">
        <v>66.874964932092496</v>
      </c>
      <c r="N809" s="15">
        <v>67.489275467757992</v>
      </c>
      <c r="O809" s="15">
        <v>67.859064592463895</v>
      </c>
      <c r="P809" s="15">
        <v>67.997178611844603</v>
      </c>
    </row>
    <row r="810" spans="1:16" x14ac:dyDescent="0.3">
      <c r="A810" s="15" t="str">
        <f t="shared" si="15"/>
        <v>NWH</v>
      </c>
      <c r="B810" s="15" t="s">
        <v>276</v>
      </c>
      <c r="C810" s="15" t="s">
        <v>269</v>
      </c>
      <c r="D810" s="15" t="s">
        <v>283</v>
      </c>
      <c r="E810" s="15" t="s">
        <v>270</v>
      </c>
      <c r="F810" s="15" t="s">
        <v>3</v>
      </c>
      <c r="I810" s="15">
        <v>29.6511967315645</v>
      </c>
      <c r="J810" s="15">
        <v>30.961402323855101</v>
      </c>
      <c r="K810" s="15">
        <v>31.392046603775402</v>
      </c>
      <c r="L810" s="15">
        <v>32.503965567629699</v>
      </c>
      <c r="M810" s="15">
        <v>33.675489333660821</v>
      </c>
      <c r="N810" s="15">
        <v>34.542107720142823</v>
      </c>
      <c r="O810" s="15">
        <v>35.319799966914459</v>
      </c>
      <c r="P810" s="15">
        <v>36.012619096871603</v>
      </c>
    </row>
    <row r="811" spans="1:16" x14ac:dyDescent="0.3">
      <c r="A811" s="15" t="str">
        <f t="shared" si="15"/>
        <v>NWH</v>
      </c>
      <c r="B811" s="15" t="s">
        <v>276</v>
      </c>
      <c r="C811" s="15" t="s">
        <v>269</v>
      </c>
      <c r="D811" s="15" t="s">
        <v>283</v>
      </c>
      <c r="E811" s="15" t="s">
        <v>270</v>
      </c>
      <c r="F811" s="15" t="s">
        <v>4</v>
      </c>
      <c r="I811" s="15">
        <v>81.2187916315537</v>
      </c>
      <c r="J811" s="15">
        <v>87.516013290408395</v>
      </c>
      <c r="K811" s="15">
        <v>91.312278052588496</v>
      </c>
      <c r="L811" s="15">
        <v>97.307996932540107</v>
      </c>
      <c r="M811" s="15">
        <v>103.67541742634261</v>
      </c>
      <c r="N811" s="15">
        <v>109.29953361851059</v>
      </c>
      <c r="O811" s="15">
        <v>114.91627900153139</v>
      </c>
      <c r="P811" s="15">
        <v>120.33040695140991</v>
      </c>
    </row>
    <row r="812" spans="1:16" x14ac:dyDescent="0.3">
      <c r="A812" s="15" t="str">
        <f t="shared" si="15"/>
        <v>NWH</v>
      </c>
      <c r="B812" s="15" t="s">
        <v>276</v>
      </c>
      <c r="C812" s="15" t="s">
        <v>269</v>
      </c>
      <c r="D812" s="15" t="s">
        <v>283</v>
      </c>
      <c r="E812" s="15" t="s">
        <v>270</v>
      </c>
      <c r="F812" s="15" t="s">
        <v>5</v>
      </c>
      <c r="I812" s="15">
        <v>22.388392477425601</v>
      </c>
      <c r="J812" s="15">
        <v>23.362751443252201</v>
      </c>
      <c r="K812" s="15">
        <v>23.7124334144426</v>
      </c>
      <c r="L812" s="15">
        <v>24.581339474051603</v>
      </c>
      <c r="M812" s="15">
        <v>25.47817096028886</v>
      </c>
      <c r="N812" s="15">
        <v>26.139100311812037</v>
      </c>
      <c r="O812" s="15">
        <v>26.746700686243642</v>
      </c>
      <c r="P812" s="15">
        <v>27.373419350757139</v>
      </c>
    </row>
    <row r="813" spans="1:16" x14ac:dyDescent="0.3">
      <c r="A813" s="15" t="str">
        <f t="shared" si="15"/>
        <v>NWH</v>
      </c>
      <c r="B813" s="15" t="s">
        <v>276</v>
      </c>
      <c r="C813" s="15" t="s">
        <v>269</v>
      </c>
      <c r="D813" s="15" t="s">
        <v>283</v>
      </c>
      <c r="E813" s="15" t="s">
        <v>270</v>
      </c>
      <c r="F813" s="15" t="s">
        <v>6</v>
      </c>
      <c r="I813" s="15">
        <v>55.234830293749901</v>
      </c>
      <c r="J813" s="15">
        <v>59.959666358399602</v>
      </c>
      <c r="K813" s="15">
        <v>62.946151231416195</v>
      </c>
      <c r="L813" s="15">
        <v>67.409415272809397</v>
      </c>
      <c r="M813" s="15">
        <v>72.133192459894204</v>
      </c>
      <c r="N813" s="15">
        <v>76.36629954567519</v>
      </c>
      <c r="O813" s="15">
        <v>80.599466388127411</v>
      </c>
      <c r="P813" s="15">
        <v>84.858548774197402</v>
      </c>
    </row>
    <row r="814" spans="1:16" x14ac:dyDescent="0.3">
      <c r="A814" s="15" t="str">
        <f t="shared" si="15"/>
        <v>NWH</v>
      </c>
      <c r="B814" s="15" t="s">
        <v>276</v>
      </c>
      <c r="C814" s="15" t="s">
        <v>269</v>
      </c>
      <c r="D814" s="15" t="s">
        <v>283</v>
      </c>
      <c r="E814" s="15" t="s">
        <v>270</v>
      </c>
      <c r="F814" s="15" t="s">
        <v>7</v>
      </c>
      <c r="I814" s="15">
        <v>25.194732161312</v>
      </c>
      <c r="J814" s="15">
        <v>27.445955137096899</v>
      </c>
      <c r="K814" s="15">
        <v>28.988134840946103</v>
      </c>
      <c r="L814" s="15">
        <v>31.257923950231103</v>
      </c>
      <c r="M814" s="15">
        <v>33.707551561228662</v>
      </c>
      <c r="N814" s="15">
        <v>35.96880961632445</v>
      </c>
      <c r="O814" s="15">
        <v>38.275946881238937</v>
      </c>
      <c r="P814" s="15">
        <v>40.689623822747201</v>
      </c>
    </row>
    <row r="815" spans="1:16" x14ac:dyDescent="0.3">
      <c r="A815" s="15" t="str">
        <f t="shared" si="15"/>
        <v>NWH</v>
      </c>
      <c r="B815" s="15" t="s">
        <v>276</v>
      </c>
      <c r="C815" s="15" t="s">
        <v>269</v>
      </c>
      <c r="D815" s="15" t="s">
        <v>283</v>
      </c>
      <c r="E815" s="15" t="s">
        <v>270</v>
      </c>
      <c r="F815" s="15" t="s">
        <v>8</v>
      </c>
      <c r="I815" s="15">
        <v>78.279555510273298</v>
      </c>
      <c r="J815" s="15">
        <v>78.279555510273298</v>
      </c>
      <c r="K815" s="15">
        <v>85.402992783664303</v>
      </c>
      <c r="L815" s="15">
        <v>89.311741584450104</v>
      </c>
      <c r="M815" s="15">
        <v>93.343404305099398</v>
      </c>
      <c r="N815" s="15">
        <v>96.561151233405297</v>
      </c>
      <c r="O815" s="15">
        <v>99.754009316214194</v>
      </c>
      <c r="P815" s="15">
        <v>102.8511697170662</v>
      </c>
    </row>
    <row r="816" spans="1:16" x14ac:dyDescent="0.3">
      <c r="A816" s="15" t="str">
        <f t="shared" si="15"/>
        <v>NWH</v>
      </c>
      <c r="B816" s="15" t="s">
        <v>276</v>
      </c>
      <c r="C816" s="15" t="s">
        <v>269</v>
      </c>
      <c r="D816" s="15" t="s">
        <v>283</v>
      </c>
      <c r="E816" s="15" t="s">
        <v>271</v>
      </c>
      <c r="F816" s="15" t="s">
        <v>0</v>
      </c>
      <c r="G816" s="15">
        <v>19.127877467203099</v>
      </c>
      <c r="H816" s="15">
        <v>17.656502277418301</v>
      </c>
    </row>
    <row r="817" spans="1:16" x14ac:dyDescent="0.3">
      <c r="A817" s="15" t="str">
        <f t="shared" si="15"/>
        <v>NWH</v>
      </c>
      <c r="B817" s="15" t="s">
        <v>276</v>
      </c>
      <c r="C817" s="15" t="s">
        <v>269</v>
      </c>
      <c r="D817" s="15" t="s">
        <v>283</v>
      </c>
      <c r="E817" s="15" t="s">
        <v>271</v>
      </c>
      <c r="F817" s="15" t="s">
        <v>1</v>
      </c>
      <c r="G817" s="15">
        <v>60.090930169452399</v>
      </c>
      <c r="H817" s="15">
        <v>53.401396026763599</v>
      </c>
    </row>
    <row r="818" spans="1:16" x14ac:dyDescent="0.3">
      <c r="A818" s="15" t="str">
        <f t="shared" si="15"/>
        <v>NWH</v>
      </c>
      <c r="B818" s="15" t="s">
        <v>276</v>
      </c>
      <c r="C818" s="15" t="s">
        <v>269</v>
      </c>
      <c r="D818" s="15" t="s">
        <v>283</v>
      </c>
      <c r="E818" s="15" t="s">
        <v>271</v>
      </c>
      <c r="F818" s="15" t="s">
        <v>2</v>
      </c>
      <c r="G818" s="15">
        <v>67.275380849482005</v>
      </c>
      <c r="H818" s="15">
        <v>60.760473024116301</v>
      </c>
    </row>
    <row r="819" spans="1:16" x14ac:dyDescent="0.3">
      <c r="A819" s="15" t="str">
        <f t="shared" si="15"/>
        <v>NWH</v>
      </c>
      <c r="B819" s="15" t="s">
        <v>276</v>
      </c>
      <c r="C819" s="15" t="s">
        <v>269</v>
      </c>
      <c r="D819" s="15" t="s">
        <v>283</v>
      </c>
      <c r="E819" s="15" t="s">
        <v>271</v>
      </c>
      <c r="F819" s="15" t="s">
        <v>3</v>
      </c>
      <c r="G819" s="15">
        <v>31.7643887082981</v>
      </c>
      <c r="H819" s="15">
        <v>27.969307681418901</v>
      </c>
    </row>
    <row r="820" spans="1:16" x14ac:dyDescent="0.3">
      <c r="A820" s="15" t="str">
        <f t="shared" si="15"/>
        <v>NWH</v>
      </c>
      <c r="B820" s="15" t="s">
        <v>276</v>
      </c>
      <c r="C820" s="15" t="s">
        <v>269</v>
      </c>
      <c r="D820" s="15" t="s">
        <v>283</v>
      </c>
      <c r="E820" s="15" t="s">
        <v>271</v>
      </c>
      <c r="F820" s="15" t="s">
        <v>4</v>
      </c>
      <c r="G820" s="15">
        <v>76.185685022281106</v>
      </c>
      <c r="H820" s="15">
        <v>70.325247712874898</v>
      </c>
    </row>
    <row r="821" spans="1:16" x14ac:dyDescent="0.3">
      <c r="A821" s="15" t="str">
        <f t="shared" si="15"/>
        <v>NWH</v>
      </c>
      <c r="B821" s="15" t="s">
        <v>276</v>
      </c>
      <c r="C821" s="15" t="s">
        <v>269</v>
      </c>
      <c r="D821" s="15" t="s">
        <v>283</v>
      </c>
      <c r="E821" s="15" t="s">
        <v>271</v>
      </c>
      <c r="F821" s="15" t="s">
        <v>5</v>
      </c>
      <c r="G821" s="15">
        <v>22.668527444745699</v>
      </c>
      <c r="H821" s="15">
        <v>21.175508969795299</v>
      </c>
    </row>
    <row r="822" spans="1:16" x14ac:dyDescent="0.3">
      <c r="A822" s="15" t="str">
        <f t="shared" si="15"/>
        <v>NWH</v>
      </c>
      <c r="B822" s="15" t="s">
        <v>276</v>
      </c>
      <c r="C822" s="15" t="s">
        <v>269</v>
      </c>
      <c r="D822" s="15" t="s">
        <v>283</v>
      </c>
      <c r="E822" s="15" t="s">
        <v>271</v>
      </c>
      <c r="F822" s="15" t="s">
        <v>6</v>
      </c>
      <c r="G822" s="15">
        <v>56.711198407928499</v>
      </c>
      <c r="H822" s="15">
        <v>50.627457391568001</v>
      </c>
    </row>
    <row r="823" spans="1:16" x14ac:dyDescent="0.3">
      <c r="A823" s="15" t="str">
        <f t="shared" si="15"/>
        <v>NWH</v>
      </c>
      <c r="B823" s="15" t="s">
        <v>276</v>
      </c>
      <c r="C823" s="15" t="s">
        <v>269</v>
      </c>
      <c r="D823" s="15" t="s">
        <v>283</v>
      </c>
      <c r="E823" s="15" t="s">
        <v>271</v>
      </c>
      <c r="F823" s="15" t="s">
        <v>7</v>
      </c>
      <c r="G823" s="15">
        <v>25.5919963548466</v>
      </c>
      <c r="H823" s="15">
        <v>23.5424636921048</v>
      </c>
    </row>
    <row r="824" spans="1:16" x14ac:dyDescent="0.3">
      <c r="A824" s="15" t="str">
        <f t="shared" si="15"/>
        <v>NWH</v>
      </c>
      <c r="B824" s="15" t="s">
        <v>276</v>
      </c>
      <c r="C824" s="15" t="s">
        <v>269</v>
      </c>
      <c r="D824" s="15" t="s">
        <v>283</v>
      </c>
      <c r="E824" s="15" t="s">
        <v>271</v>
      </c>
      <c r="F824" s="15" t="s">
        <v>8</v>
      </c>
      <c r="G824" s="15">
        <v>73.02717479559</v>
      </c>
      <c r="H824" s="15">
        <v>67.4096998113138</v>
      </c>
      <c r="I824" s="15">
        <v>0.29789278117129903</v>
      </c>
    </row>
    <row r="825" spans="1:16" x14ac:dyDescent="0.3">
      <c r="A825" s="15" t="str">
        <f t="shared" si="15"/>
        <v>NWH</v>
      </c>
      <c r="B825" s="15" t="s">
        <v>276</v>
      </c>
      <c r="C825" s="15" t="s">
        <v>269</v>
      </c>
      <c r="D825" s="15" t="s">
        <v>283</v>
      </c>
      <c r="E825" s="15" t="s">
        <v>323</v>
      </c>
      <c r="F825" s="15" t="s">
        <v>0</v>
      </c>
      <c r="H825" s="15">
        <v>1.46925638611732</v>
      </c>
    </row>
    <row r="826" spans="1:16" x14ac:dyDescent="0.3">
      <c r="A826" s="15" t="str">
        <f t="shared" si="15"/>
        <v>NWH</v>
      </c>
      <c r="B826" s="15" t="s">
        <v>276</v>
      </c>
      <c r="C826" s="15" t="s">
        <v>269</v>
      </c>
      <c r="D826" s="15" t="s">
        <v>283</v>
      </c>
      <c r="E826" s="15" t="s">
        <v>323</v>
      </c>
      <c r="F826" s="15" t="s">
        <v>4</v>
      </c>
      <c r="H826" s="15">
        <v>4.5987559544363599</v>
      </c>
    </row>
    <row r="827" spans="1:16" x14ac:dyDescent="0.3">
      <c r="A827" s="15" t="str">
        <f t="shared" si="15"/>
        <v>NWH</v>
      </c>
      <c r="B827" s="15" t="s">
        <v>276</v>
      </c>
      <c r="C827" s="15" t="s">
        <v>269</v>
      </c>
      <c r="D827" s="15" t="s">
        <v>283</v>
      </c>
      <c r="E827" s="15" t="s">
        <v>323</v>
      </c>
      <c r="F827" s="15" t="s">
        <v>8</v>
      </c>
      <c r="H827" s="15">
        <v>6.2447416036593504</v>
      </c>
    </row>
    <row r="828" spans="1:16" x14ac:dyDescent="0.3">
      <c r="A828" s="15" t="str">
        <f t="shared" si="15"/>
        <v>SLN</v>
      </c>
      <c r="B828" s="15" t="s">
        <v>276</v>
      </c>
      <c r="C828" s="15" t="s">
        <v>269</v>
      </c>
      <c r="D828" s="15" t="s">
        <v>283</v>
      </c>
      <c r="E828" s="15" t="s">
        <v>275</v>
      </c>
      <c r="F828" s="15" t="s">
        <v>0</v>
      </c>
      <c r="G828" s="15">
        <v>5.4385180122875798E-2</v>
      </c>
      <c r="H828" s="15">
        <v>5.1665921116732003E-2</v>
      </c>
      <c r="I828" s="15">
        <v>4.0788885092156897E-2</v>
      </c>
      <c r="J828" s="15">
        <v>2.7192590061437899E-2</v>
      </c>
      <c r="K828" s="15">
        <v>1.3596295030719E-2</v>
      </c>
    </row>
    <row r="829" spans="1:16" x14ac:dyDescent="0.3">
      <c r="A829" s="15" t="str">
        <f t="shared" si="15"/>
        <v>SLN</v>
      </c>
      <c r="B829" s="15" t="s">
        <v>276</v>
      </c>
      <c r="C829" s="15" t="s">
        <v>269</v>
      </c>
      <c r="D829" s="15" t="s">
        <v>283</v>
      </c>
      <c r="E829" s="15" t="s">
        <v>275</v>
      </c>
      <c r="F829" s="15" t="s">
        <v>2</v>
      </c>
      <c r="G829" s="15">
        <v>0.115330124118564</v>
      </c>
      <c r="H829" s="15">
        <v>0.109563617912636</v>
      </c>
      <c r="I829" s="15">
        <v>8.6497593088923103E-2</v>
      </c>
      <c r="J829" s="15">
        <v>5.7665062059281999E-2</v>
      </c>
      <c r="K829" s="15">
        <v>2.8832531029641E-2</v>
      </c>
    </row>
    <row r="830" spans="1:16" x14ac:dyDescent="0.3">
      <c r="A830" s="15" t="str">
        <f t="shared" si="15"/>
        <v>SLN</v>
      </c>
      <c r="B830" s="15" t="s">
        <v>276</v>
      </c>
      <c r="C830" s="15" t="s">
        <v>269</v>
      </c>
      <c r="D830" s="15" t="s">
        <v>283</v>
      </c>
      <c r="E830" s="15" t="s">
        <v>320</v>
      </c>
      <c r="F830" s="15" t="s">
        <v>0</v>
      </c>
      <c r="H830" s="15">
        <v>3.0228094550743798E-2</v>
      </c>
      <c r="I830" s="15">
        <v>1.5203753350073601E-2</v>
      </c>
      <c r="J830" s="15">
        <v>3.0228094550743798E-2</v>
      </c>
      <c r="K830" s="15">
        <v>4.3634310970721596E-2</v>
      </c>
      <c r="L830" s="15">
        <v>5.8249363595608103E-2</v>
      </c>
      <c r="M830" s="15">
        <v>5.9196951019481199E-2</v>
      </c>
      <c r="N830" s="15">
        <v>5.9433632213031141E-2</v>
      </c>
      <c r="O830" s="15">
        <v>5.9427333661606546E-2</v>
      </c>
      <c r="P830" s="15">
        <v>5.9421568914135144E-2</v>
      </c>
    </row>
    <row r="831" spans="1:16" x14ac:dyDescent="0.3">
      <c r="A831" s="15" t="str">
        <f t="shared" si="15"/>
        <v>SLN</v>
      </c>
      <c r="B831" s="15" t="s">
        <v>276</v>
      </c>
      <c r="C831" s="15" t="s">
        <v>269</v>
      </c>
      <c r="D831" s="15" t="s">
        <v>283</v>
      </c>
      <c r="E831" s="15" t="s">
        <v>320</v>
      </c>
      <c r="F831" s="15" t="s">
        <v>2</v>
      </c>
      <c r="H831" s="15">
        <v>6.1838092939268202E-2</v>
      </c>
      <c r="I831" s="15">
        <v>6.1838092939268202E-2</v>
      </c>
      <c r="J831" s="15">
        <v>6.1838092939268202E-2</v>
      </c>
      <c r="K831" s="15">
        <v>8.9898619642013705E-2</v>
      </c>
      <c r="L831" s="15">
        <v>0.12064420909829179</v>
      </c>
      <c r="M831" s="15">
        <v>0.12256159464788088</v>
      </c>
      <c r="N831" s="15">
        <v>0.12313135818614258</v>
      </c>
      <c r="O831" s="15">
        <v>0.12325189912965909</v>
      </c>
      <c r="P831" s="15">
        <v>0.12295245109631339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053B-2789-4466-A1C8-DC8AEE23CCB3}">
  <dimension ref="A1:W44"/>
  <sheetViews>
    <sheetView workbookViewId="0">
      <selection activeCell="A21" sqref="A21"/>
    </sheetView>
  </sheetViews>
  <sheetFormatPr defaultRowHeight="14.4" x14ac:dyDescent="0.3"/>
  <cols>
    <col min="1" max="1" width="10.44140625" style="15" bestFit="1" customWidth="1"/>
    <col min="2" max="16384" width="8.88671875" style="15"/>
  </cols>
  <sheetData>
    <row r="1" spans="1:23" x14ac:dyDescent="0.3">
      <c r="C1" s="19">
        <f>C16+C17+C18+C19</f>
        <v>1.4664521943200584</v>
      </c>
      <c r="D1" s="19">
        <f t="shared" ref="D1:K1" si="0">D16+D17+D18+D19</f>
        <v>1.4664521943200577</v>
      </c>
      <c r="E1" s="19">
        <f t="shared" si="0"/>
        <v>1.4664521943200568</v>
      </c>
      <c r="F1" s="19">
        <f t="shared" si="0"/>
        <v>1.466452194320057</v>
      </c>
      <c r="G1" s="19">
        <f t="shared" si="0"/>
        <v>1.4664521943200579</v>
      </c>
      <c r="H1" s="19">
        <f t="shared" si="0"/>
        <v>1.475620496397118</v>
      </c>
      <c r="I1" s="19">
        <f t="shared" si="0"/>
        <v>1.4664521943200577</v>
      </c>
      <c r="J1" s="19">
        <f t="shared" si="0"/>
        <v>1.4756204963971178</v>
      </c>
      <c r="K1" s="19">
        <f t="shared" si="0"/>
        <v>1.4664521943200577</v>
      </c>
    </row>
    <row r="2" spans="1:23" ht="15" thickBot="1" x14ac:dyDescent="0.35">
      <c r="A2" s="6" t="s">
        <v>111</v>
      </c>
      <c r="B2" s="6" t="s">
        <v>117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N2" s="6" t="s">
        <v>0</v>
      </c>
      <c r="O2" s="6" t="s">
        <v>1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</row>
    <row r="3" spans="1:23" x14ac:dyDescent="0.3">
      <c r="A3" s="15" t="s">
        <v>127</v>
      </c>
      <c r="B3" s="15" t="s">
        <v>128</v>
      </c>
      <c r="C3" s="19">
        <f>(SUMIFS('RES results'!$H:$H,'RES results'!$C:$C,"VAR_Fout",'RES results'!$G:$G,C$2,'RES results'!$E:$E,"RSH",'RES results'!$B:$B,"DFR")+SUMIFS('RES results'!$H:$H,'RES results'!$C:$C,"VAR_Fout",'RES results'!$G:$G,C$2,'RES results'!$E:$E,"RSH",'RES results'!$B:$B,"DRD"))/N4*0.99</f>
        <v>0.48938212454792701</v>
      </c>
      <c r="D3" s="19">
        <f>(SUMIFS('RES results'!$H:$H,'RES results'!$C:$C,"VAR_Fout",'RES results'!$G:$G,D$2,'RES results'!$E:$E,"RSH",'RES results'!$B:$B,"DFR")+SUMIFS('RES results'!$H:$H,'RES results'!$C:$C,"VAR_Fout",'RES results'!$G:$G,D$2,'RES results'!$E:$E,"RSH",'RES results'!$B:$B,"DRD"))/O4*0.99</f>
        <v>0.27005864169898375</v>
      </c>
      <c r="E3" s="19">
        <f>(SUMIFS('RES results'!$H:$H,'RES results'!$C:$C,"VAR_Fout",'RES results'!$G:$G,E$2,'RES results'!$E:$E,"RSH",'RES results'!$B:$B,"DFR")+SUMIFS('RES results'!$H:$H,'RES results'!$C:$C,"VAR_Fout",'RES results'!$G:$G,E$2,'RES results'!$E:$E,"RSH",'RES results'!$B:$B,"DRD"))/P4*0.99</f>
        <v>1.6713488512435325E-2</v>
      </c>
      <c r="F3" s="19">
        <f>(SUMIFS('RES results'!$H:$H,'RES results'!$C:$C,"VAR_Fout",'RES results'!$G:$G,F$2,'RES results'!$E:$E,"RSH",'RES results'!$B:$B,"DFR")+SUMIFS('RES results'!$H:$H,'RES results'!$C:$C,"VAR_Fout",'RES results'!$G:$G,F$2,'RES results'!$E:$E,"RSH",'RES results'!$B:$B,"DRD"))/Q4*0.99</f>
        <v>2.5199893453556808E-2</v>
      </c>
      <c r="G3" s="19">
        <f>(SUMIFS('RES results'!$H:$H,'RES results'!$C:$C,"VAR_Fout",'RES results'!$G:$G,G$2,'RES results'!$E:$E,"RSH",'RES results'!$B:$B,"DFR")+SUMIFS('RES results'!$H:$H,'RES results'!$C:$C,"VAR_Fout",'RES results'!$G:$G,G$2,'RES results'!$E:$E,"RSH",'RES results'!$B:$B,"DRD"))/R4*0.99</f>
        <v>6.9677474184565602E-2</v>
      </c>
      <c r="H3" s="19">
        <f>(SUMIFS('RES results'!$H:$H,'RES results'!$C:$C,"VAR_Fout",'RES results'!$G:$G,H$2,'RES results'!$E:$E,"RSH",'RES results'!$B:$B,"DFR")+SUMIFS('RES results'!$H:$H,'RES results'!$C:$C,"VAR_Fout",'RES results'!$G:$G,H$2,'RES results'!$E:$E,"RSH",'RES results'!$B:$B,"DRD"))/S4*0.99</f>
        <v>0</v>
      </c>
      <c r="I3" s="19">
        <f>(SUMIFS('RES results'!$H:$H,'RES results'!$C:$C,"VAR_Fout",'RES results'!$G:$G,I$2,'RES results'!$E:$E,"RSH",'RES results'!$B:$B,"DFR")+SUMIFS('RES results'!$H:$H,'RES results'!$C:$C,"VAR_Fout",'RES results'!$G:$G,I$2,'RES results'!$E:$E,"RSH",'RES results'!$B:$B,"DRD"))/T4*0.99</f>
        <v>0</v>
      </c>
      <c r="J3" s="19">
        <f>(SUMIFS('RES results'!$H:$H,'RES results'!$C:$C,"VAR_Fout",'RES results'!$G:$G,J$2,'RES results'!$E:$E,"RSH",'RES results'!$B:$B,"DFR")+SUMIFS('RES results'!$H:$H,'RES results'!$C:$C,"VAR_Fout",'RES results'!$G:$G,J$2,'RES results'!$E:$E,"RSH",'RES results'!$B:$B,"DRD"))/U4*0.99</f>
        <v>4.0554175142235365E-3</v>
      </c>
      <c r="K3" s="19">
        <f>(SUMIFS('RES results'!$H:$H,'RES results'!$C:$C,"VAR_Fout",'RES results'!$G:$G,K$2,'RES results'!$E:$E,"RSH",'RES results'!$B:$B,"DFR")+SUMIFS('RES results'!$H:$H,'RES results'!$C:$C,"VAR_Fout",'RES results'!$G:$G,K$2,'RES results'!$E:$E,"RSH",'RES results'!$B:$B,"DRD"))/V4*0.99</f>
        <v>1.5978381362221437E-2</v>
      </c>
      <c r="M3" s="15" t="s">
        <v>168</v>
      </c>
      <c r="N3" s="11">
        <f>SUMIFS('RES results'!$H:$H,'RES results'!$E:$E,$M3,'RES results'!$G:$G,N$2,'RES results'!$C:$C,"VAR_Fout")</f>
        <v>46.858731571283812</v>
      </c>
      <c r="O3" s="11">
        <f>SUMIFS('RES results'!$H:$H,'RES results'!$E:$E,$M3,'RES results'!$G:$G,O$2,'RES results'!$C:$C,"VAR_Fout")</f>
        <v>185.602096409669</v>
      </c>
      <c r="P3" s="11">
        <f>SUMIFS('RES results'!$H:$H,'RES results'!$E:$E,$M3,'RES results'!$G:$G,P$2,'RES results'!$C:$C,"VAR_Fout")</f>
        <v>229.02619407395298</v>
      </c>
      <c r="Q3" s="11">
        <f>SUMIFS('RES results'!$H:$H,'RES results'!$E:$E,$M3,'RES results'!$G:$G,Q$2,'RES results'!$C:$C,"VAR_Fout")</f>
        <v>125.75665340771548</v>
      </c>
      <c r="R3" s="11">
        <f>SUMIFS('RES results'!$H:$H,'RES results'!$E:$E,$M3,'RES results'!$G:$G,R$2,'RES results'!$C:$C,"VAR_Fout")</f>
        <v>885.85509589014396</v>
      </c>
      <c r="S3" s="11">
        <f>SUMIFS('RES results'!$H:$H,'RES results'!$E:$E,$M3,'RES results'!$G:$G,S$2,'RES results'!$C:$C,"VAR_Fout")</f>
        <v>202.33686983597636</v>
      </c>
      <c r="T3" s="11">
        <f>SUMIFS('RES results'!$H:$H,'RES results'!$E:$E,$M3,'RES results'!$G:$G,T$2,'RES results'!$C:$C,"VAR_Fout")</f>
        <v>649.84224688009533</v>
      </c>
      <c r="U3" s="11">
        <f>SUMIFS('RES results'!$H:$H,'RES results'!$E:$E,$M3,'RES results'!$G:$G,U$2,'RES results'!$C:$C,"VAR_Fout")</f>
        <v>216.76128550848475</v>
      </c>
      <c r="V3" s="11">
        <f>SUMIFS('RES results'!$H:$H,'RES results'!$E:$E,$M3,'RES results'!$G:$G,V$2,'RES results'!$C:$C,"VAR_Fout")</f>
        <v>240.628193917191</v>
      </c>
    </row>
    <row r="4" spans="1:23" x14ac:dyDescent="0.3">
      <c r="A4" s="15" t="s">
        <v>131</v>
      </c>
      <c r="B4" s="15" t="s">
        <v>132</v>
      </c>
      <c r="C4" s="19">
        <f>(SUMIFS('RES results'!$H:$H,'RES results'!$C:$C,"VAR_Fout",'RES results'!$G:$G,C$2,'RES results'!$E:$E,"RSH",'RES results'!$B:$B,"EHP")+SUMIFS('RES results'!$H:$H,'RES results'!$C:$C,"VAR_Fout",'RES results'!$G:$G,C$2,'RES results'!$E:$E,"RSH",'RES results'!$B:$B,"ERD")+SUMIFS('RES results'!$H:$H,'RES results'!$C:$C,"VAR_Fout",'RES results'!$G:$G,C$2,'RES results'!$E:$E,"RSH",'RES results'!$B:$B,"GHP"))/N4*0.99</f>
        <v>1.4977095631694687E-2</v>
      </c>
      <c r="D4" s="19">
        <f>(SUMIFS('RES results'!$H:$H,'RES results'!$C:$C,"VAR_Fout",'RES results'!$G:$G,D$2,'RES results'!$E:$E,"RSH",'RES results'!$B:$B,"EHP")+SUMIFS('RES results'!$H:$H,'RES results'!$C:$C,"VAR_Fout",'RES results'!$G:$G,D$2,'RES results'!$E:$E,"RSH",'RES results'!$B:$B,"ERD")+SUMIFS('RES results'!$H:$H,'RES results'!$C:$C,"VAR_Fout",'RES results'!$G:$G,D$2,'RES results'!$E:$E,"RSH",'RES results'!$B:$B,"GHP"))/O4*0.99</f>
        <v>3.6391141401725849E-2</v>
      </c>
      <c r="E4" s="19">
        <f>(SUMIFS('RES results'!$H:$H,'RES results'!$C:$C,"VAR_Fout",'RES results'!$G:$G,E$2,'RES results'!$E:$E,"RSH",'RES results'!$B:$B,"EHP")+SUMIFS('RES results'!$H:$H,'RES results'!$C:$C,"VAR_Fout",'RES results'!$G:$G,E$2,'RES results'!$E:$E,"RSH",'RES results'!$B:$B,"ERD")+SUMIFS('RES results'!$H:$H,'RES results'!$C:$C,"VAR_Fout",'RES results'!$G:$G,E$2,'RES results'!$E:$E,"RSH",'RES results'!$B:$B,"GHP"))/P4*0.99</f>
        <v>4.4163923055178481E-2</v>
      </c>
      <c r="F4" s="19">
        <f>(SUMIFS('RES results'!$H:$H,'RES results'!$C:$C,"VAR_Fout",'RES results'!$G:$G,F$2,'RES results'!$E:$E,"RSH",'RES results'!$B:$B,"EHP")+SUMIFS('RES results'!$H:$H,'RES results'!$C:$C,"VAR_Fout",'RES results'!$G:$G,F$2,'RES results'!$E:$E,"RSH",'RES results'!$B:$B,"ERD")+SUMIFS('RES results'!$H:$H,'RES results'!$C:$C,"VAR_Fout",'RES results'!$G:$G,F$2,'RES results'!$E:$E,"RSH",'RES results'!$B:$B,"GHP"))/Q4*0.99</f>
        <v>7.6761407969967999E-2</v>
      </c>
      <c r="G4" s="19">
        <f>(SUMIFS('RES results'!$H:$H,'RES results'!$C:$C,"VAR_Fout",'RES results'!$G:$G,G$2,'RES results'!$E:$E,"RSH",'RES results'!$B:$B,"EHP")+SUMIFS('RES results'!$H:$H,'RES results'!$C:$C,"VAR_Fout",'RES results'!$G:$G,G$2,'RES results'!$E:$E,"RSH",'RES results'!$B:$B,"ERD")+SUMIFS('RES results'!$H:$H,'RES results'!$C:$C,"VAR_Fout",'RES results'!$G:$G,G$2,'RES results'!$E:$E,"RSH",'RES results'!$B:$B,"GHP"))/R4*0.99</f>
        <v>0.31606001583899085</v>
      </c>
      <c r="H4" s="19">
        <f>(SUMIFS('RES results'!$H:$H,'RES results'!$C:$C,"VAR_Fout",'RES results'!$G:$G,H$2,'RES results'!$E:$E,"RSH",'RES results'!$B:$B,"EHP")+SUMIFS('RES results'!$H:$H,'RES results'!$C:$C,"VAR_Fout",'RES results'!$G:$G,H$2,'RES results'!$E:$E,"RSH",'RES results'!$B:$B,"ERD")+SUMIFS('RES results'!$H:$H,'RES results'!$C:$C,"VAR_Fout",'RES results'!$G:$G,H$2,'RES results'!$E:$E,"RSH",'RES results'!$B:$B,"GHP"))/S4*0.99</f>
        <v>0.29062585309676575</v>
      </c>
      <c r="I4" s="19">
        <f>(SUMIFS('RES results'!$H:$H,'RES results'!$C:$C,"VAR_Fout",'RES results'!$G:$G,I$2,'RES results'!$E:$E,"RSH",'RES results'!$B:$B,"EHP")+SUMIFS('RES results'!$H:$H,'RES results'!$C:$C,"VAR_Fout",'RES results'!$G:$G,I$2,'RES results'!$E:$E,"RSH",'RES results'!$B:$B,"ERD")+SUMIFS('RES results'!$H:$H,'RES results'!$C:$C,"VAR_Fout",'RES results'!$G:$G,I$2,'RES results'!$E:$E,"RSH",'RES results'!$B:$B,"GHP"))/T4*0.99</f>
        <v>0.22892473078809822</v>
      </c>
      <c r="J4" s="19">
        <f>(SUMIFS('RES results'!$H:$H,'RES results'!$C:$C,"VAR_Fout",'RES results'!$G:$G,J$2,'RES results'!$E:$E,"RSH",'RES results'!$B:$B,"EHP")+SUMIFS('RES results'!$H:$H,'RES results'!$C:$C,"VAR_Fout",'RES results'!$G:$G,J$2,'RES results'!$E:$E,"RSH",'RES results'!$B:$B,"ERD")+SUMIFS('RES results'!$H:$H,'RES results'!$C:$C,"VAR_Fout",'RES results'!$G:$G,J$2,'RES results'!$E:$E,"RSH",'RES results'!$B:$B,"GHP"))/U4*0.99</f>
        <v>8.5880901959185185E-2</v>
      </c>
      <c r="K4" s="19">
        <f>(SUMIFS('RES results'!$H:$H,'RES results'!$C:$C,"VAR_Fout",'RES results'!$G:$G,K$2,'RES results'!$E:$E,"RSH",'RES results'!$B:$B,"EHP")+SUMIFS('RES results'!$H:$H,'RES results'!$C:$C,"VAR_Fout",'RES results'!$G:$G,K$2,'RES results'!$E:$E,"RSH",'RES results'!$B:$B,"ERD")+SUMIFS('RES results'!$H:$H,'RES results'!$C:$C,"VAR_Fout",'RES results'!$G:$G,K$2,'RES results'!$E:$E,"RSH",'RES results'!$B:$B,"GHP"))/V4*0.99</f>
        <v>0.14538276646439582</v>
      </c>
      <c r="M4" s="15" t="s">
        <v>129</v>
      </c>
      <c r="N4" s="11">
        <f>SUMIFS('RES results'!$H:$H,'RES results'!$E:$E,$M4,'RES results'!$G:$G,N$2,'RES results'!$C:$C,"VAR_Fout")</f>
        <v>355.65042141436925</v>
      </c>
      <c r="O4" s="11">
        <f>SUMIFS('RES results'!$H:$H,'RES results'!$E:$E,$M4,'RES results'!$G:$G,O$2,'RES results'!$C:$C,"VAR_Fout")</f>
        <v>908.83277060488672</v>
      </c>
      <c r="P4" s="11">
        <f>SUMIFS('RES results'!$H:$H,'RES results'!$E:$E,$M4,'RES results'!$G:$G,P$2,'RES results'!$C:$C,"VAR_Fout")</f>
        <v>1145.2606464940502</v>
      </c>
      <c r="Q4" s="11">
        <f>SUMIFS('RES results'!$H:$H,'RES results'!$E:$E,$M4,'RES results'!$G:$G,Q$2,'RES results'!$C:$C,"VAR_Fout")</f>
        <v>518.55933208750207</v>
      </c>
      <c r="R4" s="11">
        <f>SUMIFS('RES results'!$H:$H,'RES results'!$E:$E,$M4,'RES results'!$G:$G,R$2,'RES results'!$C:$C,"VAR_Fout")</f>
        <v>615.88745373917175</v>
      </c>
      <c r="S4" s="11">
        <f>SUMIFS('RES results'!$H:$H,'RES results'!$E:$E,$M4,'RES results'!$G:$G,S$2,'RES results'!$C:$C,"VAR_Fout")</f>
        <v>247.69437086887731</v>
      </c>
      <c r="T4" s="11">
        <f>SUMIFS('RES results'!$H:$H,'RES results'!$E:$E,$M4,'RES results'!$G:$G,T$2,'RES results'!$C:$C,"VAR_Fout")</f>
        <v>303.19130857061833</v>
      </c>
      <c r="U4" s="11">
        <f>SUMIFS('RES results'!$H:$H,'RES results'!$E:$E,$M4,'RES results'!$G:$G,U$2,'RES results'!$C:$C,"VAR_Fout")</f>
        <v>434.714712454243</v>
      </c>
      <c r="V4" s="11">
        <f>SUMIFS('RES results'!$H:$H,'RES results'!$E:$E,$M4,'RES results'!$G:$G,V$2,'RES results'!$C:$C,"VAR_Fout")</f>
        <v>563.88998255584022</v>
      </c>
    </row>
    <row r="5" spans="1:23" x14ac:dyDescent="0.3">
      <c r="A5" s="15" t="s">
        <v>134</v>
      </c>
      <c r="B5" s="15" t="s">
        <v>135</v>
      </c>
      <c r="C5" s="19">
        <f>SUMIFS('RES results'!$H:$H,'RES results'!$C:$C,"VAR_Fout",'RES results'!$G:$G,C$2,'RES results'!$E:$E,"RSH",'RES results'!$B:$B,"LFR")/N4*0.99</f>
        <v>2.2046068229353625E-2</v>
      </c>
      <c r="D5" s="19">
        <f>SUMIFS('RES results'!$H:$H,'RES results'!$C:$C,"VAR_Fout",'RES results'!$G:$G,D$2,'RES results'!$E:$E,"RSH",'RES results'!$B:$B,"LFR")/O4*0.99</f>
        <v>3.6976222183443798E-2</v>
      </c>
      <c r="E5" s="19">
        <f>SUMIFS('RES results'!$H:$H,'RES results'!$C:$C,"VAR_Fout",'RES results'!$G:$G,E$2,'RES results'!$E:$E,"RSH",'RES results'!$B:$B,"LFR")/P4*0.99</f>
        <v>6.4563070622256066E-2</v>
      </c>
      <c r="F5" s="19">
        <f>SUMIFS('RES results'!$H:$H,'RES results'!$C:$C,"VAR_Fout",'RES results'!$G:$G,F$2,'RES results'!$E:$E,"RSH",'RES results'!$B:$B,"LFR")/Q4*0.99</f>
        <v>0.16309903031036596</v>
      </c>
      <c r="G5" s="19">
        <f>SUMIFS('RES results'!$H:$H,'RES results'!$C:$C,"VAR_Fout",'RES results'!$G:$G,G$2,'RES results'!$E:$E,"RSH",'RES results'!$B:$B,"LFR")/R4*0.99</f>
        <v>4.7478874349726814E-2</v>
      </c>
      <c r="H5" s="19">
        <f>SUMIFS('RES results'!$H:$H,'RES results'!$C:$C,"VAR_Fout",'RES results'!$G:$G,H$2,'RES results'!$E:$E,"RSH",'RES results'!$B:$B,"LFR")/S4*0.99</f>
        <v>0.12301149608820428</v>
      </c>
      <c r="I5" s="19">
        <f>SUMIFS('RES results'!$H:$H,'RES results'!$C:$C,"VAR_Fout",'RES results'!$G:$G,I$2,'RES results'!$E:$E,"RSH",'RES results'!$B:$B,"LFR")/T4*0.99</f>
        <v>6.4242112270641402E-2</v>
      </c>
      <c r="J5" s="19">
        <f>SUMIFS('RES results'!$H:$H,'RES results'!$C:$C,"VAR_Fout",'RES results'!$G:$G,J$2,'RES results'!$E:$E,"RSH",'RES results'!$B:$B,"LFR")/U4*0.99</f>
        <v>9.9734116048724938E-2</v>
      </c>
      <c r="K5" s="19">
        <f>SUMIFS('RES results'!$H:$H,'RES results'!$C:$C,"VAR_Fout",'RES results'!$G:$G,K$2,'RES results'!$E:$E,"RSH",'RES results'!$B:$B,"LFR")/V4*0.99</f>
        <v>3.0497671524651219E-2</v>
      </c>
      <c r="M5" s="15" t="s">
        <v>155</v>
      </c>
      <c r="N5" s="11">
        <f>SUMIFS('RES results'!$H:$H,'RES results'!$E:$E,$M5,'RES results'!$G:$G,N$2,'RES results'!$C:$C,"VAR_Fout")</f>
        <v>55.266381451801166</v>
      </c>
      <c r="O5" s="11">
        <f>SUMIFS('RES results'!$H:$H,'RES results'!$E:$E,$M5,'RES results'!$G:$G,O$2,'RES results'!$C:$C,"VAR_Fout")</f>
        <v>156.35988540861669</v>
      </c>
      <c r="P5" s="11">
        <f>SUMIFS('RES results'!$H:$H,'RES results'!$E:$E,$M5,'RES results'!$G:$G,P$2,'RES results'!$C:$C,"VAR_Fout")</f>
        <v>177.71008310386463</v>
      </c>
      <c r="Q5" s="11">
        <f>SUMIFS('RES results'!$H:$H,'RES results'!$E:$E,$M5,'RES results'!$G:$G,Q$2,'RES results'!$C:$C,"VAR_Fout")</f>
        <v>78.063473633003653</v>
      </c>
      <c r="R5" s="11">
        <f>SUMIFS('RES results'!$H:$H,'RES results'!$E:$E,$M5,'RES results'!$G:$G,R$2,'RES results'!$C:$C,"VAR_Fout")</f>
        <v>228.22194446862568</v>
      </c>
      <c r="S5" s="11">
        <f>SUMIFS('RES results'!$H:$H,'RES results'!$E:$E,$M5,'RES results'!$G:$G,S$2,'RES results'!$C:$C,"VAR_Fout")</f>
        <v>70.188605166468506</v>
      </c>
      <c r="T5" s="11">
        <f>SUMIFS('RES results'!$H:$H,'RES results'!$E:$E,$M5,'RES results'!$G:$G,T$2,'RES results'!$C:$C,"VAR_Fout")</f>
        <v>139.09990865444669</v>
      </c>
      <c r="U5" s="11">
        <f>SUMIFS('RES results'!$H:$H,'RES results'!$E:$E,$M5,'RES results'!$G:$G,U$2,'RES results'!$C:$C,"VAR_Fout")</f>
        <v>85.789859323155923</v>
      </c>
      <c r="V5" s="11">
        <f>SUMIFS('RES results'!$H:$H,'RES results'!$E:$E,$M5,'RES results'!$G:$G,V$2,'RES results'!$C:$C,"VAR_Fout")</f>
        <v>190.79194650234825</v>
      </c>
    </row>
    <row r="6" spans="1:23" x14ac:dyDescent="0.3">
      <c r="A6" s="15" t="s">
        <v>137</v>
      </c>
      <c r="B6" s="15" t="s">
        <v>138</v>
      </c>
      <c r="C6" s="19">
        <f>(SUMIFS('RES results'!$H:$H,'RES results'!$C:$C,"VAR_Fout",'RES results'!$G:$G,C$2,'RES results'!$E:$E,"RSH",'RES results'!$B:$B,"NHP")+SUMIFS('RES results'!$H:$H,'RES results'!$C:$C,"VAR_Fout",'RES results'!$G:$G,C$2,'RES results'!$E:$E,"RSH",'RES results'!$B:$B,"NRD")+SUMIFS('RES results'!$H:$H,'RES results'!$C:$C,"VAR_Fout",'RES results'!$G:$G,C$2,'RES results'!$E:$E,"RSH",'RES results'!$B:$B,"NFR"))/N4*0.99</f>
        <v>0.37718232026414567</v>
      </c>
      <c r="D6" s="19">
        <f>(SUMIFS('RES results'!$H:$H,'RES results'!$C:$C,"VAR_Fout",'RES results'!$G:$G,D$2,'RES results'!$E:$E,"RSH",'RES results'!$B:$B,"NHP")+SUMIFS('RES results'!$H:$H,'RES results'!$C:$C,"VAR_Fout",'RES results'!$G:$G,D$2,'RES results'!$E:$E,"RSH",'RES results'!$B:$B,"NRD")+SUMIFS('RES results'!$H:$H,'RES results'!$C:$C,"VAR_Fout",'RES results'!$G:$G,D$2,'RES results'!$E:$E,"RSH",'RES results'!$B:$B,"NFR"))/O4*0.99</f>
        <v>0.59596287345972176</v>
      </c>
      <c r="E6" s="19">
        <f>(SUMIFS('RES results'!$H:$H,'RES results'!$C:$C,"VAR_Fout",'RES results'!$G:$G,E$2,'RES results'!$E:$E,"RSH",'RES results'!$B:$B,"NHP")+SUMIFS('RES results'!$H:$H,'RES results'!$C:$C,"VAR_Fout",'RES results'!$G:$G,E$2,'RES results'!$E:$E,"RSH",'RES results'!$B:$B,"NRD")+SUMIFS('RES results'!$H:$H,'RES results'!$C:$C,"VAR_Fout",'RES results'!$G:$G,E$2,'RES results'!$E:$E,"RSH",'RES results'!$B:$B,"NFR"))/P4*0.99</f>
        <v>0.81557860248577907</v>
      </c>
      <c r="F6" s="19">
        <f>(SUMIFS('RES results'!$H:$H,'RES results'!$C:$C,"VAR_Fout",'RES results'!$G:$G,F$2,'RES results'!$E:$E,"RSH",'RES results'!$B:$B,"NHP")+SUMIFS('RES results'!$H:$H,'RES results'!$C:$C,"VAR_Fout",'RES results'!$G:$G,F$2,'RES results'!$E:$E,"RSH",'RES results'!$B:$B,"NRD")+SUMIFS('RES results'!$H:$H,'RES results'!$C:$C,"VAR_Fout",'RES results'!$G:$G,F$2,'RES results'!$E:$E,"RSH",'RES results'!$B:$B,"NFR"))/Q4*0.99</f>
        <v>0.64713798212017781</v>
      </c>
      <c r="G6" s="19">
        <f>(SUMIFS('RES results'!$H:$H,'RES results'!$C:$C,"VAR_Fout",'RES results'!$G:$G,G$2,'RES results'!$E:$E,"RSH",'RES results'!$B:$B,"NHP")+SUMIFS('RES results'!$H:$H,'RES results'!$C:$C,"VAR_Fout",'RES results'!$G:$G,G$2,'RES results'!$E:$E,"RSH",'RES results'!$B:$B,"NRD")+SUMIFS('RES results'!$H:$H,'RES results'!$C:$C,"VAR_Fout",'RES results'!$G:$G,G$2,'RES results'!$E:$E,"RSH",'RES results'!$B:$B,"NFR"))/R4*0.99</f>
        <v>0.44816644357981605</v>
      </c>
      <c r="H6" s="19">
        <f>(SUMIFS('RES results'!$H:$H,'RES results'!$C:$C,"VAR_Fout",'RES results'!$G:$G,H$2,'RES results'!$E:$E,"RSH",'RES results'!$B:$B,"NHP")+SUMIFS('RES results'!$H:$H,'RES results'!$C:$C,"VAR_Fout",'RES results'!$G:$G,H$2,'RES results'!$E:$E,"RSH",'RES results'!$B:$B,"NRD")+SUMIFS('RES results'!$H:$H,'RES results'!$C:$C,"VAR_Fout",'RES results'!$G:$G,H$2,'RES results'!$E:$E,"RSH",'RES results'!$B:$B,"NFR"))/S4*0.99</f>
        <v>0.45385228854331838</v>
      </c>
      <c r="I6" s="19">
        <f>(SUMIFS('RES results'!$H:$H,'RES results'!$C:$C,"VAR_Fout",'RES results'!$G:$G,I$2,'RES results'!$E:$E,"RSH",'RES results'!$B:$B,"NHP")+SUMIFS('RES results'!$H:$H,'RES results'!$C:$C,"VAR_Fout",'RES results'!$G:$G,I$2,'RES results'!$E:$E,"RSH",'RES results'!$B:$B,"NRD")+SUMIFS('RES results'!$H:$H,'RES results'!$C:$C,"VAR_Fout",'RES results'!$G:$G,I$2,'RES results'!$E:$E,"RSH",'RES results'!$B:$B,"NFR"))/T4*0.99</f>
        <v>0.63161688356912704</v>
      </c>
      <c r="J6" s="19">
        <f>(SUMIFS('RES results'!$H:$H,'RES results'!$C:$C,"VAR_Fout",'RES results'!$G:$G,J$2,'RES results'!$E:$E,"RSH",'RES results'!$B:$B,"NHP")+SUMIFS('RES results'!$H:$H,'RES results'!$C:$C,"VAR_Fout",'RES results'!$G:$G,J$2,'RES results'!$E:$E,"RSH",'RES results'!$B:$B,"NRD")+SUMIFS('RES results'!$H:$H,'RES results'!$C:$C,"VAR_Fout",'RES results'!$G:$G,J$2,'RES results'!$E:$E,"RSH",'RES results'!$B:$B,"NFR"))/U4*0.99</f>
        <v>0.74141232057189776</v>
      </c>
      <c r="K6" s="19">
        <f>(SUMIFS('RES results'!$H:$H,'RES results'!$C:$C,"VAR_Fout",'RES results'!$G:$G,K$2,'RES results'!$E:$E,"RSH",'RES results'!$B:$B,"NHP")+SUMIFS('RES results'!$H:$H,'RES results'!$C:$C,"VAR_Fout",'RES results'!$G:$G,K$2,'RES results'!$E:$E,"RSH",'RES results'!$B:$B,"NRD")+SUMIFS('RES results'!$H:$H,'RES results'!$C:$C,"VAR_Fout",'RES results'!$G:$G,K$2,'RES results'!$E:$E,"RSH",'RES results'!$B:$B,"NFR"))/V4*0.99</f>
        <v>0.66906488994173263</v>
      </c>
      <c r="M6" s="15" t="s">
        <v>126</v>
      </c>
      <c r="N6" s="11">
        <f>SUMIFS('RES results'!$H:$H,'RES results'!$E:$E,$M6,'RES results'!$G:$G,N$2,'RES results'!$C:$C,"VAR_Fout")</f>
        <v>23.191046187387904</v>
      </c>
      <c r="O6" s="11">
        <f>SUMIFS('RES results'!$H:$H,'RES results'!$E:$E,$M6,'RES results'!$G:$G,O$2,'RES results'!$C:$C,"VAR_Fout")</f>
        <v>65.612208165434893</v>
      </c>
      <c r="P6" s="11">
        <f>SUMIFS('RES results'!$H:$H,'RES results'!$E:$E,$M6,'RES results'!$G:$G,P$2,'RES results'!$C:$C,"VAR_Fout")</f>
        <v>74.571242715076309</v>
      </c>
      <c r="Q6" s="11">
        <f>SUMIFS('RES results'!$H:$H,'RES results'!$E:$E,$M6,'RES results'!$G:$G,Q$2,'RES results'!$C:$C,"VAR_Fout")</f>
        <v>32.757230978651698</v>
      </c>
      <c r="R6" s="11">
        <f>SUMIFS('RES results'!$H:$H,'RES results'!$E:$E,$M6,'RES results'!$G:$G,R$2,'RES results'!$C:$C,"VAR_Fout")</f>
        <v>95.767182799243699</v>
      </c>
      <c r="S6" s="11">
        <f>SUMIFS('RES results'!$H:$H,'RES results'!$E:$E,$M6,'RES results'!$G:$G,S$2,'RES results'!$C:$C,"VAR_Fout")</f>
        <v>29.9881290089107</v>
      </c>
      <c r="T6" s="11">
        <f>SUMIFS('RES results'!$H:$H,'RES results'!$E:$E,$M6,'RES results'!$G:$G,T$2,'RES results'!$C:$C,"VAR_Fout")</f>
        <v>58.369524501618599</v>
      </c>
      <c r="U6" s="11">
        <f>SUMIFS('RES results'!$H:$H,'RES results'!$E:$E,$M6,'RES results'!$G:$G,U$2,'RES results'!$C:$C,"VAR_Fout")</f>
        <v>36.653775394701164</v>
      </c>
      <c r="V6" s="11">
        <f>SUMIFS('RES results'!$H:$H,'RES results'!$E:$E,$M6,'RES results'!$G:$G,V$2,'RES results'!$C:$C,"VAR_Fout")</f>
        <v>80.060693812140059</v>
      </c>
    </row>
    <row r="7" spans="1:23" x14ac:dyDescent="0.3">
      <c r="A7" s="15" t="s">
        <v>140</v>
      </c>
      <c r="B7" s="15" t="s">
        <v>141</v>
      </c>
      <c r="C7" s="19">
        <f>SUMIFS('RES results'!$H:$H,'RES results'!$C:$C,"VAR_Fout",'RES results'!$G:$G,C$2,'RES results'!$E:$E,"RSH",'RES results'!$B:$B,"WDH")/N4*0.99</f>
        <v>7.8060783942212136E-2</v>
      </c>
      <c r="D7" s="19">
        <f>SUMIFS('RES results'!$H:$H,'RES results'!$C:$C,"VAR_Fout",'RES results'!$G:$G,D$2,'RES results'!$E:$E,"RSH",'RES results'!$B:$B,"WDH")/O4*0.99</f>
        <v>3.99875239902132E-2</v>
      </c>
      <c r="E7" s="19">
        <f>SUMIFS('RES results'!$H:$H,'RES results'!$C:$C,"VAR_Fout",'RES results'!$G:$G,E$2,'RES results'!$E:$E,"RSH",'RES results'!$B:$B,"WDH")/P4*0.99</f>
        <v>4.8980915324351088E-2</v>
      </c>
      <c r="F7" s="19">
        <f>SUMIFS('RES results'!$H:$H,'RES results'!$C:$C,"VAR_Fout",'RES results'!$G:$G,F$2,'RES results'!$E:$E,"RSH",'RES results'!$B:$B,"WDH")/Q4*0.99</f>
        <v>7.7801686145931678E-2</v>
      </c>
      <c r="G7" s="19">
        <f>SUMIFS('RES results'!$H:$H,'RES results'!$C:$C,"VAR_Fout",'RES results'!$G:$G,G$2,'RES results'!$E:$E,"RSH",'RES results'!$B:$B,"WDH")/R4*0.99</f>
        <v>0.10109408248250648</v>
      </c>
      <c r="H7" s="19">
        <f>SUMIFS('RES results'!$H:$H,'RES results'!$C:$C,"VAR_Fout",'RES results'!$G:$G,H$2,'RES results'!$E:$E,"RSH",'RES results'!$B:$B,"WDH")/S4*0.99</f>
        <v>0.12105730541447085</v>
      </c>
      <c r="I7" s="19">
        <f>SUMIFS('RES results'!$H:$H,'RES results'!$C:$C,"VAR_Fout",'RES results'!$G:$G,I$2,'RES results'!$E:$E,"RSH",'RES results'!$B:$B,"WDH")/T4*0.99</f>
        <v>6.5216273372133232E-2</v>
      </c>
      <c r="J7" s="19">
        <f>SUMIFS('RES results'!$H:$H,'RES results'!$C:$C,"VAR_Fout",'RES results'!$G:$G,J$2,'RES results'!$E:$E,"RSH",'RES results'!$B:$B,"WDH")/U4*0.99</f>
        <v>5.8917243905968565E-2</v>
      </c>
      <c r="K7" s="19">
        <f>SUMIFS('RES results'!$H:$H,'RES results'!$C:$C,"VAR_Fout",'RES results'!$G:$G,K$2,'RES results'!$E:$E,"RSH",'RES results'!$B:$B,"WDH")/V4*0.99</f>
        <v>0.12721480334113808</v>
      </c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3">
      <c r="A8" s="15" t="s">
        <v>144</v>
      </c>
      <c r="B8" s="15" t="s">
        <v>145</v>
      </c>
      <c r="C8" s="19">
        <f>SUMIFS('RES results'!$H:$H,'RES results'!$C:$C,"VAR_Fout",'RES results'!$G:$G,C$2,'RES results'!$E:$E,"RSH",'RES results'!$B:$B,"KFR")/N4*0.99</f>
        <v>8.3516073846668024E-3</v>
      </c>
      <c r="D8" s="19">
        <f>SUMIFS('RES results'!$H:$H,'RES results'!$C:$C,"VAR_Fout",'RES results'!$G:$G,D$2,'RES results'!$E:$E,"RSH",'RES results'!$B:$B,"KFR")/O4*0.99</f>
        <v>1.0623597265911802E-2</v>
      </c>
      <c r="E8" s="19">
        <f>SUMIFS('RES results'!$H:$H,'RES results'!$C:$C,"VAR_Fout",'RES results'!$G:$G,E$2,'RES results'!$E:$E,"RSH",'RES results'!$B:$B,"KFR")/P4*0.99</f>
        <v>0</v>
      </c>
      <c r="F8" s="19">
        <f>SUMIFS('RES results'!$H:$H,'RES results'!$C:$C,"VAR_Fout",'RES results'!$G:$G,F$2,'RES results'!$E:$E,"RSH",'RES results'!$B:$B,"KFR")/Q4*0.99</f>
        <v>0</v>
      </c>
      <c r="G8" s="19">
        <f>SUMIFS('RES results'!$H:$H,'RES results'!$C:$C,"VAR_Fout",'RES results'!$G:$G,G$2,'RES results'!$E:$E,"RSH",'RES results'!$B:$B,"KFR")/R4*0.99</f>
        <v>7.5231095643941504E-3</v>
      </c>
      <c r="H8" s="19">
        <f>SUMIFS('RES results'!$H:$H,'RES results'!$C:$C,"VAR_Fout",'RES results'!$G:$G,H$2,'RES results'!$E:$E,"RSH",'RES results'!$B:$B,"KFR")/S4*0.99</f>
        <v>1.4530568572407685E-3</v>
      </c>
      <c r="I8" s="19">
        <f>SUMIFS('RES results'!$H:$H,'RES results'!$C:$C,"VAR_Fout",'RES results'!$G:$G,I$2,'RES results'!$E:$E,"RSH",'RES results'!$B:$B,"KFR")/T4*0.99</f>
        <v>0</v>
      </c>
      <c r="J8" s="19">
        <f>SUMIFS('RES results'!$H:$H,'RES results'!$C:$C,"VAR_Fout",'RES results'!$G:$G,J$2,'RES results'!$E:$E,"RSH",'RES results'!$B:$B,"KFR")/U4*0.99</f>
        <v>0</v>
      </c>
      <c r="K8" s="19">
        <f>SUMIFS('RES results'!$H:$H,'RES results'!$C:$C,"VAR_Fout",'RES results'!$G:$G,K$2,'RES results'!$E:$E,"RSH",'RES results'!$B:$B,"KFR")/V4*0.99</f>
        <v>1.8614873658607503E-3</v>
      </c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3">
      <c r="A9" s="15" t="s">
        <v>147</v>
      </c>
      <c r="B9" s="15" t="s">
        <v>148</v>
      </c>
      <c r="C9" s="19">
        <f>(SUMIFS('RES results'!$H:$H,'RES results'!$C:$C,"VAR_Fout",'RES results'!$G:$G,C$2,'RES results'!$E:$E,"RSH",'RES results'!$B:$B,"DFR")+SUMIFS('RES results'!$H:$H,'RES results'!$C:$C,"VAR_Fout",'RES results'!$G:$G,C$2,'RES results'!$E:$E,"RSH",'RES results'!$B:$B,"KFR")+SUMIFS('RES results'!$H:$H,'RES results'!$C:$C,"VAR_Fout",'RES results'!$G:$G,C$2,'RES results'!$E:$E,"RSH",'RES results'!$B:$B,"NFR")+SUMIFS('RES results'!$H:$H,'RES results'!$C:$C,"VAR_Fout",'RES results'!$G:$G,C$2,'RES results'!$E:$E,"RSH",'RES results'!$B:$B,"LFR"))/N4*0.99</f>
        <v>0.3653091344847581</v>
      </c>
      <c r="D9" s="19">
        <f>(SUMIFS('RES results'!$H:$H,'RES results'!$C:$C,"VAR_Fout",'RES results'!$G:$G,D$2,'RES results'!$E:$E,"RSH",'RES results'!$B:$B,"DFR")+SUMIFS('RES results'!$H:$H,'RES results'!$C:$C,"VAR_Fout",'RES results'!$G:$G,D$2,'RES results'!$E:$E,"RSH",'RES results'!$B:$B,"KFR")+SUMIFS('RES results'!$H:$H,'RES results'!$C:$C,"VAR_Fout",'RES results'!$G:$G,D$2,'RES results'!$E:$E,"RSH",'RES results'!$B:$B,"NFR")+SUMIFS('RES results'!$H:$H,'RES results'!$C:$C,"VAR_Fout",'RES results'!$G:$G,D$2,'RES results'!$E:$E,"RSH",'RES results'!$B:$B,"LFR"))/O4*0.99</f>
        <v>0.50564971917056112</v>
      </c>
      <c r="E9" s="19">
        <f>(SUMIFS('RES results'!$H:$H,'RES results'!$C:$C,"VAR_Fout",'RES results'!$G:$G,E$2,'RES results'!$E:$E,"RSH",'RES results'!$B:$B,"DFR")+SUMIFS('RES results'!$H:$H,'RES results'!$C:$C,"VAR_Fout",'RES results'!$G:$G,E$2,'RES results'!$E:$E,"RSH",'RES results'!$B:$B,"KFR")+SUMIFS('RES results'!$H:$H,'RES results'!$C:$C,"VAR_Fout",'RES results'!$G:$G,E$2,'RES results'!$E:$E,"RSH",'RES results'!$B:$B,"NFR")+SUMIFS('RES results'!$H:$H,'RES results'!$C:$C,"VAR_Fout",'RES results'!$G:$G,E$2,'RES results'!$E:$E,"RSH",'RES results'!$B:$B,"LFR"))/P4*0.99</f>
        <v>0.81154808136584966</v>
      </c>
      <c r="F9" s="19">
        <f>(SUMIFS('RES results'!$H:$H,'RES results'!$C:$C,"VAR_Fout",'RES results'!$G:$G,F$2,'RES results'!$E:$E,"RSH",'RES results'!$B:$B,"DFR")+SUMIFS('RES results'!$H:$H,'RES results'!$C:$C,"VAR_Fout",'RES results'!$G:$G,F$2,'RES results'!$E:$E,"RSH",'RES results'!$B:$B,"KFR")+SUMIFS('RES results'!$H:$H,'RES results'!$C:$C,"VAR_Fout",'RES results'!$G:$G,F$2,'RES results'!$E:$E,"RSH",'RES results'!$B:$B,"NFR")+SUMIFS('RES results'!$H:$H,'RES results'!$C:$C,"VAR_Fout",'RES results'!$G:$G,F$2,'RES results'!$E:$E,"RSH",'RES results'!$B:$B,"LFR"))/Q4*0.99</f>
        <v>0.75368651948313625</v>
      </c>
      <c r="G9" s="19">
        <f>(SUMIFS('RES results'!$H:$H,'RES results'!$C:$C,"VAR_Fout",'RES results'!$G:$G,G$2,'RES results'!$E:$E,"RSH",'RES results'!$B:$B,"DFR")+SUMIFS('RES results'!$H:$H,'RES results'!$C:$C,"VAR_Fout",'RES results'!$G:$G,G$2,'RES results'!$E:$E,"RSH",'RES results'!$B:$B,"KFR")+SUMIFS('RES results'!$H:$H,'RES results'!$C:$C,"VAR_Fout",'RES results'!$G:$G,G$2,'RES results'!$E:$E,"RSH",'RES results'!$B:$B,"NFR")+SUMIFS('RES results'!$H:$H,'RES results'!$C:$C,"VAR_Fout",'RES results'!$G:$G,G$2,'RES results'!$E:$E,"RSH",'RES results'!$B:$B,"LFR"))/R4*0.99</f>
        <v>0.48894010270989463</v>
      </c>
      <c r="H9" s="19">
        <f>(SUMIFS('RES results'!$H:$H,'RES results'!$C:$C,"VAR_Fout",'RES results'!$G:$G,H$2,'RES results'!$E:$E,"RSH",'RES results'!$B:$B,"DFR")+SUMIFS('RES results'!$H:$H,'RES results'!$C:$C,"VAR_Fout",'RES results'!$G:$G,H$2,'RES results'!$E:$E,"RSH",'RES results'!$B:$B,"KFR")+SUMIFS('RES results'!$H:$H,'RES results'!$C:$C,"VAR_Fout",'RES results'!$G:$G,H$2,'RES results'!$E:$E,"RSH",'RES results'!$B:$B,"NFR")+SUMIFS('RES results'!$H:$H,'RES results'!$C:$C,"VAR_Fout",'RES results'!$G:$G,H$2,'RES results'!$E:$E,"RSH",'RES results'!$B:$B,"LFR"))/S4*0.99</f>
        <v>0.53390747021858853</v>
      </c>
      <c r="I9" s="19">
        <f>(SUMIFS('RES results'!$H:$H,'RES results'!$C:$C,"VAR_Fout",'RES results'!$G:$G,I$2,'RES results'!$E:$E,"RSH",'RES results'!$B:$B,"DFR")+SUMIFS('RES results'!$H:$H,'RES results'!$C:$C,"VAR_Fout",'RES results'!$G:$G,I$2,'RES results'!$E:$E,"RSH",'RES results'!$B:$B,"KFR")+SUMIFS('RES results'!$H:$H,'RES results'!$C:$C,"VAR_Fout",'RES results'!$G:$G,I$2,'RES results'!$E:$E,"RSH",'RES results'!$B:$B,"NFR")+SUMIFS('RES results'!$H:$H,'RES results'!$C:$C,"VAR_Fout",'RES results'!$G:$G,I$2,'RES results'!$E:$E,"RSH",'RES results'!$B:$B,"LFR"))/T4*0.99</f>
        <v>0.58707999716287818</v>
      </c>
      <c r="J9" s="19">
        <f>(SUMIFS('RES results'!$H:$H,'RES results'!$C:$C,"VAR_Fout",'RES results'!$G:$G,J$2,'RES results'!$E:$E,"RSH",'RES results'!$B:$B,"DFR")+SUMIFS('RES results'!$H:$H,'RES results'!$C:$C,"VAR_Fout",'RES results'!$G:$G,J$2,'RES results'!$E:$E,"RSH",'RES results'!$B:$B,"KFR")+SUMIFS('RES results'!$H:$H,'RES results'!$C:$C,"VAR_Fout",'RES results'!$G:$G,J$2,'RES results'!$E:$E,"RSH",'RES results'!$B:$B,"NFR")+SUMIFS('RES results'!$H:$H,'RES results'!$C:$C,"VAR_Fout",'RES results'!$G:$G,J$2,'RES results'!$E:$E,"RSH",'RES results'!$B:$B,"LFR"))/U4*0.99</f>
        <v>0.76964128530583165</v>
      </c>
      <c r="K9" s="19">
        <f>(SUMIFS('RES results'!$H:$H,'RES results'!$C:$C,"VAR_Fout",'RES results'!$G:$G,K$2,'RES results'!$E:$E,"RSH",'RES results'!$B:$B,"DFR")+SUMIFS('RES results'!$H:$H,'RES results'!$C:$C,"VAR_Fout",'RES results'!$G:$G,K$2,'RES results'!$E:$E,"RSH",'RES results'!$B:$B,"KFR")+SUMIFS('RES results'!$H:$H,'RES results'!$C:$C,"VAR_Fout",'RES results'!$G:$G,K$2,'RES results'!$E:$E,"RSH",'RES results'!$B:$B,"NFR")+SUMIFS('RES results'!$H:$H,'RES results'!$C:$C,"VAR_Fout",'RES results'!$G:$G,K$2,'RES results'!$E:$E,"RSH",'RES results'!$B:$B,"LFR"))/V4*0.99</f>
        <v>0.56132534773851472</v>
      </c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3">
      <c r="A10" s="15" t="s">
        <v>150</v>
      </c>
      <c r="B10" s="15" t="s">
        <v>151</v>
      </c>
      <c r="C10" s="19">
        <f>(SUMIFS('RES results'!$H:$H,'RES results'!$C:$C,"VAR_Fout",'RES results'!$G:$G,C$2,'RES results'!$E:$E,"RSH",'RES results'!$B:$B,"DRD")+SUMIFS('RES results'!$H:$H,'RES results'!$C:$C,"VAR_Fout",'RES results'!$G:$G,C$2,'RES results'!$E:$E,"RSH",'RES results'!$B:$B,"NRD")+SUMIFS('RES results'!$H:$H,'RES results'!$C:$C,"VAR_Fout",'RES results'!$G:$G,C$2,'RES results'!$E:$E,"RSH",'RES results'!$B:$B,"ERD"))/N4*0.99</f>
        <v>0.54604147885133136</v>
      </c>
      <c r="D10" s="19">
        <f>(SUMIFS('RES results'!$H:$H,'RES results'!$C:$C,"VAR_Fout",'RES results'!$G:$G,D$2,'RES results'!$E:$E,"RSH",'RES results'!$B:$B,"DRD")+SUMIFS('RES results'!$H:$H,'RES results'!$C:$C,"VAR_Fout",'RES results'!$G:$G,D$2,'RES results'!$E:$E,"RSH",'RES results'!$B:$B,"NRD")+SUMIFS('RES results'!$H:$H,'RES results'!$C:$C,"VAR_Fout",'RES results'!$G:$G,D$2,'RES results'!$E:$E,"RSH",'RES results'!$B:$B,"ERD"))/O4*0.99</f>
        <v>0.43482037843831589</v>
      </c>
      <c r="E10" s="19">
        <f>(SUMIFS('RES results'!$H:$H,'RES results'!$C:$C,"VAR_Fout",'RES results'!$G:$G,E$2,'RES results'!$E:$E,"RSH",'RES results'!$B:$B,"DRD")+SUMIFS('RES results'!$H:$H,'RES results'!$C:$C,"VAR_Fout",'RES results'!$G:$G,E$2,'RES results'!$E:$E,"RSH",'RES results'!$B:$B,"NRD")+SUMIFS('RES results'!$H:$H,'RES results'!$C:$C,"VAR_Fout",'RES results'!$G:$G,E$2,'RES results'!$E:$E,"RSH",'RES results'!$B:$B,"ERD"))/P4*0.99</f>
        <v>0.12197826632464831</v>
      </c>
      <c r="F10" s="19">
        <f>(SUMIFS('RES results'!$H:$H,'RES results'!$C:$C,"VAR_Fout",'RES results'!$G:$G,F$2,'RES results'!$E:$E,"RSH",'RES results'!$B:$B,"DRD")+SUMIFS('RES results'!$H:$H,'RES results'!$C:$C,"VAR_Fout",'RES results'!$G:$G,F$2,'RES results'!$E:$E,"RSH",'RES results'!$B:$B,"NRD")+SUMIFS('RES results'!$H:$H,'RES results'!$C:$C,"VAR_Fout",'RES results'!$G:$G,F$2,'RES results'!$E:$E,"RSH",'RES results'!$B:$B,"ERD"))/Q4*0.99</f>
        <v>0.14103065787248587</v>
      </c>
      <c r="G10" s="19">
        <f>(SUMIFS('RES results'!$H:$H,'RES results'!$C:$C,"VAR_Fout",'RES results'!$G:$G,G$2,'RES results'!$E:$E,"RSH",'RES results'!$B:$B,"DRD")+SUMIFS('RES results'!$H:$H,'RES results'!$C:$C,"VAR_Fout",'RES results'!$G:$G,G$2,'RES results'!$E:$E,"RSH",'RES results'!$B:$B,"NRD")+SUMIFS('RES results'!$H:$H,'RES results'!$C:$C,"VAR_Fout",'RES results'!$G:$G,G$2,'RES results'!$E:$E,"RSH",'RES results'!$B:$B,"ERD"))/R4*0.99</f>
        <v>0.26012515364773398</v>
      </c>
      <c r="H10" s="19">
        <f>(SUMIFS('RES results'!$H:$H,'RES results'!$C:$C,"VAR_Fout",'RES results'!$G:$G,H$2,'RES results'!$E:$E,"RSH",'RES results'!$B:$B,"DRD")+SUMIFS('RES results'!$H:$H,'RES results'!$C:$C,"VAR_Fout",'RES results'!$G:$G,H$2,'RES results'!$E:$E,"RSH",'RES results'!$B:$B,"NRD")+SUMIFS('RES results'!$H:$H,'RES results'!$C:$C,"VAR_Fout",'RES results'!$G:$G,H$2,'RES results'!$E:$E,"RSH",'RES results'!$B:$B,"ERD"))/S4*0.99</f>
        <v>0.22113990688379317</v>
      </c>
      <c r="I10" s="19">
        <f>(SUMIFS('RES results'!$H:$H,'RES results'!$C:$C,"VAR_Fout",'RES results'!$G:$G,I$2,'RES results'!$E:$E,"RSH",'RES results'!$B:$B,"DRD")+SUMIFS('RES results'!$H:$H,'RES results'!$C:$C,"VAR_Fout",'RES results'!$G:$G,I$2,'RES results'!$E:$E,"RSH",'RES results'!$B:$B,"NRD")+SUMIFS('RES results'!$H:$H,'RES results'!$C:$C,"VAR_Fout",'RES results'!$G:$G,I$2,'RES results'!$E:$E,"RSH",'RES results'!$B:$B,"ERD"))/T4*0.99</f>
        <v>0.31464616748039026</v>
      </c>
      <c r="J10" s="19">
        <f>(SUMIFS('RES results'!$H:$H,'RES results'!$C:$C,"VAR_Fout",'RES results'!$G:$G,J$2,'RES results'!$E:$E,"RSH",'RES results'!$B:$B,"DRD")+SUMIFS('RES results'!$H:$H,'RES results'!$C:$C,"VAR_Fout",'RES results'!$G:$G,J$2,'RES results'!$E:$E,"RSH",'RES results'!$B:$B,"NRD")+SUMIFS('RES results'!$H:$H,'RES results'!$C:$C,"VAR_Fout",'RES results'!$G:$G,J$2,'RES results'!$E:$E,"RSH",'RES results'!$B:$B,"ERD"))/U4*0.99</f>
        <v>0.12385182325235707</v>
      </c>
      <c r="K10" s="19">
        <f>(SUMIFS('RES results'!$H:$H,'RES results'!$C:$C,"VAR_Fout",'RES results'!$G:$G,K$2,'RES results'!$E:$E,"RSH",'RES results'!$B:$B,"DRD")+SUMIFS('RES results'!$H:$H,'RES results'!$C:$C,"VAR_Fout",'RES results'!$G:$G,K$2,'RES results'!$E:$E,"RSH",'RES results'!$B:$B,"NRD")+SUMIFS('RES results'!$H:$H,'RES results'!$C:$C,"VAR_Fout",'RES results'!$G:$G,K$2,'RES results'!$E:$E,"RSH",'RES results'!$B:$B,"ERD"))/V4*0.99</f>
        <v>0.28017295234159212</v>
      </c>
    </row>
    <row r="11" spans="1:23" x14ac:dyDescent="0.3">
      <c r="A11" s="15" t="s">
        <v>153</v>
      </c>
      <c r="B11" s="15" t="s">
        <v>154</v>
      </c>
      <c r="C11" s="19">
        <f>SUMIFS('RES results'!$H:$H,'RES results'!$C:$C,"VAR_Fout",'RES results'!$G:$G,C$2,'RES results'!$E:$E,"RWH",'RES results'!$B:$B,"DWH")/N5*0.99</f>
        <v>0.30311845883901256</v>
      </c>
      <c r="D11" s="19">
        <f>SUMIFS('RES results'!$H:$H,'RES results'!$C:$C,"VAR_Fout",'RES results'!$G:$G,D$2,'RES results'!$E:$E,"RWH",'RES results'!$B:$B,"DWH")/O5*0.99</f>
        <v>0.1147578307933326</v>
      </c>
      <c r="E11" s="19">
        <f>SUMIFS('RES results'!$H:$H,'RES results'!$C:$C,"VAR_Fout",'RES results'!$G:$G,E$2,'RES results'!$E:$E,"RWH",'RES results'!$B:$B,"DWH")/P5*0.99</f>
        <v>6.9534890536857081E-5</v>
      </c>
      <c r="F11" s="19">
        <f>SUMIFS('RES results'!$H:$H,'RES results'!$C:$C,"VAR_Fout",'RES results'!$G:$G,F$2,'RES results'!$E:$E,"RWH",'RES results'!$B:$B,"DWH")/Q5*0.99</f>
        <v>0</v>
      </c>
      <c r="G11" s="19">
        <f>SUMIFS('RES results'!$H:$H,'RES results'!$C:$C,"VAR_Fout",'RES results'!$G:$G,G$2,'RES results'!$E:$E,"RWH",'RES results'!$B:$B,"DWH")/R5*0.99</f>
        <v>2.4580681113149914E-3</v>
      </c>
      <c r="H11" s="19">
        <f>SUMIFS('RES results'!$H:$H,'RES results'!$C:$C,"VAR_Fout",'RES results'!$G:$G,H$2,'RES results'!$E:$E,"RWH",'RES results'!$B:$B,"DWH")/S5*0.99</f>
        <v>0</v>
      </c>
      <c r="I11" s="19">
        <f>SUMIFS('RES results'!$H:$H,'RES results'!$C:$C,"VAR_Fout",'RES results'!$G:$G,I$2,'RES results'!$E:$E,"RWH",'RES results'!$B:$B,"DWH")/T5*0.99</f>
        <v>0</v>
      </c>
      <c r="J11" s="19">
        <f>SUMIFS('RES results'!$H:$H,'RES results'!$C:$C,"VAR_Fout",'RES results'!$G:$G,J$2,'RES results'!$E:$E,"RWH",'RES results'!$B:$B,"DWH")/U5*0.99</f>
        <v>0</v>
      </c>
      <c r="K11" s="19">
        <f>SUMIFS('RES results'!$H:$H,'RES results'!$C:$C,"VAR_Fout",'RES results'!$G:$G,K$2,'RES results'!$E:$E,"RWH",'RES results'!$B:$B,"DWH")/V5*0.99</f>
        <v>6.4871524696670469E-4</v>
      </c>
    </row>
    <row r="12" spans="1:23" x14ac:dyDescent="0.3">
      <c r="A12" s="15" t="s">
        <v>157</v>
      </c>
      <c r="B12" s="15" t="s">
        <v>158</v>
      </c>
      <c r="C12" s="19">
        <f>SUMIFS('RES results'!$H:$H,'RES results'!$C:$C,"VAR_Fout",'RES results'!$G:$G,C$2,'RES results'!$E:$E,"RWH",'RES results'!$B:$B,"EWH")/N5*0.99</f>
        <v>0.1662046995911256</v>
      </c>
      <c r="D12" s="19">
        <f>SUMIFS('RES results'!$H:$H,'RES results'!$C:$C,"VAR_Fout",'RES results'!$G:$G,D$2,'RES results'!$E:$E,"RWH",'RES results'!$B:$B,"EWH")/O5*0.99</f>
        <v>0.16433845763115382</v>
      </c>
      <c r="E12" s="19">
        <f>SUMIFS('RES results'!$H:$H,'RES results'!$C:$C,"VAR_Fout",'RES results'!$G:$G,E$2,'RES results'!$E:$E,"RWH",'RES results'!$B:$B,"EWH")/P5*0.99</f>
        <v>0.18746170562964234</v>
      </c>
      <c r="F12" s="19">
        <f>SUMIFS('RES results'!$H:$H,'RES results'!$C:$C,"VAR_Fout",'RES results'!$G:$G,F$2,'RES results'!$E:$E,"RWH",'RES results'!$B:$B,"EWH")/Q5*0.99</f>
        <v>0.25469251797573927</v>
      </c>
      <c r="G12" s="19">
        <f>SUMIFS('RES results'!$H:$H,'RES results'!$C:$C,"VAR_Fout",'RES results'!$G:$G,G$2,'RES results'!$E:$E,"RWH",'RES results'!$B:$B,"EWH")/R5*0.99</f>
        <v>0.59706468242104482</v>
      </c>
      <c r="H12" s="19">
        <f>SUMIFS('RES results'!$H:$H,'RES results'!$C:$C,"VAR_Fout",'RES results'!$G:$G,H$2,'RES results'!$E:$E,"RWH",'RES results'!$B:$B,"EWH")/S5*0.99</f>
        <v>0.56509048539020168</v>
      </c>
      <c r="I12" s="19">
        <f>SUMIFS('RES results'!$H:$H,'RES results'!$C:$C,"VAR_Fout",'RES results'!$G:$G,I$2,'RES results'!$E:$E,"RWH",'RES results'!$B:$B,"EWH")/T5*0.99</f>
        <v>0.38033939265817429</v>
      </c>
      <c r="J12" s="19">
        <f>SUMIFS('RES results'!$H:$H,'RES results'!$C:$C,"VAR_Fout",'RES results'!$G:$G,J$2,'RES results'!$E:$E,"RWH",'RES results'!$B:$B,"EWH")/U5*0.99</f>
        <v>0.22759520172444794</v>
      </c>
      <c r="K12" s="19">
        <f>SUMIFS('RES results'!$H:$H,'RES results'!$C:$C,"VAR_Fout",'RES results'!$G:$G,K$2,'RES results'!$E:$E,"RWH",'RES results'!$B:$B,"EWH")/V5*0.99</f>
        <v>0.2195901045918518</v>
      </c>
      <c r="N12" s="19"/>
      <c r="O12" s="19"/>
      <c r="P12" s="19"/>
      <c r="Q12" s="19"/>
      <c r="R12" s="19"/>
      <c r="S12" s="19"/>
      <c r="T12" s="19"/>
      <c r="U12" s="19"/>
      <c r="V12" s="19"/>
    </row>
    <row r="13" spans="1:23" x14ac:dyDescent="0.3">
      <c r="A13" s="15" t="s">
        <v>160</v>
      </c>
      <c r="B13" s="15" t="s">
        <v>161</v>
      </c>
      <c r="C13" s="19">
        <f>SUMIFS('RES results'!$H:$H,'RES results'!$C:$C,"VAR_Fout",'RES results'!$G:$G,C$2,'RES results'!$E:$E,"RWH",'RES results'!$B:$B,"LWH")/N5*0.99</f>
        <v>2.8805013069898397E-2</v>
      </c>
      <c r="D13" s="19">
        <f>SUMIFS('RES results'!$H:$H,'RES results'!$C:$C,"VAR_Fout",'RES results'!$G:$G,D$2,'RES results'!$E:$E,"RWH",'RES results'!$B:$B,"LWH")/O5*0.99</f>
        <v>3.1368536962010148E-2</v>
      </c>
      <c r="E13" s="19">
        <f>SUMIFS('RES results'!$H:$H,'RES results'!$C:$C,"VAR_Fout",'RES results'!$G:$G,E$2,'RES results'!$E:$E,"RWH",'RES results'!$B:$B,"LWH")/P5*0.99</f>
        <v>4.5619347606303901E-2</v>
      </c>
      <c r="F13" s="19">
        <f>SUMIFS('RES results'!$H:$H,'RES results'!$C:$C,"VAR_Fout",'RES results'!$G:$G,F$2,'RES results'!$E:$E,"RWH",'RES results'!$B:$B,"LWH")/Q5*0.99</f>
        <v>7.0545183003972653E-2</v>
      </c>
      <c r="G13" s="19">
        <f>SUMIFS('RES results'!$H:$H,'RES results'!$C:$C,"VAR_Fout",'RES results'!$G:$G,G$2,'RES results'!$E:$E,"RWH",'RES results'!$B:$B,"LWH")/R5*0.99</f>
        <v>2.5599286289504281E-2</v>
      </c>
      <c r="H13" s="19">
        <f>SUMIFS('RES results'!$H:$H,'RES results'!$C:$C,"VAR_Fout",'RES results'!$G:$G,H$2,'RES results'!$E:$E,"RWH",'RES results'!$B:$B,"LWH")/S5*0.99</f>
        <v>4.0465054750071394E-2</v>
      </c>
      <c r="I13" s="19">
        <f>SUMIFS('RES results'!$H:$H,'RES results'!$C:$C,"VAR_Fout",'RES results'!$G:$G,I$2,'RES results'!$E:$E,"RWH",'RES results'!$B:$B,"LWH")/T5*0.99</f>
        <v>5.028421443336506E-2</v>
      </c>
      <c r="J13" s="19">
        <f>SUMIFS('RES results'!$H:$H,'RES results'!$C:$C,"VAR_Fout",'RES results'!$G:$G,J$2,'RES results'!$E:$E,"RWH",'RES results'!$B:$B,"LWH")/U5*0.99</f>
        <v>6.9712741149613441E-2</v>
      </c>
      <c r="K13" s="19">
        <f>SUMIFS('RES results'!$H:$H,'RES results'!$C:$C,"VAR_Fout",'RES results'!$G:$G,K$2,'RES results'!$E:$E,"RWH",'RES results'!$B:$B,"LWH")/V5*0.99</f>
        <v>4.0715534060834578E-2</v>
      </c>
    </row>
    <row r="14" spans="1:23" x14ac:dyDescent="0.3">
      <c r="A14" s="15" t="s">
        <v>163</v>
      </c>
      <c r="B14" s="15" t="s">
        <v>164</v>
      </c>
      <c r="C14" s="19">
        <f>SUMIFS('RES results'!$H:$H,'RES results'!$C:$C,"VAR_Fout",'RES results'!$G:$G,C$2,'RES results'!$E:$E,"RWH",'RES results'!$B:$B,"NWH")/N5*0.99</f>
        <v>0.4915949084684389</v>
      </c>
      <c r="D14" s="19">
        <f>SUMIFS('RES results'!$H:$H,'RES results'!$C:$C,"VAR_Fout",'RES results'!$G:$G,D$2,'RES results'!$E:$E,"RWH",'RES results'!$B:$B,"NWH")/O5*0.99</f>
        <v>0.67953517461350343</v>
      </c>
      <c r="E14" s="19">
        <f>SUMIFS('RES results'!$H:$H,'RES results'!$C:$C,"VAR_Fout",'RES results'!$G:$G,E$2,'RES results'!$E:$E,"RWH",'RES results'!$B:$B,"NWH")/P5*0.99</f>
        <v>0.75616753362810629</v>
      </c>
      <c r="F14" s="19">
        <f>SUMIFS('RES results'!$H:$H,'RES results'!$C:$C,"VAR_Fout",'RES results'!$G:$G,F$2,'RES results'!$E:$E,"RWH",'RES results'!$B:$B,"NWH")/Q5*0.99</f>
        <v>0.66476229902028805</v>
      </c>
      <c r="G14" s="19">
        <f>SUMIFS('RES results'!$H:$H,'RES results'!$C:$C,"VAR_Fout",'RES results'!$G:$G,G$2,'RES results'!$E:$E,"RWH",'RES results'!$B:$B,"NWH")/R5*0.99</f>
        <v>0.36426822322521574</v>
      </c>
      <c r="H14" s="19">
        <f>SUMIFS('RES results'!$H:$H,'RES results'!$C:$C,"VAR_Fout",'RES results'!$G:$G,H$2,'RES results'!$E:$E,"RWH",'RES results'!$B:$B,"NWH")/S5*0.99</f>
        <v>0.38444445985972681</v>
      </c>
      <c r="I14" s="19">
        <f>SUMIFS('RES results'!$H:$H,'RES results'!$C:$C,"VAR_Fout",'RES results'!$G:$G,I$2,'RES results'!$E:$E,"RWH",'RES results'!$B:$B,"NWH")/T5*0.99</f>
        <v>0.55937639290846075</v>
      </c>
      <c r="J14" s="19">
        <f>SUMIFS('RES results'!$H:$H,'RES results'!$C:$C,"VAR_Fout",'RES results'!$G:$G,J$2,'RES results'!$E:$E,"RWH",'RES results'!$B:$B,"NWH")/U5*0.99</f>
        <v>0.69089320635306639</v>
      </c>
      <c r="K14" s="19">
        <f>SUMIFS('RES results'!$H:$H,'RES results'!$C:$C,"VAR_Fout",'RES results'!$G:$G,K$2,'RES results'!$E:$E,"RWH",'RES results'!$B:$B,"NWH")/V5*0.99</f>
        <v>0.7270541811843525</v>
      </c>
    </row>
    <row r="15" spans="1:23" x14ac:dyDescent="0.3">
      <c r="A15" s="15" t="s">
        <v>189</v>
      </c>
      <c r="B15" s="15" t="s">
        <v>190</v>
      </c>
      <c r="C15" s="19">
        <f>SUMIFS('RES results'!$H:$H,'RES results'!$C:$C,"VAR_Fout",'RES results'!$G:$G,C$2,'RES results'!$E:$E,"RSC",'RES results'!$B:$B,"NHP")/N3*0.99</f>
        <v>0</v>
      </c>
      <c r="D15" s="19">
        <f>SUMIFS('RES results'!$H:$H,'RES results'!$C:$C,"VAR_Fout",'RES results'!$G:$G,D$2,'RES results'!$E:$E,"RSC",'RES results'!$B:$B,"NHP")/O3*0.99</f>
        <v>2.3268569603649781E-3</v>
      </c>
      <c r="E15" s="19">
        <f>SUMIFS('RES results'!$H:$H,'RES results'!$C:$C,"VAR_Fout",'RES results'!$G:$G,E$2,'RES results'!$E:$E,"RSC",'RES results'!$B:$B,"NHP")/P3*0.99</f>
        <v>8.1225798106826681E-4</v>
      </c>
      <c r="F15" s="19">
        <f>SUMIFS('RES results'!$H:$H,'RES results'!$C:$C,"VAR_Fout",'RES results'!$G:$G,F$2,'RES results'!$E:$E,"RSC",'RES results'!$B:$B,"NHP")/Q3*0.99</f>
        <v>5.2529977996348762E-3</v>
      </c>
      <c r="G15" s="19">
        <f>SUMIFS('RES results'!$H:$H,'RES results'!$C:$C,"VAR_Fout",'RES results'!$G:$G,G$2,'RES results'!$E:$E,"RSC",'RES results'!$B:$B,"NHP")/R3*0.99</f>
        <v>7.0087171780585751E-3</v>
      </c>
      <c r="H15" s="19">
        <f>SUMIFS('RES results'!$H:$H,'RES results'!$C:$C,"VAR_Fout",'RES results'!$G:$G,H$2,'RES results'!$E:$E,"RSC",'RES results'!$B:$B,"NHP")/S3*0.99</f>
        <v>7.3160694828995629E-3</v>
      </c>
      <c r="I15" s="19">
        <f>SUMIFS('RES results'!$H:$H,'RES results'!$C:$C,"VAR_Fout",'RES results'!$G:$G,I$2,'RES results'!$E:$E,"RSC",'RES results'!$B:$B,"NHP")/T3*0.99</f>
        <v>1.9779755768324935E-3</v>
      </c>
      <c r="J15" s="19">
        <f>SUMIFS('RES results'!$H:$H,'RES results'!$C:$C,"VAR_Fout",'RES results'!$G:$G,J$2,'RES results'!$E:$E,"RSC",'RES results'!$B:$B,"NHP")/U3*0.99</f>
        <v>1.0989970078108325E-2</v>
      </c>
      <c r="K15" s="19">
        <f>SUMIFS('RES results'!$H:$H,'RES results'!$C:$C,"VAR_Fout",'RES results'!$G:$G,K$2,'RES results'!$E:$E,"RSC",'RES results'!$B:$B,"NHP")/V3*0.99</f>
        <v>4.1688596225004154E-3</v>
      </c>
    </row>
    <row r="16" spans="1:23" x14ac:dyDescent="0.3">
      <c r="A16" s="15" t="s">
        <v>166</v>
      </c>
      <c r="B16" s="15" t="s">
        <v>167</v>
      </c>
      <c r="C16" s="19">
        <f>(SUMIFS('RES results'!$H:$H,'RES results'!$C:$C,"VAR_Fout",'RES results'!$G:$G,C$2,'RES results'!$E:$E,"RSC",'RES results'!$B:$B,"NHP")+SUMIFS('RES results'!$H:$H,'RES results'!$C:$C,"VAR_Fout",'RES results'!$G:$G,C$2,'RES results'!$E:$E,"RSC",'RES results'!$B:$B,"GHP")+SUMIFS('RES results'!$H:$H,'RES results'!$C:$C,"VAR_Fout",'RES results'!$G:$G,C$2,'RES results'!$E:$E,"RSC",'RES results'!$B:$B,"EHP"))/N3*0.99</f>
        <v>5.5541783976317391E-3</v>
      </c>
      <c r="D16" s="19">
        <f>(SUMIFS('RES results'!$H:$H,'RES results'!$C:$C,"VAR_Fout",'RES results'!$G:$G,D$2,'RES results'!$E:$E,"RSC",'RES results'!$B:$B,"NHP")+SUMIFS('RES results'!$H:$H,'RES results'!$C:$C,"VAR_Fout",'RES results'!$G:$G,D$2,'RES results'!$E:$E,"RSC",'RES results'!$B:$B,"GHP")+SUMIFS('RES results'!$H:$H,'RES results'!$C:$C,"VAR_Fout",'RES results'!$G:$G,D$2,'RES results'!$E:$E,"RSC",'RES results'!$B:$B,"EHP"))/O3*0.99</f>
        <v>4.0672971715423493E-2</v>
      </c>
      <c r="E16" s="19">
        <f>(SUMIFS('RES results'!$H:$H,'RES results'!$C:$C,"VAR_Fout",'RES results'!$G:$G,E$2,'RES results'!$E:$E,"RSC",'RES results'!$B:$B,"NHP")+SUMIFS('RES results'!$H:$H,'RES results'!$C:$C,"VAR_Fout",'RES results'!$G:$G,E$2,'RES results'!$E:$E,"RSC",'RES results'!$B:$B,"GHP")+SUMIFS('RES results'!$H:$H,'RES results'!$C:$C,"VAR_Fout",'RES results'!$G:$G,E$2,'RES results'!$E:$E,"RSC",'RES results'!$B:$B,"EHP"))/P3*0.99</f>
        <v>2.5794814477991097E-2</v>
      </c>
      <c r="F16" s="19">
        <f>(SUMIFS('RES results'!$H:$H,'RES results'!$C:$C,"VAR_Fout",'RES results'!$G:$G,F$2,'RES results'!$E:$E,"RSC",'RES results'!$B:$B,"NHP")+SUMIFS('RES results'!$H:$H,'RES results'!$C:$C,"VAR_Fout",'RES results'!$G:$G,F$2,'RES results'!$E:$E,"RSC",'RES results'!$B:$B,"GHP")+SUMIFS('RES results'!$H:$H,'RES results'!$C:$C,"VAR_Fout",'RES results'!$G:$G,F$2,'RES results'!$E:$E,"RSC",'RES results'!$B:$B,"EHP"))/Q3*0.99</f>
        <v>4.7629428854605402E-2</v>
      </c>
      <c r="G16" s="19">
        <f>(SUMIFS('RES results'!$H:$H,'RES results'!$C:$C,"VAR_Fout",'RES results'!$G:$G,G$2,'RES results'!$E:$E,"RSC",'RES results'!$B:$B,"NHP")+SUMIFS('RES results'!$H:$H,'RES results'!$C:$C,"VAR_Fout",'RES results'!$G:$G,G$2,'RES results'!$E:$E,"RSC",'RES results'!$B:$B,"GHP")+SUMIFS('RES results'!$H:$H,'RES results'!$C:$C,"VAR_Fout",'RES results'!$G:$G,G$2,'RES results'!$E:$E,"RSC",'RES results'!$B:$B,"EHP"))/R3*0.99</f>
        <v>0.29253455600443995</v>
      </c>
      <c r="H16" s="19">
        <f>(SUMIFS('RES results'!$H:$H,'RES results'!$C:$C,"VAR_Fout",'RES results'!$G:$G,H$2,'RES results'!$E:$E,"RSC",'RES results'!$B:$B,"NHP")+SUMIFS('RES results'!$H:$H,'RES results'!$C:$C,"VAR_Fout",'RES results'!$G:$G,H$2,'RES results'!$E:$E,"RSC",'RES results'!$B:$B,"GHP")+SUMIFS('RES results'!$H:$H,'RES results'!$C:$C,"VAR_Fout",'RES results'!$G:$G,H$2,'RES results'!$E:$E,"RSC",'RES results'!$B:$B,"EHP"))/S3*0.99</f>
        <v>0.22485513339475507</v>
      </c>
      <c r="I16" s="19">
        <f>(SUMIFS('RES results'!$H:$H,'RES results'!$C:$C,"VAR_Fout",'RES results'!$G:$G,I$2,'RES results'!$E:$E,"RSC",'RES results'!$B:$B,"NHP")+SUMIFS('RES results'!$H:$H,'RES results'!$C:$C,"VAR_Fout",'RES results'!$G:$G,I$2,'RES results'!$E:$E,"RSC",'RES results'!$B:$B,"GHP")+SUMIFS('RES results'!$H:$H,'RES results'!$C:$C,"VAR_Fout",'RES results'!$G:$G,I$2,'RES results'!$E:$E,"RSC",'RES results'!$B:$B,"EHP"))/T3*0.99</f>
        <v>4.8595815218329501E-2</v>
      </c>
      <c r="J16" s="19">
        <f>(SUMIFS('RES results'!$H:$H,'RES results'!$C:$C,"VAR_Fout",'RES results'!$G:$G,J$2,'RES results'!$E:$E,"RSC",'RES results'!$B:$B,"NHP")+SUMIFS('RES results'!$H:$H,'RES results'!$C:$C,"VAR_Fout",'RES results'!$G:$G,J$2,'RES results'!$E:$E,"RSC",'RES results'!$B:$B,"GHP")+SUMIFS('RES results'!$H:$H,'RES results'!$C:$C,"VAR_Fout",'RES results'!$G:$G,J$2,'RES results'!$E:$E,"RSC",'RES results'!$B:$B,"EHP"))/U3*0.99</f>
        <v>0.15745135852888259</v>
      </c>
      <c r="K16" s="19">
        <f>(SUMIFS('RES results'!$H:$H,'RES results'!$C:$C,"VAR_Fout",'RES results'!$G:$G,K$2,'RES results'!$E:$E,"RSC",'RES results'!$B:$B,"NHP")+SUMIFS('RES results'!$H:$H,'RES results'!$C:$C,"VAR_Fout",'RES results'!$G:$G,K$2,'RES results'!$E:$E,"RSC",'RES results'!$B:$B,"GHP")+SUMIFS('RES results'!$H:$H,'RES results'!$C:$C,"VAR_Fout",'RES results'!$G:$G,K$2,'RES results'!$E:$E,"RSC",'RES results'!$B:$B,"EHP"))/V3*0.99</f>
        <v>7.5614672744694369E-2</v>
      </c>
      <c r="N16" s="19"/>
      <c r="O16" s="19"/>
      <c r="P16" s="19"/>
      <c r="Q16" s="19"/>
      <c r="R16" s="19"/>
      <c r="S16" s="19"/>
      <c r="T16" s="19"/>
      <c r="U16" s="19"/>
      <c r="V16" s="19"/>
    </row>
    <row r="17" spans="1:14" x14ac:dyDescent="0.3">
      <c r="A17" s="15" t="s">
        <v>170</v>
      </c>
      <c r="B17" s="15" t="s">
        <v>171</v>
      </c>
      <c r="C17" s="19">
        <f>SUMIFS('RES results'!$H:$H,'RES results'!$C:$C,"VAR_Fout",'RES results'!$G:$G,C$2,'RES results'!$E:$E,"RSC",'RES results'!$B:$B,"CAC")/N3*0.99</f>
        <v>0.48237920888603786</v>
      </c>
      <c r="D17" s="19">
        <f>SUMIFS('RES results'!$H:$H,'RES results'!$C:$C,"VAR_Fout",'RES results'!$G:$G,D$2,'RES results'!$E:$E,"RSC",'RES results'!$B:$B,"CAC")/O3*0.99</f>
        <v>0.63444651774781824</v>
      </c>
      <c r="E17" s="19">
        <f>SUMIFS('RES results'!$H:$H,'RES results'!$C:$C,"VAR_Fout",'RES results'!$G:$G,E$2,'RES results'!$E:$E,"RSC",'RES results'!$B:$B,"CAC")/P3*0.99</f>
        <v>0.82326596487386017</v>
      </c>
      <c r="F17" s="19">
        <f>SUMIFS('RES results'!$H:$H,'RES results'!$C:$C,"VAR_Fout",'RES results'!$G:$G,F$2,'RES results'!$E:$E,"RSC",'RES results'!$B:$B,"CAC")/Q3*0.99</f>
        <v>0.88356571348305857</v>
      </c>
      <c r="G17" s="19">
        <f>SUMIFS('RES results'!$H:$H,'RES results'!$C:$C,"VAR_Fout",'RES results'!$G:$G,G$2,'RES results'!$E:$E,"RSC",'RES results'!$B:$B,"CAC")/R3*0.99</f>
        <v>0.63497835495148292</v>
      </c>
      <c r="H17" s="19">
        <f>SUMIFS('RES results'!$H:$H,'RES results'!$C:$C,"VAR_Fout",'RES results'!$G:$G,H$2,'RES results'!$E:$E,"RSC",'RES results'!$B:$B,"CAC")/S3*0.99</f>
        <v>0.7051202943051631</v>
      </c>
      <c r="I17" s="19">
        <f>SUMIFS('RES results'!$H:$H,'RES results'!$C:$C,"VAR_Fout",'RES results'!$G:$G,I$2,'RES results'!$E:$E,"RSC",'RES results'!$B:$B,"CAC")/T3*0.99</f>
        <v>0.83688149670104961</v>
      </c>
      <c r="J17" s="19">
        <f>SUMIFS('RES results'!$H:$H,'RES results'!$C:$C,"VAR_Fout",'RES results'!$G:$G,J$2,'RES results'!$E:$E,"RSC",'RES results'!$B:$B,"CAC")/U3*0.99</f>
        <v>0.7989206027833019</v>
      </c>
      <c r="K17" s="19">
        <f>SUMIFS('RES results'!$H:$H,'RES results'!$C:$C,"VAR_Fout",'RES results'!$G:$G,K$2,'RES results'!$E:$E,"RSC",'RES results'!$B:$B,"CAC")/V3*0.99</f>
        <v>0.78474759454917764</v>
      </c>
    </row>
    <row r="18" spans="1:14" x14ac:dyDescent="0.3">
      <c r="A18" s="15" t="s">
        <v>173</v>
      </c>
      <c r="B18" s="15" t="s">
        <v>174</v>
      </c>
      <c r="C18" s="19">
        <f>SUMIFS('RES results'!$H:$H,'RES results'!$C:$C,"VAR_Fout",'RES results'!$G:$G,C$2,'RES results'!$E:$E,"RSC",'RES results'!$B:$B,"RAC")/N3*0.99</f>
        <v>0.50206661271633035</v>
      </c>
      <c r="D18" s="19">
        <f>SUMIFS('RES results'!$H:$H,'RES results'!$C:$C,"VAR_Fout",'RES results'!$G:$G,D$2,'RES results'!$E:$E,"RSC",'RES results'!$B:$B,"RAC")/O3*0.99</f>
        <v>0.31488051053675825</v>
      </c>
      <c r="E18" s="19">
        <f>SUMIFS('RES results'!$H:$H,'RES results'!$C:$C,"VAR_Fout",'RES results'!$G:$G,E$2,'RES results'!$E:$E,"RSC",'RES results'!$B:$B,"RAC")/P3*0.99</f>
        <v>0.14093922064814859</v>
      </c>
      <c r="F18" s="19">
        <f>SUMIFS('RES results'!$H:$H,'RES results'!$C:$C,"VAR_Fout",'RES results'!$G:$G,F$2,'RES results'!$E:$E,"RSC",'RES results'!$B:$B,"RAC")/Q3*0.99</f>
        <v>5.880485766233598E-2</v>
      </c>
      <c r="G18" s="19">
        <f>SUMIFS('RES results'!$H:$H,'RES results'!$C:$C,"VAR_Fout",'RES results'!$G:$G,G$2,'RES results'!$E:$E,"RSC",'RES results'!$B:$B,"RAC")/R3*0.99</f>
        <v>6.2487089044077064E-2</v>
      </c>
      <c r="H18" s="19">
        <f>SUMIFS('RES results'!$H:$H,'RES results'!$C:$C,"VAR_Fout",'RES results'!$G:$G,H$2,'RES results'!$E:$E,"RSC",'RES results'!$B:$B,"RAC")/S3*0.99</f>
        <v>6.0024572300081971E-2</v>
      </c>
      <c r="I18" s="19">
        <f>SUMIFS('RES results'!$H:$H,'RES results'!$C:$C,"VAR_Fout",'RES results'!$G:$G,I$2,'RES results'!$E:$E,"RSC",'RES results'!$B:$B,"RAC")/T3*0.99</f>
        <v>0.10452268808062098</v>
      </c>
      <c r="J18" s="19">
        <f>SUMIFS('RES results'!$H:$H,'RES results'!$C:$C,"VAR_Fout",'RES results'!$G:$G,J$2,'RES results'!$E:$E,"RSC",'RES results'!$B:$B,"RAC")/U3*0.99</f>
        <v>3.3628038687815505E-2</v>
      </c>
      <c r="K18" s="19">
        <f>SUMIFS('RES results'!$H:$H,'RES results'!$C:$C,"VAR_Fout",'RES results'!$G:$G,K$2,'RES results'!$E:$E,"RSC",'RES results'!$B:$B,"RAC")/V3*0.99</f>
        <v>0.12963773270612788</v>
      </c>
    </row>
    <row r="19" spans="1:14" x14ac:dyDescent="0.3">
      <c r="A19" s="15" t="s">
        <v>124</v>
      </c>
      <c r="B19" s="15" t="s">
        <v>125</v>
      </c>
      <c r="C19" s="19">
        <f>SUMIFS('RES results'!$H:$H,'RES results'!$C:$C,"VAR_Fout",'RES results'!$G:$G,C$2,'RES results'!$E:$E,"RLT",'RES results'!$B:$B,"INC")/N6*0.99</f>
        <v>0.47645219432005836</v>
      </c>
      <c r="D19" s="19">
        <f>SUMIFS('RES results'!$H:$H,'RES results'!$C:$C,"VAR_Fout",'RES results'!$G:$G,D$2,'RES results'!$E:$E,"RLT",'RES results'!$B:$B,"INC")/O6*0.99</f>
        <v>0.47645219432005775</v>
      </c>
      <c r="E19" s="19">
        <f>SUMIFS('RES results'!$H:$H,'RES results'!$C:$C,"VAR_Fout",'RES results'!$G:$G,E$2,'RES results'!$E:$E,"RLT",'RES results'!$B:$B,"INC")/P6*0.99</f>
        <v>0.47645219432005698</v>
      </c>
      <c r="F19" s="19">
        <f>SUMIFS('RES results'!$H:$H,'RES results'!$C:$C,"VAR_Fout",'RES results'!$G:$G,F$2,'RES results'!$E:$E,"RLT",'RES results'!$B:$B,"INC")/Q6*0.99</f>
        <v>0.47645219432005698</v>
      </c>
      <c r="G19" s="19">
        <f>SUMIFS('RES results'!$H:$H,'RES results'!$C:$C,"VAR_Fout",'RES results'!$G:$G,G$2,'RES results'!$E:$E,"RLT",'RES results'!$B:$B,"INC")/R6*0.99</f>
        <v>0.47645219432005809</v>
      </c>
      <c r="H19" s="19">
        <f>SUMIFS('RES results'!$H:$H,'RES results'!$C:$C,"VAR_Fout",'RES results'!$G:$G,H$2,'RES results'!$E:$E,"RLT",'RES results'!$B:$B,"INC")/S6*0.99</f>
        <v>0.48562049639711785</v>
      </c>
      <c r="I19" s="19">
        <f>SUMIFS('RES results'!$H:$H,'RES results'!$C:$C,"VAR_Fout",'RES results'!$G:$G,I$2,'RES results'!$E:$E,"RLT",'RES results'!$B:$B,"INC")/T6*0.99</f>
        <v>0.4764521943200577</v>
      </c>
      <c r="J19" s="19">
        <f>SUMIFS('RES results'!$H:$H,'RES results'!$C:$C,"VAR_Fout",'RES results'!$G:$G,J$2,'RES results'!$E:$E,"RLT",'RES results'!$B:$B,"INC")/U6*0.99</f>
        <v>0.48562049639711768</v>
      </c>
      <c r="K19" s="19">
        <f>SUMIFS('RES results'!$H:$H,'RES results'!$C:$C,"VAR_Fout",'RES results'!$G:$G,K$2,'RES results'!$E:$E,"RLT",'RES results'!$B:$B,"INC")/V6*0.99</f>
        <v>0.4764521943200577</v>
      </c>
    </row>
    <row r="20" spans="1:14" x14ac:dyDescent="0.3">
      <c r="A20" s="15" t="s">
        <v>177</v>
      </c>
      <c r="B20" s="15" t="s">
        <v>178</v>
      </c>
      <c r="C20" s="19">
        <f>SUMIFS('RES results'!$H:$H,'RES results'!$C:$C,"VAR_Fout",'RES results'!$G:$G,C$2,'RES results'!$E:$E,"RLT",'RES results'!$B:$B,"CFL")/N6*0.99</f>
        <v>0.25233517115127563</v>
      </c>
      <c r="D20" s="19">
        <f>SUMIFS('RES results'!$H:$H,'RES results'!$C:$C,"VAR_Fout",'RES results'!$G:$G,D$2,'RES results'!$E:$E,"RLT",'RES results'!$B:$B,"CFL")/O6*0.99</f>
        <v>0.25233517115127596</v>
      </c>
      <c r="E20" s="19">
        <f>SUMIFS('RES results'!$H:$H,'RES results'!$C:$C,"VAR_Fout",'RES results'!$G:$G,E$2,'RES results'!$E:$E,"RLT",'RES results'!$B:$B,"CFL")/P6*0.99</f>
        <v>0.25233517115127596</v>
      </c>
      <c r="F20" s="19">
        <f>SUMIFS('RES results'!$H:$H,'RES results'!$C:$C,"VAR_Fout",'RES results'!$G:$G,F$2,'RES results'!$E:$E,"RLT",'RES results'!$B:$B,"CFL")/Q6*0.99</f>
        <v>0.25233517115127618</v>
      </c>
      <c r="G20" s="19">
        <f>SUMIFS('RES results'!$H:$H,'RES results'!$C:$C,"VAR_Fout",'RES results'!$G:$G,G$2,'RES results'!$E:$E,"RLT",'RES results'!$B:$B,"CFL")/R6*0.99</f>
        <v>0.25233517115127585</v>
      </c>
      <c r="H20" s="19">
        <f>SUMIFS('RES results'!$H:$H,'RES results'!$C:$C,"VAR_Fout",'RES results'!$G:$G,H$2,'RES results'!$E:$E,"RLT",'RES results'!$B:$B,"CFL")/S6*0.99</f>
        <v>0.24783026421136894</v>
      </c>
      <c r="I20" s="19">
        <f>SUMIFS('RES results'!$H:$H,'RES results'!$C:$C,"VAR_Fout",'RES results'!$G:$G,I$2,'RES results'!$E:$E,"RLT",'RES results'!$B:$B,"CFL")/T6*0.99</f>
        <v>0.25233517115127574</v>
      </c>
      <c r="J20" s="19">
        <f>SUMIFS('RES results'!$H:$H,'RES results'!$C:$C,"VAR_Fout",'RES results'!$G:$G,J$2,'RES results'!$E:$E,"RLT",'RES results'!$B:$B,"CFL")/U6*0.99</f>
        <v>0.247830264211369</v>
      </c>
      <c r="K20" s="19">
        <f>SUMIFS('RES results'!$H:$H,'RES results'!$C:$C,"VAR_Fout",'RES results'!$G:$G,K$2,'RES results'!$E:$E,"RLT",'RES results'!$B:$B,"CFL")/V6*0.99</f>
        <v>0.25233517115127624</v>
      </c>
    </row>
    <row r="21" spans="1:14" x14ac:dyDescent="0.3">
      <c r="A21" s="15" t="s">
        <v>180</v>
      </c>
      <c r="B21" s="15" t="s">
        <v>181</v>
      </c>
      <c r="C21" s="19">
        <f>SUMIFS('RES results'!$H:$H,'RES results'!$C:$C,"VAR_Fout",'RES results'!$G:$G,C$2,'RES results'!$E:$E,"RLT",'RES results'!$A:$A,"L")/N6*0.99</f>
        <v>0.1993394049286728</v>
      </c>
      <c r="D21" s="19">
        <f>SUMIFS('RES results'!$H:$H,'RES results'!$C:$C,"VAR_Fout",'RES results'!$G:$G,D$2,'RES results'!$E:$E,"RLT",'RES results'!$A:$A,"L")/O6*0.99</f>
        <v>0.19933940492867325</v>
      </c>
      <c r="E21" s="19">
        <f>SUMIFS('RES results'!$H:$H,'RES results'!$C:$C,"VAR_Fout",'RES results'!$G:$G,E$2,'RES results'!$E:$E,"RLT",'RES results'!$A:$A,"L")/P6*0.99</f>
        <v>0.19933940492867383</v>
      </c>
      <c r="F21" s="19">
        <f>SUMIFS('RES results'!$H:$H,'RES results'!$C:$C,"VAR_Fout",'RES results'!$G:$G,F$2,'RES results'!$E:$E,"RLT",'RES results'!$A:$A,"L")/Q6*0.99</f>
        <v>0.1993394049286735</v>
      </c>
      <c r="G21" s="19">
        <f>SUMIFS('RES results'!$H:$H,'RES results'!$C:$C,"VAR_Fout",'RES results'!$G:$G,G$2,'RES results'!$E:$E,"RLT",'RES results'!$A:$A,"L")/R6*0.99</f>
        <v>0.19933940492867303</v>
      </c>
      <c r="H21" s="19">
        <f>SUMIFS('RES results'!$H:$H,'RES results'!$C:$C,"VAR_Fout",'RES results'!$G:$G,H$2,'RES results'!$E:$E,"RLT",'RES results'!$A:$A,"L")/S6*0.99</f>
        <v>0.19578062449959954</v>
      </c>
      <c r="I21" s="19">
        <f>SUMIFS('RES results'!$H:$H,'RES results'!$C:$C,"VAR_Fout",'RES results'!$G:$G,I$2,'RES results'!$E:$E,"RLT",'RES results'!$A:$A,"L")/T6*0.99</f>
        <v>0.19933940492867325</v>
      </c>
      <c r="J21" s="19">
        <f>SUMIFS('RES results'!$H:$H,'RES results'!$C:$C,"VAR_Fout",'RES results'!$G:$G,J$2,'RES results'!$E:$E,"RLT",'RES results'!$A:$A,"L")/U6*0.99</f>
        <v>0.19578062449959963</v>
      </c>
      <c r="K21" s="19">
        <f>SUMIFS('RES results'!$H:$H,'RES results'!$C:$C,"VAR_Fout",'RES results'!$G:$G,K$2,'RES results'!$E:$E,"RLT",'RES results'!$A:$A,"L")/V6*0.99</f>
        <v>0.19933940492867314</v>
      </c>
    </row>
    <row r="22" spans="1:14" x14ac:dyDescent="0.3">
      <c r="A22" s="15" t="s">
        <v>183</v>
      </c>
      <c r="B22" s="15" t="s">
        <v>184</v>
      </c>
      <c r="C22" s="19">
        <f>SUMIFS('RES results'!$H:$H,'RES results'!$C:$C,"VAR_Fout",'RES results'!$G:$G,C$2,'RES results'!$E:$E,"RLT",'RES results'!$A:$A,"R")/N6*0.99</f>
        <v>7.7235356379233663E-2</v>
      </c>
      <c r="D22" s="19">
        <f>SUMIFS('RES results'!$H:$H,'RES results'!$C:$C,"VAR_Fout",'RES results'!$G:$G,D$2,'RES results'!$E:$E,"RLT",'RES results'!$A:$A,"R")/O6*0.99</f>
        <v>7.723535637923315E-2</v>
      </c>
      <c r="E22" s="19">
        <f>SUMIFS('RES results'!$H:$H,'RES results'!$C:$C,"VAR_Fout",'RES results'!$G:$G,E$2,'RES results'!$E:$E,"RLT",'RES results'!$A:$A,"R")/P6*0.99</f>
        <v>7.7235356379232609E-2</v>
      </c>
      <c r="F22" s="19">
        <f>SUMIFS('RES results'!$H:$H,'RES results'!$C:$C,"VAR_Fout",'RES results'!$G:$G,F$2,'RES results'!$E:$E,"RLT",'RES results'!$A:$A,"R")/Q6*0.99</f>
        <v>7.7235356379231859E-2</v>
      </c>
      <c r="G22" s="19">
        <f>SUMIFS('RES results'!$H:$H,'RES results'!$C:$C,"VAR_Fout",'RES results'!$G:$G,G$2,'RES results'!$E:$E,"RLT",'RES results'!$A:$A,"R")/R6*0.99</f>
        <v>7.7235356379233081E-2</v>
      </c>
      <c r="H22" s="19">
        <f>SUMIFS('RES results'!$H:$H,'RES results'!$C:$C,"VAR_Fout",'RES results'!$G:$G,H$2,'RES results'!$E:$E,"RLT",'RES results'!$A:$A,"R")/S6*0.99</f>
        <v>9.3530824659727535E-2</v>
      </c>
      <c r="I22" s="19">
        <f>SUMIFS('RES results'!$H:$H,'RES results'!$C:$C,"VAR_Fout",'RES results'!$G:$G,I$2,'RES results'!$E:$E,"RLT",'RES results'!$A:$A,"R")/T6*0.99</f>
        <v>7.7235356379232373E-2</v>
      </c>
      <c r="J22" s="19">
        <f>SUMIFS('RES results'!$H:$H,'RES results'!$C:$C,"VAR_Fout",'RES results'!$G:$G,J$2,'RES results'!$E:$E,"RLT",'RES results'!$A:$A,"R")/U6*0.99</f>
        <v>9.3530824659727979E-2</v>
      </c>
      <c r="K22" s="19">
        <f>SUMIFS('RES results'!$H:$H,'RES results'!$C:$C,"VAR_Fout",'RES results'!$G:$G,K$2,'RES results'!$E:$E,"RLT",'RES results'!$A:$A,"R")/V6*0.99</f>
        <v>7.723535637923179E-2</v>
      </c>
      <c r="L22" s="19"/>
    </row>
    <row r="23" spans="1:14" x14ac:dyDescent="0.3">
      <c r="A23" s="15" t="s">
        <v>186</v>
      </c>
      <c r="B23" s="15" t="s">
        <v>187</v>
      </c>
      <c r="C23" s="19">
        <f>SUMIFS('RES results'!$H:$H,'RES results'!$C:$C,"VAR_Fout",'RES results'!$G:$G,C$2,'RES results'!$E:$E,"RLT",'RES results'!$A:$A,"E")/N6*0.99</f>
        <v>5.3264780264341796E-2</v>
      </c>
      <c r="D23" s="19">
        <f>SUMIFS('RES results'!$H:$H,'RES results'!$C:$C,"VAR_Fout",'RES results'!$G:$G,D$2,'RES results'!$E:$E,"RLT",'RES results'!$A:$A,"E")/O6*0.99</f>
        <v>5.3264780264341741E-2</v>
      </c>
      <c r="E23" s="19">
        <f>SUMIFS('RES results'!$H:$H,'RES results'!$C:$C,"VAR_Fout",'RES results'!$G:$G,E$2,'RES results'!$E:$E,"RLT",'RES results'!$A:$A,"E")/P6*0.99</f>
        <v>5.3264780264341949E-2</v>
      </c>
      <c r="F23" s="19">
        <f>SUMIFS('RES results'!$H:$H,'RES results'!$C:$C,"VAR_Fout",'RES results'!$G:$G,F$2,'RES results'!$E:$E,"RLT",'RES results'!$A:$A,"E")/Q6*0.99</f>
        <v>5.3264780264341907E-2</v>
      </c>
      <c r="G23" s="19">
        <f>SUMIFS('RES results'!$H:$H,'RES results'!$C:$C,"VAR_Fout",'RES results'!$G:$G,G$2,'RES results'!$E:$E,"RLT",'RES results'!$A:$A,"E")/R6*0.99</f>
        <v>5.3264780264341768E-2</v>
      </c>
      <c r="H23" s="19">
        <f>SUMIFS('RES results'!$H:$H,'RES results'!$C:$C,"VAR_Fout",'RES results'!$G:$G,H$2,'RES results'!$E:$E,"RLT",'RES results'!$A:$A,"E")/S6*0.99</f>
        <v>5.2313851080864601E-2</v>
      </c>
      <c r="I23" s="19">
        <f>SUMIFS('RES results'!$H:$H,'RES results'!$C:$C,"VAR_Fout",'RES results'!$G:$G,I$2,'RES results'!$E:$E,"RLT",'RES results'!$A:$A,"E")/T6*0.99</f>
        <v>5.3264780264341879E-2</v>
      </c>
      <c r="J23" s="19">
        <f>SUMIFS('RES results'!$H:$H,'RES results'!$C:$C,"VAR_Fout",'RES results'!$G:$G,J$2,'RES results'!$E:$E,"RLT",'RES results'!$A:$A,"E")/U6*0.99</f>
        <v>5.2313851080864712E-2</v>
      </c>
      <c r="K23" s="19">
        <f>SUMIFS('RES results'!$H:$H,'RES results'!$C:$C,"VAR_Fout",'RES results'!$G:$G,K$2,'RES results'!$E:$E,"RLT",'RES results'!$A:$A,"E")/V6*0.99</f>
        <v>5.3264780264342046E-2</v>
      </c>
      <c r="L23" s="19"/>
    </row>
    <row r="24" spans="1:14" x14ac:dyDescent="0.3">
      <c r="A24" s="15" t="s">
        <v>192</v>
      </c>
      <c r="B24" s="15" t="s">
        <v>193</v>
      </c>
      <c r="C24" s="19">
        <f>SUMIFS('RES results'!$H:$H,'RES results'!$C:$C,"VAR_Fout",'RES results'!$G:$G,C$2,'RES results'!$E:$E,"RLT",'RES results'!$A:$A,"G")/N6*0.99</f>
        <v>0.66016045842775151</v>
      </c>
      <c r="D24" s="19">
        <f>SUMIFS('RES results'!$H:$H,'RES results'!$C:$C,"VAR_Fout",'RES results'!$G:$G,D$2,'RES results'!$E:$E,"RLT",'RES results'!$A:$A,"G")/O6*0.99</f>
        <v>0.66016045842775195</v>
      </c>
      <c r="E24" s="19">
        <f>SUMIFS('RES results'!$H:$H,'RES results'!$C:$C,"VAR_Fout",'RES results'!$G:$G,E$2,'RES results'!$E:$E,"RLT",'RES results'!$A:$A,"G")/P6*0.99</f>
        <v>0.66016045842775151</v>
      </c>
      <c r="F24" s="19">
        <f>SUMIFS('RES results'!$H:$H,'RES results'!$C:$C,"VAR_Fout",'RES results'!$G:$G,F$2,'RES results'!$E:$E,"RLT",'RES results'!$A:$A,"G")/Q6*0.99</f>
        <v>0.66016045842775262</v>
      </c>
      <c r="G24" s="19">
        <f>SUMIFS('RES results'!$H:$H,'RES results'!$C:$C,"VAR_Fout",'RES results'!$G:$G,G$2,'RES results'!$E:$E,"RLT",'RES results'!$A:$A,"G")/R6*0.99</f>
        <v>0.66016045842775217</v>
      </c>
      <c r="H24" s="19">
        <f>SUMIFS('RES results'!$H:$H,'RES results'!$C:$C,"VAR_Fout",'RES results'!$G:$G,H$2,'RES results'!$E:$E,"RLT",'RES results'!$A:$A,"G")/S6*0.99</f>
        <v>0.64837469975980833</v>
      </c>
      <c r="I24" s="19">
        <f>SUMIFS('RES results'!$H:$H,'RES results'!$C:$C,"VAR_Fout",'RES results'!$G:$G,I$2,'RES results'!$E:$E,"RLT",'RES results'!$A:$A,"G")/T6*0.99</f>
        <v>0.66016045842775239</v>
      </c>
      <c r="J24" s="19">
        <f>SUMIFS('RES results'!$H:$H,'RES results'!$C:$C,"VAR_Fout",'RES results'!$G:$G,J$2,'RES results'!$E:$E,"RLT",'RES results'!$A:$A,"G")/U6*0.99</f>
        <v>0.64837469975980755</v>
      </c>
      <c r="K24" s="19">
        <f>SUMIFS('RES results'!$H:$H,'RES results'!$C:$C,"VAR_Fout",'RES results'!$G:$G,K$2,'RES results'!$E:$E,"RLT",'RES results'!$A:$A,"G")/V6*0.99</f>
        <v>0.66016045842775317</v>
      </c>
      <c r="L24" s="19"/>
      <c r="M24" s="16"/>
      <c r="N24" s="16"/>
    </row>
    <row r="25" spans="1:14" x14ac:dyDescent="0.3">
      <c r="A25" s="15" t="s">
        <v>410</v>
      </c>
      <c r="B25" s="15" t="s">
        <v>409</v>
      </c>
      <c r="C25" s="19">
        <f>SUMIFS('RES results'!$H:$H,'RES results'!$C:$C,"VAR_Fout",'RES results'!$G:$G,C$2,'RES results'!$E:$E,"RLT",'RES results'!$B:$B,"LED")/N6*0.99</f>
        <v>1.4526758253911413E-2</v>
      </c>
      <c r="D25" s="19">
        <f>SUMIFS('RES results'!$H:$H,'RES results'!$C:$C,"VAR_Fout",'RES results'!$G:$G,D$2,'RES results'!$E:$E,"RLT",'RES results'!$B:$B,"LED")/O6*0.99</f>
        <v>1.45267582539114E-2</v>
      </c>
      <c r="E25" s="19">
        <f>SUMIFS('RES results'!$H:$H,'RES results'!$C:$C,"VAR_Fout",'RES results'!$G:$G,E$2,'RES results'!$E:$E,"RLT",'RES results'!$B:$B,"LED")/P6*0.99</f>
        <v>1.4526758253911464E-2</v>
      </c>
      <c r="F25" s="19">
        <f>SUMIFS('RES results'!$H:$H,'RES results'!$C:$C,"VAR_Fout",'RES results'!$G:$G,F$2,'RES results'!$E:$E,"RLT",'RES results'!$B:$B,"LED")/Q6*0.99</f>
        <v>1.4526758253911434E-2</v>
      </c>
      <c r="G25" s="19">
        <f>SUMIFS('RES results'!$H:$H,'RES results'!$C:$C,"VAR_Fout",'RES results'!$G:$G,G$2,'RES results'!$E:$E,"RLT",'RES results'!$B:$B,"LED")/R6*0.99</f>
        <v>1.452675825391145E-2</v>
      </c>
      <c r="H25" s="19">
        <f>SUMIFS('RES results'!$H:$H,'RES results'!$C:$C,"VAR_Fout",'RES results'!$G:$G,H$2,'RES results'!$E:$E,"RLT",'RES results'!$B:$B,"LED")/S6*0.99</f>
        <v>1.4267413931144909E-2</v>
      </c>
      <c r="I25" s="19">
        <f>SUMIFS('RES results'!$H:$H,'RES results'!$C:$C,"VAR_Fout",'RES results'!$G:$G,I$2,'RES results'!$E:$E,"RLT",'RES results'!$B:$B,"LED")/T6*0.99</f>
        <v>1.4526758253911426E-2</v>
      </c>
      <c r="J25" s="19">
        <f>SUMIFS('RES results'!$H:$H,'RES results'!$C:$C,"VAR_Fout",'RES results'!$G:$G,J$2,'RES results'!$E:$E,"RLT",'RES results'!$B:$B,"LED")/U6*0.99</f>
        <v>1.4267413931144914E-2</v>
      </c>
      <c r="K25" s="19">
        <f>SUMIFS('RES results'!$H:$H,'RES results'!$C:$C,"VAR_Fout",'RES results'!$G:$G,K$2,'RES results'!$E:$E,"RLT",'RES results'!$B:$B,"LED")/V6*0.99</f>
        <v>1.4526758253911488E-2</v>
      </c>
      <c r="L25" s="17"/>
      <c r="M25" s="17"/>
      <c r="N25" s="17"/>
    </row>
    <row r="27" spans="1:14" ht="15" thickBot="1" x14ac:dyDescent="0.35">
      <c r="A27" s="6"/>
      <c r="B27" s="6"/>
      <c r="C27" s="6"/>
      <c r="D27" s="6"/>
      <c r="E27" s="6"/>
      <c r="F27" s="6"/>
      <c r="G27" s="10"/>
    </row>
    <row r="28" spans="1:14" x14ac:dyDescent="0.3">
      <c r="C28" s="19"/>
    </row>
    <row r="29" spans="1:14" x14ac:dyDescent="0.3">
      <c r="C29" s="19"/>
    </row>
    <row r="30" spans="1:14" x14ac:dyDescent="0.3">
      <c r="C30" s="19"/>
    </row>
    <row r="31" spans="1:14" x14ac:dyDescent="0.3">
      <c r="C31" s="19"/>
    </row>
    <row r="32" spans="1:14" x14ac:dyDescent="0.3">
      <c r="C32" s="19"/>
    </row>
    <row r="33" spans="1:7" x14ac:dyDescent="0.3">
      <c r="C33" s="19"/>
    </row>
    <row r="34" spans="1:7" x14ac:dyDescent="0.3">
      <c r="C34" s="19"/>
    </row>
    <row r="35" spans="1:7" x14ac:dyDescent="0.3">
      <c r="C35" s="19"/>
    </row>
    <row r="36" spans="1:7" x14ac:dyDescent="0.3">
      <c r="C36" s="19"/>
    </row>
    <row r="37" spans="1:7" x14ac:dyDescent="0.3">
      <c r="C37" s="19"/>
    </row>
    <row r="38" spans="1:7" x14ac:dyDescent="0.3">
      <c r="C38" s="19"/>
    </row>
    <row r="39" spans="1:7" x14ac:dyDescent="0.3">
      <c r="A39" s="18"/>
      <c r="B39" s="18"/>
      <c r="C39" s="19"/>
      <c r="D39" s="18"/>
      <c r="E39" s="18"/>
      <c r="F39" s="18"/>
      <c r="G39" s="18"/>
    </row>
    <row r="40" spans="1:7" x14ac:dyDescent="0.3">
      <c r="A40" s="18"/>
      <c r="B40" s="18"/>
      <c r="C40" s="19"/>
      <c r="D40" s="18"/>
      <c r="E40" s="18"/>
      <c r="F40" s="18"/>
      <c r="G40" s="18"/>
    </row>
    <row r="41" spans="1:7" x14ac:dyDescent="0.3">
      <c r="A41" s="18"/>
      <c r="B41" s="18"/>
      <c r="C41" s="19"/>
      <c r="D41" s="18"/>
      <c r="E41" s="18"/>
      <c r="F41" s="18"/>
      <c r="G41" s="18"/>
    </row>
    <row r="42" spans="1:7" x14ac:dyDescent="0.3">
      <c r="A42" s="18"/>
      <c r="B42" s="18"/>
      <c r="C42" s="19"/>
      <c r="D42" s="18"/>
      <c r="E42" s="18"/>
      <c r="F42" s="18"/>
      <c r="G42" s="18"/>
    </row>
    <row r="43" spans="1:7" x14ac:dyDescent="0.3">
      <c r="A43" s="18"/>
      <c r="B43" s="18"/>
      <c r="C43" s="19"/>
      <c r="D43" s="18"/>
      <c r="E43" s="18"/>
      <c r="F43" s="18"/>
      <c r="G43" s="18"/>
    </row>
    <row r="44" spans="1:7" x14ac:dyDescent="0.3">
      <c r="A44" s="18"/>
      <c r="B44" s="18"/>
      <c r="C44" s="19"/>
      <c r="D44" s="18"/>
      <c r="E44" s="18"/>
      <c r="F44" s="18"/>
      <c r="G44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741C-FD9B-408B-8771-AE01CDCB1586}">
  <dimension ref="A4:Q856"/>
  <sheetViews>
    <sheetView workbookViewId="0">
      <selection activeCell="G4" sqref="G4"/>
    </sheetView>
  </sheetViews>
  <sheetFormatPr defaultRowHeight="14.4" x14ac:dyDescent="0.3"/>
  <cols>
    <col min="1" max="5" width="8.88671875" style="15"/>
    <col min="6" max="6" width="9.6640625" style="15" customWidth="1"/>
    <col min="7" max="16384" width="8.88671875" style="15"/>
  </cols>
  <sheetData>
    <row r="4" spans="3:17" x14ac:dyDescent="0.3">
      <c r="C4" s="15" t="s">
        <v>204</v>
      </c>
    </row>
    <row r="5" spans="3:17" x14ac:dyDescent="0.3">
      <c r="C5" s="15" t="s">
        <v>338</v>
      </c>
    </row>
    <row r="6" spans="3:17" x14ac:dyDescent="0.3">
      <c r="C6" s="15" t="s">
        <v>206</v>
      </c>
    </row>
    <row r="7" spans="3:17" x14ac:dyDescent="0.3">
      <c r="C7" s="15" t="s">
        <v>207</v>
      </c>
      <c r="D7" s="15" t="s">
        <v>208</v>
      </c>
      <c r="E7" s="15" t="s">
        <v>209</v>
      </c>
      <c r="F7" s="15" t="s">
        <v>210</v>
      </c>
      <c r="G7" s="15" t="s">
        <v>211</v>
      </c>
      <c r="H7" s="15">
        <v>2010</v>
      </c>
      <c r="I7" s="15">
        <v>2011</v>
      </c>
      <c r="J7" s="15">
        <v>2015</v>
      </c>
      <c r="K7" s="15">
        <v>2020</v>
      </c>
      <c r="L7" s="15">
        <v>2025</v>
      </c>
      <c r="M7" s="15">
        <v>2030</v>
      </c>
      <c r="N7" s="15">
        <v>2035</v>
      </c>
      <c r="O7" s="15">
        <v>2040</v>
      </c>
      <c r="P7" s="15">
        <v>2045</v>
      </c>
      <c r="Q7" s="15">
        <v>2050</v>
      </c>
    </row>
    <row r="8" spans="3:17" x14ac:dyDescent="0.3">
      <c r="C8" s="15" t="s">
        <v>339</v>
      </c>
      <c r="D8" s="15" t="s">
        <v>340</v>
      </c>
      <c r="E8" s="15" t="s">
        <v>341</v>
      </c>
      <c r="F8" s="15" t="s">
        <v>342</v>
      </c>
      <c r="G8" s="15" t="s">
        <v>0</v>
      </c>
      <c r="H8" s="15">
        <v>4.8109383063836067E-2</v>
      </c>
      <c r="I8" s="15">
        <v>0.72131543985484592</v>
      </c>
      <c r="J8" s="15">
        <v>0.90164429981855965</v>
      </c>
      <c r="K8" s="15">
        <v>43.261256492594718</v>
      </c>
      <c r="L8" s="15">
        <v>43.261256492594718</v>
      </c>
      <c r="M8" s="15">
        <v>43.261256492594732</v>
      </c>
      <c r="N8" s="15">
        <v>43.26125649259474</v>
      </c>
      <c r="O8" s="15">
        <v>43.261256492594725</v>
      </c>
      <c r="P8" s="15">
        <v>43.261256492594711</v>
      </c>
      <c r="Q8" s="15">
        <v>43.261256492594711</v>
      </c>
    </row>
    <row r="9" spans="3:17" x14ac:dyDescent="0.3">
      <c r="C9" s="15" t="s">
        <v>339</v>
      </c>
      <c r="D9" s="15" t="s">
        <v>340</v>
      </c>
      <c r="E9" s="15" t="s">
        <v>341</v>
      </c>
      <c r="F9" s="15" t="s">
        <v>342</v>
      </c>
      <c r="G9" s="15" t="s">
        <v>1</v>
      </c>
      <c r="H9" s="15">
        <v>2.1294222201544399</v>
      </c>
      <c r="I9" s="15">
        <v>2.6258939112240758</v>
      </c>
      <c r="J9" s="15">
        <v>3.2823673890300973</v>
      </c>
      <c r="K9" s="15">
        <v>69.925816401201359</v>
      </c>
      <c r="L9" s="15">
        <v>81.296734082029104</v>
      </c>
      <c r="M9" s="15">
        <v>103.39797866337513</v>
      </c>
      <c r="N9" s="15">
        <v>103.39797866337511</v>
      </c>
      <c r="O9" s="15">
        <v>103.39797866337511</v>
      </c>
      <c r="P9" s="15">
        <v>103.39797866337511</v>
      </c>
      <c r="Q9" s="15">
        <v>103.3979786633751</v>
      </c>
    </row>
    <row r="10" spans="3:17" x14ac:dyDescent="0.3">
      <c r="C10" s="15" t="s">
        <v>339</v>
      </c>
      <c r="D10" s="15" t="s">
        <v>340</v>
      </c>
      <c r="E10" s="15" t="s">
        <v>341</v>
      </c>
      <c r="F10" s="15" t="s">
        <v>342</v>
      </c>
      <c r="G10" s="15" t="s">
        <v>2</v>
      </c>
      <c r="H10" s="15">
        <v>0.13395445898984074</v>
      </c>
      <c r="I10" s="15">
        <v>0.92778573384501251</v>
      </c>
      <c r="J10" s="15">
        <v>1.1597321673062673</v>
      </c>
      <c r="K10" s="15">
        <v>13.695615503952101</v>
      </c>
      <c r="L10" s="15">
        <v>16.918604939188949</v>
      </c>
      <c r="M10" s="15">
        <v>22.701459304803421</v>
      </c>
      <c r="N10" s="15">
        <v>90.160519795844223</v>
      </c>
      <c r="O10" s="15">
        <v>90.160519795844252</v>
      </c>
      <c r="P10" s="15">
        <v>90.160519795844223</v>
      </c>
      <c r="Q10" s="15">
        <v>90.160519795844223</v>
      </c>
    </row>
    <row r="11" spans="3:17" x14ac:dyDescent="0.3">
      <c r="C11" s="15" t="s">
        <v>339</v>
      </c>
      <c r="D11" s="15" t="s">
        <v>340</v>
      </c>
      <c r="E11" s="15" t="s">
        <v>341</v>
      </c>
      <c r="F11" s="15" t="s">
        <v>342</v>
      </c>
      <c r="G11" s="15" t="s">
        <v>3</v>
      </c>
      <c r="I11" s="15">
        <v>1.4278215720035456</v>
      </c>
      <c r="J11" s="15">
        <v>1.7847769650044285</v>
      </c>
      <c r="K11" s="15">
        <v>7.5340608327889189</v>
      </c>
      <c r="L11" s="15">
        <v>13.283344700573378</v>
      </c>
      <c r="M11" s="15">
        <v>19.032628568357858</v>
      </c>
      <c r="N11" s="15">
        <v>73.506227549662057</v>
      </c>
      <c r="O11" s="15">
        <v>73.506227549662057</v>
      </c>
      <c r="P11" s="15">
        <v>73.506227549662043</v>
      </c>
      <c r="Q11" s="15">
        <v>73.506227549662015</v>
      </c>
    </row>
    <row r="12" spans="3:17" x14ac:dyDescent="0.3">
      <c r="C12" s="15" t="s">
        <v>339</v>
      </c>
      <c r="D12" s="15" t="s">
        <v>340</v>
      </c>
      <c r="E12" s="15" t="s">
        <v>341</v>
      </c>
      <c r="F12" s="15" t="s">
        <v>342</v>
      </c>
      <c r="G12" s="15" t="s">
        <v>4</v>
      </c>
      <c r="H12" s="15">
        <v>3.6635833696514517</v>
      </c>
      <c r="I12" s="15">
        <v>2.9954860366911769</v>
      </c>
      <c r="J12" s="15">
        <v>3.7443575458639637</v>
      </c>
      <c r="K12" s="15">
        <v>117.23946608559487</v>
      </c>
      <c r="L12" s="15">
        <v>137.5204318024511</v>
      </c>
      <c r="M12" s="15">
        <v>137.58831791560908</v>
      </c>
      <c r="N12" s="15">
        <v>298.10000577466553</v>
      </c>
      <c r="O12" s="15">
        <v>298.10000577466553</v>
      </c>
      <c r="P12" s="15">
        <v>298.10000577466559</v>
      </c>
      <c r="Q12" s="15">
        <v>298.10000577466565</v>
      </c>
    </row>
    <row r="13" spans="3:17" x14ac:dyDescent="0.3">
      <c r="C13" s="15" t="s">
        <v>339</v>
      </c>
      <c r="D13" s="15" t="s">
        <v>340</v>
      </c>
      <c r="E13" s="15" t="s">
        <v>341</v>
      </c>
      <c r="F13" s="15" t="s">
        <v>342</v>
      </c>
      <c r="G13" s="15" t="s">
        <v>5</v>
      </c>
      <c r="I13" s="15">
        <v>0.18715290482327623</v>
      </c>
      <c r="J13" s="15">
        <v>0.23394113102909528</v>
      </c>
      <c r="K13" s="15">
        <v>4.5781027898121511</v>
      </c>
      <c r="L13" s="15">
        <v>8.9222644485951879</v>
      </c>
      <c r="M13" s="15">
        <v>13.266426107378249</v>
      </c>
      <c r="N13" s="15">
        <v>53.826514463528362</v>
      </c>
      <c r="O13" s="15">
        <v>53.826514463528383</v>
      </c>
      <c r="P13" s="15">
        <v>53.826514463528376</v>
      </c>
      <c r="Q13" s="15">
        <v>53.826514463528362</v>
      </c>
    </row>
    <row r="14" spans="3:17" x14ac:dyDescent="0.3">
      <c r="C14" s="15" t="s">
        <v>339</v>
      </c>
      <c r="D14" s="15" t="s">
        <v>340</v>
      </c>
      <c r="E14" s="15" t="s">
        <v>341</v>
      </c>
      <c r="F14" s="15" t="s">
        <v>342</v>
      </c>
      <c r="G14" s="15" t="s">
        <v>6</v>
      </c>
      <c r="H14" s="15">
        <v>0.72831305148610237</v>
      </c>
      <c r="I14" s="15">
        <v>3.3413070852551385</v>
      </c>
      <c r="J14" s="15">
        <v>4.1766338565689169</v>
      </c>
      <c r="K14" s="15">
        <v>22.297874910454922</v>
      </c>
      <c r="L14" s="15">
        <v>40.419115964340847</v>
      </c>
      <c r="M14" s="15">
        <v>58.540357018226786</v>
      </c>
      <c r="N14" s="15">
        <v>229.4562496733181</v>
      </c>
      <c r="O14" s="15">
        <v>229.45624967331807</v>
      </c>
      <c r="P14" s="15">
        <v>229.45624967331801</v>
      </c>
      <c r="Q14" s="15">
        <v>229.4562496733179</v>
      </c>
    </row>
    <row r="15" spans="3:17" x14ac:dyDescent="0.3">
      <c r="C15" s="15" t="s">
        <v>339</v>
      </c>
      <c r="D15" s="15" t="s">
        <v>340</v>
      </c>
      <c r="E15" s="15" t="s">
        <v>341</v>
      </c>
      <c r="F15" s="15" t="s">
        <v>342</v>
      </c>
      <c r="G15" s="15" t="s">
        <v>7</v>
      </c>
      <c r="H15" s="15">
        <v>3.6118829303262281</v>
      </c>
      <c r="I15" s="15">
        <v>12.608960865237703</v>
      </c>
      <c r="J15" s="15">
        <v>15.761201081547114</v>
      </c>
      <c r="K15" s="15">
        <v>28.961501191977348</v>
      </c>
      <c r="L15" s="15">
        <v>42.161801302407625</v>
      </c>
      <c r="M15" s="15">
        <v>55.362101412837944</v>
      </c>
      <c r="N15" s="15">
        <v>186.71323379229096</v>
      </c>
      <c r="O15" s="15">
        <v>186.71323379229094</v>
      </c>
      <c r="P15" s="15">
        <v>186.71323379229091</v>
      </c>
      <c r="Q15" s="15">
        <v>186.71323379229094</v>
      </c>
    </row>
    <row r="16" spans="3:17" x14ac:dyDescent="0.3">
      <c r="C16" s="15" t="s">
        <v>339</v>
      </c>
      <c r="D16" s="15" t="s">
        <v>340</v>
      </c>
      <c r="E16" s="15" t="s">
        <v>341</v>
      </c>
      <c r="F16" s="15" t="s">
        <v>342</v>
      </c>
      <c r="G16" s="15" t="s">
        <v>8</v>
      </c>
      <c r="H16" s="15">
        <v>26.700591671029201</v>
      </c>
      <c r="I16" s="15">
        <v>27.887734802799407</v>
      </c>
      <c r="J16" s="15">
        <v>34.859668503499222</v>
      </c>
      <c r="K16" s="15">
        <v>163.36189311197418</v>
      </c>
      <c r="L16" s="15">
        <v>192.952273273229</v>
      </c>
      <c r="M16" s="15">
        <v>257.35567384040479</v>
      </c>
      <c r="N16" s="15">
        <v>257.3556738404049</v>
      </c>
      <c r="O16" s="15">
        <v>257.35567384040468</v>
      </c>
      <c r="P16" s="15">
        <v>257.35567384040468</v>
      </c>
      <c r="Q16" s="15">
        <v>257.35567384040473</v>
      </c>
    </row>
    <row r="17" spans="3:17" x14ac:dyDescent="0.3">
      <c r="C17" s="15" t="s">
        <v>339</v>
      </c>
      <c r="D17" s="15" t="s">
        <v>343</v>
      </c>
      <c r="E17" s="15" t="s">
        <v>344</v>
      </c>
      <c r="F17" s="15" t="s">
        <v>345</v>
      </c>
      <c r="G17" s="15" t="s">
        <v>0</v>
      </c>
      <c r="I17" s="15">
        <v>0.35347923223284633</v>
      </c>
      <c r="J17" s="15">
        <v>0.66131922625475303</v>
      </c>
      <c r="K17" s="15">
        <v>1.6442877360119517</v>
      </c>
      <c r="L17" s="15">
        <v>2.7036808450083889</v>
      </c>
      <c r="M17" s="15">
        <v>2.7086292096212614</v>
      </c>
      <c r="N17" s="15">
        <v>2.7784834114077541</v>
      </c>
      <c r="O17" s="15">
        <v>2.7826574159715669</v>
      </c>
      <c r="P17" s="15">
        <v>2.7473108869933074</v>
      </c>
      <c r="Q17" s="15">
        <v>2.90303159265184</v>
      </c>
    </row>
    <row r="18" spans="3:17" x14ac:dyDescent="0.3">
      <c r="C18" s="15" t="s">
        <v>339</v>
      </c>
      <c r="D18" s="15" t="s">
        <v>343</v>
      </c>
      <c r="E18" s="15" t="s">
        <v>344</v>
      </c>
      <c r="F18" s="15" t="s">
        <v>345</v>
      </c>
      <c r="G18" s="15" t="s">
        <v>1</v>
      </c>
      <c r="J18" s="15">
        <v>0.65585285171560059</v>
      </c>
      <c r="K18" s="15">
        <v>3.8336419525910399</v>
      </c>
      <c r="L18" s="15">
        <v>7.3247335242646114</v>
      </c>
      <c r="M18" s="15">
        <v>7.4643801836833328</v>
      </c>
      <c r="N18" s="15">
        <v>7.6064827160211221</v>
      </c>
      <c r="O18" s="15">
        <v>7.5776229179515706</v>
      </c>
      <c r="P18" s="15">
        <v>7.4439435260957065</v>
      </c>
      <c r="Q18" s="15">
        <v>7.82847717407149</v>
      </c>
    </row>
    <row r="19" spans="3:17" x14ac:dyDescent="0.3">
      <c r="C19" s="15" t="s">
        <v>339</v>
      </c>
      <c r="D19" s="15" t="s">
        <v>343</v>
      </c>
      <c r="E19" s="15" t="s">
        <v>344</v>
      </c>
      <c r="F19" s="15" t="s">
        <v>345</v>
      </c>
      <c r="G19" s="15" t="s">
        <v>2</v>
      </c>
      <c r="K19" s="15">
        <v>3.6817664790958777</v>
      </c>
      <c r="L19" s="15">
        <v>8.1795676994235134</v>
      </c>
      <c r="M19" s="15">
        <v>8.5065548167935354</v>
      </c>
      <c r="N19" s="15">
        <v>8.7227158275675354</v>
      </c>
      <c r="O19" s="15">
        <v>8.7414804569829982</v>
      </c>
      <c r="P19" s="15">
        <v>8.6398068477769989</v>
      </c>
      <c r="Q19" s="15">
        <v>9.1082237393381096</v>
      </c>
    </row>
    <row r="20" spans="3:17" x14ac:dyDescent="0.3">
      <c r="C20" s="15" t="s">
        <v>339</v>
      </c>
      <c r="D20" s="15" t="s">
        <v>343</v>
      </c>
      <c r="E20" s="15" t="s">
        <v>344</v>
      </c>
      <c r="F20" s="15" t="s">
        <v>345</v>
      </c>
      <c r="G20" s="15" t="s">
        <v>3</v>
      </c>
      <c r="K20" s="15">
        <v>1.1577651762293</v>
      </c>
      <c r="L20" s="15">
        <v>3.8141556486483892</v>
      </c>
      <c r="M20" s="15">
        <v>4.0162708481633498</v>
      </c>
      <c r="N20" s="15">
        <v>4.1734438076000222</v>
      </c>
      <c r="O20" s="15">
        <v>4.2433590831547017</v>
      </c>
      <c r="P20" s="15">
        <v>4.2574713623615077</v>
      </c>
      <c r="Q20" s="15">
        <v>4.5590011245666933</v>
      </c>
    </row>
    <row r="21" spans="3:17" x14ac:dyDescent="0.3">
      <c r="C21" s="15" t="s">
        <v>339</v>
      </c>
      <c r="D21" s="15" t="s">
        <v>343</v>
      </c>
      <c r="E21" s="15" t="s">
        <v>344</v>
      </c>
      <c r="F21" s="15" t="s">
        <v>345</v>
      </c>
      <c r="G21" s="15" t="s">
        <v>4</v>
      </c>
      <c r="I21" s="15">
        <v>0.67948133543980693</v>
      </c>
      <c r="J21" s="15">
        <v>2.6298261428447316</v>
      </c>
      <c r="K21" s="15">
        <v>7.3669544831808222</v>
      </c>
      <c r="L21" s="15">
        <v>12.482543435456</v>
      </c>
      <c r="M21" s="15">
        <v>13.043161182203354</v>
      </c>
      <c r="N21" s="15">
        <v>13.897495848211516</v>
      </c>
      <c r="O21" s="15">
        <v>14.48142638059519</v>
      </c>
      <c r="P21" s="15">
        <v>14.897665404921938</v>
      </c>
      <c r="Q21" s="15">
        <v>16.337412678119854</v>
      </c>
    </row>
    <row r="22" spans="3:17" x14ac:dyDescent="0.3">
      <c r="C22" s="15" t="s">
        <v>339</v>
      </c>
      <c r="D22" s="15" t="s">
        <v>343</v>
      </c>
      <c r="E22" s="15" t="s">
        <v>344</v>
      </c>
      <c r="F22" s="15" t="s">
        <v>345</v>
      </c>
      <c r="G22" s="15" t="s">
        <v>5</v>
      </c>
      <c r="K22" s="15">
        <v>1.2252622814781982</v>
      </c>
      <c r="L22" s="15">
        <v>3.3995446105573714</v>
      </c>
      <c r="M22" s="15">
        <v>3.5785872641000784</v>
      </c>
      <c r="N22" s="15">
        <v>3.7147623261050295</v>
      </c>
      <c r="O22" s="15">
        <v>3.7722924109086322</v>
      </c>
      <c r="P22" s="15">
        <v>3.7821422446497164</v>
      </c>
      <c r="Q22" s="15">
        <v>4.0594492784263716</v>
      </c>
    </row>
    <row r="23" spans="3:17" x14ac:dyDescent="0.3">
      <c r="C23" s="15" t="s">
        <v>339</v>
      </c>
      <c r="D23" s="15" t="s">
        <v>343</v>
      </c>
      <c r="E23" s="15" t="s">
        <v>344</v>
      </c>
      <c r="F23" s="15" t="s">
        <v>345</v>
      </c>
      <c r="G23" s="15" t="s">
        <v>6</v>
      </c>
      <c r="I23" s="15">
        <v>0.11279514252392006</v>
      </c>
      <c r="J23" s="15">
        <v>1.4729961776051193</v>
      </c>
      <c r="K23" s="15">
        <v>4.5163225738006938</v>
      </c>
      <c r="L23" s="15">
        <v>7.8111892605951878</v>
      </c>
      <c r="M23" s="15">
        <v>8.2483245735338109</v>
      </c>
      <c r="N23" s="15">
        <v>8.8445998124657716</v>
      </c>
      <c r="O23" s="15">
        <v>9.2732987285020876</v>
      </c>
      <c r="P23" s="15">
        <v>9.5951467849637613</v>
      </c>
      <c r="Q23" s="15">
        <v>10.600249185357052</v>
      </c>
    </row>
    <row r="24" spans="3:17" x14ac:dyDescent="0.3">
      <c r="C24" s="15" t="s">
        <v>339</v>
      </c>
      <c r="D24" s="15" t="s">
        <v>343</v>
      </c>
      <c r="E24" s="15" t="s">
        <v>344</v>
      </c>
      <c r="F24" s="15" t="s">
        <v>345</v>
      </c>
      <c r="G24" s="15" t="s">
        <v>7</v>
      </c>
      <c r="J24" s="15">
        <v>0.59180998254797423</v>
      </c>
      <c r="K24" s="15">
        <v>2.5615868192694786</v>
      </c>
      <c r="L24" s="15">
        <v>4.7275402629694465</v>
      </c>
      <c r="M24" s="15">
        <v>5.0889354233752195</v>
      </c>
      <c r="N24" s="15">
        <v>5.5108446902147694</v>
      </c>
      <c r="O24" s="15">
        <v>5.8360827014804464</v>
      </c>
      <c r="P24" s="15">
        <v>6.1011549118988908</v>
      </c>
      <c r="Q24" s="15">
        <v>6.8196743280227548</v>
      </c>
    </row>
    <row r="25" spans="3:17" x14ac:dyDescent="0.3">
      <c r="C25" s="15" t="s">
        <v>339</v>
      </c>
      <c r="D25" s="15" t="s">
        <v>343</v>
      </c>
      <c r="E25" s="15" t="s">
        <v>344</v>
      </c>
      <c r="F25" s="15" t="s">
        <v>345</v>
      </c>
      <c r="G25" s="15" t="s">
        <v>8</v>
      </c>
      <c r="I25" s="15">
        <v>0.2005627216206721</v>
      </c>
      <c r="J25" s="15">
        <v>3.6504380968598662</v>
      </c>
      <c r="K25" s="15">
        <v>6.9595890885612715</v>
      </c>
      <c r="L25" s="15">
        <v>10.425049020805346</v>
      </c>
      <c r="M25" s="15">
        <v>10.539320236437751</v>
      </c>
      <c r="N25" s="15">
        <v>11.110415680851311</v>
      </c>
      <c r="O25" s="15">
        <v>11.456734709539584</v>
      </c>
      <c r="P25" s="15">
        <v>11.678198195782954</v>
      </c>
      <c r="Q25" s="15">
        <v>12.715515946272232</v>
      </c>
    </row>
    <row r="26" spans="3:17" x14ac:dyDescent="0.3">
      <c r="C26" s="15" t="s">
        <v>339</v>
      </c>
      <c r="D26" s="15" t="s">
        <v>343</v>
      </c>
      <c r="E26" s="15" t="s">
        <v>344</v>
      </c>
      <c r="F26" s="15" t="s">
        <v>346</v>
      </c>
      <c r="G26" s="15" t="s">
        <v>0</v>
      </c>
      <c r="H26" s="15">
        <v>3.5531633082768108</v>
      </c>
      <c r="I26" s="15">
        <v>3.5904463969269926</v>
      </c>
      <c r="J26" s="15">
        <v>2.5646045692335662</v>
      </c>
      <c r="K26" s="15">
        <v>1.2823022846167844</v>
      </c>
    </row>
    <row r="27" spans="3:17" x14ac:dyDescent="0.3">
      <c r="C27" s="15" t="s">
        <v>339</v>
      </c>
      <c r="D27" s="15" t="s">
        <v>343</v>
      </c>
      <c r="E27" s="15" t="s">
        <v>344</v>
      </c>
      <c r="F27" s="15" t="s">
        <v>346</v>
      </c>
      <c r="G27" s="15" t="s">
        <v>1</v>
      </c>
      <c r="H27" s="15">
        <v>11.169583330887606</v>
      </c>
      <c r="I27" s="15">
        <v>11.151847509654498</v>
      </c>
      <c r="J27" s="15">
        <v>8.4454183920272001</v>
      </c>
      <c r="K27" s="15">
        <v>4.2227091960136001</v>
      </c>
    </row>
    <row r="28" spans="3:17" x14ac:dyDescent="0.3">
      <c r="C28" s="15" t="s">
        <v>339</v>
      </c>
      <c r="D28" s="15" t="s">
        <v>343</v>
      </c>
      <c r="E28" s="15" t="s">
        <v>344</v>
      </c>
      <c r="F28" s="15" t="s">
        <v>346</v>
      </c>
      <c r="G28" s="15" t="s">
        <v>2</v>
      </c>
      <c r="H28" s="15">
        <v>12.694736740055095</v>
      </c>
      <c r="I28" s="15">
        <v>12.650303554561594</v>
      </c>
      <c r="J28" s="15">
        <v>10.246018934216911</v>
      </c>
      <c r="K28" s="15">
        <v>5.3617436242914316</v>
      </c>
    </row>
    <row r="29" spans="3:17" x14ac:dyDescent="0.3">
      <c r="C29" s="15" t="s">
        <v>339</v>
      </c>
      <c r="D29" s="15" t="s">
        <v>343</v>
      </c>
      <c r="E29" s="15" t="s">
        <v>344</v>
      </c>
      <c r="F29" s="15" t="s">
        <v>346</v>
      </c>
      <c r="G29" s="15" t="s">
        <v>3</v>
      </c>
      <c r="H29" s="15">
        <v>5.5764716862240089</v>
      </c>
      <c r="I29" s="15">
        <v>5.588397168283187</v>
      </c>
      <c r="J29" s="15">
        <v>4.62773463378928</v>
      </c>
      <c r="K29" s="15">
        <v>3.1784997630736083</v>
      </c>
    </row>
    <row r="30" spans="3:17" x14ac:dyDescent="0.3">
      <c r="C30" s="15" t="s">
        <v>339</v>
      </c>
      <c r="D30" s="15" t="s">
        <v>343</v>
      </c>
      <c r="E30" s="15" t="s">
        <v>344</v>
      </c>
      <c r="F30" s="15" t="s">
        <v>346</v>
      </c>
      <c r="G30" s="15" t="s">
        <v>4</v>
      </c>
      <c r="H30" s="15">
        <v>16.303056375475201</v>
      </c>
      <c r="I30" s="15">
        <v>15.744239983949496</v>
      </c>
      <c r="J30" s="15">
        <v>11.245885702821065</v>
      </c>
      <c r="K30" s="15">
        <v>5.6229428514105342</v>
      </c>
    </row>
    <row r="31" spans="3:17" x14ac:dyDescent="0.3">
      <c r="C31" s="15" t="s">
        <v>339</v>
      </c>
      <c r="D31" s="15" t="s">
        <v>343</v>
      </c>
      <c r="E31" s="15" t="s">
        <v>344</v>
      </c>
      <c r="F31" s="15" t="s">
        <v>346</v>
      </c>
      <c r="G31" s="15" t="s">
        <v>5</v>
      </c>
      <c r="H31" s="15">
        <v>5.01392970605513</v>
      </c>
      <c r="I31" s="15">
        <v>5.0183784701533796</v>
      </c>
      <c r="J31" s="15">
        <v>4.1355755828200005</v>
      </c>
      <c r="K31" s="15">
        <v>2.5775640860565803</v>
      </c>
    </row>
    <row r="32" spans="3:17" x14ac:dyDescent="0.3">
      <c r="C32" s="15" t="s">
        <v>339</v>
      </c>
      <c r="D32" s="15" t="s">
        <v>343</v>
      </c>
      <c r="E32" s="15" t="s">
        <v>344</v>
      </c>
      <c r="F32" s="15" t="s">
        <v>346</v>
      </c>
      <c r="G32" s="15" t="s">
        <v>6</v>
      </c>
      <c r="H32" s="15">
        <v>9.9366152448527867</v>
      </c>
      <c r="I32" s="15">
        <v>9.9230644299082815</v>
      </c>
      <c r="J32" s="15">
        <v>7.0879031642201982</v>
      </c>
      <c r="K32" s="15">
        <v>3.5439515821100973</v>
      </c>
    </row>
    <row r="33" spans="3:11" x14ac:dyDescent="0.3">
      <c r="C33" s="15" t="s">
        <v>339</v>
      </c>
      <c r="D33" s="15" t="s">
        <v>343</v>
      </c>
      <c r="E33" s="15" t="s">
        <v>344</v>
      </c>
      <c r="F33" s="15" t="s">
        <v>346</v>
      </c>
      <c r="G33" s="15" t="s">
        <v>7</v>
      </c>
      <c r="H33" s="15">
        <v>6.1284067850967379</v>
      </c>
      <c r="I33" s="15">
        <v>6.1603115323331457</v>
      </c>
      <c r="J33" s="15">
        <v>4.569838970891686</v>
      </c>
      <c r="K33" s="15">
        <v>2.284919485445843</v>
      </c>
    </row>
    <row r="34" spans="3:11" x14ac:dyDescent="0.3">
      <c r="C34" s="15" t="s">
        <v>339</v>
      </c>
      <c r="D34" s="15" t="s">
        <v>343</v>
      </c>
      <c r="E34" s="15" t="s">
        <v>344</v>
      </c>
      <c r="F34" s="15" t="s">
        <v>346</v>
      </c>
      <c r="G34" s="15" t="s">
        <v>8</v>
      </c>
      <c r="H34" s="15">
        <v>10.903392719947806</v>
      </c>
      <c r="I34" s="15">
        <v>11.007659734996039</v>
      </c>
      <c r="J34" s="15">
        <v>7.8626140964257285</v>
      </c>
      <c r="K34" s="15">
        <v>3.9313070482128651</v>
      </c>
    </row>
    <row r="35" spans="3:11" x14ac:dyDescent="0.3">
      <c r="C35" s="15" t="s">
        <v>339</v>
      </c>
      <c r="D35" s="15" t="s">
        <v>347</v>
      </c>
      <c r="E35" s="15" t="s">
        <v>344</v>
      </c>
      <c r="F35" s="15" t="s">
        <v>348</v>
      </c>
      <c r="G35" s="15" t="s">
        <v>0</v>
      </c>
      <c r="H35" s="15">
        <v>0.19872327508847837</v>
      </c>
    </row>
    <row r="36" spans="3:11" x14ac:dyDescent="0.3">
      <c r="C36" s="15" t="s">
        <v>339</v>
      </c>
      <c r="D36" s="15" t="s">
        <v>347</v>
      </c>
      <c r="E36" s="15" t="s">
        <v>344</v>
      </c>
      <c r="F36" s="15" t="s">
        <v>348</v>
      </c>
      <c r="G36" s="15" t="s">
        <v>1</v>
      </c>
      <c r="H36" s="15">
        <v>0.5622287492796737</v>
      </c>
    </row>
    <row r="37" spans="3:11" x14ac:dyDescent="0.3">
      <c r="C37" s="15" t="s">
        <v>339</v>
      </c>
      <c r="D37" s="15" t="s">
        <v>347</v>
      </c>
      <c r="E37" s="15" t="s">
        <v>344</v>
      </c>
      <c r="F37" s="15" t="s">
        <v>348</v>
      </c>
      <c r="G37" s="15" t="s">
        <v>2</v>
      </c>
      <c r="H37" s="15">
        <v>0.63899840740332836</v>
      </c>
    </row>
    <row r="38" spans="3:11" x14ac:dyDescent="0.3">
      <c r="C38" s="15" t="s">
        <v>339</v>
      </c>
      <c r="D38" s="15" t="s">
        <v>347</v>
      </c>
      <c r="E38" s="15" t="s">
        <v>344</v>
      </c>
      <c r="F38" s="15" t="s">
        <v>348</v>
      </c>
      <c r="G38" s="15" t="s">
        <v>3</v>
      </c>
      <c r="H38" s="15">
        <v>0.28069558269637784</v>
      </c>
    </row>
    <row r="39" spans="3:11" x14ac:dyDescent="0.3">
      <c r="C39" s="15" t="s">
        <v>339</v>
      </c>
      <c r="D39" s="15" t="s">
        <v>347</v>
      </c>
      <c r="E39" s="15" t="s">
        <v>344</v>
      </c>
      <c r="F39" s="15" t="s">
        <v>348</v>
      </c>
      <c r="G39" s="15" t="s">
        <v>4</v>
      </c>
      <c r="H39" s="15">
        <v>0.82062568709006889</v>
      </c>
    </row>
    <row r="40" spans="3:11" x14ac:dyDescent="0.3">
      <c r="C40" s="15" t="s">
        <v>339</v>
      </c>
      <c r="D40" s="15" t="s">
        <v>347</v>
      </c>
      <c r="E40" s="15" t="s">
        <v>344</v>
      </c>
      <c r="F40" s="15" t="s">
        <v>348</v>
      </c>
      <c r="G40" s="15" t="s">
        <v>5</v>
      </c>
      <c r="H40" s="15">
        <v>0.25237964068150798</v>
      </c>
    </row>
    <row r="41" spans="3:11" x14ac:dyDescent="0.3">
      <c r="C41" s="15" t="s">
        <v>339</v>
      </c>
      <c r="D41" s="15" t="s">
        <v>347</v>
      </c>
      <c r="E41" s="15" t="s">
        <v>344</v>
      </c>
      <c r="F41" s="15" t="s">
        <v>348</v>
      </c>
      <c r="G41" s="15" t="s">
        <v>6</v>
      </c>
      <c r="H41" s="15">
        <v>0.50016644271214572</v>
      </c>
    </row>
    <row r="42" spans="3:11" x14ac:dyDescent="0.3">
      <c r="C42" s="15" t="s">
        <v>339</v>
      </c>
      <c r="D42" s="15" t="s">
        <v>347</v>
      </c>
      <c r="E42" s="15" t="s">
        <v>344</v>
      </c>
      <c r="F42" s="15" t="s">
        <v>348</v>
      </c>
      <c r="G42" s="15" t="s">
        <v>7</v>
      </c>
      <c r="H42" s="15">
        <v>0.30847761996044015</v>
      </c>
    </row>
    <row r="43" spans="3:11" x14ac:dyDescent="0.3">
      <c r="C43" s="15" t="s">
        <v>339</v>
      </c>
      <c r="D43" s="15" t="s">
        <v>347</v>
      </c>
      <c r="E43" s="15" t="s">
        <v>344</v>
      </c>
      <c r="F43" s="15" t="s">
        <v>348</v>
      </c>
      <c r="G43" s="15" t="s">
        <v>8</v>
      </c>
      <c r="H43" s="15">
        <v>0.68603732456265087</v>
      </c>
    </row>
    <row r="44" spans="3:11" x14ac:dyDescent="0.3">
      <c r="C44" s="15" t="s">
        <v>339</v>
      </c>
      <c r="D44" s="15" t="s">
        <v>347</v>
      </c>
      <c r="E44" s="15" t="s">
        <v>344</v>
      </c>
      <c r="F44" s="15" t="s">
        <v>349</v>
      </c>
      <c r="G44" s="15" t="s">
        <v>0</v>
      </c>
      <c r="H44" s="15">
        <v>0.12607175516365837</v>
      </c>
      <c r="I44" s="15">
        <v>0.12225139894657777</v>
      </c>
      <c r="J44" s="15">
        <v>0.10696997407825558</v>
      </c>
      <c r="K44" s="15">
        <v>8.7868192992852687E-2</v>
      </c>
    </row>
    <row r="45" spans="3:11" x14ac:dyDescent="0.3">
      <c r="C45" s="15" t="s">
        <v>339</v>
      </c>
      <c r="D45" s="15" t="s">
        <v>347</v>
      </c>
      <c r="E45" s="15" t="s">
        <v>344</v>
      </c>
      <c r="F45" s="15" t="s">
        <v>349</v>
      </c>
      <c r="G45" s="15" t="s">
        <v>1</v>
      </c>
      <c r="H45" s="15">
        <v>0.3566827549193623</v>
      </c>
      <c r="I45" s="15">
        <v>0.34587418658847269</v>
      </c>
      <c r="J45" s="15">
        <v>0.30263991326491357</v>
      </c>
      <c r="K45" s="15">
        <v>0.24859707161046471</v>
      </c>
    </row>
    <row r="46" spans="3:11" x14ac:dyDescent="0.3">
      <c r="C46" s="15" t="s">
        <v>339</v>
      </c>
      <c r="D46" s="15" t="s">
        <v>347</v>
      </c>
      <c r="E46" s="15" t="s">
        <v>344</v>
      </c>
      <c r="F46" s="15" t="s">
        <v>349</v>
      </c>
      <c r="G46" s="15" t="s">
        <v>2</v>
      </c>
      <c r="H46" s="15">
        <v>0.40538608641716462</v>
      </c>
      <c r="I46" s="15">
        <v>0.39310165955603849</v>
      </c>
      <c r="J46" s="15">
        <v>0.34396395211153374</v>
      </c>
      <c r="K46" s="15">
        <v>0.2825418178059026</v>
      </c>
    </row>
    <row r="47" spans="3:11" x14ac:dyDescent="0.3">
      <c r="C47" s="15" t="s">
        <v>339</v>
      </c>
      <c r="D47" s="15" t="s">
        <v>347</v>
      </c>
      <c r="E47" s="15" t="s">
        <v>344</v>
      </c>
      <c r="F47" s="15" t="s">
        <v>349</v>
      </c>
      <c r="G47" s="15" t="s">
        <v>3</v>
      </c>
      <c r="H47" s="15">
        <v>0.17807569224823935</v>
      </c>
      <c r="I47" s="15">
        <v>0.17267945914980778</v>
      </c>
      <c r="J47" s="15">
        <v>0.15109452675608215</v>
      </c>
      <c r="K47" s="15">
        <v>0.12411336126392455</v>
      </c>
    </row>
    <row r="48" spans="3:11" x14ac:dyDescent="0.3">
      <c r="C48" s="15" t="s">
        <v>339</v>
      </c>
      <c r="D48" s="15" t="s">
        <v>347</v>
      </c>
      <c r="E48" s="15" t="s">
        <v>344</v>
      </c>
      <c r="F48" s="15" t="s">
        <v>349</v>
      </c>
      <c r="G48" s="15" t="s">
        <v>4</v>
      </c>
      <c r="H48" s="15">
        <v>0.52061199503563471</v>
      </c>
      <c r="I48" s="15">
        <v>0.50483587397394891</v>
      </c>
      <c r="J48" s="15">
        <v>0.44173138972720488</v>
      </c>
      <c r="K48" s="15">
        <v>0.36285078441877572</v>
      </c>
    </row>
    <row r="49" spans="3:11" x14ac:dyDescent="0.3">
      <c r="C49" s="15" t="s">
        <v>339</v>
      </c>
      <c r="D49" s="15" t="s">
        <v>347</v>
      </c>
      <c r="E49" s="15" t="s">
        <v>344</v>
      </c>
      <c r="F49" s="15" t="s">
        <v>349</v>
      </c>
      <c r="G49" s="15" t="s">
        <v>5</v>
      </c>
      <c r="H49" s="15">
        <v>0.16011181505601024</v>
      </c>
      <c r="I49" s="15">
        <v>0.15525994187249489</v>
      </c>
      <c r="J49" s="15">
        <v>0.13585244913843297</v>
      </c>
      <c r="K49" s="15">
        <v>0.11159308322085566</v>
      </c>
    </row>
    <row r="50" spans="3:11" x14ac:dyDescent="0.3">
      <c r="C50" s="15" t="s">
        <v>339</v>
      </c>
      <c r="D50" s="15" t="s">
        <v>347</v>
      </c>
      <c r="E50" s="15" t="s">
        <v>344</v>
      </c>
      <c r="F50" s="15" t="s">
        <v>349</v>
      </c>
      <c r="G50" s="15" t="s">
        <v>6</v>
      </c>
      <c r="H50" s="15">
        <v>0.31730989376361873</v>
      </c>
      <c r="I50" s="15">
        <v>0.30769444243744848</v>
      </c>
      <c r="J50" s="15">
        <v>0.26923263713276735</v>
      </c>
      <c r="K50" s="15">
        <v>0.22115538050191616</v>
      </c>
    </row>
    <row r="51" spans="3:11" x14ac:dyDescent="0.3">
      <c r="C51" s="15" t="s">
        <v>339</v>
      </c>
      <c r="D51" s="15" t="s">
        <v>347</v>
      </c>
      <c r="E51" s="15" t="s">
        <v>344</v>
      </c>
      <c r="F51" s="15" t="s">
        <v>349</v>
      </c>
      <c r="G51" s="15" t="s">
        <v>7</v>
      </c>
      <c r="H51" s="15">
        <v>0.19570085567382739</v>
      </c>
      <c r="I51" s="15">
        <v>0.18977052671401443</v>
      </c>
      <c r="J51" s="15">
        <v>0.16604921087476252</v>
      </c>
      <c r="K51" s="15">
        <v>0.13639756607569792</v>
      </c>
    </row>
    <row r="52" spans="3:11" x14ac:dyDescent="0.3">
      <c r="C52" s="15" t="s">
        <v>339</v>
      </c>
      <c r="D52" s="15" t="s">
        <v>347</v>
      </c>
      <c r="E52" s="15" t="s">
        <v>344</v>
      </c>
      <c r="F52" s="15" t="s">
        <v>349</v>
      </c>
      <c r="G52" s="15" t="s">
        <v>8</v>
      </c>
      <c r="H52" s="15">
        <v>0.4352279800988853</v>
      </c>
      <c r="I52" s="15">
        <v>0.42203925342922199</v>
      </c>
      <c r="J52" s="15">
        <v>0.3692843467505692</v>
      </c>
      <c r="K52" s="15">
        <v>0.30334071340225349</v>
      </c>
    </row>
    <row r="53" spans="3:11" x14ac:dyDescent="0.3">
      <c r="C53" s="15" t="s">
        <v>339</v>
      </c>
      <c r="D53" s="15" t="s">
        <v>347</v>
      </c>
      <c r="E53" s="15" t="s">
        <v>344</v>
      </c>
      <c r="F53" s="15" t="s">
        <v>350</v>
      </c>
      <c r="G53" s="15" t="s">
        <v>0</v>
      </c>
      <c r="H53" s="15">
        <v>0.99361637544239589</v>
      </c>
    </row>
    <row r="54" spans="3:11" x14ac:dyDescent="0.3">
      <c r="C54" s="15" t="s">
        <v>339</v>
      </c>
      <c r="D54" s="15" t="s">
        <v>347</v>
      </c>
      <c r="E54" s="15" t="s">
        <v>344</v>
      </c>
      <c r="F54" s="15" t="s">
        <v>350</v>
      </c>
      <c r="G54" s="15" t="s">
        <v>1</v>
      </c>
      <c r="H54" s="15">
        <v>2.8111437463983657</v>
      </c>
    </row>
    <row r="55" spans="3:11" x14ac:dyDescent="0.3">
      <c r="C55" s="15" t="s">
        <v>339</v>
      </c>
      <c r="D55" s="15" t="s">
        <v>347</v>
      </c>
      <c r="E55" s="15" t="s">
        <v>344</v>
      </c>
      <c r="F55" s="15" t="s">
        <v>350</v>
      </c>
      <c r="G55" s="15" t="s">
        <v>2</v>
      </c>
      <c r="H55" s="15">
        <v>3.1949920370166285</v>
      </c>
    </row>
    <row r="56" spans="3:11" x14ac:dyDescent="0.3">
      <c r="C56" s="15" t="s">
        <v>339</v>
      </c>
      <c r="D56" s="15" t="s">
        <v>347</v>
      </c>
      <c r="E56" s="15" t="s">
        <v>344</v>
      </c>
      <c r="F56" s="15" t="s">
        <v>350</v>
      </c>
      <c r="G56" s="15" t="s">
        <v>3</v>
      </c>
      <c r="H56" s="15">
        <v>1.4034779134818869</v>
      </c>
    </row>
    <row r="57" spans="3:11" x14ac:dyDescent="0.3">
      <c r="C57" s="15" t="s">
        <v>339</v>
      </c>
      <c r="D57" s="15" t="s">
        <v>347</v>
      </c>
      <c r="E57" s="15" t="s">
        <v>344</v>
      </c>
      <c r="F57" s="15" t="s">
        <v>350</v>
      </c>
      <c r="G57" s="15" t="s">
        <v>4</v>
      </c>
      <c r="H57" s="15">
        <v>4.1031284354503486</v>
      </c>
    </row>
    <row r="58" spans="3:11" x14ac:dyDescent="0.3">
      <c r="C58" s="15" t="s">
        <v>339</v>
      </c>
      <c r="D58" s="15" t="s">
        <v>347</v>
      </c>
      <c r="E58" s="15" t="s">
        <v>344</v>
      </c>
      <c r="F58" s="15" t="s">
        <v>350</v>
      </c>
      <c r="G58" s="15" t="s">
        <v>5</v>
      </c>
      <c r="H58" s="15">
        <v>1.2618982034075423</v>
      </c>
    </row>
    <row r="59" spans="3:11" x14ac:dyDescent="0.3">
      <c r="C59" s="15" t="s">
        <v>339</v>
      </c>
      <c r="D59" s="15" t="s">
        <v>347</v>
      </c>
      <c r="E59" s="15" t="s">
        <v>344</v>
      </c>
      <c r="F59" s="15" t="s">
        <v>350</v>
      </c>
      <c r="G59" s="15" t="s">
        <v>6</v>
      </c>
      <c r="H59" s="15">
        <v>2.5008322135607299</v>
      </c>
    </row>
    <row r="60" spans="3:11" x14ac:dyDescent="0.3">
      <c r="C60" s="15" t="s">
        <v>339</v>
      </c>
      <c r="D60" s="15" t="s">
        <v>347</v>
      </c>
      <c r="E60" s="15" t="s">
        <v>344</v>
      </c>
      <c r="F60" s="15" t="s">
        <v>350</v>
      </c>
      <c r="G60" s="15" t="s">
        <v>7</v>
      </c>
      <c r="H60" s="15">
        <v>1.5423880998022006</v>
      </c>
    </row>
    <row r="61" spans="3:11" x14ac:dyDescent="0.3">
      <c r="C61" s="15" t="s">
        <v>339</v>
      </c>
      <c r="D61" s="15" t="s">
        <v>347</v>
      </c>
      <c r="E61" s="15" t="s">
        <v>344</v>
      </c>
      <c r="F61" s="15" t="s">
        <v>350</v>
      </c>
      <c r="G61" s="15" t="s">
        <v>8</v>
      </c>
      <c r="H61" s="15">
        <v>3.4301866228132543</v>
      </c>
    </row>
    <row r="62" spans="3:11" x14ac:dyDescent="0.3">
      <c r="C62" s="15" t="s">
        <v>339</v>
      </c>
      <c r="D62" s="15" t="s">
        <v>347</v>
      </c>
      <c r="E62" s="15" t="s">
        <v>344</v>
      </c>
      <c r="F62" s="15" t="s">
        <v>351</v>
      </c>
      <c r="G62" s="15" t="s">
        <v>0</v>
      </c>
      <c r="H62" s="15">
        <v>2.5834025761502208</v>
      </c>
    </row>
    <row r="63" spans="3:11" x14ac:dyDescent="0.3">
      <c r="C63" s="15" t="s">
        <v>339</v>
      </c>
      <c r="D63" s="15" t="s">
        <v>347</v>
      </c>
      <c r="E63" s="15" t="s">
        <v>344</v>
      </c>
      <c r="F63" s="15" t="s">
        <v>351</v>
      </c>
      <c r="G63" s="15" t="s">
        <v>1</v>
      </c>
      <c r="H63" s="15">
        <v>7.3089737406357651</v>
      </c>
    </row>
    <row r="64" spans="3:11" x14ac:dyDescent="0.3">
      <c r="C64" s="15" t="s">
        <v>339</v>
      </c>
      <c r="D64" s="15" t="s">
        <v>347</v>
      </c>
      <c r="E64" s="15" t="s">
        <v>344</v>
      </c>
      <c r="F64" s="15" t="s">
        <v>351</v>
      </c>
      <c r="G64" s="15" t="s">
        <v>2</v>
      </c>
      <c r="H64" s="15">
        <v>8.3069792962432309</v>
      </c>
    </row>
    <row r="65" spans="3:17" x14ac:dyDescent="0.3">
      <c r="C65" s="15" t="s">
        <v>339</v>
      </c>
      <c r="D65" s="15" t="s">
        <v>347</v>
      </c>
      <c r="E65" s="15" t="s">
        <v>344</v>
      </c>
      <c r="F65" s="15" t="s">
        <v>351</v>
      </c>
      <c r="G65" s="15" t="s">
        <v>3</v>
      </c>
      <c r="H65" s="15">
        <v>3.6490425750529067</v>
      </c>
    </row>
    <row r="66" spans="3:17" x14ac:dyDescent="0.3">
      <c r="C66" s="15" t="s">
        <v>339</v>
      </c>
      <c r="D66" s="15" t="s">
        <v>347</v>
      </c>
      <c r="E66" s="15" t="s">
        <v>344</v>
      </c>
      <c r="F66" s="15" t="s">
        <v>351</v>
      </c>
      <c r="G66" s="15" t="s">
        <v>4</v>
      </c>
      <c r="H66" s="15">
        <v>10.668133932170903</v>
      </c>
    </row>
    <row r="67" spans="3:17" x14ac:dyDescent="0.3">
      <c r="C67" s="15" t="s">
        <v>339</v>
      </c>
      <c r="D67" s="15" t="s">
        <v>347</v>
      </c>
      <c r="E67" s="15" t="s">
        <v>344</v>
      </c>
      <c r="F67" s="15" t="s">
        <v>351</v>
      </c>
      <c r="G67" s="15" t="s">
        <v>5</v>
      </c>
      <c r="H67" s="15">
        <v>3.2809353288596088</v>
      </c>
    </row>
    <row r="68" spans="3:17" x14ac:dyDescent="0.3">
      <c r="C68" s="15" t="s">
        <v>339</v>
      </c>
      <c r="D68" s="15" t="s">
        <v>347</v>
      </c>
      <c r="E68" s="15" t="s">
        <v>344</v>
      </c>
      <c r="F68" s="15" t="s">
        <v>351</v>
      </c>
      <c r="G68" s="15" t="s">
        <v>6</v>
      </c>
      <c r="H68" s="15">
        <v>6.5021637552578797</v>
      </c>
    </row>
    <row r="69" spans="3:17" x14ac:dyDescent="0.3">
      <c r="C69" s="15" t="s">
        <v>339</v>
      </c>
      <c r="D69" s="15" t="s">
        <v>347</v>
      </c>
      <c r="E69" s="15" t="s">
        <v>344</v>
      </c>
      <c r="F69" s="15" t="s">
        <v>351</v>
      </c>
      <c r="G69" s="15" t="s">
        <v>7</v>
      </c>
      <c r="H69" s="15">
        <v>4.0102090594857156</v>
      </c>
    </row>
    <row r="70" spans="3:17" x14ac:dyDescent="0.3">
      <c r="C70" s="15" t="s">
        <v>339</v>
      </c>
      <c r="D70" s="15" t="s">
        <v>347</v>
      </c>
      <c r="E70" s="15" t="s">
        <v>344</v>
      </c>
      <c r="F70" s="15" t="s">
        <v>351</v>
      </c>
      <c r="G70" s="15" t="s">
        <v>8</v>
      </c>
      <c r="H70" s="15">
        <v>8.9184852193144284</v>
      </c>
    </row>
    <row r="71" spans="3:17" x14ac:dyDescent="0.3">
      <c r="C71" s="15" t="s">
        <v>339</v>
      </c>
      <c r="D71" s="15" t="s">
        <v>347</v>
      </c>
      <c r="E71" s="15" t="s">
        <v>344</v>
      </c>
      <c r="F71" s="15" t="s">
        <v>352</v>
      </c>
      <c r="G71" s="15" t="s">
        <v>0</v>
      </c>
      <c r="H71" s="15">
        <v>22.257006809909623</v>
      </c>
    </row>
    <row r="72" spans="3:17" x14ac:dyDescent="0.3">
      <c r="C72" s="15" t="s">
        <v>339</v>
      </c>
      <c r="D72" s="15" t="s">
        <v>347</v>
      </c>
      <c r="E72" s="15" t="s">
        <v>344</v>
      </c>
      <c r="F72" s="15" t="s">
        <v>352</v>
      </c>
      <c r="G72" s="15" t="s">
        <v>1</v>
      </c>
      <c r="H72" s="15">
        <v>62.969619919323513</v>
      </c>
    </row>
    <row r="73" spans="3:17" x14ac:dyDescent="0.3">
      <c r="C73" s="15" t="s">
        <v>339</v>
      </c>
      <c r="D73" s="15" t="s">
        <v>347</v>
      </c>
      <c r="E73" s="15" t="s">
        <v>344</v>
      </c>
      <c r="F73" s="15" t="s">
        <v>352</v>
      </c>
      <c r="G73" s="15" t="s">
        <v>2</v>
      </c>
      <c r="H73" s="15">
        <v>71.567821629172329</v>
      </c>
    </row>
    <row r="74" spans="3:17" x14ac:dyDescent="0.3">
      <c r="C74" s="15" t="s">
        <v>339</v>
      </c>
      <c r="D74" s="15" t="s">
        <v>347</v>
      </c>
      <c r="E74" s="15" t="s">
        <v>344</v>
      </c>
      <c r="F74" s="15" t="s">
        <v>352</v>
      </c>
      <c r="G74" s="15" t="s">
        <v>3</v>
      </c>
      <c r="H74" s="15">
        <v>31.437905261994278</v>
      </c>
    </row>
    <row r="75" spans="3:17" x14ac:dyDescent="0.3">
      <c r="C75" s="15" t="s">
        <v>339</v>
      </c>
      <c r="D75" s="15" t="s">
        <v>347</v>
      </c>
      <c r="E75" s="15" t="s">
        <v>344</v>
      </c>
      <c r="F75" s="15" t="s">
        <v>352</v>
      </c>
      <c r="G75" s="15" t="s">
        <v>4</v>
      </c>
      <c r="H75" s="15">
        <v>91.910076954087927</v>
      </c>
    </row>
    <row r="76" spans="3:17" x14ac:dyDescent="0.3">
      <c r="C76" s="15" t="s">
        <v>339</v>
      </c>
      <c r="D76" s="15" t="s">
        <v>347</v>
      </c>
      <c r="E76" s="15" t="s">
        <v>344</v>
      </c>
      <c r="F76" s="15" t="s">
        <v>352</v>
      </c>
      <c r="G76" s="15" t="s">
        <v>5</v>
      </c>
      <c r="H76" s="15">
        <v>28.266519756328957</v>
      </c>
    </row>
    <row r="77" spans="3:17" x14ac:dyDescent="0.3">
      <c r="C77" s="15" t="s">
        <v>339</v>
      </c>
      <c r="D77" s="15" t="s">
        <v>347</v>
      </c>
      <c r="E77" s="15" t="s">
        <v>344</v>
      </c>
      <c r="F77" s="15" t="s">
        <v>352</v>
      </c>
      <c r="G77" s="15" t="s">
        <v>6</v>
      </c>
      <c r="H77" s="15">
        <v>56.018641583760306</v>
      </c>
    </row>
    <row r="78" spans="3:17" x14ac:dyDescent="0.3">
      <c r="C78" s="15" t="s">
        <v>339</v>
      </c>
      <c r="D78" s="15" t="s">
        <v>347</v>
      </c>
      <c r="E78" s="15" t="s">
        <v>344</v>
      </c>
      <c r="F78" s="15" t="s">
        <v>352</v>
      </c>
      <c r="G78" s="15" t="s">
        <v>7</v>
      </c>
      <c r="H78" s="15">
        <v>34.549493435569268</v>
      </c>
    </row>
    <row r="79" spans="3:17" x14ac:dyDescent="0.3">
      <c r="C79" s="15" t="s">
        <v>339</v>
      </c>
      <c r="D79" s="15" t="s">
        <v>347</v>
      </c>
      <c r="E79" s="15" t="s">
        <v>344</v>
      </c>
      <c r="F79" s="15" t="s">
        <v>352</v>
      </c>
      <c r="G79" s="15" t="s">
        <v>8</v>
      </c>
      <c r="H79" s="15">
        <v>76.836180351016708</v>
      </c>
    </row>
    <row r="80" spans="3:17" x14ac:dyDescent="0.3">
      <c r="C80" s="15" t="s">
        <v>339</v>
      </c>
      <c r="D80" s="15" t="s">
        <v>347</v>
      </c>
      <c r="E80" s="15" t="s">
        <v>344</v>
      </c>
      <c r="F80" s="15" t="s">
        <v>353</v>
      </c>
      <c r="G80" s="15" t="s">
        <v>0</v>
      </c>
      <c r="L80" s="15">
        <v>6.4874484377770312</v>
      </c>
      <c r="M80" s="15">
        <v>6.6814401754548118</v>
      </c>
      <c r="N80" s="15">
        <v>6.8593311369432843</v>
      </c>
      <c r="O80" s="15">
        <v>7.0119015997929166</v>
      </c>
      <c r="P80" s="15">
        <v>7.1460378103175737</v>
      </c>
      <c r="Q80" s="15">
        <v>7.2968655368383244</v>
      </c>
    </row>
    <row r="81" spans="3:17" x14ac:dyDescent="0.3">
      <c r="C81" s="15" t="s">
        <v>339</v>
      </c>
      <c r="D81" s="15" t="s">
        <v>347</v>
      </c>
      <c r="E81" s="15" t="s">
        <v>344</v>
      </c>
      <c r="F81" s="15" t="s">
        <v>353</v>
      </c>
      <c r="G81" s="15" t="s">
        <v>1</v>
      </c>
      <c r="L81" s="15">
        <v>18.019061436486755</v>
      </c>
      <c r="M81" s="15">
        <v>18.415257014462011</v>
      </c>
      <c r="N81" s="15">
        <v>18.783306344378747</v>
      </c>
      <c r="O81" s="15">
        <v>19.101264736786653</v>
      </c>
      <c r="P81" s="15">
        <v>19.370879142865341</v>
      </c>
      <c r="Q81" s="15">
        <v>19.687147574403749</v>
      </c>
    </row>
    <row r="82" spans="3:17" x14ac:dyDescent="0.3">
      <c r="C82" s="15" t="s">
        <v>339</v>
      </c>
      <c r="D82" s="15" t="s">
        <v>347</v>
      </c>
      <c r="E82" s="15" t="s">
        <v>344</v>
      </c>
      <c r="F82" s="15" t="s">
        <v>353</v>
      </c>
      <c r="G82" s="15" t="s">
        <v>2</v>
      </c>
      <c r="L82" s="15">
        <v>20.407936902385913</v>
      </c>
      <c r="M82" s="15">
        <v>20.983967415047186</v>
      </c>
      <c r="N82" s="15">
        <v>21.534837903110247</v>
      </c>
      <c r="O82" s="15">
        <v>22.027827249986448</v>
      </c>
      <c r="P82" s="15">
        <v>22.473140687576649</v>
      </c>
      <c r="Q82" s="15">
        <v>22.894844297414668</v>
      </c>
    </row>
    <row r="83" spans="3:17" x14ac:dyDescent="0.3">
      <c r="C83" s="15" t="s">
        <v>339</v>
      </c>
      <c r="D83" s="15" t="s">
        <v>347</v>
      </c>
      <c r="E83" s="15" t="s">
        <v>344</v>
      </c>
      <c r="F83" s="15" t="s">
        <v>353</v>
      </c>
      <c r="G83" s="15" t="s">
        <v>3</v>
      </c>
      <c r="L83" s="15">
        <v>9.5162789372085399</v>
      </c>
      <c r="M83" s="15">
        <v>9.9050632527698852</v>
      </c>
      <c r="N83" s="15">
        <v>10.298758776139493</v>
      </c>
      <c r="O83" s="15">
        <v>10.685474833409879</v>
      </c>
      <c r="P83" s="15">
        <v>11.063867764661296</v>
      </c>
      <c r="Q83" s="15">
        <v>11.446379093064559</v>
      </c>
    </row>
    <row r="84" spans="3:17" x14ac:dyDescent="0.3">
      <c r="C84" s="15" t="s">
        <v>339</v>
      </c>
      <c r="D84" s="15" t="s">
        <v>347</v>
      </c>
      <c r="E84" s="15" t="s">
        <v>344</v>
      </c>
      <c r="F84" s="15" t="s">
        <v>353</v>
      </c>
      <c r="G84" s="15" t="s">
        <v>4</v>
      </c>
      <c r="L84" s="15">
        <v>30.117020197214579</v>
      </c>
      <c r="M84" s="15">
        <v>32.152450609411332</v>
      </c>
      <c r="N84" s="15">
        <v>34.264688508242493</v>
      </c>
      <c r="O84" s="15">
        <v>36.421581615641777</v>
      </c>
      <c r="P84" s="15">
        <v>38.653753986061716</v>
      </c>
      <c r="Q84" s="15">
        <v>40.942631767816302</v>
      </c>
    </row>
    <row r="85" spans="3:17" x14ac:dyDescent="0.3">
      <c r="C85" s="15" t="s">
        <v>339</v>
      </c>
      <c r="D85" s="15" t="s">
        <v>347</v>
      </c>
      <c r="E85" s="15" t="s">
        <v>344</v>
      </c>
      <c r="F85" s="15" t="s">
        <v>353</v>
      </c>
      <c r="G85" s="15" t="s">
        <v>5</v>
      </c>
      <c r="L85" s="15">
        <v>8.4818286807492846</v>
      </c>
      <c r="M85" s="15">
        <v>8.825682996414379</v>
      </c>
      <c r="N85" s="15">
        <v>9.1670940296006904</v>
      </c>
      <c r="O85" s="15">
        <v>9.4996710302221885</v>
      </c>
      <c r="P85" s="15">
        <v>9.8291669706478348</v>
      </c>
      <c r="Q85" s="15">
        <v>10.192302159476494</v>
      </c>
    </row>
    <row r="86" spans="3:17" x14ac:dyDescent="0.3">
      <c r="C86" s="15" t="s">
        <v>339</v>
      </c>
      <c r="D86" s="15" t="s">
        <v>347</v>
      </c>
      <c r="E86" s="15" t="s">
        <v>344</v>
      </c>
      <c r="F86" s="15" t="s">
        <v>353</v>
      </c>
      <c r="G86" s="15" t="s">
        <v>6</v>
      </c>
      <c r="L86" s="15">
        <v>18.913715736109044</v>
      </c>
      <c r="M86" s="15">
        <v>20.330272264535676</v>
      </c>
      <c r="N86" s="15">
        <v>21.801790114962571</v>
      </c>
      <c r="O86" s="15">
        <v>23.315756403322503</v>
      </c>
      <c r="P86" s="15">
        <v>24.886510378768406</v>
      </c>
      <c r="Q86" s="15">
        <v>26.552952975191193</v>
      </c>
    </row>
    <row r="87" spans="3:17" x14ac:dyDescent="0.3">
      <c r="C87" s="15" t="s">
        <v>339</v>
      </c>
      <c r="D87" s="15" t="s">
        <v>347</v>
      </c>
      <c r="E87" s="15" t="s">
        <v>344</v>
      </c>
      <c r="F87" s="15" t="s">
        <v>353</v>
      </c>
      <c r="G87" s="15" t="s">
        <v>7</v>
      </c>
      <c r="L87" s="15">
        <v>11.564096160432607</v>
      </c>
      <c r="M87" s="15">
        <v>12.54108153752437</v>
      </c>
      <c r="N87" s="15">
        <v>13.579930560888107</v>
      </c>
      <c r="O87" s="15">
        <v>14.667129078043619</v>
      </c>
      <c r="P87" s="15">
        <v>15.815473805868368</v>
      </c>
      <c r="Q87" s="15">
        <v>17.071324680799076</v>
      </c>
    </row>
    <row r="88" spans="3:17" x14ac:dyDescent="0.3">
      <c r="C88" s="15" t="s">
        <v>339</v>
      </c>
      <c r="D88" s="15" t="s">
        <v>347</v>
      </c>
      <c r="E88" s="15" t="s">
        <v>344</v>
      </c>
      <c r="F88" s="15" t="s">
        <v>353</v>
      </c>
      <c r="G88" s="15" t="s">
        <v>8</v>
      </c>
      <c r="L88" s="15">
        <v>24.585102290108757</v>
      </c>
      <c r="M88" s="15">
        <v>25.985041356356437</v>
      </c>
      <c r="N88" s="15">
        <v>27.402752661858322</v>
      </c>
      <c r="O88" s="15">
        <v>28.828791985041374</v>
      </c>
      <c r="P88" s="15">
        <v>30.319101900940396</v>
      </c>
      <c r="Q88" s="15">
        <v>31.887767948826333</v>
      </c>
    </row>
    <row r="89" spans="3:17" x14ac:dyDescent="0.3">
      <c r="C89" s="15" t="s">
        <v>339</v>
      </c>
      <c r="D89" s="15" t="s">
        <v>347</v>
      </c>
      <c r="E89" s="15" t="s">
        <v>344</v>
      </c>
      <c r="F89" s="15" t="s">
        <v>354</v>
      </c>
      <c r="G89" s="15" t="s">
        <v>0</v>
      </c>
      <c r="H89" s="15">
        <v>0.19872327508847915</v>
      </c>
    </row>
    <row r="90" spans="3:17" x14ac:dyDescent="0.3">
      <c r="C90" s="15" t="s">
        <v>339</v>
      </c>
      <c r="D90" s="15" t="s">
        <v>347</v>
      </c>
      <c r="E90" s="15" t="s">
        <v>344</v>
      </c>
      <c r="F90" s="15" t="s">
        <v>354</v>
      </c>
      <c r="G90" s="15" t="s">
        <v>1</v>
      </c>
      <c r="H90" s="15">
        <v>0.56222874927967459</v>
      </c>
    </row>
    <row r="91" spans="3:17" x14ac:dyDescent="0.3">
      <c r="C91" s="15" t="s">
        <v>339</v>
      </c>
      <c r="D91" s="15" t="s">
        <v>347</v>
      </c>
      <c r="E91" s="15" t="s">
        <v>344</v>
      </c>
      <c r="F91" s="15" t="s">
        <v>354</v>
      </c>
      <c r="G91" s="15" t="s">
        <v>2</v>
      </c>
      <c r="H91" s="15">
        <v>0.63899840740332892</v>
      </c>
    </row>
    <row r="92" spans="3:17" x14ac:dyDescent="0.3">
      <c r="C92" s="15" t="s">
        <v>339</v>
      </c>
      <c r="D92" s="15" t="s">
        <v>347</v>
      </c>
      <c r="E92" s="15" t="s">
        <v>344</v>
      </c>
      <c r="F92" s="15" t="s">
        <v>354</v>
      </c>
      <c r="G92" s="15" t="s">
        <v>3</v>
      </c>
      <c r="H92" s="15">
        <v>0.28069558269637784</v>
      </c>
    </row>
    <row r="93" spans="3:17" x14ac:dyDescent="0.3">
      <c r="C93" s="15" t="s">
        <v>339</v>
      </c>
      <c r="D93" s="15" t="s">
        <v>347</v>
      </c>
      <c r="E93" s="15" t="s">
        <v>344</v>
      </c>
      <c r="F93" s="15" t="s">
        <v>354</v>
      </c>
      <c r="G93" s="15" t="s">
        <v>4</v>
      </c>
      <c r="H93" s="15">
        <v>0.82062568709007433</v>
      </c>
    </row>
    <row r="94" spans="3:17" x14ac:dyDescent="0.3">
      <c r="C94" s="15" t="s">
        <v>339</v>
      </c>
      <c r="D94" s="15" t="s">
        <v>347</v>
      </c>
      <c r="E94" s="15" t="s">
        <v>344</v>
      </c>
      <c r="F94" s="15" t="s">
        <v>354</v>
      </c>
      <c r="G94" s="15" t="s">
        <v>5</v>
      </c>
      <c r="H94" s="15">
        <v>0.25237964068150864</v>
      </c>
    </row>
    <row r="95" spans="3:17" x14ac:dyDescent="0.3">
      <c r="C95" s="15" t="s">
        <v>339</v>
      </c>
      <c r="D95" s="15" t="s">
        <v>347</v>
      </c>
      <c r="E95" s="15" t="s">
        <v>344</v>
      </c>
      <c r="F95" s="15" t="s">
        <v>354</v>
      </c>
      <c r="G95" s="15" t="s">
        <v>6</v>
      </c>
      <c r="H95" s="15">
        <v>0.50016644271214616</v>
      </c>
    </row>
    <row r="96" spans="3:17" x14ac:dyDescent="0.3">
      <c r="C96" s="15" t="s">
        <v>339</v>
      </c>
      <c r="D96" s="15" t="s">
        <v>347</v>
      </c>
      <c r="E96" s="15" t="s">
        <v>344</v>
      </c>
      <c r="F96" s="15" t="s">
        <v>354</v>
      </c>
      <c r="G96" s="15" t="s">
        <v>7</v>
      </c>
      <c r="H96" s="15">
        <v>0.30847761996044015</v>
      </c>
    </row>
    <row r="97" spans="3:11" x14ac:dyDescent="0.3">
      <c r="C97" s="15" t="s">
        <v>339</v>
      </c>
      <c r="D97" s="15" t="s">
        <v>347</v>
      </c>
      <c r="E97" s="15" t="s">
        <v>344</v>
      </c>
      <c r="F97" s="15" t="s">
        <v>354</v>
      </c>
      <c r="G97" s="15" t="s">
        <v>8</v>
      </c>
      <c r="H97" s="15">
        <v>0.68603732456265198</v>
      </c>
    </row>
    <row r="98" spans="3:11" x14ac:dyDescent="0.3">
      <c r="C98" s="15" t="s">
        <v>339</v>
      </c>
      <c r="D98" s="15" t="s">
        <v>347</v>
      </c>
      <c r="E98" s="15" t="s">
        <v>344</v>
      </c>
      <c r="F98" s="15" t="s">
        <v>355</v>
      </c>
      <c r="G98" s="15" t="s">
        <v>0</v>
      </c>
      <c r="H98" s="15">
        <v>1.391062925619355</v>
      </c>
    </row>
    <row r="99" spans="3:11" x14ac:dyDescent="0.3">
      <c r="C99" s="15" t="s">
        <v>339</v>
      </c>
      <c r="D99" s="15" t="s">
        <v>347</v>
      </c>
      <c r="E99" s="15" t="s">
        <v>344</v>
      </c>
      <c r="F99" s="15" t="s">
        <v>355</v>
      </c>
      <c r="G99" s="15" t="s">
        <v>1</v>
      </c>
      <c r="H99" s="15">
        <v>3.9356012449577329</v>
      </c>
    </row>
    <row r="100" spans="3:11" x14ac:dyDescent="0.3">
      <c r="C100" s="15" t="s">
        <v>339</v>
      </c>
      <c r="D100" s="15" t="s">
        <v>347</v>
      </c>
      <c r="E100" s="15" t="s">
        <v>344</v>
      </c>
      <c r="F100" s="15" t="s">
        <v>355</v>
      </c>
      <c r="G100" s="15" t="s">
        <v>2</v>
      </c>
      <c r="H100" s="15">
        <v>4.4729888518233105</v>
      </c>
    </row>
    <row r="101" spans="3:11" x14ac:dyDescent="0.3">
      <c r="C101" s="15" t="s">
        <v>339</v>
      </c>
      <c r="D101" s="15" t="s">
        <v>347</v>
      </c>
      <c r="E101" s="15" t="s">
        <v>344</v>
      </c>
      <c r="F101" s="15" t="s">
        <v>355</v>
      </c>
      <c r="G101" s="15" t="s">
        <v>3</v>
      </c>
      <c r="H101" s="15">
        <v>1.9648690788746503</v>
      </c>
      <c r="K101" s="15">
        <v>1.0292171365533864</v>
      </c>
    </row>
    <row r="102" spans="3:11" x14ac:dyDescent="0.3">
      <c r="C102" s="15" t="s">
        <v>339</v>
      </c>
      <c r="D102" s="15" t="s">
        <v>347</v>
      </c>
      <c r="E102" s="15" t="s">
        <v>344</v>
      </c>
      <c r="F102" s="15" t="s">
        <v>355</v>
      </c>
      <c r="G102" s="15" t="s">
        <v>4</v>
      </c>
      <c r="H102" s="15">
        <v>5.7443798096304937</v>
      </c>
    </row>
    <row r="103" spans="3:11" x14ac:dyDescent="0.3">
      <c r="C103" s="15" t="s">
        <v>339</v>
      </c>
      <c r="D103" s="15" t="s">
        <v>347</v>
      </c>
      <c r="E103" s="15" t="s">
        <v>344</v>
      </c>
      <c r="F103" s="15" t="s">
        <v>355</v>
      </c>
      <c r="G103" s="15" t="s">
        <v>5</v>
      </c>
      <c r="H103" s="15">
        <v>1.7666574847705658</v>
      </c>
      <c r="K103" s="15">
        <v>0.92539201583219965</v>
      </c>
    </row>
    <row r="104" spans="3:11" x14ac:dyDescent="0.3">
      <c r="C104" s="15" t="s">
        <v>339</v>
      </c>
      <c r="D104" s="15" t="s">
        <v>347</v>
      </c>
      <c r="E104" s="15" t="s">
        <v>344</v>
      </c>
      <c r="F104" s="15" t="s">
        <v>355</v>
      </c>
      <c r="G104" s="15" t="s">
        <v>6</v>
      </c>
      <c r="H104" s="15">
        <v>3.5011650989850254</v>
      </c>
      <c r="K104" s="15">
        <v>1.833943623277869</v>
      </c>
    </row>
    <row r="105" spans="3:11" x14ac:dyDescent="0.3">
      <c r="C105" s="15" t="s">
        <v>339</v>
      </c>
      <c r="D105" s="15" t="s">
        <v>347</v>
      </c>
      <c r="E105" s="15" t="s">
        <v>344</v>
      </c>
      <c r="F105" s="15" t="s">
        <v>355</v>
      </c>
      <c r="G105" s="15" t="s">
        <v>7</v>
      </c>
      <c r="H105" s="15">
        <v>2.1593433397230859</v>
      </c>
      <c r="K105" s="15">
        <v>1.1310846065216169</v>
      </c>
    </row>
    <row r="106" spans="3:11" x14ac:dyDescent="0.3">
      <c r="C106" s="15" t="s">
        <v>339</v>
      </c>
      <c r="D106" s="15" t="s">
        <v>347</v>
      </c>
      <c r="E106" s="15" t="s">
        <v>344</v>
      </c>
      <c r="F106" s="15" t="s">
        <v>355</v>
      </c>
      <c r="G106" s="15" t="s">
        <v>8</v>
      </c>
      <c r="H106" s="15">
        <v>4.8022612719385416</v>
      </c>
    </row>
    <row r="107" spans="3:11" x14ac:dyDescent="0.3">
      <c r="C107" s="15" t="s">
        <v>339</v>
      </c>
      <c r="D107" s="15" t="s">
        <v>347</v>
      </c>
      <c r="E107" s="15" t="s">
        <v>344</v>
      </c>
      <c r="F107" s="15" t="s">
        <v>356</v>
      </c>
      <c r="G107" s="15" t="s">
        <v>0</v>
      </c>
      <c r="I107" s="15">
        <v>8.609845905923347</v>
      </c>
      <c r="J107" s="15">
        <v>8.696256269728357</v>
      </c>
      <c r="K107" s="15">
        <v>9.7125901254485623</v>
      </c>
    </row>
    <row r="108" spans="3:11" x14ac:dyDescent="0.3">
      <c r="C108" s="15" t="s">
        <v>339</v>
      </c>
      <c r="D108" s="15" t="s">
        <v>347</v>
      </c>
      <c r="E108" s="15" t="s">
        <v>344</v>
      </c>
      <c r="F108" s="15" t="s">
        <v>356</v>
      </c>
      <c r="G108" s="15" t="s">
        <v>1</v>
      </c>
      <c r="I108" s="15">
        <v>24.344056412356476</v>
      </c>
      <c r="J108" s="15">
        <v>24.529833258574712</v>
      </c>
      <c r="K108" s="15">
        <v>27.19008371913808</v>
      </c>
    </row>
    <row r="109" spans="3:11" x14ac:dyDescent="0.3">
      <c r="C109" s="15" t="s">
        <v>339</v>
      </c>
      <c r="D109" s="15" t="s">
        <v>347</v>
      </c>
      <c r="E109" s="15" t="s">
        <v>344</v>
      </c>
      <c r="F109" s="15" t="s">
        <v>356</v>
      </c>
      <c r="G109" s="15" t="s">
        <v>2</v>
      </c>
      <c r="I109" s="15">
        <v>27.61070665380894</v>
      </c>
      <c r="J109" s="15">
        <v>27.596535816606039</v>
      </c>
      <c r="K109" s="15">
        <v>30.621686194459869</v>
      </c>
    </row>
    <row r="110" spans="3:11" x14ac:dyDescent="0.3">
      <c r="C110" s="15" t="s">
        <v>339</v>
      </c>
      <c r="D110" s="15" t="s">
        <v>347</v>
      </c>
      <c r="E110" s="15" t="s">
        <v>344</v>
      </c>
      <c r="F110" s="15" t="s">
        <v>356</v>
      </c>
      <c r="G110" s="15" t="s">
        <v>3</v>
      </c>
      <c r="I110" s="15">
        <v>12.203042441647167</v>
      </c>
      <c r="J110" s="15">
        <v>12.488664114793057</v>
      </c>
      <c r="K110" s="15">
        <v>13.176051120621077</v>
      </c>
    </row>
    <row r="111" spans="3:11" x14ac:dyDescent="0.3">
      <c r="C111" s="15" t="s">
        <v>339</v>
      </c>
      <c r="D111" s="15" t="s">
        <v>347</v>
      </c>
      <c r="E111" s="15" t="s">
        <v>344</v>
      </c>
      <c r="F111" s="15" t="s">
        <v>356</v>
      </c>
      <c r="G111" s="15" t="s">
        <v>4</v>
      </c>
      <c r="I111" s="15">
        <v>35.879050671496117</v>
      </c>
      <c r="J111" s="15">
        <v>37.510434853279015</v>
      </c>
      <c r="K111" s="15">
        <v>43.646393366153518</v>
      </c>
    </row>
    <row r="112" spans="3:11" x14ac:dyDescent="0.3">
      <c r="C112" s="15" t="s">
        <v>339</v>
      </c>
      <c r="D112" s="15" t="s">
        <v>347</v>
      </c>
      <c r="E112" s="15" t="s">
        <v>344</v>
      </c>
      <c r="F112" s="15" t="s">
        <v>356</v>
      </c>
      <c r="G112" s="15" t="s">
        <v>5</v>
      </c>
      <c r="I112" s="15">
        <v>10.957188789077417</v>
      </c>
      <c r="J112" s="15">
        <v>11.155768108593689</v>
      </c>
      <c r="K112" s="15">
        <v>11.737290261505892</v>
      </c>
    </row>
    <row r="113" spans="3:11" x14ac:dyDescent="0.3">
      <c r="C113" s="15" t="s">
        <v>339</v>
      </c>
      <c r="D113" s="15" t="s">
        <v>347</v>
      </c>
      <c r="E113" s="15" t="s">
        <v>344</v>
      </c>
      <c r="F113" s="15" t="s">
        <v>356</v>
      </c>
      <c r="G113" s="15" t="s">
        <v>6</v>
      </c>
      <c r="I113" s="15">
        <v>21.928849549742324</v>
      </c>
      <c r="J113" s="15">
        <v>23.161701289634422</v>
      </c>
      <c r="K113" s="15">
        <v>25.540914428452009</v>
      </c>
    </row>
    <row r="114" spans="3:11" x14ac:dyDescent="0.3">
      <c r="C114" s="15" t="s">
        <v>339</v>
      </c>
      <c r="D114" s="15" t="s">
        <v>347</v>
      </c>
      <c r="E114" s="15" t="s">
        <v>344</v>
      </c>
      <c r="F114" s="15" t="s">
        <v>356</v>
      </c>
      <c r="G114" s="15" t="s">
        <v>7</v>
      </c>
      <c r="I114" s="15">
        <v>13.455308616297721</v>
      </c>
      <c r="J114" s="15">
        <v>13.943682520685188</v>
      </c>
      <c r="K114" s="15">
        <v>15.45800078068541</v>
      </c>
    </row>
    <row r="115" spans="3:11" x14ac:dyDescent="0.3">
      <c r="C115" s="15" t="s">
        <v>339</v>
      </c>
      <c r="D115" s="15" t="s">
        <v>347</v>
      </c>
      <c r="E115" s="15" t="s">
        <v>344</v>
      </c>
      <c r="F115" s="15" t="s">
        <v>356</v>
      </c>
      <c r="G115" s="15" t="s">
        <v>8</v>
      </c>
      <c r="I115" s="15">
        <v>29.943690104406695</v>
      </c>
      <c r="J115" s="15">
        <v>31.107591120429912</v>
      </c>
      <c r="K115" s="15">
        <v>35.910874041964718</v>
      </c>
    </row>
    <row r="116" spans="3:11" x14ac:dyDescent="0.3">
      <c r="C116" s="15" t="s">
        <v>339</v>
      </c>
      <c r="D116" s="15" t="s">
        <v>347</v>
      </c>
      <c r="E116" s="15" t="s">
        <v>344</v>
      </c>
      <c r="F116" s="15" t="s">
        <v>357</v>
      </c>
      <c r="G116" s="15" t="s">
        <v>0</v>
      </c>
      <c r="H116" s="15">
        <v>0.59616982526543327</v>
      </c>
      <c r="I116" s="15">
        <v>0.5740894613667139</v>
      </c>
      <c r="J116" s="15">
        <v>0.48576800577183482</v>
      </c>
      <c r="K116" s="15">
        <v>0.37536618627823581</v>
      </c>
    </row>
    <row r="117" spans="3:11" x14ac:dyDescent="0.3">
      <c r="C117" s="15" t="s">
        <v>339</v>
      </c>
      <c r="D117" s="15" t="s">
        <v>347</v>
      </c>
      <c r="E117" s="15" t="s">
        <v>344</v>
      </c>
      <c r="F117" s="15" t="s">
        <v>357</v>
      </c>
      <c r="G117" s="15" t="s">
        <v>1</v>
      </c>
      <c r="H117" s="15">
        <v>1.6866862478390188</v>
      </c>
      <c r="I117" s="15">
        <v>1.6242163868079431</v>
      </c>
      <c r="J117" s="15">
        <v>1.3743369426836431</v>
      </c>
      <c r="K117" s="15">
        <v>1.0619876375282713</v>
      </c>
    </row>
    <row r="118" spans="3:11" x14ac:dyDescent="0.3">
      <c r="C118" s="15" t="s">
        <v>339</v>
      </c>
      <c r="D118" s="15" t="s">
        <v>347</v>
      </c>
      <c r="E118" s="15" t="s">
        <v>344</v>
      </c>
      <c r="F118" s="15" t="s">
        <v>357</v>
      </c>
      <c r="G118" s="15" t="s">
        <v>2</v>
      </c>
      <c r="H118" s="15">
        <v>1.9169952222099735</v>
      </c>
      <c r="I118" s="15">
        <v>1.8459953991651605</v>
      </c>
      <c r="J118" s="15">
        <v>1.5619961069859034</v>
      </c>
      <c r="K118" s="15">
        <v>1.2069969917618366</v>
      </c>
    </row>
    <row r="119" spans="3:11" x14ac:dyDescent="0.3">
      <c r="C119" s="15" t="s">
        <v>339</v>
      </c>
      <c r="D119" s="15" t="s">
        <v>347</v>
      </c>
      <c r="E119" s="15" t="s">
        <v>344</v>
      </c>
      <c r="F119" s="15" t="s">
        <v>357</v>
      </c>
      <c r="G119" s="15" t="s">
        <v>3</v>
      </c>
      <c r="H119" s="15">
        <v>0.8420867480891302</v>
      </c>
      <c r="I119" s="15">
        <v>0.81089835001175548</v>
      </c>
      <c r="J119" s="15">
        <v>0.68614475770225503</v>
      </c>
      <c r="K119" s="15">
        <v>0.53020276731537852</v>
      </c>
    </row>
    <row r="120" spans="3:11" x14ac:dyDescent="0.3">
      <c r="C120" s="15" t="s">
        <v>339</v>
      </c>
      <c r="D120" s="15" t="s">
        <v>347</v>
      </c>
      <c r="E120" s="15" t="s">
        <v>344</v>
      </c>
      <c r="F120" s="15" t="s">
        <v>357</v>
      </c>
      <c r="G120" s="15" t="s">
        <v>4</v>
      </c>
      <c r="H120" s="15">
        <v>2.4618770612702061</v>
      </c>
      <c r="I120" s="15">
        <v>2.3706964293713106</v>
      </c>
      <c r="J120" s="15">
        <v>2.0059739017757239</v>
      </c>
      <c r="K120" s="15">
        <v>1.5500707422812421</v>
      </c>
    </row>
    <row r="121" spans="3:11" x14ac:dyDescent="0.3">
      <c r="C121" s="15" t="s">
        <v>339</v>
      </c>
      <c r="D121" s="15" t="s">
        <v>347</v>
      </c>
      <c r="E121" s="15" t="s">
        <v>344</v>
      </c>
      <c r="F121" s="15" t="s">
        <v>357</v>
      </c>
      <c r="G121" s="15" t="s">
        <v>5</v>
      </c>
      <c r="H121" s="15">
        <v>0.75713892204452204</v>
      </c>
      <c r="I121" s="15">
        <v>0.72909673974657763</v>
      </c>
      <c r="J121" s="15">
        <v>0.61692801055479629</v>
      </c>
      <c r="K121" s="15">
        <v>0.47671709906506987</v>
      </c>
    </row>
    <row r="122" spans="3:11" x14ac:dyDescent="0.3">
      <c r="C122" s="15" t="s">
        <v>339</v>
      </c>
      <c r="D122" s="15" t="s">
        <v>347</v>
      </c>
      <c r="E122" s="15" t="s">
        <v>344</v>
      </c>
      <c r="F122" s="15" t="s">
        <v>357</v>
      </c>
      <c r="G122" s="15" t="s">
        <v>6</v>
      </c>
      <c r="H122" s="15">
        <v>1.5004993281364332</v>
      </c>
      <c r="I122" s="15">
        <v>1.4449252789461944</v>
      </c>
      <c r="J122" s="15">
        <v>1.2226290821852415</v>
      </c>
      <c r="K122" s="15">
        <v>0.94475883623405066</v>
      </c>
    </row>
    <row r="123" spans="3:11" x14ac:dyDescent="0.3">
      <c r="C123" s="15" t="s">
        <v>339</v>
      </c>
      <c r="D123" s="15" t="s">
        <v>347</v>
      </c>
      <c r="E123" s="15" t="s">
        <v>344</v>
      </c>
      <c r="F123" s="15" t="s">
        <v>357</v>
      </c>
      <c r="G123" s="15" t="s">
        <v>7</v>
      </c>
      <c r="H123" s="15">
        <v>0.92543285988131696</v>
      </c>
      <c r="I123" s="15">
        <v>0.89115756877460151</v>
      </c>
      <c r="J123" s="15">
        <v>0.75405640434773902</v>
      </c>
      <c r="K123" s="15">
        <v>0.58267994881416219</v>
      </c>
    </row>
    <row r="124" spans="3:11" x14ac:dyDescent="0.3">
      <c r="C124" s="15" t="s">
        <v>339</v>
      </c>
      <c r="D124" s="15" t="s">
        <v>347</v>
      </c>
      <c r="E124" s="15" t="s">
        <v>344</v>
      </c>
      <c r="F124" s="15" t="s">
        <v>357</v>
      </c>
      <c r="G124" s="15" t="s">
        <v>8</v>
      </c>
      <c r="H124" s="15">
        <v>2.0581119736879407</v>
      </c>
      <c r="I124" s="15">
        <v>1.9818856042920925</v>
      </c>
      <c r="J124" s="15">
        <v>1.6769801267086948</v>
      </c>
      <c r="K124" s="15">
        <v>1.2958482797294446</v>
      </c>
    </row>
    <row r="125" spans="3:11" x14ac:dyDescent="0.3">
      <c r="C125" s="15" t="s">
        <v>339</v>
      </c>
      <c r="D125" s="15" t="s">
        <v>347</v>
      </c>
      <c r="E125" s="15" t="s">
        <v>344</v>
      </c>
      <c r="F125" s="15" t="s">
        <v>358</v>
      </c>
      <c r="G125" s="15" t="s">
        <v>0</v>
      </c>
      <c r="H125" s="15">
        <v>0.19872327508847859</v>
      </c>
    </row>
    <row r="126" spans="3:11" x14ac:dyDescent="0.3">
      <c r="C126" s="15" t="s">
        <v>339</v>
      </c>
      <c r="D126" s="15" t="s">
        <v>347</v>
      </c>
      <c r="E126" s="15" t="s">
        <v>344</v>
      </c>
      <c r="F126" s="15" t="s">
        <v>358</v>
      </c>
      <c r="G126" s="15" t="s">
        <v>1</v>
      </c>
      <c r="H126" s="15">
        <v>0.56222874927967481</v>
      </c>
    </row>
    <row r="127" spans="3:11" x14ac:dyDescent="0.3">
      <c r="C127" s="15" t="s">
        <v>339</v>
      </c>
      <c r="D127" s="15" t="s">
        <v>347</v>
      </c>
      <c r="E127" s="15" t="s">
        <v>344</v>
      </c>
      <c r="F127" s="15" t="s">
        <v>358</v>
      </c>
      <c r="G127" s="15" t="s">
        <v>2</v>
      </c>
      <c r="H127" s="15">
        <v>0.63899840740332692</v>
      </c>
    </row>
    <row r="128" spans="3:11" x14ac:dyDescent="0.3">
      <c r="C128" s="15" t="s">
        <v>339</v>
      </c>
      <c r="D128" s="15" t="s">
        <v>347</v>
      </c>
      <c r="E128" s="15" t="s">
        <v>344</v>
      </c>
      <c r="F128" s="15" t="s">
        <v>358</v>
      </c>
      <c r="G128" s="15" t="s">
        <v>3</v>
      </c>
      <c r="H128" s="15">
        <v>0.28069558269637762</v>
      </c>
    </row>
    <row r="129" spans="3:8" x14ac:dyDescent="0.3">
      <c r="C129" s="15" t="s">
        <v>339</v>
      </c>
      <c r="D129" s="15" t="s">
        <v>347</v>
      </c>
      <c r="E129" s="15" t="s">
        <v>344</v>
      </c>
      <c r="F129" s="15" t="s">
        <v>358</v>
      </c>
      <c r="G129" s="15" t="s">
        <v>4</v>
      </c>
      <c r="H129" s="15">
        <v>0.82062568709007433</v>
      </c>
    </row>
    <row r="130" spans="3:8" x14ac:dyDescent="0.3">
      <c r="C130" s="15" t="s">
        <v>339</v>
      </c>
      <c r="D130" s="15" t="s">
        <v>347</v>
      </c>
      <c r="E130" s="15" t="s">
        <v>344</v>
      </c>
      <c r="F130" s="15" t="s">
        <v>358</v>
      </c>
      <c r="G130" s="15" t="s">
        <v>5</v>
      </c>
      <c r="H130" s="15">
        <v>0.25237964068150809</v>
      </c>
    </row>
    <row r="131" spans="3:8" x14ac:dyDescent="0.3">
      <c r="C131" s="15" t="s">
        <v>339</v>
      </c>
      <c r="D131" s="15" t="s">
        <v>347</v>
      </c>
      <c r="E131" s="15" t="s">
        <v>344</v>
      </c>
      <c r="F131" s="15" t="s">
        <v>358</v>
      </c>
      <c r="G131" s="15" t="s">
        <v>6</v>
      </c>
      <c r="H131" s="15">
        <v>0.5001664427121455</v>
      </c>
    </row>
    <row r="132" spans="3:8" x14ac:dyDescent="0.3">
      <c r="C132" s="15" t="s">
        <v>339</v>
      </c>
      <c r="D132" s="15" t="s">
        <v>347</v>
      </c>
      <c r="E132" s="15" t="s">
        <v>344</v>
      </c>
      <c r="F132" s="15" t="s">
        <v>358</v>
      </c>
      <c r="G132" s="15" t="s">
        <v>7</v>
      </c>
      <c r="H132" s="15">
        <v>0.30847761996044015</v>
      </c>
    </row>
    <row r="133" spans="3:8" x14ac:dyDescent="0.3">
      <c r="C133" s="15" t="s">
        <v>339</v>
      </c>
      <c r="D133" s="15" t="s">
        <v>347</v>
      </c>
      <c r="E133" s="15" t="s">
        <v>344</v>
      </c>
      <c r="F133" s="15" t="s">
        <v>358</v>
      </c>
      <c r="G133" s="15" t="s">
        <v>8</v>
      </c>
      <c r="H133" s="15">
        <v>0.6860373245626501</v>
      </c>
    </row>
    <row r="134" spans="3:8" x14ac:dyDescent="0.3">
      <c r="C134" s="15" t="s">
        <v>339</v>
      </c>
      <c r="D134" s="15" t="s">
        <v>347</v>
      </c>
      <c r="E134" s="15" t="s">
        <v>344</v>
      </c>
      <c r="F134" s="15" t="s">
        <v>359</v>
      </c>
      <c r="G134" s="15" t="s">
        <v>0</v>
      </c>
      <c r="H134" s="15">
        <v>1.7885094757963103</v>
      </c>
    </row>
    <row r="135" spans="3:8" x14ac:dyDescent="0.3">
      <c r="C135" s="15" t="s">
        <v>339</v>
      </c>
      <c r="D135" s="15" t="s">
        <v>347</v>
      </c>
      <c r="E135" s="15" t="s">
        <v>344</v>
      </c>
      <c r="F135" s="15" t="s">
        <v>359</v>
      </c>
      <c r="G135" s="15" t="s">
        <v>1</v>
      </c>
      <c r="H135" s="15">
        <v>5.0600587435170752</v>
      </c>
    </row>
    <row r="136" spans="3:8" x14ac:dyDescent="0.3">
      <c r="C136" s="15" t="s">
        <v>339</v>
      </c>
      <c r="D136" s="15" t="s">
        <v>347</v>
      </c>
      <c r="E136" s="15" t="s">
        <v>344</v>
      </c>
      <c r="F136" s="15" t="s">
        <v>359</v>
      </c>
      <c r="G136" s="15" t="s">
        <v>2</v>
      </c>
      <c r="H136" s="15">
        <v>5.7509856666299255</v>
      </c>
    </row>
    <row r="137" spans="3:8" x14ac:dyDescent="0.3">
      <c r="C137" s="15" t="s">
        <v>339</v>
      </c>
      <c r="D137" s="15" t="s">
        <v>347</v>
      </c>
      <c r="E137" s="15" t="s">
        <v>344</v>
      </c>
      <c r="F137" s="15" t="s">
        <v>359</v>
      </c>
      <c r="G137" s="15" t="s">
        <v>3</v>
      </c>
      <c r="H137" s="15">
        <v>2.5262602442674074</v>
      </c>
    </row>
    <row r="138" spans="3:8" x14ac:dyDescent="0.3">
      <c r="C138" s="15" t="s">
        <v>339</v>
      </c>
      <c r="D138" s="15" t="s">
        <v>347</v>
      </c>
      <c r="E138" s="15" t="s">
        <v>344</v>
      </c>
      <c r="F138" s="15" t="s">
        <v>359</v>
      </c>
      <c r="G138" s="15" t="s">
        <v>4</v>
      </c>
      <c r="H138" s="15">
        <v>7.3856311838106432</v>
      </c>
    </row>
    <row r="139" spans="3:8" x14ac:dyDescent="0.3">
      <c r="C139" s="15" t="s">
        <v>339</v>
      </c>
      <c r="D139" s="15" t="s">
        <v>347</v>
      </c>
      <c r="E139" s="15" t="s">
        <v>344</v>
      </c>
      <c r="F139" s="15" t="s">
        <v>359</v>
      </c>
      <c r="G139" s="15" t="s">
        <v>5</v>
      </c>
      <c r="H139" s="15">
        <v>2.2714167661335734</v>
      </c>
    </row>
    <row r="140" spans="3:8" x14ac:dyDescent="0.3">
      <c r="C140" s="15" t="s">
        <v>339</v>
      </c>
      <c r="D140" s="15" t="s">
        <v>347</v>
      </c>
      <c r="E140" s="15" t="s">
        <v>344</v>
      </c>
      <c r="F140" s="15" t="s">
        <v>359</v>
      </c>
      <c r="G140" s="15" t="s">
        <v>6</v>
      </c>
      <c r="H140" s="15">
        <v>4.5014979844093155</v>
      </c>
    </row>
    <row r="141" spans="3:8" x14ac:dyDescent="0.3">
      <c r="C141" s="15" t="s">
        <v>339</v>
      </c>
      <c r="D141" s="15" t="s">
        <v>347</v>
      </c>
      <c r="E141" s="15" t="s">
        <v>344</v>
      </c>
      <c r="F141" s="15" t="s">
        <v>359</v>
      </c>
      <c r="G141" s="15" t="s">
        <v>7</v>
      </c>
      <c r="H141" s="15">
        <v>2.7762985796439712</v>
      </c>
    </row>
    <row r="142" spans="3:8" x14ac:dyDescent="0.3">
      <c r="C142" s="15" t="s">
        <v>339</v>
      </c>
      <c r="D142" s="15" t="s">
        <v>347</v>
      </c>
      <c r="E142" s="15" t="s">
        <v>344</v>
      </c>
      <c r="F142" s="15" t="s">
        <v>359</v>
      </c>
      <c r="G142" s="15" t="s">
        <v>8</v>
      </c>
      <c r="H142" s="15">
        <v>6.174335921063836</v>
      </c>
    </row>
    <row r="143" spans="3:8" x14ac:dyDescent="0.3">
      <c r="C143" s="15" t="s">
        <v>339</v>
      </c>
      <c r="D143" s="15" t="s">
        <v>347</v>
      </c>
      <c r="E143" s="15" t="s">
        <v>344</v>
      </c>
      <c r="F143" s="15" t="s">
        <v>360</v>
      </c>
      <c r="G143" s="15" t="s">
        <v>0</v>
      </c>
      <c r="H143" s="15">
        <v>2.4463887821676673</v>
      </c>
    </row>
    <row r="144" spans="3:8" x14ac:dyDescent="0.3">
      <c r="C144" s="15" t="s">
        <v>339</v>
      </c>
      <c r="D144" s="15" t="s">
        <v>347</v>
      </c>
      <c r="E144" s="15" t="s">
        <v>344</v>
      </c>
      <c r="F144" s="15" t="s">
        <v>360</v>
      </c>
      <c r="G144" s="15" t="s">
        <v>1</v>
      </c>
      <c r="H144" s="15">
        <v>6.9213337221698543</v>
      </c>
    </row>
    <row r="145" spans="3:17" x14ac:dyDescent="0.3">
      <c r="C145" s="15" t="s">
        <v>339</v>
      </c>
      <c r="D145" s="15" t="s">
        <v>347</v>
      </c>
      <c r="E145" s="15" t="s">
        <v>344</v>
      </c>
      <c r="F145" s="15" t="s">
        <v>360</v>
      </c>
      <c r="G145" s="15" t="s">
        <v>2</v>
      </c>
      <c r="H145" s="15">
        <v>7.8664088793747755</v>
      </c>
    </row>
    <row r="146" spans="3:17" x14ac:dyDescent="0.3">
      <c r="C146" s="15" t="s">
        <v>339</v>
      </c>
      <c r="D146" s="15" t="s">
        <v>347</v>
      </c>
      <c r="E146" s="15" t="s">
        <v>344</v>
      </c>
      <c r="F146" s="15" t="s">
        <v>360</v>
      </c>
      <c r="G146" s="15" t="s">
        <v>3</v>
      </c>
      <c r="H146" s="15">
        <v>3.4555113104222643</v>
      </c>
    </row>
    <row r="147" spans="3:17" x14ac:dyDescent="0.3">
      <c r="C147" s="15" t="s">
        <v>339</v>
      </c>
      <c r="D147" s="15" t="s">
        <v>347</v>
      </c>
      <c r="E147" s="15" t="s">
        <v>344</v>
      </c>
      <c r="F147" s="15" t="s">
        <v>360</v>
      </c>
      <c r="G147" s="15" t="s">
        <v>4</v>
      </c>
      <c r="H147" s="15">
        <v>10.102336902216882</v>
      </c>
    </row>
    <row r="148" spans="3:17" x14ac:dyDescent="0.3">
      <c r="C148" s="15" t="s">
        <v>339</v>
      </c>
      <c r="D148" s="15" t="s">
        <v>347</v>
      </c>
      <c r="E148" s="15" t="s">
        <v>344</v>
      </c>
      <c r="F148" s="15" t="s">
        <v>360</v>
      </c>
      <c r="G148" s="15" t="s">
        <v>5</v>
      </c>
      <c r="H148" s="15">
        <v>4.7952131729486425</v>
      </c>
    </row>
    <row r="149" spans="3:17" x14ac:dyDescent="0.3">
      <c r="C149" s="15" t="s">
        <v>339</v>
      </c>
      <c r="D149" s="15" t="s">
        <v>347</v>
      </c>
      <c r="E149" s="15" t="s">
        <v>344</v>
      </c>
      <c r="F149" s="15" t="s">
        <v>360</v>
      </c>
      <c r="G149" s="15" t="s">
        <v>6</v>
      </c>
      <c r="H149" s="15">
        <v>6.157313853260808</v>
      </c>
    </row>
    <row r="150" spans="3:17" x14ac:dyDescent="0.3">
      <c r="C150" s="15" t="s">
        <v>339</v>
      </c>
      <c r="D150" s="15" t="s">
        <v>347</v>
      </c>
      <c r="E150" s="15" t="s">
        <v>344</v>
      </c>
      <c r="F150" s="15" t="s">
        <v>360</v>
      </c>
      <c r="G150" s="15" t="s">
        <v>7</v>
      </c>
      <c r="H150" s="15">
        <v>5.861074779248364</v>
      </c>
    </row>
    <row r="151" spans="3:17" x14ac:dyDescent="0.3">
      <c r="C151" s="15" t="s">
        <v>339</v>
      </c>
      <c r="D151" s="15" t="s">
        <v>347</v>
      </c>
      <c r="E151" s="15" t="s">
        <v>344</v>
      </c>
      <c r="F151" s="15" t="s">
        <v>360</v>
      </c>
      <c r="G151" s="15" t="s">
        <v>8</v>
      </c>
      <c r="H151" s="15">
        <v>8.4454828666195692</v>
      </c>
    </row>
    <row r="152" spans="3:17" x14ac:dyDescent="0.3">
      <c r="C152" s="15" t="s">
        <v>339</v>
      </c>
      <c r="D152" s="15" t="s">
        <v>361</v>
      </c>
      <c r="E152" s="15" t="s">
        <v>344</v>
      </c>
      <c r="F152" s="15" t="s">
        <v>362</v>
      </c>
      <c r="G152" s="15" t="s">
        <v>0</v>
      </c>
      <c r="H152" s="15">
        <v>116.11254066442798</v>
      </c>
      <c r="I152" s="15">
        <v>115.92548747842091</v>
      </c>
      <c r="J152" s="15">
        <v>114.74089761935002</v>
      </c>
      <c r="K152" s="15">
        <v>113.98804299755899</v>
      </c>
      <c r="L152" s="15">
        <v>112.12577193332704</v>
      </c>
      <c r="M152" s="15">
        <v>113.50537185483205</v>
      </c>
      <c r="N152" s="15">
        <v>115.87058194353709</v>
      </c>
      <c r="O152" s="15">
        <v>118.35895552874096</v>
      </c>
      <c r="P152" s="15">
        <v>120.32862076861508</v>
      </c>
      <c r="Q152" s="15">
        <v>122.10429035607213</v>
      </c>
    </row>
    <row r="153" spans="3:17" x14ac:dyDescent="0.3">
      <c r="C153" s="15" t="s">
        <v>339</v>
      </c>
      <c r="D153" s="15" t="s">
        <v>361</v>
      </c>
      <c r="E153" s="15" t="s">
        <v>344</v>
      </c>
      <c r="F153" s="15" t="s">
        <v>362</v>
      </c>
      <c r="G153" s="15" t="s">
        <v>1</v>
      </c>
      <c r="H153" s="15">
        <v>328.50610218848584</v>
      </c>
      <c r="I153" s="15">
        <v>327.79100835050707</v>
      </c>
      <c r="J153" s="15">
        <v>323.71751417213824</v>
      </c>
      <c r="K153" s="15">
        <v>319.26510903208708</v>
      </c>
      <c r="L153" s="15">
        <v>311.43232851226009</v>
      </c>
      <c r="M153" s="15">
        <v>312.79558139790095</v>
      </c>
      <c r="N153" s="15">
        <v>317.21174768585922</v>
      </c>
      <c r="O153" s="15">
        <v>322.31043922675991</v>
      </c>
      <c r="P153" s="15">
        <v>326.03498272262919</v>
      </c>
      <c r="Q153" s="15">
        <v>329.27325087617396</v>
      </c>
    </row>
    <row r="154" spans="3:17" x14ac:dyDescent="0.3">
      <c r="C154" s="15" t="s">
        <v>339</v>
      </c>
      <c r="D154" s="15" t="s">
        <v>361</v>
      </c>
      <c r="E154" s="15" t="s">
        <v>344</v>
      </c>
      <c r="F154" s="15" t="s">
        <v>362</v>
      </c>
      <c r="G154" s="15" t="s">
        <v>2</v>
      </c>
      <c r="H154" s="15">
        <v>373.36204594599394</v>
      </c>
      <c r="I154" s="15">
        <v>371.83576573297489</v>
      </c>
      <c r="J154" s="15">
        <v>364.43434007372213</v>
      </c>
      <c r="K154" s="15">
        <v>359.71550196323199</v>
      </c>
      <c r="L154" s="15">
        <v>352.72044174130491</v>
      </c>
      <c r="M154" s="15">
        <v>356.46801129294317</v>
      </c>
      <c r="N154" s="15">
        <v>363.7618115402982</v>
      </c>
      <c r="O154" s="15">
        <v>371.81454343784605</v>
      </c>
      <c r="P154" s="15">
        <v>378.41223089171592</v>
      </c>
      <c r="Q154" s="15">
        <v>383.10061761342689</v>
      </c>
    </row>
    <row r="155" spans="3:17" x14ac:dyDescent="0.3">
      <c r="C155" s="15" t="s">
        <v>339</v>
      </c>
      <c r="D155" s="15" t="s">
        <v>361</v>
      </c>
      <c r="E155" s="15" t="s">
        <v>344</v>
      </c>
      <c r="F155" s="15" t="s">
        <v>362</v>
      </c>
      <c r="G155" s="15" t="s">
        <v>3</v>
      </c>
      <c r="H155" s="15">
        <v>164.00835405740494</v>
      </c>
      <c r="I155" s="15">
        <v>164.26214053490295</v>
      </c>
      <c r="J155" s="15">
        <v>164.60104437921399</v>
      </c>
      <c r="K155" s="15">
        <v>165.42647992376607</v>
      </c>
      <c r="L155" s="15">
        <v>164.47454372878107</v>
      </c>
      <c r="M155" s="15">
        <v>168.30222256749801</v>
      </c>
      <c r="N155" s="15">
        <v>174.04435841143081</v>
      </c>
      <c r="O155" s="15">
        <v>180.48917776686812</v>
      </c>
      <c r="P155" s="15">
        <v>186.47167287117495</v>
      </c>
      <c r="Q155" s="15">
        <v>191.75595555239795</v>
      </c>
    </row>
    <row r="156" spans="3:17" x14ac:dyDescent="0.3">
      <c r="C156" s="15" t="s">
        <v>339</v>
      </c>
      <c r="D156" s="15" t="s">
        <v>361</v>
      </c>
      <c r="E156" s="15" t="s">
        <v>344</v>
      </c>
      <c r="F156" s="15" t="s">
        <v>362</v>
      </c>
      <c r="G156" s="15" t="s">
        <v>4</v>
      </c>
      <c r="H156" s="15">
        <v>479.485522871417</v>
      </c>
      <c r="I156" s="15">
        <v>482.74944286044689</v>
      </c>
      <c r="J156" s="15">
        <v>493.53665282044699</v>
      </c>
      <c r="K156" s="15">
        <v>510.28797605990383</v>
      </c>
      <c r="L156" s="15">
        <v>520.52731830287883</v>
      </c>
      <c r="M156" s="15">
        <v>546.57494458442795</v>
      </c>
      <c r="N156" s="15">
        <v>579.56470961051309</v>
      </c>
      <c r="O156" s="15">
        <v>615.96030152175626</v>
      </c>
      <c r="P156" s="15">
        <v>652.49824449551966</v>
      </c>
      <c r="Q156" s="15">
        <v>687.16723109922088</v>
      </c>
    </row>
    <row r="157" spans="3:17" x14ac:dyDescent="0.3">
      <c r="C157" s="15" t="s">
        <v>339</v>
      </c>
      <c r="D157" s="15" t="s">
        <v>361</v>
      </c>
      <c r="E157" s="15" t="s">
        <v>344</v>
      </c>
      <c r="F157" s="15" t="s">
        <v>362</v>
      </c>
      <c r="G157" s="15" t="s">
        <v>5</v>
      </c>
      <c r="H157" s="15">
        <v>147.46355845060307</v>
      </c>
      <c r="I157" s="15">
        <v>147.50733791794991</v>
      </c>
      <c r="J157" s="15">
        <v>147.09574206591</v>
      </c>
      <c r="K157" s="15">
        <v>147.51288851872113</v>
      </c>
      <c r="L157" s="15">
        <v>146.59562960027603</v>
      </c>
      <c r="M157" s="15">
        <v>149.96104918452207</v>
      </c>
      <c r="N157" s="15">
        <v>154.91604907212115</v>
      </c>
      <c r="O157" s="15">
        <v>160.452590082222</v>
      </c>
      <c r="P157" s="15">
        <v>165.6528796955628</v>
      </c>
      <c r="Q157" s="15">
        <v>170.74432625307205</v>
      </c>
    </row>
    <row r="158" spans="3:17" x14ac:dyDescent="0.3">
      <c r="C158" s="15" t="s">
        <v>339</v>
      </c>
      <c r="D158" s="15" t="s">
        <v>361</v>
      </c>
      <c r="E158" s="15" t="s">
        <v>344</v>
      </c>
      <c r="F158" s="15" t="s">
        <v>362</v>
      </c>
      <c r="G158" s="15" t="s">
        <v>6</v>
      </c>
      <c r="H158" s="15">
        <v>292.24355522793508</v>
      </c>
      <c r="I158" s="15">
        <v>294.98829911937889</v>
      </c>
      <c r="J158" s="15">
        <v>304.49735864304495</v>
      </c>
      <c r="K158" s="15">
        <v>317.84173345913291</v>
      </c>
      <c r="L158" s="15">
        <v>326.89508015040491</v>
      </c>
      <c r="M158" s="15">
        <v>345.64684770168992</v>
      </c>
      <c r="N158" s="15">
        <v>368.84471691298199</v>
      </c>
      <c r="O158" s="15">
        <v>394.43517032019895</v>
      </c>
      <c r="P158" s="15">
        <v>420.2548696520733</v>
      </c>
      <c r="Q158" s="15">
        <v>445.8566374722829</v>
      </c>
    </row>
    <row r="159" spans="3:17" x14ac:dyDescent="0.3">
      <c r="C159" s="15" t="s">
        <v>339</v>
      </c>
      <c r="D159" s="15" t="s">
        <v>361</v>
      </c>
      <c r="E159" s="15" t="s">
        <v>344</v>
      </c>
      <c r="F159" s="15" t="s">
        <v>362</v>
      </c>
      <c r="G159" s="15" t="s">
        <v>7</v>
      </c>
      <c r="H159" s="15">
        <v>180.24119306495407</v>
      </c>
      <c r="I159" s="15">
        <v>181.072663268448</v>
      </c>
      <c r="J159" s="15">
        <v>183.59151413990287</v>
      </c>
      <c r="K159" s="15">
        <v>192.73656918645906</v>
      </c>
      <c r="L159" s="15">
        <v>199.86797908855993</v>
      </c>
      <c r="M159" s="15">
        <v>213.25233646734594</v>
      </c>
      <c r="N159" s="15">
        <v>229.81774108635398</v>
      </c>
      <c r="O159" s="15">
        <v>248.23488833439492</v>
      </c>
      <c r="P159" s="15">
        <v>267.22259905864087</v>
      </c>
      <c r="Q159" s="15">
        <v>286.84203657669576</v>
      </c>
    </row>
    <row r="160" spans="3:17" x14ac:dyDescent="0.3">
      <c r="C160" s="15" t="s">
        <v>339</v>
      </c>
      <c r="D160" s="15" t="s">
        <v>361</v>
      </c>
      <c r="E160" s="15" t="s">
        <v>344</v>
      </c>
      <c r="F160" s="15" t="s">
        <v>362</v>
      </c>
      <c r="G160" s="15" t="s">
        <v>8</v>
      </c>
      <c r="H160" s="15">
        <v>400.84653752877807</v>
      </c>
      <c r="I160" s="15">
        <v>402.94201473697007</v>
      </c>
      <c r="J160" s="15">
        <v>409.50066608627105</v>
      </c>
      <c r="K160" s="15">
        <v>420.1412888591409</v>
      </c>
      <c r="L160" s="15">
        <v>424.91645194220899</v>
      </c>
      <c r="M160" s="15">
        <v>441.65124494884088</v>
      </c>
      <c r="N160" s="15">
        <v>463.3356187369053</v>
      </c>
      <c r="O160" s="15">
        <v>487.30653878121291</v>
      </c>
      <c r="P160" s="15">
        <v>511.48979484406902</v>
      </c>
      <c r="Q160" s="15">
        <v>534.82678420065611</v>
      </c>
    </row>
    <row r="161" spans="3:17" x14ac:dyDescent="0.3">
      <c r="C161" s="15" t="s">
        <v>339</v>
      </c>
      <c r="D161" s="15" t="s">
        <v>361</v>
      </c>
      <c r="E161" s="15" t="s">
        <v>363</v>
      </c>
      <c r="F161" s="15" t="s">
        <v>364</v>
      </c>
      <c r="G161" s="15" t="s">
        <v>0</v>
      </c>
      <c r="H161" s="15">
        <v>4.1049399603579602</v>
      </c>
      <c r="I161" s="15">
        <v>4.1151790976745497</v>
      </c>
      <c r="J161" s="15">
        <v>4.0605212551478003</v>
      </c>
      <c r="K161" s="15">
        <v>3.9889757124570999</v>
      </c>
      <c r="L161" s="15">
        <v>4.11780879399877</v>
      </c>
      <c r="M161" s="15">
        <v>4.2825057473807497</v>
      </c>
      <c r="N161" s="15">
        <v>4.4888361606605898</v>
      </c>
      <c r="O161" s="15">
        <v>4.7200408156898801</v>
      </c>
      <c r="P161" s="15">
        <v>4.9512451409722003</v>
      </c>
      <c r="Q161" s="15">
        <v>5.2134228731655403</v>
      </c>
    </row>
    <row r="162" spans="3:17" x14ac:dyDescent="0.3">
      <c r="C162" s="15" t="s">
        <v>339</v>
      </c>
      <c r="D162" s="15" t="s">
        <v>361</v>
      </c>
      <c r="E162" s="15" t="s">
        <v>363</v>
      </c>
      <c r="F162" s="15" t="s">
        <v>364</v>
      </c>
      <c r="G162" s="15" t="s">
        <v>1</v>
      </c>
      <c r="H162" s="15">
        <v>11.613713888082</v>
      </c>
      <c r="I162" s="15">
        <v>11.6360839648896</v>
      </c>
      <c r="J162" s="15">
        <v>11.4559139263514</v>
      </c>
      <c r="K162" s="15">
        <v>11.1725820732903</v>
      </c>
      <c r="L162" s="15">
        <v>11.437323988688901</v>
      </c>
      <c r="M162" s="15">
        <v>11.8016341711565</v>
      </c>
      <c r="N162" s="15">
        <v>12.288809978467899</v>
      </c>
      <c r="O162" s="15">
        <v>12.853428975248301</v>
      </c>
      <c r="P162" s="15">
        <v>13.4155873613522</v>
      </c>
      <c r="Q162" s="15">
        <v>14.058807373872501</v>
      </c>
    </row>
    <row r="163" spans="3:17" x14ac:dyDescent="0.3">
      <c r="C163" s="15" t="s">
        <v>339</v>
      </c>
      <c r="D163" s="15" t="s">
        <v>361</v>
      </c>
      <c r="E163" s="15" t="s">
        <v>363</v>
      </c>
      <c r="F163" s="15" t="s">
        <v>364</v>
      </c>
      <c r="G163" s="15" t="s">
        <v>2</v>
      </c>
      <c r="H163" s="15">
        <v>13.1995112096815</v>
      </c>
      <c r="I163" s="15">
        <v>13.199606093500201</v>
      </c>
      <c r="J163" s="15">
        <v>12.896825932844701</v>
      </c>
      <c r="K163" s="15">
        <v>12.5881308512015</v>
      </c>
      <c r="L163" s="15">
        <v>12.9536261983475</v>
      </c>
      <c r="M163" s="15">
        <v>13.4493749694228</v>
      </c>
      <c r="N163" s="15">
        <v>14.0921633957546</v>
      </c>
      <c r="O163" s="15">
        <v>14.827604831875799</v>
      </c>
      <c r="P163" s="15">
        <v>15.570790286792301</v>
      </c>
      <c r="Q163" s="15">
        <v>16.357046232899702</v>
      </c>
    </row>
    <row r="164" spans="3:17" x14ac:dyDescent="0.3">
      <c r="C164" s="15" t="s">
        <v>339</v>
      </c>
      <c r="D164" s="15" t="s">
        <v>361</v>
      </c>
      <c r="E164" s="15" t="s">
        <v>363</v>
      </c>
      <c r="F164" s="15" t="s">
        <v>364</v>
      </c>
      <c r="G164" s="15" t="s">
        <v>3</v>
      </c>
      <c r="H164" s="15">
        <v>5.7982061416474897</v>
      </c>
      <c r="I164" s="15">
        <v>5.8310570175030598</v>
      </c>
      <c r="J164" s="15">
        <v>5.8250027077408202</v>
      </c>
      <c r="K164" s="15">
        <v>5.78904763394618</v>
      </c>
      <c r="L164" s="15">
        <v>6.0403126852766196</v>
      </c>
      <c r="M164" s="15">
        <v>6.3499658532820202</v>
      </c>
      <c r="N164" s="15">
        <v>6.74249318931445</v>
      </c>
      <c r="O164" s="15">
        <v>7.1977340628276698</v>
      </c>
      <c r="P164" s="15">
        <v>7.6728791399326104</v>
      </c>
      <c r="Q164" s="15">
        <v>8.18730350774171</v>
      </c>
    </row>
    <row r="165" spans="3:17" x14ac:dyDescent="0.3">
      <c r="C165" s="15" t="s">
        <v>339</v>
      </c>
      <c r="D165" s="15" t="s">
        <v>361</v>
      </c>
      <c r="E165" s="15" t="s">
        <v>363</v>
      </c>
      <c r="F165" s="15" t="s">
        <v>364</v>
      </c>
      <c r="G165" s="15" t="s">
        <v>4</v>
      </c>
      <c r="H165" s="15">
        <v>16.951306654604998</v>
      </c>
      <c r="I165" s="15">
        <v>17.136873520097399</v>
      </c>
      <c r="J165" s="15">
        <v>17.465577754326102</v>
      </c>
      <c r="K165" s="15">
        <v>17.857367223204601</v>
      </c>
      <c r="L165" s="15">
        <v>19.116318504355402</v>
      </c>
      <c r="M165" s="15">
        <v>20.622022581898399</v>
      </c>
      <c r="N165" s="15">
        <v>22.452385949094001</v>
      </c>
      <c r="O165" s="15">
        <v>24.563901827617499</v>
      </c>
      <c r="P165" s="15">
        <v>26.848797417563301</v>
      </c>
      <c r="Q165" s="15">
        <v>29.339619024487</v>
      </c>
    </row>
    <row r="166" spans="3:17" x14ac:dyDescent="0.3">
      <c r="C166" s="15" t="s">
        <v>339</v>
      </c>
      <c r="D166" s="15" t="s">
        <v>361</v>
      </c>
      <c r="E166" s="15" t="s">
        <v>363</v>
      </c>
      <c r="F166" s="15" t="s">
        <v>364</v>
      </c>
      <c r="G166" s="15" t="s">
        <v>5</v>
      </c>
      <c r="H166" s="15">
        <v>5.2132960859921402</v>
      </c>
      <c r="I166" s="15">
        <v>5.23628691979025</v>
      </c>
      <c r="J166" s="15">
        <v>5.20551433353649</v>
      </c>
      <c r="K166" s="15">
        <v>5.1621671370230597</v>
      </c>
      <c r="L166" s="15">
        <v>5.3837111871903103</v>
      </c>
      <c r="M166" s="15">
        <v>5.6579617732746099</v>
      </c>
      <c r="N166" s="15">
        <v>6.0014608650232297</v>
      </c>
      <c r="O166" s="15">
        <v>6.3986943006382102</v>
      </c>
      <c r="P166" s="15">
        <v>6.8162338306684704</v>
      </c>
      <c r="Q166" s="15">
        <v>7.2901809867218796</v>
      </c>
    </row>
    <row r="167" spans="3:17" x14ac:dyDescent="0.3">
      <c r="C167" s="15" t="s">
        <v>339</v>
      </c>
      <c r="D167" s="15" t="s">
        <v>361</v>
      </c>
      <c r="E167" s="15" t="s">
        <v>363</v>
      </c>
      <c r="F167" s="15" t="s">
        <v>364</v>
      </c>
      <c r="G167" s="15" t="s">
        <v>6</v>
      </c>
      <c r="H167" s="15">
        <v>10.3317199085262</v>
      </c>
      <c r="I167" s="15">
        <v>10.4716375061231</v>
      </c>
      <c r="J167" s="15">
        <v>10.775739274833199</v>
      </c>
      <c r="K167" s="15">
        <v>11.1227714928038</v>
      </c>
      <c r="L167" s="15">
        <v>12.005192138687701</v>
      </c>
      <c r="M167" s="15">
        <v>13.041097418188</v>
      </c>
      <c r="N167" s="15">
        <v>14.289075580499</v>
      </c>
      <c r="O167" s="15">
        <v>15.729693581174301</v>
      </c>
      <c r="P167" s="15">
        <v>17.292518338891</v>
      </c>
      <c r="Q167" s="15">
        <v>19.0365071134872</v>
      </c>
    </row>
    <row r="168" spans="3:17" x14ac:dyDescent="0.3">
      <c r="C168" s="15" t="s">
        <v>339</v>
      </c>
      <c r="D168" s="15" t="s">
        <v>361</v>
      </c>
      <c r="E168" s="15" t="s">
        <v>363</v>
      </c>
      <c r="F168" s="15" t="s">
        <v>364</v>
      </c>
      <c r="G168" s="15" t="s">
        <v>7</v>
      </c>
      <c r="H168" s="15">
        <v>6.3720875598891498</v>
      </c>
      <c r="I168" s="15">
        <v>6.4278050949001404</v>
      </c>
      <c r="J168" s="15">
        <v>6.4970490984212903</v>
      </c>
      <c r="K168" s="15">
        <v>6.74475561795159</v>
      </c>
      <c r="L168" s="15">
        <v>7.3401333853828197</v>
      </c>
      <c r="M168" s="15">
        <v>8.0459130844642797</v>
      </c>
      <c r="N168" s="15">
        <v>8.9031587590753194</v>
      </c>
      <c r="O168" s="15">
        <v>9.8993675601678106</v>
      </c>
      <c r="P168" s="15">
        <v>10.9955934564502</v>
      </c>
      <c r="Q168" s="15">
        <v>12.247144061142</v>
      </c>
    </row>
    <row r="169" spans="3:17" x14ac:dyDescent="0.3">
      <c r="C169" s="15" t="s">
        <v>339</v>
      </c>
      <c r="D169" s="15" t="s">
        <v>361</v>
      </c>
      <c r="E169" s="15" t="s">
        <v>363</v>
      </c>
      <c r="F169" s="15" t="s">
        <v>364</v>
      </c>
      <c r="G169" s="15" t="s">
        <v>8</v>
      </c>
      <c r="H169" s="15">
        <v>14.1711735912184</v>
      </c>
      <c r="I169" s="15">
        <v>14.303830785521701</v>
      </c>
      <c r="J169" s="15">
        <v>14.4916607167981</v>
      </c>
      <c r="K169" s="15">
        <v>14.702712258121901</v>
      </c>
      <c r="L169" s="15">
        <v>15.605018118072101</v>
      </c>
      <c r="M169" s="15">
        <v>16.663299400932701</v>
      </c>
      <c r="N169" s="15">
        <v>17.9496611221108</v>
      </c>
      <c r="O169" s="15">
        <v>19.433314044760699</v>
      </c>
      <c r="P169" s="15">
        <v>21.046625027377701</v>
      </c>
      <c r="Q169" s="15">
        <v>22.8352188264825</v>
      </c>
    </row>
    <row r="170" spans="3:17" x14ac:dyDescent="0.3">
      <c r="C170" s="15" t="s">
        <v>339</v>
      </c>
      <c r="D170" s="15" t="s">
        <v>361</v>
      </c>
      <c r="E170" s="15" t="s">
        <v>365</v>
      </c>
      <c r="F170" s="15" t="s">
        <v>366</v>
      </c>
      <c r="G170" s="15" t="s">
        <v>0</v>
      </c>
      <c r="H170" s="15">
        <v>18.279643435353208</v>
      </c>
      <c r="I170" s="15">
        <v>18.20560893197031</v>
      </c>
      <c r="J170" s="15">
        <v>17.910236487441701</v>
      </c>
      <c r="K170" s="15">
        <v>17.489459609432789</v>
      </c>
      <c r="L170" s="15">
        <v>16.955949691662589</v>
      </c>
      <c r="M170" s="15">
        <v>16.46448347640381</v>
      </c>
      <c r="N170" s="15">
        <v>16.120610882882502</v>
      </c>
      <c r="O170" s="15">
        <v>15.845100702417</v>
      </c>
      <c r="P170" s="15">
        <v>15.583548805786791</v>
      </c>
      <c r="Q170" s="15">
        <v>15.349902832817101</v>
      </c>
    </row>
    <row r="171" spans="3:17" x14ac:dyDescent="0.3">
      <c r="C171" s="15" t="s">
        <v>339</v>
      </c>
      <c r="D171" s="15" t="s">
        <v>361</v>
      </c>
      <c r="E171" s="15" t="s">
        <v>365</v>
      </c>
      <c r="F171" s="15" t="s">
        <v>366</v>
      </c>
      <c r="G171" s="15" t="s">
        <v>1</v>
      </c>
      <c r="H171" s="15">
        <v>51.716846259509218</v>
      </c>
      <c r="I171" s="15">
        <v>51.478195513789544</v>
      </c>
      <c r="J171" s="15">
        <v>50.529997187088483</v>
      </c>
      <c r="K171" s="15">
        <v>48.985613598414162</v>
      </c>
      <c r="L171" s="15">
        <v>47.095603477773324</v>
      </c>
      <c r="M171" s="15">
        <v>45.372457684244857</v>
      </c>
      <c r="N171" s="15">
        <v>44.132402428208039</v>
      </c>
      <c r="O171" s="15">
        <v>43.148753249585241</v>
      </c>
      <c r="P171" s="15">
        <v>42.224219252225922</v>
      </c>
      <c r="Q171" s="15">
        <v>41.393405519626242</v>
      </c>
    </row>
    <row r="172" spans="3:17" x14ac:dyDescent="0.3">
      <c r="C172" s="15" t="s">
        <v>339</v>
      </c>
      <c r="D172" s="15" t="s">
        <v>361</v>
      </c>
      <c r="E172" s="15" t="s">
        <v>365</v>
      </c>
      <c r="F172" s="15" t="s">
        <v>366</v>
      </c>
      <c r="G172" s="15" t="s">
        <v>2</v>
      </c>
      <c r="H172" s="15">
        <v>58.778535316966199</v>
      </c>
      <c r="I172" s="15">
        <v>58.395238916846026</v>
      </c>
      <c r="J172" s="15">
        <v>56.885603566730339</v>
      </c>
      <c r="K172" s="15">
        <v>55.19201468006186</v>
      </c>
      <c r="L172" s="15">
        <v>53.339298916424497</v>
      </c>
      <c r="M172" s="15">
        <v>51.707347290183094</v>
      </c>
      <c r="N172" s="15">
        <v>50.608726732304618</v>
      </c>
      <c r="O172" s="15">
        <v>49.776029680874124</v>
      </c>
      <c r="P172" s="15">
        <v>49.007504874067557</v>
      </c>
      <c r="Q172" s="15">
        <v>48.160119832070265</v>
      </c>
    </row>
    <row r="173" spans="3:17" x14ac:dyDescent="0.3">
      <c r="C173" s="15" t="s">
        <v>339</v>
      </c>
      <c r="D173" s="15" t="s">
        <v>361</v>
      </c>
      <c r="E173" s="15" t="s">
        <v>365</v>
      </c>
      <c r="F173" s="15" t="s">
        <v>366</v>
      </c>
      <c r="G173" s="15" t="s">
        <v>3</v>
      </c>
      <c r="H173" s="15">
        <v>25.8199003779701</v>
      </c>
      <c r="I173" s="15">
        <v>25.796676451012914</v>
      </c>
      <c r="J173" s="15">
        <v>25.693050098768403</v>
      </c>
      <c r="K173" s="15">
        <v>25.38178271048389</v>
      </c>
      <c r="L173" s="15">
        <v>24.872266571173991</v>
      </c>
      <c r="M173" s="15">
        <v>24.413022196417192</v>
      </c>
      <c r="N173" s="15">
        <v>24.214095858073804</v>
      </c>
      <c r="O173" s="15">
        <v>24.162676872541411</v>
      </c>
      <c r="P173" s="15">
        <v>24.149619571161999</v>
      </c>
      <c r="Q173" s="15">
        <v>24.10591205894449</v>
      </c>
    </row>
    <row r="174" spans="3:17" x14ac:dyDescent="0.3">
      <c r="C174" s="15" t="s">
        <v>339</v>
      </c>
      <c r="D174" s="15" t="s">
        <v>361</v>
      </c>
      <c r="E174" s="15" t="s">
        <v>365</v>
      </c>
      <c r="F174" s="15" t="s">
        <v>366</v>
      </c>
      <c r="G174" s="15" t="s">
        <v>4</v>
      </c>
      <c r="H174" s="15">
        <v>75.485596476906494</v>
      </c>
      <c r="I174" s="15">
        <v>75.813764168814004</v>
      </c>
      <c r="J174" s="15">
        <v>77.037554617700408</v>
      </c>
      <c r="K174" s="15">
        <v>78.294711548561295</v>
      </c>
      <c r="L174" s="15">
        <v>78.715489490924895</v>
      </c>
      <c r="M174" s="15">
        <v>79.283244455038002</v>
      </c>
      <c r="N174" s="15">
        <v>80.632521286849112</v>
      </c>
      <c r="O174" s="15">
        <v>82.460621274521003</v>
      </c>
      <c r="P174" s="15">
        <v>84.503904173713408</v>
      </c>
      <c r="Q174" s="15">
        <v>86.384763356879603</v>
      </c>
    </row>
    <row r="175" spans="3:17" x14ac:dyDescent="0.3">
      <c r="C175" s="15" t="s">
        <v>339</v>
      </c>
      <c r="D175" s="15" t="s">
        <v>361</v>
      </c>
      <c r="E175" s="15" t="s">
        <v>365</v>
      </c>
      <c r="F175" s="15" t="s">
        <v>366</v>
      </c>
      <c r="G175" s="15" t="s">
        <v>5</v>
      </c>
      <c r="H175" s="15">
        <v>23.215246628491109</v>
      </c>
      <c r="I175" s="15">
        <v>23.165405357731011</v>
      </c>
      <c r="J175" s="15">
        <v>22.960597148508811</v>
      </c>
      <c r="K175" s="15">
        <v>22.633257294137188</v>
      </c>
      <c r="L175" s="15">
        <v>22.168570861638511</v>
      </c>
      <c r="M175" s="15">
        <v>21.752549470173989</v>
      </c>
      <c r="N175" s="15">
        <v>21.55285064350609</v>
      </c>
      <c r="O175" s="15">
        <v>21.480313310124501</v>
      </c>
      <c r="P175" s="15">
        <v>21.45341415089381</v>
      </c>
      <c r="Q175" s="15">
        <v>21.464510457385</v>
      </c>
    </row>
    <row r="176" spans="3:17" x14ac:dyDescent="0.3">
      <c r="C176" s="15" t="s">
        <v>339</v>
      </c>
      <c r="D176" s="15" t="s">
        <v>361</v>
      </c>
      <c r="E176" s="15" t="s">
        <v>365</v>
      </c>
      <c r="F176" s="15" t="s">
        <v>366</v>
      </c>
      <c r="G176" s="15" t="s">
        <v>6</v>
      </c>
      <c r="H176" s="15">
        <v>46.008019075955119</v>
      </c>
      <c r="I176" s="15">
        <v>46.326668363367119</v>
      </c>
      <c r="J176" s="15">
        <v>47.529867869698379</v>
      </c>
      <c r="K176" s="15">
        <v>48.767221660649525</v>
      </c>
      <c r="L176" s="15">
        <v>49.433920836488674</v>
      </c>
      <c r="M176" s="15">
        <v>50.137687050917066</v>
      </c>
      <c r="N176" s="15">
        <v>51.315891038318597</v>
      </c>
      <c r="O176" s="15">
        <v>52.804327026871277</v>
      </c>
      <c r="P176" s="15">
        <v>54.42647169276654</v>
      </c>
      <c r="Q176" s="15">
        <v>56.049267741604481</v>
      </c>
    </row>
    <row r="177" spans="3:17" x14ac:dyDescent="0.3">
      <c r="C177" s="15" t="s">
        <v>339</v>
      </c>
      <c r="D177" s="15" t="s">
        <v>361</v>
      </c>
      <c r="E177" s="15" t="s">
        <v>365</v>
      </c>
      <c r="F177" s="15" t="s">
        <v>366</v>
      </c>
      <c r="G177" s="15" t="s">
        <v>7</v>
      </c>
      <c r="H177" s="15">
        <v>28.375442676015698</v>
      </c>
      <c r="I177" s="15">
        <v>28.436698153624999</v>
      </c>
      <c r="J177" s="15">
        <v>28.657327104426088</v>
      </c>
      <c r="K177" s="15">
        <v>29.5720353942685</v>
      </c>
      <c r="L177" s="15">
        <v>30.224553552371958</v>
      </c>
      <c r="M177" s="15">
        <v>30.933245825242739</v>
      </c>
      <c r="N177" s="15">
        <v>31.97362364022198</v>
      </c>
      <c r="O177" s="15">
        <v>33.232016841823203</v>
      </c>
      <c r="P177" s="15">
        <v>34.607530509696403</v>
      </c>
      <c r="Q177" s="15">
        <v>36.059317629052458</v>
      </c>
    </row>
    <row r="178" spans="3:17" x14ac:dyDescent="0.3">
      <c r="C178" s="15" t="s">
        <v>339</v>
      </c>
      <c r="D178" s="15" t="s">
        <v>361</v>
      </c>
      <c r="E178" s="15" t="s">
        <v>365</v>
      </c>
      <c r="F178" s="15" t="s">
        <v>366</v>
      </c>
      <c r="G178" s="15" t="s">
        <v>8</v>
      </c>
      <c r="H178" s="15">
        <v>63.105429752832805</v>
      </c>
      <c r="I178" s="15">
        <v>63.280344142844299</v>
      </c>
      <c r="J178" s="15">
        <v>63.920135919637303</v>
      </c>
      <c r="K178" s="15">
        <v>64.463288503991009</v>
      </c>
      <c r="L178" s="15">
        <v>64.256966601541592</v>
      </c>
      <c r="M178" s="15">
        <v>64.063572551379494</v>
      </c>
      <c r="N178" s="15">
        <v>64.462032489635206</v>
      </c>
      <c r="O178" s="15">
        <v>65.237321041242197</v>
      </c>
      <c r="P178" s="15">
        <v>66.242146969687795</v>
      </c>
      <c r="Q178" s="15">
        <v>67.233830571620302</v>
      </c>
    </row>
    <row r="179" spans="3:17" x14ac:dyDescent="0.3">
      <c r="C179" s="15" t="s">
        <v>339</v>
      </c>
      <c r="D179" s="15" t="s">
        <v>367</v>
      </c>
      <c r="E179" s="15" t="s">
        <v>344</v>
      </c>
      <c r="F179" s="15" t="s">
        <v>368</v>
      </c>
      <c r="G179" s="15" t="s">
        <v>0</v>
      </c>
      <c r="H179" s="15">
        <v>16.285331829602008</v>
      </c>
      <c r="I179" s="15">
        <v>16.408146589400399</v>
      </c>
      <c r="J179" s="15">
        <v>12.826274780749397</v>
      </c>
      <c r="K179" s="15">
        <v>6.4131373903746995</v>
      </c>
    </row>
    <row r="180" spans="3:17" x14ac:dyDescent="0.3">
      <c r="C180" s="15" t="s">
        <v>339</v>
      </c>
      <c r="D180" s="15" t="s">
        <v>367</v>
      </c>
      <c r="E180" s="15" t="s">
        <v>344</v>
      </c>
      <c r="F180" s="15" t="s">
        <v>368</v>
      </c>
      <c r="G180" s="15" t="s">
        <v>1</v>
      </c>
      <c r="H180" s="15">
        <v>46.074531239911416</v>
      </c>
      <c r="I180" s="15">
        <v>46.395689444080524</v>
      </c>
      <c r="J180" s="15">
        <v>36.211270756179481</v>
      </c>
      <c r="K180" s="15">
        <v>18.105635378089744</v>
      </c>
    </row>
    <row r="181" spans="3:17" x14ac:dyDescent="0.3">
      <c r="C181" s="15" t="s">
        <v>339</v>
      </c>
      <c r="D181" s="15" t="s">
        <v>367</v>
      </c>
      <c r="E181" s="15" t="s">
        <v>344</v>
      </c>
      <c r="F181" s="15" t="s">
        <v>368</v>
      </c>
      <c r="G181" s="15" t="s">
        <v>2</v>
      </c>
      <c r="H181" s="15">
        <v>52.365789052727308</v>
      </c>
      <c r="I181" s="15">
        <v>52.629804575669901</v>
      </c>
      <c r="J181" s="15">
        <v>44.474545936973463</v>
      </c>
      <c r="K181" s="15">
        <v>22.237272968486742</v>
      </c>
    </row>
    <row r="182" spans="3:17" x14ac:dyDescent="0.3">
      <c r="C182" s="15" t="s">
        <v>339</v>
      </c>
      <c r="D182" s="15" t="s">
        <v>367</v>
      </c>
      <c r="E182" s="15" t="s">
        <v>344</v>
      </c>
      <c r="F182" s="15" t="s">
        <v>368</v>
      </c>
      <c r="G182" s="15" t="s">
        <v>3</v>
      </c>
      <c r="H182" s="15">
        <v>23.002945705674012</v>
      </c>
      <c r="I182" s="15">
        <v>23.249738600297597</v>
      </c>
      <c r="J182" s="15">
        <v>20.623831192552192</v>
      </c>
      <c r="K182" s="15">
        <v>10.311915596276107</v>
      </c>
    </row>
    <row r="183" spans="3:17" x14ac:dyDescent="0.3">
      <c r="C183" s="15" t="s">
        <v>339</v>
      </c>
      <c r="D183" s="15" t="s">
        <v>367</v>
      </c>
      <c r="E183" s="15" t="s">
        <v>344</v>
      </c>
      <c r="F183" s="15" t="s">
        <v>368</v>
      </c>
      <c r="G183" s="15" t="s">
        <v>4</v>
      </c>
      <c r="H183" s="15">
        <v>67.250107548835217</v>
      </c>
      <c r="I183" s="15">
        <v>68.32857723268161</v>
      </c>
      <c r="J183" s="15">
        <v>51.870807125278134</v>
      </c>
      <c r="K183" s="15">
        <v>25.935403562639067</v>
      </c>
    </row>
    <row r="184" spans="3:17" x14ac:dyDescent="0.3">
      <c r="C184" s="15" t="s">
        <v>339</v>
      </c>
      <c r="D184" s="15" t="s">
        <v>367</v>
      </c>
      <c r="E184" s="15" t="s">
        <v>344</v>
      </c>
      <c r="F184" s="15" t="s">
        <v>368</v>
      </c>
      <c r="G184" s="15" t="s">
        <v>5</v>
      </c>
      <c r="H184" s="15">
        <v>20.682460037477391</v>
      </c>
      <c r="I184" s="15">
        <v>20.878256164507988</v>
      </c>
      <c r="J184" s="15">
        <v>16.510643843903331</v>
      </c>
      <c r="K184" s="15">
        <v>8.2553219219516674</v>
      </c>
    </row>
    <row r="185" spans="3:17" x14ac:dyDescent="0.3">
      <c r="C185" s="15" t="s">
        <v>339</v>
      </c>
      <c r="D185" s="15" t="s">
        <v>367</v>
      </c>
      <c r="E185" s="15" t="s">
        <v>344</v>
      </c>
      <c r="F185" s="15" t="s">
        <v>368</v>
      </c>
      <c r="G185" s="15" t="s">
        <v>6</v>
      </c>
      <c r="H185" s="15">
        <v>40.988537885017799</v>
      </c>
      <c r="I185" s="15">
        <v>41.752778956479482</v>
      </c>
      <c r="J185" s="15">
        <v>31.686346131984333</v>
      </c>
      <c r="K185" s="15">
        <v>15.843173065992165</v>
      </c>
    </row>
    <row r="186" spans="3:17" x14ac:dyDescent="0.3">
      <c r="C186" s="15" t="s">
        <v>339</v>
      </c>
      <c r="D186" s="15" t="s">
        <v>367</v>
      </c>
      <c r="E186" s="15" t="s">
        <v>344</v>
      </c>
      <c r="F186" s="15" t="s">
        <v>368</v>
      </c>
      <c r="G186" s="15" t="s">
        <v>7</v>
      </c>
      <c r="H186" s="15">
        <v>29.840453669989614</v>
      </c>
      <c r="I186" s="15">
        <v>25.629107686908497</v>
      </c>
      <c r="J186" s="15">
        <v>19.893635779993076</v>
      </c>
      <c r="K186" s="15">
        <v>9.9468178899965345</v>
      </c>
    </row>
    <row r="187" spans="3:17" x14ac:dyDescent="0.3">
      <c r="C187" s="15" t="s">
        <v>339</v>
      </c>
      <c r="D187" s="15" t="s">
        <v>367</v>
      </c>
      <c r="E187" s="15" t="s">
        <v>344</v>
      </c>
      <c r="F187" s="15" t="s">
        <v>368</v>
      </c>
      <c r="G187" s="15" t="s">
        <v>8</v>
      </c>
      <c r="H187" s="15">
        <v>56.220618712230802</v>
      </c>
      <c r="I187" s="15">
        <v>57.03259730577561</v>
      </c>
      <c r="J187" s="15">
        <v>43.487962135609159</v>
      </c>
      <c r="K187" s="15">
        <v>21.74398106780458</v>
      </c>
    </row>
    <row r="188" spans="3:17" x14ac:dyDescent="0.3">
      <c r="C188" s="15" t="s">
        <v>339</v>
      </c>
      <c r="D188" s="15" t="s">
        <v>367</v>
      </c>
      <c r="E188" s="15" t="s">
        <v>344</v>
      </c>
      <c r="F188" s="15" t="s">
        <v>369</v>
      </c>
      <c r="G188" s="15" t="s">
        <v>0</v>
      </c>
      <c r="J188" s="15">
        <v>2.3722822779377002</v>
      </c>
      <c r="K188" s="15">
        <v>8.9242525157735919</v>
      </c>
      <c r="L188" s="15">
        <v>14.362622783473967</v>
      </c>
      <c r="M188" s="15">
        <v>13.792420178468308</v>
      </c>
      <c r="N188" s="15">
        <v>13.966756607943656</v>
      </c>
      <c r="O188" s="15">
        <v>14.16247767585859</v>
      </c>
      <c r="P188" s="15">
        <v>14.37293308261367</v>
      </c>
      <c r="Q188" s="15">
        <v>14.678893192895726</v>
      </c>
    </row>
    <row r="189" spans="3:17" x14ac:dyDescent="0.3">
      <c r="C189" s="15" t="s">
        <v>339</v>
      </c>
      <c r="D189" s="15" t="s">
        <v>367</v>
      </c>
      <c r="E189" s="15" t="s">
        <v>344</v>
      </c>
      <c r="F189" s="15" t="s">
        <v>369</v>
      </c>
      <c r="G189" s="15" t="s">
        <v>1</v>
      </c>
      <c r="J189" s="15">
        <v>6.6682884256191262</v>
      </c>
      <c r="K189" s="15">
        <v>24.852321718857169</v>
      </c>
      <c r="L189" s="15">
        <v>39.899012494271219</v>
      </c>
      <c r="M189" s="15">
        <v>38.008845027403595</v>
      </c>
      <c r="N189" s="15">
        <v>38.235928384891764</v>
      </c>
      <c r="O189" s="15">
        <v>38.566700591884825</v>
      </c>
      <c r="P189" s="15">
        <v>38.944009823519316</v>
      </c>
      <c r="Q189" s="15">
        <v>39.583923437859461</v>
      </c>
    </row>
    <row r="190" spans="3:17" x14ac:dyDescent="0.3">
      <c r="C190" s="15" t="s">
        <v>339</v>
      </c>
      <c r="D190" s="15" t="s">
        <v>367</v>
      </c>
      <c r="E190" s="15" t="s">
        <v>344</v>
      </c>
      <c r="F190" s="15" t="s">
        <v>369</v>
      </c>
      <c r="G190" s="15" t="s">
        <v>2</v>
      </c>
      <c r="J190" s="15">
        <v>3.7983561116975304</v>
      </c>
      <c r="K190" s="15">
        <v>26.163390502980171</v>
      </c>
      <c r="L190" s="15">
        <v>44.991877230425708</v>
      </c>
      <c r="M190" s="15">
        <v>43.315629133599849</v>
      </c>
      <c r="N190" s="15">
        <v>43.846959252554115</v>
      </c>
      <c r="O190" s="15">
        <v>44.490213245582076</v>
      </c>
      <c r="P190" s="15">
        <v>45.200332535248542</v>
      </c>
      <c r="Q190" s="15">
        <v>46.054835843040685</v>
      </c>
    </row>
    <row r="191" spans="3:17" x14ac:dyDescent="0.3">
      <c r="C191" s="15" t="s">
        <v>339</v>
      </c>
      <c r="D191" s="15" t="s">
        <v>367</v>
      </c>
      <c r="E191" s="15" t="s">
        <v>344</v>
      </c>
      <c r="F191" s="15" t="s">
        <v>369</v>
      </c>
      <c r="G191" s="15" t="s">
        <v>3</v>
      </c>
      <c r="J191" s="15">
        <v>1.1791912416657007</v>
      </c>
      <c r="K191" s="15">
        <v>11.946650799558409</v>
      </c>
      <c r="L191" s="15">
        <v>20.954707013423949</v>
      </c>
      <c r="M191" s="15">
        <v>20.450970140777503</v>
      </c>
      <c r="N191" s="15">
        <v>20.978881370447215</v>
      </c>
      <c r="O191" s="15">
        <v>21.596793748628794</v>
      </c>
      <c r="P191" s="15">
        <v>22.273544389195671</v>
      </c>
      <c r="Q191" s="15">
        <v>23.052139957138934</v>
      </c>
    </row>
    <row r="192" spans="3:17" x14ac:dyDescent="0.3">
      <c r="C192" s="15" t="s">
        <v>339</v>
      </c>
      <c r="D192" s="15" t="s">
        <v>367</v>
      </c>
      <c r="E192" s="15" t="s">
        <v>344</v>
      </c>
      <c r="F192" s="15" t="s">
        <v>369</v>
      </c>
      <c r="G192" s="15" t="s">
        <v>4</v>
      </c>
      <c r="J192" s="15">
        <v>13.502962246211169</v>
      </c>
      <c r="K192" s="15">
        <v>42.725180893728947</v>
      </c>
      <c r="L192" s="15">
        <v>66.804854407812684</v>
      </c>
      <c r="M192" s="15">
        <v>66.416163143123754</v>
      </c>
      <c r="N192" s="15">
        <v>69.859312880882953</v>
      </c>
      <c r="O192" s="15">
        <v>73.703962497359839</v>
      </c>
      <c r="P192" s="15">
        <v>77.939176438255643</v>
      </c>
      <c r="Q192" s="15">
        <v>82.608517371083011</v>
      </c>
    </row>
    <row r="193" spans="3:17" x14ac:dyDescent="0.3">
      <c r="C193" s="15" t="s">
        <v>339</v>
      </c>
      <c r="D193" s="15" t="s">
        <v>367</v>
      </c>
      <c r="E193" s="15" t="s">
        <v>344</v>
      </c>
      <c r="F193" s="15" t="s">
        <v>369</v>
      </c>
      <c r="G193" s="15" t="s">
        <v>5</v>
      </c>
      <c r="J193" s="15">
        <v>2.9736296389079646</v>
      </c>
      <c r="K193" s="15">
        <v>11.592923805385336</v>
      </c>
      <c r="L193" s="15">
        <v>18.770577864098076</v>
      </c>
      <c r="M193" s="15">
        <v>18.222272364361451</v>
      </c>
      <c r="N193" s="15">
        <v>18.673201737339166</v>
      </c>
      <c r="O193" s="15">
        <v>19.199275753336288</v>
      </c>
      <c r="P193" s="15">
        <v>19.786795025141604</v>
      </c>
      <c r="Q193" s="15">
        <v>20.526205271354375</v>
      </c>
    </row>
    <row r="194" spans="3:17" x14ac:dyDescent="0.3">
      <c r="C194" s="15" t="s">
        <v>339</v>
      </c>
      <c r="D194" s="15" t="s">
        <v>367</v>
      </c>
      <c r="E194" s="15" t="s">
        <v>344</v>
      </c>
      <c r="F194" s="15" t="s">
        <v>369</v>
      </c>
      <c r="G194" s="15" t="s">
        <v>6</v>
      </c>
      <c r="J194" s="15">
        <v>8.6473149738303796</v>
      </c>
      <c r="K194" s="15">
        <v>26.923265117468631</v>
      </c>
      <c r="L194" s="15">
        <v>41.96302997669121</v>
      </c>
      <c r="M194" s="15">
        <v>42.0007130848564</v>
      </c>
      <c r="N194" s="15">
        <v>44.459640236896256</v>
      </c>
      <c r="O194" s="15">
        <v>47.196929622083495</v>
      </c>
      <c r="P194" s="15">
        <v>50.19832422717564</v>
      </c>
      <c r="Q194" s="15">
        <v>53.59911549147148</v>
      </c>
    </row>
    <row r="195" spans="3:17" x14ac:dyDescent="0.3">
      <c r="C195" s="15" t="s">
        <v>339</v>
      </c>
      <c r="D195" s="15" t="s">
        <v>367</v>
      </c>
      <c r="E195" s="15" t="s">
        <v>344</v>
      </c>
      <c r="F195" s="15" t="s">
        <v>369</v>
      </c>
      <c r="G195" s="15" t="s">
        <v>7</v>
      </c>
      <c r="J195" s="15">
        <v>4.4248605978453357</v>
      </c>
      <c r="K195" s="15">
        <v>15.986392585854464</v>
      </c>
      <c r="L195" s="15">
        <v>25.609657179778846</v>
      </c>
      <c r="M195" s="15">
        <v>25.913009935419304</v>
      </c>
      <c r="N195" s="15">
        <v>27.701668534854004</v>
      </c>
      <c r="O195" s="15">
        <v>29.703042314794907</v>
      </c>
      <c r="P195" s="15">
        <v>31.919027326154925</v>
      </c>
      <c r="Q195" s="15">
        <v>34.483011250985271</v>
      </c>
    </row>
    <row r="196" spans="3:17" x14ac:dyDescent="0.3">
      <c r="C196" s="15" t="s">
        <v>339</v>
      </c>
      <c r="D196" s="15" t="s">
        <v>367</v>
      </c>
      <c r="E196" s="15" t="s">
        <v>344</v>
      </c>
      <c r="F196" s="15" t="s">
        <v>369</v>
      </c>
      <c r="G196" s="15" t="s">
        <v>8</v>
      </c>
      <c r="J196" s="15">
        <v>10.754416721578767</v>
      </c>
      <c r="K196" s="15">
        <v>34.787130384317727</v>
      </c>
      <c r="L196" s="15">
        <v>54.525134871857539</v>
      </c>
      <c r="M196" s="15">
        <v>53.666530871055912</v>
      </c>
      <c r="N196" s="15">
        <v>55.849342483174254</v>
      </c>
      <c r="O196" s="15">
        <v>58.309639063289701</v>
      </c>
      <c r="P196" s="15">
        <v>61.096092906028915</v>
      </c>
      <c r="Q196" s="15">
        <v>64.294753436490552</v>
      </c>
    </row>
    <row r="197" spans="3:17" x14ac:dyDescent="0.3">
      <c r="C197" s="15" t="s">
        <v>339</v>
      </c>
      <c r="D197" s="15" t="s">
        <v>370</v>
      </c>
      <c r="E197" s="15" t="s">
        <v>344</v>
      </c>
      <c r="F197" s="15" t="s">
        <v>371</v>
      </c>
      <c r="G197" s="15" t="s">
        <v>0</v>
      </c>
      <c r="H197" s="15">
        <v>6.9693402269885487</v>
      </c>
      <c r="I197" s="15">
        <v>3.5211807005521325</v>
      </c>
      <c r="J197" s="15">
        <v>3.1582930573506758</v>
      </c>
      <c r="K197" s="15">
        <v>2.3231134089961847</v>
      </c>
    </row>
    <row r="198" spans="3:17" x14ac:dyDescent="0.3">
      <c r="C198" s="15" t="s">
        <v>339</v>
      </c>
      <c r="D198" s="15" t="s">
        <v>370</v>
      </c>
      <c r="E198" s="15" t="s">
        <v>344</v>
      </c>
      <c r="F198" s="15" t="s">
        <v>371</v>
      </c>
      <c r="G198" s="15" t="s">
        <v>1</v>
      </c>
      <c r="H198" s="15">
        <v>36.307007282828494</v>
      </c>
      <c r="I198" s="15">
        <v>33.609821709567356</v>
      </c>
      <c r="J198" s="15">
        <v>24.204671521885587</v>
      </c>
      <c r="K198" s="15">
        <v>12.102335760942822</v>
      </c>
    </row>
    <row r="199" spans="3:17" x14ac:dyDescent="0.3">
      <c r="C199" s="15" t="s">
        <v>339</v>
      </c>
      <c r="D199" s="15" t="s">
        <v>370</v>
      </c>
      <c r="E199" s="15" t="s">
        <v>344</v>
      </c>
      <c r="F199" s="15" t="s">
        <v>371</v>
      </c>
      <c r="G199" s="15" t="s">
        <v>2</v>
      </c>
      <c r="H199" s="15">
        <v>58.135026450587901</v>
      </c>
      <c r="I199" s="15">
        <v>46.603423044760966</v>
      </c>
      <c r="J199" s="15">
        <v>38.756684300392003</v>
      </c>
      <c r="K199" s="15">
        <v>19.378342150195994</v>
      </c>
    </row>
    <row r="200" spans="3:17" x14ac:dyDescent="0.3">
      <c r="C200" s="15" t="s">
        <v>339</v>
      </c>
      <c r="D200" s="15" t="s">
        <v>370</v>
      </c>
      <c r="E200" s="15" t="s">
        <v>344</v>
      </c>
      <c r="F200" s="15" t="s">
        <v>371</v>
      </c>
      <c r="G200" s="15" t="s">
        <v>3</v>
      </c>
      <c r="H200" s="15">
        <v>34.259607519485215</v>
      </c>
      <c r="I200" s="15">
        <v>24.761668713601019</v>
      </c>
      <c r="J200" s="15">
        <v>22.839738346323514</v>
      </c>
      <c r="K200" s="15">
        <v>11.419869173161757</v>
      </c>
    </row>
    <row r="201" spans="3:17" x14ac:dyDescent="0.3">
      <c r="C201" s="15" t="s">
        <v>339</v>
      </c>
      <c r="D201" s="15" t="s">
        <v>370</v>
      </c>
      <c r="E201" s="15" t="s">
        <v>344</v>
      </c>
      <c r="F201" s="15" t="s">
        <v>371</v>
      </c>
      <c r="G201" s="15" t="s">
        <v>4</v>
      </c>
      <c r="H201" s="15">
        <v>173.43397026674708</v>
      </c>
      <c r="I201" s="15">
        <v>111.79168987132608</v>
      </c>
      <c r="J201" s="15">
        <v>115.62264684449809</v>
      </c>
      <c r="K201" s="15">
        <v>57.811323422248954</v>
      </c>
    </row>
    <row r="202" spans="3:17" x14ac:dyDescent="0.3">
      <c r="C202" s="15" t="s">
        <v>339</v>
      </c>
      <c r="D202" s="15" t="s">
        <v>370</v>
      </c>
      <c r="E202" s="15" t="s">
        <v>344</v>
      </c>
      <c r="F202" s="15" t="s">
        <v>371</v>
      </c>
      <c r="G202" s="15" t="s">
        <v>5</v>
      </c>
      <c r="H202" s="15">
        <v>43.989679572529511</v>
      </c>
      <c r="I202" s="15">
        <v>30.195740071272144</v>
      </c>
      <c r="J202" s="15">
        <v>29.326453048353059</v>
      </c>
      <c r="K202" s="15">
        <v>14.663226524176499</v>
      </c>
    </row>
    <row r="203" spans="3:17" x14ac:dyDescent="0.3">
      <c r="C203" s="15" t="s">
        <v>339</v>
      </c>
      <c r="D203" s="15" t="s">
        <v>370</v>
      </c>
      <c r="E203" s="15" t="s">
        <v>344</v>
      </c>
      <c r="F203" s="15" t="s">
        <v>371</v>
      </c>
      <c r="G203" s="15" t="s">
        <v>6</v>
      </c>
      <c r="H203" s="15">
        <v>167.68123523300207</v>
      </c>
      <c r="I203" s="15">
        <v>121.19888558201691</v>
      </c>
      <c r="J203" s="15">
        <v>111.78749015533474</v>
      </c>
      <c r="K203" s="15">
        <v>55.893745077667354</v>
      </c>
    </row>
    <row r="204" spans="3:17" x14ac:dyDescent="0.3">
      <c r="C204" s="15" t="s">
        <v>339</v>
      </c>
      <c r="D204" s="15" t="s">
        <v>370</v>
      </c>
      <c r="E204" s="15" t="s">
        <v>344</v>
      </c>
      <c r="F204" s="15" t="s">
        <v>371</v>
      </c>
      <c r="G204" s="15" t="s">
        <v>7</v>
      </c>
      <c r="H204" s="15">
        <v>53.394668665677287</v>
      </c>
      <c r="I204" s="15">
        <v>35.77525949192286</v>
      </c>
      <c r="J204" s="15">
        <v>35.59644577711822</v>
      </c>
      <c r="K204" s="15">
        <v>17.798222888559099</v>
      </c>
    </row>
    <row r="205" spans="3:17" x14ac:dyDescent="0.3">
      <c r="C205" s="15" t="s">
        <v>339</v>
      </c>
      <c r="D205" s="15" t="s">
        <v>370</v>
      </c>
      <c r="E205" s="15" t="s">
        <v>344</v>
      </c>
      <c r="F205" s="15" t="s">
        <v>371</v>
      </c>
      <c r="G205" s="15" t="s">
        <v>8</v>
      </c>
      <c r="H205" s="15">
        <v>58.222260287246755</v>
      </c>
      <c r="I205" s="15">
        <v>37.043887509872988</v>
      </c>
      <c r="J205" s="15">
        <v>38.814840191497836</v>
      </c>
      <c r="K205" s="15">
        <v>19.407420095748922</v>
      </c>
    </row>
    <row r="206" spans="3:17" x14ac:dyDescent="0.3">
      <c r="C206" s="15" t="s">
        <v>339</v>
      </c>
      <c r="D206" s="15" t="s">
        <v>370</v>
      </c>
      <c r="E206" s="15" t="s">
        <v>344</v>
      </c>
      <c r="F206" s="15" t="s">
        <v>372</v>
      </c>
      <c r="G206" s="15" t="s">
        <v>0</v>
      </c>
      <c r="H206" s="15">
        <v>3.2642837731820237E-2</v>
      </c>
      <c r="I206" s="15">
        <v>3.0466648549698917E-2</v>
      </c>
      <c r="J206" s="15">
        <v>2.176189182121346E-2</v>
      </c>
      <c r="K206" s="15">
        <v>1.0880945910606746E-2</v>
      </c>
    </row>
    <row r="207" spans="3:17" x14ac:dyDescent="0.3">
      <c r="C207" s="15" t="s">
        <v>339</v>
      </c>
      <c r="D207" s="15" t="s">
        <v>370</v>
      </c>
      <c r="E207" s="15" t="s">
        <v>344</v>
      </c>
      <c r="F207" s="15" t="s">
        <v>372</v>
      </c>
      <c r="G207" s="15" t="s">
        <v>1</v>
      </c>
      <c r="H207" s="15">
        <v>1.5762292498140094</v>
      </c>
      <c r="I207" s="15">
        <v>1.4711472998264084</v>
      </c>
      <c r="J207" s="15">
        <v>1.0508194998760054</v>
      </c>
      <c r="K207" s="15">
        <v>0.52540974993800293</v>
      </c>
    </row>
    <row r="208" spans="3:17" x14ac:dyDescent="0.3">
      <c r="C208" s="15" t="s">
        <v>339</v>
      </c>
      <c r="D208" s="15" t="s">
        <v>370</v>
      </c>
      <c r="E208" s="15" t="s">
        <v>344</v>
      </c>
      <c r="F208" s="15" t="s">
        <v>372</v>
      </c>
      <c r="G208" s="15" t="s">
        <v>2</v>
      </c>
      <c r="H208" s="15">
        <v>1.1567470210253279</v>
      </c>
      <c r="I208" s="15">
        <v>1.0796305529569736</v>
      </c>
      <c r="J208" s="15">
        <v>0.77116468068355171</v>
      </c>
      <c r="K208" s="15">
        <v>0.38558234034177608</v>
      </c>
    </row>
    <row r="209" spans="3:17" x14ac:dyDescent="0.3">
      <c r="C209" s="15" t="s">
        <v>339</v>
      </c>
      <c r="D209" s="15" t="s">
        <v>370</v>
      </c>
      <c r="E209" s="15" t="s">
        <v>344</v>
      </c>
      <c r="F209" s="15" t="s">
        <v>372</v>
      </c>
      <c r="G209" s="15" t="s">
        <v>3</v>
      </c>
      <c r="H209" s="15">
        <v>0.89616537134766894</v>
      </c>
      <c r="I209" s="15">
        <v>0.83642101325782392</v>
      </c>
      <c r="J209" s="15">
        <v>0.59744358089844662</v>
      </c>
      <c r="K209" s="15">
        <v>0.29872179044922298</v>
      </c>
    </row>
    <row r="210" spans="3:17" x14ac:dyDescent="0.3">
      <c r="C210" s="15" t="s">
        <v>339</v>
      </c>
      <c r="D210" s="15" t="s">
        <v>370</v>
      </c>
      <c r="E210" s="15" t="s">
        <v>344</v>
      </c>
      <c r="F210" s="15" t="s">
        <v>372</v>
      </c>
      <c r="G210" s="15" t="s">
        <v>4</v>
      </c>
      <c r="H210" s="15">
        <v>76.055916212643126</v>
      </c>
      <c r="I210" s="15">
        <v>70.985521798467005</v>
      </c>
      <c r="J210" s="15">
        <v>50.703944141762136</v>
      </c>
      <c r="K210" s="15">
        <v>25.351972070881061</v>
      </c>
    </row>
    <row r="211" spans="3:17" x14ac:dyDescent="0.3">
      <c r="C211" s="15" t="s">
        <v>339</v>
      </c>
      <c r="D211" s="15" t="s">
        <v>370</v>
      </c>
      <c r="E211" s="15" t="s">
        <v>344</v>
      </c>
      <c r="F211" s="15" t="s">
        <v>372</v>
      </c>
      <c r="G211" s="15" t="s">
        <v>5</v>
      </c>
      <c r="H211" s="15">
        <v>12.34162062905169</v>
      </c>
      <c r="I211" s="15">
        <v>11.518845920448241</v>
      </c>
      <c r="J211" s="15">
        <v>8.2277470860344586</v>
      </c>
      <c r="K211" s="15">
        <v>4.1138735430172337</v>
      </c>
    </row>
    <row r="212" spans="3:17" x14ac:dyDescent="0.3">
      <c r="C212" s="15" t="s">
        <v>339</v>
      </c>
      <c r="D212" s="15" t="s">
        <v>370</v>
      </c>
      <c r="E212" s="15" t="s">
        <v>344</v>
      </c>
      <c r="F212" s="15" t="s">
        <v>372</v>
      </c>
      <c r="G212" s="15" t="s">
        <v>6</v>
      </c>
      <c r="H212" s="15">
        <v>7.8726550046082107</v>
      </c>
      <c r="I212" s="15">
        <v>7.3478113376343392</v>
      </c>
      <c r="J212" s="15">
        <v>5.248436669738811</v>
      </c>
      <c r="K212" s="15">
        <v>2.6242183348694055</v>
      </c>
    </row>
    <row r="213" spans="3:17" x14ac:dyDescent="0.3">
      <c r="C213" s="15" t="s">
        <v>339</v>
      </c>
      <c r="D213" s="15" t="s">
        <v>370</v>
      </c>
      <c r="E213" s="15" t="s">
        <v>344</v>
      </c>
      <c r="F213" s="15" t="s">
        <v>372</v>
      </c>
      <c r="G213" s="15" t="s">
        <v>7</v>
      </c>
      <c r="H213" s="15">
        <v>9.0997534239441187</v>
      </c>
      <c r="I213" s="15">
        <v>8.4931031956811811</v>
      </c>
      <c r="J213" s="15">
        <v>6.0665022826294184</v>
      </c>
      <c r="K213" s="15">
        <v>3.0332511413147052</v>
      </c>
    </row>
    <row r="214" spans="3:17" x14ac:dyDescent="0.3">
      <c r="C214" s="15" t="s">
        <v>339</v>
      </c>
      <c r="D214" s="15" t="s">
        <v>370</v>
      </c>
      <c r="E214" s="15" t="s">
        <v>344</v>
      </c>
      <c r="F214" s="15" t="s">
        <v>372</v>
      </c>
      <c r="G214" s="15" t="s">
        <v>8</v>
      </c>
      <c r="H214" s="15">
        <v>4.9767711270524435</v>
      </c>
      <c r="I214" s="15">
        <v>4.6449863852489521</v>
      </c>
      <c r="J214" s="15">
        <v>3.3178474180349693</v>
      </c>
      <c r="K214" s="15">
        <v>1.6589237090174824</v>
      </c>
    </row>
    <row r="215" spans="3:17" x14ac:dyDescent="0.3">
      <c r="C215" s="15" t="s">
        <v>339</v>
      </c>
      <c r="D215" s="15" t="s">
        <v>370</v>
      </c>
      <c r="E215" s="15" t="s">
        <v>344</v>
      </c>
      <c r="F215" s="15" t="s">
        <v>373</v>
      </c>
      <c r="G215" s="15" t="s">
        <v>0</v>
      </c>
      <c r="L215" s="15">
        <v>6.4931482078141345</v>
      </c>
      <c r="M215" s="15">
        <v>6.4931482078141345</v>
      </c>
      <c r="N215" s="15">
        <v>6.4931482078141345</v>
      </c>
    </row>
    <row r="216" spans="3:17" x14ac:dyDescent="0.3">
      <c r="C216" s="15" t="s">
        <v>339</v>
      </c>
      <c r="D216" s="15" t="s">
        <v>370</v>
      </c>
      <c r="E216" s="15" t="s">
        <v>344</v>
      </c>
      <c r="F216" s="15" t="s">
        <v>373</v>
      </c>
      <c r="G216" s="15" t="s">
        <v>1</v>
      </c>
      <c r="K216" s="15">
        <v>16.087596017629522</v>
      </c>
      <c r="L216" s="15">
        <v>37.690881905474782</v>
      </c>
      <c r="M216" s="15">
        <v>37.690881905474782</v>
      </c>
      <c r="N216" s="15">
        <v>21.603285887845256</v>
      </c>
    </row>
    <row r="217" spans="3:17" x14ac:dyDescent="0.3">
      <c r="C217" s="15" t="s">
        <v>339</v>
      </c>
      <c r="D217" s="15" t="s">
        <v>370</v>
      </c>
      <c r="E217" s="15" t="s">
        <v>344</v>
      </c>
      <c r="F217" s="15" t="s">
        <v>373</v>
      </c>
      <c r="G217" s="15" t="s">
        <v>2</v>
      </c>
      <c r="I217" s="15">
        <v>19.595462028417192</v>
      </c>
      <c r="J217" s="15">
        <v>19.595462028417192</v>
      </c>
      <c r="K217" s="15">
        <v>36.346587203990239</v>
      </c>
      <c r="L217" s="15">
        <v>56.651381841353484</v>
      </c>
      <c r="M217" s="15">
        <v>58.165382552984724</v>
      </c>
      <c r="N217" s="15">
        <v>59.870440755281301</v>
      </c>
      <c r="O217" s="15">
        <v>62.103210549253056</v>
      </c>
      <c r="P217" s="15">
        <v>64.107739342198713</v>
      </c>
      <c r="Q217" s="15">
        <v>65.679986036163228</v>
      </c>
    </row>
    <row r="218" spans="3:17" x14ac:dyDescent="0.3">
      <c r="C218" s="15" t="s">
        <v>339</v>
      </c>
      <c r="D218" s="15" t="s">
        <v>370</v>
      </c>
      <c r="E218" s="15" t="s">
        <v>344</v>
      </c>
      <c r="F218" s="15" t="s">
        <v>373</v>
      </c>
      <c r="G218" s="15" t="s">
        <v>3</v>
      </c>
      <c r="I218" s="15">
        <v>11.084850884647384</v>
      </c>
      <c r="J218" s="15">
        <v>11.084850884647384</v>
      </c>
      <c r="K218" s="15">
        <v>20.074760471714253</v>
      </c>
      <c r="L218" s="15">
        <v>32.42633886590027</v>
      </c>
      <c r="M218" s="15">
        <v>33.50311914144541</v>
      </c>
      <c r="N218" s="15">
        <v>34.814698344046711</v>
      </c>
      <c r="O218" s="15">
        <v>36.464381091702883</v>
      </c>
      <c r="P218" s="15">
        <v>38.113238158830448</v>
      </c>
      <c r="Q218" s="15">
        <v>39.486228933482941</v>
      </c>
    </row>
    <row r="219" spans="3:17" x14ac:dyDescent="0.3">
      <c r="C219" s="15" t="s">
        <v>339</v>
      </c>
      <c r="D219" s="15" t="s">
        <v>370</v>
      </c>
      <c r="E219" s="15" t="s">
        <v>344</v>
      </c>
      <c r="F219" s="15" t="s">
        <v>373</v>
      </c>
      <c r="G219" s="15" t="s">
        <v>4</v>
      </c>
      <c r="I219" s="15">
        <v>78.784803287715732</v>
      </c>
      <c r="J219" s="15">
        <v>78.784803287715732</v>
      </c>
      <c r="K219" s="15">
        <v>143.12631502211511</v>
      </c>
      <c r="L219" s="15">
        <v>113.8972841749607</v>
      </c>
      <c r="M219" s="15">
        <v>64.34151173439939</v>
      </c>
    </row>
    <row r="220" spans="3:17" x14ac:dyDescent="0.3">
      <c r="C220" s="15" t="s">
        <v>339</v>
      </c>
      <c r="D220" s="15" t="s">
        <v>370</v>
      </c>
      <c r="E220" s="15" t="s">
        <v>344</v>
      </c>
      <c r="F220" s="15" t="s">
        <v>373</v>
      </c>
      <c r="G220" s="15" t="s">
        <v>5</v>
      </c>
      <c r="I220" s="15">
        <v>17.22210099619555</v>
      </c>
      <c r="J220" s="15">
        <v>17.22210099619555</v>
      </c>
      <c r="K220" s="15">
        <v>31.268784475050406</v>
      </c>
      <c r="L220" s="15">
        <v>51.329506491951143</v>
      </c>
      <c r="M220" s="15">
        <v>53.390325499477647</v>
      </c>
      <c r="N220" s="15">
        <v>55.743494130534877</v>
      </c>
      <c r="O220" s="15">
        <v>58.636394809090071</v>
      </c>
      <c r="P220" s="15">
        <v>61.514537232855155</v>
      </c>
      <c r="Q220" s="15">
        <v>64.24052703343655</v>
      </c>
    </row>
    <row r="221" spans="3:17" x14ac:dyDescent="0.3">
      <c r="C221" s="15" t="s">
        <v>339</v>
      </c>
      <c r="D221" s="15" t="s">
        <v>370</v>
      </c>
      <c r="E221" s="15" t="s">
        <v>344</v>
      </c>
      <c r="F221" s="15" t="s">
        <v>373</v>
      </c>
      <c r="G221" s="15" t="s">
        <v>6</v>
      </c>
      <c r="I221" s="15">
        <v>63.606551848983145</v>
      </c>
      <c r="J221" s="15">
        <v>63.606551848983145</v>
      </c>
      <c r="K221" s="15">
        <v>116.46621798694645</v>
      </c>
      <c r="L221" s="15">
        <v>186.50878642292329</v>
      </c>
      <c r="M221" s="15">
        <v>147.83507916995833</v>
      </c>
      <c r="N221" s="15">
        <v>164.09326845191302</v>
      </c>
      <c r="O221" s="15">
        <v>70.4527751815545</v>
      </c>
      <c r="P221" s="15">
        <v>69.117855419917902</v>
      </c>
    </row>
    <row r="222" spans="3:17" x14ac:dyDescent="0.3">
      <c r="C222" s="15" t="s">
        <v>339</v>
      </c>
      <c r="D222" s="15" t="s">
        <v>370</v>
      </c>
      <c r="E222" s="15" t="s">
        <v>344</v>
      </c>
      <c r="F222" s="15" t="s">
        <v>373</v>
      </c>
      <c r="G222" s="15" t="s">
        <v>7</v>
      </c>
      <c r="I222" s="15">
        <v>19.589568572191592</v>
      </c>
      <c r="J222" s="15">
        <v>19.589568572191592</v>
      </c>
      <c r="K222" s="15">
        <v>36.74084250102613</v>
      </c>
      <c r="L222" s="15">
        <v>61.742349465171927</v>
      </c>
      <c r="M222" s="15">
        <v>67.234966560026223</v>
      </c>
      <c r="N222" s="15">
        <v>73.580407553021985</v>
      </c>
      <c r="O222" s="15">
        <v>81.176787372454541</v>
      </c>
      <c r="P222" s="15">
        <v>89.228002481788636</v>
      </c>
      <c r="Q222" s="15">
        <v>97.494291066069266</v>
      </c>
    </row>
    <row r="223" spans="3:17" x14ac:dyDescent="0.3">
      <c r="C223" s="15" t="s">
        <v>339</v>
      </c>
      <c r="D223" s="15" t="s">
        <v>370</v>
      </c>
      <c r="E223" s="15" t="s">
        <v>344</v>
      </c>
      <c r="F223" s="15" t="s">
        <v>373</v>
      </c>
      <c r="G223" s="15" t="s">
        <v>8</v>
      </c>
      <c r="M223" s="15">
        <v>23.047257209573889</v>
      </c>
      <c r="N223" s="15">
        <v>44.973638246507065</v>
      </c>
      <c r="O223" s="15">
        <v>87.071616258905735</v>
      </c>
      <c r="P223" s="15">
        <v>93.794814976781325</v>
      </c>
      <c r="Q223" s="15">
        <v>100.25536969529888</v>
      </c>
    </row>
    <row r="224" spans="3:17" x14ac:dyDescent="0.3">
      <c r="C224" s="15" t="s">
        <v>339</v>
      </c>
      <c r="D224" s="15" t="s">
        <v>370</v>
      </c>
      <c r="E224" s="15" t="s">
        <v>344</v>
      </c>
      <c r="F224" s="15" t="s">
        <v>374</v>
      </c>
      <c r="G224" s="15" t="s">
        <v>0</v>
      </c>
      <c r="I224" s="15">
        <v>8.8240557895149028</v>
      </c>
      <c r="J224" s="15">
        <v>8.8240557895149028</v>
      </c>
      <c r="K224" s="15">
        <v>8.8240557895149028</v>
      </c>
      <c r="L224" s="15">
        <v>5.5503457831974972</v>
      </c>
      <c r="M224" s="15">
        <v>5.5103416933361835</v>
      </c>
      <c r="N224" s="15">
        <v>6.0377393008214044</v>
      </c>
      <c r="O224" s="15">
        <v>11.891152609657373</v>
      </c>
      <c r="P224" s="15">
        <v>12.280747303936097</v>
      </c>
      <c r="Q224" s="15">
        <v>12.787056988562409</v>
      </c>
    </row>
    <row r="225" spans="3:17" x14ac:dyDescent="0.3">
      <c r="C225" s="15" t="s">
        <v>339</v>
      </c>
      <c r="D225" s="15" t="s">
        <v>370</v>
      </c>
      <c r="E225" s="15" t="s">
        <v>344</v>
      </c>
      <c r="F225" s="15" t="s">
        <v>374</v>
      </c>
      <c r="G225" s="15" t="s">
        <v>1</v>
      </c>
      <c r="I225" s="15">
        <v>17.944950521508005</v>
      </c>
      <c r="J225" s="15">
        <v>17.944950521508005</v>
      </c>
      <c r="K225" s="15">
        <v>17.944950521508005</v>
      </c>
      <c r="L225" s="15">
        <v>11.287403755435149</v>
      </c>
      <c r="M225" s="15">
        <v>11.762314485922499</v>
      </c>
      <c r="N225" s="15">
        <v>26.76280270684914</v>
      </c>
      <c r="O225" s="15">
        <v>46.391792862596532</v>
      </c>
      <c r="P225" s="15">
        <v>47.914865453118416</v>
      </c>
      <c r="Q225" s="15">
        <v>49.367816651122162</v>
      </c>
    </row>
    <row r="226" spans="3:17" x14ac:dyDescent="0.3">
      <c r="C226" s="15" t="s">
        <v>339</v>
      </c>
      <c r="D226" s="15" t="s">
        <v>370</v>
      </c>
      <c r="E226" s="15" t="s">
        <v>344</v>
      </c>
      <c r="F226" s="15" t="s">
        <v>374</v>
      </c>
      <c r="G226" s="15" t="s">
        <v>4</v>
      </c>
      <c r="L226" s="15">
        <v>107.49123602400319</v>
      </c>
      <c r="M226" s="15">
        <v>162.8478713969489</v>
      </c>
      <c r="N226" s="15">
        <v>231.36430435081945</v>
      </c>
      <c r="O226" s="15">
        <v>242.55826029691104</v>
      </c>
      <c r="P226" s="15">
        <v>259.57161082879327</v>
      </c>
      <c r="Q226" s="15">
        <v>276.23714760961411</v>
      </c>
    </row>
    <row r="227" spans="3:17" x14ac:dyDescent="0.3">
      <c r="C227" s="15" t="s">
        <v>339</v>
      </c>
      <c r="D227" s="15" t="s">
        <v>370</v>
      </c>
      <c r="E227" s="15" t="s">
        <v>344</v>
      </c>
      <c r="F227" s="15" t="s">
        <v>374</v>
      </c>
      <c r="G227" s="15" t="s">
        <v>6</v>
      </c>
      <c r="M227" s="15">
        <v>44.605235652473297</v>
      </c>
      <c r="N227" s="15">
        <v>44.605235652473297</v>
      </c>
      <c r="O227" s="15">
        <v>136.26744779644119</v>
      </c>
      <c r="P227" s="15">
        <v>152.15664684022599</v>
      </c>
      <c r="Q227" s="15">
        <v>224.22628087361829</v>
      </c>
    </row>
    <row r="228" spans="3:17" x14ac:dyDescent="0.3">
      <c r="C228" s="15" t="s">
        <v>339</v>
      </c>
      <c r="D228" s="15" t="s">
        <v>370</v>
      </c>
      <c r="E228" s="15" t="s">
        <v>344</v>
      </c>
      <c r="F228" s="15" t="s">
        <v>374</v>
      </c>
      <c r="G228" s="15" t="s">
        <v>8</v>
      </c>
      <c r="I228" s="15">
        <v>26.944515707870536</v>
      </c>
      <c r="J228" s="15">
        <v>26.944515707870536</v>
      </c>
      <c r="K228" s="15">
        <v>41.73564007474382</v>
      </c>
      <c r="L228" s="15">
        <v>62.681412437203015</v>
      </c>
      <c r="M228" s="15">
        <v>45.733267195739195</v>
      </c>
      <c r="N228" s="15">
        <v>30.942142828865936</v>
      </c>
    </row>
    <row r="229" spans="3:17" x14ac:dyDescent="0.3">
      <c r="C229" s="15" t="s">
        <v>339</v>
      </c>
      <c r="D229" s="15" t="s">
        <v>370</v>
      </c>
      <c r="E229" s="15" t="s">
        <v>344</v>
      </c>
      <c r="F229" s="15" t="s">
        <v>375</v>
      </c>
      <c r="G229" s="15" t="s">
        <v>0</v>
      </c>
      <c r="H229" s="15">
        <v>3.7379582021730993E-2</v>
      </c>
      <c r="I229" s="15">
        <v>3.4887609886948924E-2</v>
      </c>
      <c r="J229" s="15">
        <v>2.4919721347820729E-2</v>
      </c>
      <c r="K229" s="15">
        <v>1.2459860673910351E-2</v>
      </c>
    </row>
    <row r="230" spans="3:17" x14ac:dyDescent="0.3">
      <c r="C230" s="15" t="s">
        <v>339</v>
      </c>
      <c r="D230" s="15" t="s">
        <v>370</v>
      </c>
      <c r="E230" s="15" t="s">
        <v>344</v>
      </c>
      <c r="F230" s="15" t="s">
        <v>375</v>
      </c>
      <c r="G230" s="15" t="s">
        <v>1</v>
      </c>
      <c r="H230" s="15">
        <v>0.47873345945001922</v>
      </c>
      <c r="I230" s="15">
        <v>0.44681789548668499</v>
      </c>
      <c r="J230" s="15">
        <v>0.31915563963334609</v>
      </c>
      <c r="K230" s="15">
        <v>0.15957781981667318</v>
      </c>
    </row>
    <row r="231" spans="3:17" x14ac:dyDescent="0.3">
      <c r="C231" s="15" t="s">
        <v>339</v>
      </c>
      <c r="D231" s="15" t="s">
        <v>370</v>
      </c>
      <c r="E231" s="15" t="s">
        <v>344</v>
      </c>
      <c r="F231" s="15" t="s">
        <v>375</v>
      </c>
      <c r="G231" s="15" t="s">
        <v>2</v>
      </c>
      <c r="H231" s="15">
        <v>0.47266005840878644</v>
      </c>
      <c r="I231" s="15">
        <v>0.44114938784820151</v>
      </c>
      <c r="J231" s="15">
        <v>0.31510670560585768</v>
      </c>
      <c r="K231" s="15">
        <v>0.15755335280292898</v>
      </c>
    </row>
    <row r="232" spans="3:17" x14ac:dyDescent="0.3">
      <c r="C232" s="15" t="s">
        <v>339</v>
      </c>
      <c r="D232" s="15" t="s">
        <v>370</v>
      </c>
      <c r="E232" s="15" t="s">
        <v>344</v>
      </c>
      <c r="F232" s="15" t="s">
        <v>375</v>
      </c>
      <c r="G232" s="15" t="s">
        <v>3</v>
      </c>
      <c r="H232" s="15">
        <v>0.5843048869975398</v>
      </c>
      <c r="I232" s="15">
        <v>0.5453512278643704</v>
      </c>
      <c r="J232" s="15">
        <v>0.38953659133169349</v>
      </c>
      <c r="K232" s="15">
        <v>0.19476829566584664</v>
      </c>
    </row>
    <row r="233" spans="3:17" x14ac:dyDescent="0.3">
      <c r="C233" s="15" t="s">
        <v>339</v>
      </c>
      <c r="D233" s="15" t="s">
        <v>370</v>
      </c>
      <c r="E233" s="15" t="s">
        <v>344</v>
      </c>
      <c r="F233" s="15" t="s">
        <v>375</v>
      </c>
      <c r="G233" s="15" t="s">
        <v>4</v>
      </c>
      <c r="H233" s="15">
        <v>1.0829411397735471</v>
      </c>
      <c r="I233" s="15">
        <v>1.0107450637886441</v>
      </c>
      <c r="J233" s="15">
        <v>0.72196075984903163</v>
      </c>
      <c r="K233" s="15">
        <v>0.36098037992451609</v>
      </c>
    </row>
    <row r="234" spans="3:17" x14ac:dyDescent="0.3">
      <c r="C234" s="15" t="s">
        <v>339</v>
      </c>
      <c r="D234" s="15" t="s">
        <v>370</v>
      </c>
      <c r="E234" s="15" t="s">
        <v>344</v>
      </c>
      <c r="F234" s="15" t="s">
        <v>375</v>
      </c>
      <c r="G234" s="15" t="s">
        <v>5</v>
      </c>
      <c r="H234" s="15">
        <v>0.89901840487323814</v>
      </c>
      <c r="I234" s="15">
        <v>0.83908384454835572</v>
      </c>
      <c r="J234" s="15">
        <v>0.59934560324882658</v>
      </c>
      <c r="K234" s="15">
        <v>0.29967280162441318</v>
      </c>
    </row>
    <row r="235" spans="3:17" x14ac:dyDescent="0.3">
      <c r="C235" s="15" t="s">
        <v>339</v>
      </c>
      <c r="D235" s="15" t="s">
        <v>370</v>
      </c>
      <c r="E235" s="15" t="s">
        <v>344</v>
      </c>
      <c r="F235" s="15" t="s">
        <v>375</v>
      </c>
      <c r="G235" s="15" t="s">
        <v>6</v>
      </c>
      <c r="H235" s="15">
        <v>1.1128451281386891</v>
      </c>
      <c r="I235" s="15">
        <v>1.0386554529294441</v>
      </c>
      <c r="J235" s="15">
        <v>0.74189675209246031</v>
      </c>
      <c r="K235" s="15">
        <v>0.37094837604622938</v>
      </c>
    </row>
    <row r="236" spans="3:17" x14ac:dyDescent="0.3">
      <c r="C236" s="15" t="s">
        <v>339</v>
      </c>
      <c r="D236" s="15" t="s">
        <v>370</v>
      </c>
      <c r="E236" s="15" t="s">
        <v>344</v>
      </c>
      <c r="F236" s="15" t="s">
        <v>375</v>
      </c>
      <c r="G236" s="15" t="s">
        <v>7</v>
      </c>
      <c r="H236" s="15">
        <v>0.49084013236616897</v>
      </c>
      <c r="I236" s="15">
        <v>0.45811745687509092</v>
      </c>
      <c r="J236" s="15">
        <v>0.32722675491077963</v>
      </c>
      <c r="K236" s="15">
        <v>0.16361337745538959</v>
      </c>
    </row>
    <row r="237" spans="3:17" x14ac:dyDescent="0.3">
      <c r="C237" s="15" t="s">
        <v>339</v>
      </c>
      <c r="D237" s="15" t="s">
        <v>370</v>
      </c>
      <c r="E237" s="15" t="s">
        <v>344</v>
      </c>
      <c r="F237" s="15" t="s">
        <v>375</v>
      </c>
      <c r="G237" s="15" t="s">
        <v>8</v>
      </c>
      <c r="H237" s="15">
        <v>0.22682452854898796</v>
      </c>
      <c r="I237" s="15">
        <v>0.21170289331238931</v>
      </c>
      <c r="J237" s="15">
        <v>0.15121635236599207</v>
      </c>
      <c r="K237" s="15">
        <v>7.5608176182995993E-2</v>
      </c>
    </row>
    <row r="238" spans="3:17" x14ac:dyDescent="0.3">
      <c r="C238" s="15" t="s">
        <v>339</v>
      </c>
      <c r="D238" s="15" t="s">
        <v>370</v>
      </c>
      <c r="E238" s="15" t="s">
        <v>344</v>
      </c>
      <c r="F238" s="15" t="s">
        <v>376</v>
      </c>
      <c r="G238" s="15" t="s">
        <v>0</v>
      </c>
      <c r="H238" s="15">
        <v>8.2101942207287681</v>
      </c>
    </row>
    <row r="239" spans="3:17" x14ac:dyDescent="0.3">
      <c r="C239" s="15" t="s">
        <v>339</v>
      </c>
      <c r="D239" s="15" t="s">
        <v>370</v>
      </c>
      <c r="E239" s="15" t="s">
        <v>344</v>
      </c>
      <c r="F239" s="15" t="s">
        <v>376</v>
      </c>
      <c r="G239" s="15" t="s">
        <v>1</v>
      </c>
      <c r="H239" s="15">
        <v>20.395305683972374</v>
      </c>
      <c r="J239" s="15">
        <v>10.197652841986201</v>
      </c>
    </row>
    <row r="240" spans="3:17" x14ac:dyDescent="0.3">
      <c r="C240" s="15" t="s">
        <v>339</v>
      </c>
      <c r="D240" s="15" t="s">
        <v>370</v>
      </c>
      <c r="E240" s="15" t="s">
        <v>344</v>
      </c>
      <c r="F240" s="15" t="s">
        <v>376</v>
      </c>
      <c r="G240" s="15" t="s">
        <v>2</v>
      </c>
      <c r="H240" s="15">
        <v>11.264672823548455</v>
      </c>
      <c r="J240" s="15">
        <v>5.6323364117742303</v>
      </c>
    </row>
    <row r="241" spans="3:11" x14ac:dyDescent="0.3">
      <c r="C241" s="15" t="s">
        <v>339</v>
      </c>
      <c r="D241" s="15" t="s">
        <v>370</v>
      </c>
      <c r="E241" s="15" t="s">
        <v>344</v>
      </c>
      <c r="F241" s="15" t="s">
        <v>376</v>
      </c>
      <c r="G241" s="15" t="s">
        <v>3</v>
      </c>
      <c r="H241" s="15">
        <v>2.5807488072426326</v>
      </c>
      <c r="J241" s="15">
        <v>1.2903744036213149</v>
      </c>
    </row>
    <row r="242" spans="3:11" x14ac:dyDescent="0.3">
      <c r="C242" s="15" t="s">
        <v>339</v>
      </c>
      <c r="D242" s="15" t="s">
        <v>370</v>
      </c>
      <c r="E242" s="15" t="s">
        <v>344</v>
      </c>
      <c r="F242" s="15" t="s">
        <v>376</v>
      </c>
      <c r="G242" s="15" t="s">
        <v>4</v>
      </c>
      <c r="H242" s="15">
        <v>19.31766106735035</v>
      </c>
      <c r="J242" s="15">
        <v>9.6588305336751752</v>
      </c>
    </row>
    <row r="243" spans="3:11" x14ac:dyDescent="0.3">
      <c r="C243" s="15" t="s">
        <v>339</v>
      </c>
      <c r="D243" s="15" t="s">
        <v>370</v>
      </c>
      <c r="E243" s="15" t="s">
        <v>344</v>
      </c>
      <c r="F243" s="15" t="s">
        <v>376</v>
      </c>
      <c r="G243" s="15" t="s">
        <v>5</v>
      </c>
      <c r="H243" s="15">
        <v>4.2384363148788564</v>
      </c>
      <c r="J243" s="15">
        <v>2.1192181574394287</v>
      </c>
    </row>
    <row r="244" spans="3:11" x14ac:dyDescent="0.3">
      <c r="C244" s="15" t="s">
        <v>339</v>
      </c>
      <c r="D244" s="15" t="s">
        <v>370</v>
      </c>
      <c r="E244" s="15" t="s">
        <v>344</v>
      </c>
      <c r="F244" s="15" t="s">
        <v>376</v>
      </c>
      <c r="G244" s="15" t="s">
        <v>6</v>
      </c>
      <c r="H244" s="15">
        <v>23.703914540657969</v>
      </c>
      <c r="J244" s="15">
        <v>11.851957270328962</v>
      </c>
    </row>
    <row r="245" spans="3:11" x14ac:dyDescent="0.3">
      <c r="C245" s="15" t="s">
        <v>339</v>
      </c>
      <c r="D245" s="15" t="s">
        <v>370</v>
      </c>
      <c r="E245" s="15" t="s">
        <v>344</v>
      </c>
      <c r="F245" s="15" t="s">
        <v>376</v>
      </c>
      <c r="G245" s="15" t="s">
        <v>7</v>
      </c>
      <c r="H245" s="15">
        <v>2.5438108593821487</v>
      </c>
      <c r="J245" s="15">
        <v>1.2719054296910746</v>
      </c>
    </row>
    <row r="246" spans="3:11" x14ac:dyDescent="0.3">
      <c r="C246" s="15" t="s">
        <v>339</v>
      </c>
      <c r="D246" s="15" t="s">
        <v>370</v>
      </c>
      <c r="E246" s="15" t="s">
        <v>344</v>
      </c>
      <c r="F246" s="15" t="s">
        <v>376</v>
      </c>
      <c r="G246" s="15" t="s">
        <v>8</v>
      </c>
      <c r="H246" s="15">
        <v>10.886279962554502</v>
      </c>
    </row>
    <row r="247" spans="3:11" x14ac:dyDescent="0.3">
      <c r="C247" s="15" t="s">
        <v>339</v>
      </c>
      <c r="D247" s="15" t="s">
        <v>370</v>
      </c>
      <c r="E247" s="15" t="s">
        <v>365</v>
      </c>
      <c r="F247" s="15" t="s">
        <v>377</v>
      </c>
      <c r="G247" s="15" t="s">
        <v>1</v>
      </c>
      <c r="H247" s="15">
        <v>0.72705308062149765</v>
      </c>
    </row>
    <row r="248" spans="3:11" x14ac:dyDescent="0.3">
      <c r="C248" s="15" t="s">
        <v>339</v>
      </c>
      <c r="D248" s="15" t="s">
        <v>370</v>
      </c>
      <c r="E248" s="15" t="s">
        <v>365</v>
      </c>
      <c r="F248" s="15" t="s">
        <v>377</v>
      </c>
      <c r="G248" s="15" t="s">
        <v>2</v>
      </c>
      <c r="H248" s="15">
        <v>0.31317904715531752</v>
      </c>
    </row>
    <row r="249" spans="3:11" x14ac:dyDescent="0.3">
      <c r="C249" s="15" t="s">
        <v>339</v>
      </c>
      <c r="D249" s="15" t="s">
        <v>370</v>
      </c>
      <c r="E249" s="15" t="s">
        <v>365</v>
      </c>
      <c r="F249" s="15" t="s">
        <v>377</v>
      </c>
      <c r="G249" s="15" t="s">
        <v>3</v>
      </c>
      <c r="H249" s="15">
        <v>1.1121202418184768</v>
      </c>
    </row>
    <row r="250" spans="3:11" x14ac:dyDescent="0.3">
      <c r="C250" s="15" t="s">
        <v>339</v>
      </c>
      <c r="D250" s="15" t="s">
        <v>370</v>
      </c>
      <c r="E250" s="15" t="s">
        <v>365</v>
      </c>
      <c r="F250" s="15" t="s">
        <v>377</v>
      </c>
      <c r="G250" s="15" t="s">
        <v>4</v>
      </c>
      <c r="H250" s="15">
        <v>10.452370080531953</v>
      </c>
    </row>
    <row r="251" spans="3:11" x14ac:dyDescent="0.3">
      <c r="C251" s="15" t="s">
        <v>339</v>
      </c>
      <c r="D251" s="15" t="s">
        <v>370</v>
      </c>
      <c r="E251" s="15" t="s">
        <v>365</v>
      </c>
      <c r="F251" s="15" t="s">
        <v>377</v>
      </c>
      <c r="G251" s="15" t="s">
        <v>5</v>
      </c>
      <c r="H251" s="15">
        <v>2.4921053849703818</v>
      </c>
    </row>
    <row r="252" spans="3:11" x14ac:dyDescent="0.3">
      <c r="C252" s="15" t="s">
        <v>339</v>
      </c>
      <c r="D252" s="15" t="s">
        <v>370</v>
      </c>
      <c r="E252" s="15" t="s">
        <v>365</v>
      </c>
      <c r="F252" s="15" t="s">
        <v>377</v>
      </c>
      <c r="G252" s="15" t="s">
        <v>6</v>
      </c>
      <c r="H252" s="15">
        <v>2.1639260826982825</v>
      </c>
    </row>
    <row r="253" spans="3:11" x14ac:dyDescent="0.3">
      <c r="C253" s="15" t="s">
        <v>339</v>
      </c>
      <c r="D253" s="15" t="s">
        <v>370</v>
      </c>
      <c r="E253" s="15" t="s">
        <v>365</v>
      </c>
      <c r="F253" s="15" t="s">
        <v>377</v>
      </c>
      <c r="G253" s="15" t="s">
        <v>7</v>
      </c>
      <c r="H253" s="15">
        <v>4.0104377808595055</v>
      </c>
    </row>
    <row r="254" spans="3:11" x14ac:dyDescent="0.3">
      <c r="C254" s="15" t="s">
        <v>339</v>
      </c>
      <c r="D254" s="15" t="s">
        <v>370</v>
      </c>
      <c r="E254" s="15" t="s">
        <v>365</v>
      </c>
      <c r="F254" s="15" t="s">
        <v>377</v>
      </c>
      <c r="G254" s="15" t="s">
        <v>8</v>
      </c>
      <c r="H254" s="15">
        <v>1.6887965684454131</v>
      </c>
    </row>
    <row r="255" spans="3:11" x14ac:dyDescent="0.3">
      <c r="C255" s="15" t="s">
        <v>339</v>
      </c>
      <c r="D255" s="15" t="s">
        <v>378</v>
      </c>
      <c r="E255" s="15" t="s">
        <v>344</v>
      </c>
      <c r="F255" s="15" t="s">
        <v>379</v>
      </c>
      <c r="G255" s="15" t="s">
        <v>0</v>
      </c>
      <c r="H255" s="15">
        <v>4.2774159318404767E-2</v>
      </c>
      <c r="K255" s="15">
        <v>1.4258053106134934E-2</v>
      </c>
    </row>
    <row r="256" spans="3:11" x14ac:dyDescent="0.3">
      <c r="C256" s="15" t="s">
        <v>339</v>
      </c>
      <c r="D256" s="15" t="s">
        <v>378</v>
      </c>
      <c r="E256" s="15" t="s">
        <v>344</v>
      </c>
      <c r="F256" s="15" t="s">
        <v>379</v>
      </c>
      <c r="G256" s="15" t="s">
        <v>1</v>
      </c>
      <c r="H256" s="15">
        <v>2.5878948176726317</v>
      </c>
      <c r="K256" s="15">
        <v>0.86263160589087806</v>
      </c>
    </row>
    <row r="257" spans="3:17" x14ac:dyDescent="0.3">
      <c r="C257" s="15" t="s">
        <v>339</v>
      </c>
      <c r="D257" s="15" t="s">
        <v>378</v>
      </c>
      <c r="E257" s="15" t="s">
        <v>344</v>
      </c>
      <c r="F257" s="15" t="s">
        <v>379</v>
      </c>
      <c r="G257" s="15" t="s">
        <v>2</v>
      </c>
      <c r="H257" s="15">
        <v>2.4622766457347587</v>
      </c>
      <c r="K257" s="15">
        <v>0.82075888191158708</v>
      </c>
    </row>
    <row r="258" spans="3:17" x14ac:dyDescent="0.3">
      <c r="C258" s="15" t="s">
        <v>339</v>
      </c>
      <c r="D258" s="15" t="s">
        <v>378</v>
      </c>
      <c r="E258" s="15" t="s">
        <v>344</v>
      </c>
      <c r="F258" s="15" t="s">
        <v>379</v>
      </c>
      <c r="G258" s="15" t="s">
        <v>3</v>
      </c>
      <c r="H258" s="15">
        <v>1.9709202500881213</v>
      </c>
      <c r="K258" s="15">
        <v>0.65697341669603915</v>
      </c>
    </row>
    <row r="259" spans="3:17" x14ac:dyDescent="0.3">
      <c r="C259" s="15" t="s">
        <v>339</v>
      </c>
      <c r="D259" s="15" t="s">
        <v>378</v>
      </c>
      <c r="E259" s="15" t="s">
        <v>344</v>
      </c>
      <c r="F259" s="15" t="s">
        <v>379</v>
      </c>
      <c r="G259" s="15" t="s">
        <v>4</v>
      </c>
      <c r="H259" s="15">
        <v>37.727630882026972</v>
      </c>
      <c r="K259" s="15">
        <v>12.57587696067564</v>
      </c>
    </row>
    <row r="260" spans="3:17" x14ac:dyDescent="0.3">
      <c r="C260" s="15" t="s">
        <v>339</v>
      </c>
      <c r="D260" s="15" t="s">
        <v>378</v>
      </c>
      <c r="E260" s="15" t="s">
        <v>344</v>
      </c>
      <c r="F260" s="15" t="s">
        <v>379</v>
      </c>
      <c r="G260" s="15" t="s">
        <v>5</v>
      </c>
      <c r="H260" s="15">
        <v>11.544906749005058</v>
      </c>
      <c r="I260" s="15">
        <v>0.14342988731399264</v>
      </c>
      <c r="K260" s="15">
        <v>3.8483022496683543</v>
      </c>
    </row>
    <row r="261" spans="3:17" x14ac:dyDescent="0.3">
      <c r="C261" s="15" t="s">
        <v>339</v>
      </c>
      <c r="D261" s="15" t="s">
        <v>378</v>
      </c>
      <c r="E261" s="15" t="s">
        <v>344</v>
      </c>
      <c r="F261" s="15" t="s">
        <v>379</v>
      </c>
      <c r="G261" s="15" t="s">
        <v>6</v>
      </c>
      <c r="H261" s="15">
        <v>2.6276821815655027</v>
      </c>
      <c r="I261" s="15">
        <v>0.17152678399224278</v>
      </c>
      <c r="K261" s="15">
        <v>0.87589406052183438</v>
      </c>
    </row>
    <row r="262" spans="3:17" x14ac:dyDescent="0.3">
      <c r="C262" s="15" t="s">
        <v>339</v>
      </c>
      <c r="D262" s="15" t="s">
        <v>378</v>
      </c>
      <c r="E262" s="15" t="s">
        <v>344</v>
      </c>
      <c r="F262" s="15" t="s">
        <v>379</v>
      </c>
      <c r="G262" s="15" t="s">
        <v>7</v>
      </c>
      <c r="H262" s="15">
        <v>6.3584917487406196</v>
      </c>
      <c r="K262" s="15">
        <v>2.119497249580208</v>
      </c>
    </row>
    <row r="263" spans="3:17" x14ac:dyDescent="0.3">
      <c r="C263" s="15" t="s">
        <v>339</v>
      </c>
      <c r="D263" s="15" t="s">
        <v>378</v>
      </c>
      <c r="E263" s="15" t="s">
        <v>344</v>
      </c>
      <c r="F263" s="15" t="s">
        <v>379</v>
      </c>
      <c r="G263" s="15" t="s">
        <v>8</v>
      </c>
      <c r="H263" s="15">
        <v>5.0291494320749512</v>
      </c>
      <c r="K263" s="15">
        <v>1.6763831440249835</v>
      </c>
    </row>
    <row r="264" spans="3:17" x14ac:dyDescent="0.3">
      <c r="C264" s="15" t="s">
        <v>339</v>
      </c>
      <c r="D264" s="15" t="s">
        <v>378</v>
      </c>
      <c r="E264" s="15" t="s">
        <v>344</v>
      </c>
      <c r="F264" s="15" t="s">
        <v>380</v>
      </c>
      <c r="G264" s="15" t="s">
        <v>1</v>
      </c>
      <c r="N264" s="15">
        <v>42.748669601462808</v>
      </c>
      <c r="O264" s="15">
        <v>37.588563145685455</v>
      </c>
      <c r="P264" s="15">
        <v>42.748669601462808</v>
      </c>
      <c r="Q264" s="15">
        <v>45.507990659204587</v>
      </c>
    </row>
    <row r="265" spans="3:17" x14ac:dyDescent="0.3">
      <c r="C265" s="15" t="s">
        <v>339</v>
      </c>
      <c r="D265" s="15" t="s">
        <v>378</v>
      </c>
      <c r="E265" s="15" t="s">
        <v>344</v>
      </c>
      <c r="F265" s="15" t="s">
        <v>380</v>
      </c>
      <c r="G265" s="15" t="s">
        <v>2</v>
      </c>
      <c r="N265" s="15">
        <v>176.56536120794101</v>
      </c>
      <c r="O265" s="15">
        <v>176.56536120794101</v>
      </c>
      <c r="P265" s="15">
        <v>176.56536120794101</v>
      </c>
      <c r="Q265" s="15">
        <v>174.86856378257013</v>
      </c>
    </row>
    <row r="266" spans="3:17" x14ac:dyDescent="0.3">
      <c r="C266" s="15" t="s">
        <v>339</v>
      </c>
      <c r="D266" s="15" t="s">
        <v>378</v>
      </c>
      <c r="E266" s="15" t="s">
        <v>344</v>
      </c>
      <c r="F266" s="15" t="s">
        <v>380</v>
      </c>
      <c r="G266" s="15" t="s">
        <v>3</v>
      </c>
      <c r="N266" s="15">
        <v>61.486109066206438</v>
      </c>
      <c r="O266" s="15">
        <v>64.065099630940665</v>
      </c>
      <c r="P266" s="15">
        <v>64.065099630940665</v>
      </c>
      <c r="Q266" s="15">
        <v>70.260946667773496</v>
      </c>
    </row>
    <row r="267" spans="3:17" x14ac:dyDescent="0.3">
      <c r="C267" s="15" t="s">
        <v>339</v>
      </c>
      <c r="D267" s="15" t="s">
        <v>378</v>
      </c>
      <c r="E267" s="15" t="s">
        <v>344</v>
      </c>
      <c r="F267" s="15" t="s">
        <v>380</v>
      </c>
      <c r="G267" s="15" t="s">
        <v>4</v>
      </c>
      <c r="N267" s="15">
        <v>173.15246857818008</v>
      </c>
      <c r="O267" s="15">
        <v>194.20017004940067</v>
      </c>
      <c r="P267" s="15">
        <v>194.20017004940067</v>
      </c>
      <c r="Q267" s="15">
        <v>301.72567461669831</v>
      </c>
    </row>
    <row r="268" spans="3:17" x14ac:dyDescent="0.3">
      <c r="C268" s="15" t="s">
        <v>339</v>
      </c>
      <c r="D268" s="15" t="s">
        <v>378</v>
      </c>
      <c r="E268" s="15" t="s">
        <v>344</v>
      </c>
      <c r="F268" s="15" t="s">
        <v>380</v>
      </c>
      <c r="G268" s="15" t="s">
        <v>5</v>
      </c>
      <c r="M268" s="15">
        <v>36.897698785039658</v>
      </c>
      <c r="N268" s="15">
        <v>94.637096970857016</v>
      </c>
      <c r="O268" s="15">
        <v>106.65048751739295</v>
      </c>
      <c r="P268" s="15">
        <v>104.5852070154297</v>
      </c>
      <c r="Q268" s="15">
        <v>102.47802837834386</v>
      </c>
    </row>
    <row r="269" spans="3:17" x14ac:dyDescent="0.3">
      <c r="C269" s="15" t="s">
        <v>339</v>
      </c>
      <c r="D269" s="15" t="s">
        <v>378</v>
      </c>
      <c r="E269" s="15" t="s">
        <v>344</v>
      </c>
      <c r="F269" s="15" t="s">
        <v>380</v>
      </c>
      <c r="G269" s="15" t="s">
        <v>6</v>
      </c>
      <c r="K269" s="15">
        <v>0.89393582203685229</v>
      </c>
      <c r="L269" s="15">
        <v>19.239540690786974</v>
      </c>
      <c r="M269" s="15">
        <v>68.267872356133438</v>
      </c>
      <c r="N269" s="15">
        <v>146.69247491803139</v>
      </c>
      <c r="O269" s="15">
        <v>146.29110506130473</v>
      </c>
      <c r="P269" s="15">
        <v>145.80494764773184</v>
      </c>
      <c r="Q269" s="15">
        <v>144.71850679146993</v>
      </c>
    </row>
    <row r="270" spans="3:17" x14ac:dyDescent="0.3">
      <c r="C270" s="15" t="s">
        <v>339</v>
      </c>
      <c r="D270" s="15" t="s">
        <v>378</v>
      </c>
      <c r="E270" s="15" t="s">
        <v>344</v>
      </c>
      <c r="F270" s="15" t="s">
        <v>380</v>
      </c>
      <c r="G270" s="15" t="s">
        <v>7</v>
      </c>
      <c r="N270" s="15">
        <v>135.4178895630902</v>
      </c>
      <c r="O270" s="15">
        <v>150.8579839473089</v>
      </c>
      <c r="P270" s="15">
        <v>173.42694429710943</v>
      </c>
      <c r="Q270" s="15">
        <v>203.82997632261745</v>
      </c>
    </row>
    <row r="271" spans="3:17" x14ac:dyDescent="0.3">
      <c r="C271" s="15" t="s">
        <v>339</v>
      </c>
      <c r="D271" s="15" t="s">
        <v>378</v>
      </c>
      <c r="E271" s="15" t="s">
        <v>344</v>
      </c>
      <c r="F271" s="15" t="s">
        <v>381</v>
      </c>
      <c r="G271" s="15" t="s">
        <v>0</v>
      </c>
      <c r="M271" s="15">
        <v>4.702954138291477</v>
      </c>
      <c r="N271" s="15">
        <v>4.702954138291477</v>
      </c>
      <c r="O271" s="15">
        <v>4.702954138291477</v>
      </c>
    </row>
    <row r="272" spans="3:17" x14ac:dyDescent="0.3">
      <c r="C272" s="15" t="s">
        <v>339</v>
      </c>
      <c r="D272" s="15" t="s">
        <v>378</v>
      </c>
      <c r="E272" s="15" t="s">
        <v>344</v>
      </c>
      <c r="F272" s="15" t="s">
        <v>381</v>
      </c>
      <c r="G272" s="15" t="s">
        <v>1</v>
      </c>
      <c r="M272" s="15">
        <v>17.563782886616558</v>
      </c>
      <c r="N272" s="15">
        <v>17.563782886616558</v>
      </c>
      <c r="O272" s="15">
        <v>17.563782886616558</v>
      </c>
    </row>
    <row r="273" spans="3:15" x14ac:dyDescent="0.3">
      <c r="C273" s="15" t="s">
        <v>339</v>
      </c>
      <c r="D273" s="15" t="s">
        <v>378</v>
      </c>
      <c r="E273" s="15" t="s">
        <v>344</v>
      </c>
      <c r="F273" s="15" t="s">
        <v>381</v>
      </c>
      <c r="G273" s="15" t="s">
        <v>2</v>
      </c>
      <c r="L273" s="15">
        <v>12.857110657682556</v>
      </c>
      <c r="M273" s="15">
        <v>25.29673886021741</v>
      </c>
      <c r="N273" s="15">
        <v>25.29673886021741</v>
      </c>
      <c r="O273" s="15">
        <v>12.439628202534852</v>
      </c>
    </row>
    <row r="274" spans="3:15" x14ac:dyDescent="0.3">
      <c r="C274" s="15" t="s">
        <v>339</v>
      </c>
      <c r="D274" s="15" t="s">
        <v>378</v>
      </c>
      <c r="E274" s="15" t="s">
        <v>344</v>
      </c>
      <c r="F274" s="15" t="s">
        <v>381</v>
      </c>
      <c r="G274" s="15" t="s">
        <v>3</v>
      </c>
      <c r="L274" s="15">
        <v>5.8800648954318797</v>
      </c>
      <c r="M274" s="15">
        <v>5.8800648954318797</v>
      </c>
      <c r="N274" s="15">
        <v>5.8800648954318797</v>
      </c>
    </row>
    <row r="275" spans="3:15" x14ac:dyDescent="0.3">
      <c r="C275" s="15" t="s">
        <v>339</v>
      </c>
      <c r="D275" s="15" t="s">
        <v>378</v>
      </c>
      <c r="E275" s="15" t="s">
        <v>344</v>
      </c>
      <c r="F275" s="15" t="s">
        <v>381</v>
      </c>
      <c r="G275" s="15" t="s">
        <v>4</v>
      </c>
      <c r="L275" s="15">
        <v>19.3589312717029</v>
      </c>
      <c r="M275" s="15">
        <v>19.663167409499827</v>
      </c>
      <c r="N275" s="15">
        <v>19.663167409499827</v>
      </c>
      <c r="O275" s="15">
        <v>0.30423613779692865</v>
      </c>
    </row>
    <row r="276" spans="3:15" x14ac:dyDescent="0.3">
      <c r="C276" s="15" t="s">
        <v>339</v>
      </c>
      <c r="D276" s="15" t="s">
        <v>378</v>
      </c>
      <c r="E276" s="15" t="s">
        <v>344</v>
      </c>
      <c r="F276" s="15" t="s">
        <v>381</v>
      </c>
      <c r="G276" s="15" t="s">
        <v>5</v>
      </c>
      <c r="L276" s="15">
        <v>12.713582708983031</v>
      </c>
      <c r="M276" s="15">
        <v>12.713582708983031</v>
      </c>
      <c r="N276" s="15">
        <v>12.713582708983031</v>
      </c>
    </row>
    <row r="277" spans="3:15" x14ac:dyDescent="0.3">
      <c r="C277" s="15" t="s">
        <v>339</v>
      </c>
      <c r="D277" s="15" t="s">
        <v>378</v>
      </c>
      <c r="E277" s="15" t="s">
        <v>344</v>
      </c>
      <c r="F277" s="15" t="s">
        <v>381</v>
      </c>
      <c r="G277" s="15" t="s">
        <v>7</v>
      </c>
      <c r="L277" s="15">
        <v>10.161724674789415</v>
      </c>
      <c r="M277" s="15">
        <v>26.175286657961568</v>
      </c>
      <c r="N277" s="15">
        <v>26.175286657961568</v>
      </c>
      <c r="O277" s="15">
        <v>16.013561983172156</v>
      </c>
    </row>
    <row r="278" spans="3:15" x14ac:dyDescent="0.3">
      <c r="C278" s="15" t="s">
        <v>339</v>
      </c>
      <c r="D278" s="15" t="s">
        <v>378</v>
      </c>
      <c r="E278" s="15" t="s">
        <v>344</v>
      </c>
      <c r="F278" s="15" t="s">
        <v>382</v>
      </c>
      <c r="G278" s="15" t="s">
        <v>0</v>
      </c>
      <c r="H278" s="15">
        <v>5.2211749484316625</v>
      </c>
      <c r="K278" s="15">
        <v>2.2430672037983443</v>
      </c>
    </row>
    <row r="279" spans="3:15" x14ac:dyDescent="0.3">
      <c r="C279" s="15" t="s">
        <v>339</v>
      </c>
      <c r="D279" s="15" t="s">
        <v>378</v>
      </c>
      <c r="E279" s="15" t="s">
        <v>344</v>
      </c>
      <c r="F279" s="15" t="s">
        <v>382</v>
      </c>
      <c r="G279" s="15" t="s">
        <v>1</v>
      </c>
      <c r="H279" s="15">
        <v>25.838444157989972</v>
      </c>
      <c r="K279" s="15">
        <v>12.91922207899499</v>
      </c>
    </row>
    <row r="280" spans="3:15" x14ac:dyDescent="0.3">
      <c r="C280" s="15" t="s">
        <v>339</v>
      </c>
      <c r="D280" s="15" t="s">
        <v>378</v>
      </c>
      <c r="E280" s="15" t="s">
        <v>344</v>
      </c>
      <c r="F280" s="15" t="s">
        <v>382</v>
      </c>
      <c r="G280" s="15" t="s">
        <v>2</v>
      </c>
      <c r="H280" s="15">
        <v>43.198298594196238</v>
      </c>
      <c r="K280" s="15">
        <v>21.599149297098101</v>
      </c>
    </row>
    <row r="281" spans="3:15" x14ac:dyDescent="0.3">
      <c r="C281" s="15" t="s">
        <v>339</v>
      </c>
      <c r="D281" s="15" t="s">
        <v>378</v>
      </c>
      <c r="E281" s="15" t="s">
        <v>344</v>
      </c>
      <c r="F281" s="15" t="s">
        <v>382</v>
      </c>
      <c r="G281" s="15" t="s">
        <v>3</v>
      </c>
      <c r="H281" s="15">
        <v>32.530107021183262</v>
      </c>
      <c r="K281" s="15">
        <v>16.265053510591599</v>
      </c>
    </row>
    <row r="282" spans="3:15" x14ac:dyDescent="0.3">
      <c r="C282" s="15" t="s">
        <v>339</v>
      </c>
      <c r="D282" s="15" t="s">
        <v>378</v>
      </c>
      <c r="E282" s="15" t="s">
        <v>344</v>
      </c>
      <c r="F282" s="15" t="s">
        <v>382</v>
      </c>
      <c r="G282" s="15" t="s">
        <v>4</v>
      </c>
      <c r="H282" s="15">
        <v>113.88799610154538</v>
      </c>
    </row>
    <row r="283" spans="3:15" x14ac:dyDescent="0.3">
      <c r="C283" s="15" t="s">
        <v>339</v>
      </c>
      <c r="D283" s="15" t="s">
        <v>378</v>
      </c>
      <c r="E283" s="15" t="s">
        <v>344</v>
      </c>
      <c r="F283" s="15" t="s">
        <v>382</v>
      </c>
      <c r="G283" s="15" t="s">
        <v>5</v>
      </c>
      <c r="H283" s="15">
        <v>45.625559104785516</v>
      </c>
      <c r="K283" s="15">
        <v>18.354063603586297</v>
      </c>
    </row>
    <row r="284" spans="3:15" x14ac:dyDescent="0.3">
      <c r="C284" s="15" t="s">
        <v>339</v>
      </c>
      <c r="D284" s="15" t="s">
        <v>378</v>
      </c>
      <c r="E284" s="15" t="s">
        <v>344</v>
      </c>
      <c r="F284" s="15" t="s">
        <v>382</v>
      </c>
      <c r="G284" s="15" t="s">
        <v>6</v>
      </c>
      <c r="H284" s="15">
        <v>64.006416321596021</v>
      </c>
      <c r="K284" s="15">
        <v>32.003208160798096</v>
      </c>
    </row>
    <row r="285" spans="3:15" x14ac:dyDescent="0.3">
      <c r="C285" s="15" t="s">
        <v>339</v>
      </c>
      <c r="D285" s="15" t="s">
        <v>378</v>
      </c>
      <c r="E285" s="15" t="s">
        <v>344</v>
      </c>
      <c r="F285" s="15" t="s">
        <v>382</v>
      </c>
      <c r="G285" s="15" t="s">
        <v>7</v>
      </c>
      <c r="H285" s="15">
        <v>23.129009221142613</v>
      </c>
    </row>
    <row r="286" spans="3:15" x14ac:dyDescent="0.3">
      <c r="C286" s="15" t="s">
        <v>339</v>
      </c>
      <c r="D286" s="15" t="s">
        <v>378</v>
      </c>
      <c r="E286" s="15" t="s">
        <v>344</v>
      </c>
      <c r="F286" s="15" t="s">
        <v>382</v>
      </c>
      <c r="G286" s="15" t="s">
        <v>8</v>
      </c>
      <c r="H286" s="15">
        <v>71.961108888529594</v>
      </c>
    </row>
    <row r="287" spans="3:15" x14ac:dyDescent="0.3">
      <c r="C287" s="15" t="s">
        <v>339</v>
      </c>
      <c r="D287" s="15" t="s">
        <v>378</v>
      </c>
      <c r="E287" s="15" t="s">
        <v>344</v>
      </c>
      <c r="F287" s="15" t="s">
        <v>383</v>
      </c>
      <c r="G287" s="15" t="s">
        <v>0</v>
      </c>
      <c r="H287" s="15">
        <v>3.5438908985282756E-2</v>
      </c>
      <c r="K287" s="15">
        <v>1.181296966176093E-2</v>
      </c>
    </row>
    <row r="288" spans="3:15" x14ac:dyDescent="0.3">
      <c r="C288" s="15" t="s">
        <v>339</v>
      </c>
      <c r="D288" s="15" t="s">
        <v>378</v>
      </c>
      <c r="E288" s="15" t="s">
        <v>344</v>
      </c>
      <c r="F288" s="15" t="s">
        <v>383</v>
      </c>
      <c r="G288" s="15" t="s">
        <v>1</v>
      </c>
      <c r="H288" s="15">
        <v>0.65313295905034685</v>
      </c>
      <c r="K288" s="15">
        <v>0.21771098635011557</v>
      </c>
    </row>
    <row r="289" spans="3:12" x14ac:dyDescent="0.3">
      <c r="C289" s="15" t="s">
        <v>339</v>
      </c>
      <c r="D289" s="15" t="s">
        <v>378</v>
      </c>
      <c r="E289" s="15" t="s">
        <v>344</v>
      </c>
      <c r="F289" s="15" t="s">
        <v>383</v>
      </c>
      <c r="G289" s="15" t="s">
        <v>2</v>
      </c>
      <c r="H289" s="15">
        <v>0.88453477628589228</v>
      </c>
      <c r="K289" s="15">
        <v>0.29484492542863094</v>
      </c>
    </row>
    <row r="290" spans="3:12" x14ac:dyDescent="0.3">
      <c r="C290" s="15" t="s">
        <v>339</v>
      </c>
      <c r="D290" s="15" t="s">
        <v>378</v>
      </c>
      <c r="E290" s="15" t="s">
        <v>344</v>
      </c>
      <c r="F290" s="15" t="s">
        <v>383</v>
      </c>
      <c r="G290" s="15" t="s">
        <v>3</v>
      </c>
      <c r="H290" s="15">
        <v>1.1103293358984196</v>
      </c>
      <c r="K290" s="15">
        <v>0.37010977863280575</v>
      </c>
    </row>
    <row r="291" spans="3:12" x14ac:dyDescent="0.3">
      <c r="C291" s="15" t="s">
        <v>339</v>
      </c>
      <c r="D291" s="15" t="s">
        <v>378</v>
      </c>
      <c r="E291" s="15" t="s">
        <v>344</v>
      </c>
      <c r="F291" s="15" t="s">
        <v>383</v>
      </c>
      <c r="G291" s="15" t="s">
        <v>4</v>
      </c>
      <c r="H291" s="15">
        <v>0.44236232538623838</v>
      </c>
      <c r="K291" s="15">
        <v>0.14745410846207946</v>
      </c>
    </row>
    <row r="292" spans="3:12" x14ac:dyDescent="0.3">
      <c r="C292" s="15" t="s">
        <v>339</v>
      </c>
      <c r="D292" s="15" t="s">
        <v>378</v>
      </c>
      <c r="E292" s="15" t="s">
        <v>344</v>
      </c>
      <c r="F292" s="15" t="s">
        <v>383</v>
      </c>
      <c r="G292" s="15" t="s">
        <v>5</v>
      </c>
      <c r="H292" s="15">
        <v>0.69926892873901625</v>
      </c>
      <c r="I292" s="15">
        <v>0.65265100015641431</v>
      </c>
      <c r="K292" s="15">
        <v>0.23308964291300538</v>
      </c>
    </row>
    <row r="293" spans="3:12" x14ac:dyDescent="0.3">
      <c r="C293" s="15" t="s">
        <v>339</v>
      </c>
      <c r="D293" s="15" t="s">
        <v>378</v>
      </c>
      <c r="E293" s="15" t="s">
        <v>344</v>
      </c>
      <c r="F293" s="15" t="s">
        <v>383</v>
      </c>
      <c r="G293" s="15" t="s">
        <v>6</v>
      </c>
      <c r="H293" s="15">
        <v>0.30133477788435348</v>
      </c>
      <c r="I293" s="15">
        <v>0.2812457926920634</v>
      </c>
      <c r="K293" s="15">
        <v>0.10044492596145131</v>
      </c>
    </row>
    <row r="294" spans="3:12" x14ac:dyDescent="0.3">
      <c r="C294" s="15" t="s">
        <v>339</v>
      </c>
      <c r="D294" s="15" t="s">
        <v>378</v>
      </c>
      <c r="E294" s="15" t="s">
        <v>344</v>
      </c>
      <c r="F294" s="15" t="s">
        <v>383</v>
      </c>
      <c r="G294" s="15" t="s">
        <v>7</v>
      </c>
      <c r="H294" s="15">
        <v>0.27787237406492715</v>
      </c>
      <c r="K294" s="15">
        <v>9.2624124688309079E-2</v>
      </c>
    </row>
    <row r="295" spans="3:12" x14ac:dyDescent="0.3">
      <c r="C295" s="15" t="s">
        <v>339</v>
      </c>
      <c r="D295" s="15" t="s">
        <v>378</v>
      </c>
      <c r="E295" s="15" t="s">
        <v>344</v>
      </c>
      <c r="F295" s="15" t="s">
        <v>383</v>
      </c>
      <c r="G295" s="15" t="s">
        <v>8</v>
      </c>
      <c r="H295" s="15">
        <v>0.17482813949301992</v>
      </c>
      <c r="K295" s="15">
        <v>5.827604649767331E-2</v>
      </c>
    </row>
    <row r="296" spans="3:12" x14ac:dyDescent="0.3">
      <c r="C296" s="15" t="s">
        <v>339</v>
      </c>
      <c r="D296" s="15" t="s">
        <v>378</v>
      </c>
      <c r="E296" s="15" t="s">
        <v>384</v>
      </c>
      <c r="F296" s="15" t="s">
        <v>385</v>
      </c>
      <c r="G296" s="15" t="s">
        <v>0</v>
      </c>
      <c r="H296" s="15">
        <v>35.952280115233997</v>
      </c>
      <c r="I296" s="15">
        <v>34.154666109472302</v>
      </c>
      <c r="J296" s="15">
        <v>26.964210086425499</v>
      </c>
      <c r="K296" s="15">
        <v>17.976140057616998</v>
      </c>
      <c r="L296" s="15">
        <v>8.9880700288085098</v>
      </c>
    </row>
    <row r="297" spans="3:12" x14ac:dyDescent="0.3">
      <c r="C297" s="15" t="s">
        <v>339</v>
      </c>
      <c r="D297" s="15" t="s">
        <v>378</v>
      </c>
      <c r="E297" s="15" t="s">
        <v>384</v>
      </c>
      <c r="F297" s="15" t="s">
        <v>385</v>
      </c>
      <c r="G297" s="15" t="s">
        <v>1</v>
      </c>
      <c r="H297" s="15">
        <v>47.0629010847641</v>
      </c>
      <c r="I297" s="15">
        <v>44.709756030525902</v>
      </c>
      <c r="J297" s="15">
        <v>35.297175813573098</v>
      </c>
      <c r="K297" s="15">
        <v>23.5314505423821</v>
      </c>
      <c r="L297" s="15">
        <v>11.765725271191</v>
      </c>
    </row>
    <row r="298" spans="3:12" x14ac:dyDescent="0.3">
      <c r="C298" s="15" t="s">
        <v>339</v>
      </c>
      <c r="D298" s="15" t="s">
        <v>378</v>
      </c>
      <c r="E298" s="15" t="s">
        <v>384</v>
      </c>
      <c r="F298" s="15" t="s">
        <v>385</v>
      </c>
      <c r="G298" s="15" t="s">
        <v>2</v>
      </c>
      <c r="H298" s="15">
        <v>72.644282245838795</v>
      </c>
      <c r="I298" s="15">
        <v>69.012068133546805</v>
      </c>
      <c r="J298" s="15">
        <v>54.4832116843791</v>
      </c>
      <c r="K298" s="15">
        <v>36.322141122919398</v>
      </c>
      <c r="L298" s="15">
        <v>18.161070561459699</v>
      </c>
    </row>
    <row r="299" spans="3:12" x14ac:dyDescent="0.3">
      <c r="C299" s="15" t="s">
        <v>339</v>
      </c>
      <c r="D299" s="15" t="s">
        <v>378</v>
      </c>
      <c r="E299" s="15" t="s">
        <v>384</v>
      </c>
      <c r="F299" s="15" t="s">
        <v>385</v>
      </c>
      <c r="G299" s="15" t="s">
        <v>3</v>
      </c>
      <c r="H299" s="15">
        <v>52.246555818590799</v>
      </c>
      <c r="I299" s="15">
        <v>49.634228027661202</v>
      </c>
      <c r="J299" s="15">
        <v>39.184916863943101</v>
      </c>
      <c r="K299" s="15">
        <v>26.1232779092954</v>
      </c>
      <c r="L299" s="15">
        <v>13.0616389546477</v>
      </c>
    </row>
    <row r="300" spans="3:12" x14ac:dyDescent="0.3">
      <c r="C300" s="15" t="s">
        <v>339</v>
      </c>
      <c r="D300" s="15" t="s">
        <v>378</v>
      </c>
      <c r="E300" s="15" t="s">
        <v>384</v>
      </c>
      <c r="F300" s="15" t="s">
        <v>385</v>
      </c>
      <c r="G300" s="15" t="s">
        <v>4</v>
      </c>
      <c r="H300" s="15">
        <v>80.630117907599995</v>
      </c>
      <c r="I300" s="15">
        <v>76.598612012220002</v>
      </c>
      <c r="J300" s="15">
        <v>60.4725884307</v>
      </c>
      <c r="K300" s="15">
        <v>40.315058953799998</v>
      </c>
      <c r="L300" s="15">
        <v>20.157529476899999</v>
      </c>
    </row>
    <row r="301" spans="3:12" x14ac:dyDescent="0.3">
      <c r="C301" s="15" t="s">
        <v>339</v>
      </c>
      <c r="D301" s="15" t="s">
        <v>378</v>
      </c>
      <c r="E301" s="15" t="s">
        <v>384</v>
      </c>
      <c r="F301" s="15" t="s">
        <v>385</v>
      </c>
      <c r="G301" s="15" t="s">
        <v>5</v>
      </c>
      <c r="H301" s="15">
        <v>38.830889800205703</v>
      </c>
      <c r="I301" s="15">
        <v>36.889345310195502</v>
      </c>
      <c r="J301" s="15">
        <v>29.123167350154301</v>
      </c>
      <c r="K301" s="15">
        <v>19.415444900102901</v>
      </c>
      <c r="L301" s="15">
        <v>9.7077224500514294</v>
      </c>
    </row>
    <row r="302" spans="3:12" x14ac:dyDescent="0.3">
      <c r="C302" s="15" t="s">
        <v>339</v>
      </c>
      <c r="D302" s="15" t="s">
        <v>378</v>
      </c>
      <c r="E302" s="15" t="s">
        <v>384</v>
      </c>
      <c r="F302" s="15" t="s">
        <v>385</v>
      </c>
      <c r="G302" s="15" t="s">
        <v>6</v>
      </c>
      <c r="H302" s="15">
        <v>25.6060700126861</v>
      </c>
      <c r="I302" s="15">
        <v>24.3257665120518</v>
      </c>
      <c r="J302" s="15">
        <v>19.204552509514599</v>
      </c>
      <c r="K302" s="15">
        <v>12.8030350063431</v>
      </c>
      <c r="L302" s="15">
        <v>6.4015175031715401</v>
      </c>
    </row>
    <row r="303" spans="3:12" x14ac:dyDescent="0.3">
      <c r="C303" s="15" t="s">
        <v>339</v>
      </c>
      <c r="D303" s="15" t="s">
        <v>378</v>
      </c>
      <c r="E303" s="15" t="s">
        <v>384</v>
      </c>
      <c r="F303" s="15" t="s">
        <v>385</v>
      </c>
      <c r="G303" s="15" t="s">
        <v>7</v>
      </c>
      <c r="H303" s="15">
        <v>33.167822770240399</v>
      </c>
      <c r="I303" s="15">
        <v>31.5094316317284</v>
      </c>
      <c r="J303" s="15">
        <v>24.875867077680301</v>
      </c>
      <c r="K303" s="15">
        <v>16.583911385120199</v>
      </c>
      <c r="L303" s="15">
        <v>8.2919556925600997</v>
      </c>
    </row>
    <row r="304" spans="3:12" x14ac:dyDescent="0.3">
      <c r="C304" s="15" t="s">
        <v>339</v>
      </c>
      <c r="D304" s="15" t="s">
        <v>378</v>
      </c>
      <c r="E304" s="15" t="s">
        <v>384</v>
      </c>
      <c r="F304" s="15" t="s">
        <v>385</v>
      </c>
      <c r="G304" s="15" t="s">
        <v>8</v>
      </c>
      <c r="H304" s="15">
        <v>92.897116338874696</v>
      </c>
      <c r="I304" s="15">
        <v>88.252260521930907</v>
      </c>
      <c r="J304" s="15">
        <v>69.672837254155993</v>
      </c>
      <c r="K304" s="15">
        <v>46.448558169437298</v>
      </c>
      <c r="L304" s="15">
        <v>23.224279084718699</v>
      </c>
    </row>
    <row r="305" spans="3:17" x14ac:dyDescent="0.3">
      <c r="C305" s="15" t="s">
        <v>339</v>
      </c>
      <c r="D305" s="15" t="s">
        <v>378</v>
      </c>
      <c r="E305" s="15" t="s">
        <v>384</v>
      </c>
      <c r="F305" s="15" t="s">
        <v>386</v>
      </c>
      <c r="G305" s="15" t="s">
        <v>0</v>
      </c>
      <c r="I305" s="15">
        <v>439.125758566125</v>
      </c>
      <c r="J305" s="15">
        <v>439.125758566125</v>
      </c>
      <c r="K305" s="15">
        <v>454.22559072285719</v>
      </c>
      <c r="L305" s="15">
        <v>454.22559072285719</v>
      </c>
      <c r="M305" s="15">
        <v>425.33478636069822</v>
      </c>
      <c r="N305" s="15">
        <v>392.52231910397319</v>
      </c>
      <c r="O305" s="15">
        <v>377.422486947241</v>
      </c>
      <c r="P305" s="15">
        <v>377.422486947241</v>
      </c>
      <c r="Q305" s="15">
        <v>361.57824533369097</v>
      </c>
    </row>
    <row r="306" spans="3:17" x14ac:dyDescent="0.3">
      <c r="C306" s="15" t="s">
        <v>339</v>
      </c>
      <c r="D306" s="15" t="s">
        <v>378</v>
      </c>
      <c r="E306" s="15" t="s">
        <v>384</v>
      </c>
      <c r="F306" s="15" t="s">
        <v>386</v>
      </c>
      <c r="G306" s="15" t="s">
        <v>1</v>
      </c>
      <c r="I306" s="15">
        <v>1115.10408876163</v>
      </c>
      <c r="J306" s="15">
        <v>1115.10408876163</v>
      </c>
      <c r="K306" s="15">
        <v>1143.2465814347388</v>
      </c>
      <c r="L306" s="15">
        <v>1143.2465814347388</v>
      </c>
      <c r="M306" s="15">
        <v>1033.9586675900609</v>
      </c>
      <c r="N306" s="15">
        <v>828.91177116293193</v>
      </c>
      <c r="O306" s="15">
        <v>800.76927848982302</v>
      </c>
      <c r="P306" s="15">
        <v>800.76927848982302</v>
      </c>
      <c r="Q306" s="15">
        <v>750.75414821920697</v>
      </c>
    </row>
    <row r="307" spans="3:17" x14ac:dyDescent="0.3">
      <c r="C307" s="15" t="s">
        <v>339</v>
      </c>
      <c r="D307" s="15" t="s">
        <v>378</v>
      </c>
      <c r="E307" s="15" t="s">
        <v>384</v>
      </c>
      <c r="F307" s="15" t="s">
        <v>386</v>
      </c>
      <c r="G307" s="15" t="s">
        <v>2</v>
      </c>
      <c r="I307" s="15">
        <v>1389.7970229042501</v>
      </c>
      <c r="J307" s="15">
        <v>1389.7970229042501</v>
      </c>
      <c r="K307" s="15">
        <v>1389.7970229042501</v>
      </c>
      <c r="L307" s="15">
        <v>1389.7970229042501</v>
      </c>
      <c r="M307" s="15">
        <v>1300.9987561538751</v>
      </c>
      <c r="N307" s="15">
        <v>725.55762799020499</v>
      </c>
      <c r="O307" s="15">
        <v>725.55762799020499</v>
      </c>
      <c r="P307" s="15">
        <v>725.55762799020499</v>
      </c>
      <c r="Q307" s="15">
        <v>683.16171741415906</v>
      </c>
    </row>
    <row r="308" spans="3:17" x14ac:dyDescent="0.3">
      <c r="C308" s="15" t="s">
        <v>339</v>
      </c>
      <c r="D308" s="15" t="s">
        <v>378</v>
      </c>
      <c r="E308" s="15" t="s">
        <v>384</v>
      </c>
      <c r="F308" s="15" t="s">
        <v>386</v>
      </c>
      <c r="G308" s="15" t="s">
        <v>3</v>
      </c>
      <c r="I308" s="15">
        <v>659.88257815015402</v>
      </c>
      <c r="J308" s="15">
        <v>659.88257815015402</v>
      </c>
      <c r="K308" s="15">
        <v>659.88257815015402</v>
      </c>
      <c r="L308" s="15">
        <v>670.74228162533211</v>
      </c>
      <c r="M308" s="15">
        <v>658.65930338473413</v>
      </c>
      <c r="N308" s="15">
        <v>453.22752421782707</v>
      </c>
      <c r="O308" s="15">
        <v>453.22752421782707</v>
      </c>
      <c r="P308" s="15">
        <v>442.36782074264897</v>
      </c>
      <c r="Q308" s="15">
        <v>410.233991506027</v>
      </c>
    </row>
    <row r="309" spans="3:17" x14ac:dyDescent="0.3">
      <c r="C309" s="15" t="s">
        <v>339</v>
      </c>
      <c r="D309" s="15" t="s">
        <v>378</v>
      </c>
      <c r="E309" s="15" t="s">
        <v>384</v>
      </c>
      <c r="F309" s="15" t="s">
        <v>386</v>
      </c>
      <c r="G309" s="15" t="s">
        <v>4</v>
      </c>
      <c r="I309" s="15">
        <v>800.50962263183897</v>
      </c>
      <c r="J309" s="15">
        <v>800.50962263183897</v>
      </c>
      <c r="K309" s="15">
        <v>800.50962263183897</v>
      </c>
      <c r="L309" s="15">
        <v>800.50962263183897</v>
      </c>
      <c r="M309" s="15">
        <v>801.99313228098299</v>
      </c>
      <c r="N309" s="15">
        <v>298.47124683878798</v>
      </c>
      <c r="O309" s="15">
        <v>298.47124683878798</v>
      </c>
      <c r="P309" s="15">
        <v>298.47124683878798</v>
      </c>
    </row>
    <row r="310" spans="3:17" x14ac:dyDescent="0.3">
      <c r="C310" s="15" t="s">
        <v>339</v>
      </c>
      <c r="D310" s="15" t="s">
        <v>378</v>
      </c>
      <c r="E310" s="15" t="s">
        <v>384</v>
      </c>
      <c r="F310" s="15" t="s">
        <v>386</v>
      </c>
      <c r="G310" s="15" t="s">
        <v>5</v>
      </c>
      <c r="I310" s="15">
        <v>276.419334995611</v>
      </c>
      <c r="J310" s="15">
        <v>276.419334995611</v>
      </c>
      <c r="K310" s="15">
        <v>276.419334995611</v>
      </c>
      <c r="L310" s="15">
        <v>276.419334995611</v>
      </c>
      <c r="M310" s="15">
        <v>173.86822193601401</v>
      </c>
    </row>
    <row r="311" spans="3:17" x14ac:dyDescent="0.3">
      <c r="C311" s="15" t="s">
        <v>339</v>
      </c>
      <c r="D311" s="15" t="s">
        <v>378</v>
      </c>
      <c r="E311" s="15" t="s">
        <v>384</v>
      </c>
      <c r="F311" s="15" t="s">
        <v>386</v>
      </c>
      <c r="G311" s="15" t="s">
        <v>6</v>
      </c>
      <c r="I311" s="15">
        <v>363.32056913215803</v>
      </c>
      <c r="J311" s="15">
        <v>363.32056913215803</v>
      </c>
      <c r="K311" s="15">
        <v>363.32056913215803</v>
      </c>
      <c r="L311" s="15">
        <v>363.32056913215803</v>
      </c>
      <c r="M311" s="15">
        <v>228.52924289392499</v>
      </c>
    </row>
    <row r="312" spans="3:17" x14ac:dyDescent="0.3">
      <c r="C312" s="15" t="s">
        <v>339</v>
      </c>
      <c r="D312" s="15" t="s">
        <v>378</v>
      </c>
      <c r="E312" s="15" t="s">
        <v>384</v>
      </c>
      <c r="F312" s="15" t="s">
        <v>386</v>
      </c>
      <c r="G312" s="15" t="s">
        <v>7</v>
      </c>
      <c r="I312" s="15">
        <v>605.15210637305097</v>
      </c>
      <c r="J312" s="15">
        <v>605.15210637305097</v>
      </c>
      <c r="K312" s="15">
        <v>605.15210637305097</v>
      </c>
      <c r="L312" s="15">
        <v>605.15210637305097</v>
      </c>
      <c r="M312" s="15">
        <v>563.02825141852395</v>
      </c>
      <c r="N312" s="15">
        <v>182.38656896318199</v>
      </c>
      <c r="O312" s="15">
        <v>182.38656896318199</v>
      </c>
      <c r="P312" s="15">
        <v>182.38656896318199</v>
      </c>
      <c r="Q312" s="15">
        <v>108.729673064419</v>
      </c>
    </row>
    <row r="313" spans="3:17" x14ac:dyDescent="0.3">
      <c r="C313" s="15" t="s">
        <v>339</v>
      </c>
      <c r="D313" s="15" t="s">
        <v>378</v>
      </c>
      <c r="E313" s="15" t="s">
        <v>384</v>
      </c>
      <c r="F313" s="15" t="s">
        <v>386</v>
      </c>
      <c r="G313" s="15" t="s">
        <v>8</v>
      </c>
      <c r="I313" s="15">
        <v>737.58778000350105</v>
      </c>
      <c r="J313" s="15">
        <v>737.58778000350105</v>
      </c>
      <c r="K313" s="15">
        <v>744.09823674976644</v>
      </c>
      <c r="L313" s="15">
        <v>773.21258030206013</v>
      </c>
      <c r="M313" s="15">
        <v>775.42704722783014</v>
      </c>
      <c r="N313" s="15">
        <v>738.01736409938917</v>
      </c>
      <c r="O313" s="15">
        <v>731.50690735312367</v>
      </c>
      <c r="P313" s="15">
        <v>725.50190704979752</v>
      </c>
      <c r="Q313" s="15">
        <v>714.94614340310568</v>
      </c>
    </row>
    <row r="314" spans="3:17" x14ac:dyDescent="0.3">
      <c r="C314" s="15" t="s">
        <v>339</v>
      </c>
      <c r="D314" s="15" t="s">
        <v>378</v>
      </c>
      <c r="E314" s="15" t="s">
        <v>387</v>
      </c>
      <c r="F314" s="15" t="s">
        <v>388</v>
      </c>
      <c r="G314" s="15" t="s">
        <v>0</v>
      </c>
      <c r="H314" s="15">
        <v>72.106586627820803</v>
      </c>
    </row>
    <row r="315" spans="3:17" x14ac:dyDescent="0.3">
      <c r="C315" s="15" t="s">
        <v>339</v>
      </c>
      <c r="D315" s="15" t="s">
        <v>378</v>
      </c>
      <c r="E315" s="15" t="s">
        <v>387</v>
      </c>
      <c r="F315" s="15" t="s">
        <v>388</v>
      </c>
      <c r="G315" s="15" t="s">
        <v>1</v>
      </c>
      <c r="H315" s="15">
        <v>91.180926411771594</v>
      </c>
    </row>
    <row r="316" spans="3:17" x14ac:dyDescent="0.3">
      <c r="C316" s="15" t="s">
        <v>339</v>
      </c>
      <c r="D316" s="15" t="s">
        <v>378</v>
      </c>
      <c r="E316" s="15" t="s">
        <v>387</v>
      </c>
      <c r="F316" s="15" t="s">
        <v>388</v>
      </c>
      <c r="G316" s="15" t="s">
        <v>2</v>
      </c>
      <c r="H316" s="15">
        <v>18.962537332170399</v>
      </c>
    </row>
    <row r="317" spans="3:17" x14ac:dyDescent="0.3">
      <c r="C317" s="15" t="s">
        <v>339</v>
      </c>
      <c r="D317" s="15" t="s">
        <v>378</v>
      </c>
      <c r="E317" s="15" t="s">
        <v>387</v>
      </c>
      <c r="F317" s="15" t="s">
        <v>388</v>
      </c>
      <c r="G317" s="15" t="s">
        <v>3</v>
      </c>
      <c r="H317" s="15">
        <v>9.6594120160428307</v>
      </c>
    </row>
    <row r="318" spans="3:17" x14ac:dyDescent="0.3">
      <c r="C318" s="15" t="s">
        <v>339</v>
      </c>
      <c r="D318" s="15" t="s">
        <v>378</v>
      </c>
      <c r="E318" s="15" t="s">
        <v>387</v>
      </c>
      <c r="F318" s="15" t="s">
        <v>388</v>
      </c>
      <c r="G318" s="15" t="s">
        <v>4</v>
      </c>
      <c r="H318" s="15">
        <v>32.212188013447403</v>
      </c>
    </row>
    <row r="319" spans="3:17" x14ac:dyDescent="0.3">
      <c r="C319" s="15" t="s">
        <v>339</v>
      </c>
      <c r="D319" s="15" t="s">
        <v>378</v>
      </c>
      <c r="E319" s="15" t="s">
        <v>387</v>
      </c>
      <c r="F319" s="15" t="s">
        <v>388</v>
      </c>
      <c r="G319" s="15" t="s">
        <v>7</v>
      </c>
      <c r="H319" s="15">
        <v>2.0854180373862401</v>
      </c>
    </row>
    <row r="320" spans="3:17" x14ac:dyDescent="0.3">
      <c r="C320" s="15" t="s">
        <v>339</v>
      </c>
      <c r="D320" s="15" t="s">
        <v>378</v>
      </c>
      <c r="E320" s="15" t="s">
        <v>387</v>
      </c>
      <c r="F320" s="15" t="s">
        <v>388</v>
      </c>
      <c r="G320" s="15" t="s">
        <v>8</v>
      </c>
      <c r="H320" s="15">
        <v>8.7691274353550597</v>
      </c>
    </row>
    <row r="321" spans="3:11" x14ac:dyDescent="0.3">
      <c r="C321" s="15" t="s">
        <v>339</v>
      </c>
      <c r="D321" s="15" t="s">
        <v>378</v>
      </c>
      <c r="E321" s="15" t="s">
        <v>387</v>
      </c>
      <c r="F321" s="15" t="s">
        <v>389</v>
      </c>
      <c r="G321" s="15" t="s">
        <v>0</v>
      </c>
      <c r="H321" s="15">
        <v>142.79320729818301</v>
      </c>
    </row>
    <row r="322" spans="3:11" x14ac:dyDescent="0.3">
      <c r="C322" s="15" t="s">
        <v>339</v>
      </c>
      <c r="D322" s="15" t="s">
        <v>378</v>
      </c>
      <c r="E322" s="15" t="s">
        <v>387</v>
      </c>
      <c r="F322" s="15" t="s">
        <v>389</v>
      </c>
      <c r="G322" s="15" t="s">
        <v>1</v>
      </c>
      <c r="H322" s="15">
        <v>212.57137879626799</v>
      </c>
    </row>
    <row r="323" spans="3:11" x14ac:dyDescent="0.3">
      <c r="C323" s="15" t="s">
        <v>339</v>
      </c>
      <c r="D323" s="15" t="s">
        <v>378</v>
      </c>
      <c r="E323" s="15" t="s">
        <v>387</v>
      </c>
      <c r="F323" s="15" t="s">
        <v>389</v>
      </c>
      <c r="G323" s="15" t="s">
        <v>2</v>
      </c>
      <c r="H323" s="15">
        <v>3.92795729931064</v>
      </c>
    </row>
    <row r="324" spans="3:11" x14ac:dyDescent="0.3">
      <c r="C324" s="15" t="s">
        <v>339</v>
      </c>
      <c r="D324" s="15" t="s">
        <v>378</v>
      </c>
      <c r="E324" s="15" t="s">
        <v>387</v>
      </c>
      <c r="F324" s="15" t="s">
        <v>389</v>
      </c>
      <c r="G324" s="15" t="s">
        <v>3</v>
      </c>
      <c r="H324" s="15">
        <v>6.1892217819414004</v>
      </c>
    </row>
    <row r="325" spans="3:11" x14ac:dyDescent="0.3">
      <c r="C325" s="15" t="s">
        <v>339</v>
      </c>
      <c r="D325" s="15" t="s">
        <v>378</v>
      </c>
      <c r="E325" s="15" t="s">
        <v>387</v>
      </c>
      <c r="F325" s="15" t="s">
        <v>389</v>
      </c>
      <c r="G325" s="15" t="s">
        <v>4</v>
      </c>
      <c r="H325" s="15">
        <v>19.800843026108399</v>
      </c>
    </row>
    <row r="326" spans="3:11" x14ac:dyDescent="0.3">
      <c r="C326" s="15" t="s">
        <v>339</v>
      </c>
      <c r="D326" s="15" t="s">
        <v>378</v>
      </c>
      <c r="E326" s="15" t="s">
        <v>387</v>
      </c>
      <c r="F326" s="15" t="s">
        <v>389</v>
      </c>
      <c r="G326" s="15" t="s">
        <v>8</v>
      </c>
      <c r="H326" s="15">
        <v>2.0162786828396002</v>
      </c>
    </row>
    <row r="327" spans="3:11" x14ac:dyDescent="0.3">
      <c r="C327" s="15" t="s">
        <v>339</v>
      </c>
      <c r="D327" s="15" t="s">
        <v>378</v>
      </c>
      <c r="E327" s="15" t="s">
        <v>390</v>
      </c>
      <c r="F327" s="15" t="s">
        <v>391</v>
      </c>
      <c r="G327" s="15" t="s">
        <v>0</v>
      </c>
      <c r="H327" s="15">
        <v>3.5135538309426</v>
      </c>
    </row>
    <row r="328" spans="3:11" x14ac:dyDescent="0.3">
      <c r="C328" s="15" t="s">
        <v>339</v>
      </c>
      <c r="D328" s="15" t="s">
        <v>378</v>
      </c>
      <c r="E328" s="15" t="s">
        <v>390</v>
      </c>
      <c r="F328" s="15" t="s">
        <v>391</v>
      </c>
      <c r="G328" s="15" t="s">
        <v>1</v>
      </c>
      <c r="H328" s="15">
        <v>11.4211225438212</v>
      </c>
    </row>
    <row r="329" spans="3:11" x14ac:dyDescent="0.3">
      <c r="C329" s="15" t="s">
        <v>339</v>
      </c>
      <c r="D329" s="15" t="s">
        <v>378</v>
      </c>
      <c r="E329" s="15" t="s">
        <v>390</v>
      </c>
      <c r="F329" s="15" t="s">
        <v>391</v>
      </c>
      <c r="G329" s="15" t="s">
        <v>4</v>
      </c>
      <c r="H329" s="15">
        <v>5.4809010103228299</v>
      </c>
    </row>
    <row r="330" spans="3:11" x14ac:dyDescent="0.3">
      <c r="C330" s="15" t="s">
        <v>339</v>
      </c>
      <c r="D330" s="15" t="s">
        <v>378</v>
      </c>
      <c r="E330" s="15" t="s">
        <v>390</v>
      </c>
      <c r="F330" s="15" t="s">
        <v>391</v>
      </c>
      <c r="G330" s="15" t="s">
        <v>5</v>
      </c>
      <c r="H330" s="15">
        <v>0.42574735607866598</v>
      </c>
    </row>
    <row r="331" spans="3:11" x14ac:dyDescent="0.3">
      <c r="C331" s="15" t="s">
        <v>339</v>
      </c>
      <c r="D331" s="15" t="s">
        <v>378</v>
      </c>
      <c r="E331" s="15" t="s">
        <v>390</v>
      </c>
      <c r="F331" s="15" t="s">
        <v>391</v>
      </c>
      <c r="G331" s="15" t="s">
        <v>8</v>
      </c>
      <c r="H331" s="15">
        <v>1.24167428464911</v>
      </c>
      <c r="K331" s="15">
        <v>0.20865343039030601</v>
      </c>
    </row>
    <row r="332" spans="3:11" x14ac:dyDescent="0.3">
      <c r="C332" s="15" t="s">
        <v>339</v>
      </c>
      <c r="D332" s="15" t="s">
        <v>378</v>
      </c>
      <c r="E332" s="15" t="s">
        <v>363</v>
      </c>
      <c r="F332" s="15" t="s">
        <v>392</v>
      </c>
      <c r="G332" s="15" t="s">
        <v>0</v>
      </c>
      <c r="H332" s="15">
        <v>10.1537081796161</v>
      </c>
    </row>
    <row r="333" spans="3:11" x14ac:dyDescent="0.3">
      <c r="C333" s="15" t="s">
        <v>339</v>
      </c>
      <c r="D333" s="15" t="s">
        <v>378</v>
      </c>
      <c r="E333" s="15" t="s">
        <v>363</v>
      </c>
      <c r="F333" s="15" t="s">
        <v>392</v>
      </c>
      <c r="G333" s="15" t="s">
        <v>1</v>
      </c>
      <c r="H333" s="15">
        <v>43.518780696038803</v>
      </c>
    </row>
    <row r="334" spans="3:11" x14ac:dyDescent="0.3">
      <c r="C334" s="15" t="s">
        <v>339</v>
      </c>
      <c r="D334" s="15" t="s">
        <v>378</v>
      </c>
      <c r="E334" s="15" t="s">
        <v>363</v>
      </c>
      <c r="F334" s="15" t="s">
        <v>392</v>
      </c>
      <c r="G334" s="15" t="s">
        <v>2</v>
      </c>
      <c r="H334" s="15">
        <v>95.754395235024603</v>
      </c>
    </row>
    <row r="335" spans="3:11" x14ac:dyDescent="0.3">
      <c r="C335" s="15" t="s">
        <v>339</v>
      </c>
      <c r="D335" s="15" t="s">
        <v>378</v>
      </c>
      <c r="E335" s="15" t="s">
        <v>363</v>
      </c>
      <c r="F335" s="15" t="s">
        <v>392</v>
      </c>
      <c r="G335" s="15" t="s">
        <v>3</v>
      </c>
      <c r="H335" s="15">
        <v>109.526708394021</v>
      </c>
    </row>
    <row r="336" spans="3:11" x14ac:dyDescent="0.3">
      <c r="C336" s="15" t="s">
        <v>339</v>
      </c>
      <c r="D336" s="15" t="s">
        <v>378</v>
      </c>
      <c r="E336" s="15" t="s">
        <v>363</v>
      </c>
      <c r="F336" s="15" t="s">
        <v>392</v>
      </c>
      <c r="G336" s="15" t="s">
        <v>4</v>
      </c>
      <c r="H336" s="15">
        <v>37.867965591369199</v>
      </c>
    </row>
    <row r="337" spans="3:11" x14ac:dyDescent="0.3">
      <c r="C337" s="15" t="s">
        <v>339</v>
      </c>
      <c r="D337" s="15" t="s">
        <v>378</v>
      </c>
      <c r="E337" s="15" t="s">
        <v>363</v>
      </c>
      <c r="F337" s="15" t="s">
        <v>392</v>
      </c>
      <c r="G337" s="15" t="s">
        <v>5</v>
      </c>
      <c r="H337" s="15">
        <v>39.457724855228101</v>
      </c>
    </row>
    <row r="338" spans="3:11" x14ac:dyDescent="0.3">
      <c r="C338" s="15" t="s">
        <v>339</v>
      </c>
      <c r="D338" s="15" t="s">
        <v>378</v>
      </c>
      <c r="E338" s="15" t="s">
        <v>363</v>
      </c>
      <c r="F338" s="15" t="s">
        <v>392</v>
      </c>
      <c r="G338" s="15" t="s">
        <v>6</v>
      </c>
      <c r="H338" s="15">
        <v>25.223582083237901</v>
      </c>
    </row>
    <row r="339" spans="3:11" x14ac:dyDescent="0.3">
      <c r="C339" s="15" t="s">
        <v>339</v>
      </c>
      <c r="D339" s="15" t="s">
        <v>378</v>
      </c>
      <c r="E339" s="15" t="s">
        <v>363</v>
      </c>
      <c r="F339" s="15" t="s">
        <v>392</v>
      </c>
      <c r="G339" s="15" t="s">
        <v>7</v>
      </c>
      <c r="H339" s="15">
        <v>56.145930562029903</v>
      </c>
    </row>
    <row r="340" spans="3:11" x14ac:dyDescent="0.3">
      <c r="C340" s="15" t="s">
        <v>339</v>
      </c>
      <c r="D340" s="15" t="s">
        <v>378</v>
      </c>
      <c r="E340" s="15" t="s">
        <v>363</v>
      </c>
      <c r="F340" s="15" t="s">
        <v>392</v>
      </c>
      <c r="G340" s="15" t="s">
        <v>8</v>
      </c>
      <c r="H340" s="15">
        <v>22.2705665164845</v>
      </c>
    </row>
    <row r="341" spans="3:11" x14ac:dyDescent="0.3">
      <c r="C341" s="15" t="s">
        <v>339</v>
      </c>
      <c r="D341" s="15" t="s">
        <v>378</v>
      </c>
      <c r="E341" s="15" t="s">
        <v>365</v>
      </c>
      <c r="F341" s="15" t="s">
        <v>393</v>
      </c>
      <c r="G341" s="15" t="s">
        <v>0</v>
      </c>
      <c r="H341" s="15">
        <v>70.23380987881977</v>
      </c>
    </row>
    <row r="342" spans="3:11" x14ac:dyDescent="0.3">
      <c r="C342" s="15" t="s">
        <v>339</v>
      </c>
      <c r="D342" s="15" t="s">
        <v>378</v>
      </c>
      <c r="E342" s="15" t="s">
        <v>365</v>
      </c>
      <c r="F342" s="15" t="s">
        <v>393</v>
      </c>
      <c r="G342" s="15" t="s">
        <v>1</v>
      </c>
      <c r="H342" s="15">
        <v>409.66535854393078</v>
      </c>
      <c r="K342" s="15">
        <v>8.0428429200970388</v>
      </c>
    </row>
    <row r="343" spans="3:11" x14ac:dyDescent="0.3">
      <c r="C343" s="15" t="s">
        <v>339</v>
      </c>
      <c r="D343" s="15" t="s">
        <v>378</v>
      </c>
      <c r="E343" s="15" t="s">
        <v>365</v>
      </c>
      <c r="F343" s="15" t="s">
        <v>393</v>
      </c>
      <c r="G343" s="15" t="s">
        <v>2</v>
      </c>
      <c r="H343" s="15">
        <v>1013.8245864441374</v>
      </c>
      <c r="K343" s="15">
        <v>25.873920872669288</v>
      </c>
    </row>
    <row r="344" spans="3:11" x14ac:dyDescent="0.3">
      <c r="C344" s="15" t="s">
        <v>339</v>
      </c>
      <c r="D344" s="15" t="s">
        <v>378</v>
      </c>
      <c r="E344" s="15" t="s">
        <v>365</v>
      </c>
      <c r="F344" s="15" t="s">
        <v>393</v>
      </c>
      <c r="G344" s="15" t="s">
        <v>3</v>
      </c>
      <c r="H344" s="15">
        <v>360.00410869023881</v>
      </c>
    </row>
    <row r="345" spans="3:11" x14ac:dyDescent="0.3">
      <c r="C345" s="15" t="s">
        <v>339</v>
      </c>
      <c r="D345" s="15" t="s">
        <v>378</v>
      </c>
      <c r="E345" s="15" t="s">
        <v>365</v>
      </c>
      <c r="F345" s="15" t="s">
        <v>393</v>
      </c>
      <c r="G345" s="15" t="s">
        <v>4</v>
      </c>
      <c r="H345" s="15">
        <v>289.88094141853276</v>
      </c>
    </row>
    <row r="346" spans="3:11" x14ac:dyDescent="0.3">
      <c r="C346" s="15" t="s">
        <v>339</v>
      </c>
      <c r="D346" s="15" t="s">
        <v>378</v>
      </c>
      <c r="E346" s="15" t="s">
        <v>365</v>
      </c>
      <c r="F346" s="15" t="s">
        <v>393</v>
      </c>
      <c r="G346" s="15" t="s">
        <v>5</v>
      </c>
      <c r="H346" s="15">
        <v>122.4816942682601</v>
      </c>
    </row>
    <row r="347" spans="3:11" x14ac:dyDescent="0.3">
      <c r="C347" s="15" t="s">
        <v>339</v>
      </c>
      <c r="D347" s="15" t="s">
        <v>378</v>
      </c>
      <c r="E347" s="15" t="s">
        <v>365</v>
      </c>
      <c r="F347" s="15" t="s">
        <v>393</v>
      </c>
      <c r="G347" s="15" t="s">
        <v>6</v>
      </c>
      <c r="H347" s="15">
        <v>191.44564082436449</v>
      </c>
    </row>
    <row r="348" spans="3:11" x14ac:dyDescent="0.3">
      <c r="C348" s="15" t="s">
        <v>339</v>
      </c>
      <c r="D348" s="15" t="s">
        <v>378</v>
      </c>
      <c r="E348" s="15" t="s">
        <v>365</v>
      </c>
      <c r="F348" s="15" t="s">
        <v>393</v>
      </c>
      <c r="G348" s="15" t="s">
        <v>7</v>
      </c>
      <c r="H348" s="15">
        <v>349.57757937328427</v>
      </c>
    </row>
    <row r="349" spans="3:11" x14ac:dyDescent="0.3">
      <c r="C349" s="15" t="s">
        <v>339</v>
      </c>
      <c r="D349" s="15" t="s">
        <v>378</v>
      </c>
      <c r="E349" s="15" t="s">
        <v>365</v>
      </c>
      <c r="F349" s="15" t="s">
        <v>393</v>
      </c>
      <c r="G349" s="15" t="s">
        <v>8</v>
      </c>
      <c r="H349" s="15">
        <v>351.28047772374214</v>
      </c>
    </row>
    <row r="350" spans="3:11" x14ac:dyDescent="0.3">
      <c r="C350" s="15" t="s">
        <v>339</v>
      </c>
      <c r="D350" s="15" t="s">
        <v>378</v>
      </c>
      <c r="E350" s="15" t="s">
        <v>365</v>
      </c>
      <c r="F350" s="15" t="s">
        <v>394</v>
      </c>
      <c r="G350" s="15" t="s">
        <v>1</v>
      </c>
      <c r="H350" s="15">
        <v>0.71734534102595948</v>
      </c>
      <c r="K350" s="15">
        <v>0.23911511367531932</v>
      </c>
    </row>
    <row r="351" spans="3:11" x14ac:dyDescent="0.3">
      <c r="C351" s="15" t="s">
        <v>339</v>
      </c>
      <c r="D351" s="15" t="s">
        <v>378</v>
      </c>
      <c r="E351" s="15" t="s">
        <v>365</v>
      </c>
      <c r="F351" s="15" t="s">
        <v>394</v>
      </c>
      <c r="G351" s="15" t="s">
        <v>2</v>
      </c>
      <c r="H351" s="15">
        <v>0.2646357310865784</v>
      </c>
      <c r="K351" s="15">
        <v>8.821191036219278E-2</v>
      </c>
    </row>
    <row r="352" spans="3:11" x14ac:dyDescent="0.3">
      <c r="C352" s="15" t="s">
        <v>339</v>
      </c>
      <c r="D352" s="15" t="s">
        <v>378</v>
      </c>
      <c r="E352" s="15" t="s">
        <v>365</v>
      </c>
      <c r="F352" s="15" t="s">
        <v>394</v>
      </c>
      <c r="G352" s="15" t="s">
        <v>3</v>
      </c>
      <c r="H352" s="15">
        <v>0.88766115868187545</v>
      </c>
      <c r="K352" s="15">
        <v>0.29588705289395861</v>
      </c>
    </row>
    <row r="353" spans="3:11" x14ac:dyDescent="0.3">
      <c r="C353" s="15" t="s">
        <v>339</v>
      </c>
      <c r="D353" s="15" t="s">
        <v>378</v>
      </c>
      <c r="E353" s="15" t="s">
        <v>365</v>
      </c>
      <c r="F353" s="15" t="s">
        <v>394</v>
      </c>
      <c r="G353" s="15" t="s">
        <v>4</v>
      </c>
      <c r="H353" s="15">
        <v>2.4011929496797659</v>
      </c>
      <c r="K353" s="15">
        <v>0.80039764989325524</v>
      </c>
    </row>
    <row r="354" spans="3:11" x14ac:dyDescent="0.3">
      <c r="C354" s="15" t="s">
        <v>339</v>
      </c>
      <c r="D354" s="15" t="s">
        <v>378</v>
      </c>
      <c r="E354" s="15" t="s">
        <v>365</v>
      </c>
      <c r="F354" s="15" t="s">
        <v>394</v>
      </c>
      <c r="G354" s="15" t="s">
        <v>5</v>
      </c>
      <c r="H354" s="15">
        <v>0.73228566158920994</v>
      </c>
      <c r="K354" s="15">
        <v>0.24409522052973637</v>
      </c>
    </row>
    <row r="355" spans="3:11" x14ac:dyDescent="0.3">
      <c r="C355" s="15" t="s">
        <v>339</v>
      </c>
      <c r="D355" s="15" t="s">
        <v>378</v>
      </c>
      <c r="E355" s="15" t="s">
        <v>365</v>
      </c>
      <c r="F355" s="15" t="s">
        <v>394</v>
      </c>
      <c r="G355" s="15" t="s">
        <v>6</v>
      </c>
      <c r="H355" s="15">
        <v>0.24518440989501886</v>
      </c>
      <c r="K355" s="15">
        <v>8.1728136631672998E-2</v>
      </c>
    </row>
    <row r="356" spans="3:11" x14ac:dyDescent="0.3">
      <c r="C356" s="15" t="s">
        <v>339</v>
      </c>
      <c r="D356" s="15" t="s">
        <v>378</v>
      </c>
      <c r="E356" s="15" t="s">
        <v>365</v>
      </c>
      <c r="F356" s="15" t="s">
        <v>394</v>
      </c>
      <c r="G356" s="15" t="s">
        <v>7</v>
      </c>
      <c r="H356" s="15">
        <v>1.3021158950612561</v>
      </c>
      <c r="K356" s="15">
        <v>0.43403863168708468</v>
      </c>
    </row>
    <row r="357" spans="3:11" x14ac:dyDescent="0.3">
      <c r="C357" s="15" t="s">
        <v>339</v>
      </c>
      <c r="D357" s="15" t="s">
        <v>378</v>
      </c>
      <c r="E357" s="15" t="s">
        <v>365</v>
      </c>
      <c r="F357" s="15" t="s">
        <v>394</v>
      </c>
      <c r="G357" s="15" t="s">
        <v>8</v>
      </c>
      <c r="H357" s="15">
        <v>0.42942106960531767</v>
      </c>
      <c r="K357" s="15">
        <v>0.14314035653510604</v>
      </c>
    </row>
    <row r="358" spans="3:11" x14ac:dyDescent="0.3">
      <c r="C358" s="15" t="s">
        <v>339</v>
      </c>
      <c r="D358" s="15" t="s">
        <v>378</v>
      </c>
      <c r="E358" s="15" t="s">
        <v>365</v>
      </c>
      <c r="F358" s="15" t="s">
        <v>395</v>
      </c>
      <c r="G358" s="15" t="s">
        <v>0</v>
      </c>
      <c r="H358" s="15">
        <v>91.77414544846593</v>
      </c>
    </row>
    <row r="359" spans="3:11" x14ac:dyDescent="0.3">
      <c r="C359" s="15" t="s">
        <v>339</v>
      </c>
      <c r="D359" s="15" t="s">
        <v>378</v>
      </c>
      <c r="E359" s="15" t="s">
        <v>365</v>
      </c>
      <c r="F359" s="15" t="s">
        <v>395</v>
      </c>
      <c r="G359" s="15" t="s">
        <v>1</v>
      </c>
      <c r="H359" s="15">
        <v>243.35086565096987</v>
      </c>
    </row>
    <row r="360" spans="3:11" x14ac:dyDescent="0.3">
      <c r="C360" s="15" t="s">
        <v>339</v>
      </c>
      <c r="D360" s="15" t="s">
        <v>378</v>
      </c>
      <c r="E360" s="15" t="s">
        <v>365</v>
      </c>
      <c r="F360" s="15" t="s">
        <v>395</v>
      </c>
      <c r="G360" s="15" t="s">
        <v>2</v>
      </c>
      <c r="H360" s="15">
        <v>113.82316698743301</v>
      </c>
    </row>
    <row r="361" spans="3:11" x14ac:dyDescent="0.3">
      <c r="C361" s="15" t="s">
        <v>339</v>
      </c>
      <c r="D361" s="15" t="s">
        <v>378</v>
      </c>
      <c r="E361" s="15" t="s">
        <v>365</v>
      </c>
      <c r="F361" s="15" t="s">
        <v>395</v>
      </c>
      <c r="G361" s="15" t="s">
        <v>3</v>
      </c>
      <c r="H361" s="15">
        <v>43.89791608714286</v>
      </c>
    </row>
    <row r="362" spans="3:11" x14ac:dyDescent="0.3">
      <c r="C362" s="15" t="s">
        <v>339</v>
      </c>
      <c r="D362" s="15" t="s">
        <v>378</v>
      </c>
      <c r="E362" s="15" t="s">
        <v>365</v>
      </c>
      <c r="F362" s="15" t="s">
        <v>395</v>
      </c>
      <c r="G362" s="15" t="s">
        <v>4</v>
      </c>
      <c r="H362" s="15">
        <v>39.738310939736401</v>
      </c>
    </row>
    <row r="363" spans="3:11" x14ac:dyDescent="0.3">
      <c r="C363" s="15" t="s">
        <v>339</v>
      </c>
      <c r="D363" s="15" t="s">
        <v>378</v>
      </c>
      <c r="E363" s="15" t="s">
        <v>365</v>
      </c>
      <c r="F363" s="15" t="s">
        <v>395</v>
      </c>
      <c r="G363" s="15" t="s">
        <v>5</v>
      </c>
      <c r="H363" s="15">
        <v>12.146515558552467</v>
      </c>
    </row>
    <row r="364" spans="3:11" x14ac:dyDescent="0.3">
      <c r="C364" s="15" t="s">
        <v>339</v>
      </c>
      <c r="D364" s="15" t="s">
        <v>378</v>
      </c>
      <c r="E364" s="15" t="s">
        <v>365</v>
      </c>
      <c r="F364" s="15" t="s">
        <v>395</v>
      </c>
      <c r="G364" s="15" t="s">
        <v>6</v>
      </c>
      <c r="H364" s="15">
        <v>39.450114229559944</v>
      </c>
    </row>
    <row r="365" spans="3:11" x14ac:dyDescent="0.3">
      <c r="C365" s="15" t="s">
        <v>339</v>
      </c>
      <c r="D365" s="15" t="s">
        <v>378</v>
      </c>
      <c r="E365" s="15" t="s">
        <v>365</v>
      </c>
      <c r="F365" s="15" t="s">
        <v>395</v>
      </c>
      <c r="G365" s="15" t="s">
        <v>7</v>
      </c>
      <c r="H365" s="15">
        <v>37.646008694019372</v>
      </c>
    </row>
    <row r="366" spans="3:11" x14ac:dyDescent="0.3">
      <c r="C366" s="15" t="s">
        <v>339</v>
      </c>
      <c r="D366" s="15" t="s">
        <v>378</v>
      </c>
      <c r="E366" s="15" t="s">
        <v>365</v>
      </c>
      <c r="F366" s="15" t="s">
        <v>395</v>
      </c>
      <c r="G366" s="15" t="s">
        <v>8</v>
      </c>
      <c r="H366" s="15">
        <v>103.69464791602289</v>
      </c>
    </row>
    <row r="367" spans="3:11" x14ac:dyDescent="0.3">
      <c r="C367" s="15" t="s">
        <v>339</v>
      </c>
      <c r="D367" s="15" t="s">
        <v>396</v>
      </c>
      <c r="E367" s="15" t="s">
        <v>344</v>
      </c>
      <c r="F367" s="15" t="s">
        <v>397</v>
      </c>
      <c r="G367" s="15" t="s">
        <v>0</v>
      </c>
      <c r="H367" s="15">
        <v>10.356696106939095</v>
      </c>
      <c r="I367" s="15">
        <v>9.666249699809816</v>
      </c>
      <c r="K367" s="15">
        <v>3.4522320356463676</v>
      </c>
    </row>
    <row r="368" spans="3:11" x14ac:dyDescent="0.3">
      <c r="C368" s="15" t="s">
        <v>339</v>
      </c>
      <c r="D368" s="15" t="s">
        <v>396</v>
      </c>
      <c r="E368" s="15" t="s">
        <v>344</v>
      </c>
      <c r="F368" s="15" t="s">
        <v>397</v>
      </c>
      <c r="G368" s="15" t="s">
        <v>1</v>
      </c>
      <c r="H368" s="15">
        <v>28.972198582402147</v>
      </c>
      <c r="I368" s="15">
        <v>27.040718676908657</v>
      </c>
      <c r="J368" s="15">
        <v>19.314799054934777</v>
      </c>
      <c r="K368" s="15">
        <v>9.6573995274673745</v>
      </c>
    </row>
    <row r="369" spans="3:17" x14ac:dyDescent="0.3">
      <c r="C369" s="15" t="s">
        <v>339</v>
      </c>
      <c r="D369" s="15" t="s">
        <v>396</v>
      </c>
      <c r="E369" s="15" t="s">
        <v>344</v>
      </c>
      <c r="F369" s="15" t="s">
        <v>397</v>
      </c>
      <c r="G369" s="15" t="s">
        <v>2</v>
      </c>
      <c r="H369" s="15">
        <v>37.561379781315267</v>
      </c>
      <c r="I369" s="15">
        <v>35.057287795894268</v>
      </c>
      <c r="J369" s="15">
        <v>25.040919854210177</v>
      </c>
      <c r="K369" s="15">
        <v>12.520459927105085</v>
      </c>
    </row>
    <row r="370" spans="3:17" x14ac:dyDescent="0.3">
      <c r="C370" s="15" t="s">
        <v>339</v>
      </c>
      <c r="D370" s="15" t="s">
        <v>396</v>
      </c>
      <c r="E370" s="15" t="s">
        <v>344</v>
      </c>
      <c r="F370" s="15" t="s">
        <v>397</v>
      </c>
      <c r="G370" s="15" t="s">
        <v>3</v>
      </c>
      <c r="H370" s="15">
        <v>22.417179151374317</v>
      </c>
      <c r="I370" s="15">
        <v>20.922700541282698</v>
      </c>
      <c r="J370" s="15">
        <v>14.944786100916197</v>
      </c>
      <c r="K370" s="15">
        <v>7.4723930504580949</v>
      </c>
    </row>
    <row r="371" spans="3:17" x14ac:dyDescent="0.3">
      <c r="C371" s="15" t="s">
        <v>339</v>
      </c>
      <c r="D371" s="15" t="s">
        <v>396</v>
      </c>
      <c r="E371" s="15" t="s">
        <v>344</v>
      </c>
      <c r="F371" s="15" t="s">
        <v>397</v>
      </c>
      <c r="G371" s="15" t="s">
        <v>4</v>
      </c>
      <c r="H371" s="15">
        <v>153.63695353996434</v>
      </c>
      <c r="I371" s="15">
        <v>94.32444244613518</v>
      </c>
      <c r="J371" s="15">
        <v>102.42463569330958</v>
      </c>
      <c r="K371" s="15">
        <v>51.212317846654756</v>
      </c>
    </row>
    <row r="372" spans="3:17" x14ac:dyDescent="0.3">
      <c r="C372" s="15" t="s">
        <v>339</v>
      </c>
      <c r="D372" s="15" t="s">
        <v>396</v>
      </c>
      <c r="E372" s="15" t="s">
        <v>344</v>
      </c>
      <c r="F372" s="15" t="s">
        <v>397</v>
      </c>
      <c r="G372" s="15" t="s">
        <v>5</v>
      </c>
      <c r="H372" s="15">
        <v>44.719970673228666</v>
      </c>
      <c r="I372" s="15">
        <v>41.738639295013428</v>
      </c>
      <c r="J372" s="15">
        <v>29.813313782152434</v>
      </c>
      <c r="K372" s="15">
        <v>14.90665689107623</v>
      </c>
    </row>
    <row r="373" spans="3:17" x14ac:dyDescent="0.3">
      <c r="C373" s="15" t="s">
        <v>339</v>
      </c>
      <c r="D373" s="15" t="s">
        <v>396</v>
      </c>
      <c r="E373" s="15" t="s">
        <v>344</v>
      </c>
      <c r="F373" s="15" t="s">
        <v>397</v>
      </c>
      <c r="G373" s="15" t="s">
        <v>6</v>
      </c>
      <c r="H373" s="15">
        <v>59.650632990784793</v>
      </c>
      <c r="I373" s="15">
        <v>55.67392412473248</v>
      </c>
      <c r="J373" s="15">
        <v>39.767088660523179</v>
      </c>
      <c r="K373" s="15">
        <v>19.883544330261582</v>
      </c>
    </row>
    <row r="374" spans="3:17" x14ac:dyDescent="0.3">
      <c r="C374" s="15" t="s">
        <v>339</v>
      </c>
      <c r="D374" s="15" t="s">
        <v>396</v>
      </c>
      <c r="E374" s="15" t="s">
        <v>344</v>
      </c>
      <c r="F374" s="15" t="s">
        <v>397</v>
      </c>
      <c r="G374" s="15" t="s">
        <v>7</v>
      </c>
      <c r="H374" s="15">
        <v>22.014861655598988</v>
      </c>
      <c r="I374" s="15">
        <v>20.547204211892392</v>
      </c>
      <c r="J374" s="15">
        <v>14.676574437066007</v>
      </c>
      <c r="K374" s="15">
        <v>7.3382872185329937</v>
      </c>
    </row>
    <row r="375" spans="3:17" x14ac:dyDescent="0.3">
      <c r="C375" s="15" t="s">
        <v>339</v>
      </c>
      <c r="D375" s="15" t="s">
        <v>396</v>
      </c>
      <c r="E375" s="15" t="s">
        <v>344</v>
      </c>
      <c r="F375" s="15" t="s">
        <v>397</v>
      </c>
      <c r="G375" s="15" t="s">
        <v>8</v>
      </c>
      <c r="H375" s="15">
        <v>47.23780483479343</v>
      </c>
      <c r="I375" s="15">
        <v>44.0886178458072</v>
      </c>
      <c r="J375" s="15">
        <v>31.49186988986229</v>
      </c>
      <c r="K375" s="15">
        <v>15.74593494493115</v>
      </c>
    </row>
    <row r="376" spans="3:17" x14ac:dyDescent="0.3">
      <c r="C376" s="15" t="s">
        <v>339</v>
      </c>
      <c r="D376" s="15" t="s">
        <v>396</v>
      </c>
      <c r="E376" s="15" t="s">
        <v>344</v>
      </c>
      <c r="F376" s="15" t="s">
        <v>398</v>
      </c>
      <c r="G376" s="15" t="s">
        <v>1</v>
      </c>
      <c r="I376" s="15">
        <v>146.5882369907907</v>
      </c>
      <c r="J376" s="15">
        <v>146.5882369907907</v>
      </c>
      <c r="K376" s="15">
        <v>146.5882369907907</v>
      </c>
      <c r="L376" s="15">
        <v>92.204245128976126</v>
      </c>
    </row>
    <row r="377" spans="3:17" x14ac:dyDescent="0.3">
      <c r="C377" s="15" t="s">
        <v>339</v>
      </c>
      <c r="D377" s="15" t="s">
        <v>396</v>
      </c>
      <c r="E377" s="15" t="s">
        <v>344</v>
      </c>
      <c r="F377" s="15" t="s">
        <v>398</v>
      </c>
      <c r="G377" s="15" t="s">
        <v>2</v>
      </c>
      <c r="I377" s="15">
        <v>94.1785072140502</v>
      </c>
      <c r="J377" s="15">
        <v>94.1785072140502</v>
      </c>
      <c r="K377" s="15">
        <v>94.1785072140502</v>
      </c>
      <c r="L377" s="15">
        <v>59.238437839939856</v>
      </c>
    </row>
    <row r="378" spans="3:17" x14ac:dyDescent="0.3">
      <c r="C378" s="15" t="s">
        <v>339</v>
      </c>
      <c r="D378" s="15" t="s">
        <v>396</v>
      </c>
      <c r="E378" s="15" t="s">
        <v>344</v>
      </c>
      <c r="F378" s="15" t="s">
        <v>398</v>
      </c>
      <c r="G378" s="15" t="s">
        <v>3</v>
      </c>
      <c r="I378" s="15">
        <v>43.903071328838948</v>
      </c>
      <c r="J378" s="15">
        <v>43.903071328838948</v>
      </c>
      <c r="K378" s="15">
        <v>43.903071328838948</v>
      </c>
      <c r="L378" s="15">
        <v>27.615104962163528</v>
      </c>
    </row>
    <row r="379" spans="3:17" x14ac:dyDescent="0.3">
      <c r="C379" s="15" t="s">
        <v>339</v>
      </c>
      <c r="D379" s="15" t="s">
        <v>396</v>
      </c>
      <c r="E379" s="15" t="s">
        <v>344</v>
      </c>
      <c r="F379" s="15" t="s">
        <v>398</v>
      </c>
      <c r="G379" s="15" t="s">
        <v>4</v>
      </c>
      <c r="I379" s="15">
        <v>161.48644149024571</v>
      </c>
      <c r="J379" s="15">
        <v>161.48644149024571</v>
      </c>
      <c r="K379" s="15">
        <v>161.48644149024571</v>
      </c>
      <c r="L379" s="15">
        <v>101.57524056386679</v>
      </c>
    </row>
    <row r="380" spans="3:17" x14ac:dyDescent="0.3">
      <c r="C380" s="15" t="s">
        <v>339</v>
      </c>
      <c r="D380" s="15" t="s">
        <v>396</v>
      </c>
      <c r="E380" s="15" t="s">
        <v>344</v>
      </c>
      <c r="F380" s="15" t="s">
        <v>398</v>
      </c>
      <c r="G380" s="15" t="s">
        <v>5</v>
      </c>
      <c r="I380" s="15">
        <v>36.530621172294836</v>
      </c>
      <c r="J380" s="15">
        <v>36.530621172294836</v>
      </c>
      <c r="K380" s="15">
        <v>36.530621172294836</v>
      </c>
      <c r="L380" s="15">
        <v>22.977821538952291</v>
      </c>
    </row>
    <row r="381" spans="3:17" x14ac:dyDescent="0.3">
      <c r="C381" s="15" t="s">
        <v>339</v>
      </c>
      <c r="D381" s="15" t="s">
        <v>396</v>
      </c>
      <c r="E381" s="15" t="s">
        <v>344</v>
      </c>
      <c r="F381" s="15" t="s">
        <v>398</v>
      </c>
      <c r="G381" s="15" t="s">
        <v>6</v>
      </c>
      <c r="I381" s="15">
        <v>100.72323404121012</v>
      </c>
      <c r="J381" s="15">
        <v>100.72323404121012</v>
      </c>
      <c r="K381" s="15">
        <v>100.72323404121012</v>
      </c>
      <c r="L381" s="15">
        <v>63.355081910852263</v>
      </c>
    </row>
    <row r="382" spans="3:17" x14ac:dyDescent="0.3">
      <c r="C382" s="15" t="s">
        <v>339</v>
      </c>
      <c r="D382" s="15" t="s">
        <v>396</v>
      </c>
      <c r="E382" s="15" t="s">
        <v>344</v>
      </c>
      <c r="F382" s="15" t="s">
        <v>398</v>
      </c>
      <c r="G382" s="15" t="s">
        <v>7</v>
      </c>
      <c r="I382" s="15">
        <v>50.041181008542026</v>
      </c>
      <c r="J382" s="15">
        <v>50.041181008542026</v>
      </c>
      <c r="K382" s="15">
        <v>50.041181008542026</v>
      </c>
      <c r="L382" s="15">
        <v>31.475986170329218</v>
      </c>
    </row>
    <row r="383" spans="3:17" x14ac:dyDescent="0.3">
      <c r="C383" s="15" t="s">
        <v>339</v>
      </c>
      <c r="D383" s="15" t="s">
        <v>396</v>
      </c>
      <c r="E383" s="15" t="s">
        <v>344</v>
      </c>
      <c r="F383" s="15" t="s">
        <v>399</v>
      </c>
      <c r="G383" s="15" t="s">
        <v>0</v>
      </c>
      <c r="I383" s="15">
        <v>1.4844483575183606E-2</v>
      </c>
      <c r="J383" s="15">
        <v>1.4844483575183606E-2</v>
      </c>
      <c r="K383" s="15">
        <v>1.4844483575183606E-2</v>
      </c>
      <c r="L383" s="15">
        <v>2.355562317246382</v>
      </c>
      <c r="M383" s="15">
        <v>2.3462251123623017</v>
      </c>
      <c r="N383" s="15">
        <v>61.018791761397679</v>
      </c>
      <c r="O383" s="15">
        <v>61.045091850264946</v>
      </c>
      <c r="P383" s="15">
        <v>60.964524319841679</v>
      </c>
      <c r="Q383" s="15">
        <v>61.225493552849159</v>
      </c>
    </row>
    <row r="384" spans="3:17" x14ac:dyDescent="0.3">
      <c r="C384" s="15" t="s">
        <v>339</v>
      </c>
      <c r="D384" s="15" t="s">
        <v>396</v>
      </c>
      <c r="E384" s="15" t="s">
        <v>344</v>
      </c>
      <c r="F384" s="15" t="s">
        <v>399</v>
      </c>
      <c r="G384" s="15" t="s">
        <v>1</v>
      </c>
      <c r="L384" s="15">
        <v>56.639303030908025</v>
      </c>
      <c r="M384" s="15">
        <v>142.63467081333917</v>
      </c>
      <c r="N384" s="15">
        <v>167.04738382814432</v>
      </c>
      <c r="O384" s="15">
        <v>166.2355863060906</v>
      </c>
      <c r="P384" s="15">
        <v>165.18570150932317</v>
      </c>
      <c r="Q384" s="15">
        <v>165.1040863499222</v>
      </c>
    </row>
    <row r="385" spans="3:17" x14ac:dyDescent="0.3">
      <c r="C385" s="15" t="s">
        <v>339</v>
      </c>
      <c r="D385" s="15" t="s">
        <v>396</v>
      </c>
      <c r="E385" s="15" t="s">
        <v>344</v>
      </c>
      <c r="F385" s="15" t="s">
        <v>399</v>
      </c>
      <c r="G385" s="15" t="s">
        <v>2</v>
      </c>
      <c r="L385" s="15">
        <v>41.435974444824758</v>
      </c>
      <c r="M385" s="15">
        <v>97.230943887283544</v>
      </c>
      <c r="N385" s="15">
        <v>191.56118711773053</v>
      </c>
      <c r="O385" s="15">
        <v>191.76793892808638</v>
      </c>
      <c r="P385" s="15">
        <v>191.7226467465737</v>
      </c>
      <c r="Q385" s="15">
        <v>192.09418707060948</v>
      </c>
    </row>
    <row r="386" spans="3:17" x14ac:dyDescent="0.3">
      <c r="C386" s="15" t="s">
        <v>339</v>
      </c>
      <c r="D386" s="15" t="s">
        <v>396</v>
      </c>
      <c r="E386" s="15" t="s">
        <v>344</v>
      </c>
      <c r="F386" s="15" t="s">
        <v>399</v>
      </c>
      <c r="G386" s="15" t="s">
        <v>3</v>
      </c>
      <c r="L386" s="15">
        <v>22.091627989885051</v>
      </c>
      <c r="M386" s="15">
        <v>49.19839499062352</v>
      </c>
      <c r="N386" s="15">
        <v>91.653776869163991</v>
      </c>
      <c r="O386" s="15">
        <v>93.0895206495953</v>
      </c>
      <c r="P386" s="15">
        <v>94.475917392726316</v>
      </c>
      <c r="Q386" s="15">
        <v>96.150208859633864</v>
      </c>
    </row>
    <row r="387" spans="3:17" x14ac:dyDescent="0.3">
      <c r="C387" s="15" t="s">
        <v>339</v>
      </c>
      <c r="D387" s="15" t="s">
        <v>396</v>
      </c>
      <c r="E387" s="15" t="s">
        <v>344</v>
      </c>
      <c r="F387" s="15" t="s">
        <v>399</v>
      </c>
      <c r="G387" s="15" t="s">
        <v>4</v>
      </c>
      <c r="L387" s="15">
        <v>111.03100839974874</v>
      </c>
      <c r="M387" s="15">
        <v>217.73653794164616</v>
      </c>
      <c r="N387" s="15">
        <v>305.20549508598748</v>
      </c>
      <c r="O387" s="15">
        <v>317.68912639129996</v>
      </c>
      <c r="P387" s="15">
        <v>330.58839070128198</v>
      </c>
      <c r="Q387" s="15">
        <v>344.55916949933976</v>
      </c>
    </row>
    <row r="388" spans="3:17" x14ac:dyDescent="0.3">
      <c r="C388" s="15" t="s">
        <v>339</v>
      </c>
      <c r="D388" s="15" t="s">
        <v>396</v>
      </c>
      <c r="E388" s="15" t="s">
        <v>344</v>
      </c>
      <c r="F388" s="15" t="s">
        <v>399</v>
      </c>
      <c r="G388" s="15" t="s">
        <v>5</v>
      </c>
      <c r="L388" s="15">
        <v>26.515879164477901</v>
      </c>
      <c r="M388" s="15">
        <v>49.102011448731552</v>
      </c>
      <c r="N388" s="15">
        <v>81.580587412916231</v>
      </c>
      <c r="O388" s="15">
        <v>82.755403301980863</v>
      </c>
      <c r="P388" s="15">
        <v>83.928070880756437</v>
      </c>
      <c r="Q388" s="15">
        <v>85.614564530927353</v>
      </c>
    </row>
    <row r="389" spans="3:17" x14ac:dyDescent="0.3">
      <c r="C389" s="15" t="s">
        <v>339</v>
      </c>
      <c r="D389" s="15" t="s">
        <v>396</v>
      </c>
      <c r="E389" s="15" t="s">
        <v>344</v>
      </c>
      <c r="F389" s="15" t="s">
        <v>399</v>
      </c>
      <c r="G389" s="15" t="s">
        <v>6</v>
      </c>
      <c r="L389" s="15">
        <v>59.301006674735333</v>
      </c>
      <c r="M389" s="15">
        <v>127.15714719956375</v>
      </c>
      <c r="N389" s="15">
        <v>194.23790401408419</v>
      </c>
      <c r="O389" s="15">
        <v>203.43480637867361</v>
      </c>
      <c r="P389" s="15">
        <v>212.92222962235056</v>
      </c>
      <c r="Q389" s="15">
        <v>223.56129013526322</v>
      </c>
    </row>
    <row r="390" spans="3:17" x14ac:dyDescent="0.3">
      <c r="C390" s="15" t="s">
        <v>339</v>
      </c>
      <c r="D390" s="15" t="s">
        <v>396</v>
      </c>
      <c r="E390" s="15" t="s">
        <v>344</v>
      </c>
      <c r="F390" s="15" t="s">
        <v>399</v>
      </c>
      <c r="G390" s="15" t="s">
        <v>7</v>
      </c>
      <c r="L390" s="15">
        <v>28.560015305317819</v>
      </c>
      <c r="M390" s="15">
        <v>64.237097426716289</v>
      </c>
      <c r="N390" s="15">
        <v>121.02468677732527</v>
      </c>
      <c r="O390" s="15">
        <v>128.03020684931363</v>
      </c>
      <c r="P390" s="15">
        <v>135.38839334366421</v>
      </c>
      <c r="Q390" s="15">
        <v>143.82824067769789</v>
      </c>
    </row>
    <row r="391" spans="3:17" x14ac:dyDescent="0.3">
      <c r="C391" s="15" t="s">
        <v>339</v>
      </c>
      <c r="D391" s="15" t="s">
        <v>396</v>
      </c>
      <c r="E391" s="15" t="s">
        <v>344</v>
      </c>
      <c r="F391" s="15" t="s">
        <v>399</v>
      </c>
      <c r="G391" s="15" t="s">
        <v>8</v>
      </c>
      <c r="I391" s="15">
        <v>106.7851812107274</v>
      </c>
      <c r="J391" s="15">
        <v>106.7851812107274</v>
      </c>
      <c r="K391" s="15">
        <v>106.7851812107274</v>
      </c>
      <c r="L391" s="15">
        <v>123.39735477092246</v>
      </c>
      <c r="M391" s="15">
        <v>127.47845240210307</v>
      </c>
      <c r="N391" s="15">
        <v>243.99790836575264</v>
      </c>
      <c r="O391" s="15">
        <v>251.33436068477471</v>
      </c>
      <c r="P391" s="15">
        <v>259.146426161443</v>
      </c>
      <c r="Q391" s="15">
        <v>268.17267216802412</v>
      </c>
    </row>
    <row r="392" spans="3:17" x14ac:dyDescent="0.3">
      <c r="C392" s="15" t="s">
        <v>339</v>
      </c>
      <c r="D392" s="15" t="s">
        <v>396</v>
      </c>
      <c r="E392" s="15" t="s">
        <v>344</v>
      </c>
      <c r="F392" s="15" t="s">
        <v>400</v>
      </c>
      <c r="G392" s="15" t="s">
        <v>0</v>
      </c>
      <c r="K392" s="15">
        <v>57.72072821349137</v>
      </c>
      <c r="L392" s="15">
        <v>57.72072821349137</v>
      </c>
      <c r="M392" s="15">
        <v>57.72072821349137</v>
      </c>
    </row>
    <row r="393" spans="3:17" x14ac:dyDescent="0.3">
      <c r="C393" s="15" t="s">
        <v>339</v>
      </c>
      <c r="D393" s="15" t="s">
        <v>396</v>
      </c>
      <c r="E393" s="15" t="s">
        <v>344</v>
      </c>
      <c r="F393" s="15" t="s">
        <v>400</v>
      </c>
      <c r="G393" s="15" t="s">
        <v>1</v>
      </c>
      <c r="K393" s="15">
        <v>24.314931370763397</v>
      </c>
      <c r="L393" s="15">
        <v>24.314931370763397</v>
      </c>
      <c r="M393" s="15">
        <v>24.314931370763397</v>
      </c>
    </row>
    <row r="394" spans="3:17" x14ac:dyDescent="0.3">
      <c r="C394" s="15" t="s">
        <v>339</v>
      </c>
      <c r="D394" s="15" t="s">
        <v>396</v>
      </c>
      <c r="E394" s="15" t="s">
        <v>344</v>
      </c>
      <c r="F394" s="15" t="s">
        <v>400</v>
      </c>
      <c r="G394" s="15" t="s">
        <v>2</v>
      </c>
      <c r="K394" s="15">
        <v>92.347714790944366</v>
      </c>
      <c r="L394" s="15">
        <v>92.347714790944366</v>
      </c>
      <c r="M394" s="15">
        <v>92.347714790944366</v>
      </c>
    </row>
    <row r="395" spans="3:17" x14ac:dyDescent="0.3">
      <c r="C395" s="15" t="s">
        <v>339</v>
      </c>
      <c r="D395" s="15" t="s">
        <v>396</v>
      </c>
      <c r="E395" s="15" t="s">
        <v>344</v>
      </c>
      <c r="F395" s="15" t="s">
        <v>400</v>
      </c>
      <c r="G395" s="15" t="s">
        <v>3</v>
      </c>
      <c r="K395" s="15">
        <v>40.343253185950459</v>
      </c>
      <c r="L395" s="15">
        <v>40.343253185950459</v>
      </c>
      <c r="M395" s="15">
        <v>40.343253185950459</v>
      </c>
    </row>
    <row r="396" spans="3:17" x14ac:dyDescent="0.3">
      <c r="C396" s="15" t="s">
        <v>339</v>
      </c>
      <c r="D396" s="15" t="s">
        <v>396</v>
      </c>
      <c r="E396" s="15" t="s">
        <v>344</v>
      </c>
      <c r="F396" s="15" t="s">
        <v>400</v>
      </c>
      <c r="G396" s="15" t="s">
        <v>4</v>
      </c>
      <c r="K396" s="15">
        <v>73.660893001393873</v>
      </c>
      <c r="L396" s="15">
        <v>73.660893001393873</v>
      </c>
      <c r="M396" s="15">
        <v>73.660893001393873</v>
      </c>
    </row>
    <row r="397" spans="3:17" x14ac:dyDescent="0.3">
      <c r="C397" s="15" t="s">
        <v>339</v>
      </c>
      <c r="D397" s="15" t="s">
        <v>396</v>
      </c>
      <c r="E397" s="15" t="s">
        <v>344</v>
      </c>
      <c r="F397" s="15" t="s">
        <v>400</v>
      </c>
      <c r="G397" s="15" t="s">
        <v>5</v>
      </c>
      <c r="K397" s="15">
        <v>30.736447434178253</v>
      </c>
      <c r="L397" s="15">
        <v>30.736447434178253</v>
      </c>
      <c r="M397" s="15">
        <v>30.736447434178253</v>
      </c>
    </row>
    <row r="398" spans="3:17" x14ac:dyDescent="0.3">
      <c r="C398" s="15" t="s">
        <v>339</v>
      </c>
      <c r="D398" s="15" t="s">
        <v>396</v>
      </c>
      <c r="E398" s="15" t="s">
        <v>344</v>
      </c>
      <c r="F398" s="15" t="s">
        <v>400</v>
      </c>
      <c r="G398" s="15" t="s">
        <v>6</v>
      </c>
      <c r="K398" s="15">
        <v>57.009021519804591</v>
      </c>
      <c r="L398" s="15">
        <v>57.009021519804591</v>
      </c>
      <c r="M398" s="15">
        <v>57.009021519804591</v>
      </c>
    </row>
    <row r="399" spans="3:17" x14ac:dyDescent="0.3">
      <c r="C399" s="15" t="s">
        <v>339</v>
      </c>
      <c r="D399" s="15" t="s">
        <v>396</v>
      </c>
      <c r="E399" s="15" t="s">
        <v>344</v>
      </c>
      <c r="F399" s="15" t="s">
        <v>400</v>
      </c>
      <c r="G399" s="15" t="s">
        <v>7</v>
      </c>
      <c r="K399" s="15">
        <v>49.239090142066182</v>
      </c>
      <c r="L399" s="15">
        <v>49.239090142066182</v>
      </c>
      <c r="M399" s="15">
        <v>49.239090142066182</v>
      </c>
    </row>
    <row r="400" spans="3:17" x14ac:dyDescent="0.3">
      <c r="C400" s="15" t="s">
        <v>339</v>
      </c>
      <c r="D400" s="15" t="s">
        <v>396</v>
      </c>
      <c r="E400" s="15" t="s">
        <v>344</v>
      </c>
      <c r="F400" s="15" t="s">
        <v>400</v>
      </c>
      <c r="G400" s="15" t="s">
        <v>8</v>
      </c>
      <c r="K400" s="15">
        <v>107.47584304801056</v>
      </c>
      <c r="L400" s="15">
        <v>107.47584304801056</v>
      </c>
      <c r="M400" s="15">
        <v>107.47584304801056</v>
      </c>
    </row>
    <row r="401" spans="3:12" x14ac:dyDescent="0.3">
      <c r="C401" s="15" t="s">
        <v>339</v>
      </c>
      <c r="D401" s="15" t="s">
        <v>396</v>
      </c>
      <c r="E401" s="15" t="s">
        <v>344</v>
      </c>
      <c r="F401" s="15" t="s">
        <v>401</v>
      </c>
      <c r="G401" s="15" t="s">
        <v>0</v>
      </c>
      <c r="H401" s="15">
        <v>7.7294788352956457E-3</v>
      </c>
      <c r="I401" s="15">
        <v>7.343004893530871E-3</v>
      </c>
      <c r="J401" s="15">
        <v>5.7971091264717384E-3</v>
      </c>
      <c r="K401" s="15">
        <v>3.8647394176478237E-3</v>
      </c>
      <c r="L401" s="15">
        <v>1.9323697088239127E-3</v>
      </c>
    </row>
    <row r="402" spans="3:12" x14ac:dyDescent="0.3">
      <c r="C402" s="15" t="s">
        <v>339</v>
      </c>
      <c r="D402" s="15" t="s">
        <v>396</v>
      </c>
      <c r="E402" s="15" t="s">
        <v>344</v>
      </c>
      <c r="F402" s="15" t="s">
        <v>401</v>
      </c>
      <c r="G402" s="15" t="s">
        <v>2</v>
      </c>
      <c r="H402" s="15">
        <v>6.1200323059920993E-2</v>
      </c>
      <c r="I402" s="15">
        <v>5.8140306906924955E-2</v>
      </c>
      <c r="J402" s="15">
        <v>4.5900242294940774E-2</v>
      </c>
      <c r="K402" s="15">
        <v>3.0600161529960489E-2</v>
      </c>
      <c r="L402" s="15">
        <v>1.5300080764980264E-2</v>
      </c>
    </row>
    <row r="403" spans="3:12" x14ac:dyDescent="0.3">
      <c r="C403" s="15" t="s">
        <v>339</v>
      </c>
      <c r="D403" s="15" t="s">
        <v>396</v>
      </c>
      <c r="E403" s="15" t="s">
        <v>344</v>
      </c>
      <c r="F403" s="15" t="s">
        <v>401</v>
      </c>
      <c r="G403" s="15" t="s">
        <v>4</v>
      </c>
      <c r="H403" s="15">
        <v>7.0280827108919447E-2</v>
      </c>
      <c r="I403" s="15">
        <v>6.6766785753473529E-2</v>
      </c>
      <c r="J403" s="15">
        <v>5.2710620331689641E-2</v>
      </c>
      <c r="K403" s="15">
        <v>3.5140413554459751E-2</v>
      </c>
      <c r="L403" s="15">
        <v>1.7570206777229851E-2</v>
      </c>
    </row>
    <row r="404" spans="3:12" x14ac:dyDescent="0.3">
      <c r="C404" s="15" t="s">
        <v>339</v>
      </c>
      <c r="D404" s="15" t="s">
        <v>396</v>
      </c>
      <c r="E404" s="15" t="s">
        <v>344</v>
      </c>
      <c r="F404" s="15" t="s">
        <v>401</v>
      </c>
      <c r="G404" s="15" t="s">
        <v>7</v>
      </c>
      <c r="H404" s="15">
        <v>7.7940987246495466E-2</v>
      </c>
      <c r="I404" s="15">
        <v>7.4043937884170755E-2</v>
      </c>
      <c r="J404" s="15">
        <v>5.8455740434871617E-2</v>
      </c>
      <c r="K404" s="15">
        <v>3.8970493623247733E-2</v>
      </c>
      <c r="L404" s="15">
        <v>1.9485246811623884E-2</v>
      </c>
    </row>
    <row r="405" spans="3:12" x14ac:dyDescent="0.3">
      <c r="C405" s="15" t="s">
        <v>339</v>
      </c>
      <c r="D405" s="15" t="s">
        <v>396</v>
      </c>
      <c r="E405" s="15" t="s">
        <v>344</v>
      </c>
      <c r="F405" s="15" t="s">
        <v>401</v>
      </c>
      <c r="G405" s="15" t="s">
        <v>8</v>
      </c>
      <c r="H405" s="15">
        <v>0.19189670086551738</v>
      </c>
      <c r="I405" s="15">
        <v>0.18230186582224198</v>
      </c>
      <c r="J405" s="15">
        <v>0.1439225256491381</v>
      </c>
      <c r="K405" s="15">
        <v>9.5948350432758817E-2</v>
      </c>
      <c r="L405" s="15">
        <v>4.7974175216379374E-2</v>
      </c>
    </row>
    <row r="406" spans="3:12" x14ac:dyDescent="0.3">
      <c r="C406" s="15" t="s">
        <v>339</v>
      </c>
      <c r="D406" s="15" t="s">
        <v>396</v>
      </c>
      <c r="E406" s="15" t="s">
        <v>387</v>
      </c>
      <c r="F406" s="15" t="s">
        <v>402</v>
      </c>
      <c r="G406" s="15" t="s">
        <v>0</v>
      </c>
      <c r="H406" s="15">
        <v>29.150832281050199</v>
      </c>
      <c r="I406" s="15">
        <v>9.2784729079898405</v>
      </c>
      <c r="J406" s="15">
        <v>14.5754161405251</v>
      </c>
    </row>
    <row r="407" spans="3:12" x14ac:dyDescent="0.3">
      <c r="C407" s="15" t="s">
        <v>339</v>
      </c>
      <c r="D407" s="15" t="s">
        <v>396</v>
      </c>
      <c r="E407" s="15" t="s">
        <v>387</v>
      </c>
      <c r="F407" s="15" t="s">
        <v>402</v>
      </c>
      <c r="G407" s="15" t="s">
        <v>1</v>
      </c>
      <c r="H407" s="15">
        <v>31.223761304797801</v>
      </c>
    </row>
    <row r="408" spans="3:12" x14ac:dyDescent="0.3">
      <c r="C408" s="15" t="s">
        <v>339</v>
      </c>
      <c r="D408" s="15" t="s">
        <v>396</v>
      </c>
      <c r="E408" s="15" t="s">
        <v>387</v>
      </c>
      <c r="F408" s="15" t="s">
        <v>402</v>
      </c>
      <c r="G408" s="15" t="s">
        <v>2</v>
      </c>
      <c r="H408" s="15">
        <v>2.15026699880611E-2</v>
      </c>
    </row>
    <row r="409" spans="3:12" x14ac:dyDescent="0.3">
      <c r="C409" s="15" t="s">
        <v>339</v>
      </c>
      <c r="D409" s="15" t="s">
        <v>396</v>
      </c>
      <c r="E409" s="15" t="s">
        <v>387</v>
      </c>
      <c r="F409" s="15" t="s">
        <v>402</v>
      </c>
      <c r="G409" s="15" t="s">
        <v>4</v>
      </c>
      <c r="H409" s="15">
        <v>0.97617764608709301</v>
      </c>
    </row>
    <row r="410" spans="3:12" x14ac:dyDescent="0.3">
      <c r="C410" s="15" t="s">
        <v>339</v>
      </c>
      <c r="D410" s="15" t="s">
        <v>396</v>
      </c>
      <c r="E410" s="15" t="s">
        <v>387</v>
      </c>
      <c r="F410" s="15" t="s">
        <v>402</v>
      </c>
      <c r="G410" s="15" t="s">
        <v>8</v>
      </c>
      <c r="H410" s="15">
        <v>0.21537321376410401</v>
      </c>
    </row>
    <row r="411" spans="3:12" x14ac:dyDescent="0.3">
      <c r="C411" s="15" t="s">
        <v>339</v>
      </c>
      <c r="D411" s="15" t="s">
        <v>396</v>
      </c>
      <c r="E411" s="15" t="s">
        <v>363</v>
      </c>
      <c r="F411" s="15" t="s">
        <v>403</v>
      </c>
      <c r="G411" s="15" t="s">
        <v>0</v>
      </c>
      <c r="H411" s="15">
        <v>2.4503413064878199</v>
      </c>
      <c r="J411" s="15">
        <v>1.2251706532439099</v>
      </c>
    </row>
    <row r="412" spans="3:12" x14ac:dyDescent="0.3">
      <c r="C412" s="15" t="s">
        <v>339</v>
      </c>
      <c r="D412" s="15" t="s">
        <v>396</v>
      </c>
      <c r="E412" s="15" t="s">
        <v>363</v>
      </c>
      <c r="F412" s="15" t="s">
        <v>403</v>
      </c>
      <c r="G412" s="15" t="s">
        <v>1</v>
      </c>
      <c r="H412" s="15">
        <v>7.5494807376987501</v>
      </c>
    </row>
    <row r="413" spans="3:12" x14ac:dyDescent="0.3">
      <c r="C413" s="15" t="s">
        <v>339</v>
      </c>
      <c r="D413" s="15" t="s">
        <v>396</v>
      </c>
      <c r="E413" s="15" t="s">
        <v>363</v>
      </c>
      <c r="F413" s="15" t="s">
        <v>403</v>
      </c>
      <c r="G413" s="15" t="s">
        <v>2</v>
      </c>
      <c r="H413" s="15">
        <v>12.4783917115286</v>
      </c>
    </row>
    <row r="414" spans="3:12" x14ac:dyDescent="0.3">
      <c r="C414" s="15" t="s">
        <v>339</v>
      </c>
      <c r="D414" s="15" t="s">
        <v>396</v>
      </c>
      <c r="E414" s="15" t="s">
        <v>363</v>
      </c>
      <c r="F414" s="15" t="s">
        <v>403</v>
      </c>
      <c r="G414" s="15" t="s">
        <v>3</v>
      </c>
      <c r="H414" s="15">
        <v>8.4764247555133192</v>
      </c>
    </row>
    <row r="415" spans="3:12" x14ac:dyDescent="0.3">
      <c r="C415" s="15" t="s">
        <v>339</v>
      </c>
      <c r="D415" s="15" t="s">
        <v>396</v>
      </c>
      <c r="E415" s="15" t="s">
        <v>363</v>
      </c>
      <c r="F415" s="15" t="s">
        <v>403</v>
      </c>
      <c r="G415" s="15" t="s">
        <v>4</v>
      </c>
      <c r="H415" s="15">
        <v>8.9925473429384208</v>
      </c>
    </row>
    <row r="416" spans="3:12" x14ac:dyDescent="0.3">
      <c r="C416" s="15" t="s">
        <v>339</v>
      </c>
      <c r="D416" s="15" t="s">
        <v>396</v>
      </c>
      <c r="E416" s="15" t="s">
        <v>363</v>
      </c>
      <c r="F416" s="15" t="s">
        <v>403</v>
      </c>
      <c r="G416" s="15" t="s">
        <v>5</v>
      </c>
      <c r="H416" s="15">
        <v>4.3716382640237601</v>
      </c>
    </row>
    <row r="417" spans="3:12" x14ac:dyDescent="0.3">
      <c r="C417" s="15" t="s">
        <v>339</v>
      </c>
      <c r="D417" s="15" t="s">
        <v>396</v>
      </c>
      <c r="E417" s="15" t="s">
        <v>363</v>
      </c>
      <c r="F417" s="15" t="s">
        <v>403</v>
      </c>
      <c r="G417" s="15" t="s">
        <v>6</v>
      </c>
      <c r="H417" s="15">
        <v>10.766039995506301</v>
      </c>
    </row>
    <row r="418" spans="3:12" x14ac:dyDescent="0.3">
      <c r="C418" s="15" t="s">
        <v>339</v>
      </c>
      <c r="D418" s="15" t="s">
        <v>396</v>
      </c>
      <c r="E418" s="15" t="s">
        <v>363</v>
      </c>
      <c r="F418" s="15" t="s">
        <v>403</v>
      </c>
      <c r="G418" s="15" t="s">
        <v>7</v>
      </c>
      <c r="H418" s="15">
        <v>9.2054620051625999</v>
      </c>
    </row>
    <row r="419" spans="3:12" x14ac:dyDescent="0.3">
      <c r="C419" s="15" t="s">
        <v>339</v>
      </c>
      <c r="D419" s="15" t="s">
        <v>396</v>
      </c>
      <c r="E419" s="15" t="s">
        <v>363</v>
      </c>
      <c r="F419" s="15" t="s">
        <v>403</v>
      </c>
      <c r="G419" s="15" t="s">
        <v>8</v>
      </c>
      <c r="H419" s="15">
        <v>11.956873894395001</v>
      </c>
      <c r="J419" s="15">
        <v>1.8388066366337701E-2</v>
      </c>
    </row>
    <row r="420" spans="3:12" x14ac:dyDescent="0.3">
      <c r="C420" s="15" t="s">
        <v>339</v>
      </c>
      <c r="D420" s="15" t="s">
        <v>396</v>
      </c>
      <c r="E420" s="15" t="s">
        <v>365</v>
      </c>
      <c r="F420" s="15" t="s">
        <v>404</v>
      </c>
      <c r="G420" s="15" t="s">
        <v>0</v>
      </c>
      <c r="H420" s="15">
        <v>44.816480211723736</v>
      </c>
      <c r="I420" s="15">
        <v>40.334832190551253</v>
      </c>
      <c r="J420" s="15">
        <v>22.408240105861829</v>
      </c>
    </row>
    <row r="421" spans="3:12" x14ac:dyDescent="0.3">
      <c r="C421" s="15" t="s">
        <v>339</v>
      </c>
      <c r="D421" s="15" t="s">
        <v>396</v>
      </c>
      <c r="E421" s="15" t="s">
        <v>365</v>
      </c>
      <c r="F421" s="15" t="s">
        <v>404</v>
      </c>
      <c r="G421" s="15" t="s">
        <v>1</v>
      </c>
      <c r="H421" s="15">
        <v>175.26961149864621</v>
      </c>
      <c r="J421" s="15">
        <v>10.372672002473269</v>
      </c>
    </row>
    <row r="422" spans="3:12" x14ac:dyDescent="0.3">
      <c r="C422" s="15" t="s">
        <v>339</v>
      </c>
      <c r="D422" s="15" t="s">
        <v>396</v>
      </c>
      <c r="E422" s="15" t="s">
        <v>365</v>
      </c>
      <c r="F422" s="15" t="s">
        <v>404</v>
      </c>
      <c r="G422" s="15" t="s">
        <v>2</v>
      </c>
      <c r="H422" s="15">
        <v>221.66617912380792</v>
      </c>
      <c r="I422" s="15">
        <v>99.376922930977301</v>
      </c>
      <c r="J422" s="15">
        <v>110.8330895619039</v>
      </c>
    </row>
    <row r="423" spans="3:12" x14ac:dyDescent="0.3">
      <c r="C423" s="15" t="s">
        <v>339</v>
      </c>
      <c r="D423" s="15" t="s">
        <v>396</v>
      </c>
      <c r="E423" s="15" t="s">
        <v>365</v>
      </c>
      <c r="F423" s="15" t="s">
        <v>404</v>
      </c>
      <c r="G423" s="15" t="s">
        <v>3</v>
      </c>
      <c r="H423" s="15">
        <v>85.601937027317504</v>
      </c>
      <c r="I423" s="15">
        <v>32.653251258366062</v>
      </c>
      <c r="J423" s="15">
        <v>42.800968513658781</v>
      </c>
    </row>
    <row r="424" spans="3:12" x14ac:dyDescent="0.3">
      <c r="C424" s="15" t="s">
        <v>339</v>
      </c>
      <c r="D424" s="15" t="s">
        <v>396</v>
      </c>
      <c r="E424" s="15" t="s">
        <v>365</v>
      </c>
      <c r="F424" s="15" t="s">
        <v>404</v>
      </c>
      <c r="G424" s="15" t="s">
        <v>4</v>
      </c>
      <c r="H424" s="15">
        <v>137.1349104566664</v>
      </c>
    </row>
    <row r="425" spans="3:12" x14ac:dyDescent="0.3">
      <c r="C425" s="15" t="s">
        <v>339</v>
      </c>
      <c r="D425" s="15" t="s">
        <v>396</v>
      </c>
      <c r="E425" s="15" t="s">
        <v>365</v>
      </c>
      <c r="F425" s="15" t="s">
        <v>404</v>
      </c>
      <c r="G425" s="15" t="s">
        <v>5</v>
      </c>
      <c r="H425" s="15">
        <v>44.51122608169306</v>
      </c>
      <c r="J425" s="15">
        <v>18.1440285044314</v>
      </c>
    </row>
    <row r="426" spans="3:12" x14ac:dyDescent="0.3">
      <c r="C426" s="15" t="s">
        <v>339</v>
      </c>
      <c r="D426" s="15" t="s">
        <v>396</v>
      </c>
      <c r="E426" s="15" t="s">
        <v>365</v>
      </c>
      <c r="F426" s="15" t="s">
        <v>404</v>
      </c>
      <c r="G426" s="15" t="s">
        <v>6</v>
      </c>
      <c r="H426" s="15">
        <v>128.3513135170156</v>
      </c>
      <c r="J426" s="15">
        <v>32.775470521468272</v>
      </c>
    </row>
    <row r="427" spans="3:12" x14ac:dyDescent="0.3">
      <c r="C427" s="15" t="s">
        <v>339</v>
      </c>
      <c r="D427" s="15" t="s">
        <v>396</v>
      </c>
      <c r="E427" s="15" t="s">
        <v>365</v>
      </c>
      <c r="F427" s="15" t="s">
        <v>404</v>
      </c>
      <c r="G427" s="15" t="s">
        <v>7</v>
      </c>
      <c r="H427" s="15">
        <v>97.77238663821251</v>
      </c>
      <c r="I427" s="15">
        <v>37.017274491273227</v>
      </c>
      <c r="J427" s="15">
        <v>48.886193319106297</v>
      </c>
    </row>
    <row r="428" spans="3:12" x14ac:dyDescent="0.3">
      <c r="C428" s="15" t="s">
        <v>339</v>
      </c>
      <c r="D428" s="15" t="s">
        <v>396</v>
      </c>
      <c r="E428" s="15" t="s">
        <v>365</v>
      </c>
      <c r="F428" s="15" t="s">
        <v>404</v>
      </c>
      <c r="G428" s="15" t="s">
        <v>8</v>
      </c>
      <c r="H428" s="15">
        <v>228.82114463559859</v>
      </c>
      <c r="I428" s="15">
        <v>87.941436691434703</v>
      </c>
      <c r="J428" s="15">
        <v>114.41057231779941</v>
      </c>
    </row>
    <row r="429" spans="3:12" x14ac:dyDescent="0.3">
      <c r="C429" s="15" t="s">
        <v>339</v>
      </c>
      <c r="D429" s="15" t="s">
        <v>396</v>
      </c>
      <c r="E429" s="15" t="s">
        <v>365</v>
      </c>
      <c r="F429" s="15" t="s">
        <v>405</v>
      </c>
      <c r="G429" s="15" t="s">
        <v>0</v>
      </c>
      <c r="I429" s="15">
        <v>27.885147214253699</v>
      </c>
      <c r="J429" s="15">
        <v>54.466232770235798</v>
      </c>
    </row>
    <row r="430" spans="3:12" x14ac:dyDescent="0.3">
      <c r="C430" s="15" t="s">
        <v>339</v>
      </c>
      <c r="D430" s="15" t="s">
        <v>396</v>
      </c>
      <c r="E430" s="15" t="s">
        <v>341</v>
      </c>
      <c r="F430" s="15" t="s">
        <v>401</v>
      </c>
      <c r="G430" s="15" t="s">
        <v>0</v>
      </c>
      <c r="H430" s="15">
        <v>7.7294788352956457E-3</v>
      </c>
      <c r="I430" s="15">
        <v>7.343004893530871E-3</v>
      </c>
      <c r="J430" s="15">
        <v>5.7971091264717384E-3</v>
      </c>
      <c r="K430" s="15">
        <v>3.8647394176478237E-3</v>
      </c>
      <c r="L430" s="15">
        <v>1.9323697088239127E-3</v>
      </c>
    </row>
    <row r="431" spans="3:12" x14ac:dyDescent="0.3">
      <c r="C431" s="15" t="s">
        <v>339</v>
      </c>
      <c r="D431" s="15" t="s">
        <v>396</v>
      </c>
      <c r="E431" s="15" t="s">
        <v>341</v>
      </c>
      <c r="F431" s="15" t="s">
        <v>401</v>
      </c>
      <c r="G431" s="15" t="s">
        <v>2</v>
      </c>
      <c r="H431" s="15">
        <v>6.1200323059920993E-2</v>
      </c>
      <c r="I431" s="15">
        <v>5.8140306906924955E-2</v>
      </c>
      <c r="J431" s="15">
        <v>4.5900242294940774E-2</v>
      </c>
      <c r="K431" s="15">
        <v>3.0600161529960489E-2</v>
      </c>
      <c r="L431" s="15">
        <v>1.5300080764980264E-2</v>
      </c>
    </row>
    <row r="432" spans="3:12" x14ac:dyDescent="0.3">
      <c r="C432" s="15" t="s">
        <v>339</v>
      </c>
      <c r="D432" s="15" t="s">
        <v>396</v>
      </c>
      <c r="E432" s="15" t="s">
        <v>341</v>
      </c>
      <c r="F432" s="15" t="s">
        <v>401</v>
      </c>
      <c r="G432" s="15" t="s">
        <v>4</v>
      </c>
      <c r="H432" s="15">
        <v>7.0280827108919447E-2</v>
      </c>
      <c r="I432" s="15">
        <v>6.6766785753473529E-2</v>
      </c>
      <c r="J432" s="15">
        <v>5.2710620331689641E-2</v>
      </c>
      <c r="K432" s="15">
        <v>3.5140413554459751E-2</v>
      </c>
      <c r="L432" s="15">
        <v>1.7570206777229851E-2</v>
      </c>
    </row>
    <row r="433" spans="3:17" x14ac:dyDescent="0.3">
      <c r="C433" s="15" t="s">
        <v>339</v>
      </c>
      <c r="D433" s="15" t="s">
        <v>396</v>
      </c>
      <c r="E433" s="15" t="s">
        <v>341</v>
      </c>
      <c r="F433" s="15" t="s">
        <v>401</v>
      </c>
      <c r="G433" s="15" t="s">
        <v>7</v>
      </c>
      <c r="H433" s="15">
        <v>7.7940987246495466E-2</v>
      </c>
      <c r="I433" s="15">
        <v>7.4043937884170755E-2</v>
      </c>
      <c r="J433" s="15">
        <v>5.8455740434871617E-2</v>
      </c>
      <c r="K433" s="15">
        <v>3.8970493623247733E-2</v>
      </c>
      <c r="L433" s="15">
        <v>1.9485246811623884E-2</v>
      </c>
    </row>
    <row r="434" spans="3:17" x14ac:dyDescent="0.3">
      <c r="C434" s="15" t="s">
        <v>339</v>
      </c>
      <c r="D434" s="15" t="s">
        <v>396</v>
      </c>
      <c r="E434" s="15" t="s">
        <v>341</v>
      </c>
      <c r="F434" s="15" t="s">
        <v>401</v>
      </c>
      <c r="G434" s="15" t="s">
        <v>8</v>
      </c>
      <c r="H434" s="15">
        <v>0.19189670086551738</v>
      </c>
      <c r="I434" s="15">
        <v>0.18230186582224198</v>
      </c>
      <c r="J434" s="15">
        <v>0.1439225256491381</v>
      </c>
      <c r="K434" s="15">
        <v>9.5948350432758817E-2</v>
      </c>
      <c r="L434" s="15">
        <v>4.7974175216379374E-2</v>
      </c>
    </row>
    <row r="435" spans="3:17" x14ac:dyDescent="0.3">
      <c r="C435" s="15" t="s">
        <v>276</v>
      </c>
      <c r="D435" s="15" t="s">
        <v>340</v>
      </c>
      <c r="E435" s="15" t="s">
        <v>344</v>
      </c>
      <c r="F435" s="15" t="s">
        <v>342</v>
      </c>
      <c r="G435" s="15" t="s">
        <v>0</v>
      </c>
      <c r="H435" s="15">
        <v>1.6821462609732902E-2</v>
      </c>
      <c r="I435" s="15">
        <v>0.252208195753443</v>
      </c>
      <c r="J435" s="15">
        <v>0.31526024469180386</v>
      </c>
      <c r="K435" s="15">
        <v>15.126313458949195</v>
      </c>
      <c r="L435" s="15">
        <v>15.126313458949188</v>
      </c>
      <c r="M435" s="15">
        <v>15.126313458949186</v>
      </c>
      <c r="N435" s="15">
        <v>15.126313458949184</v>
      </c>
      <c r="O435" s="15">
        <v>15.126313458949173</v>
      </c>
      <c r="P435" s="15">
        <v>15.126313458949175</v>
      </c>
      <c r="Q435" s="15">
        <v>15.126313458949195</v>
      </c>
    </row>
    <row r="436" spans="3:17" x14ac:dyDescent="0.3">
      <c r="C436" s="15" t="s">
        <v>276</v>
      </c>
      <c r="D436" s="15" t="s">
        <v>340</v>
      </c>
      <c r="E436" s="15" t="s">
        <v>344</v>
      </c>
      <c r="F436" s="15" t="s">
        <v>342</v>
      </c>
      <c r="G436" s="15" t="s">
        <v>1</v>
      </c>
      <c r="H436" s="15">
        <v>0.74455322383022304</v>
      </c>
      <c r="I436" s="15">
        <v>0.91814472420422055</v>
      </c>
      <c r="J436" s="15">
        <v>1.1476809052552801</v>
      </c>
      <c r="K436" s="15">
        <v>24.449586154266214</v>
      </c>
      <c r="L436" s="15">
        <v>28.425431497212969</v>
      </c>
      <c r="M436" s="15">
        <v>36.153139392788503</v>
      </c>
      <c r="N436" s="15">
        <v>36.153139392788503</v>
      </c>
      <c r="O436" s="15">
        <v>36.153139392788503</v>
      </c>
      <c r="P436" s="15">
        <v>36.153139392788503</v>
      </c>
      <c r="Q436" s="15">
        <v>36.153139392788518</v>
      </c>
    </row>
    <row r="437" spans="3:17" x14ac:dyDescent="0.3">
      <c r="C437" s="15" t="s">
        <v>276</v>
      </c>
      <c r="D437" s="15" t="s">
        <v>340</v>
      </c>
      <c r="E437" s="15" t="s">
        <v>344</v>
      </c>
      <c r="F437" s="15" t="s">
        <v>342</v>
      </c>
      <c r="G437" s="15" t="s">
        <v>2</v>
      </c>
      <c r="H437" s="15">
        <v>4.683722342302124E-2</v>
      </c>
      <c r="I437" s="15">
        <v>0.32440060623951472</v>
      </c>
      <c r="J437" s="15">
        <v>0.40550075779939387</v>
      </c>
      <c r="K437" s="15">
        <v>4.7886767496336038</v>
      </c>
      <c r="L437" s="15">
        <v>5.9155961325835484</v>
      </c>
      <c r="M437" s="15">
        <v>7.9375731834976984</v>
      </c>
      <c r="N437" s="15">
        <v>31.524657271274183</v>
      </c>
      <c r="O437" s="15">
        <v>31.524657271274172</v>
      </c>
      <c r="P437" s="15">
        <v>31.524657271274165</v>
      </c>
      <c r="Q437" s="15">
        <v>31.524657271274176</v>
      </c>
    </row>
    <row r="438" spans="3:17" x14ac:dyDescent="0.3">
      <c r="C438" s="15" t="s">
        <v>276</v>
      </c>
      <c r="D438" s="15" t="s">
        <v>340</v>
      </c>
      <c r="E438" s="15" t="s">
        <v>344</v>
      </c>
      <c r="F438" s="15" t="s">
        <v>342</v>
      </c>
      <c r="G438" s="15" t="s">
        <v>3</v>
      </c>
      <c r="I438" s="15">
        <v>0.49923831188935136</v>
      </c>
      <c r="J438" s="15">
        <v>0.62404788986168802</v>
      </c>
      <c r="K438" s="15">
        <v>2.6342870044716493</v>
      </c>
      <c r="L438" s="15">
        <v>4.6445261190816005</v>
      </c>
      <c r="M438" s="15">
        <v>6.6547652336915597</v>
      </c>
      <c r="N438" s="15">
        <v>25.701478164217516</v>
      </c>
      <c r="O438" s="15">
        <v>25.701478164217516</v>
      </c>
      <c r="P438" s="15">
        <v>25.701478164217519</v>
      </c>
      <c r="Q438" s="15">
        <v>25.701478164217519</v>
      </c>
    </row>
    <row r="439" spans="3:17" x14ac:dyDescent="0.3">
      <c r="C439" s="15" t="s">
        <v>276</v>
      </c>
      <c r="D439" s="15" t="s">
        <v>340</v>
      </c>
      <c r="E439" s="15" t="s">
        <v>344</v>
      </c>
      <c r="F439" s="15" t="s">
        <v>342</v>
      </c>
      <c r="G439" s="15" t="s">
        <v>4</v>
      </c>
      <c r="H439" s="15">
        <v>1.2809732061718375</v>
      </c>
      <c r="I439" s="15">
        <v>1.0473727401018091</v>
      </c>
      <c r="J439" s="15">
        <v>1.3092159251272599</v>
      </c>
      <c r="K439" s="15">
        <v>40.992820309648515</v>
      </c>
      <c r="L439" s="15">
        <v>48.084067063794052</v>
      </c>
      <c r="M439" s="15">
        <v>48.107803466996124</v>
      </c>
      <c r="N439" s="15">
        <v>104.23077124988299</v>
      </c>
      <c r="O439" s="15">
        <v>104.23077124988296</v>
      </c>
      <c r="P439" s="15">
        <v>104.23077124988298</v>
      </c>
      <c r="Q439" s="15">
        <v>104.23077124988301</v>
      </c>
    </row>
    <row r="440" spans="3:17" x14ac:dyDescent="0.3">
      <c r="C440" s="15" t="s">
        <v>276</v>
      </c>
      <c r="D440" s="15" t="s">
        <v>340</v>
      </c>
      <c r="E440" s="15" t="s">
        <v>344</v>
      </c>
      <c r="F440" s="15" t="s">
        <v>342</v>
      </c>
      <c r="G440" s="15" t="s">
        <v>5</v>
      </c>
      <c r="I440" s="15">
        <v>6.5438078609537112E-2</v>
      </c>
      <c r="J440" s="15">
        <v>8.1797598261921428E-2</v>
      </c>
      <c r="K440" s="15">
        <v>1.6007352411930602</v>
      </c>
      <c r="L440" s="15">
        <v>3.1196728841241885</v>
      </c>
      <c r="M440" s="15">
        <v>4.6386105270553282</v>
      </c>
      <c r="N440" s="15">
        <v>18.82045960263229</v>
      </c>
      <c r="O440" s="15">
        <v>18.820459602632297</v>
      </c>
      <c r="P440" s="15">
        <v>18.820459602632294</v>
      </c>
      <c r="Q440" s="15">
        <v>18.820459602632294</v>
      </c>
    </row>
    <row r="441" spans="3:17" x14ac:dyDescent="0.3">
      <c r="C441" s="15" t="s">
        <v>276</v>
      </c>
      <c r="D441" s="15" t="s">
        <v>340</v>
      </c>
      <c r="E441" s="15" t="s">
        <v>344</v>
      </c>
      <c r="F441" s="15" t="s">
        <v>342</v>
      </c>
      <c r="G441" s="15" t="s">
        <v>6</v>
      </c>
      <c r="H441" s="15">
        <v>0.25465491310702892</v>
      </c>
      <c r="I441" s="15">
        <v>1.1682891906486503</v>
      </c>
      <c r="J441" s="15">
        <v>1.4603614883108111</v>
      </c>
      <c r="K441" s="15">
        <v>7.7964597589003235</v>
      </c>
      <c r="L441" s="15">
        <v>14.132558029489807</v>
      </c>
      <c r="M441" s="15">
        <v>20.468656300079303</v>
      </c>
      <c r="N441" s="15">
        <v>80.229457927733634</v>
      </c>
      <c r="O441" s="15">
        <v>80.229457927733606</v>
      </c>
      <c r="P441" s="15">
        <v>80.22945792773362</v>
      </c>
      <c r="Q441" s="15">
        <v>80.229457927733591</v>
      </c>
    </row>
    <row r="442" spans="3:17" x14ac:dyDescent="0.3">
      <c r="C442" s="15" t="s">
        <v>276</v>
      </c>
      <c r="D442" s="15" t="s">
        <v>340</v>
      </c>
      <c r="E442" s="15" t="s">
        <v>344</v>
      </c>
      <c r="F442" s="15" t="s">
        <v>342</v>
      </c>
      <c r="G442" s="15" t="s">
        <v>7</v>
      </c>
      <c r="H442" s="15">
        <v>1.2628961294846943</v>
      </c>
      <c r="I442" s="15">
        <v>4.408727575257938</v>
      </c>
      <c r="J442" s="15">
        <v>5.5109094690724154</v>
      </c>
      <c r="K442" s="15">
        <v>10.126399018173895</v>
      </c>
      <c r="L442" s="15">
        <v>14.741888567275392</v>
      </c>
      <c r="M442" s="15">
        <v>19.357378116376896</v>
      </c>
      <c r="N442" s="15">
        <v>65.284347479821989</v>
      </c>
      <c r="O442" s="15">
        <v>65.284347479821989</v>
      </c>
      <c r="P442" s="15">
        <v>65.284347479821975</v>
      </c>
      <c r="Q442" s="15">
        <v>65.284347479822003</v>
      </c>
    </row>
    <row r="443" spans="3:17" x14ac:dyDescent="0.3">
      <c r="C443" s="15" t="s">
        <v>276</v>
      </c>
      <c r="D443" s="15" t="s">
        <v>340</v>
      </c>
      <c r="E443" s="15" t="s">
        <v>344</v>
      </c>
      <c r="F443" s="15" t="s">
        <v>342</v>
      </c>
      <c r="G443" s="15" t="s">
        <v>8</v>
      </c>
      <c r="H443" s="15">
        <v>9.3358712136465929</v>
      </c>
      <c r="I443" s="15">
        <v>9.7509562247550203</v>
      </c>
      <c r="J443" s="15">
        <v>12.188695280943799</v>
      </c>
      <c r="K443" s="15">
        <v>57.119543046144813</v>
      </c>
      <c r="L443" s="15">
        <v>67.465829815814303</v>
      </c>
      <c r="M443" s="15">
        <v>89.984501342798922</v>
      </c>
      <c r="N443" s="15">
        <v>89.984501342798865</v>
      </c>
      <c r="O443" s="15">
        <v>89.984501342798794</v>
      </c>
      <c r="P443" s="15">
        <v>89.984501342798794</v>
      </c>
      <c r="Q443" s="15">
        <v>89.984501342798822</v>
      </c>
    </row>
    <row r="444" spans="3:17" x14ac:dyDescent="0.3">
      <c r="C444" s="15" t="s">
        <v>276</v>
      </c>
      <c r="D444" s="15" t="s">
        <v>343</v>
      </c>
      <c r="E444" s="15" t="s">
        <v>343</v>
      </c>
      <c r="F444" s="15" t="s">
        <v>345</v>
      </c>
      <c r="G444" s="15" t="s">
        <v>0</v>
      </c>
      <c r="I444" s="15">
        <v>0.353479232232846</v>
      </c>
      <c r="J444" s="15">
        <v>0.66131922625475303</v>
      </c>
      <c r="K444" s="15">
        <v>1.9698367922980928</v>
      </c>
      <c r="L444" s="15">
        <v>3.4613468415199877</v>
      </c>
      <c r="M444" s="15">
        <v>3.6056993337080367</v>
      </c>
      <c r="N444" s="15">
        <v>3.6986885283691571</v>
      </c>
      <c r="O444" s="15">
        <v>3.7042449202965466</v>
      </c>
      <c r="P444" s="15">
        <v>3.6571919846148768</v>
      </c>
      <c r="Q444" s="15">
        <v>3.8644857857165871</v>
      </c>
    </row>
    <row r="445" spans="3:17" x14ac:dyDescent="0.3">
      <c r="C445" s="15" t="s">
        <v>276</v>
      </c>
      <c r="D445" s="15" t="s">
        <v>343</v>
      </c>
      <c r="E445" s="15" t="s">
        <v>343</v>
      </c>
      <c r="F445" s="15" t="s">
        <v>345</v>
      </c>
      <c r="G445" s="15" t="s">
        <v>1</v>
      </c>
      <c r="J445" s="15">
        <v>0.65585285171560104</v>
      </c>
      <c r="K445" s="15">
        <v>4.8860930052925404</v>
      </c>
      <c r="L445" s="15">
        <v>9.6139833693552514</v>
      </c>
      <c r="M445" s="15">
        <v>9.9365060966073724</v>
      </c>
      <c r="N445" s="15">
        <v>10.125671525507203</v>
      </c>
      <c r="O445" s="15">
        <v>10.087253659266704</v>
      </c>
      <c r="P445" s="15">
        <v>9.9093010283074534</v>
      </c>
      <c r="Q445" s="15">
        <v>10.421188263876502</v>
      </c>
    </row>
    <row r="446" spans="3:17" x14ac:dyDescent="0.3">
      <c r="C446" s="15" t="s">
        <v>276</v>
      </c>
      <c r="D446" s="15" t="s">
        <v>343</v>
      </c>
      <c r="E446" s="15" t="s">
        <v>343</v>
      </c>
      <c r="F446" s="15" t="s">
        <v>345</v>
      </c>
      <c r="G446" s="15" t="s">
        <v>2</v>
      </c>
      <c r="K446" s="15">
        <v>4.90112965384467</v>
      </c>
      <c r="L446" s="15">
        <v>10.8885563587181</v>
      </c>
      <c r="M446" s="15">
        <v>11.323838244863399</v>
      </c>
      <c r="N446" s="15">
        <v>11.611589558241</v>
      </c>
      <c r="O446" s="15">
        <v>11.636568839842299</v>
      </c>
      <c r="P446" s="15">
        <v>11.501221977426599</v>
      </c>
      <c r="Q446" s="15">
        <v>12.124773723749099</v>
      </c>
    </row>
    <row r="447" spans="3:17" x14ac:dyDescent="0.3">
      <c r="C447" s="15" t="s">
        <v>276</v>
      </c>
      <c r="D447" s="15" t="s">
        <v>343</v>
      </c>
      <c r="E447" s="15" t="s">
        <v>343</v>
      </c>
      <c r="F447" s="15" t="s">
        <v>345</v>
      </c>
      <c r="G447" s="15" t="s">
        <v>3</v>
      </c>
      <c r="K447" s="15">
        <v>1.54120508990009</v>
      </c>
      <c r="L447" s="15">
        <v>5.0773647541492899</v>
      </c>
      <c r="M447" s="15">
        <v>5.3464184281016802</v>
      </c>
      <c r="N447" s="15">
        <v>5.5556454544900502</v>
      </c>
      <c r="O447" s="15">
        <v>5.6487159499229698</v>
      </c>
      <c r="P447" s="15">
        <v>5.6675020707963411</v>
      </c>
      <c r="Q447" s="15">
        <v>6.0688953876868412</v>
      </c>
    </row>
    <row r="448" spans="3:17" x14ac:dyDescent="0.3">
      <c r="C448" s="15" t="s">
        <v>276</v>
      </c>
      <c r="D448" s="15" t="s">
        <v>343</v>
      </c>
      <c r="E448" s="15" t="s">
        <v>343</v>
      </c>
      <c r="F448" s="15" t="s">
        <v>345</v>
      </c>
      <c r="G448" s="15" t="s">
        <v>4</v>
      </c>
      <c r="I448" s="15">
        <v>0.67948133543980704</v>
      </c>
      <c r="J448" s="15">
        <v>2.6298261428447298</v>
      </c>
      <c r="K448" s="15">
        <v>8.9358426473435699</v>
      </c>
      <c r="L448" s="15">
        <v>16.068790948470699</v>
      </c>
      <c r="M448" s="15">
        <v>17.362921959588999</v>
      </c>
      <c r="N448" s="15">
        <v>18.500203476397299</v>
      </c>
      <c r="O448" s="15">
        <v>19.277525792818</v>
      </c>
      <c r="P448" s="15">
        <v>19.831618899156499</v>
      </c>
      <c r="Q448" s="15">
        <v>21.748195655117698</v>
      </c>
    </row>
    <row r="449" spans="1:17" x14ac:dyDescent="0.3">
      <c r="C449" s="15" t="s">
        <v>276</v>
      </c>
      <c r="D449" s="15" t="s">
        <v>343</v>
      </c>
      <c r="E449" s="15" t="s">
        <v>343</v>
      </c>
      <c r="F449" s="15" t="s">
        <v>345</v>
      </c>
      <c r="G449" s="15" t="s">
        <v>5</v>
      </c>
      <c r="K449" s="15">
        <v>1.63105654190345</v>
      </c>
      <c r="L449" s="15">
        <v>4.5254388063368101</v>
      </c>
      <c r="M449" s="15">
        <v>4.7637785444933405</v>
      </c>
      <c r="N449" s="15">
        <v>4.9450533858761396</v>
      </c>
      <c r="O449" s="15">
        <v>5.0216368428172702</v>
      </c>
      <c r="P449" s="15">
        <v>5.034748840144629</v>
      </c>
      <c r="Q449" s="15">
        <v>5.403897110188149</v>
      </c>
    </row>
    <row r="450" spans="1:17" x14ac:dyDescent="0.3">
      <c r="C450" s="15" t="s">
        <v>276</v>
      </c>
      <c r="D450" s="15" t="s">
        <v>343</v>
      </c>
      <c r="E450" s="15" t="s">
        <v>343</v>
      </c>
      <c r="F450" s="15" t="s">
        <v>345</v>
      </c>
      <c r="G450" s="15" t="s">
        <v>6</v>
      </c>
      <c r="I450" s="15">
        <v>0.11279514252392001</v>
      </c>
      <c r="J450" s="15">
        <v>1.4729961776051199</v>
      </c>
      <c r="K450" s="15">
        <v>5.5242409622513104</v>
      </c>
      <c r="L450" s="15">
        <v>10.091321858277595</v>
      </c>
      <c r="M450" s="15">
        <v>10.9800848020675</v>
      </c>
      <c r="N450" s="15">
        <v>11.7738402648258</v>
      </c>
      <c r="O450" s="15">
        <v>12.344519850803401</v>
      </c>
      <c r="P450" s="15">
        <v>12.772960671945302</v>
      </c>
      <c r="Q450" s="15">
        <v>14.1109426454592</v>
      </c>
    </row>
    <row r="451" spans="1:17" x14ac:dyDescent="0.3">
      <c r="C451" s="15" t="s">
        <v>276</v>
      </c>
      <c r="D451" s="15" t="s">
        <v>343</v>
      </c>
      <c r="E451" s="15" t="s">
        <v>343</v>
      </c>
      <c r="F451" s="15" t="s">
        <v>345</v>
      </c>
      <c r="G451" s="15" t="s">
        <v>7</v>
      </c>
      <c r="J451" s="15">
        <v>0.59180998254797401</v>
      </c>
      <c r="K451" s="15">
        <v>3.2139566397913839</v>
      </c>
      <c r="L451" s="15">
        <v>6.1699677621888682</v>
      </c>
      <c r="M451" s="15">
        <v>6.774338473560567</v>
      </c>
      <c r="N451" s="15">
        <v>7.3359797483887785</v>
      </c>
      <c r="O451" s="15">
        <v>7.7689332424852076</v>
      </c>
      <c r="P451" s="15">
        <v>8.1217946415631399</v>
      </c>
      <c r="Q451" s="15">
        <v>9.0782802951814006</v>
      </c>
    </row>
    <row r="452" spans="1:17" x14ac:dyDescent="0.3">
      <c r="C452" s="15" t="s">
        <v>276</v>
      </c>
      <c r="D452" s="15" t="s">
        <v>343</v>
      </c>
      <c r="E452" s="15" t="s">
        <v>343</v>
      </c>
      <c r="F452" s="15" t="s">
        <v>345</v>
      </c>
      <c r="G452" s="15" t="s">
        <v>8</v>
      </c>
      <c r="I452" s="15">
        <v>0.20056272162067201</v>
      </c>
      <c r="J452" s="15">
        <v>3.6504380968598702</v>
      </c>
      <c r="K452" s="15">
        <v>8.0555458478707394</v>
      </c>
      <c r="L452" s="15">
        <v>13.117262815498</v>
      </c>
      <c r="M452" s="15">
        <v>14.029834655579501</v>
      </c>
      <c r="N452" s="15">
        <v>14.790071034959601</v>
      </c>
      <c r="O452" s="15">
        <v>15.2510873625382</v>
      </c>
      <c r="P452" s="15">
        <v>15.5458972767014</v>
      </c>
      <c r="Q452" s="15">
        <v>16.9267639927868</v>
      </c>
    </row>
    <row r="453" spans="1:17" x14ac:dyDescent="0.3">
      <c r="C453" s="15" t="s">
        <v>276</v>
      </c>
      <c r="D453" s="15" t="s">
        <v>343</v>
      </c>
      <c r="E453" s="15" t="s">
        <v>343</v>
      </c>
      <c r="F453" s="15" t="s">
        <v>346</v>
      </c>
      <c r="G453" s="15" t="s">
        <v>0</v>
      </c>
      <c r="H453" s="15">
        <v>3.5531633082768099</v>
      </c>
      <c r="I453" s="15">
        <v>3.59044639692699</v>
      </c>
      <c r="J453" s="15">
        <v>2.5646045692335702</v>
      </c>
      <c r="K453" s="15">
        <v>1.28230228461678</v>
      </c>
    </row>
    <row r="454" spans="1:17" x14ac:dyDescent="0.3">
      <c r="C454" s="15" t="s">
        <v>276</v>
      </c>
      <c r="D454" s="15" t="s">
        <v>343</v>
      </c>
      <c r="E454" s="15" t="s">
        <v>343</v>
      </c>
      <c r="F454" s="15" t="s">
        <v>346</v>
      </c>
      <c r="G454" s="15" t="s">
        <v>1</v>
      </c>
      <c r="H454" s="15">
        <v>11.169583330887599</v>
      </c>
      <c r="I454" s="15">
        <v>11.1518475096545</v>
      </c>
      <c r="J454" s="15">
        <v>8.4454183920272001</v>
      </c>
      <c r="K454" s="15">
        <v>4.2227091960136001</v>
      </c>
    </row>
    <row r="455" spans="1:17" x14ac:dyDescent="0.3">
      <c r="C455" s="15" t="s">
        <v>276</v>
      </c>
      <c r="D455" s="15" t="s">
        <v>343</v>
      </c>
      <c r="E455" s="15" t="s">
        <v>343</v>
      </c>
      <c r="F455" s="15" t="s">
        <v>346</v>
      </c>
      <c r="G455" s="15" t="s">
        <v>2</v>
      </c>
      <c r="H455" s="15">
        <v>12.694736740055101</v>
      </c>
      <c r="I455" s="15">
        <v>12.650303554561599</v>
      </c>
      <c r="J455" s="15">
        <v>10.246018934216901</v>
      </c>
      <c r="K455" s="15">
        <v>5.3617436242914298</v>
      </c>
    </row>
    <row r="456" spans="1:17" x14ac:dyDescent="0.3">
      <c r="C456" s="15" t="s">
        <v>276</v>
      </c>
      <c r="D456" s="15" t="s">
        <v>343</v>
      </c>
      <c r="E456" s="15" t="s">
        <v>343</v>
      </c>
      <c r="F456" s="15" t="s">
        <v>346</v>
      </c>
      <c r="G456" s="15" t="s">
        <v>3</v>
      </c>
      <c r="H456" s="15">
        <v>5.5764716862240098</v>
      </c>
      <c r="I456" s="15">
        <v>5.5883971682831897</v>
      </c>
      <c r="J456" s="15">
        <v>4.62773463378928</v>
      </c>
      <c r="K456" s="15">
        <v>3.17849976307361</v>
      </c>
    </row>
    <row r="457" spans="1:17" x14ac:dyDescent="0.3">
      <c r="C457" s="15" t="s">
        <v>276</v>
      </c>
      <c r="D457" s="15" t="s">
        <v>343</v>
      </c>
      <c r="E457" s="15" t="s">
        <v>343</v>
      </c>
      <c r="F457" s="15" t="s">
        <v>346</v>
      </c>
      <c r="G457" s="15" t="s">
        <v>4</v>
      </c>
      <c r="H457" s="15">
        <v>16.303056375475201</v>
      </c>
      <c r="I457" s="15">
        <v>15.7442399839495</v>
      </c>
      <c r="J457" s="15">
        <v>11.2458857028211</v>
      </c>
      <c r="K457" s="15">
        <v>5.6229428514105297</v>
      </c>
    </row>
    <row r="458" spans="1:17" x14ac:dyDescent="0.3">
      <c r="C458" s="15" t="s">
        <v>276</v>
      </c>
      <c r="D458" s="15" t="s">
        <v>343</v>
      </c>
      <c r="E458" s="15" t="s">
        <v>343</v>
      </c>
      <c r="F458" s="15" t="s">
        <v>346</v>
      </c>
      <c r="G458" s="15" t="s">
        <v>5</v>
      </c>
      <c r="H458" s="15">
        <v>5.01392970605513</v>
      </c>
      <c r="I458" s="15">
        <v>5.0183784701533796</v>
      </c>
      <c r="J458" s="15">
        <v>4.1355755828199996</v>
      </c>
      <c r="K458" s="15">
        <v>2.5775640860565798</v>
      </c>
    </row>
    <row r="459" spans="1:17" x14ac:dyDescent="0.3">
      <c r="C459" s="15" t="s">
        <v>276</v>
      </c>
      <c r="D459" s="15" t="s">
        <v>343</v>
      </c>
      <c r="E459" s="15" t="s">
        <v>343</v>
      </c>
      <c r="F459" s="15" t="s">
        <v>346</v>
      </c>
      <c r="G459" s="15" t="s">
        <v>6</v>
      </c>
      <c r="H459" s="15">
        <v>9.9366152448527902</v>
      </c>
      <c r="I459" s="15">
        <v>9.9230644299082797</v>
      </c>
      <c r="J459" s="15">
        <v>7.0879031642201999</v>
      </c>
      <c r="K459" s="15">
        <v>3.5439515821101</v>
      </c>
    </row>
    <row r="460" spans="1:17" x14ac:dyDescent="0.3">
      <c r="C460" s="15" t="s">
        <v>276</v>
      </c>
      <c r="D460" s="15" t="s">
        <v>343</v>
      </c>
      <c r="E460" s="15" t="s">
        <v>343</v>
      </c>
      <c r="F460" s="15" t="s">
        <v>346</v>
      </c>
      <c r="G460" s="15" t="s">
        <v>7</v>
      </c>
      <c r="H460" s="15">
        <v>6.1284067850967396</v>
      </c>
      <c r="I460" s="15">
        <v>6.1603115323331501</v>
      </c>
      <c r="J460" s="15">
        <v>4.5698389708916904</v>
      </c>
      <c r="K460" s="15">
        <v>2.2849194854458399</v>
      </c>
    </row>
    <row r="461" spans="1:17" x14ac:dyDescent="0.3">
      <c r="C461" s="15" t="s">
        <v>276</v>
      </c>
      <c r="D461" s="15" t="s">
        <v>343</v>
      </c>
      <c r="E461" s="15" t="s">
        <v>343</v>
      </c>
      <c r="F461" s="15" t="s">
        <v>346</v>
      </c>
      <c r="G461" s="15" t="s">
        <v>8</v>
      </c>
      <c r="H461" s="15">
        <v>10.903392719947799</v>
      </c>
      <c r="I461" s="15">
        <v>11.007659734996</v>
      </c>
      <c r="J461" s="15">
        <v>7.8626140964257303</v>
      </c>
      <c r="K461" s="15">
        <v>3.93130704821287</v>
      </c>
    </row>
    <row r="462" spans="1:17" x14ac:dyDescent="0.3">
      <c r="A462" s="15" t="str">
        <f>MID(F462,4,1)</f>
        <v>E</v>
      </c>
      <c r="B462" s="15" t="str">
        <f>MID(F462,5,3)</f>
        <v>CFL</v>
      </c>
      <c r="C462" s="15" t="s">
        <v>276</v>
      </c>
      <c r="D462" s="15" t="s">
        <v>347</v>
      </c>
      <c r="E462" s="15" t="s">
        <v>126</v>
      </c>
      <c r="F462" s="15" t="s">
        <v>348</v>
      </c>
      <c r="G462" s="15" t="s">
        <v>0</v>
      </c>
      <c r="H462" s="15">
        <v>0.37180233025718601</v>
      </c>
    </row>
    <row r="463" spans="1:17" x14ac:dyDescent="0.3">
      <c r="A463" s="15" t="str">
        <f t="shared" ref="A463:A526" si="0">MID(F463,4,1)</f>
        <v>E</v>
      </c>
      <c r="B463" s="15" t="str">
        <f t="shared" ref="B463:B526" si="1">MID(F463,5,3)</f>
        <v>CFL</v>
      </c>
      <c r="C463" s="15" t="s">
        <v>276</v>
      </c>
      <c r="D463" s="15" t="s">
        <v>347</v>
      </c>
      <c r="E463" s="15" t="s">
        <v>126</v>
      </c>
      <c r="F463" s="15" t="s">
        <v>348</v>
      </c>
      <c r="G463" s="15" t="s">
        <v>1</v>
      </c>
      <c r="H463" s="15">
        <v>1.0519047606612499</v>
      </c>
    </row>
    <row r="464" spans="1:17" x14ac:dyDescent="0.3">
      <c r="A464" s="15" t="str">
        <f t="shared" si="0"/>
        <v>E</v>
      </c>
      <c r="B464" s="15" t="str">
        <f t="shared" si="1"/>
        <v>CFL</v>
      </c>
      <c r="C464" s="15" t="s">
        <v>276</v>
      </c>
      <c r="D464" s="15" t="s">
        <v>347</v>
      </c>
      <c r="E464" s="15" t="s">
        <v>126</v>
      </c>
      <c r="F464" s="15" t="s">
        <v>348</v>
      </c>
      <c r="G464" s="15" t="s">
        <v>2</v>
      </c>
      <c r="H464" s="15">
        <v>1.1955373460779</v>
      </c>
    </row>
    <row r="465" spans="1:11" x14ac:dyDescent="0.3">
      <c r="A465" s="15" t="str">
        <f t="shared" si="0"/>
        <v>E</v>
      </c>
      <c r="B465" s="15" t="str">
        <f t="shared" si="1"/>
        <v>CFL</v>
      </c>
      <c r="C465" s="15" t="s">
        <v>276</v>
      </c>
      <c r="D465" s="15" t="s">
        <v>347</v>
      </c>
      <c r="E465" s="15" t="s">
        <v>126</v>
      </c>
      <c r="F465" s="15" t="s">
        <v>348</v>
      </c>
      <c r="G465" s="15" t="s">
        <v>3</v>
      </c>
      <c r="H465" s="15">
        <v>0.525168839397125</v>
      </c>
    </row>
    <row r="466" spans="1:11" x14ac:dyDescent="0.3">
      <c r="A466" s="15" t="str">
        <f t="shared" si="0"/>
        <v>E</v>
      </c>
      <c r="B466" s="15" t="str">
        <f t="shared" si="1"/>
        <v>CFL</v>
      </c>
      <c r="C466" s="15" t="s">
        <v>276</v>
      </c>
      <c r="D466" s="15" t="s">
        <v>347</v>
      </c>
      <c r="E466" s="15" t="s">
        <v>126</v>
      </c>
      <c r="F466" s="15" t="s">
        <v>348</v>
      </c>
      <c r="G466" s="15" t="s">
        <v>4</v>
      </c>
      <c r="H466" s="15">
        <v>1.5353538360976899</v>
      </c>
    </row>
    <row r="467" spans="1:11" x14ac:dyDescent="0.3">
      <c r="A467" s="15" t="str">
        <f t="shared" si="0"/>
        <v>E</v>
      </c>
      <c r="B467" s="15" t="str">
        <f t="shared" si="1"/>
        <v>CFL</v>
      </c>
      <c r="C467" s="15" t="s">
        <v>276</v>
      </c>
      <c r="D467" s="15" t="s">
        <v>347</v>
      </c>
      <c r="E467" s="15" t="s">
        <v>126</v>
      </c>
      <c r="F467" s="15" t="s">
        <v>348</v>
      </c>
      <c r="G467" s="15" t="s">
        <v>5</v>
      </c>
      <c r="H467" s="15">
        <v>0.472190982526215</v>
      </c>
    </row>
    <row r="468" spans="1:11" x14ac:dyDescent="0.3">
      <c r="A468" s="15" t="str">
        <f t="shared" si="0"/>
        <v>E</v>
      </c>
      <c r="B468" s="15" t="str">
        <f t="shared" si="1"/>
        <v>CFL</v>
      </c>
      <c r="C468" s="15" t="s">
        <v>276</v>
      </c>
      <c r="D468" s="15" t="s">
        <v>347</v>
      </c>
      <c r="E468" s="15" t="s">
        <v>126</v>
      </c>
      <c r="F468" s="15" t="s">
        <v>348</v>
      </c>
      <c r="G468" s="15" t="s">
        <v>6</v>
      </c>
      <c r="H468" s="15">
        <v>0.935788970033962</v>
      </c>
    </row>
    <row r="469" spans="1:11" x14ac:dyDescent="0.3">
      <c r="A469" s="15" t="str">
        <f t="shared" si="0"/>
        <v>E</v>
      </c>
      <c r="B469" s="15" t="str">
        <f t="shared" si="1"/>
        <v>CFL</v>
      </c>
      <c r="C469" s="15" t="s">
        <v>276</v>
      </c>
      <c r="D469" s="15" t="s">
        <v>347</v>
      </c>
      <c r="E469" s="15" t="s">
        <v>126</v>
      </c>
      <c r="F469" s="15" t="s">
        <v>348</v>
      </c>
      <c r="G469" s="15" t="s">
        <v>7</v>
      </c>
      <c r="H469" s="15">
        <v>0.57714778443751502</v>
      </c>
    </row>
    <row r="470" spans="1:11" x14ac:dyDescent="0.3">
      <c r="A470" s="15" t="str">
        <f t="shared" si="0"/>
        <v>E</v>
      </c>
      <c r="B470" s="15" t="str">
        <f t="shared" si="1"/>
        <v>CFL</v>
      </c>
      <c r="C470" s="15" t="s">
        <v>276</v>
      </c>
      <c r="D470" s="15" t="s">
        <v>347</v>
      </c>
      <c r="E470" s="15" t="s">
        <v>126</v>
      </c>
      <c r="F470" s="15" t="s">
        <v>348</v>
      </c>
      <c r="G470" s="15" t="s">
        <v>8</v>
      </c>
      <c r="H470" s="15">
        <v>1.28354504927635</v>
      </c>
    </row>
    <row r="471" spans="1:11" x14ac:dyDescent="0.3">
      <c r="A471" s="15" t="str">
        <f t="shared" si="0"/>
        <v>E</v>
      </c>
      <c r="B471" s="15" t="str">
        <f t="shared" si="1"/>
        <v>HPS</v>
      </c>
      <c r="C471" s="15" t="s">
        <v>276</v>
      </c>
      <c r="D471" s="15" t="s">
        <v>347</v>
      </c>
      <c r="E471" s="15" t="s">
        <v>126</v>
      </c>
      <c r="F471" s="15" t="s">
        <v>349</v>
      </c>
      <c r="G471" s="15" t="s">
        <v>0</v>
      </c>
      <c r="H471" s="15">
        <v>0.37180233025718601</v>
      </c>
      <c r="I471" s="15">
        <v>0.36053559297666499</v>
      </c>
      <c r="J471" s="15">
        <v>0.31546864385458201</v>
      </c>
      <c r="K471" s="15">
        <v>0.25913495745197801</v>
      </c>
    </row>
    <row r="472" spans="1:11" x14ac:dyDescent="0.3">
      <c r="A472" s="15" t="str">
        <f t="shared" si="0"/>
        <v>E</v>
      </c>
      <c r="B472" s="15" t="str">
        <f t="shared" si="1"/>
        <v>HPS</v>
      </c>
      <c r="C472" s="15" t="s">
        <v>276</v>
      </c>
      <c r="D472" s="15" t="s">
        <v>347</v>
      </c>
      <c r="E472" s="15" t="s">
        <v>126</v>
      </c>
      <c r="F472" s="15" t="s">
        <v>349</v>
      </c>
      <c r="G472" s="15" t="s">
        <v>1</v>
      </c>
      <c r="H472" s="15">
        <v>1.0519047606612499</v>
      </c>
      <c r="I472" s="15">
        <v>1.02002885882303</v>
      </c>
      <c r="J472" s="15">
        <v>0.89252525147015105</v>
      </c>
      <c r="K472" s="15">
        <v>0.73314574227905305</v>
      </c>
    </row>
    <row r="473" spans="1:11" x14ac:dyDescent="0.3">
      <c r="A473" s="15" t="str">
        <f t="shared" si="0"/>
        <v>E</v>
      </c>
      <c r="B473" s="15" t="str">
        <f t="shared" si="1"/>
        <v>HPS</v>
      </c>
      <c r="C473" s="15" t="s">
        <v>276</v>
      </c>
      <c r="D473" s="15" t="s">
        <v>347</v>
      </c>
      <c r="E473" s="15" t="s">
        <v>126</v>
      </c>
      <c r="F473" s="15" t="s">
        <v>349</v>
      </c>
      <c r="G473" s="15" t="s">
        <v>2</v>
      </c>
      <c r="H473" s="15">
        <v>1.1955373460779</v>
      </c>
      <c r="I473" s="15">
        <v>1.1593089416513001</v>
      </c>
      <c r="J473" s="15">
        <v>1.01439532394488</v>
      </c>
      <c r="K473" s="15">
        <v>0.83325330181186996</v>
      </c>
    </row>
    <row r="474" spans="1:11" x14ac:dyDescent="0.3">
      <c r="A474" s="15" t="str">
        <f t="shared" si="0"/>
        <v>E</v>
      </c>
      <c r="B474" s="15" t="str">
        <f t="shared" si="1"/>
        <v>HPS</v>
      </c>
      <c r="C474" s="15" t="s">
        <v>276</v>
      </c>
      <c r="D474" s="15" t="s">
        <v>347</v>
      </c>
      <c r="E474" s="15" t="s">
        <v>126</v>
      </c>
      <c r="F474" s="15" t="s">
        <v>349</v>
      </c>
      <c r="G474" s="15" t="s">
        <v>3</v>
      </c>
      <c r="H474" s="15">
        <v>0.525168839397125</v>
      </c>
      <c r="I474" s="15">
        <v>0.50925463214266697</v>
      </c>
      <c r="J474" s="15">
        <v>0.44559780312483299</v>
      </c>
      <c r="K474" s="15">
        <v>0.36602676685254198</v>
      </c>
    </row>
    <row r="475" spans="1:11" x14ac:dyDescent="0.3">
      <c r="A475" s="15" t="str">
        <f t="shared" si="0"/>
        <v>E</v>
      </c>
      <c r="B475" s="15" t="str">
        <f t="shared" si="1"/>
        <v>HPS</v>
      </c>
      <c r="C475" s="15" t="s">
        <v>276</v>
      </c>
      <c r="D475" s="15" t="s">
        <v>347</v>
      </c>
      <c r="E475" s="15" t="s">
        <v>126</v>
      </c>
      <c r="F475" s="15" t="s">
        <v>349</v>
      </c>
      <c r="G475" s="15" t="s">
        <v>4</v>
      </c>
      <c r="H475" s="15">
        <v>1.5353538360976899</v>
      </c>
      <c r="I475" s="15">
        <v>1.4888279622765499</v>
      </c>
      <c r="J475" s="15">
        <v>1.30272446699198</v>
      </c>
      <c r="K475" s="15">
        <v>1.07009509788627</v>
      </c>
    </row>
    <row r="476" spans="1:11" x14ac:dyDescent="0.3">
      <c r="A476" s="15" t="str">
        <f t="shared" si="0"/>
        <v>E</v>
      </c>
      <c r="B476" s="15" t="str">
        <f t="shared" si="1"/>
        <v>HPS</v>
      </c>
      <c r="C476" s="15" t="s">
        <v>276</v>
      </c>
      <c r="D476" s="15" t="s">
        <v>347</v>
      </c>
      <c r="E476" s="15" t="s">
        <v>126</v>
      </c>
      <c r="F476" s="15" t="s">
        <v>349</v>
      </c>
      <c r="G476" s="15" t="s">
        <v>5</v>
      </c>
      <c r="H476" s="15">
        <v>0.472190982526215</v>
      </c>
      <c r="I476" s="15">
        <v>0.45788216487390498</v>
      </c>
      <c r="J476" s="15">
        <v>0.40064689426466699</v>
      </c>
      <c r="K476" s="15">
        <v>0.32910280600311997</v>
      </c>
    </row>
    <row r="477" spans="1:11" x14ac:dyDescent="0.3">
      <c r="A477" s="15" t="str">
        <f t="shared" si="0"/>
        <v>E</v>
      </c>
      <c r="B477" s="15" t="str">
        <f t="shared" si="1"/>
        <v>HPS</v>
      </c>
      <c r="C477" s="15" t="s">
        <v>276</v>
      </c>
      <c r="D477" s="15" t="s">
        <v>347</v>
      </c>
      <c r="E477" s="15" t="s">
        <v>126</v>
      </c>
      <c r="F477" s="15" t="s">
        <v>349</v>
      </c>
      <c r="G477" s="15" t="s">
        <v>6</v>
      </c>
      <c r="H477" s="15">
        <v>0.935788970033962</v>
      </c>
      <c r="I477" s="15">
        <v>0.90743172851778098</v>
      </c>
      <c r="J477" s="15">
        <v>0.79400276245305901</v>
      </c>
      <c r="K477" s="15">
        <v>0.65221655487215502</v>
      </c>
    </row>
    <row r="478" spans="1:11" x14ac:dyDescent="0.3">
      <c r="A478" s="15" t="str">
        <f t="shared" si="0"/>
        <v>E</v>
      </c>
      <c r="B478" s="15" t="str">
        <f t="shared" si="1"/>
        <v>HPS</v>
      </c>
      <c r="C478" s="15" t="s">
        <v>276</v>
      </c>
      <c r="D478" s="15" t="s">
        <v>347</v>
      </c>
      <c r="E478" s="15" t="s">
        <v>126</v>
      </c>
      <c r="F478" s="15" t="s">
        <v>349</v>
      </c>
      <c r="G478" s="15" t="s">
        <v>7</v>
      </c>
      <c r="H478" s="15">
        <v>0.57714778443751502</v>
      </c>
      <c r="I478" s="15">
        <v>0.559658457636378</v>
      </c>
      <c r="J478" s="15">
        <v>0.48970115043183099</v>
      </c>
      <c r="K478" s="15">
        <v>0.40225451642614701</v>
      </c>
    </row>
    <row r="479" spans="1:11" x14ac:dyDescent="0.3">
      <c r="A479" s="15" t="str">
        <f t="shared" si="0"/>
        <v>E</v>
      </c>
      <c r="B479" s="15" t="str">
        <f t="shared" si="1"/>
        <v>HPS</v>
      </c>
      <c r="C479" s="15" t="s">
        <v>276</v>
      </c>
      <c r="D479" s="15" t="s">
        <v>347</v>
      </c>
      <c r="E479" s="15" t="s">
        <v>126</v>
      </c>
      <c r="F479" s="15" t="s">
        <v>349</v>
      </c>
      <c r="G479" s="15" t="s">
        <v>8</v>
      </c>
      <c r="H479" s="15">
        <v>1.28354504927635</v>
      </c>
      <c r="I479" s="15">
        <v>1.24464974475282</v>
      </c>
      <c r="J479" s="15">
        <v>1.0890685266587199</v>
      </c>
      <c r="K479" s="15">
        <v>0.89459200404109196</v>
      </c>
    </row>
    <row r="480" spans="1:11" x14ac:dyDescent="0.3">
      <c r="A480" s="15" t="str">
        <f t="shared" si="0"/>
        <v>E</v>
      </c>
      <c r="B480" s="15" t="str">
        <f t="shared" si="1"/>
        <v>INC</v>
      </c>
      <c r="C480" s="15" t="s">
        <v>276</v>
      </c>
      <c r="D480" s="15" t="s">
        <v>347</v>
      </c>
      <c r="E480" s="15" t="s">
        <v>126</v>
      </c>
      <c r="F480" s="15" t="s">
        <v>350</v>
      </c>
      <c r="G480" s="15" t="s">
        <v>0</v>
      </c>
      <c r="H480" s="15">
        <v>0.50413875289110099</v>
      </c>
    </row>
    <row r="481" spans="1:8" x14ac:dyDescent="0.3">
      <c r="A481" s="15" t="str">
        <f t="shared" si="0"/>
        <v>E</v>
      </c>
      <c r="B481" s="15" t="str">
        <f t="shared" si="1"/>
        <v>INC</v>
      </c>
      <c r="C481" s="15" t="s">
        <v>276</v>
      </c>
      <c r="D481" s="15" t="s">
        <v>347</v>
      </c>
      <c r="E481" s="15" t="s">
        <v>126</v>
      </c>
      <c r="F481" s="15" t="s">
        <v>350</v>
      </c>
      <c r="G481" s="15" t="s">
        <v>1</v>
      </c>
      <c r="H481" s="15">
        <v>1.42631153987966</v>
      </c>
    </row>
    <row r="482" spans="1:8" x14ac:dyDescent="0.3">
      <c r="A482" s="15" t="str">
        <f t="shared" si="0"/>
        <v>E</v>
      </c>
      <c r="B482" s="15" t="str">
        <f t="shared" si="1"/>
        <v>INC</v>
      </c>
      <c r="C482" s="15" t="s">
        <v>276</v>
      </c>
      <c r="D482" s="15" t="s">
        <v>347</v>
      </c>
      <c r="E482" s="15" t="s">
        <v>126</v>
      </c>
      <c r="F482" s="15" t="s">
        <v>350</v>
      </c>
      <c r="G482" s="15" t="s">
        <v>2</v>
      </c>
      <c r="H482" s="15">
        <v>1.62106758790223</v>
      </c>
    </row>
    <row r="483" spans="1:8" x14ac:dyDescent="0.3">
      <c r="A483" s="15" t="str">
        <f t="shared" si="0"/>
        <v>E</v>
      </c>
      <c r="B483" s="15" t="str">
        <f t="shared" si="1"/>
        <v>INC</v>
      </c>
      <c r="C483" s="15" t="s">
        <v>276</v>
      </c>
      <c r="D483" s="15" t="s">
        <v>347</v>
      </c>
      <c r="E483" s="15" t="s">
        <v>126</v>
      </c>
      <c r="F483" s="15" t="s">
        <v>350</v>
      </c>
      <c r="G483" s="15" t="s">
        <v>3</v>
      </c>
      <c r="H483" s="15">
        <v>0.71209334155542303</v>
      </c>
    </row>
    <row r="484" spans="1:8" x14ac:dyDescent="0.3">
      <c r="A484" s="15" t="str">
        <f t="shared" si="0"/>
        <v>E</v>
      </c>
      <c r="B484" s="15" t="str">
        <f t="shared" si="1"/>
        <v>INC</v>
      </c>
      <c r="C484" s="15" t="s">
        <v>276</v>
      </c>
      <c r="D484" s="15" t="s">
        <v>347</v>
      </c>
      <c r="E484" s="15" t="s">
        <v>126</v>
      </c>
      <c r="F484" s="15" t="s">
        <v>350</v>
      </c>
      <c r="G484" s="15" t="s">
        <v>4</v>
      </c>
      <c r="H484" s="15">
        <v>2.0818357099629701</v>
      </c>
    </row>
    <row r="485" spans="1:8" x14ac:dyDescent="0.3">
      <c r="A485" s="15" t="str">
        <f t="shared" si="0"/>
        <v>E</v>
      </c>
      <c r="B485" s="15" t="str">
        <f t="shared" si="1"/>
        <v>INC</v>
      </c>
      <c r="C485" s="15" t="s">
        <v>276</v>
      </c>
      <c r="D485" s="15" t="s">
        <v>347</v>
      </c>
      <c r="E485" s="15" t="s">
        <v>126</v>
      </c>
      <c r="F485" s="15" t="s">
        <v>350</v>
      </c>
      <c r="G485" s="15" t="s">
        <v>5</v>
      </c>
      <c r="H485" s="15">
        <v>0.64025895935758004</v>
      </c>
    </row>
    <row r="486" spans="1:8" x14ac:dyDescent="0.3">
      <c r="A486" s="15" t="str">
        <f t="shared" si="0"/>
        <v>E</v>
      </c>
      <c r="B486" s="15" t="str">
        <f t="shared" si="1"/>
        <v>INC</v>
      </c>
      <c r="C486" s="15" t="s">
        <v>276</v>
      </c>
      <c r="D486" s="15" t="s">
        <v>347</v>
      </c>
      <c r="E486" s="15" t="s">
        <v>126</v>
      </c>
      <c r="F486" s="15" t="s">
        <v>350</v>
      </c>
      <c r="G486" s="15" t="s">
        <v>6</v>
      </c>
      <c r="H486" s="15">
        <v>1.2688664000460499</v>
      </c>
    </row>
    <row r="487" spans="1:8" x14ac:dyDescent="0.3">
      <c r="A487" s="15" t="str">
        <f t="shared" si="0"/>
        <v>E</v>
      </c>
      <c r="B487" s="15" t="str">
        <f t="shared" si="1"/>
        <v>INC</v>
      </c>
      <c r="C487" s="15" t="s">
        <v>276</v>
      </c>
      <c r="D487" s="15" t="s">
        <v>347</v>
      </c>
      <c r="E487" s="15" t="s">
        <v>126</v>
      </c>
      <c r="F487" s="15" t="s">
        <v>350</v>
      </c>
      <c r="G487" s="15" t="s">
        <v>7</v>
      </c>
      <c r="H487" s="15">
        <v>0.78257326703391905</v>
      </c>
    </row>
    <row r="488" spans="1:8" x14ac:dyDescent="0.3">
      <c r="A488" s="15" t="str">
        <f t="shared" si="0"/>
        <v>E</v>
      </c>
      <c r="B488" s="15" t="str">
        <f t="shared" si="1"/>
        <v>INC</v>
      </c>
      <c r="C488" s="15" t="s">
        <v>276</v>
      </c>
      <c r="D488" s="15" t="s">
        <v>347</v>
      </c>
      <c r="E488" s="15" t="s">
        <v>126</v>
      </c>
      <c r="F488" s="15" t="s">
        <v>350</v>
      </c>
      <c r="G488" s="15" t="s">
        <v>8</v>
      </c>
      <c r="H488" s="15">
        <v>1.7404000668153901</v>
      </c>
    </row>
    <row r="489" spans="1:8" x14ac:dyDescent="0.3">
      <c r="A489" s="15" t="str">
        <f t="shared" si="0"/>
        <v>G</v>
      </c>
      <c r="B489" s="15" t="str">
        <f t="shared" si="1"/>
        <v>CFL</v>
      </c>
      <c r="C489" s="15" t="s">
        <v>276</v>
      </c>
      <c r="D489" s="15" t="s">
        <v>347</v>
      </c>
      <c r="E489" s="15" t="s">
        <v>126</v>
      </c>
      <c r="F489" s="15" t="s">
        <v>351</v>
      </c>
      <c r="G489" s="15" t="s">
        <v>0</v>
      </c>
      <c r="H489" s="15">
        <v>5.2430430300674402</v>
      </c>
    </row>
    <row r="490" spans="1:8" x14ac:dyDescent="0.3">
      <c r="A490" s="15" t="str">
        <f t="shared" si="0"/>
        <v>G</v>
      </c>
      <c r="B490" s="15" t="str">
        <f t="shared" si="1"/>
        <v>CFL</v>
      </c>
      <c r="C490" s="15" t="s">
        <v>276</v>
      </c>
      <c r="D490" s="15" t="s">
        <v>347</v>
      </c>
      <c r="E490" s="15" t="s">
        <v>126</v>
      </c>
      <c r="F490" s="15" t="s">
        <v>351</v>
      </c>
      <c r="G490" s="15" t="s">
        <v>1</v>
      </c>
      <c r="H490" s="15">
        <v>14.8336400147485</v>
      </c>
    </row>
    <row r="491" spans="1:8" x14ac:dyDescent="0.3">
      <c r="A491" s="15" t="str">
        <f t="shared" si="0"/>
        <v>G</v>
      </c>
      <c r="B491" s="15" t="str">
        <f t="shared" si="1"/>
        <v>CFL</v>
      </c>
      <c r="C491" s="15" t="s">
        <v>276</v>
      </c>
      <c r="D491" s="15" t="s">
        <v>347</v>
      </c>
      <c r="E491" s="15" t="s">
        <v>126</v>
      </c>
      <c r="F491" s="15" t="s">
        <v>351</v>
      </c>
      <c r="G491" s="15" t="s">
        <v>2</v>
      </c>
      <c r="H491" s="15">
        <v>16.8591029141832</v>
      </c>
    </row>
    <row r="492" spans="1:8" x14ac:dyDescent="0.3">
      <c r="A492" s="15" t="str">
        <f t="shared" si="0"/>
        <v>G</v>
      </c>
      <c r="B492" s="15" t="str">
        <f t="shared" si="1"/>
        <v>CFL</v>
      </c>
      <c r="C492" s="15" t="s">
        <v>276</v>
      </c>
      <c r="D492" s="15" t="s">
        <v>347</v>
      </c>
      <c r="E492" s="15" t="s">
        <v>126</v>
      </c>
      <c r="F492" s="15" t="s">
        <v>351</v>
      </c>
      <c r="G492" s="15" t="s">
        <v>3</v>
      </c>
      <c r="H492" s="15">
        <v>7.4057707521763998</v>
      </c>
    </row>
    <row r="493" spans="1:8" x14ac:dyDescent="0.3">
      <c r="A493" s="15" t="str">
        <f t="shared" si="0"/>
        <v>G</v>
      </c>
      <c r="B493" s="15" t="str">
        <f t="shared" si="1"/>
        <v>CFL</v>
      </c>
      <c r="C493" s="15" t="s">
        <v>276</v>
      </c>
      <c r="D493" s="15" t="s">
        <v>347</v>
      </c>
      <c r="E493" s="15" t="s">
        <v>126</v>
      </c>
      <c r="F493" s="15" t="s">
        <v>351</v>
      </c>
      <c r="G493" s="15" t="s">
        <v>4</v>
      </c>
      <c r="H493" s="15">
        <v>21.651091383614901</v>
      </c>
    </row>
    <row r="494" spans="1:8" x14ac:dyDescent="0.3">
      <c r="A494" s="15" t="str">
        <f t="shared" si="0"/>
        <v>G</v>
      </c>
      <c r="B494" s="15" t="str">
        <f t="shared" si="1"/>
        <v>CFL</v>
      </c>
      <c r="C494" s="15" t="s">
        <v>276</v>
      </c>
      <c r="D494" s="15" t="s">
        <v>347</v>
      </c>
      <c r="E494" s="15" t="s">
        <v>126</v>
      </c>
      <c r="F494" s="15" t="s">
        <v>351</v>
      </c>
      <c r="G494" s="15" t="s">
        <v>5</v>
      </c>
      <c r="H494" s="15">
        <v>6.65869317731884</v>
      </c>
    </row>
    <row r="495" spans="1:8" x14ac:dyDescent="0.3">
      <c r="A495" s="15" t="str">
        <f t="shared" si="0"/>
        <v>G</v>
      </c>
      <c r="B495" s="15" t="str">
        <f t="shared" si="1"/>
        <v>CFL</v>
      </c>
      <c r="C495" s="15" t="s">
        <v>276</v>
      </c>
      <c r="D495" s="15" t="s">
        <v>347</v>
      </c>
      <c r="E495" s="15" t="s">
        <v>126</v>
      </c>
      <c r="F495" s="15" t="s">
        <v>351</v>
      </c>
      <c r="G495" s="15" t="s">
        <v>6</v>
      </c>
      <c r="H495" s="15">
        <v>13.1962105604789</v>
      </c>
    </row>
    <row r="496" spans="1:8" x14ac:dyDescent="0.3">
      <c r="A496" s="15" t="str">
        <f t="shared" si="0"/>
        <v>G</v>
      </c>
      <c r="B496" s="15" t="str">
        <f t="shared" si="1"/>
        <v>CFL</v>
      </c>
      <c r="C496" s="15" t="s">
        <v>276</v>
      </c>
      <c r="D496" s="15" t="s">
        <v>347</v>
      </c>
      <c r="E496" s="15" t="s">
        <v>126</v>
      </c>
      <c r="F496" s="15" t="s">
        <v>351</v>
      </c>
      <c r="G496" s="15" t="s">
        <v>7</v>
      </c>
      <c r="H496" s="15">
        <v>8.1387619771527504</v>
      </c>
    </row>
    <row r="497" spans="1:17" x14ac:dyDescent="0.3">
      <c r="A497" s="15" t="str">
        <f t="shared" si="0"/>
        <v>G</v>
      </c>
      <c r="B497" s="15" t="str">
        <f t="shared" si="1"/>
        <v>CFL</v>
      </c>
      <c r="C497" s="15" t="s">
        <v>276</v>
      </c>
      <c r="D497" s="15" t="s">
        <v>347</v>
      </c>
      <c r="E497" s="15" t="s">
        <v>126</v>
      </c>
      <c r="F497" s="15" t="s">
        <v>351</v>
      </c>
      <c r="G497" s="15" t="s">
        <v>8</v>
      </c>
      <c r="H497" s="15">
        <v>18.10016069488</v>
      </c>
    </row>
    <row r="498" spans="1:17" x14ac:dyDescent="0.3">
      <c r="A498" s="15" t="str">
        <f t="shared" si="0"/>
        <v>G</v>
      </c>
      <c r="B498" s="15" t="str">
        <f t="shared" si="1"/>
        <v>INC</v>
      </c>
      <c r="C498" s="15" t="s">
        <v>276</v>
      </c>
      <c r="D498" s="15" t="s">
        <v>347</v>
      </c>
      <c r="E498" s="15" t="s">
        <v>126</v>
      </c>
      <c r="F498" s="15" t="s">
        <v>352</v>
      </c>
      <c r="G498" s="15" t="s">
        <v>0</v>
      </c>
      <c r="H498" s="15">
        <v>9.8811195566655705</v>
      </c>
    </row>
    <row r="499" spans="1:17" x14ac:dyDescent="0.3">
      <c r="A499" s="15" t="str">
        <f t="shared" si="0"/>
        <v>G</v>
      </c>
      <c r="B499" s="15" t="str">
        <f t="shared" si="1"/>
        <v>INC</v>
      </c>
      <c r="C499" s="15" t="s">
        <v>276</v>
      </c>
      <c r="D499" s="15" t="s">
        <v>347</v>
      </c>
      <c r="E499" s="15" t="s">
        <v>126</v>
      </c>
      <c r="F499" s="15" t="s">
        <v>352</v>
      </c>
      <c r="G499" s="15" t="s">
        <v>1</v>
      </c>
      <c r="H499" s="15">
        <v>27.9557061816414</v>
      </c>
    </row>
    <row r="500" spans="1:17" x14ac:dyDescent="0.3">
      <c r="A500" s="15" t="str">
        <f t="shared" si="0"/>
        <v>G</v>
      </c>
      <c r="B500" s="15" t="str">
        <f t="shared" si="1"/>
        <v>INC</v>
      </c>
      <c r="C500" s="15" t="s">
        <v>276</v>
      </c>
      <c r="D500" s="15" t="s">
        <v>347</v>
      </c>
      <c r="E500" s="15" t="s">
        <v>126</v>
      </c>
      <c r="F500" s="15" t="s">
        <v>352</v>
      </c>
      <c r="G500" s="15" t="s">
        <v>2</v>
      </c>
      <c r="H500" s="15">
        <v>31.772924722883701</v>
      </c>
    </row>
    <row r="501" spans="1:17" x14ac:dyDescent="0.3">
      <c r="A501" s="15" t="str">
        <f t="shared" si="0"/>
        <v>G</v>
      </c>
      <c r="B501" s="15" t="str">
        <f t="shared" si="1"/>
        <v>INC</v>
      </c>
      <c r="C501" s="15" t="s">
        <v>276</v>
      </c>
      <c r="D501" s="15" t="s">
        <v>347</v>
      </c>
      <c r="E501" s="15" t="s">
        <v>126</v>
      </c>
      <c r="F501" s="15" t="s">
        <v>352</v>
      </c>
      <c r="G501" s="15" t="s">
        <v>3</v>
      </c>
      <c r="H501" s="15">
        <v>13.957029494486299</v>
      </c>
    </row>
    <row r="502" spans="1:17" x14ac:dyDescent="0.3">
      <c r="A502" s="15" t="str">
        <f t="shared" si="0"/>
        <v>G</v>
      </c>
      <c r="B502" s="15" t="str">
        <f t="shared" si="1"/>
        <v>INC</v>
      </c>
      <c r="C502" s="15" t="s">
        <v>276</v>
      </c>
      <c r="D502" s="15" t="s">
        <v>347</v>
      </c>
      <c r="E502" s="15" t="s">
        <v>126</v>
      </c>
      <c r="F502" s="15" t="s">
        <v>352</v>
      </c>
      <c r="G502" s="15" t="s">
        <v>4</v>
      </c>
      <c r="H502" s="15">
        <v>40.803979915274297</v>
      </c>
    </row>
    <row r="503" spans="1:17" x14ac:dyDescent="0.3">
      <c r="A503" s="15" t="str">
        <f t="shared" si="0"/>
        <v>G</v>
      </c>
      <c r="B503" s="15" t="str">
        <f t="shared" si="1"/>
        <v>INC</v>
      </c>
      <c r="C503" s="15" t="s">
        <v>276</v>
      </c>
      <c r="D503" s="15" t="s">
        <v>347</v>
      </c>
      <c r="E503" s="15" t="s">
        <v>126</v>
      </c>
      <c r="F503" s="15" t="s">
        <v>352</v>
      </c>
      <c r="G503" s="15" t="s">
        <v>5</v>
      </c>
      <c r="H503" s="15">
        <v>12.5490756034086</v>
      </c>
    </row>
    <row r="504" spans="1:17" x14ac:dyDescent="0.3">
      <c r="A504" s="15" t="str">
        <f t="shared" si="0"/>
        <v>G</v>
      </c>
      <c r="B504" s="15" t="str">
        <f t="shared" si="1"/>
        <v>INC</v>
      </c>
      <c r="C504" s="15" t="s">
        <v>276</v>
      </c>
      <c r="D504" s="15" t="s">
        <v>347</v>
      </c>
      <c r="E504" s="15" t="s">
        <v>126</v>
      </c>
      <c r="F504" s="15" t="s">
        <v>352</v>
      </c>
      <c r="G504" s="15" t="s">
        <v>6</v>
      </c>
      <c r="H504" s="15">
        <v>24.869781440902599</v>
      </c>
    </row>
    <row r="505" spans="1:17" x14ac:dyDescent="0.3">
      <c r="A505" s="15" t="str">
        <f t="shared" si="0"/>
        <v>G</v>
      </c>
      <c r="B505" s="15" t="str">
        <f t="shared" si="1"/>
        <v>INC</v>
      </c>
      <c r="C505" s="15" t="s">
        <v>276</v>
      </c>
      <c r="D505" s="15" t="s">
        <v>347</v>
      </c>
      <c r="E505" s="15" t="s">
        <v>126</v>
      </c>
      <c r="F505" s="15" t="s">
        <v>352</v>
      </c>
      <c r="G505" s="15" t="s">
        <v>7</v>
      </c>
      <c r="H505" s="15">
        <v>15.3384360338648</v>
      </c>
    </row>
    <row r="506" spans="1:17" x14ac:dyDescent="0.3">
      <c r="A506" s="15" t="str">
        <f t="shared" si="0"/>
        <v>G</v>
      </c>
      <c r="B506" s="15" t="str">
        <f t="shared" si="1"/>
        <v>INC</v>
      </c>
      <c r="C506" s="15" t="s">
        <v>276</v>
      </c>
      <c r="D506" s="15" t="s">
        <v>347</v>
      </c>
      <c r="E506" s="15" t="s">
        <v>126</v>
      </c>
      <c r="F506" s="15" t="s">
        <v>352</v>
      </c>
      <c r="G506" s="15" t="s">
        <v>8</v>
      </c>
      <c r="H506" s="15">
        <v>34.1118413095816</v>
      </c>
    </row>
    <row r="507" spans="1:17" x14ac:dyDescent="0.3">
      <c r="A507" s="15" t="str">
        <f t="shared" si="0"/>
        <v>G</v>
      </c>
      <c r="B507" s="15" t="str">
        <f t="shared" si="1"/>
        <v>LED</v>
      </c>
      <c r="C507" s="15" t="s">
        <v>276</v>
      </c>
      <c r="D507" s="15" t="s">
        <v>347</v>
      </c>
      <c r="E507" s="15" t="s">
        <v>126</v>
      </c>
      <c r="F507" s="15" t="s">
        <v>353</v>
      </c>
      <c r="G507" s="15" t="s">
        <v>0</v>
      </c>
      <c r="L507" s="15">
        <v>26.4355534095208</v>
      </c>
      <c r="M507" s="15">
        <v>27.241425079467799</v>
      </c>
      <c r="N507" s="15">
        <v>27.980411635902001</v>
      </c>
      <c r="O507" s="15">
        <v>28.614212926374702</v>
      </c>
      <c r="P507" s="15">
        <v>29.171435482705501</v>
      </c>
      <c r="Q507" s="15">
        <v>29.7979971770364</v>
      </c>
    </row>
    <row r="508" spans="1:17" x14ac:dyDescent="0.3">
      <c r="A508" s="15" t="str">
        <f t="shared" si="0"/>
        <v>G</v>
      </c>
      <c r="B508" s="15" t="str">
        <f t="shared" si="1"/>
        <v>LED</v>
      </c>
      <c r="C508" s="15" t="s">
        <v>276</v>
      </c>
      <c r="D508" s="15" t="s">
        <v>347</v>
      </c>
      <c r="E508" s="15" t="s">
        <v>126</v>
      </c>
      <c r="F508" s="15" t="s">
        <v>353</v>
      </c>
      <c r="G508" s="15" t="s">
        <v>1</v>
      </c>
      <c r="L508" s="15">
        <v>73.425456180874804</v>
      </c>
      <c r="M508" s="15">
        <v>75.071313864663693</v>
      </c>
      <c r="N508" s="15">
        <v>76.600247682533407</v>
      </c>
      <c r="O508" s="15">
        <v>77.921096001800606</v>
      </c>
      <c r="P508" s="15">
        <v>79.041115927748606</v>
      </c>
      <c r="Q508" s="15">
        <v>80.354943888291501</v>
      </c>
    </row>
    <row r="509" spans="1:17" x14ac:dyDescent="0.3">
      <c r="A509" s="15" t="str">
        <f t="shared" si="0"/>
        <v>G</v>
      </c>
      <c r="B509" s="15" t="str">
        <f t="shared" si="1"/>
        <v>LED</v>
      </c>
      <c r="C509" s="15" t="s">
        <v>276</v>
      </c>
      <c r="D509" s="15" t="s">
        <v>347</v>
      </c>
      <c r="E509" s="15" t="s">
        <v>126</v>
      </c>
      <c r="F509" s="15" t="s">
        <v>353</v>
      </c>
      <c r="G509" s="15" t="s">
        <v>2</v>
      </c>
      <c r="L509" s="15">
        <v>83.1598294977764</v>
      </c>
      <c r="M509" s="15">
        <v>85.552749303205502</v>
      </c>
      <c r="N509" s="15">
        <v>87.841150476647499</v>
      </c>
      <c r="O509" s="15">
        <v>89.889104441022496</v>
      </c>
      <c r="P509" s="15">
        <v>91.739005307402294</v>
      </c>
      <c r="Q509" s="15">
        <v>93.490827299157999</v>
      </c>
    </row>
    <row r="510" spans="1:17" x14ac:dyDescent="0.3">
      <c r="A510" s="15" t="str">
        <f t="shared" si="0"/>
        <v>G</v>
      </c>
      <c r="B510" s="15" t="str">
        <f t="shared" si="1"/>
        <v>LED</v>
      </c>
      <c r="C510" s="15" t="s">
        <v>276</v>
      </c>
      <c r="D510" s="15" t="s">
        <v>347</v>
      </c>
      <c r="E510" s="15" t="s">
        <v>126</v>
      </c>
      <c r="F510" s="15" t="s">
        <v>353</v>
      </c>
      <c r="G510" s="15" t="s">
        <v>3</v>
      </c>
      <c r="L510" s="15">
        <v>38.777664673150902</v>
      </c>
      <c r="M510" s="15">
        <v>40.392734827071699</v>
      </c>
      <c r="N510" s="15">
        <v>42.028206897513698</v>
      </c>
      <c r="O510" s="15">
        <v>43.634685186735695</v>
      </c>
      <c r="P510" s="15">
        <v>45.206587923697697</v>
      </c>
      <c r="Q510" s="15">
        <v>46.795599119143503</v>
      </c>
    </row>
    <row r="511" spans="1:17" x14ac:dyDescent="0.3">
      <c r="A511" s="15" t="str">
        <f t="shared" si="0"/>
        <v>G</v>
      </c>
      <c r="B511" s="15" t="str">
        <f t="shared" si="1"/>
        <v>LED</v>
      </c>
      <c r="C511" s="15" t="s">
        <v>276</v>
      </c>
      <c r="D511" s="15" t="s">
        <v>347</v>
      </c>
      <c r="E511" s="15" t="s">
        <v>126</v>
      </c>
      <c r="F511" s="15" t="s">
        <v>353</v>
      </c>
      <c r="G511" s="15" t="s">
        <v>4</v>
      </c>
      <c r="L511" s="15">
        <v>122.723148183031</v>
      </c>
      <c r="M511" s="15">
        <v>131.17864079819799</v>
      </c>
      <c r="N511" s="15">
        <v>139.95320358748401</v>
      </c>
      <c r="O511" s="15">
        <v>148.91327101697499</v>
      </c>
      <c r="P511" s="15">
        <v>158.186060143426</v>
      </c>
      <c r="Q511" s="15">
        <v>167.694412315367</v>
      </c>
    </row>
    <row r="512" spans="1:17" x14ac:dyDescent="0.3">
      <c r="A512" s="15" t="str">
        <f t="shared" si="0"/>
        <v>G</v>
      </c>
      <c r="B512" s="15" t="str">
        <f t="shared" si="1"/>
        <v>LED</v>
      </c>
      <c r="C512" s="15" t="s">
        <v>276</v>
      </c>
      <c r="D512" s="15" t="s">
        <v>347</v>
      </c>
      <c r="E512" s="15" t="s">
        <v>126</v>
      </c>
      <c r="F512" s="15" t="s">
        <v>353</v>
      </c>
      <c r="G512" s="15" t="s">
        <v>5</v>
      </c>
      <c r="L512" s="15">
        <v>34.562407277827198</v>
      </c>
      <c r="M512" s="15">
        <v>35.990831265882697</v>
      </c>
      <c r="N512" s="15">
        <v>37.40910548078341</v>
      </c>
      <c r="O512" s="15">
        <v>38.790681758645206</v>
      </c>
      <c r="P512" s="15">
        <v>40.159458836113409</v>
      </c>
      <c r="Q512" s="15">
        <v>41.667978552164108</v>
      </c>
    </row>
    <row r="513" spans="1:17" x14ac:dyDescent="0.3">
      <c r="A513" s="15" t="str">
        <f t="shared" si="0"/>
        <v>G</v>
      </c>
      <c r="B513" s="15" t="str">
        <f t="shared" si="1"/>
        <v>LED</v>
      </c>
      <c r="C513" s="15" t="s">
        <v>276</v>
      </c>
      <c r="D513" s="15" t="s">
        <v>347</v>
      </c>
      <c r="E513" s="15" t="s">
        <v>126</v>
      </c>
      <c r="F513" s="15" t="s">
        <v>353</v>
      </c>
      <c r="G513" s="15" t="s">
        <v>6</v>
      </c>
      <c r="L513" s="15">
        <v>77.071062268932906</v>
      </c>
      <c r="M513" s="15">
        <v>82.955657091386698</v>
      </c>
      <c r="N513" s="15">
        <v>89.068569742594704</v>
      </c>
      <c r="O513" s="15">
        <v>95.357819767616803</v>
      </c>
      <c r="P513" s="15">
        <v>101.88297462432</v>
      </c>
      <c r="Q513" s="15">
        <v>108.805634806274</v>
      </c>
    </row>
    <row r="514" spans="1:17" x14ac:dyDescent="0.3">
      <c r="A514" s="15" t="str">
        <f t="shared" si="0"/>
        <v>G</v>
      </c>
      <c r="B514" s="15" t="str">
        <f t="shared" si="1"/>
        <v>LED</v>
      </c>
      <c r="C514" s="15" t="s">
        <v>276</v>
      </c>
      <c r="D514" s="15" t="s">
        <v>347</v>
      </c>
      <c r="E514" s="15" t="s">
        <v>126</v>
      </c>
      <c r="F514" s="15" t="s">
        <v>353</v>
      </c>
      <c r="G514" s="15" t="s">
        <v>7</v>
      </c>
      <c r="L514" s="15">
        <v>47.122267654847398</v>
      </c>
      <c r="M514" s="15">
        <v>51.1808159557986</v>
      </c>
      <c r="N514" s="15">
        <v>55.496355407646199</v>
      </c>
      <c r="O514" s="15">
        <v>60.012746131663903</v>
      </c>
      <c r="P514" s="15">
        <v>64.783147668166805</v>
      </c>
      <c r="Q514" s="15">
        <v>70.000146360481295</v>
      </c>
    </row>
    <row r="515" spans="1:17" x14ac:dyDescent="0.3">
      <c r="A515" s="15" t="str">
        <f t="shared" si="0"/>
        <v>G</v>
      </c>
      <c r="B515" s="15" t="str">
        <f t="shared" si="1"/>
        <v>LED</v>
      </c>
      <c r="C515" s="15" t="s">
        <v>276</v>
      </c>
      <c r="D515" s="15" t="s">
        <v>347</v>
      </c>
      <c r="E515" s="15" t="s">
        <v>126</v>
      </c>
      <c r="F515" s="15" t="s">
        <v>353</v>
      </c>
      <c r="G515" s="15" t="s">
        <v>8</v>
      </c>
      <c r="L515" s="15">
        <v>100.18126400576099</v>
      </c>
      <c r="M515" s="15">
        <v>105.99682732122</v>
      </c>
      <c r="N515" s="15">
        <v>111.886219266176</v>
      </c>
      <c r="O515" s="15">
        <v>117.810207084113</v>
      </c>
      <c r="P515" s="15">
        <v>124.00118488059501</v>
      </c>
      <c r="Q515" s="15">
        <v>130.51766616341499</v>
      </c>
    </row>
    <row r="516" spans="1:17" x14ac:dyDescent="0.3">
      <c r="A516" s="15" t="str">
        <f t="shared" si="0"/>
        <v>G</v>
      </c>
      <c r="B516" s="15" t="str">
        <f t="shared" si="1"/>
        <v>LED</v>
      </c>
      <c r="C516" s="15" t="s">
        <v>276</v>
      </c>
      <c r="D516" s="15" t="s">
        <v>347</v>
      </c>
      <c r="E516" s="15" t="s">
        <v>126</v>
      </c>
      <c r="F516" s="15" t="s">
        <v>354</v>
      </c>
      <c r="G516" s="15" t="s">
        <v>0</v>
      </c>
      <c r="H516" s="15">
        <v>0.34029365820149299</v>
      </c>
    </row>
    <row r="517" spans="1:17" x14ac:dyDescent="0.3">
      <c r="A517" s="15" t="str">
        <f t="shared" si="0"/>
        <v>G</v>
      </c>
      <c r="B517" s="15" t="str">
        <f t="shared" si="1"/>
        <v>LED</v>
      </c>
      <c r="C517" s="15" t="s">
        <v>276</v>
      </c>
      <c r="D517" s="15" t="s">
        <v>347</v>
      </c>
      <c r="E517" s="15" t="s">
        <v>126</v>
      </c>
      <c r="F517" s="15" t="s">
        <v>354</v>
      </c>
      <c r="G517" s="15" t="s">
        <v>1</v>
      </c>
      <c r="H517" s="15">
        <v>0.96276028941877201</v>
      </c>
    </row>
    <row r="518" spans="1:17" x14ac:dyDescent="0.3">
      <c r="A518" s="15" t="str">
        <f t="shared" si="0"/>
        <v>G</v>
      </c>
      <c r="B518" s="15" t="str">
        <f t="shared" si="1"/>
        <v>LED</v>
      </c>
      <c r="C518" s="15" t="s">
        <v>276</v>
      </c>
      <c r="D518" s="15" t="s">
        <v>347</v>
      </c>
      <c r="E518" s="15" t="s">
        <v>126</v>
      </c>
      <c r="F518" s="15" t="s">
        <v>354</v>
      </c>
      <c r="G518" s="15" t="s">
        <v>2</v>
      </c>
      <c r="H518" s="15">
        <v>1.09422062183401</v>
      </c>
    </row>
    <row r="519" spans="1:17" x14ac:dyDescent="0.3">
      <c r="A519" s="15" t="str">
        <f t="shared" si="0"/>
        <v>G</v>
      </c>
      <c r="B519" s="15" t="str">
        <f t="shared" si="1"/>
        <v>LED</v>
      </c>
      <c r="C519" s="15" t="s">
        <v>276</v>
      </c>
      <c r="D519" s="15" t="s">
        <v>347</v>
      </c>
      <c r="E519" s="15" t="s">
        <v>126</v>
      </c>
      <c r="F519" s="15" t="s">
        <v>354</v>
      </c>
      <c r="G519" s="15" t="s">
        <v>3</v>
      </c>
      <c r="H519" s="15">
        <v>0.48066300554991098</v>
      </c>
    </row>
    <row r="520" spans="1:17" x14ac:dyDescent="0.3">
      <c r="A520" s="15" t="str">
        <f t="shared" si="0"/>
        <v>G</v>
      </c>
      <c r="B520" s="15" t="str">
        <f t="shared" si="1"/>
        <v>LED</v>
      </c>
      <c r="C520" s="15" t="s">
        <v>276</v>
      </c>
      <c r="D520" s="15" t="s">
        <v>347</v>
      </c>
      <c r="E520" s="15" t="s">
        <v>126</v>
      </c>
      <c r="F520" s="15" t="s">
        <v>354</v>
      </c>
      <c r="G520" s="15" t="s">
        <v>4</v>
      </c>
      <c r="H520" s="15">
        <v>1.4052391042250101</v>
      </c>
    </row>
    <row r="521" spans="1:17" x14ac:dyDescent="0.3">
      <c r="A521" s="15" t="str">
        <f t="shared" si="0"/>
        <v>G</v>
      </c>
      <c r="B521" s="15" t="str">
        <f t="shared" si="1"/>
        <v>LED</v>
      </c>
      <c r="C521" s="15" t="s">
        <v>276</v>
      </c>
      <c r="D521" s="15" t="s">
        <v>347</v>
      </c>
      <c r="E521" s="15" t="s">
        <v>126</v>
      </c>
      <c r="F521" s="15" t="s">
        <v>354</v>
      </c>
      <c r="G521" s="15" t="s">
        <v>5</v>
      </c>
      <c r="H521" s="15">
        <v>0.43217479756636701</v>
      </c>
    </row>
    <row r="522" spans="1:17" x14ac:dyDescent="0.3">
      <c r="A522" s="15" t="str">
        <f t="shared" si="0"/>
        <v>G</v>
      </c>
      <c r="B522" s="15" t="str">
        <f t="shared" si="1"/>
        <v>LED</v>
      </c>
      <c r="C522" s="15" t="s">
        <v>276</v>
      </c>
      <c r="D522" s="15" t="s">
        <v>347</v>
      </c>
      <c r="E522" s="15" t="s">
        <v>126</v>
      </c>
      <c r="F522" s="15" t="s">
        <v>354</v>
      </c>
      <c r="G522" s="15" t="s">
        <v>6</v>
      </c>
      <c r="H522" s="15">
        <v>0.85648482003108395</v>
      </c>
    </row>
    <row r="523" spans="1:17" x14ac:dyDescent="0.3">
      <c r="A523" s="15" t="str">
        <f t="shared" si="0"/>
        <v>G</v>
      </c>
      <c r="B523" s="15" t="str">
        <f t="shared" si="1"/>
        <v>LED</v>
      </c>
      <c r="C523" s="15" t="s">
        <v>276</v>
      </c>
      <c r="D523" s="15" t="s">
        <v>347</v>
      </c>
      <c r="E523" s="15" t="s">
        <v>126</v>
      </c>
      <c r="F523" s="15" t="s">
        <v>354</v>
      </c>
      <c r="G523" s="15" t="s">
        <v>7</v>
      </c>
      <c r="H523" s="15">
        <v>0.52823695524789505</v>
      </c>
    </row>
    <row r="524" spans="1:17" x14ac:dyDescent="0.3">
      <c r="A524" s="15" t="str">
        <f t="shared" si="0"/>
        <v>G</v>
      </c>
      <c r="B524" s="15" t="str">
        <f t="shared" si="1"/>
        <v>LED</v>
      </c>
      <c r="C524" s="15" t="s">
        <v>276</v>
      </c>
      <c r="D524" s="15" t="s">
        <v>347</v>
      </c>
      <c r="E524" s="15" t="s">
        <v>126</v>
      </c>
      <c r="F524" s="15" t="s">
        <v>354</v>
      </c>
      <c r="G524" s="15" t="s">
        <v>8</v>
      </c>
      <c r="H524" s="15">
        <v>1.17477004510039</v>
      </c>
    </row>
    <row r="525" spans="1:17" x14ac:dyDescent="0.3">
      <c r="A525" s="15" t="str">
        <f t="shared" si="0"/>
        <v>L</v>
      </c>
      <c r="B525" s="15" t="str">
        <f t="shared" si="1"/>
        <v>T12</v>
      </c>
      <c r="C525" s="15" t="s">
        <v>276</v>
      </c>
      <c r="D525" s="15" t="s">
        <v>347</v>
      </c>
      <c r="E525" s="15" t="s">
        <v>126</v>
      </c>
      <c r="F525" s="15" t="s">
        <v>355</v>
      </c>
      <c r="G525" s="15" t="s">
        <v>0</v>
      </c>
      <c r="H525" s="15">
        <v>3.1760741432139299</v>
      </c>
    </row>
    <row r="526" spans="1:17" x14ac:dyDescent="0.3">
      <c r="A526" s="15" t="str">
        <f t="shared" si="0"/>
        <v>L</v>
      </c>
      <c r="B526" s="15" t="str">
        <f t="shared" si="1"/>
        <v>T12</v>
      </c>
      <c r="C526" s="15" t="s">
        <v>276</v>
      </c>
      <c r="D526" s="15" t="s">
        <v>347</v>
      </c>
      <c r="E526" s="15" t="s">
        <v>126</v>
      </c>
      <c r="F526" s="15" t="s">
        <v>355</v>
      </c>
      <c r="G526" s="15" t="s">
        <v>1</v>
      </c>
      <c r="H526" s="15">
        <v>8.9857627012418799</v>
      </c>
    </row>
    <row r="527" spans="1:17" x14ac:dyDescent="0.3">
      <c r="A527" s="15" t="str">
        <f t="shared" ref="A527:A578" si="2">MID(F527,4,1)</f>
        <v>L</v>
      </c>
      <c r="B527" s="15" t="str">
        <f t="shared" ref="B527:B578" si="3">MID(F527,5,3)</f>
        <v>T12</v>
      </c>
      <c r="C527" s="15" t="s">
        <v>276</v>
      </c>
      <c r="D527" s="15" t="s">
        <v>347</v>
      </c>
      <c r="E527" s="15" t="s">
        <v>126</v>
      </c>
      <c r="F527" s="15" t="s">
        <v>355</v>
      </c>
      <c r="G527" s="15" t="s">
        <v>2</v>
      </c>
      <c r="H527" s="15">
        <v>10.2127258037841</v>
      </c>
    </row>
    <row r="528" spans="1:17" x14ac:dyDescent="0.3">
      <c r="A528" s="15" t="str">
        <f t="shared" si="2"/>
        <v>L</v>
      </c>
      <c r="B528" s="15" t="str">
        <f t="shared" si="3"/>
        <v>T12</v>
      </c>
      <c r="C528" s="15" t="s">
        <v>276</v>
      </c>
      <c r="D528" s="15" t="s">
        <v>347</v>
      </c>
      <c r="E528" s="15" t="s">
        <v>126</v>
      </c>
      <c r="F528" s="15" t="s">
        <v>355</v>
      </c>
      <c r="G528" s="15" t="s">
        <v>3</v>
      </c>
      <c r="H528" s="15">
        <v>4.4861880517991697</v>
      </c>
      <c r="K528" s="15">
        <v>2.3499080271329</v>
      </c>
    </row>
    <row r="529" spans="1:11" x14ac:dyDescent="0.3">
      <c r="A529" s="15" t="str">
        <f t="shared" si="2"/>
        <v>L</v>
      </c>
      <c r="B529" s="15" t="str">
        <f t="shared" si="3"/>
        <v>T12</v>
      </c>
      <c r="C529" s="15" t="s">
        <v>276</v>
      </c>
      <c r="D529" s="15" t="s">
        <v>347</v>
      </c>
      <c r="E529" s="15" t="s">
        <v>126</v>
      </c>
      <c r="F529" s="15" t="s">
        <v>355</v>
      </c>
      <c r="G529" s="15" t="s">
        <v>4</v>
      </c>
      <c r="H529" s="15">
        <v>13.1155649727667</v>
      </c>
    </row>
    <row r="530" spans="1:11" x14ac:dyDescent="0.3">
      <c r="A530" s="15" t="str">
        <f t="shared" si="2"/>
        <v>L</v>
      </c>
      <c r="B530" s="15" t="str">
        <f t="shared" si="3"/>
        <v>T12</v>
      </c>
      <c r="C530" s="15" t="s">
        <v>276</v>
      </c>
      <c r="D530" s="15" t="s">
        <v>347</v>
      </c>
      <c r="E530" s="15" t="s">
        <v>126</v>
      </c>
      <c r="F530" s="15" t="s">
        <v>355</v>
      </c>
      <c r="G530" s="15" t="s">
        <v>5</v>
      </c>
      <c r="H530" s="15">
        <v>4.0336314439527596</v>
      </c>
      <c r="K530" s="15">
        <v>2.1128545658800202</v>
      </c>
    </row>
    <row r="531" spans="1:11" x14ac:dyDescent="0.3">
      <c r="A531" s="15" t="str">
        <f t="shared" si="2"/>
        <v>L</v>
      </c>
      <c r="B531" s="15" t="str">
        <f t="shared" si="3"/>
        <v>T12</v>
      </c>
      <c r="C531" s="15" t="s">
        <v>276</v>
      </c>
      <c r="D531" s="15" t="s">
        <v>347</v>
      </c>
      <c r="E531" s="15" t="s">
        <v>126</v>
      </c>
      <c r="F531" s="15" t="s">
        <v>355</v>
      </c>
      <c r="G531" s="15" t="s">
        <v>6</v>
      </c>
      <c r="H531" s="15">
        <v>7.9938583202901103</v>
      </c>
      <c r="K531" s="15">
        <v>4.1872591201519596</v>
      </c>
    </row>
    <row r="532" spans="1:11" x14ac:dyDescent="0.3">
      <c r="A532" s="15" t="str">
        <f t="shared" si="2"/>
        <v>L</v>
      </c>
      <c r="B532" s="15" t="str">
        <f t="shared" si="3"/>
        <v>T12</v>
      </c>
      <c r="C532" s="15" t="s">
        <v>276</v>
      </c>
      <c r="D532" s="15" t="s">
        <v>347</v>
      </c>
      <c r="E532" s="15" t="s">
        <v>126</v>
      </c>
      <c r="F532" s="15" t="s">
        <v>355</v>
      </c>
      <c r="G532" s="15" t="s">
        <v>7</v>
      </c>
      <c r="H532" s="15">
        <v>4.9302115823136896</v>
      </c>
      <c r="K532" s="15">
        <v>2.5824917812119299</v>
      </c>
    </row>
    <row r="533" spans="1:11" x14ac:dyDescent="0.3">
      <c r="A533" s="15" t="str">
        <f t="shared" si="2"/>
        <v>L</v>
      </c>
      <c r="B533" s="15" t="str">
        <f t="shared" si="3"/>
        <v>T12</v>
      </c>
      <c r="C533" s="15" t="s">
        <v>276</v>
      </c>
      <c r="D533" s="15" t="s">
        <v>347</v>
      </c>
      <c r="E533" s="15" t="s">
        <v>126</v>
      </c>
      <c r="F533" s="15" t="s">
        <v>355</v>
      </c>
      <c r="G533" s="15" t="s">
        <v>8</v>
      </c>
      <c r="H533" s="15">
        <v>10.9645204209369</v>
      </c>
    </row>
    <row r="534" spans="1:11" x14ac:dyDescent="0.3">
      <c r="A534" s="15" t="str">
        <f t="shared" si="2"/>
        <v>L</v>
      </c>
      <c r="B534" s="15" t="str">
        <f t="shared" si="3"/>
        <v>T8</v>
      </c>
      <c r="C534" s="15" t="s">
        <v>276</v>
      </c>
      <c r="D534" s="15" t="s">
        <v>347</v>
      </c>
      <c r="E534" s="15" t="s">
        <v>126</v>
      </c>
      <c r="F534" s="15" t="s">
        <v>356</v>
      </c>
      <c r="G534" s="15" t="s">
        <v>0</v>
      </c>
      <c r="I534" s="15">
        <v>21.569189685850201</v>
      </c>
      <c r="J534" s="15">
        <v>21.7856629593674</v>
      </c>
      <c r="K534" s="15">
        <v>24.331759365471399</v>
      </c>
    </row>
    <row r="535" spans="1:11" x14ac:dyDescent="0.3">
      <c r="A535" s="15" t="str">
        <f t="shared" si="2"/>
        <v>L</v>
      </c>
      <c r="B535" s="15" t="str">
        <f t="shared" si="3"/>
        <v>T8</v>
      </c>
      <c r="C535" s="15" t="s">
        <v>276</v>
      </c>
      <c r="D535" s="15" t="s">
        <v>347</v>
      </c>
      <c r="E535" s="15" t="s">
        <v>126</v>
      </c>
      <c r="F535" s="15" t="s">
        <v>356</v>
      </c>
      <c r="G535" s="15" t="s">
        <v>1</v>
      </c>
      <c r="I535" s="15">
        <v>60.986175155575403</v>
      </c>
      <c r="J535" s="15">
        <v>61.451579075587802</v>
      </c>
      <c r="K535" s="15">
        <v>68.115977883966806</v>
      </c>
    </row>
    <row r="536" spans="1:11" x14ac:dyDescent="0.3">
      <c r="A536" s="15" t="str">
        <f t="shared" si="2"/>
        <v>L</v>
      </c>
      <c r="B536" s="15" t="str">
        <f t="shared" si="3"/>
        <v>T8</v>
      </c>
      <c r="C536" s="15" t="s">
        <v>276</v>
      </c>
      <c r="D536" s="15" t="s">
        <v>347</v>
      </c>
      <c r="E536" s="15" t="s">
        <v>126</v>
      </c>
      <c r="F536" s="15" t="s">
        <v>356</v>
      </c>
      <c r="G536" s="15" t="s">
        <v>2</v>
      </c>
      <c r="I536" s="15">
        <v>69.169712871011498</v>
      </c>
      <c r="J536" s="15">
        <v>69.1342124127017</v>
      </c>
      <c r="K536" s="15">
        <v>76.712750175295199</v>
      </c>
    </row>
    <row r="537" spans="1:11" x14ac:dyDescent="0.3">
      <c r="A537" s="15" t="str">
        <f t="shared" si="2"/>
        <v>L</v>
      </c>
      <c r="B537" s="15" t="str">
        <f t="shared" si="3"/>
        <v>T8</v>
      </c>
      <c r="C537" s="15" t="s">
        <v>276</v>
      </c>
      <c r="D537" s="15" t="s">
        <v>347</v>
      </c>
      <c r="E537" s="15" t="s">
        <v>126</v>
      </c>
      <c r="F537" s="15" t="s">
        <v>356</v>
      </c>
      <c r="G537" s="15" t="s">
        <v>3</v>
      </c>
      <c r="I537" s="15">
        <v>30.570783733456501</v>
      </c>
      <c r="J537" s="15">
        <v>31.286316637737102</v>
      </c>
      <c r="K537" s="15">
        <v>33.008342894454699</v>
      </c>
    </row>
    <row r="538" spans="1:11" x14ac:dyDescent="0.3">
      <c r="A538" s="15" t="str">
        <f t="shared" si="2"/>
        <v>L</v>
      </c>
      <c r="B538" s="15" t="str">
        <f t="shared" si="3"/>
        <v>T8</v>
      </c>
      <c r="C538" s="15" t="s">
        <v>276</v>
      </c>
      <c r="D538" s="15" t="s">
        <v>347</v>
      </c>
      <c r="E538" s="15" t="s">
        <v>126</v>
      </c>
      <c r="F538" s="15" t="s">
        <v>356</v>
      </c>
      <c r="G538" s="15" t="s">
        <v>4</v>
      </c>
      <c r="I538" s="15">
        <v>89.883379811631798</v>
      </c>
      <c r="J538" s="15">
        <v>93.970286273356294</v>
      </c>
      <c r="K538" s="15">
        <v>109.34194965906801</v>
      </c>
    </row>
    <row r="539" spans="1:11" x14ac:dyDescent="0.3">
      <c r="A539" s="15" t="str">
        <f t="shared" si="2"/>
        <v>L</v>
      </c>
      <c r="B539" s="15" t="str">
        <f t="shared" si="3"/>
        <v>T8</v>
      </c>
      <c r="C539" s="15" t="s">
        <v>276</v>
      </c>
      <c r="D539" s="15" t="s">
        <v>347</v>
      </c>
      <c r="E539" s="15" t="s">
        <v>126</v>
      </c>
      <c r="F539" s="15" t="s">
        <v>356</v>
      </c>
      <c r="G539" s="15" t="s">
        <v>5</v>
      </c>
      <c r="I539" s="15">
        <v>27.449699564621501</v>
      </c>
      <c r="J539" s="15">
        <v>27.9471759488837</v>
      </c>
      <c r="K539" s="15">
        <v>29.403991989465499</v>
      </c>
    </row>
    <row r="540" spans="1:11" x14ac:dyDescent="0.3">
      <c r="A540" s="15" t="str">
        <f t="shared" si="2"/>
        <v>L</v>
      </c>
      <c r="B540" s="15" t="str">
        <f t="shared" si="3"/>
        <v>T8</v>
      </c>
      <c r="C540" s="15" t="s">
        <v>276</v>
      </c>
      <c r="D540" s="15" t="s">
        <v>347</v>
      </c>
      <c r="E540" s="15" t="s">
        <v>126</v>
      </c>
      <c r="F540" s="15" t="s">
        <v>356</v>
      </c>
      <c r="G540" s="15" t="s">
        <v>6</v>
      </c>
      <c r="I540" s="15">
        <v>54.935653982548097</v>
      </c>
      <c r="J540" s="15">
        <v>58.0241660561461</v>
      </c>
      <c r="K540" s="15">
        <v>63.9845165728631</v>
      </c>
    </row>
    <row r="541" spans="1:11" x14ac:dyDescent="0.3">
      <c r="A541" s="15" t="str">
        <f t="shared" si="2"/>
        <v>L</v>
      </c>
      <c r="B541" s="15" t="str">
        <f t="shared" si="3"/>
        <v>T8</v>
      </c>
      <c r="C541" s="15" t="s">
        <v>276</v>
      </c>
      <c r="D541" s="15" t="s">
        <v>347</v>
      </c>
      <c r="E541" s="15" t="s">
        <v>126</v>
      </c>
      <c r="F541" s="15" t="s">
        <v>356</v>
      </c>
      <c r="G541" s="15" t="s">
        <v>7</v>
      </c>
      <c r="I541" s="15">
        <v>33.707932406422799</v>
      </c>
      <c r="J541" s="15">
        <v>34.931395578290399</v>
      </c>
      <c r="K541" s="15">
        <v>38.725031161503402</v>
      </c>
    </row>
    <row r="542" spans="1:11" x14ac:dyDescent="0.3">
      <c r="A542" s="15" t="str">
        <f t="shared" si="2"/>
        <v>L</v>
      </c>
      <c r="B542" s="15" t="str">
        <f t="shared" si="3"/>
        <v>T8</v>
      </c>
      <c r="C542" s="15" t="s">
        <v>276</v>
      </c>
      <c r="D542" s="15" t="s">
        <v>347</v>
      </c>
      <c r="E542" s="15" t="s">
        <v>126</v>
      </c>
      <c r="F542" s="15" t="s">
        <v>356</v>
      </c>
      <c r="G542" s="15" t="s">
        <v>8</v>
      </c>
      <c r="I542" s="15">
        <v>75.014249826693003</v>
      </c>
      <c r="J542" s="15">
        <v>77.930028118716393</v>
      </c>
      <c r="K542" s="15">
        <v>89.963102993855998</v>
      </c>
    </row>
    <row r="543" spans="1:11" x14ac:dyDescent="0.3">
      <c r="A543" s="15" t="str">
        <f t="shared" si="2"/>
        <v>L</v>
      </c>
      <c r="B543" s="15" t="str">
        <f t="shared" si="3"/>
        <v>T8R</v>
      </c>
      <c r="C543" s="15" t="s">
        <v>276</v>
      </c>
      <c r="D543" s="15" t="s">
        <v>347</v>
      </c>
      <c r="E543" s="15" t="s">
        <v>126</v>
      </c>
      <c r="F543" s="15" t="s">
        <v>357</v>
      </c>
      <c r="G543" s="15" t="s">
        <v>0</v>
      </c>
      <c r="H543" s="15">
        <v>1.4935110554398801</v>
      </c>
      <c r="I543" s="15">
        <v>1.4381958311643299</v>
      </c>
      <c r="J543" s="15">
        <v>1.2169349340621201</v>
      </c>
      <c r="K543" s="15">
        <v>0.94035881268436905</v>
      </c>
    </row>
    <row r="544" spans="1:11" x14ac:dyDescent="0.3">
      <c r="A544" s="15" t="str">
        <f t="shared" si="2"/>
        <v>L</v>
      </c>
      <c r="B544" s="15" t="str">
        <f t="shared" si="3"/>
        <v>T8R</v>
      </c>
      <c r="C544" s="15" t="s">
        <v>276</v>
      </c>
      <c r="D544" s="15" t="s">
        <v>347</v>
      </c>
      <c r="E544" s="15" t="s">
        <v>126</v>
      </c>
      <c r="F544" s="15" t="s">
        <v>357</v>
      </c>
      <c r="G544" s="15" t="s">
        <v>1</v>
      </c>
      <c r="H544" s="15">
        <v>4.2254479368934996</v>
      </c>
      <c r="I544" s="15">
        <v>4.0689498651567</v>
      </c>
      <c r="J544" s="15">
        <v>3.4429575782095201</v>
      </c>
      <c r="K544" s="15">
        <v>2.6604672195255401</v>
      </c>
    </row>
    <row r="545" spans="1:11" x14ac:dyDescent="0.3">
      <c r="A545" s="15" t="str">
        <f t="shared" si="2"/>
        <v>L</v>
      </c>
      <c r="B545" s="15" t="str">
        <f t="shared" si="3"/>
        <v>T8R</v>
      </c>
      <c r="C545" s="15" t="s">
        <v>276</v>
      </c>
      <c r="D545" s="15" t="s">
        <v>347</v>
      </c>
      <c r="E545" s="15" t="s">
        <v>126</v>
      </c>
      <c r="F545" s="15" t="s">
        <v>357</v>
      </c>
      <c r="G545" s="15" t="s">
        <v>2</v>
      </c>
      <c r="H545" s="15">
        <v>4.80241272916036</v>
      </c>
      <c r="I545" s="15">
        <v>4.6245455910433098</v>
      </c>
      <c r="J545" s="15">
        <v>3.9130770385751101</v>
      </c>
      <c r="K545" s="15">
        <v>3.0237413479898598</v>
      </c>
    </row>
    <row r="546" spans="1:11" x14ac:dyDescent="0.3">
      <c r="A546" s="15" t="str">
        <f t="shared" si="2"/>
        <v>L</v>
      </c>
      <c r="B546" s="15" t="str">
        <f t="shared" si="3"/>
        <v>T8R</v>
      </c>
      <c r="C546" s="15" t="s">
        <v>276</v>
      </c>
      <c r="D546" s="15" t="s">
        <v>347</v>
      </c>
      <c r="E546" s="15" t="s">
        <v>126</v>
      </c>
      <c r="F546" s="15" t="s">
        <v>357</v>
      </c>
      <c r="G546" s="15" t="s">
        <v>3</v>
      </c>
      <c r="H546" s="15">
        <v>2.1095765243579399</v>
      </c>
      <c r="I546" s="15">
        <v>2.0314440604928299</v>
      </c>
      <c r="J546" s="15">
        <v>1.7189142050324</v>
      </c>
      <c r="K546" s="15">
        <v>1.3282518857068499</v>
      </c>
    </row>
    <row r="547" spans="1:11" x14ac:dyDescent="0.3">
      <c r="A547" s="15" t="str">
        <f t="shared" si="2"/>
        <v>L</v>
      </c>
      <c r="B547" s="15" t="str">
        <f t="shared" si="3"/>
        <v>T8R</v>
      </c>
      <c r="C547" s="15" t="s">
        <v>276</v>
      </c>
      <c r="D547" s="15" t="s">
        <v>347</v>
      </c>
      <c r="E547" s="15" t="s">
        <v>126</v>
      </c>
      <c r="F547" s="15" t="s">
        <v>357</v>
      </c>
      <c r="G547" s="15" t="s">
        <v>4</v>
      </c>
      <c r="H547" s="15">
        <v>6.1674382907653102</v>
      </c>
      <c r="I547" s="15">
        <v>5.9390146503665902</v>
      </c>
      <c r="J547" s="15">
        <v>5.0253200887717302</v>
      </c>
      <c r="K547" s="15">
        <v>3.8832018867781599</v>
      </c>
    </row>
    <row r="548" spans="1:11" x14ac:dyDescent="0.3">
      <c r="A548" s="15" t="str">
        <f t="shared" si="2"/>
        <v>L</v>
      </c>
      <c r="B548" s="15" t="str">
        <f t="shared" si="3"/>
        <v>T8R</v>
      </c>
      <c r="C548" s="15" t="s">
        <v>276</v>
      </c>
      <c r="D548" s="15" t="s">
        <v>347</v>
      </c>
      <c r="E548" s="15" t="s">
        <v>126</v>
      </c>
      <c r="F548" s="15" t="s">
        <v>357</v>
      </c>
      <c r="G548" s="15" t="s">
        <v>5</v>
      </c>
      <c r="H548" s="15">
        <v>1.89676716709683</v>
      </c>
      <c r="I548" s="15">
        <v>1.8265165312784299</v>
      </c>
      <c r="J548" s="15">
        <v>1.5455139880048201</v>
      </c>
      <c r="K548" s="15">
        <v>1.1942608089128199</v>
      </c>
    </row>
    <row r="549" spans="1:11" x14ac:dyDescent="0.3">
      <c r="A549" s="15" t="str">
        <f t="shared" si="2"/>
        <v>L</v>
      </c>
      <c r="B549" s="15" t="str">
        <f t="shared" si="3"/>
        <v>T8R</v>
      </c>
      <c r="C549" s="15" t="s">
        <v>276</v>
      </c>
      <c r="D549" s="15" t="s">
        <v>347</v>
      </c>
      <c r="E549" s="15" t="s">
        <v>126</v>
      </c>
      <c r="F549" s="15" t="s">
        <v>357</v>
      </c>
      <c r="G549" s="15" t="s">
        <v>6</v>
      </c>
      <c r="H549" s="15">
        <v>3.7590167101364198</v>
      </c>
      <c r="I549" s="15">
        <v>3.6197938690202598</v>
      </c>
      <c r="J549" s="15">
        <v>3.0629025045556002</v>
      </c>
      <c r="K549" s="15">
        <v>2.3667882989747802</v>
      </c>
    </row>
    <row r="550" spans="1:11" x14ac:dyDescent="0.3">
      <c r="A550" s="15" t="str">
        <f t="shared" si="2"/>
        <v>L</v>
      </c>
      <c r="B550" s="15" t="str">
        <f t="shared" si="3"/>
        <v>T8R</v>
      </c>
      <c r="C550" s="15" t="s">
        <v>276</v>
      </c>
      <c r="D550" s="15" t="s">
        <v>347</v>
      </c>
      <c r="E550" s="15" t="s">
        <v>126</v>
      </c>
      <c r="F550" s="15" t="s">
        <v>357</v>
      </c>
      <c r="G550" s="15" t="s">
        <v>7</v>
      </c>
      <c r="H550" s="15">
        <v>2.3183733035879799</v>
      </c>
      <c r="I550" s="15">
        <v>2.23250762567731</v>
      </c>
      <c r="J550" s="15">
        <v>1.8890449140346499</v>
      </c>
      <c r="K550" s="15">
        <v>1.4597165244813199</v>
      </c>
    </row>
    <row r="551" spans="1:11" x14ac:dyDescent="0.3">
      <c r="A551" s="15" t="str">
        <f t="shared" si="2"/>
        <v>L</v>
      </c>
      <c r="B551" s="15" t="str">
        <f t="shared" si="3"/>
        <v>T8R</v>
      </c>
      <c r="C551" s="15" t="s">
        <v>276</v>
      </c>
      <c r="D551" s="15" t="s">
        <v>347</v>
      </c>
      <c r="E551" s="15" t="s">
        <v>126</v>
      </c>
      <c r="F551" s="15" t="s">
        <v>357</v>
      </c>
      <c r="G551" s="15" t="s">
        <v>8</v>
      </c>
      <c r="H551" s="15">
        <v>5.1559351979405799</v>
      </c>
      <c r="I551" s="15">
        <v>4.9649746350538901</v>
      </c>
      <c r="J551" s="15">
        <v>4.2011323835071401</v>
      </c>
      <c r="K551" s="15">
        <v>3.2463295690737</v>
      </c>
    </row>
    <row r="552" spans="1:11" x14ac:dyDescent="0.3">
      <c r="A552" s="15" t="str">
        <f t="shared" si="2"/>
        <v>R</v>
      </c>
      <c r="B552" s="15" t="str">
        <f t="shared" si="3"/>
        <v>CFL</v>
      </c>
      <c r="C552" s="15" t="s">
        <v>276</v>
      </c>
      <c r="D552" s="15" t="s">
        <v>347</v>
      </c>
      <c r="E552" s="15" t="s">
        <v>126</v>
      </c>
      <c r="F552" s="15" t="s">
        <v>358</v>
      </c>
      <c r="G552" s="15" t="s">
        <v>0</v>
      </c>
      <c r="H552" s="15">
        <v>0.29618151732352099</v>
      </c>
    </row>
    <row r="553" spans="1:11" x14ac:dyDescent="0.3">
      <c r="A553" s="15" t="str">
        <f t="shared" si="2"/>
        <v>R</v>
      </c>
      <c r="B553" s="15" t="str">
        <f t="shared" si="3"/>
        <v>CFL</v>
      </c>
      <c r="C553" s="15" t="s">
        <v>276</v>
      </c>
      <c r="D553" s="15" t="s">
        <v>347</v>
      </c>
      <c r="E553" s="15" t="s">
        <v>126</v>
      </c>
      <c r="F553" s="15" t="s">
        <v>358</v>
      </c>
      <c r="G553" s="15" t="s">
        <v>1</v>
      </c>
      <c r="H553" s="15">
        <v>0.837958029679302</v>
      </c>
    </row>
    <row r="554" spans="1:11" x14ac:dyDescent="0.3">
      <c r="A554" s="15" t="str">
        <f t="shared" si="2"/>
        <v>R</v>
      </c>
      <c r="B554" s="15" t="str">
        <f t="shared" si="3"/>
        <v>CFL</v>
      </c>
      <c r="C554" s="15" t="s">
        <v>276</v>
      </c>
      <c r="D554" s="15" t="s">
        <v>347</v>
      </c>
      <c r="E554" s="15" t="s">
        <v>126</v>
      </c>
      <c r="F554" s="15" t="s">
        <v>358</v>
      </c>
      <c r="G554" s="15" t="s">
        <v>2</v>
      </c>
      <c r="H554" s="15">
        <v>0.95237720789256097</v>
      </c>
    </row>
    <row r="555" spans="1:11" x14ac:dyDescent="0.3">
      <c r="A555" s="15" t="str">
        <f t="shared" si="2"/>
        <v>R</v>
      </c>
      <c r="B555" s="15" t="str">
        <f t="shared" si="3"/>
        <v>CFL</v>
      </c>
      <c r="C555" s="15" t="s">
        <v>276</v>
      </c>
      <c r="D555" s="15" t="s">
        <v>347</v>
      </c>
      <c r="E555" s="15" t="s">
        <v>126</v>
      </c>
      <c r="F555" s="15" t="s">
        <v>358</v>
      </c>
      <c r="G555" s="15" t="s">
        <v>3</v>
      </c>
      <c r="H555" s="15">
        <v>0.41835483816381103</v>
      </c>
    </row>
    <row r="556" spans="1:11" x14ac:dyDescent="0.3">
      <c r="A556" s="15" t="str">
        <f t="shared" si="2"/>
        <v>R</v>
      </c>
      <c r="B556" s="15" t="str">
        <f t="shared" si="3"/>
        <v>CFL</v>
      </c>
      <c r="C556" s="15" t="s">
        <v>276</v>
      </c>
      <c r="D556" s="15" t="s">
        <v>347</v>
      </c>
      <c r="E556" s="15" t="s">
        <v>126</v>
      </c>
      <c r="F556" s="15" t="s">
        <v>358</v>
      </c>
      <c r="G556" s="15" t="s">
        <v>4</v>
      </c>
      <c r="H556" s="15">
        <v>1.2230784796032499</v>
      </c>
    </row>
    <row r="557" spans="1:11" x14ac:dyDescent="0.3">
      <c r="A557" s="15" t="str">
        <f t="shared" si="2"/>
        <v>R</v>
      </c>
      <c r="B557" s="15" t="str">
        <f t="shared" si="3"/>
        <v>CFL</v>
      </c>
      <c r="C557" s="15" t="s">
        <v>276</v>
      </c>
      <c r="D557" s="15" t="s">
        <v>347</v>
      </c>
      <c r="E557" s="15" t="s">
        <v>126</v>
      </c>
      <c r="F557" s="15" t="s">
        <v>358</v>
      </c>
      <c r="G557" s="15" t="s">
        <v>5</v>
      </c>
      <c r="H557" s="15">
        <v>0.37615213862257801</v>
      </c>
    </row>
    <row r="558" spans="1:11" x14ac:dyDescent="0.3">
      <c r="A558" s="15" t="str">
        <f t="shared" si="2"/>
        <v>R</v>
      </c>
      <c r="B558" s="15" t="str">
        <f t="shared" si="3"/>
        <v>CFL</v>
      </c>
      <c r="C558" s="15" t="s">
        <v>276</v>
      </c>
      <c r="D558" s="15" t="s">
        <v>347</v>
      </c>
      <c r="E558" s="15" t="s">
        <v>126</v>
      </c>
      <c r="F558" s="15" t="s">
        <v>358</v>
      </c>
      <c r="G558" s="15" t="s">
        <v>6</v>
      </c>
      <c r="H558" s="15">
        <v>0.74545901002705395</v>
      </c>
    </row>
    <row r="559" spans="1:11" x14ac:dyDescent="0.3">
      <c r="A559" s="15" t="str">
        <f t="shared" si="2"/>
        <v>R</v>
      </c>
      <c r="B559" s="15" t="str">
        <f t="shared" si="3"/>
        <v>CFL</v>
      </c>
      <c r="C559" s="15" t="s">
        <v>276</v>
      </c>
      <c r="D559" s="15" t="s">
        <v>347</v>
      </c>
      <c r="E559" s="15" t="s">
        <v>126</v>
      </c>
      <c r="F559" s="15" t="s">
        <v>358</v>
      </c>
      <c r="G559" s="15" t="s">
        <v>7</v>
      </c>
      <c r="H559" s="15">
        <v>0.45976179438242698</v>
      </c>
    </row>
    <row r="560" spans="1:11" x14ac:dyDescent="0.3">
      <c r="A560" s="15" t="str">
        <f t="shared" si="2"/>
        <v>R</v>
      </c>
      <c r="B560" s="15" t="str">
        <f t="shared" si="3"/>
        <v>CFL</v>
      </c>
      <c r="C560" s="15" t="s">
        <v>276</v>
      </c>
      <c r="D560" s="15" t="s">
        <v>347</v>
      </c>
      <c r="E560" s="15" t="s">
        <v>126</v>
      </c>
      <c r="F560" s="15" t="s">
        <v>358</v>
      </c>
      <c r="G560" s="15" t="s">
        <v>8</v>
      </c>
      <c r="H560" s="15">
        <v>1.0224850392540401</v>
      </c>
    </row>
    <row r="561" spans="1:8" x14ac:dyDescent="0.3">
      <c r="A561" s="15" t="str">
        <f t="shared" si="2"/>
        <v>R</v>
      </c>
      <c r="B561" s="15" t="str">
        <f t="shared" si="3"/>
        <v>HAL</v>
      </c>
      <c r="C561" s="15" t="s">
        <v>276</v>
      </c>
      <c r="D561" s="15" t="s">
        <v>347</v>
      </c>
      <c r="E561" s="15" t="s">
        <v>126</v>
      </c>
      <c r="F561" s="15" t="s">
        <v>359</v>
      </c>
      <c r="G561" s="15" t="s">
        <v>0</v>
      </c>
      <c r="H561" s="15">
        <v>0.737302926103234</v>
      </c>
    </row>
    <row r="562" spans="1:8" x14ac:dyDescent="0.3">
      <c r="A562" s="15" t="str">
        <f t="shared" si="2"/>
        <v>R</v>
      </c>
      <c r="B562" s="15" t="str">
        <f t="shared" si="3"/>
        <v>HAL</v>
      </c>
      <c r="C562" s="15" t="s">
        <v>276</v>
      </c>
      <c r="D562" s="15" t="s">
        <v>347</v>
      </c>
      <c r="E562" s="15" t="s">
        <v>126</v>
      </c>
      <c r="F562" s="15" t="s">
        <v>359</v>
      </c>
      <c r="G562" s="15" t="s">
        <v>1</v>
      </c>
      <c r="H562" s="15">
        <v>2.0859806270740102</v>
      </c>
    </row>
    <row r="563" spans="1:8" x14ac:dyDescent="0.3">
      <c r="A563" s="15" t="str">
        <f t="shared" si="2"/>
        <v>R</v>
      </c>
      <c r="B563" s="15" t="str">
        <f t="shared" si="3"/>
        <v>HAL</v>
      </c>
      <c r="C563" s="15" t="s">
        <v>276</v>
      </c>
      <c r="D563" s="15" t="s">
        <v>347</v>
      </c>
      <c r="E563" s="15" t="s">
        <v>126</v>
      </c>
      <c r="F563" s="15" t="s">
        <v>359</v>
      </c>
      <c r="G563" s="15" t="s">
        <v>2</v>
      </c>
      <c r="H563" s="15">
        <v>2.37081134730701</v>
      </c>
    </row>
    <row r="564" spans="1:8" x14ac:dyDescent="0.3">
      <c r="A564" s="15" t="str">
        <f t="shared" si="2"/>
        <v>R</v>
      </c>
      <c r="B564" s="15" t="str">
        <f t="shared" si="3"/>
        <v>HAL</v>
      </c>
      <c r="C564" s="15" t="s">
        <v>276</v>
      </c>
      <c r="D564" s="15" t="s">
        <v>347</v>
      </c>
      <c r="E564" s="15" t="s">
        <v>126</v>
      </c>
      <c r="F564" s="15" t="s">
        <v>359</v>
      </c>
      <c r="G564" s="15" t="s">
        <v>3</v>
      </c>
      <c r="H564" s="15">
        <v>1.0414365120248099</v>
      </c>
    </row>
    <row r="565" spans="1:8" x14ac:dyDescent="0.3">
      <c r="A565" s="15" t="str">
        <f t="shared" si="2"/>
        <v>R</v>
      </c>
      <c r="B565" s="15" t="str">
        <f t="shared" si="3"/>
        <v>HAL</v>
      </c>
      <c r="C565" s="15" t="s">
        <v>276</v>
      </c>
      <c r="D565" s="15" t="s">
        <v>347</v>
      </c>
      <c r="E565" s="15" t="s">
        <v>126</v>
      </c>
      <c r="F565" s="15" t="s">
        <v>359</v>
      </c>
      <c r="G565" s="15" t="s">
        <v>4</v>
      </c>
      <c r="H565" s="15">
        <v>3.0446847258208498</v>
      </c>
    </row>
    <row r="566" spans="1:8" x14ac:dyDescent="0.3">
      <c r="A566" s="15" t="str">
        <f t="shared" si="2"/>
        <v>R</v>
      </c>
      <c r="B566" s="15" t="str">
        <f t="shared" si="3"/>
        <v>HAL</v>
      </c>
      <c r="C566" s="15" t="s">
        <v>276</v>
      </c>
      <c r="D566" s="15" t="s">
        <v>347</v>
      </c>
      <c r="E566" s="15" t="s">
        <v>126</v>
      </c>
      <c r="F566" s="15" t="s">
        <v>359</v>
      </c>
      <c r="G566" s="15" t="s">
        <v>5</v>
      </c>
      <c r="H566" s="15">
        <v>0.93637872806046096</v>
      </c>
    </row>
    <row r="567" spans="1:8" x14ac:dyDescent="0.3">
      <c r="A567" s="15" t="str">
        <f t="shared" si="2"/>
        <v>R</v>
      </c>
      <c r="B567" s="15" t="str">
        <f t="shared" si="3"/>
        <v>HAL</v>
      </c>
      <c r="C567" s="15" t="s">
        <v>276</v>
      </c>
      <c r="D567" s="15" t="s">
        <v>347</v>
      </c>
      <c r="E567" s="15" t="s">
        <v>126</v>
      </c>
      <c r="F567" s="15" t="s">
        <v>359</v>
      </c>
      <c r="G567" s="15" t="s">
        <v>6</v>
      </c>
      <c r="H567" s="15">
        <v>1.85571711006735</v>
      </c>
    </row>
    <row r="568" spans="1:8" x14ac:dyDescent="0.3">
      <c r="A568" s="15" t="str">
        <f t="shared" si="2"/>
        <v>R</v>
      </c>
      <c r="B568" s="15" t="str">
        <f t="shared" si="3"/>
        <v>HAL</v>
      </c>
      <c r="C568" s="15" t="s">
        <v>276</v>
      </c>
      <c r="D568" s="15" t="s">
        <v>347</v>
      </c>
      <c r="E568" s="15" t="s">
        <v>126</v>
      </c>
      <c r="F568" s="15" t="s">
        <v>359</v>
      </c>
      <c r="G568" s="15" t="s">
        <v>7</v>
      </c>
      <c r="H568" s="15">
        <v>1.14451340303711</v>
      </c>
    </row>
    <row r="569" spans="1:8" x14ac:dyDescent="0.3">
      <c r="A569" s="15" t="str">
        <f t="shared" si="2"/>
        <v>R</v>
      </c>
      <c r="B569" s="15" t="str">
        <f t="shared" si="3"/>
        <v>HAL</v>
      </c>
      <c r="C569" s="15" t="s">
        <v>276</v>
      </c>
      <c r="D569" s="15" t="s">
        <v>347</v>
      </c>
      <c r="E569" s="15" t="s">
        <v>126</v>
      </c>
      <c r="F569" s="15" t="s">
        <v>359</v>
      </c>
      <c r="G569" s="15" t="s">
        <v>8</v>
      </c>
      <c r="H569" s="15">
        <v>2.5453350977175</v>
      </c>
    </row>
    <row r="570" spans="1:8" x14ac:dyDescent="0.3">
      <c r="A570" s="15" t="str">
        <f t="shared" si="2"/>
        <v>R</v>
      </c>
      <c r="B570" s="15" t="str">
        <f t="shared" si="3"/>
        <v>INC</v>
      </c>
      <c r="C570" s="15" t="s">
        <v>276</v>
      </c>
      <c r="D570" s="15" t="s">
        <v>347</v>
      </c>
      <c r="E570" s="15" t="s">
        <v>126</v>
      </c>
      <c r="F570" s="15" t="s">
        <v>360</v>
      </c>
      <c r="G570" s="15" t="s">
        <v>0</v>
      </c>
      <c r="H570" s="15">
        <v>0.77577688696735903</v>
      </c>
    </row>
    <row r="571" spans="1:8" x14ac:dyDescent="0.3">
      <c r="A571" s="15" t="str">
        <f t="shared" si="2"/>
        <v>R</v>
      </c>
      <c r="B571" s="15" t="str">
        <f t="shared" si="3"/>
        <v>INC</v>
      </c>
      <c r="C571" s="15" t="s">
        <v>276</v>
      </c>
      <c r="D571" s="15" t="s">
        <v>347</v>
      </c>
      <c r="E571" s="15" t="s">
        <v>126</v>
      </c>
      <c r="F571" s="15" t="s">
        <v>360</v>
      </c>
      <c r="G571" s="15" t="s">
        <v>1</v>
      </c>
      <c r="H571" s="15">
        <v>2.1948313235353698</v>
      </c>
    </row>
    <row r="572" spans="1:8" x14ac:dyDescent="0.3">
      <c r="A572" s="15" t="str">
        <f t="shared" si="2"/>
        <v>R</v>
      </c>
      <c r="B572" s="15" t="str">
        <f t="shared" si="3"/>
        <v>INC</v>
      </c>
      <c r="C572" s="15" t="s">
        <v>276</v>
      </c>
      <c r="D572" s="15" t="s">
        <v>347</v>
      </c>
      <c r="E572" s="15" t="s">
        <v>126</v>
      </c>
      <c r="F572" s="15" t="s">
        <v>360</v>
      </c>
      <c r="G572" s="15" t="s">
        <v>2</v>
      </c>
      <c r="H572" s="15">
        <v>2.4945250879733298</v>
      </c>
    </row>
    <row r="573" spans="1:8" x14ac:dyDescent="0.3">
      <c r="A573" s="15" t="str">
        <f t="shared" si="2"/>
        <v>R</v>
      </c>
      <c r="B573" s="15" t="str">
        <f t="shared" si="3"/>
        <v>INC</v>
      </c>
      <c r="C573" s="15" t="s">
        <v>276</v>
      </c>
      <c r="D573" s="15" t="s">
        <v>347</v>
      </c>
      <c r="E573" s="15" t="s">
        <v>126</v>
      </c>
      <c r="F573" s="15" t="s">
        <v>360</v>
      </c>
      <c r="G573" s="15" t="s">
        <v>3</v>
      </c>
      <c r="H573" s="15">
        <v>1.09578077974368</v>
      </c>
    </row>
    <row r="574" spans="1:8" x14ac:dyDescent="0.3">
      <c r="A574" s="15" t="str">
        <f t="shared" si="2"/>
        <v>R</v>
      </c>
      <c r="B574" s="15" t="str">
        <f t="shared" si="3"/>
        <v>INC</v>
      </c>
      <c r="C574" s="15" t="s">
        <v>276</v>
      </c>
      <c r="D574" s="15" t="s">
        <v>347</v>
      </c>
      <c r="E574" s="15" t="s">
        <v>126</v>
      </c>
      <c r="F574" s="15" t="s">
        <v>360</v>
      </c>
      <c r="G574" s="15" t="s">
        <v>4</v>
      </c>
      <c r="H574" s="15">
        <v>3.20356254501504</v>
      </c>
    </row>
    <row r="575" spans="1:8" x14ac:dyDescent="0.3">
      <c r="A575" s="15" t="str">
        <f t="shared" si="2"/>
        <v>R</v>
      </c>
      <c r="B575" s="15" t="str">
        <f t="shared" si="3"/>
        <v>INC</v>
      </c>
      <c r="C575" s="15" t="s">
        <v>276</v>
      </c>
      <c r="D575" s="15" t="s">
        <v>347</v>
      </c>
      <c r="E575" s="15" t="s">
        <v>126</v>
      </c>
      <c r="F575" s="15" t="s">
        <v>360</v>
      </c>
      <c r="G575" s="15" t="s">
        <v>5</v>
      </c>
      <c r="H575" s="15">
        <v>1.5206150284742499</v>
      </c>
    </row>
    <row r="576" spans="1:8" x14ac:dyDescent="0.3">
      <c r="A576" s="15" t="str">
        <f t="shared" si="2"/>
        <v>R</v>
      </c>
      <c r="B576" s="15" t="str">
        <f t="shared" si="3"/>
        <v>INC</v>
      </c>
      <c r="C576" s="15" t="s">
        <v>276</v>
      </c>
      <c r="D576" s="15" t="s">
        <v>347</v>
      </c>
      <c r="E576" s="15" t="s">
        <v>126</v>
      </c>
      <c r="F576" s="15" t="s">
        <v>360</v>
      </c>
      <c r="G576" s="15" t="s">
        <v>6</v>
      </c>
      <c r="H576" s="15">
        <v>1.9525521895711</v>
      </c>
    </row>
    <row r="577" spans="1:17" x14ac:dyDescent="0.3">
      <c r="A577" s="15" t="str">
        <f t="shared" si="2"/>
        <v>R</v>
      </c>
      <c r="B577" s="15" t="str">
        <f t="shared" si="3"/>
        <v>INC</v>
      </c>
      <c r="C577" s="15" t="s">
        <v>276</v>
      </c>
      <c r="D577" s="15" t="s">
        <v>347</v>
      </c>
      <c r="E577" s="15" t="s">
        <v>126</v>
      </c>
      <c r="F577" s="15" t="s">
        <v>360</v>
      </c>
      <c r="G577" s="15" t="s">
        <v>7</v>
      </c>
      <c r="H577" s="15">
        <v>1.85861150920556</v>
      </c>
    </row>
    <row r="578" spans="1:17" x14ac:dyDescent="0.3">
      <c r="A578" s="15" t="str">
        <f t="shared" si="2"/>
        <v>R</v>
      </c>
      <c r="B578" s="15" t="str">
        <f t="shared" si="3"/>
        <v>INC</v>
      </c>
      <c r="C578" s="15" t="s">
        <v>276</v>
      </c>
      <c r="D578" s="15" t="s">
        <v>347</v>
      </c>
      <c r="E578" s="15" t="s">
        <v>126</v>
      </c>
      <c r="F578" s="15" t="s">
        <v>360</v>
      </c>
      <c r="G578" s="15" t="s">
        <v>8</v>
      </c>
      <c r="H578" s="15">
        <v>2.6781558413609798</v>
      </c>
    </row>
    <row r="579" spans="1:17" x14ac:dyDescent="0.3">
      <c r="C579" s="15" t="s">
        <v>276</v>
      </c>
      <c r="D579" s="15" t="s">
        <v>361</v>
      </c>
      <c r="E579" s="15" t="s">
        <v>406</v>
      </c>
      <c r="F579" s="15" t="s">
        <v>362</v>
      </c>
      <c r="G579" s="15" t="s">
        <v>0</v>
      </c>
      <c r="H579" s="15">
        <v>116.112540664428</v>
      </c>
      <c r="I579" s="15">
        <v>115.925487478421</v>
      </c>
      <c r="J579" s="15">
        <v>114.74089761934999</v>
      </c>
      <c r="K579" s="15">
        <v>113.98804299755901</v>
      </c>
      <c r="L579" s="15">
        <v>112.125771933327</v>
      </c>
      <c r="M579" s="15">
        <v>113.50537185483201</v>
      </c>
      <c r="N579" s="15">
        <v>115.870581943537</v>
      </c>
      <c r="O579" s="15">
        <v>118.35895552874101</v>
      </c>
      <c r="P579" s="15">
        <v>120.328620768615</v>
      </c>
      <c r="Q579" s="15">
        <v>122.104290356072</v>
      </c>
    </row>
    <row r="580" spans="1:17" x14ac:dyDescent="0.3">
      <c r="C580" s="15" t="s">
        <v>276</v>
      </c>
      <c r="D580" s="15" t="s">
        <v>361</v>
      </c>
      <c r="E580" s="15" t="s">
        <v>406</v>
      </c>
      <c r="F580" s="15" t="s">
        <v>362</v>
      </c>
      <c r="G580" s="15" t="s">
        <v>1</v>
      </c>
      <c r="H580" s="15">
        <v>328.50610218848601</v>
      </c>
      <c r="I580" s="15">
        <v>327.79100835050701</v>
      </c>
      <c r="J580" s="15">
        <v>323.71751417213801</v>
      </c>
      <c r="K580" s="15">
        <v>319.26510903208703</v>
      </c>
      <c r="L580" s="15">
        <v>311.43232851226003</v>
      </c>
      <c r="M580" s="15">
        <v>312.795581397901</v>
      </c>
      <c r="N580" s="15">
        <v>317.211747685859</v>
      </c>
      <c r="O580" s="15">
        <v>322.31043922676002</v>
      </c>
      <c r="P580" s="15">
        <v>326.03498272262902</v>
      </c>
      <c r="Q580" s="15">
        <v>329.27325087617402</v>
      </c>
    </row>
    <row r="581" spans="1:17" x14ac:dyDescent="0.3">
      <c r="C581" s="15" t="s">
        <v>276</v>
      </c>
      <c r="D581" s="15" t="s">
        <v>361</v>
      </c>
      <c r="E581" s="15" t="s">
        <v>406</v>
      </c>
      <c r="F581" s="15" t="s">
        <v>362</v>
      </c>
      <c r="G581" s="15" t="s">
        <v>2</v>
      </c>
      <c r="H581" s="15">
        <v>373.362045945994</v>
      </c>
      <c r="I581" s="15">
        <v>371.83576573297501</v>
      </c>
      <c r="J581" s="15">
        <v>364.43434007372201</v>
      </c>
      <c r="K581" s="15">
        <v>359.71550196323199</v>
      </c>
      <c r="L581" s="15">
        <v>352.72044174130502</v>
      </c>
      <c r="M581" s="15">
        <v>356.468011292943</v>
      </c>
      <c r="N581" s="15">
        <v>363.76181154029803</v>
      </c>
      <c r="O581" s="15">
        <v>371.814543437846</v>
      </c>
      <c r="P581" s="15">
        <v>378.41223089171598</v>
      </c>
      <c r="Q581" s="15">
        <v>383.100617613427</v>
      </c>
    </row>
    <row r="582" spans="1:17" x14ac:dyDescent="0.3">
      <c r="C582" s="15" t="s">
        <v>276</v>
      </c>
      <c r="D582" s="15" t="s">
        <v>361</v>
      </c>
      <c r="E582" s="15" t="s">
        <v>406</v>
      </c>
      <c r="F582" s="15" t="s">
        <v>362</v>
      </c>
      <c r="G582" s="15" t="s">
        <v>3</v>
      </c>
      <c r="H582" s="15">
        <v>164.008354057405</v>
      </c>
      <c r="I582" s="15">
        <v>164.26214053490301</v>
      </c>
      <c r="J582" s="15">
        <v>164.60104437921399</v>
      </c>
      <c r="K582" s="15">
        <v>165.42647992376601</v>
      </c>
      <c r="L582" s="15">
        <v>164.47454372878099</v>
      </c>
      <c r="M582" s="15">
        <v>168.30222256749801</v>
      </c>
      <c r="N582" s="15">
        <v>174.04435841143101</v>
      </c>
      <c r="O582" s="15">
        <v>180.48917776686801</v>
      </c>
      <c r="P582" s="15">
        <v>186.471672871175</v>
      </c>
      <c r="Q582" s="15">
        <v>191.75595555239801</v>
      </c>
    </row>
    <row r="583" spans="1:17" x14ac:dyDescent="0.3">
      <c r="C583" s="15" t="s">
        <v>276</v>
      </c>
      <c r="D583" s="15" t="s">
        <v>361</v>
      </c>
      <c r="E583" s="15" t="s">
        <v>406</v>
      </c>
      <c r="F583" s="15" t="s">
        <v>362</v>
      </c>
      <c r="G583" s="15" t="s">
        <v>4</v>
      </c>
      <c r="H583" s="15">
        <v>479.485522871417</v>
      </c>
      <c r="I583" s="15">
        <v>482.749442860447</v>
      </c>
      <c r="J583" s="15">
        <v>493.53665282044699</v>
      </c>
      <c r="K583" s="15">
        <v>510.287976059904</v>
      </c>
      <c r="L583" s="15">
        <v>520.52731830287905</v>
      </c>
      <c r="M583" s="15">
        <v>546.57494458442795</v>
      </c>
      <c r="N583" s="15">
        <v>579.56470961051298</v>
      </c>
      <c r="O583" s="15">
        <v>615.96030152175604</v>
      </c>
      <c r="P583" s="15">
        <v>652.49824449552</v>
      </c>
      <c r="Q583" s="15">
        <v>687.167231099221</v>
      </c>
    </row>
    <row r="584" spans="1:17" x14ac:dyDescent="0.3">
      <c r="C584" s="15" t="s">
        <v>276</v>
      </c>
      <c r="D584" s="15" t="s">
        <v>361</v>
      </c>
      <c r="E584" s="15" t="s">
        <v>406</v>
      </c>
      <c r="F584" s="15" t="s">
        <v>362</v>
      </c>
      <c r="G584" s="15" t="s">
        <v>5</v>
      </c>
      <c r="H584" s="15">
        <v>147.46355845060299</v>
      </c>
      <c r="I584" s="15">
        <v>147.50733791795</v>
      </c>
      <c r="J584" s="15">
        <v>147.09574206591</v>
      </c>
      <c r="K584" s="15">
        <v>147.51288851872101</v>
      </c>
      <c r="L584" s="15">
        <v>146.595629600276</v>
      </c>
      <c r="M584" s="15">
        <v>149.96104918452201</v>
      </c>
      <c r="N584" s="15">
        <v>154.91604907212101</v>
      </c>
      <c r="O584" s="15">
        <v>160.452590082222</v>
      </c>
      <c r="P584" s="15">
        <v>165.652879695563</v>
      </c>
      <c r="Q584" s="15">
        <v>170.74432625307199</v>
      </c>
    </row>
    <row r="585" spans="1:17" x14ac:dyDescent="0.3">
      <c r="C585" s="15" t="s">
        <v>276</v>
      </c>
      <c r="D585" s="15" t="s">
        <v>361</v>
      </c>
      <c r="E585" s="15" t="s">
        <v>406</v>
      </c>
      <c r="F585" s="15" t="s">
        <v>362</v>
      </c>
      <c r="G585" s="15" t="s">
        <v>6</v>
      </c>
      <c r="H585" s="15">
        <v>292.24355522793502</v>
      </c>
      <c r="I585" s="15">
        <v>294.98829911937901</v>
      </c>
      <c r="J585" s="15">
        <v>304.497358643045</v>
      </c>
      <c r="K585" s="15">
        <v>317.84173345913302</v>
      </c>
      <c r="L585" s="15">
        <v>326.89508015040502</v>
      </c>
      <c r="M585" s="15">
        <v>345.64684770168998</v>
      </c>
      <c r="N585" s="15">
        <v>368.84471691298199</v>
      </c>
      <c r="O585" s="15">
        <v>394.43517032019901</v>
      </c>
      <c r="P585" s="15">
        <v>420.25486965207301</v>
      </c>
      <c r="Q585" s="15">
        <v>445.85663747228301</v>
      </c>
    </row>
    <row r="586" spans="1:17" x14ac:dyDescent="0.3">
      <c r="C586" s="15" t="s">
        <v>276</v>
      </c>
      <c r="D586" s="15" t="s">
        <v>361</v>
      </c>
      <c r="E586" s="15" t="s">
        <v>406</v>
      </c>
      <c r="F586" s="15" t="s">
        <v>362</v>
      </c>
      <c r="G586" s="15" t="s">
        <v>7</v>
      </c>
      <c r="H586" s="15">
        <v>180.24119306495399</v>
      </c>
      <c r="I586" s="15">
        <v>181.072663268448</v>
      </c>
      <c r="J586" s="15">
        <v>183.59151413990301</v>
      </c>
      <c r="K586" s="15">
        <v>192.73656918645901</v>
      </c>
      <c r="L586" s="15">
        <v>199.86797908855999</v>
      </c>
      <c r="M586" s="15">
        <v>213.252336467346</v>
      </c>
      <c r="N586" s="15">
        <v>229.817741086354</v>
      </c>
      <c r="O586" s="15">
        <v>248.23488833439501</v>
      </c>
      <c r="P586" s="15">
        <v>267.22259905864098</v>
      </c>
      <c r="Q586" s="15">
        <v>286.84203657669599</v>
      </c>
    </row>
    <row r="587" spans="1:17" x14ac:dyDescent="0.3">
      <c r="C587" s="15" t="s">
        <v>276</v>
      </c>
      <c r="D587" s="15" t="s">
        <v>361</v>
      </c>
      <c r="E587" s="15" t="s">
        <v>406</v>
      </c>
      <c r="F587" s="15" t="s">
        <v>362</v>
      </c>
      <c r="G587" s="15" t="s">
        <v>8</v>
      </c>
      <c r="H587" s="15">
        <v>400.84653752877801</v>
      </c>
      <c r="I587" s="15">
        <v>402.94201473697001</v>
      </c>
      <c r="J587" s="15">
        <v>409.500666086271</v>
      </c>
      <c r="K587" s="15">
        <v>420.14128885914101</v>
      </c>
      <c r="L587" s="15">
        <v>424.91645194220899</v>
      </c>
      <c r="M587" s="15">
        <v>441.651244948841</v>
      </c>
      <c r="N587" s="15">
        <v>463.33561873690502</v>
      </c>
      <c r="O587" s="15">
        <v>487.30653878121302</v>
      </c>
      <c r="P587" s="15">
        <v>511.48979484406902</v>
      </c>
      <c r="Q587" s="15">
        <v>534.82678420065599</v>
      </c>
    </row>
    <row r="588" spans="1:17" x14ac:dyDescent="0.3">
      <c r="C588" s="15" t="s">
        <v>276</v>
      </c>
      <c r="D588" s="15" t="s">
        <v>361</v>
      </c>
      <c r="E588" s="15" t="s">
        <v>407</v>
      </c>
      <c r="F588" s="15" t="s">
        <v>366</v>
      </c>
      <c r="G588" s="15" t="s">
        <v>0</v>
      </c>
      <c r="H588" s="15">
        <v>18.279643435353201</v>
      </c>
      <c r="I588" s="15">
        <v>18.2056089319703</v>
      </c>
      <c r="J588" s="15">
        <v>17.910236487441701</v>
      </c>
      <c r="K588" s="15">
        <v>17.489459609432799</v>
      </c>
      <c r="L588" s="15">
        <v>16.9559496916626</v>
      </c>
      <c r="M588" s="15">
        <v>16.4644834764038</v>
      </c>
      <c r="N588" s="15">
        <v>16.120610882882499</v>
      </c>
      <c r="O588" s="15">
        <v>15.845100702417</v>
      </c>
      <c r="P588" s="15">
        <v>15.583548805786799</v>
      </c>
      <c r="Q588" s="15">
        <v>15.349902832817101</v>
      </c>
    </row>
    <row r="589" spans="1:17" x14ac:dyDescent="0.3">
      <c r="C589" s="15" t="s">
        <v>276</v>
      </c>
      <c r="D589" s="15" t="s">
        <v>361</v>
      </c>
      <c r="E589" s="15" t="s">
        <v>407</v>
      </c>
      <c r="F589" s="15" t="s">
        <v>366</v>
      </c>
      <c r="G589" s="15" t="s">
        <v>1</v>
      </c>
      <c r="H589" s="15">
        <v>51.716846259509197</v>
      </c>
      <c r="I589" s="15">
        <v>51.478195513789501</v>
      </c>
      <c r="J589" s="15">
        <v>50.529997187088497</v>
      </c>
      <c r="K589" s="15">
        <v>48.985613598414197</v>
      </c>
      <c r="L589" s="15">
        <v>47.095603477773302</v>
      </c>
      <c r="M589" s="15">
        <v>45.3724576842449</v>
      </c>
      <c r="N589" s="15">
        <v>44.132402428208003</v>
      </c>
      <c r="O589" s="15">
        <v>43.148753249585198</v>
      </c>
      <c r="P589" s="15">
        <v>42.2242192522259</v>
      </c>
      <c r="Q589" s="15">
        <v>41.393405519626199</v>
      </c>
    </row>
    <row r="590" spans="1:17" x14ac:dyDescent="0.3">
      <c r="C590" s="15" t="s">
        <v>276</v>
      </c>
      <c r="D590" s="15" t="s">
        <v>361</v>
      </c>
      <c r="E590" s="15" t="s">
        <v>407</v>
      </c>
      <c r="F590" s="15" t="s">
        <v>366</v>
      </c>
      <c r="G590" s="15" t="s">
        <v>2</v>
      </c>
      <c r="H590" s="15">
        <v>58.778535316966199</v>
      </c>
      <c r="I590" s="15">
        <v>58.395238916845997</v>
      </c>
      <c r="J590" s="15">
        <v>56.885603566730303</v>
      </c>
      <c r="K590" s="15">
        <v>55.192014680061803</v>
      </c>
      <c r="L590" s="15">
        <v>53.339298916424497</v>
      </c>
      <c r="M590" s="15">
        <v>51.707347290183101</v>
      </c>
      <c r="N590" s="15">
        <v>50.608726732304604</v>
      </c>
      <c r="O590" s="15">
        <v>49.776029680874103</v>
      </c>
      <c r="P590" s="15">
        <v>49.0075048740675</v>
      </c>
      <c r="Q590" s="15">
        <v>48.160119832070201</v>
      </c>
    </row>
    <row r="591" spans="1:17" x14ac:dyDescent="0.3">
      <c r="C591" s="15" t="s">
        <v>276</v>
      </c>
      <c r="D591" s="15" t="s">
        <v>361</v>
      </c>
      <c r="E591" s="15" t="s">
        <v>407</v>
      </c>
      <c r="F591" s="15" t="s">
        <v>366</v>
      </c>
      <c r="G591" s="15" t="s">
        <v>3</v>
      </c>
      <c r="H591" s="15">
        <v>25.8199003779701</v>
      </c>
      <c r="I591" s="15">
        <v>25.7966764510129</v>
      </c>
      <c r="J591" s="15">
        <v>25.693050098768399</v>
      </c>
      <c r="K591" s="15">
        <v>25.3817827104839</v>
      </c>
      <c r="L591" s="15">
        <v>24.872266571173999</v>
      </c>
      <c r="M591" s="15">
        <v>24.413022196417199</v>
      </c>
      <c r="N591" s="15">
        <v>24.214095858073801</v>
      </c>
      <c r="O591" s="15">
        <v>24.1626768725414</v>
      </c>
      <c r="P591" s="15">
        <v>24.149619571161999</v>
      </c>
      <c r="Q591" s="15">
        <v>24.105912058944501</v>
      </c>
    </row>
    <row r="592" spans="1:17" x14ac:dyDescent="0.3">
      <c r="C592" s="15" t="s">
        <v>276</v>
      </c>
      <c r="D592" s="15" t="s">
        <v>361</v>
      </c>
      <c r="E592" s="15" t="s">
        <v>407</v>
      </c>
      <c r="F592" s="15" t="s">
        <v>366</v>
      </c>
      <c r="G592" s="15" t="s">
        <v>4</v>
      </c>
      <c r="H592" s="15">
        <v>75.485596476906494</v>
      </c>
      <c r="I592" s="15">
        <v>75.813764168814004</v>
      </c>
      <c r="J592" s="15">
        <v>77.037554617700494</v>
      </c>
      <c r="K592" s="15">
        <v>78.294711548561295</v>
      </c>
      <c r="L592" s="15">
        <v>78.715489490924995</v>
      </c>
      <c r="M592" s="15">
        <v>79.283244455037902</v>
      </c>
      <c r="N592" s="15">
        <v>80.632521286849197</v>
      </c>
      <c r="O592" s="15">
        <v>82.460621274520904</v>
      </c>
      <c r="P592" s="15">
        <v>84.503904173713394</v>
      </c>
      <c r="Q592" s="15">
        <v>86.384763356879603</v>
      </c>
    </row>
    <row r="593" spans="3:17" x14ac:dyDescent="0.3">
      <c r="C593" s="15" t="s">
        <v>276</v>
      </c>
      <c r="D593" s="15" t="s">
        <v>361</v>
      </c>
      <c r="E593" s="15" t="s">
        <v>407</v>
      </c>
      <c r="F593" s="15" t="s">
        <v>366</v>
      </c>
      <c r="G593" s="15" t="s">
        <v>5</v>
      </c>
      <c r="H593" s="15">
        <v>23.215246628491101</v>
      </c>
      <c r="I593" s="15">
        <v>23.165405357731</v>
      </c>
      <c r="J593" s="15">
        <v>22.9605971485088</v>
      </c>
      <c r="K593" s="15">
        <v>22.633257294137199</v>
      </c>
      <c r="L593" s="15">
        <v>22.1685708616385</v>
      </c>
      <c r="M593" s="15">
        <v>21.752549470173999</v>
      </c>
      <c r="N593" s="15">
        <v>21.552850643506101</v>
      </c>
      <c r="O593" s="15">
        <v>21.480313310124501</v>
      </c>
      <c r="P593" s="15">
        <v>21.453414150893799</v>
      </c>
      <c r="Q593" s="15">
        <v>21.464510457385</v>
      </c>
    </row>
    <row r="594" spans="3:17" x14ac:dyDescent="0.3">
      <c r="C594" s="15" t="s">
        <v>276</v>
      </c>
      <c r="D594" s="15" t="s">
        <v>361</v>
      </c>
      <c r="E594" s="15" t="s">
        <v>407</v>
      </c>
      <c r="F594" s="15" t="s">
        <v>366</v>
      </c>
      <c r="G594" s="15" t="s">
        <v>6</v>
      </c>
      <c r="H594" s="15">
        <v>46.008019075955197</v>
      </c>
      <c r="I594" s="15">
        <v>46.326668363367098</v>
      </c>
      <c r="J594" s="15">
        <v>47.5298678696984</v>
      </c>
      <c r="K594" s="15">
        <v>48.767221660649497</v>
      </c>
      <c r="L594" s="15">
        <v>49.433920836488703</v>
      </c>
      <c r="M594" s="15">
        <v>50.137687050917002</v>
      </c>
      <c r="N594" s="15">
        <v>51.315891038318597</v>
      </c>
      <c r="O594" s="15">
        <v>52.804327026871299</v>
      </c>
      <c r="P594" s="15">
        <v>54.426471692766498</v>
      </c>
      <c r="Q594" s="15">
        <v>56.049267741604503</v>
      </c>
    </row>
    <row r="595" spans="3:17" x14ac:dyDescent="0.3">
      <c r="C595" s="15" t="s">
        <v>276</v>
      </c>
      <c r="D595" s="15" t="s">
        <v>361</v>
      </c>
      <c r="E595" s="15" t="s">
        <v>407</v>
      </c>
      <c r="F595" s="15" t="s">
        <v>366</v>
      </c>
      <c r="G595" s="15" t="s">
        <v>7</v>
      </c>
      <c r="H595" s="15">
        <v>28.375442676015702</v>
      </c>
      <c r="I595" s="15">
        <v>28.436698153624999</v>
      </c>
      <c r="J595" s="15">
        <v>28.657327104426098</v>
      </c>
      <c r="K595" s="15">
        <v>29.5720353942685</v>
      </c>
      <c r="L595" s="15">
        <v>30.224553552372001</v>
      </c>
      <c r="M595" s="15">
        <v>30.9332458252427</v>
      </c>
      <c r="N595" s="15">
        <v>31.973623640221899</v>
      </c>
      <c r="O595" s="15">
        <v>33.232016841823203</v>
      </c>
      <c r="P595" s="15">
        <v>34.607530509696403</v>
      </c>
      <c r="Q595" s="15">
        <v>36.059317629052501</v>
      </c>
    </row>
    <row r="596" spans="3:17" x14ac:dyDescent="0.3">
      <c r="C596" s="15" t="s">
        <v>276</v>
      </c>
      <c r="D596" s="15" t="s">
        <v>361</v>
      </c>
      <c r="E596" s="15" t="s">
        <v>407</v>
      </c>
      <c r="F596" s="15" t="s">
        <v>366</v>
      </c>
      <c r="G596" s="15" t="s">
        <v>8</v>
      </c>
      <c r="H596" s="15">
        <v>63.105429752832798</v>
      </c>
      <c r="I596" s="15">
        <v>63.280344142844299</v>
      </c>
      <c r="J596" s="15">
        <v>63.920135919637197</v>
      </c>
      <c r="K596" s="15">
        <v>64.463288503990896</v>
      </c>
      <c r="L596" s="15">
        <v>64.256966601541507</v>
      </c>
      <c r="M596" s="15">
        <v>64.063572551379494</v>
      </c>
      <c r="N596" s="15">
        <v>64.462032489635305</v>
      </c>
      <c r="O596" s="15">
        <v>65.237321041242296</v>
      </c>
      <c r="P596" s="15">
        <v>66.242146969687795</v>
      </c>
      <c r="Q596" s="15">
        <v>67.233830571620402</v>
      </c>
    </row>
    <row r="597" spans="3:17" x14ac:dyDescent="0.3">
      <c r="C597" s="15" t="s">
        <v>276</v>
      </c>
      <c r="D597" s="15" t="s">
        <v>361</v>
      </c>
      <c r="E597" s="15" t="s">
        <v>408</v>
      </c>
      <c r="F597" s="15" t="s">
        <v>364</v>
      </c>
      <c r="G597" s="15" t="s">
        <v>0</v>
      </c>
      <c r="H597" s="15">
        <v>4.1049399603579602</v>
      </c>
      <c r="I597" s="15">
        <v>4.1151790976745497</v>
      </c>
      <c r="J597" s="15">
        <v>4.0605212551478003</v>
      </c>
      <c r="K597" s="15">
        <v>3.9889757124570999</v>
      </c>
      <c r="L597" s="15">
        <v>4.11780879399877</v>
      </c>
      <c r="M597" s="15">
        <v>4.2825057473807497</v>
      </c>
      <c r="N597" s="15">
        <v>4.4888361606605898</v>
      </c>
      <c r="O597" s="15">
        <v>4.7200408156898801</v>
      </c>
      <c r="P597" s="15">
        <v>4.9512451409722003</v>
      </c>
      <c r="Q597" s="15">
        <v>5.2134228731655403</v>
      </c>
    </row>
    <row r="598" spans="3:17" x14ac:dyDescent="0.3">
      <c r="C598" s="15" t="s">
        <v>276</v>
      </c>
      <c r="D598" s="15" t="s">
        <v>361</v>
      </c>
      <c r="E598" s="15" t="s">
        <v>408</v>
      </c>
      <c r="F598" s="15" t="s">
        <v>364</v>
      </c>
      <c r="G598" s="15" t="s">
        <v>1</v>
      </c>
      <c r="H598" s="15">
        <v>11.613713888082</v>
      </c>
      <c r="I598" s="15">
        <v>11.6360839648896</v>
      </c>
      <c r="J598" s="15">
        <v>11.4559139263514</v>
      </c>
      <c r="K598" s="15">
        <v>11.1725820732903</v>
      </c>
      <c r="L598" s="15">
        <v>11.437323988688901</v>
      </c>
      <c r="M598" s="15">
        <v>11.8016341711565</v>
      </c>
      <c r="N598" s="15">
        <v>12.288809978467899</v>
      </c>
      <c r="O598" s="15">
        <v>12.853428975248301</v>
      </c>
      <c r="P598" s="15">
        <v>13.4155873613522</v>
      </c>
      <c r="Q598" s="15">
        <v>14.058807373872501</v>
      </c>
    </row>
    <row r="599" spans="3:17" x14ac:dyDescent="0.3">
      <c r="C599" s="15" t="s">
        <v>276</v>
      </c>
      <c r="D599" s="15" t="s">
        <v>361</v>
      </c>
      <c r="E599" s="15" t="s">
        <v>408</v>
      </c>
      <c r="F599" s="15" t="s">
        <v>364</v>
      </c>
      <c r="G599" s="15" t="s">
        <v>2</v>
      </c>
      <c r="H599" s="15">
        <v>13.1995112096815</v>
      </c>
      <c r="I599" s="15">
        <v>13.199606093500201</v>
      </c>
      <c r="J599" s="15">
        <v>12.896825932844701</v>
      </c>
      <c r="K599" s="15">
        <v>12.5881308512015</v>
      </c>
      <c r="L599" s="15">
        <v>12.9536261983475</v>
      </c>
      <c r="M599" s="15">
        <v>13.4493749694228</v>
      </c>
      <c r="N599" s="15">
        <v>14.0921633957546</v>
      </c>
      <c r="O599" s="15">
        <v>14.827604831875799</v>
      </c>
      <c r="P599" s="15">
        <v>15.570790286792301</v>
      </c>
      <c r="Q599" s="15">
        <v>16.357046232899702</v>
      </c>
    </row>
    <row r="600" spans="3:17" x14ac:dyDescent="0.3">
      <c r="C600" s="15" t="s">
        <v>276</v>
      </c>
      <c r="D600" s="15" t="s">
        <v>361</v>
      </c>
      <c r="E600" s="15" t="s">
        <v>408</v>
      </c>
      <c r="F600" s="15" t="s">
        <v>364</v>
      </c>
      <c r="G600" s="15" t="s">
        <v>3</v>
      </c>
      <c r="H600" s="15">
        <v>5.7982061416474897</v>
      </c>
      <c r="I600" s="15">
        <v>5.8310570175030598</v>
      </c>
      <c r="J600" s="15">
        <v>5.8250027077408202</v>
      </c>
      <c r="K600" s="15">
        <v>5.78904763394618</v>
      </c>
      <c r="L600" s="15">
        <v>6.0403126852766196</v>
      </c>
      <c r="M600" s="15">
        <v>6.3499658532820202</v>
      </c>
      <c r="N600" s="15">
        <v>6.74249318931445</v>
      </c>
      <c r="O600" s="15">
        <v>7.1977340628276698</v>
      </c>
      <c r="P600" s="15">
        <v>7.6728791399326104</v>
      </c>
      <c r="Q600" s="15">
        <v>8.18730350774171</v>
      </c>
    </row>
    <row r="601" spans="3:17" x14ac:dyDescent="0.3">
      <c r="C601" s="15" t="s">
        <v>276</v>
      </c>
      <c r="D601" s="15" t="s">
        <v>361</v>
      </c>
      <c r="E601" s="15" t="s">
        <v>408</v>
      </c>
      <c r="F601" s="15" t="s">
        <v>364</v>
      </c>
      <c r="G601" s="15" t="s">
        <v>4</v>
      </c>
      <c r="H601" s="15">
        <v>16.951306654604998</v>
      </c>
      <c r="I601" s="15">
        <v>17.136873520097399</v>
      </c>
      <c r="J601" s="15">
        <v>17.465577754326102</v>
      </c>
      <c r="K601" s="15">
        <v>17.857367223204601</v>
      </c>
      <c r="L601" s="15">
        <v>19.116318504355402</v>
      </c>
      <c r="M601" s="15">
        <v>20.622022581898399</v>
      </c>
      <c r="N601" s="15">
        <v>22.452385949094001</v>
      </c>
      <c r="O601" s="15">
        <v>24.563901827617499</v>
      </c>
      <c r="P601" s="15">
        <v>26.848797417563301</v>
      </c>
      <c r="Q601" s="15">
        <v>29.339619024487</v>
      </c>
    </row>
    <row r="602" spans="3:17" x14ac:dyDescent="0.3">
      <c r="C602" s="15" t="s">
        <v>276</v>
      </c>
      <c r="D602" s="15" t="s">
        <v>361</v>
      </c>
      <c r="E602" s="15" t="s">
        <v>408</v>
      </c>
      <c r="F602" s="15" t="s">
        <v>364</v>
      </c>
      <c r="G602" s="15" t="s">
        <v>5</v>
      </c>
      <c r="H602" s="15">
        <v>5.2132960859921402</v>
      </c>
      <c r="I602" s="15">
        <v>5.23628691979025</v>
      </c>
      <c r="J602" s="15">
        <v>5.20551433353649</v>
      </c>
      <c r="K602" s="15">
        <v>5.1621671370230597</v>
      </c>
      <c r="L602" s="15">
        <v>5.3837111871903103</v>
      </c>
      <c r="M602" s="15">
        <v>5.6579617732746099</v>
      </c>
      <c r="N602" s="15">
        <v>6.0014608650232297</v>
      </c>
      <c r="O602" s="15">
        <v>6.3986943006382102</v>
      </c>
      <c r="P602" s="15">
        <v>6.8162338306684704</v>
      </c>
      <c r="Q602" s="15">
        <v>7.2901809867218796</v>
      </c>
    </row>
    <row r="603" spans="3:17" x14ac:dyDescent="0.3">
      <c r="C603" s="15" t="s">
        <v>276</v>
      </c>
      <c r="D603" s="15" t="s">
        <v>361</v>
      </c>
      <c r="E603" s="15" t="s">
        <v>408</v>
      </c>
      <c r="F603" s="15" t="s">
        <v>364</v>
      </c>
      <c r="G603" s="15" t="s">
        <v>6</v>
      </c>
      <c r="H603" s="15">
        <v>10.3317199085262</v>
      </c>
      <c r="I603" s="15">
        <v>10.4716375061231</v>
      </c>
      <c r="J603" s="15">
        <v>10.775739274833199</v>
      </c>
      <c r="K603" s="15">
        <v>11.1227714928038</v>
      </c>
      <c r="L603" s="15">
        <v>12.005192138687701</v>
      </c>
      <c r="M603" s="15">
        <v>13.041097418188</v>
      </c>
      <c r="N603" s="15">
        <v>14.289075580499</v>
      </c>
      <c r="O603" s="15">
        <v>15.729693581174301</v>
      </c>
      <c r="P603" s="15">
        <v>17.292518338891</v>
      </c>
      <c r="Q603" s="15">
        <v>19.0365071134872</v>
      </c>
    </row>
    <row r="604" spans="3:17" x14ac:dyDescent="0.3">
      <c r="C604" s="15" t="s">
        <v>276</v>
      </c>
      <c r="D604" s="15" t="s">
        <v>361</v>
      </c>
      <c r="E604" s="15" t="s">
        <v>408</v>
      </c>
      <c r="F604" s="15" t="s">
        <v>364</v>
      </c>
      <c r="G604" s="15" t="s">
        <v>7</v>
      </c>
      <c r="H604" s="15">
        <v>6.3720875598891498</v>
      </c>
      <c r="I604" s="15">
        <v>6.4278050949001404</v>
      </c>
      <c r="J604" s="15">
        <v>6.4970490984212903</v>
      </c>
      <c r="K604" s="15">
        <v>6.74475561795159</v>
      </c>
      <c r="L604" s="15">
        <v>7.3401333853828197</v>
      </c>
      <c r="M604" s="15">
        <v>8.0459130844642797</v>
      </c>
      <c r="N604" s="15">
        <v>8.9031587590753194</v>
      </c>
      <c r="O604" s="15">
        <v>9.8993675601678106</v>
      </c>
      <c r="P604" s="15">
        <v>10.9955934564502</v>
      </c>
      <c r="Q604" s="15">
        <v>12.247144061142</v>
      </c>
    </row>
    <row r="605" spans="3:17" x14ac:dyDescent="0.3">
      <c r="C605" s="15" t="s">
        <v>276</v>
      </c>
      <c r="D605" s="15" t="s">
        <v>361</v>
      </c>
      <c r="E605" s="15" t="s">
        <v>408</v>
      </c>
      <c r="F605" s="15" t="s">
        <v>364</v>
      </c>
      <c r="G605" s="15" t="s">
        <v>8</v>
      </c>
      <c r="H605" s="15">
        <v>14.1711735912184</v>
      </c>
      <c r="I605" s="15">
        <v>14.303830785521701</v>
      </c>
      <c r="J605" s="15">
        <v>14.4916607167981</v>
      </c>
      <c r="K605" s="15">
        <v>14.702712258121901</v>
      </c>
      <c r="L605" s="15">
        <v>15.605018118072101</v>
      </c>
      <c r="M605" s="15">
        <v>16.663299400932701</v>
      </c>
      <c r="N605" s="15">
        <v>17.9496611221108</v>
      </c>
      <c r="O605" s="15">
        <v>19.433314044760699</v>
      </c>
      <c r="P605" s="15">
        <v>21.046625027377701</v>
      </c>
      <c r="Q605" s="15">
        <v>22.8352188264825</v>
      </c>
    </row>
    <row r="606" spans="3:17" x14ac:dyDescent="0.3">
      <c r="C606" s="15" t="s">
        <v>276</v>
      </c>
      <c r="D606" s="15" t="s">
        <v>367</v>
      </c>
      <c r="E606" s="15" t="s">
        <v>367</v>
      </c>
      <c r="F606" s="15" t="s">
        <v>368</v>
      </c>
      <c r="G606" s="15" t="s">
        <v>0</v>
      </c>
      <c r="H606" s="15">
        <v>16.285331829602001</v>
      </c>
      <c r="I606" s="15">
        <v>16.408146589400399</v>
      </c>
      <c r="J606" s="15">
        <v>12.826274780749401</v>
      </c>
      <c r="K606" s="15">
        <v>6.4131373903747004</v>
      </c>
    </row>
    <row r="607" spans="3:17" x14ac:dyDescent="0.3">
      <c r="C607" s="15" t="s">
        <v>276</v>
      </c>
      <c r="D607" s="15" t="s">
        <v>367</v>
      </c>
      <c r="E607" s="15" t="s">
        <v>367</v>
      </c>
      <c r="F607" s="15" t="s">
        <v>368</v>
      </c>
      <c r="G607" s="15" t="s">
        <v>1</v>
      </c>
      <c r="H607" s="15">
        <v>46.074531239911401</v>
      </c>
      <c r="I607" s="15">
        <v>46.395689444080503</v>
      </c>
      <c r="J607" s="15">
        <v>36.211270756179502</v>
      </c>
      <c r="K607" s="15">
        <v>18.105635378089701</v>
      </c>
    </row>
    <row r="608" spans="3:17" x14ac:dyDescent="0.3">
      <c r="C608" s="15" t="s">
        <v>276</v>
      </c>
      <c r="D608" s="15" t="s">
        <v>367</v>
      </c>
      <c r="E608" s="15" t="s">
        <v>367</v>
      </c>
      <c r="F608" s="15" t="s">
        <v>368</v>
      </c>
      <c r="G608" s="15" t="s">
        <v>2</v>
      </c>
      <c r="H608" s="15">
        <v>52.365789052727301</v>
      </c>
      <c r="I608" s="15">
        <v>52.629804575669901</v>
      </c>
      <c r="J608" s="15">
        <v>44.474545936973499</v>
      </c>
      <c r="K608" s="15">
        <v>22.2372729684867</v>
      </c>
    </row>
    <row r="609" spans="2:17" x14ac:dyDescent="0.3">
      <c r="C609" s="15" t="s">
        <v>276</v>
      </c>
      <c r="D609" s="15" t="s">
        <v>367</v>
      </c>
      <c r="E609" s="15" t="s">
        <v>367</v>
      </c>
      <c r="F609" s="15" t="s">
        <v>368</v>
      </c>
      <c r="G609" s="15" t="s">
        <v>3</v>
      </c>
      <c r="H609" s="15">
        <v>23.002945705674001</v>
      </c>
      <c r="I609" s="15">
        <v>23.249738600297601</v>
      </c>
      <c r="J609" s="15">
        <v>20.623831192552199</v>
      </c>
      <c r="K609" s="15">
        <v>10.3119155962761</v>
      </c>
    </row>
    <row r="610" spans="2:17" x14ac:dyDescent="0.3">
      <c r="C610" s="15" t="s">
        <v>276</v>
      </c>
      <c r="D610" s="15" t="s">
        <v>367</v>
      </c>
      <c r="E610" s="15" t="s">
        <v>367</v>
      </c>
      <c r="F610" s="15" t="s">
        <v>368</v>
      </c>
      <c r="G610" s="15" t="s">
        <v>4</v>
      </c>
      <c r="H610" s="15">
        <v>67.250107548835203</v>
      </c>
      <c r="I610" s="15">
        <v>68.328577232681596</v>
      </c>
      <c r="J610" s="15">
        <v>51.870807125278098</v>
      </c>
      <c r="K610" s="15">
        <v>25.935403562639099</v>
      </c>
    </row>
    <row r="611" spans="2:17" x14ac:dyDescent="0.3">
      <c r="C611" s="15" t="s">
        <v>276</v>
      </c>
      <c r="D611" s="15" t="s">
        <v>367</v>
      </c>
      <c r="E611" s="15" t="s">
        <v>367</v>
      </c>
      <c r="F611" s="15" t="s">
        <v>368</v>
      </c>
      <c r="G611" s="15" t="s">
        <v>5</v>
      </c>
      <c r="H611" s="15">
        <v>20.682460037477401</v>
      </c>
      <c r="I611" s="15">
        <v>20.878256164507999</v>
      </c>
      <c r="J611" s="15">
        <v>16.510643843903299</v>
      </c>
      <c r="K611" s="15">
        <v>8.2553219219516691</v>
      </c>
    </row>
    <row r="612" spans="2:17" x14ac:dyDescent="0.3">
      <c r="C612" s="15" t="s">
        <v>276</v>
      </c>
      <c r="D612" s="15" t="s">
        <v>367</v>
      </c>
      <c r="E612" s="15" t="s">
        <v>367</v>
      </c>
      <c r="F612" s="15" t="s">
        <v>368</v>
      </c>
      <c r="G612" s="15" t="s">
        <v>6</v>
      </c>
      <c r="H612" s="15">
        <v>40.988537885017799</v>
      </c>
      <c r="I612" s="15">
        <v>41.752778956479503</v>
      </c>
      <c r="J612" s="15">
        <v>31.686346131984301</v>
      </c>
      <c r="K612" s="15">
        <v>15.8431730659922</v>
      </c>
    </row>
    <row r="613" spans="2:17" x14ac:dyDescent="0.3">
      <c r="C613" s="15" t="s">
        <v>276</v>
      </c>
      <c r="D613" s="15" t="s">
        <v>367</v>
      </c>
      <c r="E613" s="15" t="s">
        <v>367</v>
      </c>
      <c r="F613" s="15" t="s">
        <v>368</v>
      </c>
      <c r="G613" s="15" t="s">
        <v>7</v>
      </c>
      <c r="H613" s="15">
        <v>29.8404536699896</v>
      </c>
      <c r="I613" s="15">
        <v>25.629107686908501</v>
      </c>
      <c r="J613" s="15">
        <v>19.893635779993101</v>
      </c>
      <c r="K613" s="15">
        <v>9.9468178899965292</v>
      </c>
    </row>
    <row r="614" spans="2:17" x14ac:dyDescent="0.3">
      <c r="C614" s="15" t="s">
        <v>276</v>
      </c>
      <c r="D614" s="15" t="s">
        <v>367</v>
      </c>
      <c r="E614" s="15" t="s">
        <v>367</v>
      </c>
      <c r="F614" s="15" t="s">
        <v>368</v>
      </c>
      <c r="G614" s="15" t="s">
        <v>8</v>
      </c>
      <c r="H614" s="15">
        <v>56.220618712230802</v>
      </c>
      <c r="I614" s="15">
        <v>57.032597305775603</v>
      </c>
      <c r="J614" s="15">
        <v>43.487962135609102</v>
      </c>
      <c r="K614" s="15">
        <v>21.743981067804601</v>
      </c>
    </row>
    <row r="615" spans="2:17" x14ac:dyDescent="0.3">
      <c r="C615" s="15" t="s">
        <v>276</v>
      </c>
      <c r="D615" s="15" t="s">
        <v>367</v>
      </c>
      <c r="E615" s="15" t="s">
        <v>367</v>
      </c>
      <c r="F615" s="15" t="s">
        <v>369</v>
      </c>
      <c r="G615" s="15" t="s">
        <v>0</v>
      </c>
      <c r="J615" s="15">
        <v>2.3722822779377002</v>
      </c>
      <c r="K615" s="15">
        <v>8.9242525157736008</v>
      </c>
      <c r="L615" s="15">
        <v>16.000414002785352</v>
      </c>
      <c r="M615" s="15">
        <v>16.37425252714705</v>
      </c>
      <c r="N615" s="15">
        <v>16.581223362139951</v>
      </c>
      <c r="O615" s="15">
        <v>16.813581871339451</v>
      </c>
      <c r="P615" s="15">
        <v>17.063432871477254</v>
      </c>
      <c r="Q615" s="15">
        <v>17.426666302895853</v>
      </c>
    </row>
    <row r="616" spans="2:17" x14ac:dyDescent="0.3">
      <c r="C616" s="15" t="s">
        <v>276</v>
      </c>
      <c r="D616" s="15" t="s">
        <v>367</v>
      </c>
      <c r="E616" s="15" t="s">
        <v>367</v>
      </c>
      <c r="F616" s="15" t="s">
        <v>369</v>
      </c>
      <c r="G616" s="15" t="s">
        <v>1</v>
      </c>
      <c r="J616" s="15">
        <v>6.6682884256191199</v>
      </c>
      <c r="K616" s="15">
        <v>24.852321718857201</v>
      </c>
      <c r="L616" s="15">
        <v>44.441577561763999</v>
      </c>
      <c r="M616" s="15">
        <v>45.123801239429795</v>
      </c>
      <c r="N616" s="15">
        <v>45.393392811620195</v>
      </c>
      <c r="O616" s="15">
        <v>45.786082968690799</v>
      </c>
      <c r="P616" s="15">
        <v>46.234021514621503</v>
      </c>
      <c r="Q616" s="15">
        <v>46.993721913911983</v>
      </c>
    </row>
    <row r="617" spans="2:17" x14ac:dyDescent="0.3">
      <c r="C617" s="15" t="s">
        <v>276</v>
      </c>
      <c r="D617" s="15" t="s">
        <v>367</v>
      </c>
      <c r="E617" s="15" t="s">
        <v>367</v>
      </c>
      <c r="F617" s="15" t="s">
        <v>369</v>
      </c>
      <c r="G617" s="15" t="s">
        <v>2</v>
      </c>
      <c r="J617" s="15">
        <v>3.79835611169753</v>
      </c>
      <c r="K617" s="15">
        <v>26.163390502980199</v>
      </c>
      <c r="L617" s="15">
        <v>50.333415750859601</v>
      </c>
      <c r="M617" s="15">
        <v>51.423973503436201</v>
      </c>
      <c r="N617" s="15">
        <v>52.0547644328351</v>
      </c>
      <c r="O617" s="15">
        <v>52.818430503375694</v>
      </c>
      <c r="P617" s="15">
        <v>53.661478527068297</v>
      </c>
      <c r="Q617" s="15">
        <v>54.675938119077699</v>
      </c>
    </row>
    <row r="618" spans="2:17" x14ac:dyDescent="0.3">
      <c r="C618" s="15" t="s">
        <v>276</v>
      </c>
      <c r="D618" s="15" t="s">
        <v>367</v>
      </c>
      <c r="E618" s="15" t="s">
        <v>367</v>
      </c>
      <c r="F618" s="15" t="s">
        <v>369</v>
      </c>
      <c r="G618" s="15" t="s">
        <v>3</v>
      </c>
      <c r="J618" s="15">
        <v>1.1791912416657</v>
      </c>
      <c r="K618" s="15">
        <v>11.9466507995584</v>
      </c>
      <c r="L618" s="15">
        <v>23.470614714202988</v>
      </c>
      <c r="M618" s="15">
        <v>24.27923056121859</v>
      </c>
      <c r="N618" s="15">
        <v>24.905962612205791</v>
      </c>
      <c r="O618" s="15">
        <v>25.639543317337591</v>
      </c>
      <c r="P618" s="15">
        <v>26.442976343823393</v>
      </c>
      <c r="Q618" s="15">
        <v>27.367318865371793</v>
      </c>
    </row>
    <row r="619" spans="2:17" x14ac:dyDescent="0.3">
      <c r="C619" s="15" t="s">
        <v>276</v>
      </c>
      <c r="D619" s="15" t="s">
        <v>367</v>
      </c>
      <c r="E619" s="15" t="s">
        <v>367</v>
      </c>
      <c r="F619" s="15" t="s">
        <v>369</v>
      </c>
      <c r="G619" s="15" t="s">
        <v>4</v>
      </c>
      <c r="J619" s="15">
        <v>13.502962246211199</v>
      </c>
      <c r="K619" s="15">
        <v>42.725180893728897</v>
      </c>
      <c r="L619" s="15">
        <v>74.279556332135101</v>
      </c>
      <c r="M619" s="15">
        <v>78.848745406368508</v>
      </c>
      <c r="N619" s="15">
        <v>82.936425636910215</v>
      </c>
      <c r="O619" s="15">
        <v>87.500763358934506</v>
      </c>
      <c r="P619" s="15">
        <v>92.528775968569406</v>
      </c>
      <c r="Q619" s="15">
        <v>98.072180721334902</v>
      </c>
    </row>
    <row r="620" spans="2:17" x14ac:dyDescent="0.3">
      <c r="C620" s="15" t="s">
        <v>276</v>
      </c>
      <c r="D620" s="15" t="s">
        <v>367</v>
      </c>
      <c r="E620" s="15" t="s">
        <v>367</v>
      </c>
      <c r="F620" s="15" t="s">
        <v>369</v>
      </c>
      <c r="G620" s="15" t="s">
        <v>5</v>
      </c>
      <c r="J620" s="15">
        <v>2.9736296389079699</v>
      </c>
      <c r="K620" s="15">
        <v>11.592923805385301</v>
      </c>
      <c r="L620" s="15">
        <v>20.919283088620737</v>
      </c>
      <c r="M620" s="15">
        <v>21.633338127148342</v>
      </c>
      <c r="N620" s="15">
        <v>22.168677924624344</v>
      </c>
      <c r="O620" s="15">
        <v>22.793228850019943</v>
      </c>
      <c r="P620" s="15">
        <v>23.490727098813444</v>
      </c>
      <c r="Q620" s="15">
        <v>24.368549115253238</v>
      </c>
    </row>
    <row r="621" spans="2:17" x14ac:dyDescent="0.3">
      <c r="C621" s="15" t="s">
        <v>276</v>
      </c>
      <c r="D621" s="15" t="s">
        <v>367</v>
      </c>
      <c r="E621" s="15" t="s">
        <v>367</v>
      </c>
      <c r="F621" s="15" t="s">
        <v>369</v>
      </c>
      <c r="G621" s="15" t="s">
        <v>6</v>
      </c>
      <c r="J621" s="15">
        <v>8.6473149738303707</v>
      </c>
      <c r="K621" s="15">
        <v>26.923265117468599</v>
      </c>
      <c r="L621" s="15">
        <v>46.648121370262203</v>
      </c>
      <c r="M621" s="15">
        <v>49.862915534238397</v>
      </c>
      <c r="N621" s="15">
        <v>52.782134468433497</v>
      </c>
      <c r="O621" s="15">
        <v>56.031822851833105</v>
      </c>
      <c r="P621" s="15">
        <v>59.595054870686305</v>
      </c>
      <c r="Q621" s="15">
        <v>63.63244745539221</v>
      </c>
    </row>
    <row r="622" spans="2:17" x14ac:dyDescent="0.3">
      <c r="C622" s="15" t="s">
        <v>276</v>
      </c>
      <c r="D622" s="15" t="s">
        <v>367</v>
      </c>
      <c r="E622" s="15" t="s">
        <v>367</v>
      </c>
      <c r="F622" s="15" t="s">
        <v>369</v>
      </c>
      <c r="G622" s="15" t="s">
        <v>7</v>
      </c>
      <c r="J622" s="15">
        <v>4.4248605978453304</v>
      </c>
      <c r="K622" s="15">
        <v>15.9863925858545</v>
      </c>
      <c r="L622" s="15">
        <v>28.521278883311499</v>
      </c>
      <c r="M622" s="15">
        <v>30.7637211548574</v>
      </c>
      <c r="N622" s="15">
        <v>32.887202546304501</v>
      </c>
      <c r="O622" s="15">
        <v>35.263217723475705</v>
      </c>
      <c r="P622" s="15">
        <v>37.894017663070599</v>
      </c>
      <c r="Q622" s="15">
        <v>40.937959169888899</v>
      </c>
    </row>
    <row r="623" spans="2:17" x14ac:dyDescent="0.3">
      <c r="C623" s="15" t="s">
        <v>276</v>
      </c>
      <c r="D623" s="15" t="s">
        <v>367</v>
      </c>
      <c r="E623" s="15" t="s">
        <v>367</v>
      </c>
      <c r="F623" s="15" t="s">
        <v>369</v>
      </c>
      <c r="G623" s="15" t="s">
        <v>8</v>
      </c>
      <c r="J623" s="15">
        <v>10.754416721578799</v>
      </c>
      <c r="K623" s="15">
        <v>34.787130384317699</v>
      </c>
      <c r="L623" s="15">
        <v>60.635829126891196</v>
      </c>
      <c r="M623" s="15">
        <v>63.712482462682104</v>
      </c>
      <c r="N623" s="15">
        <v>66.303899204162519</v>
      </c>
      <c r="O623" s="15">
        <v>69.224743912575406</v>
      </c>
      <c r="P623" s="15">
        <v>72.532799952477603</v>
      </c>
      <c r="Q623" s="15">
        <v>76.330224523124201</v>
      </c>
    </row>
    <row r="624" spans="2:17" x14ac:dyDescent="0.3">
      <c r="B624" s="15" t="str">
        <f>MID(F624,4,3)</f>
        <v>CAC</v>
      </c>
      <c r="C624" s="15" t="s">
        <v>276</v>
      </c>
      <c r="D624" s="15" t="s">
        <v>370</v>
      </c>
      <c r="E624" s="15" t="s">
        <v>168</v>
      </c>
      <c r="F624" s="15" t="s">
        <v>371</v>
      </c>
      <c r="G624" s="15" t="s">
        <v>0</v>
      </c>
      <c r="H624" s="15">
        <v>22.831997843191001</v>
      </c>
      <c r="I624" s="15">
        <v>11.5356099059654</v>
      </c>
      <c r="J624" s="15">
        <v>10.346767114963299</v>
      </c>
      <c r="K624" s="15">
        <v>7.6106659477303502</v>
      </c>
    </row>
    <row r="625" spans="2:11" x14ac:dyDescent="0.3">
      <c r="B625" s="15" t="str">
        <f t="shared" ref="B625:B688" si="4">MID(F625,4,3)</f>
        <v>CAC</v>
      </c>
      <c r="C625" s="15" t="s">
        <v>276</v>
      </c>
      <c r="D625" s="15" t="s">
        <v>370</v>
      </c>
      <c r="E625" s="15" t="s">
        <v>168</v>
      </c>
      <c r="F625" s="15" t="s">
        <v>371</v>
      </c>
      <c r="G625" s="15" t="s">
        <v>1</v>
      </c>
      <c r="H625" s="15">
        <v>118.94404419576701</v>
      </c>
      <c r="I625" s="15">
        <v>110.10789426109901</v>
      </c>
      <c r="J625" s="15">
        <v>79.296029463844405</v>
      </c>
      <c r="K625" s="15">
        <v>39.648014731922203</v>
      </c>
    </row>
    <row r="626" spans="2:11" x14ac:dyDescent="0.3">
      <c r="B626" s="15" t="str">
        <f t="shared" si="4"/>
        <v>CAC</v>
      </c>
      <c r="C626" s="15" t="s">
        <v>276</v>
      </c>
      <c r="D626" s="15" t="s">
        <v>370</v>
      </c>
      <c r="E626" s="15" t="s">
        <v>168</v>
      </c>
      <c r="F626" s="15" t="s">
        <v>371</v>
      </c>
      <c r="G626" s="15" t="s">
        <v>2</v>
      </c>
      <c r="H626" s="15">
        <v>190.454010753213</v>
      </c>
      <c r="I626" s="15">
        <v>152.67575118844201</v>
      </c>
      <c r="J626" s="15">
        <v>126.969340502142</v>
      </c>
      <c r="K626" s="15">
        <v>63.484670251071002</v>
      </c>
    </row>
    <row r="627" spans="2:11" x14ac:dyDescent="0.3">
      <c r="B627" s="15" t="str">
        <f t="shared" si="4"/>
        <v>CAC</v>
      </c>
      <c r="C627" s="15" t="s">
        <v>276</v>
      </c>
      <c r="D627" s="15" t="s">
        <v>370</v>
      </c>
      <c r="E627" s="15" t="s">
        <v>168</v>
      </c>
      <c r="F627" s="15" t="s">
        <v>371</v>
      </c>
      <c r="G627" s="15" t="s">
        <v>3</v>
      </c>
      <c r="H627" s="15">
        <v>112.23663352871699</v>
      </c>
      <c r="I627" s="15">
        <v>81.120787370003399</v>
      </c>
      <c r="J627" s="15">
        <v>74.824422352477896</v>
      </c>
      <c r="K627" s="15">
        <v>37.412211176238898</v>
      </c>
    </row>
    <row r="628" spans="2:11" x14ac:dyDescent="0.3">
      <c r="B628" s="15" t="str">
        <f t="shared" si="4"/>
        <v>CAC</v>
      </c>
      <c r="C628" s="15" t="s">
        <v>276</v>
      </c>
      <c r="D628" s="15" t="s">
        <v>370</v>
      </c>
      <c r="E628" s="15" t="s">
        <v>168</v>
      </c>
      <c r="F628" s="15" t="s">
        <v>371</v>
      </c>
      <c r="G628" s="15" t="s">
        <v>4</v>
      </c>
      <c r="H628" s="15">
        <v>568.18061769061796</v>
      </c>
      <c r="I628" s="15">
        <v>366.23662196094301</v>
      </c>
      <c r="J628" s="15">
        <v>378.78707846041198</v>
      </c>
      <c r="K628" s="15">
        <v>189.39353923020599</v>
      </c>
    </row>
    <row r="629" spans="2:11" x14ac:dyDescent="0.3">
      <c r="B629" s="15" t="str">
        <f t="shared" si="4"/>
        <v>CAC</v>
      </c>
      <c r="C629" s="15" t="s">
        <v>276</v>
      </c>
      <c r="D629" s="15" t="s">
        <v>370</v>
      </c>
      <c r="E629" s="15" t="s">
        <v>168</v>
      </c>
      <c r="F629" s="15" t="s">
        <v>371</v>
      </c>
      <c r="G629" s="15" t="s">
        <v>5</v>
      </c>
      <c r="H629" s="15">
        <v>144.112962835888</v>
      </c>
      <c r="I629" s="15">
        <v>98.923147633265302</v>
      </c>
      <c r="J629" s="15">
        <v>96.075308557258495</v>
      </c>
      <c r="K629" s="15">
        <v>48.037654278629198</v>
      </c>
    </row>
    <row r="630" spans="2:11" x14ac:dyDescent="0.3">
      <c r="B630" s="15" t="str">
        <f t="shared" si="4"/>
        <v>CAC</v>
      </c>
      <c r="C630" s="15" t="s">
        <v>276</v>
      </c>
      <c r="D630" s="15" t="s">
        <v>370</v>
      </c>
      <c r="E630" s="15" t="s">
        <v>168</v>
      </c>
      <c r="F630" s="15" t="s">
        <v>371</v>
      </c>
      <c r="G630" s="15" t="s">
        <v>6</v>
      </c>
      <c r="H630" s="15">
        <v>549.33429513998703</v>
      </c>
      <c r="I630" s="15">
        <v>397.05518802049897</v>
      </c>
      <c r="J630" s="15">
        <v>366.22286342665802</v>
      </c>
      <c r="K630" s="15">
        <v>183.11143171332901</v>
      </c>
    </row>
    <row r="631" spans="2:11" x14ac:dyDescent="0.3">
      <c r="B631" s="15" t="str">
        <f t="shared" si="4"/>
        <v>CAC</v>
      </c>
      <c r="C631" s="15" t="s">
        <v>276</v>
      </c>
      <c r="D631" s="15" t="s">
        <v>370</v>
      </c>
      <c r="E631" s="15" t="s">
        <v>168</v>
      </c>
      <c r="F631" s="15" t="s">
        <v>371</v>
      </c>
      <c r="G631" s="15" t="s">
        <v>7</v>
      </c>
      <c r="H631" s="15">
        <v>174.924299877295</v>
      </c>
      <c r="I631" s="15">
        <v>117.202004918065</v>
      </c>
      <c r="J631" s="15">
        <v>116.616199918197</v>
      </c>
      <c r="K631" s="15">
        <v>58.308099959098499</v>
      </c>
    </row>
    <row r="632" spans="2:11" x14ac:dyDescent="0.3">
      <c r="B632" s="15" t="str">
        <f t="shared" si="4"/>
        <v>CAC</v>
      </c>
      <c r="C632" s="15" t="s">
        <v>276</v>
      </c>
      <c r="D632" s="15" t="s">
        <v>370</v>
      </c>
      <c r="E632" s="15" t="s">
        <v>168</v>
      </c>
      <c r="F632" s="15" t="s">
        <v>371</v>
      </c>
      <c r="G632" s="15" t="s">
        <v>8</v>
      </c>
      <c r="H632" s="15">
        <v>190.73979430023101</v>
      </c>
      <c r="I632" s="15">
        <v>121.35811026322899</v>
      </c>
      <c r="J632" s="15">
        <v>127.159862866821</v>
      </c>
      <c r="K632" s="15">
        <v>63.579931433410501</v>
      </c>
    </row>
    <row r="633" spans="2:11" x14ac:dyDescent="0.3">
      <c r="B633" s="15" t="str">
        <f t="shared" si="4"/>
        <v>EHP</v>
      </c>
      <c r="C633" s="15" t="s">
        <v>276</v>
      </c>
      <c r="D633" s="15" t="s">
        <v>370</v>
      </c>
      <c r="E633" s="15" t="s">
        <v>168</v>
      </c>
      <c r="F633" s="15" t="s">
        <v>372</v>
      </c>
      <c r="G633" s="15" t="s">
        <v>0</v>
      </c>
      <c r="H633" s="15">
        <v>0.107725453478067</v>
      </c>
      <c r="I633" s="15">
        <v>0.10054375657952901</v>
      </c>
      <c r="J633" s="15">
        <v>7.1816968985377705E-2</v>
      </c>
      <c r="K633" s="15">
        <v>3.5908484492688901E-2</v>
      </c>
    </row>
    <row r="634" spans="2:11" x14ac:dyDescent="0.3">
      <c r="B634" s="15" t="str">
        <f t="shared" si="4"/>
        <v>EHP</v>
      </c>
      <c r="C634" s="15" t="s">
        <v>276</v>
      </c>
      <c r="D634" s="15" t="s">
        <v>370</v>
      </c>
      <c r="E634" s="15" t="s">
        <v>168</v>
      </c>
      <c r="F634" s="15" t="s">
        <v>372</v>
      </c>
      <c r="G634" s="15" t="s">
        <v>1</v>
      </c>
      <c r="H634" s="15">
        <v>5.2017539687147201</v>
      </c>
      <c r="I634" s="15">
        <v>4.8549703708004097</v>
      </c>
      <c r="J634" s="15">
        <v>3.4678359791431501</v>
      </c>
      <c r="K634" s="15">
        <v>1.73391798957157</v>
      </c>
    </row>
    <row r="635" spans="2:11" x14ac:dyDescent="0.3">
      <c r="B635" s="15" t="str">
        <f t="shared" si="4"/>
        <v>EHP</v>
      </c>
      <c r="C635" s="15" t="s">
        <v>276</v>
      </c>
      <c r="D635" s="15" t="s">
        <v>370</v>
      </c>
      <c r="E635" s="15" t="s">
        <v>168</v>
      </c>
      <c r="F635" s="15" t="s">
        <v>372</v>
      </c>
      <c r="G635" s="15" t="s">
        <v>2</v>
      </c>
      <c r="H635" s="15">
        <v>3.8174100678105298</v>
      </c>
      <c r="I635" s="15">
        <v>3.5629160632898298</v>
      </c>
      <c r="J635" s="15">
        <v>2.5449400452070199</v>
      </c>
      <c r="K635" s="15">
        <v>1.2724700226035099</v>
      </c>
    </row>
    <row r="636" spans="2:11" x14ac:dyDescent="0.3">
      <c r="B636" s="15" t="str">
        <f t="shared" si="4"/>
        <v>EHP</v>
      </c>
      <c r="C636" s="15" t="s">
        <v>276</v>
      </c>
      <c r="D636" s="15" t="s">
        <v>370</v>
      </c>
      <c r="E636" s="15" t="s">
        <v>168</v>
      </c>
      <c r="F636" s="15" t="s">
        <v>372</v>
      </c>
      <c r="G636" s="15" t="s">
        <v>3</v>
      </c>
      <c r="H636" s="15">
        <v>2.9574579824492502</v>
      </c>
      <c r="I636" s="15">
        <v>2.76029411695264</v>
      </c>
      <c r="J636" s="15">
        <v>1.97163865496617</v>
      </c>
      <c r="K636" s="15">
        <v>0.98581932748308498</v>
      </c>
    </row>
    <row r="637" spans="2:11" x14ac:dyDescent="0.3">
      <c r="B637" s="15" t="str">
        <f t="shared" si="4"/>
        <v>EHP</v>
      </c>
      <c r="C637" s="15" t="s">
        <v>276</v>
      </c>
      <c r="D637" s="15" t="s">
        <v>370</v>
      </c>
      <c r="E637" s="15" t="s">
        <v>168</v>
      </c>
      <c r="F637" s="15" t="s">
        <v>372</v>
      </c>
      <c r="G637" s="15" t="s">
        <v>4</v>
      </c>
      <c r="H637" s="15">
        <v>250.99405054818899</v>
      </c>
      <c r="I637" s="15">
        <v>234.26111384497599</v>
      </c>
      <c r="J637" s="15">
        <v>167.32936703212599</v>
      </c>
      <c r="K637" s="15">
        <v>83.664683516062993</v>
      </c>
    </row>
    <row r="638" spans="2:11" x14ac:dyDescent="0.3">
      <c r="B638" s="15" t="str">
        <f t="shared" si="4"/>
        <v>EHP</v>
      </c>
      <c r="C638" s="15" t="s">
        <v>276</v>
      </c>
      <c r="D638" s="15" t="s">
        <v>370</v>
      </c>
      <c r="E638" s="15" t="s">
        <v>168</v>
      </c>
      <c r="F638" s="15" t="s">
        <v>372</v>
      </c>
      <c r="G638" s="15" t="s">
        <v>5</v>
      </c>
      <c r="H638" s="15">
        <v>40.728894033095997</v>
      </c>
      <c r="I638" s="15">
        <v>38.013634430889603</v>
      </c>
      <c r="J638" s="15">
        <v>27.152596022063999</v>
      </c>
      <c r="K638" s="15">
        <v>13.576298011032</v>
      </c>
    </row>
    <row r="639" spans="2:11" x14ac:dyDescent="0.3">
      <c r="B639" s="15" t="str">
        <f t="shared" si="4"/>
        <v>EHP</v>
      </c>
      <c r="C639" s="15" t="s">
        <v>276</v>
      </c>
      <c r="D639" s="15" t="s">
        <v>370</v>
      </c>
      <c r="E639" s="15" t="s">
        <v>168</v>
      </c>
      <c r="F639" s="15" t="s">
        <v>372</v>
      </c>
      <c r="G639" s="15" t="s">
        <v>6</v>
      </c>
      <c r="H639" s="15">
        <v>25.980747673204799</v>
      </c>
      <c r="I639" s="15">
        <v>24.248697828324499</v>
      </c>
      <c r="J639" s="15">
        <v>17.3204984488032</v>
      </c>
      <c r="K639" s="15">
        <v>8.6602492244015998</v>
      </c>
    </row>
    <row r="640" spans="2:11" x14ac:dyDescent="0.3">
      <c r="B640" s="15" t="str">
        <f t="shared" si="4"/>
        <v>EHP</v>
      </c>
      <c r="C640" s="15" t="s">
        <v>276</v>
      </c>
      <c r="D640" s="15" t="s">
        <v>370</v>
      </c>
      <c r="E640" s="15" t="s">
        <v>168</v>
      </c>
      <c r="F640" s="15" t="s">
        <v>372</v>
      </c>
      <c r="G640" s="15" t="s">
        <v>7</v>
      </c>
      <c r="H640" s="15">
        <v>30.0303261679176</v>
      </c>
      <c r="I640" s="15">
        <v>28.028304423389802</v>
      </c>
      <c r="J640" s="15">
        <v>20.020217445278401</v>
      </c>
      <c r="K640" s="15">
        <v>10.010108722639201</v>
      </c>
    </row>
    <row r="641" spans="2:17" x14ac:dyDescent="0.3">
      <c r="B641" s="15" t="str">
        <f t="shared" si="4"/>
        <v>EHP</v>
      </c>
      <c r="C641" s="15" t="s">
        <v>276</v>
      </c>
      <c r="D641" s="15" t="s">
        <v>370</v>
      </c>
      <c r="E641" s="15" t="s">
        <v>168</v>
      </c>
      <c r="F641" s="15" t="s">
        <v>372</v>
      </c>
      <c r="G641" s="15" t="s">
        <v>8</v>
      </c>
      <c r="H641" s="15">
        <v>16.423968128103599</v>
      </c>
      <c r="I641" s="15">
        <v>15.3290369195634</v>
      </c>
      <c r="J641" s="15">
        <v>10.949312085402401</v>
      </c>
      <c r="K641" s="15">
        <v>5.4746560427012003</v>
      </c>
    </row>
    <row r="642" spans="2:17" x14ac:dyDescent="0.3">
      <c r="B642" s="15" t="str">
        <f t="shared" si="4"/>
        <v>EHP</v>
      </c>
      <c r="C642" s="15" t="s">
        <v>276</v>
      </c>
      <c r="D642" s="15" t="s">
        <v>370</v>
      </c>
      <c r="E642" s="15" t="s">
        <v>168</v>
      </c>
      <c r="F642" s="15" t="s">
        <v>373</v>
      </c>
      <c r="G642" s="15" t="s">
        <v>0</v>
      </c>
      <c r="L642" s="15">
        <v>24.738894671771799</v>
      </c>
      <c r="M642" s="15">
        <v>24.738894671771799</v>
      </c>
      <c r="N642" s="15">
        <v>24.738894671771799</v>
      </c>
    </row>
    <row r="643" spans="2:17" x14ac:dyDescent="0.3">
      <c r="B643" s="15" t="str">
        <f t="shared" si="4"/>
        <v>EHP</v>
      </c>
      <c r="C643" s="15" t="s">
        <v>276</v>
      </c>
      <c r="D643" s="15" t="s">
        <v>370</v>
      </c>
      <c r="E643" s="15" t="s">
        <v>168</v>
      </c>
      <c r="F643" s="15" t="s">
        <v>373</v>
      </c>
      <c r="G643" s="15" t="s">
        <v>1</v>
      </c>
      <c r="K643" s="15">
        <v>61.293740827168399</v>
      </c>
      <c r="L643" s="15">
        <v>143.60226005985879</v>
      </c>
      <c r="M643" s="15">
        <v>143.60226005985879</v>
      </c>
      <c r="N643" s="15">
        <v>82.308519232690401</v>
      </c>
    </row>
    <row r="644" spans="2:17" x14ac:dyDescent="0.3">
      <c r="B644" s="15" t="str">
        <f t="shared" si="4"/>
        <v>EHP</v>
      </c>
      <c r="C644" s="15" t="s">
        <v>276</v>
      </c>
      <c r="D644" s="15" t="s">
        <v>370</v>
      </c>
      <c r="E644" s="15" t="s">
        <v>168</v>
      </c>
      <c r="F644" s="15" t="s">
        <v>373</v>
      </c>
      <c r="G644" s="15" t="s">
        <v>2</v>
      </c>
      <c r="I644" s="15">
        <v>74.658710328269507</v>
      </c>
      <c r="J644" s="15">
        <v>74.658710328269507</v>
      </c>
      <c r="K644" s="15">
        <v>138.48049724720281</v>
      </c>
      <c r="L644" s="15">
        <v>215.84176481555738</v>
      </c>
      <c r="M644" s="15">
        <v>221.61010752687238</v>
      </c>
      <c r="N644" s="15">
        <v>228.10637927762241</v>
      </c>
      <c r="O644" s="15">
        <v>236.61323219265438</v>
      </c>
      <c r="P644" s="15">
        <v>244.25048689377741</v>
      </c>
      <c r="Q644" s="15">
        <v>250.24074679778241</v>
      </c>
    </row>
    <row r="645" spans="2:17" x14ac:dyDescent="0.3">
      <c r="B645" s="15" t="str">
        <f t="shared" si="4"/>
        <v>EHP</v>
      </c>
      <c r="C645" s="15" t="s">
        <v>276</v>
      </c>
      <c r="D645" s="15" t="s">
        <v>370</v>
      </c>
      <c r="E645" s="15" t="s">
        <v>168</v>
      </c>
      <c r="F645" s="15" t="s">
        <v>373</v>
      </c>
      <c r="G645" s="15" t="s">
        <v>3</v>
      </c>
      <c r="I645" s="15">
        <v>42.233281870506602</v>
      </c>
      <c r="J645" s="15">
        <v>42.233281870506602</v>
      </c>
      <c r="K645" s="15">
        <v>76.484837397231402</v>
      </c>
      <c r="L645" s="15">
        <v>123.54435107908</v>
      </c>
      <c r="M645" s="15">
        <v>127.646883928907</v>
      </c>
      <c r="N645" s="15">
        <v>132.64400069081802</v>
      </c>
      <c r="O645" s="15">
        <v>138.92929195938808</v>
      </c>
      <c r="P645" s="15">
        <v>145.21143738514411</v>
      </c>
      <c r="Q645" s="15">
        <v>150.44253223657009</v>
      </c>
    </row>
    <row r="646" spans="2:17" x14ac:dyDescent="0.3">
      <c r="B646" s="15" t="str">
        <f t="shared" si="4"/>
        <v>EHP</v>
      </c>
      <c r="C646" s="15" t="s">
        <v>276</v>
      </c>
      <c r="D646" s="15" t="s">
        <v>370</v>
      </c>
      <c r="E646" s="15" t="s">
        <v>168</v>
      </c>
      <c r="F646" s="15" t="s">
        <v>373</v>
      </c>
      <c r="G646" s="15" t="s">
        <v>4</v>
      </c>
      <c r="I646" s="15">
        <v>300.17010052619702</v>
      </c>
      <c r="J646" s="15">
        <v>300.17010052619702</v>
      </c>
      <c r="K646" s="15">
        <v>545.31126023425895</v>
      </c>
      <c r="L646" s="15">
        <v>433.94865270660102</v>
      </c>
      <c r="M646" s="15">
        <v>245.14115970806199</v>
      </c>
    </row>
    <row r="647" spans="2:17" x14ac:dyDescent="0.3">
      <c r="B647" s="15" t="str">
        <f t="shared" si="4"/>
        <v>EHP</v>
      </c>
      <c r="C647" s="15" t="s">
        <v>276</v>
      </c>
      <c r="D647" s="15" t="s">
        <v>370</v>
      </c>
      <c r="E647" s="15" t="s">
        <v>168</v>
      </c>
      <c r="F647" s="15" t="s">
        <v>373</v>
      </c>
      <c r="G647" s="15" t="s">
        <v>5</v>
      </c>
      <c r="I647" s="15">
        <v>65.616204795505098</v>
      </c>
      <c r="J647" s="15">
        <v>65.616204795505098</v>
      </c>
      <c r="K647" s="15">
        <v>119.1340688499421</v>
      </c>
      <c r="L647" s="15">
        <v>195.56541973433417</v>
      </c>
      <c r="M647" s="15">
        <v>203.41714015301019</v>
      </c>
      <c r="N647" s="15">
        <v>212.38271263733819</v>
      </c>
      <c r="O647" s="15">
        <v>223.40466422263319</v>
      </c>
      <c r="P647" s="15">
        <v>234.37038685717818</v>
      </c>
      <c r="Q647" s="15">
        <v>244.75640799739318</v>
      </c>
    </row>
    <row r="648" spans="2:17" x14ac:dyDescent="0.3">
      <c r="B648" s="15" t="str">
        <f t="shared" si="4"/>
        <v>EHP</v>
      </c>
      <c r="C648" s="15" t="s">
        <v>276</v>
      </c>
      <c r="D648" s="15" t="s">
        <v>370</v>
      </c>
      <c r="E648" s="15" t="s">
        <v>168</v>
      </c>
      <c r="F648" s="15" t="s">
        <v>373</v>
      </c>
      <c r="G648" s="15" t="s">
        <v>6</v>
      </c>
      <c r="I648" s="15">
        <v>242.340962544626</v>
      </c>
      <c r="J648" s="15">
        <v>242.340962544626</v>
      </c>
      <c r="K648" s="15">
        <v>443.73629053026599</v>
      </c>
      <c r="L648" s="15">
        <v>710.59847627133809</v>
      </c>
      <c r="M648" s="15">
        <v>563.2516516375415</v>
      </c>
      <c r="N648" s="15">
        <v>625.19535280178843</v>
      </c>
      <c r="O648" s="15">
        <v>268.42507344172242</v>
      </c>
      <c r="P648" s="15">
        <v>263.33902914988698</v>
      </c>
    </row>
    <row r="649" spans="2:17" x14ac:dyDescent="0.3">
      <c r="B649" s="15" t="str">
        <f t="shared" si="4"/>
        <v>EHP</v>
      </c>
      <c r="C649" s="15" t="s">
        <v>276</v>
      </c>
      <c r="D649" s="15" t="s">
        <v>370</v>
      </c>
      <c r="E649" s="15" t="s">
        <v>168</v>
      </c>
      <c r="F649" s="15" t="s">
        <v>373</v>
      </c>
      <c r="G649" s="15" t="s">
        <v>7</v>
      </c>
      <c r="I649" s="15">
        <v>74.636256260050004</v>
      </c>
      <c r="J649" s="15">
        <v>74.636256260050004</v>
      </c>
      <c r="K649" s="15">
        <v>139.9826099289096</v>
      </c>
      <c r="L649" s="15">
        <v>235.23835146230482</v>
      </c>
      <c r="M649" s="15">
        <v>256.16522259369981</v>
      </c>
      <c r="N649" s="15">
        <v>280.34135277701381</v>
      </c>
      <c r="O649" s="15">
        <v>309.28355988905184</v>
      </c>
      <c r="P649" s="15">
        <v>339.95868945561472</v>
      </c>
      <c r="Q649" s="15">
        <v>371.45324896172411</v>
      </c>
    </row>
    <row r="650" spans="2:17" x14ac:dyDescent="0.3">
      <c r="B650" s="15" t="str">
        <f t="shared" si="4"/>
        <v>EHP</v>
      </c>
      <c r="C650" s="15" t="s">
        <v>276</v>
      </c>
      <c r="D650" s="15" t="s">
        <v>370</v>
      </c>
      <c r="E650" s="15" t="s">
        <v>168</v>
      </c>
      <c r="F650" s="15" t="s">
        <v>373</v>
      </c>
      <c r="G650" s="15" t="s">
        <v>8</v>
      </c>
      <c r="M650" s="15">
        <v>87.810049968476605</v>
      </c>
      <c r="N650" s="15">
        <v>171.34956171919211</v>
      </c>
      <c r="O650" s="15">
        <v>331.74285794643112</v>
      </c>
      <c r="P650" s="15">
        <v>357.3582450615375</v>
      </c>
      <c r="Q650" s="15">
        <v>381.97295853908906</v>
      </c>
    </row>
    <row r="651" spans="2:17" x14ac:dyDescent="0.3">
      <c r="B651" s="15" t="str">
        <f t="shared" si="4"/>
        <v>EHP</v>
      </c>
      <c r="C651" s="15" t="s">
        <v>276</v>
      </c>
      <c r="D651" s="15" t="s">
        <v>370</v>
      </c>
      <c r="E651" s="15" t="s">
        <v>168</v>
      </c>
      <c r="F651" s="15" t="s">
        <v>374</v>
      </c>
      <c r="G651" s="15" t="s">
        <v>0</v>
      </c>
      <c r="I651" s="15">
        <v>36.178628737011103</v>
      </c>
      <c r="J651" s="15">
        <v>36.178628737011103</v>
      </c>
      <c r="K651" s="15">
        <v>36.178628737011103</v>
      </c>
      <c r="L651" s="15">
        <v>22.756417711109801</v>
      </c>
      <c r="M651" s="15">
        <v>25.016951287746299</v>
      </c>
      <c r="N651" s="15">
        <v>27.450891246290599</v>
      </c>
      <c r="O651" s="15">
        <v>54.903399664731296</v>
      </c>
      <c r="P651" s="15">
        <v>57.557150034898896</v>
      </c>
      <c r="Q651" s="15">
        <v>59.971297276357696</v>
      </c>
    </row>
    <row r="652" spans="2:17" x14ac:dyDescent="0.3">
      <c r="B652" s="15" t="str">
        <f t="shared" si="4"/>
        <v>EHP</v>
      </c>
      <c r="C652" s="15" t="s">
        <v>276</v>
      </c>
      <c r="D652" s="15" t="s">
        <v>370</v>
      </c>
      <c r="E652" s="15" t="s">
        <v>168</v>
      </c>
      <c r="F652" s="15" t="s">
        <v>374</v>
      </c>
      <c r="G652" s="15" t="s">
        <v>1</v>
      </c>
      <c r="I652" s="15">
        <v>73.5742971381828</v>
      </c>
      <c r="J652" s="15">
        <v>73.5742971381828</v>
      </c>
      <c r="K652" s="15">
        <v>73.5742971381828</v>
      </c>
      <c r="L652" s="15">
        <v>46.278355397284102</v>
      </c>
      <c r="M652" s="15">
        <v>53.400907766088203</v>
      </c>
      <c r="N652" s="15">
        <v>122.6281609056646</v>
      </c>
      <c r="O652" s="15">
        <v>214.68812473612002</v>
      </c>
      <c r="P652" s="15">
        <v>223.59568235855602</v>
      </c>
      <c r="Q652" s="15">
        <v>231.53506009376309</v>
      </c>
    </row>
    <row r="653" spans="2:17" x14ac:dyDescent="0.3">
      <c r="B653" s="15" t="str">
        <f t="shared" si="4"/>
        <v>EHP</v>
      </c>
      <c r="C653" s="15" t="s">
        <v>276</v>
      </c>
      <c r="D653" s="15" t="s">
        <v>370</v>
      </c>
      <c r="E653" s="15" t="s">
        <v>168</v>
      </c>
      <c r="F653" s="15" t="s">
        <v>374</v>
      </c>
      <c r="G653" s="15" t="s">
        <v>4</v>
      </c>
      <c r="L653" s="15">
        <v>472.42398232549402</v>
      </c>
      <c r="M653" s="15">
        <v>723.74310691866708</v>
      </c>
      <c r="N653" s="15">
        <v>1039.9464450007802</v>
      </c>
      <c r="O653" s="15">
        <v>1124.1560130150301</v>
      </c>
      <c r="P653" s="15">
        <v>1212.2521223155002</v>
      </c>
      <c r="Q653" s="15">
        <v>1295.55222228909</v>
      </c>
    </row>
    <row r="654" spans="2:17" x14ac:dyDescent="0.3">
      <c r="B654" s="15" t="str">
        <f t="shared" si="4"/>
        <v>EHP</v>
      </c>
      <c r="C654" s="15" t="s">
        <v>276</v>
      </c>
      <c r="D654" s="15" t="s">
        <v>370</v>
      </c>
      <c r="E654" s="15" t="s">
        <v>168</v>
      </c>
      <c r="F654" s="15" t="s">
        <v>374</v>
      </c>
      <c r="G654" s="15" t="s">
        <v>6</v>
      </c>
      <c r="M654" s="15">
        <v>202.507769862229</v>
      </c>
      <c r="N654" s="15">
        <v>202.507769862229</v>
      </c>
      <c r="O654" s="15">
        <v>632.40354481743907</v>
      </c>
      <c r="P654" s="15">
        <v>713.61467368065996</v>
      </c>
      <c r="Q654" s="15">
        <v>1051.6212572972699</v>
      </c>
    </row>
    <row r="655" spans="2:17" x14ac:dyDescent="0.3">
      <c r="B655" s="15" t="str">
        <f t="shared" si="4"/>
        <v>EHP</v>
      </c>
      <c r="C655" s="15" t="s">
        <v>276</v>
      </c>
      <c r="D655" s="15" t="s">
        <v>370</v>
      </c>
      <c r="E655" s="15" t="s">
        <v>168</v>
      </c>
      <c r="F655" s="15" t="s">
        <v>374</v>
      </c>
      <c r="G655" s="15" t="s">
        <v>8</v>
      </c>
      <c r="I655" s="15">
        <v>110.472514402269</v>
      </c>
      <c r="J655" s="15">
        <v>110.472514402269</v>
      </c>
      <c r="K655" s="15">
        <v>173.3347929614805</v>
      </c>
      <c r="L655" s="15">
        <v>268.34039178207911</v>
      </c>
      <c r="M655" s="15">
        <v>198.85299629207748</v>
      </c>
      <c r="N655" s="15">
        <v>135.99071773286599</v>
      </c>
    </row>
    <row r="656" spans="2:17" x14ac:dyDescent="0.3">
      <c r="B656" s="15" t="str">
        <f t="shared" si="4"/>
        <v>GHP</v>
      </c>
      <c r="C656" s="15" t="s">
        <v>276</v>
      </c>
      <c r="D656" s="15" t="s">
        <v>370</v>
      </c>
      <c r="E656" s="15" t="s">
        <v>168</v>
      </c>
      <c r="F656" s="15" t="s">
        <v>375</v>
      </c>
      <c r="G656" s="15" t="s">
        <v>0</v>
      </c>
      <c r="H656" s="15">
        <v>0.15516520776804299</v>
      </c>
      <c r="I656" s="15">
        <v>0.14482086058350699</v>
      </c>
      <c r="J656" s="15">
        <v>0.103443471845362</v>
      </c>
      <c r="K656" s="15">
        <v>5.1721735922680999E-2</v>
      </c>
    </row>
    <row r="657" spans="2:11" x14ac:dyDescent="0.3">
      <c r="B657" s="15" t="str">
        <f t="shared" si="4"/>
        <v>GHP</v>
      </c>
      <c r="C657" s="15" t="s">
        <v>276</v>
      </c>
      <c r="D657" s="15" t="s">
        <v>370</v>
      </c>
      <c r="E657" s="15" t="s">
        <v>168</v>
      </c>
      <c r="F657" s="15" t="s">
        <v>375</v>
      </c>
      <c r="G657" s="15" t="s">
        <v>1</v>
      </c>
      <c r="H657" s="15">
        <v>1.9872554128050799</v>
      </c>
      <c r="I657" s="15">
        <v>1.8547717186180701</v>
      </c>
      <c r="J657" s="15">
        <v>1.3248369418700501</v>
      </c>
      <c r="K657" s="15">
        <v>0.66241847093502504</v>
      </c>
    </row>
    <row r="658" spans="2:11" x14ac:dyDescent="0.3">
      <c r="B658" s="15" t="str">
        <f t="shared" si="4"/>
        <v>GHP</v>
      </c>
      <c r="C658" s="15" t="s">
        <v>276</v>
      </c>
      <c r="D658" s="15" t="s">
        <v>370</v>
      </c>
      <c r="E658" s="15" t="s">
        <v>168</v>
      </c>
      <c r="F658" s="15" t="s">
        <v>375</v>
      </c>
      <c r="G658" s="15" t="s">
        <v>2</v>
      </c>
      <c r="H658" s="15">
        <v>1.96204430868214</v>
      </c>
      <c r="I658" s="15">
        <v>1.8312413547699999</v>
      </c>
      <c r="J658" s="15">
        <v>1.3080295391214301</v>
      </c>
      <c r="K658" s="15">
        <v>0.65401476956071503</v>
      </c>
    </row>
    <row r="659" spans="2:11" x14ac:dyDescent="0.3">
      <c r="B659" s="15" t="str">
        <f t="shared" si="4"/>
        <v>GHP</v>
      </c>
      <c r="C659" s="15" t="s">
        <v>276</v>
      </c>
      <c r="D659" s="15" t="s">
        <v>370</v>
      </c>
      <c r="E659" s="15" t="s">
        <v>168</v>
      </c>
      <c r="F659" s="15" t="s">
        <v>375</v>
      </c>
      <c r="G659" s="15" t="s">
        <v>3</v>
      </c>
      <c r="H659" s="15">
        <v>2.4254896466778999</v>
      </c>
      <c r="I659" s="15">
        <v>2.2637903368993801</v>
      </c>
      <c r="J659" s="15">
        <v>1.61699309778527</v>
      </c>
      <c r="K659" s="15">
        <v>0.808496548892635</v>
      </c>
    </row>
    <row r="660" spans="2:11" x14ac:dyDescent="0.3">
      <c r="B660" s="15" t="str">
        <f t="shared" si="4"/>
        <v>GHP</v>
      </c>
      <c r="C660" s="15" t="s">
        <v>276</v>
      </c>
      <c r="D660" s="15" t="s">
        <v>370</v>
      </c>
      <c r="E660" s="15" t="s">
        <v>168</v>
      </c>
      <c r="F660" s="15" t="s">
        <v>375</v>
      </c>
      <c r="G660" s="15" t="s">
        <v>4</v>
      </c>
      <c r="H660" s="15">
        <v>4.49536291914219</v>
      </c>
      <c r="I660" s="15">
        <v>4.19567205786604</v>
      </c>
      <c r="J660" s="15">
        <v>2.9969086127614601</v>
      </c>
      <c r="K660" s="15">
        <v>1.4984543063807301</v>
      </c>
    </row>
    <row r="661" spans="2:11" x14ac:dyDescent="0.3">
      <c r="B661" s="15" t="str">
        <f t="shared" si="4"/>
        <v>GHP</v>
      </c>
      <c r="C661" s="15" t="s">
        <v>276</v>
      </c>
      <c r="D661" s="15" t="s">
        <v>370</v>
      </c>
      <c r="E661" s="15" t="s">
        <v>168</v>
      </c>
      <c r="F661" s="15" t="s">
        <v>375</v>
      </c>
      <c r="G661" s="15" t="s">
        <v>5</v>
      </c>
      <c r="H661" s="15">
        <v>3.73188703657395</v>
      </c>
      <c r="I661" s="15">
        <v>3.4830945674690201</v>
      </c>
      <c r="J661" s="15">
        <v>2.4879246910493</v>
      </c>
      <c r="K661" s="15">
        <v>1.24396234552465</v>
      </c>
    </row>
    <row r="662" spans="2:11" x14ac:dyDescent="0.3">
      <c r="B662" s="15" t="str">
        <f t="shared" si="4"/>
        <v>GHP</v>
      </c>
      <c r="C662" s="15" t="s">
        <v>276</v>
      </c>
      <c r="D662" s="15" t="s">
        <v>370</v>
      </c>
      <c r="E662" s="15" t="s">
        <v>168</v>
      </c>
      <c r="F662" s="15" t="s">
        <v>375</v>
      </c>
      <c r="G662" s="15" t="s">
        <v>6</v>
      </c>
      <c r="H662" s="15">
        <v>4.6194964251046899</v>
      </c>
      <c r="I662" s="15">
        <v>4.3115299967643796</v>
      </c>
      <c r="J662" s="15">
        <v>3.07966428340313</v>
      </c>
      <c r="K662" s="15">
        <v>1.5398321417015699</v>
      </c>
    </row>
    <row r="663" spans="2:11" x14ac:dyDescent="0.3">
      <c r="B663" s="15" t="str">
        <f t="shared" si="4"/>
        <v>GHP</v>
      </c>
      <c r="C663" s="15" t="s">
        <v>276</v>
      </c>
      <c r="D663" s="15" t="s">
        <v>370</v>
      </c>
      <c r="E663" s="15" t="s">
        <v>168</v>
      </c>
      <c r="F663" s="15" t="s">
        <v>375</v>
      </c>
      <c r="G663" s="15" t="s">
        <v>7</v>
      </c>
      <c r="H663" s="15">
        <v>2.0375110421302498</v>
      </c>
      <c r="I663" s="15">
        <v>1.9016769726549001</v>
      </c>
      <c r="J663" s="15">
        <v>1.3583406947534999</v>
      </c>
      <c r="K663" s="15">
        <v>0.67917034737674997</v>
      </c>
    </row>
    <row r="664" spans="2:11" x14ac:dyDescent="0.3">
      <c r="B664" s="15" t="str">
        <f t="shared" si="4"/>
        <v>GHP</v>
      </c>
      <c r="C664" s="15" t="s">
        <v>276</v>
      </c>
      <c r="D664" s="15" t="s">
        <v>370</v>
      </c>
      <c r="E664" s="15" t="s">
        <v>168</v>
      </c>
      <c r="F664" s="15" t="s">
        <v>375</v>
      </c>
      <c r="G664" s="15" t="s">
        <v>8</v>
      </c>
      <c r="H664" s="15">
        <v>0.94156416941021404</v>
      </c>
      <c r="I664" s="15">
        <v>0.87879322478286603</v>
      </c>
      <c r="J664" s="15">
        <v>0.62770944627347602</v>
      </c>
      <c r="K664" s="15">
        <v>0.31385472313673801</v>
      </c>
    </row>
    <row r="665" spans="2:11" x14ac:dyDescent="0.3">
      <c r="B665" s="15" t="str">
        <f t="shared" si="4"/>
        <v>NHP</v>
      </c>
      <c r="C665" s="15" t="s">
        <v>276</v>
      </c>
      <c r="D665" s="15" t="s">
        <v>370</v>
      </c>
      <c r="E665" s="15" t="s">
        <v>168</v>
      </c>
      <c r="F665" s="15" t="s">
        <v>377</v>
      </c>
      <c r="G665" s="15" t="s">
        <v>1</v>
      </c>
      <c r="H665" s="15">
        <v>0.43623184837289902</v>
      </c>
    </row>
    <row r="666" spans="2:11" x14ac:dyDescent="0.3">
      <c r="B666" s="15" t="str">
        <f t="shared" si="4"/>
        <v>NHP</v>
      </c>
      <c r="C666" s="15" t="s">
        <v>276</v>
      </c>
      <c r="D666" s="15" t="s">
        <v>370</v>
      </c>
      <c r="E666" s="15" t="s">
        <v>168</v>
      </c>
      <c r="F666" s="15" t="s">
        <v>377</v>
      </c>
      <c r="G666" s="15" t="s">
        <v>2</v>
      </c>
      <c r="H666" s="15">
        <v>0.18790742829318999</v>
      </c>
    </row>
    <row r="667" spans="2:11" x14ac:dyDescent="0.3">
      <c r="B667" s="15" t="str">
        <f t="shared" si="4"/>
        <v>NHP</v>
      </c>
      <c r="C667" s="15" t="s">
        <v>276</v>
      </c>
      <c r="D667" s="15" t="s">
        <v>370</v>
      </c>
      <c r="E667" s="15" t="s">
        <v>168</v>
      </c>
      <c r="F667" s="15" t="s">
        <v>377</v>
      </c>
      <c r="G667" s="15" t="s">
        <v>3</v>
      </c>
      <c r="H667" s="15">
        <v>0.66727214509108601</v>
      </c>
    </row>
    <row r="668" spans="2:11" x14ac:dyDescent="0.3">
      <c r="B668" s="15" t="str">
        <f t="shared" si="4"/>
        <v>NHP</v>
      </c>
      <c r="C668" s="15" t="s">
        <v>276</v>
      </c>
      <c r="D668" s="15" t="s">
        <v>370</v>
      </c>
      <c r="E668" s="15" t="s">
        <v>168</v>
      </c>
      <c r="F668" s="15" t="s">
        <v>377</v>
      </c>
      <c r="G668" s="15" t="s">
        <v>4</v>
      </c>
      <c r="H668" s="15">
        <v>6.2714220483191703</v>
      </c>
    </row>
    <row r="669" spans="2:11" x14ac:dyDescent="0.3">
      <c r="B669" s="15" t="str">
        <f t="shared" si="4"/>
        <v>NHP</v>
      </c>
      <c r="C669" s="15" t="s">
        <v>276</v>
      </c>
      <c r="D669" s="15" t="s">
        <v>370</v>
      </c>
      <c r="E669" s="15" t="s">
        <v>168</v>
      </c>
      <c r="F669" s="15" t="s">
        <v>377</v>
      </c>
      <c r="G669" s="15" t="s">
        <v>5</v>
      </c>
      <c r="H669" s="15">
        <v>1.49526323098223</v>
      </c>
    </row>
    <row r="670" spans="2:11" x14ac:dyDescent="0.3">
      <c r="B670" s="15" t="str">
        <f t="shared" si="4"/>
        <v>NHP</v>
      </c>
      <c r="C670" s="15" t="s">
        <v>276</v>
      </c>
      <c r="D670" s="15" t="s">
        <v>370</v>
      </c>
      <c r="E670" s="15" t="s">
        <v>168</v>
      </c>
      <c r="F670" s="15" t="s">
        <v>377</v>
      </c>
      <c r="G670" s="15" t="s">
        <v>6</v>
      </c>
      <c r="H670" s="15">
        <v>1.2983556496189701</v>
      </c>
    </row>
    <row r="671" spans="2:11" x14ac:dyDescent="0.3">
      <c r="B671" s="15" t="str">
        <f t="shared" si="4"/>
        <v>NHP</v>
      </c>
      <c r="C671" s="15" t="s">
        <v>276</v>
      </c>
      <c r="D671" s="15" t="s">
        <v>370</v>
      </c>
      <c r="E671" s="15" t="s">
        <v>168</v>
      </c>
      <c r="F671" s="15" t="s">
        <v>377</v>
      </c>
      <c r="G671" s="15" t="s">
        <v>7</v>
      </c>
      <c r="H671" s="15">
        <v>2.4062626685157</v>
      </c>
    </row>
    <row r="672" spans="2:11" x14ac:dyDescent="0.3">
      <c r="B672" s="15" t="str">
        <f t="shared" si="4"/>
        <v>NHP</v>
      </c>
      <c r="C672" s="15" t="s">
        <v>276</v>
      </c>
      <c r="D672" s="15" t="s">
        <v>370</v>
      </c>
      <c r="E672" s="15" t="s">
        <v>168</v>
      </c>
      <c r="F672" s="15" t="s">
        <v>377</v>
      </c>
      <c r="G672" s="15" t="s">
        <v>8</v>
      </c>
      <c r="H672" s="15">
        <v>1.0132779410672501</v>
      </c>
    </row>
    <row r="673" spans="2:10" x14ac:dyDescent="0.3">
      <c r="B673" s="15" t="str">
        <f t="shared" si="4"/>
        <v>RAC</v>
      </c>
      <c r="C673" s="15" t="s">
        <v>276</v>
      </c>
      <c r="D673" s="15" t="s">
        <v>370</v>
      </c>
      <c r="E673" s="15" t="s">
        <v>168</v>
      </c>
      <c r="F673" s="15" t="s">
        <v>376</v>
      </c>
      <c r="G673" s="15" t="s">
        <v>0</v>
      </c>
      <c r="H673" s="15">
        <v>23.7638430668467</v>
      </c>
    </row>
    <row r="674" spans="2:10" x14ac:dyDescent="0.3">
      <c r="B674" s="15" t="str">
        <f t="shared" si="4"/>
        <v>RAC</v>
      </c>
      <c r="C674" s="15" t="s">
        <v>276</v>
      </c>
      <c r="D674" s="15" t="s">
        <v>370</v>
      </c>
      <c r="E674" s="15" t="s">
        <v>168</v>
      </c>
      <c r="F674" s="15" t="s">
        <v>376</v>
      </c>
      <c r="G674" s="15" t="s">
        <v>1</v>
      </c>
      <c r="H674" s="15">
        <v>59.032810984009302</v>
      </c>
      <c r="J674" s="15">
        <v>29.516405492004701</v>
      </c>
    </row>
    <row r="675" spans="2:10" x14ac:dyDescent="0.3">
      <c r="B675" s="15" t="str">
        <f t="shared" si="4"/>
        <v>RAC</v>
      </c>
      <c r="C675" s="15" t="s">
        <v>276</v>
      </c>
      <c r="D675" s="15" t="s">
        <v>370</v>
      </c>
      <c r="E675" s="15" t="s">
        <v>168</v>
      </c>
      <c r="F675" s="15" t="s">
        <v>376</v>
      </c>
      <c r="G675" s="15" t="s">
        <v>2</v>
      </c>
      <c r="H675" s="15">
        <v>32.6048215159541</v>
      </c>
      <c r="J675" s="15">
        <v>16.302410757977</v>
      </c>
    </row>
    <row r="676" spans="2:10" x14ac:dyDescent="0.3">
      <c r="B676" s="15" t="str">
        <f t="shared" si="4"/>
        <v>RAC</v>
      </c>
      <c r="C676" s="15" t="s">
        <v>276</v>
      </c>
      <c r="D676" s="15" t="s">
        <v>370</v>
      </c>
      <c r="E676" s="15" t="s">
        <v>168</v>
      </c>
      <c r="F676" s="15" t="s">
        <v>376</v>
      </c>
      <c r="G676" s="15" t="s">
        <v>3</v>
      </c>
      <c r="H676" s="15">
        <v>7.46980010478023</v>
      </c>
      <c r="J676" s="15">
        <v>3.7349000523901101</v>
      </c>
    </row>
    <row r="677" spans="2:10" x14ac:dyDescent="0.3">
      <c r="B677" s="15" t="str">
        <f t="shared" si="4"/>
        <v>RAC</v>
      </c>
      <c r="C677" s="15" t="s">
        <v>276</v>
      </c>
      <c r="D677" s="15" t="s">
        <v>370</v>
      </c>
      <c r="E677" s="15" t="s">
        <v>168</v>
      </c>
      <c r="F677" s="15" t="s">
        <v>376</v>
      </c>
      <c r="G677" s="15" t="s">
        <v>4</v>
      </c>
      <c r="H677" s="15">
        <v>55.913642683875601</v>
      </c>
      <c r="J677" s="15">
        <v>27.9568213419378</v>
      </c>
    </row>
    <row r="678" spans="2:10" x14ac:dyDescent="0.3">
      <c r="B678" s="15" t="str">
        <f t="shared" si="4"/>
        <v>RAC</v>
      </c>
      <c r="C678" s="15" t="s">
        <v>276</v>
      </c>
      <c r="D678" s="15" t="s">
        <v>370</v>
      </c>
      <c r="E678" s="15" t="s">
        <v>168</v>
      </c>
      <c r="F678" s="15" t="s">
        <v>376</v>
      </c>
      <c r="G678" s="15" t="s">
        <v>5</v>
      </c>
      <c r="H678" s="15">
        <v>12.267862699436201</v>
      </c>
      <c r="J678" s="15">
        <v>6.1339313497181198</v>
      </c>
    </row>
    <row r="679" spans="2:10" x14ac:dyDescent="0.3">
      <c r="B679" s="15" t="str">
        <f t="shared" si="4"/>
        <v>RAC</v>
      </c>
      <c r="C679" s="15" t="s">
        <v>276</v>
      </c>
      <c r="D679" s="15" t="s">
        <v>370</v>
      </c>
      <c r="E679" s="15" t="s">
        <v>168</v>
      </c>
      <c r="F679" s="15" t="s">
        <v>376</v>
      </c>
      <c r="G679" s="15" t="s">
        <v>6</v>
      </c>
      <c r="H679" s="15">
        <v>68.609351992179896</v>
      </c>
      <c r="J679" s="15">
        <v>34.304675996089898</v>
      </c>
    </row>
    <row r="680" spans="2:10" x14ac:dyDescent="0.3">
      <c r="B680" s="15" t="str">
        <f t="shared" si="4"/>
        <v>RAC</v>
      </c>
      <c r="C680" s="15" t="s">
        <v>276</v>
      </c>
      <c r="D680" s="15" t="s">
        <v>370</v>
      </c>
      <c r="E680" s="15" t="s">
        <v>168</v>
      </c>
      <c r="F680" s="15" t="s">
        <v>376</v>
      </c>
      <c r="G680" s="15" t="s">
        <v>7</v>
      </c>
      <c r="H680" s="15">
        <v>7.3628857526262097</v>
      </c>
      <c r="J680" s="15">
        <v>3.6814428763131102</v>
      </c>
    </row>
    <row r="681" spans="2:10" x14ac:dyDescent="0.3">
      <c r="B681" s="15" t="str">
        <f t="shared" si="4"/>
        <v>RAC</v>
      </c>
      <c r="C681" s="15" t="s">
        <v>276</v>
      </c>
      <c r="D681" s="15" t="s">
        <v>370</v>
      </c>
      <c r="E681" s="15" t="s">
        <v>168</v>
      </c>
      <c r="F681" s="15" t="s">
        <v>376</v>
      </c>
      <c r="G681" s="15" t="s">
        <v>8</v>
      </c>
      <c r="H681" s="15">
        <v>31.509589378378902</v>
      </c>
    </row>
    <row r="682" spans="2:10" x14ac:dyDescent="0.3">
      <c r="B682" s="15" t="str">
        <f t="shared" si="4"/>
        <v>DFR</v>
      </c>
      <c r="C682" s="15" t="s">
        <v>276</v>
      </c>
      <c r="D682" s="15" t="s">
        <v>378</v>
      </c>
      <c r="E682" s="15" t="s">
        <v>129</v>
      </c>
      <c r="F682" s="15" t="s">
        <v>388</v>
      </c>
      <c r="G682" s="15" t="s">
        <v>0</v>
      </c>
      <c r="H682" s="15">
        <v>61.5724632807758</v>
      </c>
    </row>
    <row r="683" spans="2:10" x14ac:dyDescent="0.3">
      <c r="B683" s="15" t="str">
        <f t="shared" si="4"/>
        <v>DFR</v>
      </c>
      <c r="C683" s="15" t="s">
        <v>276</v>
      </c>
      <c r="D683" s="15" t="s">
        <v>378</v>
      </c>
      <c r="E683" s="15" t="s">
        <v>129</v>
      </c>
      <c r="F683" s="15" t="s">
        <v>388</v>
      </c>
      <c r="G683" s="15" t="s">
        <v>1</v>
      </c>
      <c r="H683" s="15">
        <v>77.860213691349401</v>
      </c>
    </row>
    <row r="684" spans="2:10" x14ac:dyDescent="0.3">
      <c r="B684" s="15" t="str">
        <f t="shared" si="4"/>
        <v>DFR</v>
      </c>
      <c r="C684" s="15" t="s">
        <v>276</v>
      </c>
      <c r="D684" s="15" t="s">
        <v>378</v>
      </c>
      <c r="E684" s="15" t="s">
        <v>129</v>
      </c>
      <c r="F684" s="15" t="s">
        <v>388</v>
      </c>
      <c r="G684" s="15" t="s">
        <v>2</v>
      </c>
      <c r="H684" s="15">
        <v>16.1922812907763</v>
      </c>
    </row>
    <row r="685" spans="2:10" x14ac:dyDescent="0.3">
      <c r="B685" s="15" t="str">
        <f t="shared" si="4"/>
        <v>DFR</v>
      </c>
      <c r="C685" s="15" t="s">
        <v>276</v>
      </c>
      <c r="D685" s="15" t="s">
        <v>378</v>
      </c>
      <c r="E685" s="15" t="s">
        <v>129</v>
      </c>
      <c r="F685" s="15" t="s">
        <v>388</v>
      </c>
      <c r="G685" s="15" t="s">
        <v>3</v>
      </c>
      <c r="H685" s="15">
        <v>8.2482588552071192</v>
      </c>
    </row>
    <row r="686" spans="2:10" x14ac:dyDescent="0.3">
      <c r="B686" s="15" t="str">
        <f t="shared" si="4"/>
        <v>DFR</v>
      </c>
      <c r="C686" s="15" t="s">
        <v>276</v>
      </c>
      <c r="D686" s="15" t="s">
        <v>378</v>
      </c>
      <c r="E686" s="15" t="s">
        <v>129</v>
      </c>
      <c r="F686" s="15" t="s">
        <v>388</v>
      </c>
      <c r="G686" s="15" t="s">
        <v>4</v>
      </c>
      <c r="H686" s="15">
        <v>27.506277254374901</v>
      </c>
    </row>
    <row r="687" spans="2:10" x14ac:dyDescent="0.3">
      <c r="B687" s="15" t="str">
        <f t="shared" si="4"/>
        <v>DFR</v>
      </c>
      <c r="C687" s="15" t="s">
        <v>276</v>
      </c>
      <c r="D687" s="15" t="s">
        <v>378</v>
      </c>
      <c r="E687" s="15" t="s">
        <v>129</v>
      </c>
      <c r="F687" s="15" t="s">
        <v>388</v>
      </c>
      <c r="G687" s="15" t="s">
        <v>7</v>
      </c>
      <c r="H687" s="15">
        <v>1.7807572308864501</v>
      </c>
    </row>
    <row r="688" spans="2:10" x14ac:dyDescent="0.3">
      <c r="B688" s="15" t="str">
        <f t="shared" si="4"/>
        <v>DFR</v>
      </c>
      <c r="C688" s="15" t="s">
        <v>276</v>
      </c>
      <c r="D688" s="15" t="s">
        <v>378</v>
      </c>
      <c r="E688" s="15" t="s">
        <v>129</v>
      </c>
      <c r="F688" s="15" t="s">
        <v>388</v>
      </c>
      <c r="G688" s="15" t="s">
        <v>8</v>
      </c>
      <c r="H688" s="15">
        <v>7.4880368391966101</v>
      </c>
    </row>
    <row r="689" spans="2:17" x14ac:dyDescent="0.3">
      <c r="B689" s="15" t="str">
        <f t="shared" ref="B689:B752" si="5">MID(F689,4,3)</f>
        <v>DRD</v>
      </c>
      <c r="C689" s="15" t="s">
        <v>276</v>
      </c>
      <c r="D689" s="15" t="s">
        <v>378</v>
      </c>
      <c r="E689" s="15" t="s">
        <v>129</v>
      </c>
      <c r="F689" s="15" t="s">
        <v>389</v>
      </c>
      <c r="G689" s="15" t="s">
        <v>0</v>
      </c>
      <c r="H689" s="15">
        <v>114.234565838547</v>
      </c>
    </row>
    <row r="690" spans="2:17" x14ac:dyDescent="0.3">
      <c r="B690" s="15" t="str">
        <f t="shared" si="5"/>
        <v>DRD</v>
      </c>
      <c r="C690" s="15" t="s">
        <v>276</v>
      </c>
      <c r="D690" s="15" t="s">
        <v>378</v>
      </c>
      <c r="E690" s="15" t="s">
        <v>129</v>
      </c>
      <c r="F690" s="15" t="s">
        <v>389</v>
      </c>
      <c r="G690" s="15" t="s">
        <v>1</v>
      </c>
      <c r="H690" s="15">
        <v>170.057103037014</v>
      </c>
    </row>
    <row r="691" spans="2:17" x14ac:dyDescent="0.3">
      <c r="B691" s="15" t="str">
        <f t="shared" si="5"/>
        <v>DRD</v>
      </c>
      <c r="C691" s="15" t="s">
        <v>276</v>
      </c>
      <c r="D691" s="15" t="s">
        <v>378</v>
      </c>
      <c r="E691" s="15" t="s">
        <v>129</v>
      </c>
      <c r="F691" s="15" t="s">
        <v>389</v>
      </c>
      <c r="G691" s="15" t="s">
        <v>2</v>
      </c>
      <c r="H691" s="15">
        <v>3.1423658394485101</v>
      </c>
    </row>
    <row r="692" spans="2:17" x14ac:dyDescent="0.3">
      <c r="B692" s="15" t="str">
        <f t="shared" si="5"/>
        <v>DRD</v>
      </c>
      <c r="C692" s="15" t="s">
        <v>276</v>
      </c>
      <c r="D692" s="15" t="s">
        <v>378</v>
      </c>
      <c r="E692" s="15" t="s">
        <v>129</v>
      </c>
      <c r="F692" s="15" t="s">
        <v>389</v>
      </c>
      <c r="G692" s="15" t="s">
        <v>3</v>
      </c>
      <c r="H692" s="15">
        <v>4.9513774255531198</v>
      </c>
    </row>
    <row r="693" spans="2:17" x14ac:dyDescent="0.3">
      <c r="B693" s="15" t="str">
        <f t="shared" si="5"/>
        <v>DRD</v>
      </c>
      <c r="C693" s="15" t="s">
        <v>276</v>
      </c>
      <c r="D693" s="15" t="s">
        <v>378</v>
      </c>
      <c r="E693" s="15" t="s">
        <v>129</v>
      </c>
      <c r="F693" s="15" t="s">
        <v>389</v>
      </c>
      <c r="G693" s="15" t="s">
        <v>4</v>
      </c>
      <c r="H693" s="15">
        <v>15.8406744208867</v>
      </c>
    </row>
    <row r="694" spans="2:17" x14ac:dyDescent="0.3">
      <c r="B694" s="15" t="str">
        <f t="shared" si="5"/>
        <v>DRD</v>
      </c>
      <c r="C694" s="15" t="s">
        <v>276</v>
      </c>
      <c r="D694" s="15" t="s">
        <v>378</v>
      </c>
      <c r="E694" s="15" t="s">
        <v>129</v>
      </c>
      <c r="F694" s="15" t="s">
        <v>389</v>
      </c>
      <c r="G694" s="15" t="s">
        <v>8</v>
      </c>
      <c r="H694" s="15">
        <v>1.6130229462716801</v>
      </c>
    </row>
    <row r="695" spans="2:17" x14ac:dyDescent="0.3">
      <c r="B695" s="15" t="str">
        <f t="shared" si="5"/>
        <v>EHP</v>
      </c>
      <c r="C695" s="15" t="s">
        <v>276</v>
      </c>
      <c r="D695" s="15" t="s">
        <v>378</v>
      </c>
      <c r="E695" s="15" t="s">
        <v>129</v>
      </c>
      <c r="F695" s="15" t="s">
        <v>379</v>
      </c>
      <c r="G695" s="15" t="s">
        <v>0</v>
      </c>
      <c r="H695" s="15">
        <v>9.3423414951720504E-2</v>
      </c>
      <c r="K695" s="15">
        <v>3.1141138317240202E-2</v>
      </c>
    </row>
    <row r="696" spans="2:17" x14ac:dyDescent="0.3">
      <c r="B696" s="15" t="str">
        <f t="shared" si="5"/>
        <v>EHP</v>
      </c>
      <c r="C696" s="15" t="s">
        <v>276</v>
      </c>
      <c r="D696" s="15" t="s">
        <v>378</v>
      </c>
      <c r="E696" s="15" t="s">
        <v>129</v>
      </c>
      <c r="F696" s="15" t="s">
        <v>379</v>
      </c>
      <c r="G696" s="15" t="s">
        <v>1</v>
      </c>
      <c r="H696" s="15">
        <v>5.65224367364267</v>
      </c>
      <c r="K696" s="15">
        <v>1.88408122454756</v>
      </c>
    </row>
    <row r="697" spans="2:17" x14ac:dyDescent="0.3">
      <c r="B697" s="15" t="str">
        <f t="shared" si="5"/>
        <v>EHP</v>
      </c>
      <c r="C697" s="15" t="s">
        <v>276</v>
      </c>
      <c r="D697" s="15" t="s">
        <v>378</v>
      </c>
      <c r="E697" s="15" t="s">
        <v>129</v>
      </c>
      <c r="F697" s="15" t="s">
        <v>379</v>
      </c>
      <c r="G697" s="15" t="s">
        <v>2</v>
      </c>
      <c r="H697" s="15">
        <v>5.3778799271790696</v>
      </c>
      <c r="K697" s="15">
        <v>1.7926266423930199</v>
      </c>
    </row>
    <row r="698" spans="2:17" x14ac:dyDescent="0.3">
      <c r="B698" s="15" t="str">
        <f t="shared" si="5"/>
        <v>EHP</v>
      </c>
      <c r="C698" s="15" t="s">
        <v>276</v>
      </c>
      <c r="D698" s="15" t="s">
        <v>378</v>
      </c>
      <c r="E698" s="15" t="s">
        <v>129</v>
      </c>
      <c r="F698" s="15" t="s">
        <v>379</v>
      </c>
      <c r="G698" s="15" t="s">
        <v>3</v>
      </c>
      <c r="H698" s="15">
        <v>4.3047041319992498</v>
      </c>
      <c r="K698" s="15">
        <v>1.4349013773330801</v>
      </c>
    </row>
    <row r="699" spans="2:17" x14ac:dyDescent="0.3">
      <c r="B699" s="15" t="str">
        <f t="shared" si="5"/>
        <v>EHP</v>
      </c>
      <c r="C699" s="15" t="s">
        <v>276</v>
      </c>
      <c r="D699" s="15" t="s">
        <v>378</v>
      </c>
      <c r="E699" s="15" t="s">
        <v>129</v>
      </c>
      <c r="F699" s="15" t="s">
        <v>379</v>
      </c>
      <c r="G699" s="15" t="s">
        <v>4</v>
      </c>
      <c r="H699" s="15">
        <v>82.401248118051697</v>
      </c>
      <c r="K699" s="15">
        <v>27.467082706017202</v>
      </c>
    </row>
    <row r="700" spans="2:17" x14ac:dyDescent="0.3">
      <c r="B700" s="15" t="str">
        <f t="shared" si="5"/>
        <v>EHP</v>
      </c>
      <c r="C700" s="15" t="s">
        <v>276</v>
      </c>
      <c r="D700" s="15" t="s">
        <v>378</v>
      </c>
      <c r="E700" s="15" t="s">
        <v>129</v>
      </c>
      <c r="F700" s="15" t="s">
        <v>379</v>
      </c>
      <c r="G700" s="15" t="s">
        <v>5</v>
      </c>
      <c r="H700" s="15">
        <v>25.215331662337</v>
      </c>
      <c r="I700" s="15">
        <v>0.31326646958197601</v>
      </c>
      <c r="K700" s="15">
        <v>8.4051105541123192</v>
      </c>
    </row>
    <row r="701" spans="2:17" x14ac:dyDescent="0.3">
      <c r="B701" s="15" t="str">
        <f t="shared" si="5"/>
        <v>EHP</v>
      </c>
      <c r="C701" s="15" t="s">
        <v>276</v>
      </c>
      <c r="D701" s="15" t="s">
        <v>378</v>
      </c>
      <c r="E701" s="15" t="s">
        <v>129</v>
      </c>
      <c r="F701" s="15" t="s">
        <v>379</v>
      </c>
      <c r="G701" s="15" t="s">
        <v>6</v>
      </c>
      <c r="H701" s="15">
        <v>5.73914360261917</v>
      </c>
      <c r="I701" s="15">
        <v>0.374633147011878</v>
      </c>
      <c r="K701" s="15">
        <v>1.91304786753972</v>
      </c>
    </row>
    <row r="702" spans="2:17" x14ac:dyDescent="0.3">
      <c r="B702" s="15" t="str">
        <f t="shared" si="5"/>
        <v>EHP</v>
      </c>
      <c r="C702" s="15" t="s">
        <v>276</v>
      </c>
      <c r="D702" s="15" t="s">
        <v>378</v>
      </c>
      <c r="E702" s="15" t="s">
        <v>129</v>
      </c>
      <c r="F702" s="15" t="s">
        <v>379</v>
      </c>
      <c r="G702" s="15" t="s">
        <v>7</v>
      </c>
      <c r="H702" s="15">
        <v>13.887637362731001</v>
      </c>
      <c r="K702" s="15">
        <v>4.6292124542436603</v>
      </c>
    </row>
    <row r="703" spans="2:17" x14ac:dyDescent="0.3">
      <c r="B703" s="15" t="str">
        <f t="shared" si="5"/>
        <v>EHP</v>
      </c>
      <c r="C703" s="15" t="s">
        <v>276</v>
      </c>
      <c r="D703" s="15" t="s">
        <v>378</v>
      </c>
      <c r="E703" s="15" t="s">
        <v>129</v>
      </c>
      <c r="F703" s="15" t="s">
        <v>379</v>
      </c>
      <c r="G703" s="15" t="s">
        <v>8</v>
      </c>
      <c r="H703" s="15">
        <v>10.984209198584701</v>
      </c>
      <c r="K703" s="15">
        <v>3.66140306619489</v>
      </c>
    </row>
    <row r="704" spans="2:17" x14ac:dyDescent="0.3">
      <c r="B704" s="15" t="str">
        <f t="shared" si="5"/>
        <v>EHP</v>
      </c>
      <c r="C704" s="15" t="s">
        <v>276</v>
      </c>
      <c r="D704" s="15" t="s">
        <v>378</v>
      </c>
      <c r="E704" s="15" t="s">
        <v>129</v>
      </c>
      <c r="F704" s="15" t="s">
        <v>380</v>
      </c>
      <c r="G704" s="15" t="s">
        <v>1</v>
      </c>
      <c r="N704" s="15">
        <v>96.611993299305894</v>
      </c>
      <c r="O704" s="15">
        <v>84.950152709249195</v>
      </c>
      <c r="P704" s="15">
        <v>96.611993299305894</v>
      </c>
      <c r="Q704" s="15">
        <v>102.848058889802</v>
      </c>
    </row>
    <row r="705" spans="2:17" x14ac:dyDescent="0.3">
      <c r="B705" s="15" t="str">
        <f t="shared" si="5"/>
        <v>EHP</v>
      </c>
      <c r="C705" s="15" t="s">
        <v>276</v>
      </c>
      <c r="D705" s="15" t="s">
        <v>378</v>
      </c>
      <c r="E705" s="15" t="s">
        <v>129</v>
      </c>
      <c r="F705" s="15" t="s">
        <v>380</v>
      </c>
      <c r="G705" s="15" t="s">
        <v>2</v>
      </c>
      <c r="N705" s="15">
        <v>399.03771632994699</v>
      </c>
      <c r="O705" s="15">
        <v>399.03771632994699</v>
      </c>
      <c r="P705" s="15">
        <v>399.03771632994699</v>
      </c>
      <c r="Q705" s="15">
        <v>395.202954148608</v>
      </c>
    </row>
    <row r="706" spans="2:17" x14ac:dyDescent="0.3">
      <c r="B706" s="15" t="str">
        <f t="shared" si="5"/>
        <v>EHP</v>
      </c>
      <c r="C706" s="15" t="s">
        <v>276</v>
      </c>
      <c r="D706" s="15" t="s">
        <v>378</v>
      </c>
      <c r="E706" s="15" t="s">
        <v>129</v>
      </c>
      <c r="F706" s="15" t="s">
        <v>380</v>
      </c>
      <c r="G706" s="15" t="s">
        <v>3</v>
      </c>
      <c r="N706" s="15">
        <v>138.95860648962699</v>
      </c>
      <c r="O706" s="15">
        <v>144.78712516592637</v>
      </c>
      <c r="P706" s="15">
        <v>144.78712516592637</v>
      </c>
      <c r="Q706" s="15">
        <v>158.78973946916838</v>
      </c>
    </row>
    <row r="707" spans="2:17" x14ac:dyDescent="0.3">
      <c r="B707" s="15" t="str">
        <f t="shared" si="5"/>
        <v>EHP</v>
      </c>
      <c r="C707" s="15" t="s">
        <v>276</v>
      </c>
      <c r="D707" s="15" t="s">
        <v>378</v>
      </c>
      <c r="E707" s="15" t="s">
        <v>129</v>
      </c>
      <c r="F707" s="15" t="s">
        <v>380</v>
      </c>
      <c r="G707" s="15" t="s">
        <v>4</v>
      </c>
      <c r="N707" s="15">
        <v>391.32457898668702</v>
      </c>
      <c r="O707" s="15">
        <v>438.8923843116454</v>
      </c>
      <c r="P707" s="15">
        <v>438.8923843116454</v>
      </c>
      <c r="Q707" s="15">
        <v>681.90002463373844</v>
      </c>
    </row>
    <row r="708" spans="2:17" x14ac:dyDescent="0.3">
      <c r="B708" s="15" t="str">
        <f t="shared" si="5"/>
        <v>EHP</v>
      </c>
      <c r="C708" s="15" t="s">
        <v>276</v>
      </c>
      <c r="D708" s="15" t="s">
        <v>378</v>
      </c>
      <c r="E708" s="15" t="s">
        <v>129</v>
      </c>
      <c r="F708" s="15" t="s">
        <v>380</v>
      </c>
      <c r="G708" s="15" t="s">
        <v>5</v>
      </c>
      <c r="M708" s="15">
        <v>83.388799254189607</v>
      </c>
      <c r="N708" s="15">
        <v>213.87983915413662</v>
      </c>
      <c r="O708" s="15">
        <v>241.03010178930782</v>
      </c>
      <c r="P708" s="15">
        <v>236.3625678548708</v>
      </c>
      <c r="Q708" s="15">
        <v>231.60034413505679</v>
      </c>
    </row>
    <row r="709" spans="2:17" x14ac:dyDescent="0.3">
      <c r="B709" s="15" t="str">
        <f t="shared" si="5"/>
        <v>EHP</v>
      </c>
      <c r="C709" s="15" t="s">
        <v>276</v>
      </c>
      <c r="D709" s="15" t="s">
        <v>378</v>
      </c>
      <c r="E709" s="15" t="s">
        <v>129</v>
      </c>
      <c r="F709" s="15" t="s">
        <v>380</v>
      </c>
      <c r="G709" s="15" t="s">
        <v>6</v>
      </c>
      <c r="K709" s="15">
        <v>2.0202949578032898</v>
      </c>
      <c r="L709" s="15">
        <v>43.481361961178585</v>
      </c>
      <c r="M709" s="15">
        <v>154.28539152486158</v>
      </c>
      <c r="N709" s="15">
        <v>331.52499331475133</v>
      </c>
      <c r="O709" s="15">
        <v>330.61789743854933</v>
      </c>
      <c r="P709" s="15">
        <v>329.51918168387431</v>
      </c>
      <c r="Q709" s="15">
        <v>327.06382534872228</v>
      </c>
    </row>
    <row r="710" spans="2:17" x14ac:dyDescent="0.3">
      <c r="B710" s="15" t="str">
        <f t="shared" si="5"/>
        <v>EHP</v>
      </c>
      <c r="C710" s="15" t="s">
        <v>276</v>
      </c>
      <c r="D710" s="15" t="s">
        <v>378</v>
      </c>
      <c r="E710" s="15" t="s">
        <v>129</v>
      </c>
      <c r="F710" s="15" t="s">
        <v>380</v>
      </c>
      <c r="G710" s="15" t="s">
        <v>7</v>
      </c>
      <c r="N710" s="15">
        <v>306.04443041258401</v>
      </c>
      <c r="O710" s="15">
        <v>340.93904372091839</v>
      </c>
      <c r="P710" s="15">
        <v>391.94489411146748</v>
      </c>
      <c r="Q710" s="15">
        <v>460.65574648911547</v>
      </c>
    </row>
    <row r="711" spans="2:17" x14ac:dyDescent="0.3">
      <c r="B711" s="15" t="str">
        <f t="shared" si="5"/>
        <v>EHP</v>
      </c>
      <c r="C711" s="15" t="s">
        <v>276</v>
      </c>
      <c r="D711" s="15" t="s">
        <v>378</v>
      </c>
      <c r="E711" s="15" t="s">
        <v>129</v>
      </c>
      <c r="F711" s="15" t="s">
        <v>381</v>
      </c>
      <c r="G711" s="15" t="s">
        <v>0</v>
      </c>
      <c r="M711" s="15">
        <v>12.133621676792</v>
      </c>
      <c r="N711" s="15">
        <v>12.133621676792</v>
      </c>
      <c r="O711" s="15">
        <v>12.133621676792</v>
      </c>
    </row>
    <row r="712" spans="2:17" x14ac:dyDescent="0.3">
      <c r="B712" s="15" t="str">
        <f t="shared" si="5"/>
        <v>EHP</v>
      </c>
      <c r="C712" s="15" t="s">
        <v>276</v>
      </c>
      <c r="D712" s="15" t="s">
        <v>378</v>
      </c>
      <c r="E712" s="15" t="s">
        <v>129</v>
      </c>
      <c r="F712" s="15" t="s">
        <v>381</v>
      </c>
      <c r="G712" s="15" t="s">
        <v>1</v>
      </c>
      <c r="M712" s="15">
        <v>45.314559847470697</v>
      </c>
      <c r="N712" s="15">
        <v>45.314559847470697</v>
      </c>
      <c r="O712" s="15">
        <v>45.314559847470697</v>
      </c>
    </row>
    <row r="713" spans="2:17" x14ac:dyDescent="0.3">
      <c r="B713" s="15" t="str">
        <f t="shared" si="5"/>
        <v>EHP</v>
      </c>
      <c r="C713" s="15" t="s">
        <v>276</v>
      </c>
      <c r="D713" s="15" t="s">
        <v>378</v>
      </c>
      <c r="E713" s="15" t="s">
        <v>129</v>
      </c>
      <c r="F713" s="15" t="s">
        <v>381</v>
      </c>
      <c r="G713" s="15" t="s">
        <v>2</v>
      </c>
      <c r="L713" s="15">
        <v>32.399918857359999</v>
      </c>
      <c r="M713" s="15">
        <v>64.494159619899904</v>
      </c>
      <c r="N713" s="15">
        <v>64.494159619899904</v>
      </c>
      <c r="O713" s="15">
        <v>32.094240762539897</v>
      </c>
    </row>
    <row r="714" spans="2:17" x14ac:dyDescent="0.3">
      <c r="B714" s="15" t="str">
        <f t="shared" si="5"/>
        <v>EHP</v>
      </c>
      <c r="C714" s="15" t="s">
        <v>276</v>
      </c>
      <c r="D714" s="15" t="s">
        <v>378</v>
      </c>
      <c r="E714" s="15" t="s">
        <v>129</v>
      </c>
      <c r="F714" s="15" t="s">
        <v>381</v>
      </c>
      <c r="G714" s="15" t="s">
        <v>3</v>
      </c>
      <c r="L714" s="15">
        <v>14.8177635364883</v>
      </c>
      <c r="M714" s="15">
        <v>14.8177635364883</v>
      </c>
      <c r="N714" s="15">
        <v>14.8177635364883</v>
      </c>
    </row>
    <row r="715" spans="2:17" x14ac:dyDescent="0.3">
      <c r="B715" s="15" t="str">
        <f t="shared" si="5"/>
        <v>EHP</v>
      </c>
      <c r="C715" s="15" t="s">
        <v>276</v>
      </c>
      <c r="D715" s="15" t="s">
        <v>378</v>
      </c>
      <c r="E715" s="15" t="s">
        <v>129</v>
      </c>
      <c r="F715" s="15" t="s">
        <v>381</v>
      </c>
      <c r="G715" s="15" t="s">
        <v>4</v>
      </c>
      <c r="L715" s="15">
        <v>48.784506804691297</v>
      </c>
      <c r="M715" s="15">
        <v>49.569436040207371</v>
      </c>
      <c r="N715" s="15">
        <v>49.569436040207371</v>
      </c>
      <c r="O715" s="15">
        <v>0.78492923551607396</v>
      </c>
    </row>
    <row r="716" spans="2:17" x14ac:dyDescent="0.3">
      <c r="B716" s="15" t="str">
        <f t="shared" si="5"/>
        <v>EHP</v>
      </c>
      <c r="C716" s="15" t="s">
        <v>276</v>
      </c>
      <c r="D716" s="15" t="s">
        <v>378</v>
      </c>
      <c r="E716" s="15" t="s">
        <v>129</v>
      </c>
      <c r="F716" s="15" t="s">
        <v>381</v>
      </c>
      <c r="G716" s="15" t="s">
        <v>5</v>
      </c>
      <c r="L716" s="15">
        <v>32.038228426637197</v>
      </c>
      <c r="M716" s="15">
        <v>32.038228426637197</v>
      </c>
      <c r="N716" s="15">
        <v>32.038228426637197</v>
      </c>
    </row>
    <row r="717" spans="2:17" x14ac:dyDescent="0.3">
      <c r="B717" s="15" t="str">
        <f t="shared" si="5"/>
        <v>EHP</v>
      </c>
      <c r="C717" s="15" t="s">
        <v>276</v>
      </c>
      <c r="D717" s="15" t="s">
        <v>378</v>
      </c>
      <c r="E717" s="15" t="s">
        <v>129</v>
      </c>
      <c r="F717" s="15" t="s">
        <v>381</v>
      </c>
      <c r="G717" s="15" t="s">
        <v>7</v>
      </c>
      <c r="L717" s="15">
        <v>25.607546180469299</v>
      </c>
      <c r="M717" s="15">
        <v>66.92253609705341</v>
      </c>
      <c r="N717" s="15">
        <v>66.92253609705341</v>
      </c>
      <c r="O717" s="15">
        <v>41.314989916584103</v>
      </c>
    </row>
    <row r="718" spans="2:17" x14ac:dyDescent="0.3">
      <c r="B718" s="15" t="str">
        <f t="shared" si="5"/>
        <v>ERD</v>
      </c>
      <c r="C718" s="15" t="s">
        <v>276</v>
      </c>
      <c r="D718" s="15" t="s">
        <v>378</v>
      </c>
      <c r="E718" s="15" t="s">
        <v>129</v>
      </c>
      <c r="F718" s="15" t="s">
        <v>382</v>
      </c>
      <c r="G718" s="15" t="s">
        <v>0</v>
      </c>
      <c r="H718" s="15">
        <v>5.1689631989473401</v>
      </c>
      <c r="K718" s="15">
        <v>2.22063653176036</v>
      </c>
    </row>
    <row r="719" spans="2:17" x14ac:dyDescent="0.3">
      <c r="B719" s="15" t="str">
        <f t="shared" si="5"/>
        <v>ERD</v>
      </c>
      <c r="C719" s="15" t="s">
        <v>276</v>
      </c>
      <c r="D719" s="15" t="s">
        <v>378</v>
      </c>
      <c r="E719" s="15" t="s">
        <v>129</v>
      </c>
      <c r="F719" s="15" t="s">
        <v>382</v>
      </c>
      <c r="G719" s="15" t="s">
        <v>1</v>
      </c>
      <c r="H719" s="15">
        <v>25.580059716410101</v>
      </c>
      <c r="K719" s="15">
        <v>12.790029858204999</v>
      </c>
    </row>
    <row r="720" spans="2:17" x14ac:dyDescent="0.3">
      <c r="B720" s="15" t="str">
        <f t="shared" si="5"/>
        <v>ERD</v>
      </c>
      <c r="C720" s="15" t="s">
        <v>276</v>
      </c>
      <c r="D720" s="15" t="s">
        <v>378</v>
      </c>
      <c r="E720" s="15" t="s">
        <v>129</v>
      </c>
      <c r="F720" s="15" t="s">
        <v>382</v>
      </c>
      <c r="G720" s="15" t="s">
        <v>2</v>
      </c>
      <c r="H720" s="15">
        <v>42.766315608254203</v>
      </c>
      <c r="K720" s="15">
        <v>21.383157804127102</v>
      </c>
    </row>
    <row r="721" spans="2:11" x14ac:dyDescent="0.3">
      <c r="B721" s="15" t="str">
        <f t="shared" si="5"/>
        <v>ERD</v>
      </c>
      <c r="C721" s="15" t="s">
        <v>276</v>
      </c>
      <c r="D721" s="15" t="s">
        <v>378</v>
      </c>
      <c r="E721" s="15" t="s">
        <v>129</v>
      </c>
      <c r="F721" s="15" t="s">
        <v>382</v>
      </c>
      <c r="G721" s="15" t="s">
        <v>3</v>
      </c>
      <c r="H721" s="15">
        <v>32.204805950971398</v>
      </c>
      <c r="K721" s="15">
        <v>16.102402975485699</v>
      </c>
    </row>
    <row r="722" spans="2:11" x14ac:dyDescent="0.3">
      <c r="B722" s="15" t="str">
        <f t="shared" si="5"/>
        <v>ERD</v>
      </c>
      <c r="C722" s="15" t="s">
        <v>276</v>
      </c>
      <c r="D722" s="15" t="s">
        <v>378</v>
      </c>
      <c r="E722" s="15" t="s">
        <v>129</v>
      </c>
      <c r="F722" s="15" t="s">
        <v>382</v>
      </c>
      <c r="G722" s="15" t="s">
        <v>4</v>
      </c>
      <c r="H722" s="15">
        <v>112.74911614053001</v>
      </c>
    </row>
    <row r="723" spans="2:11" x14ac:dyDescent="0.3">
      <c r="B723" s="15" t="str">
        <f t="shared" si="5"/>
        <v>ERD</v>
      </c>
      <c r="C723" s="15" t="s">
        <v>276</v>
      </c>
      <c r="D723" s="15" t="s">
        <v>378</v>
      </c>
      <c r="E723" s="15" t="s">
        <v>129</v>
      </c>
      <c r="F723" s="15" t="s">
        <v>382</v>
      </c>
      <c r="G723" s="15" t="s">
        <v>5</v>
      </c>
      <c r="H723" s="15">
        <v>45.169303513737603</v>
      </c>
      <c r="K723" s="15">
        <v>18.170522967550401</v>
      </c>
    </row>
    <row r="724" spans="2:11" x14ac:dyDescent="0.3">
      <c r="B724" s="15" t="str">
        <f t="shared" si="5"/>
        <v>ERD</v>
      </c>
      <c r="C724" s="15" t="s">
        <v>276</v>
      </c>
      <c r="D724" s="15" t="s">
        <v>378</v>
      </c>
      <c r="E724" s="15" t="s">
        <v>129</v>
      </c>
      <c r="F724" s="15" t="s">
        <v>382</v>
      </c>
      <c r="G724" s="15" t="s">
        <v>6</v>
      </c>
      <c r="H724" s="15">
        <v>63.366352158380202</v>
      </c>
      <c r="K724" s="15">
        <v>31.683176079190101</v>
      </c>
    </row>
    <row r="725" spans="2:11" x14ac:dyDescent="0.3">
      <c r="B725" s="15" t="str">
        <f t="shared" si="5"/>
        <v>ERD</v>
      </c>
      <c r="C725" s="15" t="s">
        <v>276</v>
      </c>
      <c r="D725" s="15" t="s">
        <v>378</v>
      </c>
      <c r="E725" s="15" t="s">
        <v>129</v>
      </c>
      <c r="F725" s="15" t="s">
        <v>382</v>
      </c>
      <c r="G725" s="15" t="s">
        <v>7</v>
      </c>
      <c r="H725" s="15">
        <v>22.8977191289312</v>
      </c>
    </row>
    <row r="726" spans="2:11" x14ac:dyDescent="0.3">
      <c r="B726" s="15" t="str">
        <f t="shared" si="5"/>
        <v>ERD</v>
      </c>
      <c r="C726" s="15" t="s">
        <v>276</v>
      </c>
      <c r="D726" s="15" t="s">
        <v>378</v>
      </c>
      <c r="E726" s="15" t="s">
        <v>129</v>
      </c>
      <c r="F726" s="15" t="s">
        <v>382</v>
      </c>
      <c r="G726" s="15" t="s">
        <v>8</v>
      </c>
      <c r="H726" s="15">
        <v>71.241497799644307</v>
      </c>
    </row>
    <row r="727" spans="2:11" x14ac:dyDescent="0.3">
      <c r="B727" s="15" t="str">
        <f t="shared" si="5"/>
        <v>GHP</v>
      </c>
      <c r="C727" s="15" t="s">
        <v>276</v>
      </c>
      <c r="D727" s="15" t="s">
        <v>378</v>
      </c>
      <c r="E727" s="15" t="s">
        <v>129</v>
      </c>
      <c r="F727" s="15" t="s">
        <v>383</v>
      </c>
      <c r="G727" s="15" t="s">
        <v>0</v>
      </c>
      <c r="H727" s="15">
        <v>0.118027904258034</v>
      </c>
      <c r="K727" s="15">
        <v>3.9342634752677998E-2</v>
      </c>
    </row>
    <row r="728" spans="2:11" x14ac:dyDescent="0.3">
      <c r="B728" s="15" t="str">
        <f t="shared" si="5"/>
        <v>GHP</v>
      </c>
      <c r="C728" s="15" t="s">
        <v>276</v>
      </c>
      <c r="D728" s="15" t="s">
        <v>378</v>
      </c>
      <c r="E728" s="15" t="s">
        <v>129</v>
      </c>
      <c r="F728" s="15" t="s">
        <v>383</v>
      </c>
      <c r="G728" s="15" t="s">
        <v>1</v>
      </c>
      <c r="H728" s="15">
        <v>2.1752338479317799</v>
      </c>
      <c r="K728" s="15">
        <v>0.725077949310592</v>
      </c>
    </row>
    <row r="729" spans="2:11" x14ac:dyDescent="0.3">
      <c r="B729" s="15" t="str">
        <f t="shared" si="5"/>
        <v>GHP</v>
      </c>
      <c r="C729" s="15" t="s">
        <v>276</v>
      </c>
      <c r="D729" s="15" t="s">
        <v>378</v>
      </c>
      <c r="E729" s="15" t="s">
        <v>129</v>
      </c>
      <c r="F729" s="15" t="s">
        <v>383</v>
      </c>
      <c r="G729" s="15" t="s">
        <v>2</v>
      </c>
      <c r="H729" s="15">
        <v>2.9459085755638901</v>
      </c>
      <c r="K729" s="15">
        <v>0.98196952518796299</v>
      </c>
    </row>
    <row r="730" spans="2:11" x14ac:dyDescent="0.3">
      <c r="B730" s="15" t="str">
        <f t="shared" si="5"/>
        <v>GHP</v>
      </c>
      <c r="C730" s="15" t="s">
        <v>276</v>
      </c>
      <c r="D730" s="15" t="s">
        <v>378</v>
      </c>
      <c r="E730" s="15" t="s">
        <v>129</v>
      </c>
      <c r="F730" s="15" t="s">
        <v>383</v>
      </c>
      <c r="G730" s="15" t="s">
        <v>3</v>
      </c>
      <c r="H730" s="15">
        <v>3.6979085503655802</v>
      </c>
      <c r="K730" s="15">
        <v>1.23263618345519</v>
      </c>
    </row>
    <row r="731" spans="2:11" x14ac:dyDescent="0.3">
      <c r="B731" s="15" t="str">
        <f t="shared" si="5"/>
        <v>GHP</v>
      </c>
      <c r="C731" s="15" t="s">
        <v>276</v>
      </c>
      <c r="D731" s="15" t="s">
        <v>378</v>
      </c>
      <c r="E731" s="15" t="s">
        <v>129</v>
      </c>
      <c r="F731" s="15" t="s">
        <v>383</v>
      </c>
      <c r="G731" s="15" t="s">
        <v>4</v>
      </c>
      <c r="H731" s="15">
        <v>1.47327047256818</v>
      </c>
      <c r="K731" s="15">
        <v>0.491090157522726</v>
      </c>
    </row>
    <row r="732" spans="2:11" x14ac:dyDescent="0.3">
      <c r="B732" s="15" t="str">
        <f t="shared" si="5"/>
        <v>GHP</v>
      </c>
      <c r="C732" s="15" t="s">
        <v>276</v>
      </c>
      <c r="D732" s="15" t="s">
        <v>378</v>
      </c>
      <c r="E732" s="15" t="s">
        <v>129</v>
      </c>
      <c r="F732" s="15" t="s">
        <v>383</v>
      </c>
      <c r="G732" s="15" t="s">
        <v>5</v>
      </c>
      <c r="H732" s="15">
        <v>2.3288878956770702</v>
      </c>
      <c r="I732" s="15">
        <v>2.1736287026319299</v>
      </c>
      <c r="K732" s="15">
        <v>0.776295965225691</v>
      </c>
    </row>
    <row r="733" spans="2:11" x14ac:dyDescent="0.3">
      <c r="B733" s="15" t="str">
        <f t="shared" si="5"/>
        <v>GHP</v>
      </c>
      <c r="C733" s="15" t="s">
        <v>276</v>
      </c>
      <c r="D733" s="15" t="s">
        <v>378</v>
      </c>
      <c r="E733" s="15" t="s">
        <v>129</v>
      </c>
      <c r="F733" s="15" t="s">
        <v>383</v>
      </c>
      <c r="G733" s="15" t="s">
        <v>6</v>
      </c>
      <c r="H733" s="15">
        <v>1.0035837256875</v>
      </c>
      <c r="I733" s="15">
        <v>0.93667814397500204</v>
      </c>
      <c r="K733" s="15">
        <v>0.33452790856250098</v>
      </c>
    </row>
    <row r="734" spans="2:11" x14ac:dyDescent="0.3">
      <c r="B734" s="15" t="str">
        <f t="shared" si="5"/>
        <v>GHP</v>
      </c>
      <c r="C734" s="15" t="s">
        <v>276</v>
      </c>
      <c r="D734" s="15" t="s">
        <v>378</v>
      </c>
      <c r="E734" s="15" t="s">
        <v>129</v>
      </c>
      <c r="F734" s="15" t="s">
        <v>383</v>
      </c>
      <c r="G734" s="15" t="s">
        <v>7</v>
      </c>
      <c r="H734" s="15">
        <v>0.92544310480065095</v>
      </c>
      <c r="K734" s="15">
        <v>0.30848103493355</v>
      </c>
    </row>
    <row r="735" spans="2:11" x14ac:dyDescent="0.3">
      <c r="B735" s="15" t="str">
        <f t="shared" si="5"/>
        <v>GHP</v>
      </c>
      <c r="C735" s="15" t="s">
        <v>276</v>
      </c>
      <c r="D735" s="15" t="s">
        <v>378</v>
      </c>
      <c r="E735" s="15" t="s">
        <v>129</v>
      </c>
      <c r="F735" s="15" t="s">
        <v>383</v>
      </c>
      <c r="G735" s="15" t="s">
        <v>8</v>
      </c>
      <c r="H735" s="15">
        <v>0.582258300284062</v>
      </c>
      <c r="K735" s="15">
        <v>0.19408610009468699</v>
      </c>
    </row>
    <row r="736" spans="2:11" x14ac:dyDescent="0.3">
      <c r="B736" s="15" t="str">
        <f t="shared" si="5"/>
        <v>KFR</v>
      </c>
      <c r="C736" s="15" t="s">
        <v>276</v>
      </c>
      <c r="D736" s="15" t="s">
        <v>378</v>
      </c>
      <c r="E736" s="15" t="s">
        <v>129</v>
      </c>
      <c r="F736" s="15" t="s">
        <v>391</v>
      </c>
      <c r="G736" s="15" t="s">
        <v>0</v>
      </c>
      <c r="H736" s="15">
        <v>3.0002552382263699</v>
      </c>
    </row>
    <row r="737" spans="2:11" x14ac:dyDescent="0.3">
      <c r="B737" s="15" t="str">
        <f t="shared" si="5"/>
        <v>KFR</v>
      </c>
      <c r="C737" s="15" t="s">
        <v>276</v>
      </c>
      <c r="D737" s="15" t="s">
        <v>378</v>
      </c>
      <c r="E737" s="15" t="s">
        <v>129</v>
      </c>
      <c r="F737" s="15" t="s">
        <v>391</v>
      </c>
      <c r="G737" s="15" t="s">
        <v>1</v>
      </c>
      <c r="H737" s="15">
        <v>9.7525993302718401</v>
      </c>
    </row>
    <row r="738" spans="2:11" x14ac:dyDescent="0.3">
      <c r="B738" s="15" t="str">
        <f t="shared" si="5"/>
        <v>KFR</v>
      </c>
      <c r="C738" s="15" t="s">
        <v>276</v>
      </c>
      <c r="D738" s="15" t="s">
        <v>378</v>
      </c>
      <c r="E738" s="15" t="s">
        <v>129</v>
      </c>
      <c r="F738" s="15" t="s">
        <v>391</v>
      </c>
      <c r="G738" s="15" t="s">
        <v>4</v>
      </c>
      <c r="H738" s="15">
        <v>4.6801907008237604</v>
      </c>
    </row>
    <row r="739" spans="2:11" x14ac:dyDescent="0.3">
      <c r="B739" s="15" t="str">
        <f t="shared" si="5"/>
        <v>KFR</v>
      </c>
      <c r="C739" s="15" t="s">
        <v>276</v>
      </c>
      <c r="D739" s="15" t="s">
        <v>378</v>
      </c>
      <c r="E739" s="15" t="s">
        <v>129</v>
      </c>
      <c r="F739" s="15" t="s">
        <v>391</v>
      </c>
      <c r="G739" s="15" t="s">
        <v>5</v>
      </c>
      <c r="H739" s="15">
        <v>0.36354949908177803</v>
      </c>
    </row>
    <row r="740" spans="2:11" x14ac:dyDescent="0.3">
      <c r="B740" s="15" t="str">
        <f t="shared" si="5"/>
        <v>KFR</v>
      </c>
      <c r="C740" s="15" t="s">
        <v>276</v>
      </c>
      <c r="D740" s="15" t="s">
        <v>378</v>
      </c>
      <c r="E740" s="15" t="s">
        <v>129</v>
      </c>
      <c r="F740" s="15" t="s">
        <v>391</v>
      </c>
      <c r="G740" s="15" t="s">
        <v>8</v>
      </c>
      <c r="H740" s="15">
        <v>1.06027684673044</v>
      </c>
      <c r="K740" s="15">
        <v>0.178171042091155</v>
      </c>
    </row>
    <row r="741" spans="2:11" x14ac:dyDescent="0.3">
      <c r="B741" s="15" t="str">
        <f t="shared" si="5"/>
        <v>LFR</v>
      </c>
      <c r="C741" s="15" t="s">
        <v>276</v>
      </c>
      <c r="D741" s="15" t="s">
        <v>378</v>
      </c>
      <c r="E741" s="15" t="s">
        <v>129</v>
      </c>
      <c r="F741" s="15" t="s">
        <v>392</v>
      </c>
      <c r="G741" s="15" t="s">
        <v>0</v>
      </c>
      <c r="H741" s="15">
        <v>7.9198923801005598</v>
      </c>
    </row>
    <row r="742" spans="2:11" x14ac:dyDescent="0.3">
      <c r="B742" s="15" t="str">
        <f t="shared" si="5"/>
        <v>LFR</v>
      </c>
      <c r="C742" s="15" t="s">
        <v>276</v>
      </c>
      <c r="D742" s="15" t="s">
        <v>378</v>
      </c>
      <c r="E742" s="15" t="s">
        <v>129</v>
      </c>
      <c r="F742" s="15" t="s">
        <v>392</v>
      </c>
      <c r="G742" s="15" t="s">
        <v>1</v>
      </c>
      <c r="H742" s="15">
        <v>33.944648942910199</v>
      </c>
    </row>
    <row r="743" spans="2:11" x14ac:dyDescent="0.3">
      <c r="B743" s="15" t="str">
        <f t="shared" si="5"/>
        <v>LFR</v>
      </c>
      <c r="C743" s="15" t="s">
        <v>276</v>
      </c>
      <c r="D743" s="15" t="s">
        <v>378</v>
      </c>
      <c r="E743" s="15" t="s">
        <v>129</v>
      </c>
      <c r="F743" s="15" t="s">
        <v>392</v>
      </c>
      <c r="G743" s="15" t="s">
        <v>2</v>
      </c>
      <c r="H743" s="15">
        <v>74.688428283319197</v>
      </c>
    </row>
    <row r="744" spans="2:11" x14ac:dyDescent="0.3">
      <c r="B744" s="15" t="str">
        <f t="shared" si="5"/>
        <v>LFR</v>
      </c>
      <c r="C744" s="15" t="s">
        <v>276</v>
      </c>
      <c r="D744" s="15" t="s">
        <v>378</v>
      </c>
      <c r="E744" s="15" t="s">
        <v>129</v>
      </c>
      <c r="F744" s="15" t="s">
        <v>392</v>
      </c>
      <c r="G744" s="15" t="s">
        <v>3</v>
      </c>
      <c r="H744" s="15">
        <v>85.430832547335996</v>
      </c>
    </row>
    <row r="745" spans="2:11" x14ac:dyDescent="0.3">
      <c r="B745" s="15" t="str">
        <f t="shared" si="5"/>
        <v>LFR</v>
      </c>
      <c r="C745" s="15" t="s">
        <v>276</v>
      </c>
      <c r="D745" s="15" t="s">
        <v>378</v>
      </c>
      <c r="E745" s="15" t="s">
        <v>129</v>
      </c>
      <c r="F745" s="15" t="s">
        <v>392</v>
      </c>
      <c r="G745" s="15" t="s">
        <v>4</v>
      </c>
      <c r="H745" s="15">
        <v>29.537013161268</v>
      </c>
    </row>
    <row r="746" spans="2:11" x14ac:dyDescent="0.3">
      <c r="B746" s="15" t="str">
        <f t="shared" si="5"/>
        <v>LFR</v>
      </c>
      <c r="C746" s="15" t="s">
        <v>276</v>
      </c>
      <c r="D746" s="15" t="s">
        <v>378</v>
      </c>
      <c r="E746" s="15" t="s">
        <v>129</v>
      </c>
      <c r="F746" s="15" t="s">
        <v>392</v>
      </c>
      <c r="G746" s="15" t="s">
        <v>5</v>
      </c>
      <c r="H746" s="15">
        <v>30.777025387077899</v>
      </c>
    </row>
    <row r="747" spans="2:11" x14ac:dyDescent="0.3">
      <c r="B747" s="15" t="str">
        <f t="shared" si="5"/>
        <v>LFR</v>
      </c>
      <c r="C747" s="15" t="s">
        <v>276</v>
      </c>
      <c r="D747" s="15" t="s">
        <v>378</v>
      </c>
      <c r="E747" s="15" t="s">
        <v>129</v>
      </c>
      <c r="F747" s="15" t="s">
        <v>392</v>
      </c>
      <c r="G747" s="15" t="s">
        <v>6</v>
      </c>
      <c r="H747" s="15">
        <v>19.674394024925601</v>
      </c>
    </row>
    <row r="748" spans="2:11" x14ac:dyDescent="0.3">
      <c r="B748" s="15" t="str">
        <f t="shared" si="5"/>
        <v>LFR</v>
      </c>
      <c r="C748" s="15" t="s">
        <v>276</v>
      </c>
      <c r="D748" s="15" t="s">
        <v>378</v>
      </c>
      <c r="E748" s="15" t="s">
        <v>129</v>
      </c>
      <c r="F748" s="15" t="s">
        <v>392</v>
      </c>
      <c r="G748" s="15" t="s">
        <v>7</v>
      </c>
      <c r="H748" s="15">
        <v>43.793825838383398</v>
      </c>
    </row>
    <row r="749" spans="2:11" x14ac:dyDescent="0.3">
      <c r="B749" s="15" t="str">
        <f t="shared" si="5"/>
        <v>LFR</v>
      </c>
      <c r="C749" s="15" t="s">
        <v>276</v>
      </c>
      <c r="D749" s="15" t="s">
        <v>378</v>
      </c>
      <c r="E749" s="15" t="s">
        <v>129</v>
      </c>
      <c r="F749" s="15" t="s">
        <v>392</v>
      </c>
      <c r="G749" s="15" t="s">
        <v>8</v>
      </c>
      <c r="H749" s="15">
        <v>17.371041882857899</v>
      </c>
    </row>
    <row r="750" spans="2:11" x14ac:dyDescent="0.3">
      <c r="B750" s="15" t="str">
        <f t="shared" si="5"/>
        <v>NFR</v>
      </c>
      <c r="C750" s="15" t="s">
        <v>276</v>
      </c>
      <c r="D750" s="15" t="s">
        <v>378</v>
      </c>
      <c r="E750" s="15" t="s">
        <v>129</v>
      </c>
      <c r="F750" s="15" t="s">
        <v>393</v>
      </c>
      <c r="G750" s="15" t="s">
        <v>0</v>
      </c>
      <c r="H750" s="15">
        <v>58.742083672637399</v>
      </c>
    </row>
    <row r="751" spans="2:11" x14ac:dyDescent="0.3">
      <c r="B751" s="15" t="str">
        <f t="shared" si="5"/>
        <v>NFR</v>
      </c>
      <c r="C751" s="15" t="s">
        <v>276</v>
      </c>
      <c r="D751" s="15" t="s">
        <v>378</v>
      </c>
      <c r="E751" s="15" t="s">
        <v>129</v>
      </c>
      <c r="F751" s="15" t="s">
        <v>393</v>
      </c>
      <c r="G751" s="15" t="s">
        <v>1</v>
      </c>
      <c r="H751" s="15">
        <v>342.635502913614</v>
      </c>
      <c r="K751" s="15">
        <v>6.7268649186678404</v>
      </c>
    </row>
    <row r="752" spans="2:11" x14ac:dyDescent="0.3">
      <c r="B752" s="15" t="str">
        <f t="shared" si="5"/>
        <v>NFR</v>
      </c>
      <c r="C752" s="15" t="s">
        <v>276</v>
      </c>
      <c r="D752" s="15" t="s">
        <v>378</v>
      </c>
      <c r="E752" s="15" t="s">
        <v>129</v>
      </c>
      <c r="F752" s="15" t="s">
        <v>393</v>
      </c>
      <c r="G752" s="15" t="s">
        <v>2</v>
      </c>
      <c r="H752" s="15">
        <v>847.94159378556003</v>
      </c>
      <c r="K752" s="15">
        <v>21.640404065562301</v>
      </c>
    </row>
    <row r="753" spans="2:11" x14ac:dyDescent="0.3">
      <c r="B753" s="15" t="str">
        <f t="shared" ref="B753:B816" si="6">MID(F753,4,3)</f>
        <v>NFR</v>
      </c>
      <c r="C753" s="15" t="s">
        <v>276</v>
      </c>
      <c r="D753" s="15" t="s">
        <v>378</v>
      </c>
      <c r="E753" s="15" t="s">
        <v>129</v>
      </c>
      <c r="F753" s="15" t="s">
        <v>393</v>
      </c>
      <c r="G753" s="15" t="s">
        <v>3</v>
      </c>
      <c r="H753" s="15">
        <v>301.09987642223399</v>
      </c>
    </row>
    <row r="754" spans="2:11" x14ac:dyDescent="0.3">
      <c r="B754" s="15" t="str">
        <f t="shared" si="6"/>
        <v>NFR</v>
      </c>
      <c r="C754" s="15" t="s">
        <v>276</v>
      </c>
      <c r="D754" s="15" t="s">
        <v>378</v>
      </c>
      <c r="E754" s="15" t="s">
        <v>129</v>
      </c>
      <c r="F754" s="15" t="s">
        <v>393</v>
      </c>
      <c r="G754" s="15" t="s">
        <v>4</v>
      </c>
      <c r="H754" s="15">
        <v>242.450331902691</v>
      </c>
    </row>
    <row r="755" spans="2:11" x14ac:dyDescent="0.3">
      <c r="B755" s="15" t="str">
        <f t="shared" si="6"/>
        <v>NFR</v>
      </c>
      <c r="C755" s="15" t="s">
        <v>276</v>
      </c>
      <c r="D755" s="15" t="s">
        <v>378</v>
      </c>
      <c r="E755" s="15" t="s">
        <v>129</v>
      </c>
      <c r="F755" s="15" t="s">
        <v>393</v>
      </c>
      <c r="G755" s="15" t="s">
        <v>5</v>
      </c>
      <c r="H755" s="15">
        <v>102.441116970393</v>
      </c>
    </row>
    <row r="756" spans="2:11" x14ac:dyDescent="0.3">
      <c r="B756" s="15" t="str">
        <f t="shared" si="6"/>
        <v>NFR</v>
      </c>
      <c r="C756" s="15" t="s">
        <v>276</v>
      </c>
      <c r="D756" s="15" t="s">
        <v>378</v>
      </c>
      <c r="E756" s="15" t="s">
        <v>129</v>
      </c>
      <c r="F756" s="15" t="s">
        <v>393</v>
      </c>
      <c r="G756" s="15" t="s">
        <v>6</v>
      </c>
      <c r="H756" s="15">
        <v>160.12111362704201</v>
      </c>
    </row>
    <row r="757" spans="2:11" x14ac:dyDescent="0.3">
      <c r="B757" s="15" t="str">
        <f t="shared" si="6"/>
        <v>NFR</v>
      </c>
      <c r="C757" s="15" t="s">
        <v>276</v>
      </c>
      <c r="D757" s="15" t="s">
        <v>378</v>
      </c>
      <c r="E757" s="15" t="s">
        <v>129</v>
      </c>
      <c r="F757" s="15" t="s">
        <v>393</v>
      </c>
      <c r="G757" s="15" t="s">
        <v>7</v>
      </c>
      <c r="H757" s="15">
        <v>292.37934625864801</v>
      </c>
    </row>
    <row r="758" spans="2:11" x14ac:dyDescent="0.3">
      <c r="B758" s="15" t="str">
        <f t="shared" si="6"/>
        <v>NFR</v>
      </c>
      <c r="C758" s="15" t="s">
        <v>276</v>
      </c>
      <c r="D758" s="15" t="s">
        <v>378</v>
      </c>
      <c r="E758" s="15" t="s">
        <v>129</v>
      </c>
      <c r="F758" s="15" t="s">
        <v>393</v>
      </c>
      <c r="G758" s="15" t="s">
        <v>8</v>
      </c>
      <c r="H758" s="15">
        <v>293.80361467810599</v>
      </c>
    </row>
    <row r="759" spans="2:11" x14ac:dyDescent="0.3">
      <c r="B759" s="15" t="str">
        <f t="shared" si="6"/>
        <v>NHP</v>
      </c>
      <c r="C759" s="15" t="s">
        <v>276</v>
      </c>
      <c r="D759" s="15" t="s">
        <v>378</v>
      </c>
      <c r="E759" s="15" t="s">
        <v>129</v>
      </c>
      <c r="F759" s="15" t="s">
        <v>394</v>
      </c>
      <c r="G759" s="15" t="s">
        <v>1</v>
      </c>
      <c r="H759" s="15">
        <v>0.93254894333374705</v>
      </c>
      <c r="K759" s="15">
        <v>0.31084964777791602</v>
      </c>
    </row>
    <row r="760" spans="2:11" x14ac:dyDescent="0.3">
      <c r="B760" s="15" t="str">
        <f t="shared" si="6"/>
        <v>NHP</v>
      </c>
      <c r="C760" s="15" t="s">
        <v>276</v>
      </c>
      <c r="D760" s="15" t="s">
        <v>378</v>
      </c>
      <c r="E760" s="15" t="s">
        <v>129</v>
      </c>
      <c r="F760" s="15" t="s">
        <v>394</v>
      </c>
      <c r="G760" s="15" t="s">
        <v>2</v>
      </c>
      <c r="H760" s="15">
        <v>0.34402645041255198</v>
      </c>
      <c r="K760" s="15">
        <v>0.11467548347085101</v>
      </c>
    </row>
    <row r="761" spans="2:11" x14ac:dyDescent="0.3">
      <c r="B761" s="15" t="str">
        <f t="shared" si="6"/>
        <v>NHP</v>
      </c>
      <c r="C761" s="15" t="s">
        <v>276</v>
      </c>
      <c r="D761" s="15" t="s">
        <v>378</v>
      </c>
      <c r="E761" s="15" t="s">
        <v>129</v>
      </c>
      <c r="F761" s="15" t="s">
        <v>394</v>
      </c>
      <c r="G761" s="15" t="s">
        <v>3</v>
      </c>
      <c r="H761" s="15">
        <v>1.1539595062864401</v>
      </c>
      <c r="K761" s="15">
        <v>0.384653168762146</v>
      </c>
    </row>
    <row r="762" spans="2:11" x14ac:dyDescent="0.3">
      <c r="B762" s="15" t="str">
        <f t="shared" si="6"/>
        <v>NHP</v>
      </c>
      <c r="C762" s="15" t="s">
        <v>276</v>
      </c>
      <c r="D762" s="15" t="s">
        <v>378</v>
      </c>
      <c r="E762" s="15" t="s">
        <v>129</v>
      </c>
      <c r="F762" s="15" t="s">
        <v>394</v>
      </c>
      <c r="G762" s="15" t="s">
        <v>4</v>
      </c>
      <c r="H762" s="15">
        <v>3.1215508345837</v>
      </c>
      <c r="K762" s="15">
        <v>1.0405169448612299</v>
      </c>
    </row>
    <row r="763" spans="2:11" x14ac:dyDescent="0.3">
      <c r="B763" s="15" t="str">
        <f t="shared" si="6"/>
        <v>NHP</v>
      </c>
      <c r="C763" s="15" t="s">
        <v>276</v>
      </c>
      <c r="D763" s="15" t="s">
        <v>378</v>
      </c>
      <c r="E763" s="15" t="s">
        <v>129</v>
      </c>
      <c r="F763" s="15" t="s">
        <v>394</v>
      </c>
      <c r="G763" s="15" t="s">
        <v>5</v>
      </c>
      <c r="H763" s="15">
        <v>0.95197136006597305</v>
      </c>
      <c r="K763" s="15">
        <v>0.31732378668865802</v>
      </c>
    </row>
    <row r="764" spans="2:11" x14ac:dyDescent="0.3">
      <c r="B764" s="15" t="str">
        <f t="shared" si="6"/>
        <v>NHP</v>
      </c>
      <c r="C764" s="15" t="s">
        <v>276</v>
      </c>
      <c r="D764" s="15" t="s">
        <v>378</v>
      </c>
      <c r="E764" s="15" t="s">
        <v>129</v>
      </c>
      <c r="F764" s="15" t="s">
        <v>394</v>
      </c>
      <c r="G764" s="15" t="s">
        <v>6</v>
      </c>
      <c r="H764" s="15">
        <v>0.31873973286352503</v>
      </c>
      <c r="K764" s="15">
        <v>0.106246577621175</v>
      </c>
    </row>
    <row r="765" spans="2:11" x14ac:dyDescent="0.3">
      <c r="B765" s="15" t="str">
        <f t="shared" si="6"/>
        <v>NHP</v>
      </c>
      <c r="C765" s="15" t="s">
        <v>276</v>
      </c>
      <c r="D765" s="15" t="s">
        <v>378</v>
      </c>
      <c r="E765" s="15" t="s">
        <v>129</v>
      </c>
      <c r="F765" s="15" t="s">
        <v>394</v>
      </c>
      <c r="G765" s="15" t="s">
        <v>7</v>
      </c>
      <c r="H765" s="15">
        <v>1.6927506635796301</v>
      </c>
      <c r="K765" s="15">
        <v>0.564250221193211</v>
      </c>
    </row>
    <row r="766" spans="2:11" x14ac:dyDescent="0.3">
      <c r="B766" s="15" t="str">
        <f t="shared" si="6"/>
        <v>NHP</v>
      </c>
      <c r="C766" s="15" t="s">
        <v>276</v>
      </c>
      <c r="D766" s="15" t="s">
        <v>378</v>
      </c>
      <c r="E766" s="15" t="s">
        <v>129</v>
      </c>
      <c r="F766" s="15" t="s">
        <v>394</v>
      </c>
      <c r="G766" s="15" t="s">
        <v>8</v>
      </c>
      <c r="H766" s="15">
        <v>0.55824739048691396</v>
      </c>
      <c r="K766" s="15">
        <v>0.18608246349563801</v>
      </c>
    </row>
    <row r="767" spans="2:11" x14ac:dyDescent="0.3">
      <c r="B767" s="15" t="str">
        <f t="shared" si="6"/>
        <v>NRD</v>
      </c>
      <c r="C767" s="15" t="s">
        <v>276</v>
      </c>
      <c r="D767" s="15" t="s">
        <v>378</v>
      </c>
      <c r="E767" s="15" t="s">
        <v>129</v>
      </c>
      <c r="F767" s="15" t="s">
        <v>395</v>
      </c>
      <c r="G767" s="15" t="s">
        <v>0</v>
      </c>
      <c r="H767" s="15">
        <v>76.757967996042396</v>
      </c>
    </row>
    <row r="768" spans="2:11" x14ac:dyDescent="0.3">
      <c r="B768" s="15" t="str">
        <f t="shared" si="6"/>
        <v>NRD</v>
      </c>
      <c r="C768" s="15" t="s">
        <v>276</v>
      </c>
      <c r="D768" s="15" t="s">
        <v>378</v>
      </c>
      <c r="E768" s="15" t="s">
        <v>129</v>
      </c>
      <c r="F768" s="15" t="s">
        <v>395</v>
      </c>
      <c r="G768" s="15" t="s">
        <v>1</v>
      </c>
      <c r="H768" s="15">
        <v>203.533553662293</v>
      </c>
    </row>
    <row r="769" spans="2:12" x14ac:dyDescent="0.3">
      <c r="B769" s="15" t="str">
        <f t="shared" si="6"/>
        <v>NRD</v>
      </c>
      <c r="C769" s="15" t="s">
        <v>276</v>
      </c>
      <c r="D769" s="15" t="s">
        <v>378</v>
      </c>
      <c r="E769" s="15" t="s">
        <v>129</v>
      </c>
      <c r="F769" s="15" t="s">
        <v>395</v>
      </c>
      <c r="G769" s="15" t="s">
        <v>2</v>
      </c>
      <c r="H769" s="15">
        <v>95.199306581782295</v>
      </c>
    </row>
    <row r="770" spans="2:12" x14ac:dyDescent="0.3">
      <c r="B770" s="15" t="str">
        <f t="shared" si="6"/>
        <v>NRD</v>
      </c>
      <c r="C770" s="15" t="s">
        <v>276</v>
      </c>
      <c r="D770" s="15" t="s">
        <v>378</v>
      </c>
      <c r="E770" s="15" t="s">
        <v>129</v>
      </c>
      <c r="F770" s="15" t="s">
        <v>395</v>
      </c>
      <c r="G770" s="15" t="s">
        <v>3</v>
      </c>
      <c r="H770" s="15">
        <v>36.715295159048502</v>
      </c>
    </row>
    <row r="771" spans="2:12" x14ac:dyDescent="0.3">
      <c r="B771" s="15" t="str">
        <f t="shared" si="6"/>
        <v>NRD</v>
      </c>
      <c r="C771" s="15" t="s">
        <v>276</v>
      </c>
      <c r="D771" s="15" t="s">
        <v>378</v>
      </c>
      <c r="E771" s="15" t="s">
        <v>129</v>
      </c>
      <c r="F771" s="15" t="s">
        <v>395</v>
      </c>
      <c r="G771" s="15" t="s">
        <v>4</v>
      </c>
      <c r="H771" s="15">
        <v>33.236288765465801</v>
      </c>
    </row>
    <row r="772" spans="2:12" x14ac:dyDescent="0.3">
      <c r="B772" s="15" t="str">
        <f t="shared" si="6"/>
        <v>NRD</v>
      </c>
      <c r="C772" s="15" t="s">
        <v>276</v>
      </c>
      <c r="D772" s="15" t="s">
        <v>378</v>
      </c>
      <c r="E772" s="15" t="s">
        <v>129</v>
      </c>
      <c r="F772" s="15" t="s">
        <v>395</v>
      </c>
      <c r="G772" s="15" t="s">
        <v>5</v>
      </c>
      <c r="H772" s="15">
        <v>10.1590905363465</v>
      </c>
    </row>
    <row r="773" spans="2:12" x14ac:dyDescent="0.3">
      <c r="B773" s="15" t="str">
        <f t="shared" si="6"/>
        <v>NRD</v>
      </c>
      <c r="C773" s="15" t="s">
        <v>276</v>
      </c>
      <c r="D773" s="15" t="s">
        <v>378</v>
      </c>
      <c r="E773" s="15" t="s">
        <v>129</v>
      </c>
      <c r="F773" s="15" t="s">
        <v>395</v>
      </c>
      <c r="G773" s="15" t="s">
        <v>6</v>
      </c>
      <c r="H773" s="15">
        <v>32.995247089205101</v>
      </c>
    </row>
    <row r="774" spans="2:12" x14ac:dyDescent="0.3">
      <c r="B774" s="15" t="str">
        <f t="shared" si="6"/>
        <v>NRD</v>
      </c>
      <c r="C774" s="15" t="s">
        <v>276</v>
      </c>
      <c r="D774" s="15" t="s">
        <v>378</v>
      </c>
      <c r="E774" s="15" t="s">
        <v>129</v>
      </c>
      <c r="F774" s="15" t="s">
        <v>395</v>
      </c>
      <c r="G774" s="15" t="s">
        <v>7</v>
      </c>
      <c r="H774" s="15">
        <v>31.4863311054952</v>
      </c>
    </row>
    <row r="775" spans="2:12" x14ac:dyDescent="0.3">
      <c r="B775" s="15" t="str">
        <f t="shared" si="6"/>
        <v>NRD</v>
      </c>
      <c r="C775" s="15" t="s">
        <v>276</v>
      </c>
      <c r="D775" s="15" t="s">
        <v>378</v>
      </c>
      <c r="E775" s="15" t="s">
        <v>129</v>
      </c>
      <c r="F775" s="15" t="s">
        <v>395</v>
      </c>
      <c r="G775" s="15" t="s">
        <v>8</v>
      </c>
      <c r="H775" s="15">
        <v>86.728025929355397</v>
      </c>
    </row>
    <row r="776" spans="2:12" x14ac:dyDescent="0.3">
      <c r="B776" s="15" t="str">
        <f t="shared" si="6"/>
        <v>WDH</v>
      </c>
      <c r="C776" s="15" t="s">
        <v>276</v>
      </c>
      <c r="D776" s="15" t="s">
        <v>378</v>
      </c>
      <c r="E776" s="15" t="s">
        <v>129</v>
      </c>
      <c r="F776" s="15" t="s">
        <v>385</v>
      </c>
      <c r="G776" s="15" t="s">
        <v>0</v>
      </c>
      <c r="H776" s="15">
        <v>28.0427784898826</v>
      </c>
      <c r="I776" s="15">
        <v>26.640639565388401</v>
      </c>
      <c r="J776" s="15">
        <v>21.032083867411899</v>
      </c>
      <c r="K776" s="15">
        <v>14.0213892449413</v>
      </c>
      <c r="L776" s="15">
        <v>7.0106946224706403</v>
      </c>
    </row>
    <row r="777" spans="2:12" x14ac:dyDescent="0.3">
      <c r="B777" s="15" t="str">
        <f t="shared" si="6"/>
        <v>WDH</v>
      </c>
      <c r="C777" s="15" t="s">
        <v>276</v>
      </c>
      <c r="D777" s="15" t="s">
        <v>378</v>
      </c>
      <c r="E777" s="15" t="s">
        <v>129</v>
      </c>
      <c r="F777" s="15" t="s">
        <v>385</v>
      </c>
      <c r="G777" s="15" t="s">
        <v>1</v>
      </c>
      <c r="H777" s="15">
        <v>36.709062846115998</v>
      </c>
      <c r="I777" s="15">
        <v>34.873609703810203</v>
      </c>
      <c r="J777" s="15">
        <v>27.531797134586999</v>
      </c>
      <c r="K777" s="15">
        <v>18.354531423057999</v>
      </c>
      <c r="L777" s="15">
        <v>9.1772657115289995</v>
      </c>
    </row>
    <row r="778" spans="2:12" x14ac:dyDescent="0.3">
      <c r="B778" s="15" t="str">
        <f t="shared" si="6"/>
        <v>WDH</v>
      </c>
      <c r="C778" s="15" t="s">
        <v>276</v>
      </c>
      <c r="D778" s="15" t="s">
        <v>378</v>
      </c>
      <c r="E778" s="15" t="s">
        <v>129</v>
      </c>
      <c r="F778" s="15" t="s">
        <v>385</v>
      </c>
      <c r="G778" s="15" t="s">
        <v>2</v>
      </c>
      <c r="H778" s="15">
        <v>56.6625401517542</v>
      </c>
      <c r="I778" s="15">
        <v>53.829413144166502</v>
      </c>
      <c r="J778" s="15">
        <v>42.4969051138157</v>
      </c>
      <c r="K778" s="15">
        <v>28.3312700758771</v>
      </c>
      <c r="L778" s="15">
        <v>14.1656350379386</v>
      </c>
    </row>
    <row r="779" spans="2:12" x14ac:dyDescent="0.3">
      <c r="B779" s="15" t="str">
        <f t="shared" si="6"/>
        <v>WDH</v>
      </c>
      <c r="C779" s="15" t="s">
        <v>276</v>
      </c>
      <c r="D779" s="15" t="s">
        <v>378</v>
      </c>
      <c r="E779" s="15" t="s">
        <v>129</v>
      </c>
      <c r="F779" s="15" t="s">
        <v>385</v>
      </c>
      <c r="G779" s="15" t="s">
        <v>3</v>
      </c>
      <c r="H779" s="15">
        <v>40.7523135385008</v>
      </c>
      <c r="I779" s="15">
        <v>38.7146978615758</v>
      </c>
      <c r="J779" s="15">
        <v>30.5642351538756</v>
      </c>
      <c r="K779" s="15">
        <v>20.3761567692504</v>
      </c>
      <c r="L779" s="15">
        <v>10.1880783846252</v>
      </c>
    </row>
    <row r="780" spans="2:12" x14ac:dyDescent="0.3">
      <c r="B780" s="15" t="str">
        <f t="shared" si="6"/>
        <v>WDH</v>
      </c>
      <c r="C780" s="15" t="s">
        <v>276</v>
      </c>
      <c r="D780" s="15" t="s">
        <v>378</v>
      </c>
      <c r="E780" s="15" t="s">
        <v>129</v>
      </c>
      <c r="F780" s="15" t="s">
        <v>385</v>
      </c>
      <c r="G780" s="15" t="s">
        <v>4</v>
      </c>
      <c r="H780" s="15">
        <v>62.891491967927998</v>
      </c>
      <c r="I780" s="15">
        <v>59.746917369531602</v>
      </c>
      <c r="J780" s="15">
        <v>47.168618975946004</v>
      </c>
      <c r="K780" s="15">
        <v>31.445745983963999</v>
      </c>
      <c r="L780" s="15">
        <v>15.722872991981999</v>
      </c>
    </row>
    <row r="781" spans="2:12" x14ac:dyDescent="0.3">
      <c r="B781" s="15" t="str">
        <f t="shared" si="6"/>
        <v>WDH</v>
      </c>
      <c r="C781" s="15" t="s">
        <v>276</v>
      </c>
      <c r="D781" s="15" t="s">
        <v>378</v>
      </c>
      <c r="E781" s="15" t="s">
        <v>129</v>
      </c>
      <c r="F781" s="15" t="s">
        <v>385</v>
      </c>
      <c r="G781" s="15" t="s">
        <v>5</v>
      </c>
      <c r="H781" s="15">
        <v>30.288094044160498</v>
      </c>
      <c r="I781" s="15">
        <v>28.773689341952501</v>
      </c>
      <c r="J781" s="15">
        <v>22.716070533120401</v>
      </c>
      <c r="K781" s="15">
        <v>15.144047022080199</v>
      </c>
      <c r="L781" s="15">
        <v>7.5720235110401202</v>
      </c>
    </row>
    <row r="782" spans="2:12" x14ac:dyDescent="0.3">
      <c r="B782" s="15" t="str">
        <f t="shared" si="6"/>
        <v>WDH</v>
      </c>
      <c r="C782" s="15" t="s">
        <v>276</v>
      </c>
      <c r="D782" s="15" t="s">
        <v>378</v>
      </c>
      <c r="E782" s="15" t="s">
        <v>129</v>
      </c>
      <c r="F782" s="15" t="s">
        <v>385</v>
      </c>
      <c r="G782" s="15" t="s">
        <v>6</v>
      </c>
      <c r="H782" s="15">
        <v>19.972734609895198</v>
      </c>
      <c r="I782" s="15">
        <v>18.9740978794004</v>
      </c>
      <c r="J782" s="15">
        <v>14.979550957421401</v>
      </c>
      <c r="K782" s="15">
        <v>9.9863673049475992</v>
      </c>
      <c r="L782" s="15">
        <v>4.9931836524737996</v>
      </c>
    </row>
    <row r="783" spans="2:12" x14ac:dyDescent="0.3">
      <c r="B783" s="15" t="str">
        <f t="shared" si="6"/>
        <v>WDH</v>
      </c>
      <c r="C783" s="15" t="s">
        <v>276</v>
      </c>
      <c r="D783" s="15" t="s">
        <v>378</v>
      </c>
      <c r="E783" s="15" t="s">
        <v>129</v>
      </c>
      <c r="F783" s="15" t="s">
        <v>385</v>
      </c>
      <c r="G783" s="15" t="s">
        <v>7</v>
      </c>
      <c r="H783" s="15">
        <v>25.8709017607875</v>
      </c>
      <c r="I783" s="15">
        <v>24.577356672748099</v>
      </c>
      <c r="J783" s="15">
        <v>19.4031763205906</v>
      </c>
      <c r="K783" s="15">
        <v>12.9354508803938</v>
      </c>
      <c r="L783" s="15">
        <v>6.4677254401968796</v>
      </c>
    </row>
    <row r="784" spans="2:12" x14ac:dyDescent="0.3">
      <c r="B784" s="15" t="str">
        <f t="shared" si="6"/>
        <v>WDH</v>
      </c>
      <c r="C784" s="15" t="s">
        <v>276</v>
      </c>
      <c r="D784" s="15" t="s">
        <v>378</v>
      </c>
      <c r="E784" s="15" t="s">
        <v>129</v>
      </c>
      <c r="F784" s="15" t="s">
        <v>385</v>
      </c>
      <c r="G784" s="15" t="s">
        <v>8</v>
      </c>
      <c r="H784" s="15">
        <v>72.459750744322207</v>
      </c>
      <c r="I784" s="15">
        <v>68.836763207106102</v>
      </c>
      <c r="J784" s="15">
        <v>54.344813058241698</v>
      </c>
      <c r="K784" s="15">
        <v>36.229875372161104</v>
      </c>
      <c r="L784" s="15">
        <v>18.114937686080602</v>
      </c>
    </row>
    <row r="785" spans="2:17" x14ac:dyDescent="0.3">
      <c r="B785" s="15" t="str">
        <f t="shared" si="6"/>
        <v>WDH</v>
      </c>
      <c r="C785" s="15" t="s">
        <v>276</v>
      </c>
      <c r="D785" s="15" t="s">
        <v>378</v>
      </c>
      <c r="E785" s="15" t="s">
        <v>129</v>
      </c>
      <c r="F785" s="15" t="s">
        <v>386</v>
      </c>
      <c r="G785" s="15" t="s">
        <v>0</v>
      </c>
      <c r="I785" s="15">
        <v>342.518091681577</v>
      </c>
      <c r="J785" s="15">
        <v>342.518091681577</v>
      </c>
      <c r="K785" s="15">
        <v>354.74895572853012</v>
      </c>
      <c r="L785" s="15">
        <v>354.74895572853012</v>
      </c>
      <c r="M785" s="15">
        <v>338.91533437326609</v>
      </c>
      <c r="N785" s="15">
        <v>326.70852004317709</v>
      </c>
      <c r="O785" s="15">
        <v>314.47765599622397</v>
      </c>
      <c r="P785" s="15">
        <v>314.47765599622397</v>
      </c>
      <c r="Q785" s="15">
        <v>302.50873425028556</v>
      </c>
    </row>
    <row r="786" spans="2:17" x14ac:dyDescent="0.3">
      <c r="B786" s="15" t="str">
        <f t="shared" si="6"/>
        <v>WDH</v>
      </c>
      <c r="C786" s="15" t="s">
        <v>276</v>
      </c>
      <c r="D786" s="15" t="s">
        <v>378</v>
      </c>
      <c r="E786" s="15" t="s">
        <v>129</v>
      </c>
      <c r="F786" s="15" t="s">
        <v>386</v>
      </c>
      <c r="G786" s="15" t="s">
        <v>1</v>
      </c>
      <c r="I786" s="15">
        <v>869.78118923406805</v>
      </c>
      <c r="J786" s="15">
        <v>869.78118923406805</v>
      </c>
      <c r="K786" s="15">
        <v>892.57660829928625</v>
      </c>
      <c r="L786" s="15">
        <v>892.57660829928625</v>
      </c>
      <c r="M786" s="15">
        <v>822.5527278252282</v>
      </c>
      <c r="N786" s="15">
        <v>689.9156973717412</v>
      </c>
      <c r="O786" s="15">
        <v>667.12027830652301</v>
      </c>
      <c r="P786" s="15">
        <v>667.12027830652301</v>
      </c>
      <c r="Q786" s="15">
        <v>628.15170734416301</v>
      </c>
    </row>
    <row r="787" spans="2:17" x14ac:dyDescent="0.3">
      <c r="B787" s="15" t="str">
        <f t="shared" si="6"/>
        <v>WDH</v>
      </c>
      <c r="C787" s="15" t="s">
        <v>276</v>
      </c>
      <c r="D787" s="15" t="s">
        <v>378</v>
      </c>
      <c r="E787" s="15" t="s">
        <v>129</v>
      </c>
      <c r="F787" s="15" t="s">
        <v>386</v>
      </c>
      <c r="G787" s="15" t="s">
        <v>2</v>
      </c>
      <c r="I787" s="15">
        <v>1084.04167786531</v>
      </c>
      <c r="J787" s="15">
        <v>1084.04167786531</v>
      </c>
      <c r="K787" s="15">
        <v>1084.04167786531</v>
      </c>
      <c r="L787" s="15">
        <v>1084.04167786531</v>
      </c>
      <c r="M787" s="15">
        <v>1036.1197355403999</v>
      </c>
      <c r="N787" s="15">
        <v>603.70654879778294</v>
      </c>
      <c r="O787" s="15">
        <v>603.70654879778294</v>
      </c>
      <c r="P787" s="15">
        <v>603.70654879778294</v>
      </c>
      <c r="Q787" s="15">
        <v>572.36212506198001</v>
      </c>
    </row>
    <row r="788" spans="2:17" x14ac:dyDescent="0.3">
      <c r="B788" s="15" t="str">
        <f t="shared" si="6"/>
        <v>WDH</v>
      </c>
      <c r="C788" s="15" t="s">
        <v>276</v>
      </c>
      <c r="D788" s="15" t="s">
        <v>378</v>
      </c>
      <c r="E788" s="15" t="s">
        <v>129</v>
      </c>
      <c r="F788" s="15" t="s">
        <v>386</v>
      </c>
      <c r="G788" s="15" t="s">
        <v>3</v>
      </c>
      <c r="I788" s="15">
        <v>514.70841095712001</v>
      </c>
      <c r="J788" s="15">
        <v>514.70841095712001</v>
      </c>
      <c r="K788" s="15">
        <v>514.70841095712001</v>
      </c>
      <c r="L788" s="15">
        <v>523.61336780676606</v>
      </c>
      <c r="M788" s="15">
        <v>525.82526275825103</v>
      </c>
      <c r="N788" s="15">
        <v>377.11842537184305</v>
      </c>
      <c r="O788" s="15">
        <v>377.11842537184305</v>
      </c>
      <c r="P788" s="15">
        <v>368.21346852219699</v>
      </c>
      <c r="Q788" s="15">
        <v>343.54837555926497</v>
      </c>
    </row>
    <row r="789" spans="2:17" x14ac:dyDescent="0.3">
      <c r="B789" s="15" t="str">
        <f t="shared" si="6"/>
        <v>WDH</v>
      </c>
      <c r="C789" s="15" t="s">
        <v>276</v>
      </c>
      <c r="D789" s="15" t="s">
        <v>378</v>
      </c>
      <c r="E789" s="15" t="s">
        <v>129</v>
      </c>
      <c r="F789" s="15" t="s">
        <v>386</v>
      </c>
      <c r="G789" s="15" t="s">
        <v>4</v>
      </c>
      <c r="I789" s="15">
        <v>624.39750565283498</v>
      </c>
      <c r="J789" s="15">
        <v>624.39750565283498</v>
      </c>
      <c r="K789" s="15">
        <v>624.39750565283498</v>
      </c>
      <c r="L789" s="15">
        <v>624.39750565283498</v>
      </c>
      <c r="M789" s="15">
        <v>640.47820552110602</v>
      </c>
      <c r="N789" s="15">
        <v>247.73113487619401</v>
      </c>
      <c r="O789" s="15">
        <v>247.73113487619401</v>
      </c>
      <c r="P789" s="15">
        <v>247.73113487619401</v>
      </c>
    </row>
    <row r="790" spans="2:17" x14ac:dyDescent="0.3">
      <c r="B790" s="15" t="str">
        <f t="shared" si="6"/>
        <v>WDH</v>
      </c>
      <c r="C790" s="15" t="s">
        <v>276</v>
      </c>
      <c r="D790" s="15" t="s">
        <v>378</v>
      </c>
      <c r="E790" s="15" t="s">
        <v>129</v>
      </c>
      <c r="F790" s="15" t="s">
        <v>386</v>
      </c>
      <c r="G790" s="15" t="s">
        <v>5</v>
      </c>
      <c r="I790" s="15">
        <v>215.60708129657701</v>
      </c>
      <c r="J790" s="15">
        <v>215.60708129657701</v>
      </c>
      <c r="K790" s="15">
        <v>215.60708129657701</v>
      </c>
      <c r="L790" s="15">
        <v>215.60708129657701</v>
      </c>
      <c r="M790" s="15">
        <v>135.617213110091</v>
      </c>
    </row>
    <row r="791" spans="2:17" x14ac:dyDescent="0.3">
      <c r="B791" s="15" t="str">
        <f t="shared" si="6"/>
        <v>WDH</v>
      </c>
      <c r="C791" s="15" t="s">
        <v>276</v>
      </c>
      <c r="D791" s="15" t="s">
        <v>378</v>
      </c>
      <c r="E791" s="15" t="s">
        <v>129</v>
      </c>
      <c r="F791" s="15" t="s">
        <v>386</v>
      </c>
      <c r="G791" s="15" t="s">
        <v>6</v>
      </c>
      <c r="I791" s="15">
        <v>283.39004392308402</v>
      </c>
      <c r="J791" s="15">
        <v>283.39004392308402</v>
      </c>
      <c r="K791" s="15">
        <v>283.39004392308402</v>
      </c>
      <c r="L791" s="15">
        <v>283.39004392308402</v>
      </c>
      <c r="M791" s="15">
        <v>178.25280945726101</v>
      </c>
    </row>
    <row r="792" spans="2:17" x14ac:dyDescent="0.3">
      <c r="B792" s="15" t="str">
        <f t="shared" si="6"/>
        <v>WDH</v>
      </c>
      <c r="C792" s="15" t="s">
        <v>276</v>
      </c>
      <c r="D792" s="15" t="s">
        <v>378</v>
      </c>
      <c r="E792" s="15" t="s">
        <v>129</v>
      </c>
      <c r="F792" s="15" t="s">
        <v>386</v>
      </c>
      <c r="G792" s="15" t="s">
        <v>7</v>
      </c>
      <c r="I792" s="15">
        <v>472.01864297098001</v>
      </c>
      <c r="J792" s="15">
        <v>472.01864297098001</v>
      </c>
      <c r="K792" s="15">
        <v>472.01864297098001</v>
      </c>
      <c r="L792" s="15">
        <v>472.01864297098001</v>
      </c>
      <c r="M792" s="15">
        <v>448.28136455460799</v>
      </c>
      <c r="N792" s="15">
        <v>151.380852239441</v>
      </c>
      <c r="O792" s="15">
        <v>151.380852239441</v>
      </c>
      <c r="P792" s="15">
        <v>151.380852239441</v>
      </c>
      <c r="Q792" s="15">
        <v>91.332925374112193</v>
      </c>
    </row>
    <row r="793" spans="2:17" x14ac:dyDescent="0.3">
      <c r="B793" s="15" t="str">
        <f t="shared" si="6"/>
        <v>WDH</v>
      </c>
      <c r="C793" s="15" t="s">
        <v>276</v>
      </c>
      <c r="D793" s="15" t="s">
        <v>378</v>
      </c>
      <c r="E793" s="15" t="s">
        <v>129</v>
      </c>
      <c r="F793" s="15" t="s">
        <v>386</v>
      </c>
      <c r="G793" s="15" t="s">
        <v>8</v>
      </c>
      <c r="I793" s="15">
        <v>575.31846840273101</v>
      </c>
      <c r="J793" s="15">
        <v>575.31846840273101</v>
      </c>
      <c r="K793" s="15">
        <v>580.59193836720601</v>
      </c>
      <c r="L793" s="15">
        <v>604.46570008008678</v>
      </c>
      <c r="M793" s="15">
        <v>619.98589954528086</v>
      </c>
      <c r="N793" s="15">
        <v>614.26573092473882</v>
      </c>
      <c r="O793" s="15">
        <v>608.99226096026382</v>
      </c>
      <c r="P793" s="15">
        <v>604.53034757651574</v>
      </c>
      <c r="Q793" s="15">
        <v>598.4220891659138</v>
      </c>
    </row>
    <row r="794" spans="2:17" x14ac:dyDescent="0.3">
      <c r="B794" s="15" t="str">
        <f t="shared" si="6"/>
        <v>DWH</v>
      </c>
      <c r="C794" s="15" t="s">
        <v>276</v>
      </c>
      <c r="D794" s="15" t="s">
        <v>396</v>
      </c>
      <c r="E794" s="15" t="s">
        <v>155</v>
      </c>
      <c r="F794" s="15" t="s">
        <v>402</v>
      </c>
      <c r="G794" s="15" t="s">
        <v>0</v>
      </c>
      <c r="H794" s="15">
        <v>16.921475122503999</v>
      </c>
      <c r="I794" s="15">
        <v>5.3859679536299403</v>
      </c>
      <c r="J794" s="15">
        <v>8.4607375612519995</v>
      </c>
    </row>
    <row r="795" spans="2:17" x14ac:dyDescent="0.3">
      <c r="B795" s="15" t="str">
        <f t="shared" si="6"/>
        <v>DWH</v>
      </c>
      <c r="C795" s="15" t="s">
        <v>276</v>
      </c>
      <c r="D795" s="15" t="s">
        <v>396</v>
      </c>
      <c r="E795" s="15" t="s">
        <v>155</v>
      </c>
      <c r="F795" s="15" t="s">
        <v>402</v>
      </c>
      <c r="G795" s="15" t="s">
        <v>1</v>
      </c>
      <c r="H795" s="15">
        <v>18.124768962209</v>
      </c>
    </row>
    <row r="796" spans="2:17" x14ac:dyDescent="0.3">
      <c r="B796" s="15" t="str">
        <f t="shared" si="6"/>
        <v>DWH</v>
      </c>
      <c r="C796" s="15" t="s">
        <v>276</v>
      </c>
      <c r="D796" s="15" t="s">
        <v>396</v>
      </c>
      <c r="E796" s="15" t="s">
        <v>155</v>
      </c>
      <c r="F796" s="15" t="s">
        <v>402</v>
      </c>
      <c r="G796" s="15" t="s">
        <v>2</v>
      </c>
      <c r="H796" s="15">
        <v>1.2481869874669701E-2</v>
      </c>
    </row>
    <row r="797" spans="2:17" x14ac:dyDescent="0.3">
      <c r="B797" s="15" t="str">
        <f t="shared" si="6"/>
        <v>DWH</v>
      </c>
      <c r="C797" s="15" t="s">
        <v>276</v>
      </c>
      <c r="D797" s="15" t="s">
        <v>396</v>
      </c>
      <c r="E797" s="15" t="s">
        <v>155</v>
      </c>
      <c r="F797" s="15" t="s">
        <v>402</v>
      </c>
      <c r="G797" s="15" t="s">
        <v>4</v>
      </c>
      <c r="H797" s="15">
        <v>0.56665160000063597</v>
      </c>
    </row>
    <row r="798" spans="2:17" x14ac:dyDescent="0.3">
      <c r="B798" s="15" t="str">
        <f t="shared" si="6"/>
        <v>DWH</v>
      </c>
      <c r="C798" s="15" t="s">
        <v>276</v>
      </c>
      <c r="D798" s="15" t="s">
        <v>396</v>
      </c>
      <c r="E798" s="15" t="s">
        <v>155</v>
      </c>
      <c r="F798" s="15" t="s">
        <v>402</v>
      </c>
      <c r="G798" s="15" t="s">
        <v>8</v>
      </c>
      <c r="H798" s="15">
        <v>0.12501984312578701</v>
      </c>
    </row>
    <row r="799" spans="2:17" x14ac:dyDescent="0.3">
      <c r="B799" s="15" t="str">
        <f t="shared" si="6"/>
        <v>EWH</v>
      </c>
      <c r="C799" s="15" t="s">
        <v>276</v>
      </c>
      <c r="D799" s="15" t="s">
        <v>396</v>
      </c>
      <c r="E799" s="15" t="s">
        <v>155</v>
      </c>
      <c r="F799" s="15" t="s">
        <v>397</v>
      </c>
      <c r="G799" s="15" t="s">
        <v>0</v>
      </c>
      <c r="H799" s="15">
        <v>9.2783154815001705</v>
      </c>
      <c r="I799" s="15">
        <v>8.6597611160668304</v>
      </c>
      <c r="K799" s="15">
        <v>3.0927718271667199</v>
      </c>
    </row>
    <row r="800" spans="2:17" x14ac:dyDescent="0.3">
      <c r="B800" s="15" t="str">
        <f t="shared" si="6"/>
        <v>EWH</v>
      </c>
      <c r="C800" s="15" t="s">
        <v>276</v>
      </c>
      <c r="D800" s="15" t="s">
        <v>396</v>
      </c>
      <c r="E800" s="15" t="s">
        <v>155</v>
      </c>
      <c r="F800" s="15" t="s">
        <v>397</v>
      </c>
      <c r="G800" s="15" t="s">
        <v>1</v>
      </c>
      <c r="H800" s="15">
        <v>25.955497377208101</v>
      </c>
      <c r="I800" s="15">
        <v>24.225130885394201</v>
      </c>
      <c r="J800" s="15">
        <v>17.303664918138701</v>
      </c>
      <c r="K800" s="15">
        <v>8.6518324590693698</v>
      </c>
    </row>
    <row r="801" spans="2:17" x14ac:dyDescent="0.3">
      <c r="B801" s="15" t="str">
        <f t="shared" si="6"/>
        <v>EWH</v>
      </c>
      <c r="C801" s="15" t="s">
        <v>276</v>
      </c>
      <c r="D801" s="15" t="s">
        <v>396</v>
      </c>
      <c r="E801" s="15" t="s">
        <v>155</v>
      </c>
      <c r="F801" s="15" t="s">
        <v>397</v>
      </c>
      <c r="G801" s="15" t="s">
        <v>2</v>
      </c>
      <c r="H801" s="15">
        <v>33.650338672965603</v>
      </c>
      <c r="I801" s="15">
        <v>31.406982761434602</v>
      </c>
      <c r="J801" s="15">
        <v>22.433559115310398</v>
      </c>
      <c r="K801" s="15">
        <v>11.216779557655199</v>
      </c>
    </row>
    <row r="802" spans="2:17" x14ac:dyDescent="0.3">
      <c r="B802" s="15" t="str">
        <f t="shared" si="6"/>
        <v>EWH</v>
      </c>
      <c r="C802" s="15" t="s">
        <v>276</v>
      </c>
      <c r="D802" s="15" t="s">
        <v>396</v>
      </c>
      <c r="E802" s="15" t="s">
        <v>155</v>
      </c>
      <c r="F802" s="15" t="s">
        <v>397</v>
      </c>
      <c r="G802" s="15" t="s">
        <v>3</v>
      </c>
      <c r="H802" s="15">
        <v>20.0830127894166</v>
      </c>
      <c r="I802" s="15">
        <v>18.7441452701222</v>
      </c>
      <c r="J802" s="15">
        <v>13.388675192944399</v>
      </c>
      <c r="K802" s="15">
        <v>6.6943375964721996</v>
      </c>
    </row>
    <row r="803" spans="2:17" x14ac:dyDescent="0.3">
      <c r="B803" s="15" t="str">
        <f t="shared" si="6"/>
        <v>EWH</v>
      </c>
      <c r="C803" s="15" t="s">
        <v>276</v>
      </c>
      <c r="D803" s="15" t="s">
        <v>396</v>
      </c>
      <c r="E803" s="15" t="s">
        <v>155</v>
      </c>
      <c r="F803" s="15" t="s">
        <v>397</v>
      </c>
      <c r="G803" s="15" t="s">
        <v>4</v>
      </c>
      <c r="H803" s="15">
        <v>137.639659389569</v>
      </c>
      <c r="I803" s="15">
        <v>84.503004200873804</v>
      </c>
      <c r="J803" s="15">
        <v>91.759772926379298</v>
      </c>
      <c r="K803" s="15">
        <v>45.879886463189699</v>
      </c>
    </row>
    <row r="804" spans="2:17" x14ac:dyDescent="0.3">
      <c r="B804" s="15" t="str">
        <f t="shared" si="6"/>
        <v>EWH</v>
      </c>
      <c r="C804" s="15" t="s">
        <v>276</v>
      </c>
      <c r="D804" s="15" t="s">
        <v>396</v>
      </c>
      <c r="E804" s="15" t="s">
        <v>155</v>
      </c>
      <c r="F804" s="15" t="s">
        <v>397</v>
      </c>
      <c r="G804" s="15" t="s">
        <v>5</v>
      </c>
      <c r="H804" s="15">
        <v>40.063548446849403</v>
      </c>
      <c r="I804" s="15">
        <v>37.392645217059403</v>
      </c>
      <c r="J804" s="15">
        <v>26.709032297899601</v>
      </c>
      <c r="K804" s="15">
        <v>13.3545161489498</v>
      </c>
    </row>
    <row r="805" spans="2:17" x14ac:dyDescent="0.3">
      <c r="B805" s="15" t="str">
        <f t="shared" si="6"/>
        <v>EWH</v>
      </c>
      <c r="C805" s="15" t="s">
        <v>276</v>
      </c>
      <c r="D805" s="15" t="s">
        <v>396</v>
      </c>
      <c r="E805" s="15" t="s">
        <v>155</v>
      </c>
      <c r="F805" s="15" t="s">
        <v>397</v>
      </c>
      <c r="G805" s="15" t="s">
        <v>6</v>
      </c>
      <c r="H805" s="15">
        <v>53.439570481252296</v>
      </c>
      <c r="I805" s="15">
        <v>49.876932449168798</v>
      </c>
      <c r="J805" s="15">
        <v>35.626380320834897</v>
      </c>
      <c r="K805" s="15">
        <v>17.813190160417399</v>
      </c>
    </row>
    <row r="806" spans="2:17" x14ac:dyDescent="0.3">
      <c r="B806" s="15" t="str">
        <f t="shared" si="6"/>
        <v>EWH</v>
      </c>
      <c r="C806" s="15" t="s">
        <v>276</v>
      </c>
      <c r="D806" s="15" t="s">
        <v>396</v>
      </c>
      <c r="E806" s="15" t="s">
        <v>155</v>
      </c>
      <c r="F806" s="15" t="s">
        <v>397</v>
      </c>
      <c r="G806" s="15" t="s">
        <v>7</v>
      </c>
      <c r="H806" s="15">
        <v>19.722586200571399</v>
      </c>
      <c r="I806" s="15">
        <v>18.407747120533301</v>
      </c>
      <c r="J806" s="15">
        <v>13.1483908003809</v>
      </c>
      <c r="K806" s="15">
        <v>6.5741954001904697</v>
      </c>
    </row>
    <row r="807" spans="2:17" x14ac:dyDescent="0.3">
      <c r="B807" s="15" t="str">
        <f t="shared" si="6"/>
        <v>EWH</v>
      </c>
      <c r="C807" s="15" t="s">
        <v>276</v>
      </c>
      <c r="D807" s="15" t="s">
        <v>396</v>
      </c>
      <c r="E807" s="15" t="s">
        <v>155</v>
      </c>
      <c r="F807" s="15" t="s">
        <v>397</v>
      </c>
      <c r="G807" s="15" t="s">
        <v>8</v>
      </c>
      <c r="H807" s="15">
        <v>42.319215644175401</v>
      </c>
      <c r="I807" s="15">
        <v>39.497934601230398</v>
      </c>
      <c r="J807" s="15">
        <v>28.2128104294503</v>
      </c>
      <c r="K807" s="15">
        <v>14.1064052147251</v>
      </c>
    </row>
    <row r="808" spans="2:17" x14ac:dyDescent="0.3">
      <c r="B808" s="15" t="str">
        <f t="shared" si="6"/>
        <v>EWH</v>
      </c>
      <c r="C808" s="15" t="s">
        <v>276</v>
      </c>
      <c r="D808" s="15" t="s">
        <v>396</v>
      </c>
      <c r="E808" s="15" t="s">
        <v>155</v>
      </c>
      <c r="F808" s="15" t="s">
        <v>398</v>
      </c>
      <c r="G808" s="15" t="s">
        <v>1</v>
      </c>
      <c r="I808" s="15">
        <v>131.929413291712</v>
      </c>
      <c r="J808" s="15">
        <v>131.929413291712</v>
      </c>
      <c r="K808" s="15">
        <v>131.929413291712</v>
      </c>
      <c r="L808" s="15">
        <v>82.983820616078503</v>
      </c>
    </row>
    <row r="809" spans="2:17" x14ac:dyDescent="0.3">
      <c r="B809" s="15" t="str">
        <f t="shared" si="6"/>
        <v>EWH</v>
      </c>
      <c r="C809" s="15" t="s">
        <v>276</v>
      </c>
      <c r="D809" s="15" t="s">
        <v>396</v>
      </c>
      <c r="E809" s="15" t="s">
        <v>155</v>
      </c>
      <c r="F809" s="15" t="s">
        <v>398</v>
      </c>
      <c r="G809" s="15" t="s">
        <v>2</v>
      </c>
      <c r="I809" s="15">
        <v>84.760656492645197</v>
      </c>
      <c r="J809" s="15">
        <v>84.760656492645197</v>
      </c>
      <c r="K809" s="15">
        <v>84.760656492645197</v>
      </c>
      <c r="L809" s="15">
        <v>53.314594055945904</v>
      </c>
    </row>
    <row r="810" spans="2:17" x14ac:dyDescent="0.3">
      <c r="B810" s="15" t="str">
        <f t="shared" si="6"/>
        <v>EWH</v>
      </c>
      <c r="C810" s="15" t="s">
        <v>276</v>
      </c>
      <c r="D810" s="15" t="s">
        <v>396</v>
      </c>
      <c r="E810" s="15" t="s">
        <v>155</v>
      </c>
      <c r="F810" s="15" t="s">
        <v>398</v>
      </c>
      <c r="G810" s="15" t="s">
        <v>3</v>
      </c>
      <c r="I810" s="15">
        <v>39.512764195955</v>
      </c>
      <c r="J810" s="15">
        <v>39.512764195955</v>
      </c>
      <c r="K810" s="15">
        <v>39.512764195955</v>
      </c>
      <c r="L810" s="15">
        <v>24.8535944659472</v>
      </c>
    </row>
    <row r="811" spans="2:17" x14ac:dyDescent="0.3">
      <c r="B811" s="15" t="str">
        <f t="shared" si="6"/>
        <v>EWH</v>
      </c>
      <c r="C811" s="15" t="s">
        <v>276</v>
      </c>
      <c r="D811" s="15" t="s">
        <v>396</v>
      </c>
      <c r="E811" s="15" t="s">
        <v>155</v>
      </c>
      <c r="F811" s="15" t="s">
        <v>398</v>
      </c>
      <c r="G811" s="15" t="s">
        <v>4</v>
      </c>
      <c r="I811" s="15">
        <v>145.33779734122101</v>
      </c>
      <c r="J811" s="15">
        <v>145.33779734122101</v>
      </c>
      <c r="K811" s="15">
        <v>145.33779734122101</v>
      </c>
      <c r="L811" s="15">
        <v>91.417716507480094</v>
      </c>
    </row>
    <row r="812" spans="2:17" x14ac:dyDescent="0.3">
      <c r="B812" s="15" t="str">
        <f t="shared" si="6"/>
        <v>EWH</v>
      </c>
      <c r="C812" s="15" t="s">
        <v>276</v>
      </c>
      <c r="D812" s="15" t="s">
        <v>396</v>
      </c>
      <c r="E812" s="15" t="s">
        <v>155</v>
      </c>
      <c r="F812" s="15" t="s">
        <v>398</v>
      </c>
      <c r="G812" s="15" t="s">
        <v>5</v>
      </c>
      <c r="I812" s="15">
        <v>32.877559055065397</v>
      </c>
      <c r="J812" s="15">
        <v>32.877559055065397</v>
      </c>
      <c r="K812" s="15">
        <v>32.877559055065397</v>
      </c>
      <c r="L812" s="15">
        <v>20.6800393850571</v>
      </c>
    </row>
    <row r="813" spans="2:17" x14ac:dyDescent="0.3">
      <c r="B813" s="15" t="str">
        <f t="shared" si="6"/>
        <v>EWH</v>
      </c>
      <c r="C813" s="15" t="s">
        <v>276</v>
      </c>
      <c r="D813" s="15" t="s">
        <v>396</v>
      </c>
      <c r="E813" s="15" t="s">
        <v>155</v>
      </c>
      <c r="F813" s="15" t="s">
        <v>398</v>
      </c>
      <c r="G813" s="15" t="s">
        <v>6</v>
      </c>
      <c r="I813" s="15">
        <v>90.650910637089197</v>
      </c>
      <c r="J813" s="15">
        <v>90.650910637089197</v>
      </c>
      <c r="K813" s="15">
        <v>90.650910637089197</v>
      </c>
      <c r="L813" s="15">
        <v>57.019573719767003</v>
      </c>
    </row>
    <row r="814" spans="2:17" x14ac:dyDescent="0.3">
      <c r="B814" s="15" t="str">
        <f t="shared" si="6"/>
        <v>EWH</v>
      </c>
      <c r="C814" s="15" t="s">
        <v>276</v>
      </c>
      <c r="D814" s="15" t="s">
        <v>396</v>
      </c>
      <c r="E814" s="15" t="s">
        <v>155</v>
      </c>
      <c r="F814" s="15" t="s">
        <v>398</v>
      </c>
      <c r="G814" s="15" t="s">
        <v>7</v>
      </c>
      <c r="I814" s="15">
        <v>45.037062907687798</v>
      </c>
      <c r="J814" s="15">
        <v>45.037062907687798</v>
      </c>
      <c r="K814" s="15">
        <v>45.037062907687798</v>
      </c>
      <c r="L814" s="15">
        <v>28.328387553296299</v>
      </c>
    </row>
    <row r="815" spans="2:17" x14ac:dyDescent="0.3">
      <c r="B815" s="15" t="str">
        <f t="shared" si="6"/>
        <v>EWH</v>
      </c>
      <c r="C815" s="15" t="s">
        <v>276</v>
      </c>
      <c r="D815" s="15" t="s">
        <v>396</v>
      </c>
      <c r="E815" s="15" t="s">
        <v>155</v>
      </c>
      <c r="F815" s="15" t="s">
        <v>399</v>
      </c>
      <c r="G815" s="15" t="s">
        <v>0</v>
      </c>
      <c r="I815" s="15">
        <v>1.3656924889168901E-2</v>
      </c>
      <c r="J815" s="15">
        <v>1.3656924889168901E-2</v>
      </c>
      <c r="K815" s="15">
        <v>1.3656924889168901E-2</v>
      </c>
      <c r="L815" s="15">
        <v>2.2375040852375441</v>
      </c>
      <c r="M815" s="15">
        <v>2.2289138567441902</v>
      </c>
      <c r="N815" s="15">
        <v>57.967852173327792</v>
      </c>
      <c r="O815" s="15">
        <v>57.992837257751688</v>
      </c>
      <c r="P815" s="15">
        <v>57.916298103849591</v>
      </c>
      <c r="Q815" s="15">
        <v>58.164218875206686</v>
      </c>
    </row>
    <row r="816" spans="2:17" x14ac:dyDescent="0.3">
      <c r="B816" s="15" t="str">
        <f t="shared" si="6"/>
        <v>EWH</v>
      </c>
      <c r="C816" s="15" t="s">
        <v>276</v>
      </c>
      <c r="D816" s="15" t="s">
        <v>396</v>
      </c>
      <c r="E816" s="15" t="s">
        <v>155</v>
      </c>
      <c r="F816" s="15" t="s">
        <v>399</v>
      </c>
      <c r="G816" s="15" t="s">
        <v>1</v>
      </c>
      <c r="L816" s="15">
        <v>53.807337879362599</v>
      </c>
      <c r="M816" s="15">
        <v>135.50293727267209</v>
      </c>
      <c r="N816" s="15">
        <v>158.69501463673697</v>
      </c>
      <c r="O816" s="15">
        <v>157.92380699078598</v>
      </c>
      <c r="P816" s="15">
        <v>156.92641643385701</v>
      </c>
      <c r="Q816" s="15">
        <v>156.84888203242591</v>
      </c>
    </row>
    <row r="817" spans="2:17" x14ac:dyDescent="0.3">
      <c r="B817" s="15" t="str">
        <f t="shared" ref="B817:B856" si="7">MID(F817,4,3)</f>
        <v>EWH</v>
      </c>
      <c r="C817" s="15" t="s">
        <v>276</v>
      </c>
      <c r="D817" s="15" t="s">
        <v>396</v>
      </c>
      <c r="E817" s="15" t="s">
        <v>155</v>
      </c>
      <c r="F817" s="15" t="s">
        <v>399</v>
      </c>
      <c r="G817" s="15" t="s">
        <v>2</v>
      </c>
      <c r="L817" s="15">
        <v>39.364175722583497</v>
      </c>
      <c r="M817" s="15">
        <v>92.369396692919295</v>
      </c>
      <c r="N817" s="15">
        <v>181.983127761844</v>
      </c>
      <c r="O817" s="15">
        <v>182.17954198168198</v>
      </c>
      <c r="P817" s="15">
        <v>182.136514409245</v>
      </c>
      <c r="Q817" s="15">
        <v>182.48947771707901</v>
      </c>
    </row>
    <row r="818" spans="2:17" x14ac:dyDescent="0.3">
      <c r="B818" s="15" t="str">
        <f t="shared" si="7"/>
        <v>EWH</v>
      </c>
      <c r="C818" s="15" t="s">
        <v>276</v>
      </c>
      <c r="D818" s="15" t="s">
        <v>396</v>
      </c>
      <c r="E818" s="15" t="s">
        <v>155</v>
      </c>
      <c r="F818" s="15" t="s">
        <v>399</v>
      </c>
      <c r="G818" s="15" t="s">
        <v>3</v>
      </c>
      <c r="L818" s="15">
        <v>20.987046590390801</v>
      </c>
      <c r="M818" s="15">
        <v>46.738475241092402</v>
      </c>
      <c r="N818" s="15">
        <v>87.071088025705905</v>
      </c>
      <c r="O818" s="15">
        <v>88.435044617115693</v>
      </c>
      <c r="P818" s="15">
        <v>89.75212152309021</v>
      </c>
      <c r="Q818" s="15">
        <v>91.342698416652297</v>
      </c>
    </row>
    <row r="819" spans="2:17" x14ac:dyDescent="0.3">
      <c r="B819" s="15" t="str">
        <f t="shared" si="7"/>
        <v>EWH</v>
      </c>
      <c r="C819" s="15" t="s">
        <v>276</v>
      </c>
      <c r="D819" s="15" t="s">
        <v>396</v>
      </c>
      <c r="E819" s="15" t="s">
        <v>155</v>
      </c>
      <c r="F819" s="15" t="s">
        <v>399</v>
      </c>
      <c r="G819" s="15" t="s">
        <v>4</v>
      </c>
      <c r="L819" s="15">
        <v>105.47945797976099</v>
      </c>
      <c r="M819" s="15">
        <v>206.849711044564</v>
      </c>
      <c r="N819" s="15">
        <v>289.94522033168812</v>
      </c>
      <c r="O819" s="15">
        <v>301.80467007173507</v>
      </c>
      <c r="P819" s="15">
        <v>314.0589711662181</v>
      </c>
      <c r="Q819" s="15">
        <v>327.33121102437315</v>
      </c>
    </row>
    <row r="820" spans="2:17" x14ac:dyDescent="0.3">
      <c r="B820" s="15" t="str">
        <f t="shared" si="7"/>
        <v>EWH</v>
      </c>
      <c r="C820" s="15" t="s">
        <v>276</v>
      </c>
      <c r="D820" s="15" t="s">
        <v>396</v>
      </c>
      <c r="E820" s="15" t="s">
        <v>155</v>
      </c>
      <c r="F820" s="15" t="s">
        <v>399</v>
      </c>
      <c r="G820" s="15" t="s">
        <v>5</v>
      </c>
      <c r="L820" s="15">
        <v>25.190085206254</v>
      </c>
      <c r="M820" s="15">
        <v>46.646910876294996</v>
      </c>
      <c r="N820" s="15">
        <v>77.501558042270403</v>
      </c>
      <c r="O820" s="15">
        <v>78.617633136881807</v>
      </c>
      <c r="P820" s="15">
        <v>79.731667336718601</v>
      </c>
      <c r="Q820" s="15">
        <v>81.333836304381009</v>
      </c>
    </row>
    <row r="821" spans="2:17" x14ac:dyDescent="0.3">
      <c r="B821" s="15" t="str">
        <f t="shared" si="7"/>
        <v>EWH</v>
      </c>
      <c r="C821" s="15" t="s">
        <v>276</v>
      </c>
      <c r="D821" s="15" t="s">
        <v>396</v>
      </c>
      <c r="E821" s="15" t="s">
        <v>155</v>
      </c>
      <c r="F821" s="15" t="s">
        <v>399</v>
      </c>
      <c r="G821" s="15" t="s">
        <v>6</v>
      </c>
      <c r="L821" s="15">
        <v>56.3359563409986</v>
      </c>
      <c r="M821" s="15">
        <v>120.79928983958561</v>
      </c>
      <c r="N821" s="15">
        <v>184.52600881338</v>
      </c>
      <c r="O821" s="15">
        <v>193.26306605974003</v>
      </c>
      <c r="P821" s="15">
        <v>202.27611814123301</v>
      </c>
      <c r="Q821" s="15">
        <v>212.38322562849999</v>
      </c>
    </row>
    <row r="822" spans="2:17" x14ac:dyDescent="0.3">
      <c r="B822" s="15" t="str">
        <f t="shared" si="7"/>
        <v>EWH</v>
      </c>
      <c r="C822" s="15" t="s">
        <v>276</v>
      </c>
      <c r="D822" s="15" t="s">
        <v>396</v>
      </c>
      <c r="E822" s="15" t="s">
        <v>155</v>
      </c>
      <c r="F822" s="15" t="s">
        <v>399</v>
      </c>
      <c r="G822" s="15" t="s">
        <v>7</v>
      </c>
      <c r="L822" s="15">
        <v>27.132014540051902</v>
      </c>
      <c r="M822" s="15">
        <v>61.025242555380402</v>
      </c>
      <c r="N822" s="15">
        <v>114.97345243845891</v>
      </c>
      <c r="O822" s="15">
        <v>121.62869650684792</v>
      </c>
      <c r="P822" s="15">
        <v>128.61897367648089</v>
      </c>
      <c r="Q822" s="15">
        <v>136.63682864381289</v>
      </c>
    </row>
    <row r="823" spans="2:17" x14ac:dyDescent="0.3">
      <c r="B823" s="15" t="str">
        <f t="shared" si="7"/>
        <v>EWH</v>
      </c>
      <c r="C823" s="15" t="s">
        <v>276</v>
      </c>
      <c r="D823" s="15" t="s">
        <v>396</v>
      </c>
      <c r="E823" s="15" t="s">
        <v>155</v>
      </c>
      <c r="F823" s="15" t="s">
        <v>399</v>
      </c>
      <c r="G823" s="15" t="s">
        <v>8</v>
      </c>
      <c r="I823" s="15">
        <v>98.242366713869202</v>
      </c>
      <c r="J823" s="15">
        <v>98.242366713869202</v>
      </c>
      <c r="K823" s="15">
        <v>98.242366713869202</v>
      </c>
      <c r="L823" s="15">
        <v>115.2124453291771</v>
      </c>
      <c r="M823" s="15">
        <v>121.1045297819979</v>
      </c>
      <c r="N823" s="15">
        <v>231.79801294746488</v>
      </c>
      <c r="O823" s="15">
        <v>238.76764265053589</v>
      </c>
      <c r="P823" s="15">
        <v>246.18910485337091</v>
      </c>
      <c r="Q823" s="15">
        <v>254.76403855962292</v>
      </c>
    </row>
    <row r="824" spans="2:17" x14ac:dyDescent="0.3">
      <c r="B824" s="15" t="str">
        <f t="shared" si="7"/>
        <v>EWH</v>
      </c>
      <c r="C824" s="15" t="s">
        <v>276</v>
      </c>
      <c r="D824" s="15" t="s">
        <v>396</v>
      </c>
      <c r="E824" s="15" t="s">
        <v>155</v>
      </c>
      <c r="F824" s="15" t="s">
        <v>400</v>
      </c>
      <c r="G824" s="15" t="s">
        <v>0</v>
      </c>
      <c r="K824" s="15">
        <v>55.411899084951699</v>
      </c>
      <c r="L824" s="15">
        <v>55.411899084951699</v>
      </c>
      <c r="M824" s="15">
        <v>55.411899084951699</v>
      </c>
    </row>
    <row r="825" spans="2:17" x14ac:dyDescent="0.3">
      <c r="B825" s="15" t="str">
        <f t="shared" si="7"/>
        <v>EWH</v>
      </c>
      <c r="C825" s="15" t="s">
        <v>276</v>
      </c>
      <c r="D825" s="15" t="s">
        <v>396</v>
      </c>
      <c r="E825" s="15" t="s">
        <v>155</v>
      </c>
      <c r="F825" s="15" t="s">
        <v>400</v>
      </c>
      <c r="G825" s="15" t="s">
        <v>1</v>
      </c>
      <c r="K825" s="15">
        <v>23.3423341159329</v>
      </c>
      <c r="L825" s="15">
        <v>23.3423341159329</v>
      </c>
      <c r="M825" s="15">
        <v>23.3423341159329</v>
      </c>
    </row>
    <row r="826" spans="2:17" x14ac:dyDescent="0.3">
      <c r="B826" s="15" t="str">
        <f t="shared" si="7"/>
        <v>EWH</v>
      </c>
      <c r="C826" s="15" t="s">
        <v>276</v>
      </c>
      <c r="D826" s="15" t="s">
        <v>396</v>
      </c>
      <c r="E826" s="15" t="s">
        <v>155</v>
      </c>
      <c r="F826" s="15" t="s">
        <v>400</v>
      </c>
      <c r="G826" s="15" t="s">
        <v>2</v>
      </c>
      <c r="K826" s="15">
        <v>88.6538061993067</v>
      </c>
      <c r="L826" s="15">
        <v>88.6538061993067</v>
      </c>
      <c r="M826" s="15">
        <v>88.6538061993067</v>
      </c>
    </row>
    <row r="827" spans="2:17" x14ac:dyDescent="0.3">
      <c r="B827" s="15" t="str">
        <f t="shared" si="7"/>
        <v>EWH</v>
      </c>
      <c r="C827" s="15" t="s">
        <v>276</v>
      </c>
      <c r="D827" s="15" t="s">
        <v>396</v>
      </c>
      <c r="E827" s="15" t="s">
        <v>155</v>
      </c>
      <c r="F827" s="15" t="s">
        <v>400</v>
      </c>
      <c r="G827" s="15" t="s">
        <v>3</v>
      </c>
      <c r="K827" s="15">
        <v>38.729523058512498</v>
      </c>
      <c r="L827" s="15">
        <v>38.729523058512498</v>
      </c>
      <c r="M827" s="15">
        <v>38.729523058512498</v>
      </c>
    </row>
    <row r="828" spans="2:17" x14ac:dyDescent="0.3">
      <c r="B828" s="15" t="str">
        <f t="shared" si="7"/>
        <v>EWH</v>
      </c>
      <c r="C828" s="15" t="s">
        <v>276</v>
      </c>
      <c r="D828" s="15" t="s">
        <v>396</v>
      </c>
      <c r="E828" s="15" t="s">
        <v>155</v>
      </c>
      <c r="F828" s="15" t="s">
        <v>400</v>
      </c>
      <c r="G828" s="15" t="s">
        <v>4</v>
      </c>
      <c r="K828" s="15">
        <v>70.714457281338099</v>
      </c>
      <c r="L828" s="15">
        <v>70.714457281338099</v>
      </c>
      <c r="M828" s="15">
        <v>70.714457281338099</v>
      </c>
    </row>
    <row r="829" spans="2:17" x14ac:dyDescent="0.3">
      <c r="B829" s="15" t="str">
        <f t="shared" si="7"/>
        <v>EWH</v>
      </c>
      <c r="C829" s="15" t="s">
        <v>276</v>
      </c>
      <c r="D829" s="15" t="s">
        <v>396</v>
      </c>
      <c r="E829" s="15" t="s">
        <v>155</v>
      </c>
      <c r="F829" s="15" t="s">
        <v>400</v>
      </c>
      <c r="G829" s="15" t="s">
        <v>5</v>
      </c>
      <c r="K829" s="15">
        <v>29.506989536811101</v>
      </c>
      <c r="L829" s="15">
        <v>29.506989536811101</v>
      </c>
      <c r="M829" s="15">
        <v>29.506989536811101</v>
      </c>
    </row>
    <row r="830" spans="2:17" x14ac:dyDescent="0.3">
      <c r="B830" s="15" t="str">
        <f t="shared" si="7"/>
        <v>EWH</v>
      </c>
      <c r="C830" s="15" t="s">
        <v>276</v>
      </c>
      <c r="D830" s="15" t="s">
        <v>396</v>
      </c>
      <c r="E830" s="15" t="s">
        <v>155</v>
      </c>
      <c r="F830" s="15" t="s">
        <v>400</v>
      </c>
      <c r="G830" s="15" t="s">
        <v>6</v>
      </c>
      <c r="K830" s="15">
        <v>54.728660659012398</v>
      </c>
      <c r="L830" s="15">
        <v>54.728660659012398</v>
      </c>
      <c r="M830" s="15">
        <v>54.728660659012398</v>
      </c>
    </row>
    <row r="831" spans="2:17" x14ac:dyDescent="0.3">
      <c r="B831" s="15" t="str">
        <f t="shared" si="7"/>
        <v>EWH</v>
      </c>
      <c r="C831" s="15" t="s">
        <v>276</v>
      </c>
      <c r="D831" s="15" t="s">
        <v>396</v>
      </c>
      <c r="E831" s="15" t="s">
        <v>155</v>
      </c>
      <c r="F831" s="15" t="s">
        <v>400</v>
      </c>
      <c r="G831" s="15" t="s">
        <v>7</v>
      </c>
      <c r="K831" s="15">
        <v>47.269526536383502</v>
      </c>
      <c r="L831" s="15">
        <v>47.269526536383502</v>
      </c>
      <c r="M831" s="15">
        <v>47.269526536383502</v>
      </c>
    </row>
    <row r="832" spans="2:17" x14ac:dyDescent="0.3">
      <c r="B832" s="15" t="str">
        <f t="shared" si="7"/>
        <v>EWH</v>
      </c>
      <c r="C832" s="15" t="s">
        <v>276</v>
      </c>
      <c r="D832" s="15" t="s">
        <v>396</v>
      </c>
      <c r="E832" s="15" t="s">
        <v>155</v>
      </c>
      <c r="F832" s="15" t="s">
        <v>400</v>
      </c>
      <c r="G832" s="15" t="s">
        <v>8</v>
      </c>
      <c r="K832" s="15">
        <v>103.17680932608999</v>
      </c>
      <c r="L832" s="15">
        <v>103.17680932608999</v>
      </c>
      <c r="M832" s="15">
        <v>103.17680932608999</v>
      </c>
    </row>
    <row r="833" spans="2:10" x14ac:dyDescent="0.3">
      <c r="B833" s="15" t="str">
        <f t="shared" si="7"/>
        <v>LWH</v>
      </c>
      <c r="C833" s="15" t="s">
        <v>276</v>
      </c>
      <c r="D833" s="15" t="s">
        <v>396</v>
      </c>
      <c r="E833" s="15" t="s">
        <v>155</v>
      </c>
      <c r="F833" s="15" t="s">
        <v>403</v>
      </c>
      <c r="G833" s="15" t="s">
        <v>0</v>
      </c>
      <c r="H833" s="15">
        <v>1.6080291313587101</v>
      </c>
      <c r="J833" s="15">
        <v>0.80401456567935503</v>
      </c>
    </row>
    <row r="834" spans="2:10" x14ac:dyDescent="0.3">
      <c r="B834" s="15" t="str">
        <f t="shared" si="7"/>
        <v>LWH</v>
      </c>
      <c r="C834" s="15" t="s">
        <v>276</v>
      </c>
      <c r="D834" s="15" t="s">
        <v>396</v>
      </c>
      <c r="E834" s="15" t="s">
        <v>155</v>
      </c>
      <c r="F834" s="15" t="s">
        <v>403</v>
      </c>
      <c r="G834" s="15" t="s">
        <v>1</v>
      </c>
      <c r="H834" s="15">
        <v>4.9543240856725896</v>
      </c>
    </row>
    <row r="835" spans="2:10" x14ac:dyDescent="0.3">
      <c r="B835" s="15" t="str">
        <f t="shared" si="7"/>
        <v>LWH</v>
      </c>
      <c r="C835" s="15" t="s">
        <v>276</v>
      </c>
      <c r="D835" s="15" t="s">
        <v>396</v>
      </c>
      <c r="E835" s="15" t="s">
        <v>155</v>
      </c>
      <c r="F835" s="15" t="s">
        <v>403</v>
      </c>
      <c r="G835" s="15" t="s">
        <v>2</v>
      </c>
      <c r="H835" s="15">
        <v>8.1889071255155095</v>
      </c>
    </row>
    <row r="836" spans="2:10" x14ac:dyDescent="0.3">
      <c r="B836" s="15" t="str">
        <f t="shared" si="7"/>
        <v>LWH</v>
      </c>
      <c r="C836" s="15" t="s">
        <v>276</v>
      </c>
      <c r="D836" s="15" t="s">
        <v>396</v>
      </c>
      <c r="E836" s="15" t="s">
        <v>155</v>
      </c>
      <c r="F836" s="15" t="s">
        <v>403</v>
      </c>
      <c r="G836" s="15" t="s">
        <v>3</v>
      </c>
      <c r="H836" s="15">
        <v>5.5626283165313497</v>
      </c>
    </row>
    <row r="837" spans="2:10" x14ac:dyDescent="0.3">
      <c r="B837" s="15" t="str">
        <f t="shared" si="7"/>
        <v>LWH</v>
      </c>
      <c r="C837" s="15" t="s">
        <v>276</v>
      </c>
      <c r="D837" s="15" t="s">
        <v>396</v>
      </c>
      <c r="E837" s="15" t="s">
        <v>155</v>
      </c>
      <c r="F837" s="15" t="s">
        <v>403</v>
      </c>
      <c r="G837" s="15" t="s">
        <v>4</v>
      </c>
      <c r="H837" s="15">
        <v>5.9013322161613102</v>
      </c>
    </row>
    <row r="838" spans="2:10" x14ac:dyDescent="0.3">
      <c r="B838" s="15" t="str">
        <f t="shared" si="7"/>
        <v>LWH</v>
      </c>
      <c r="C838" s="15" t="s">
        <v>276</v>
      </c>
      <c r="D838" s="15" t="s">
        <v>396</v>
      </c>
      <c r="E838" s="15" t="s">
        <v>155</v>
      </c>
      <c r="F838" s="15" t="s">
        <v>403</v>
      </c>
      <c r="G838" s="15" t="s">
        <v>5</v>
      </c>
      <c r="H838" s="15">
        <v>2.8688744958507999</v>
      </c>
    </row>
    <row r="839" spans="2:10" x14ac:dyDescent="0.3">
      <c r="B839" s="15" t="str">
        <f t="shared" si="7"/>
        <v>LWH</v>
      </c>
      <c r="C839" s="15" t="s">
        <v>276</v>
      </c>
      <c r="D839" s="15" t="s">
        <v>396</v>
      </c>
      <c r="E839" s="15" t="s">
        <v>155</v>
      </c>
      <c r="F839" s="15" t="s">
        <v>403</v>
      </c>
      <c r="G839" s="15" t="s">
        <v>6</v>
      </c>
      <c r="H839" s="15">
        <v>7.0651814489309999</v>
      </c>
    </row>
    <row r="840" spans="2:10" x14ac:dyDescent="0.3">
      <c r="B840" s="15" t="str">
        <f t="shared" si="7"/>
        <v>LWH</v>
      </c>
      <c r="C840" s="15" t="s">
        <v>276</v>
      </c>
      <c r="D840" s="15" t="s">
        <v>396</v>
      </c>
      <c r="E840" s="15" t="s">
        <v>155</v>
      </c>
      <c r="F840" s="15" t="s">
        <v>403</v>
      </c>
      <c r="G840" s="15" t="s">
        <v>7</v>
      </c>
      <c r="H840" s="15">
        <v>6.0410568245019398</v>
      </c>
    </row>
    <row r="841" spans="2:10" x14ac:dyDescent="0.3">
      <c r="B841" s="15" t="str">
        <f t="shared" si="7"/>
        <v>LWH</v>
      </c>
      <c r="C841" s="15" t="s">
        <v>276</v>
      </c>
      <c r="D841" s="15" t="s">
        <v>396</v>
      </c>
      <c r="E841" s="15" t="s">
        <v>155</v>
      </c>
      <c r="F841" s="15" t="s">
        <v>403</v>
      </c>
      <c r="G841" s="15" t="s">
        <v>8</v>
      </c>
      <c r="H841" s="15">
        <v>7.8466626225750398</v>
      </c>
      <c r="J841" s="15">
        <v>1.2067113388710001E-2</v>
      </c>
    </row>
    <row r="842" spans="2:10" x14ac:dyDescent="0.3">
      <c r="B842" s="15" t="str">
        <f t="shared" si="7"/>
        <v>NWH</v>
      </c>
      <c r="C842" s="15" t="s">
        <v>276</v>
      </c>
      <c r="D842" s="15" t="s">
        <v>396</v>
      </c>
      <c r="E842" s="15" t="s">
        <v>155</v>
      </c>
      <c r="F842" s="15" t="s">
        <v>404</v>
      </c>
      <c r="G842" s="15" t="s">
        <v>0</v>
      </c>
      <c r="H842" s="15">
        <v>27.443102758767701</v>
      </c>
      <c r="I842" s="15">
        <v>24.698792482890902</v>
      </c>
      <c r="J842" s="15">
        <v>13.7215513793839</v>
      </c>
    </row>
    <row r="843" spans="2:10" x14ac:dyDescent="0.3">
      <c r="B843" s="15" t="str">
        <f t="shared" si="7"/>
        <v>NWH</v>
      </c>
      <c r="C843" s="15" t="s">
        <v>276</v>
      </c>
      <c r="D843" s="15" t="s">
        <v>396</v>
      </c>
      <c r="E843" s="15" t="s">
        <v>155</v>
      </c>
      <c r="F843" s="15" t="s">
        <v>404</v>
      </c>
      <c r="G843" s="15" t="s">
        <v>1</v>
      </c>
      <c r="H843" s="15">
        <v>107.325294983527</v>
      </c>
      <c r="J843" s="15">
        <v>6.3516434646824997</v>
      </c>
    </row>
    <row r="844" spans="2:10" x14ac:dyDescent="0.3">
      <c r="B844" s="15" t="str">
        <f t="shared" si="7"/>
        <v>NWH</v>
      </c>
      <c r="C844" s="15" t="s">
        <v>276</v>
      </c>
      <c r="D844" s="15" t="s">
        <v>396</v>
      </c>
      <c r="E844" s="15" t="s">
        <v>155</v>
      </c>
      <c r="F844" s="15" t="s">
        <v>404</v>
      </c>
      <c r="G844" s="15" t="s">
        <v>2</v>
      </c>
      <c r="H844" s="15">
        <v>135.73595478938901</v>
      </c>
      <c r="I844" s="15">
        <v>60.852862495246399</v>
      </c>
      <c r="J844" s="15">
        <v>67.867977394694506</v>
      </c>
    </row>
    <row r="845" spans="2:10" x14ac:dyDescent="0.3">
      <c r="B845" s="15" t="str">
        <f t="shared" si="7"/>
        <v>NWH</v>
      </c>
      <c r="C845" s="15" t="s">
        <v>276</v>
      </c>
      <c r="D845" s="15" t="s">
        <v>396</v>
      </c>
      <c r="E845" s="15" t="s">
        <v>155</v>
      </c>
      <c r="F845" s="15" t="s">
        <v>404</v>
      </c>
      <c r="G845" s="15" t="s">
        <v>3</v>
      </c>
      <c r="H845" s="15">
        <v>52.417832527055701</v>
      </c>
      <c r="I845" s="15">
        <v>19.995022488552902</v>
      </c>
      <c r="J845" s="15">
        <v>26.2089162635279</v>
      </c>
    </row>
    <row r="846" spans="2:10" x14ac:dyDescent="0.3">
      <c r="B846" s="15" t="str">
        <f t="shared" si="7"/>
        <v>NWH</v>
      </c>
      <c r="C846" s="15" t="s">
        <v>276</v>
      </c>
      <c r="D846" s="15" t="s">
        <v>396</v>
      </c>
      <c r="E846" s="15" t="s">
        <v>155</v>
      </c>
      <c r="F846" s="15" t="s">
        <v>404</v>
      </c>
      <c r="G846" s="15" t="s">
        <v>4</v>
      </c>
      <c r="H846" s="15">
        <v>83.973739608676894</v>
      </c>
    </row>
    <row r="847" spans="2:10" x14ac:dyDescent="0.3">
      <c r="B847" s="15" t="str">
        <f t="shared" si="7"/>
        <v>NWH</v>
      </c>
      <c r="C847" s="15" t="s">
        <v>276</v>
      </c>
      <c r="D847" s="15" t="s">
        <v>396</v>
      </c>
      <c r="E847" s="15" t="s">
        <v>155</v>
      </c>
      <c r="F847" s="15" t="s">
        <v>404</v>
      </c>
      <c r="G847" s="15" t="s">
        <v>5</v>
      </c>
      <c r="H847" s="15">
        <v>27.256182223768299</v>
      </c>
      <c r="J847" s="15">
        <v>11.110386990517499</v>
      </c>
    </row>
    <row r="848" spans="2:10" x14ac:dyDescent="0.3">
      <c r="B848" s="15" t="str">
        <f t="shared" si="7"/>
        <v>NWH</v>
      </c>
      <c r="C848" s="15" t="s">
        <v>276</v>
      </c>
      <c r="D848" s="15" t="s">
        <v>396</v>
      </c>
      <c r="E848" s="15" t="s">
        <v>155</v>
      </c>
      <c r="F848" s="15" t="s">
        <v>404</v>
      </c>
      <c r="G848" s="15" t="s">
        <v>6</v>
      </c>
      <c r="H848" s="15">
        <v>78.595156724263404</v>
      </c>
      <c r="J848" s="15">
        <v>20.069862720998</v>
      </c>
    </row>
    <row r="849" spans="2:12" x14ac:dyDescent="0.3">
      <c r="B849" s="15" t="str">
        <f t="shared" si="7"/>
        <v>NWH</v>
      </c>
      <c r="C849" s="15" t="s">
        <v>276</v>
      </c>
      <c r="D849" s="15" t="s">
        <v>396</v>
      </c>
      <c r="E849" s="15" t="s">
        <v>155</v>
      </c>
      <c r="F849" s="15" t="s">
        <v>404</v>
      </c>
      <c r="G849" s="15" t="s">
        <v>7</v>
      </c>
      <c r="H849" s="15">
        <v>59.870334323589603</v>
      </c>
      <c r="I849" s="15">
        <v>22.667305931084201</v>
      </c>
      <c r="J849" s="15">
        <v>29.935167161794801</v>
      </c>
    </row>
    <row r="850" spans="2:12" x14ac:dyDescent="0.3">
      <c r="B850" s="15" t="str">
        <f t="shared" si="7"/>
        <v>NWH</v>
      </c>
      <c r="C850" s="15" t="s">
        <v>276</v>
      </c>
      <c r="D850" s="15" t="s">
        <v>396</v>
      </c>
      <c r="E850" s="15" t="s">
        <v>155</v>
      </c>
      <c r="F850" s="15" t="s">
        <v>404</v>
      </c>
      <c r="G850" s="15" t="s">
        <v>8</v>
      </c>
      <c r="H850" s="15">
        <v>140.117254990741</v>
      </c>
      <c r="I850" s="15">
        <v>53.850411109379898</v>
      </c>
      <c r="J850" s="15">
        <v>70.058627495370501</v>
      </c>
    </row>
    <row r="851" spans="2:12" x14ac:dyDescent="0.3">
      <c r="B851" s="15" t="str">
        <f t="shared" si="7"/>
        <v>NWH</v>
      </c>
      <c r="C851" s="15" t="s">
        <v>276</v>
      </c>
      <c r="D851" s="15" t="s">
        <v>396</v>
      </c>
      <c r="E851" s="15" t="s">
        <v>155</v>
      </c>
      <c r="F851" s="15" t="s">
        <v>405</v>
      </c>
      <c r="G851" s="15" t="s">
        <v>0</v>
      </c>
      <c r="I851" s="15">
        <v>16.452236856409701</v>
      </c>
      <c r="J851" s="15">
        <v>32.135077334439103</v>
      </c>
    </row>
    <row r="852" spans="2:12" x14ac:dyDescent="0.3">
      <c r="B852" s="15" t="str">
        <f t="shared" si="7"/>
        <v>SWH</v>
      </c>
      <c r="C852" s="15" t="s">
        <v>276</v>
      </c>
      <c r="D852" s="15" t="s">
        <v>396</v>
      </c>
      <c r="E852" s="15" t="s">
        <v>155</v>
      </c>
      <c r="F852" s="15" t="s">
        <v>401</v>
      </c>
      <c r="G852" s="15" t="s">
        <v>0</v>
      </c>
      <c r="H852" s="15">
        <v>1.54589576705913E-2</v>
      </c>
      <c r="I852" s="15">
        <v>1.46860097870617E-2</v>
      </c>
      <c r="J852" s="15">
        <v>1.1594218252943499E-2</v>
      </c>
      <c r="K852" s="15">
        <v>7.7294788352956501E-3</v>
      </c>
      <c r="L852" s="15">
        <v>3.8647394176478298E-3</v>
      </c>
    </row>
    <row r="853" spans="2:12" x14ac:dyDescent="0.3">
      <c r="B853" s="15" t="str">
        <f t="shared" si="7"/>
        <v>SWH</v>
      </c>
      <c r="C853" s="15" t="s">
        <v>276</v>
      </c>
      <c r="D853" s="15" t="s">
        <v>396</v>
      </c>
      <c r="E853" s="15" t="s">
        <v>155</v>
      </c>
      <c r="F853" s="15" t="s">
        <v>401</v>
      </c>
      <c r="G853" s="15" t="s">
        <v>2</v>
      </c>
      <c r="H853" s="15">
        <v>0.122400646119842</v>
      </c>
      <c r="I853" s="15">
        <v>0.11628061381385001</v>
      </c>
      <c r="J853" s="15">
        <v>9.1800484589881506E-2</v>
      </c>
      <c r="K853" s="15">
        <v>6.1200323059921E-2</v>
      </c>
      <c r="L853" s="15">
        <v>3.06001615299605E-2</v>
      </c>
    </row>
    <row r="854" spans="2:12" x14ac:dyDescent="0.3">
      <c r="B854" s="15" t="str">
        <f t="shared" si="7"/>
        <v>SWH</v>
      </c>
      <c r="C854" s="15" t="s">
        <v>276</v>
      </c>
      <c r="D854" s="15" t="s">
        <v>396</v>
      </c>
      <c r="E854" s="15" t="s">
        <v>155</v>
      </c>
      <c r="F854" s="15" t="s">
        <v>401</v>
      </c>
      <c r="G854" s="15" t="s">
        <v>4</v>
      </c>
      <c r="H854" s="15">
        <v>0.140561654217839</v>
      </c>
      <c r="I854" s="15">
        <v>0.133533571506947</v>
      </c>
      <c r="J854" s="15">
        <v>0.105421240663379</v>
      </c>
      <c r="K854" s="15">
        <v>7.0280827108919502E-2</v>
      </c>
      <c r="L854" s="15">
        <v>3.51404135544598E-2</v>
      </c>
    </row>
    <row r="855" spans="2:12" x14ac:dyDescent="0.3">
      <c r="B855" s="15" t="str">
        <f t="shared" si="7"/>
        <v>SWH</v>
      </c>
      <c r="C855" s="15" t="s">
        <v>276</v>
      </c>
      <c r="D855" s="15" t="s">
        <v>396</v>
      </c>
      <c r="E855" s="15" t="s">
        <v>155</v>
      </c>
      <c r="F855" s="15" t="s">
        <v>401</v>
      </c>
      <c r="G855" s="15" t="s">
        <v>7</v>
      </c>
      <c r="H855" s="15">
        <v>0.15588197449299099</v>
      </c>
      <c r="I855" s="15">
        <v>0.14808787576834101</v>
      </c>
      <c r="J855" s="15">
        <v>0.116911480869743</v>
      </c>
      <c r="K855" s="15">
        <v>7.7940987246495494E-2</v>
      </c>
      <c r="L855" s="15">
        <v>3.8970493623247698E-2</v>
      </c>
    </row>
    <row r="856" spans="2:12" x14ac:dyDescent="0.3">
      <c r="B856" s="15" t="str">
        <f t="shared" si="7"/>
        <v>SWH</v>
      </c>
      <c r="C856" s="15" t="s">
        <v>276</v>
      </c>
      <c r="D856" s="15" t="s">
        <v>396</v>
      </c>
      <c r="E856" s="15" t="s">
        <v>155</v>
      </c>
      <c r="F856" s="15" t="s">
        <v>401</v>
      </c>
      <c r="G856" s="15" t="s">
        <v>8</v>
      </c>
      <c r="H856" s="15">
        <v>0.38379340173103499</v>
      </c>
      <c r="I856" s="15">
        <v>0.36460373164448301</v>
      </c>
      <c r="J856" s="15">
        <v>0.28784505129827598</v>
      </c>
      <c r="K856" s="15">
        <v>0.19189670086551799</v>
      </c>
      <c r="L856" s="15">
        <v>9.5948350432758803E-2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748E3FC65F745A16F962AC37A6A38" ma:contentTypeVersion="30" ma:contentTypeDescription="Create a new document." ma:contentTypeScope="" ma:versionID="4a9a2e43882d638f809d5d529dd6822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9380cd1d-721d-4dea-8999-040d87e03657" xmlns:ns7="5e3f1aae-2956-4629-a4bc-aaa910a7cb56" targetNamespace="http://schemas.microsoft.com/office/2006/metadata/properties" ma:root="true" ma:fieldsID="b4cdfa094804a3a78935734dba121a43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9380cd1d-721d-4dea-8999-040d87e03657"/>
    <xsd:import namespace="5e3f1aae-2956-4629-a4bc-aaa910a7cb56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Metadata" minOccurs="0"/>
                <xsd:element ref="ns7:MediaServiceFastMetadata" minOccurs="0"/>
                <xsd:element ref="ns6:Records_x0020_Status" minOccurs="0"/>
                <xsd:element ref="ns6:Records_x0020_Date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4a21f960-d4dd-4737-a746-0ff990ae1880}" ma:internalName="TaxCatchAllLabel" ma:readOnly="true" ma:showField="CatchAllDataLabel" ma:web="9380cd1d-721d-4dea-8999-040d87e0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4a21f960-d4dd-4737-a746-0ff990ae1880}" ma:internalName="TaxCatchAll" ma:showField="CatchAllData" ma:web="9380cd1d-721d-4dea-8999-040d87e0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0cd1d-721d-4dea-8999-040d87e03657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3" nillable="true" ma:displayName="Records Status" ma:default="Pending" ma:internalName="Records_x0020_Status">
      <xsd:simpleType>
        <xsd:restriction base="dms:Text"/>
      </xsd:simpleType>
    </xsd:element>
    <xsd:element name="Records_x0020_Date" ma:index="34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f1aae-2956-4629-a4bc-aaa910a7c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8DE864-453B-4435-B875-0DD2A7B98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9380cd1d-721d-4dea-8999-040d87e03657"/>
    <ds:schemaRef ds:uri="5e3f1aae-2956-4629-a4bc-aaa910a7c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B17329-75DF-44D5-BF4D-643D83F5343A}"/>
</file>

<file path=customXml/itemProps3.xml><?xml version="1.0" encoding="utf-8"?>
<ds:datastoreItem xmlns:ds="http://schemas.openxmlformats.org/officeDocument/2006/customXml" ds:itemID="{F3375E9D-8C91-46D9-B06E-F6914FECC52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043E2AC-FADD-45E2-8AF9-A0B5A48CDE9B}">
  <ds:schemaRefs>
    <ds:schemaRef ds:uri="http://schemas.microsoft.com/sharepoint.v3"/>
    <ds:schemaRef ds:uri="http://schemas.microsoft.com/office/infopath/2007/PartnerControls"/>
    <ds:schemaRef ds:uri="9380cd1d-721d-4dea-8999-040d87e03657"/>
    <ds:schemaRef ds:uri="http://schemas.microsoft.com/sharepoint/v3"/>
    <ds:schemaRef ds:uri="http://schemas.microsoft.com/sharepoint/v3/field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5e3f1aae-2956-4629-a4bc-aaa910a7cb56"/>
    <ds:schemaRef ds:uri="4ffa91fb-a0ff-4ac5-b2db-65c790d184a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</vt:lpstr>
      <vt:lpstr>RES</vt:lpstr>
      <vt:lpstr>ComConstr</vt:lpstr>
      <vt:lpstr>COM results</vt:lpstr>
      <vt:lpstr>RESConstr</vt:lpstr>
      <vt:lpstr>RES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VikrantBaliyan</dc:creator>
  <cp:lastModifiedBy>Lenox, Carol</cp:lastModifiedBy>
  <cp:lastPrinted>2017-01-17T14:00:43Z</cp:lastPrinted>
  <dcterms:created xsi:type="dcterms:W3CDTF">2016-03-11T09:26:02Z</dcterms:created>
  <dcterms:modified xsi:type="dcterms:W3CDTF">2020-05-28T20:51:22Z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55961072444915</vt:r8>
  </property>
  <property fmtid="{D5CDD505-2E9C-101B-9397-08002B2CF9AE}" pid="3" name="WorkbookGuid">
    <vt:lpwstr>ce293ad4-9af1-4e5f-986f-aeb12bc070d3</vt:lpwstr>
  </property>
  <property fmtid="{D5CDD505-2E9C-101B-9397-08002B2CF9AE}" pid="4" name="ContentTypeId">
    <vt:lpwstr>0x0101000A7748E3FC65F745A16F962AC37A6A38</vt:lpwstr>
  </property>
</Properties>
</file>